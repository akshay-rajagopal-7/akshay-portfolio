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CASH\"/>
    </mc:Choice>
  </mc:AlternateContent>
  <xr:revisionPtr revIDLastSave="0" documentId="13_ncr:1_{9A4F024E-32E6-44E1-B743-E7258E41B49B}" xr6:coauthVersionLast="47" xr6:coauthVersionMax="47" xr10:uidLastSave="{00000000-0000-0000-0000-000000000000}"/>
  <bookViews>
    <workbookView xWindow="-120" yWindow="-120" windowWidth="29040" windowHeight="15720" xr2:uid="{00000000-000D-0000-FFFF-FFFF00000000}"/>
  </bookViews>
  <sheets>
    <sheet name="Transactions" sheetId="1" r:id="rId1"/>
    <sheet name="Advances Summary" sheetId="2" r:id="rId2"/>
    <sheet name="Guide" sheetId="3" r:id="rId3"/>
  </sheets>
  <definedNames>
    <definedName name="_xlnm._FilterDatabase" localSheetId="0" hidden="1">Transactions!$A$7:$S$7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06" i="1" l="1"/>
  <c r="O3006" i="1"/>
  <c r="P3006" i="1" s="1"/>
  <c r="S3005" i="1"/>
  <c r="O3005" i="1"/>
  <c r="P3005" i="1" s="1"/>
  <c r="S3004" i="1"/>
  <c r="O3004" i="1"/>
  <c r="P3004" i="1" s="1"/>
  <c r="S3003" i="1"/>
  <c r="O3003" i="1"/>
  <c r="P3003" i="1" s="1"/>
  <c r="S3002" i="1"/>
  <c r="O3002" i="1"/>
  <c r="P3002" i="1" s="1"/>
  <c r="S3001" i="1"/>
  <c r="O3001" i="1"/>
  <c r="P3001" i="1" s="1"/>
  <c r="S3000" i="1"/>
  <c r="O3000" i="1"/>
  <c r="P3000" i="1" s="1"/>
  <c r="S2999" i="1"/>
  <c r="O2999" i="1"/>
  <c r="P2999" i="1" s="1"/>
  <c r="S2998" i="1"/>
  <c r="O2998" i="1"/>
  <c r="P2998" i="1" s="1"/>
  <c r="S2997" i="1"/>
  <c r="O2997" i="1"/>
  <c r="P2997" i="1" s="1"/>
  <c r="S2996" i="1"/>
  <c r="O2996" i="1"/>
  <c r="P2996" i="1" s="1"/>
  <c r="S2995" i="1"/>
  <c r="O2995" i="1"/>
  <c r="P2995" i="1" s="1"/>
  <c r="S2994" i="1"/>
  <c r="O2994" i="1"/>
  <c r="P2994" i="1" s="1"/>
  <c r="S2993" i="1"/>
  <c r="O2993" i="1"/>
  <c r="P2993" i="1" s="1"/>
  <c r="S2992" i="1"/>
  <c r="O2992" i="1"/>
  <c r="P2992" i="1" s="1"/>
  <c r="S2991" i="1"/>
  <c r="O2991" i="1"/>
  <c r="P2991" i="1" s="1"/>
  <c r="S2990" i="1"/>
  <c r="O2990" i="1"/>
  <c r="P2990" i="1" s="1"/>
  <c r="S2989" i="1"/>
  <c r="O2989" i="1"/>
  <c r="P2989" i="1" s="1"/>
  <c r="S2988" i="1"/>
  <c r="O2988" i="1"/>
  <c r="P2988" i="1" s="1"/>
  <c r="S2987" i="1"/>
  <c r="P2987" i="1"/>
  <c r="O2987" i="1"/>
  <c r="S2986" i="1"/>
  <c r="O2986" i="1"/>
  <c r="P2986" i="1" s="1"/>
  <c r="S2985" i="1"/>
  <c r="O2985" i="1"/>
  <c r="P2985" i="1" s="1"/>
  <c r="S2984" i="1"/>
  <c r="O2984" i="1"/>
  <c r="P2984" i="1" s="1"/>
  <c r="S2983" i="1"/>
  <c r="P2983" i="1"/>
  <c r="O2983" i="1"/>
  <c r="S2982" i="1"/>
  <c r="P2982" i="1"/>
  <c r="O2982" i="1"/>
  <c r="S2981" i="1"/>
  <c r="O2981" i="1"/>
  <c r="P2981" i="1" s="1"/>
  <c r="S2980" i="1"/>
  <c r="O2980" i="1"/>
  <c r="P2980" i="1" s="1"/>
  <c r="S2979" i="1"/>
  <c r="O2979" i="1"/>
  <c r="P2979" i="1" s="1"/>
  <c r="S2978" i="1"/>
  <c r="O2978" i="1"/>
  <c r="P2978" i="1" s="1"/>
  <c r="S2977" i="1"/>
  <c r="O2977" i="1"/>
  <c r="P2977" i="1" s="1"/>
  <c r="S2976" i="1"/>
  <c r="O2976" i="1"/>
  <c r="P2976" i="1" s="1"/>
  <c r="S2975" i="1"/>
  <c r="O2975" i="1"/>
  <c r="P2975" i="1" s="1"/>
  <c r="S2974" i="1"/>
  <c r="O2974" i="1"/>
  <c r="P2974" i="1" s="1"/>
  <c r="S2973" i="1"/>
  <c r="O2973" i="1"/>
  <c r="P2973" i="1" s="1"/>
  <c r="S2972" i="1"/>
  <c r="O2972" i="1"/>
  <c r="P2972" i="1" s="1"/>
  <c r="S2971" i="1"/>
  <c r="O2971" i="1"/>
  <c r="P2971" i="1" s="1"/>
  <c r="S2970" i="1"/>
  <c r="O2970" i="1"/>
  <c r="P2970" i="1" s="1"/>
  <c r="S2969" i="1"/>
  <c r="O2969" i="1"/>
  <c r="P2969" i="1" s="1"/>
  <c r="S2968" i="1"/>
  <c r="P2968" i="1"/>
  <c r="O2968" i="1"/>
  <c r="S2967" i="1"/>
  <c r="O2967" i="1"/>
  <c r="P2967" i="1" s="1"/>
  <c r="S2966" i="1"/>
  <c r="O2966" i="1"/>
  <c r="P2966" i="1" s="1"/>
  <c r="S2965" i="1"/>
  <c r="O2965" i="1"/>
  <c r="P2965" i="1" s="1"/>
  <c r="S2964" i="1"/>
  <c r="P2964" i="1"/>
  <c r="O2964" i="1"/>
  <c r="S2963" i="1"/>
  <c r="O2963" i="1"/>
  <c r="P2963" i="1" s="1"/>
  <c r="S2962" i="1"/>
  <c r="O2962" i="1"/>
  <c r="P2962" i="1" s="1"/>
  <c r="S2961" i="1"/>
  <c r="O2961" i="1"/>
  <c r="P2961" i="1" s="1"/>
  <c r="S2960" i="1"/>
  <c r="P2960" i="1"/>
  <c r="O2960" i="1"/>
  <c r="S2959" i="1"/>
  <c r="P2959" i="1"/>
  <c r="O2959" i="1"/>
  <c r="S2958" i="1"/>
  <c r="P2958" i="1"/>
  <c r="O2958" i="1"/>
  <c r="S2957" i="1"/>
  <c r="O2957" i="1"/>
  <c r="P2957" i="1" s="1"/>
  <c r="S2956" i="1"/>
  <c r="P2956" i="1"/>
  <c r="O2956" i="1"/>
  <c r="S2955" i="1"/>
  <c r="P2955" i="1"/>
  <c r="O2955" i="1"/>
  <c r="S2954" i="1"/>
  <c r="O2954" i="1"/>
  <c r="P2954" i="1" s="1"/>
  <c r="S2953" i="1"/>
  <c r="O2953" i="1"/>
  <c r="P2953" i="1" s="1"/>
  <c r="S2952" i="1"/>
  <c r="O2952" i="1"/>
  <c r="P2952" i="1" s="1"/>
  <c r="S2951" i="1"/>
  <c r="P2951" i="1"/>
  <c r="O2951" i="1"/>
  <c r="S2950" i="1"/>
  <c r="P2950" i="1"/>
  <c r="O2950" i="1"/>
  <c r="S2949" i="1"/>
  <c r="O2949" i="1"/>
  <c r="P2949" i="1" s="1"/>
  <c r="S2948" i="1"/>
  <c r="O2948" i="1"/>
  <c r="P2948" i="1" s="1"/>
  <c r="S2947" i="1"/>
  <c r="O2947" i="1"/>
  <c r="P2947" i="1" s="1"/>
  <c r="S2946" i="1"/>
  <c r="O2946" i="1"/>
  <c r="P2946" i="1" s="1"/>
  <c r="S2945" i="1"/>
  <c r="O2945" i="1"/>
  <c r="P2945" i="1" s="1"/>
  <c r="S2944" i="1"/>
  <c r="O2944" i="1"/>
  <c r="P2944" i="1" s="1"/>
  <c r="S2943" i="1"/>
  <c r="O2943" i="1"/>
  <c r="P2943" i="1" s="1"/>
  <c r="S2942" i="1"/>
  <c r="O2942" i="1"/>
  <c r="P2942" i="1" s="1"/>
  <c r="S2941" i="1"/>
  <c r="O2941" i="1"/>
  <c r="P2941" i="1" s="1"/>
  <c r="S2940" i="1"/>
  <c r="O2940" i="1"/>
  <c r="P2940" i="1" s="1"/>
  <c r="S2939" i="1"/>
  <c r="O2939" i="1"/>
  <c r="P2939" i="1" s="1"/>
  <c r="S2938" i="1"/>
  <c r="O2938" i="1"/>
  <c r="P2938" i="1" s="1"/>
  <c r="S2937" i="1"/>
  <c r="O2937" i="1"/>
  <c r="P2937" i="1" s="1"/>
  <c r="S2936" i="1"/>
  <c r="O2936" i="1"/>
  <c r="P2936" i="1" s="1"/>
  <c r="S2935" i="1"/>
  <c r="P2935" i="1"/>
  <c r="O2935" i="1"/>
  <c r="S2934" i="1"/>
  <c r="O2934" i="1"/>
  <c r="P2934" i="1" s="1"/>
  <c r="S2933" i="1"/>
  <c r="O2933" i="1"/>
  <c r="P2933" i="1" s="1"/>
  <c r="S2932" i="1"/>
  <c r="O2932" i="1"/>
  <c r="P2932" i="1" s="1"/>
  <c r="S2931" i="1"/>
  <c r="P2931" i="1"/>
  <c r="O2931" i="1"/>
  <c r="S2930" i="1"/>
  <c r="O2930" i="1"/>
  <c r="P2930" i="1" s="1"/>
  <c r="S2929" i="1"/>
  <c r="O2929" i="1"/>
  <c r="P2929" i="1" s="1"/>
  <c r="S2928" i="1"/>
  <c r="O2928" i="1"/>
  <c r="P2928" i="1" s="1"/>
  <c r="S2927" i="1"/>
  <c r="P2927" i="1"/>
  <c r="O2927" i="1"/>
  <c r="S2926" i="1"/>
  <c r="P2926" i="1"/>
  <c r="O2926" i="1"/>
  <c r="S2925" i="1"/>
  <c r="O2925" i="1"/>
  <c r="P2925" i="1" s="1"/>
  <c r="S2924" i="1"/>
  <c r="O2924" i="1"/>
  <c r="P2924" i="1" s="1"/>
  <c r="S2923" i="1"/>
  <c r="O2923" i="1"/>
  <c r="P2923" i="1" s="1"/>
  <c r="S2922" i="1"/>
  <c r="O2922" i="1"/>
  <c r="P2922" i="1" s="1"/>
  <c r="S2921" i="1"/>
  <c r="O2921" i="1"/>
  <c r="P2921" i="1" s="1"/>
  <c r="S2920" i="1"/>
  <c r="O2920" i="1"/>
  <c r="P2920" i="1" s="1"/>
  <c r="S2919" i="1"/>
  <c r="O2919" i="1"/>
  <c r="P2919" i="1" s="1"/>
  <c r="S2918" i="1"/>
  <c r="O2918" i="1"/>
  <c r="P2918" i="1" s="1"/>
  <c r="S2917" i="1"/>
  <c r="O2917" i="1"/>
  <c r="P2917" i="1" s="1"/>
  <c r="S2916" i="1"/>
  <c r="O2916" i="1"/>
  <c r="P2916" i="1" s="1"/>
  <c r="S2915" i="1"/>
  <c r="O2915" i="1"/>
  <c r="P2915" i="1" s="1"/>
  <c r="S2914" i="1"/>
  <c r="O2914" i="1"/>
  <c r="P2914" i="1" s="1"/>
  <c r="S2913" i="1"/>
  <c r="O2913" i="1"/>
  <c r="P2913" i="1" s="1"/>
  <c r="S2912" i="1"/>
  <c r="O2912" i="1"/>
  <c r="P2912" i="1" s="1"/>
  <c r="S2911" i="1"/>
  <c r="P2911" i="1"/>
  <c r="O2911" i="1"/>
  <c r="S2910" i="1"/>
  <c r="O2910" i="1"/>
  <c r="P2910" i="1" s="1"/>
  <c r="S2909" i="1"/>
  <c r="O2909" i="1"/>
  <c r="P2909" i="1" s="1"/>
  <c r="S2908" i="1"/>
  <c r="O2908" i="1"/>
  <c r="P2908" i="1" s="1"/>
  <c r="S2907" i="1"/>
  <c r="P2907" i="1"/>
  <c r="O2907" i="1"/>
  <c r="S2906" i="1"/>
  <c r="O2906" i="1"/>
  <c r="P2906" i="1" s="1"/>
  <c r="S2905" i="1"/>
  <c r="O2905" i="1"/>
  <c r="P2905" i="1" s="1"/>
  <c r="S2904" i="1"/>
  <c r="O2904" i="1"/>
  <c r="P2904" i="1" s="1"/>
  <c r="S2903" i="1"/>
  <c r="P2903" i="1"/>
  <c r="O2903" i="1"/>
  <c r="S2902" i="1"/>
  <c r="P2902" i="1"/>
  <c r="O2902" i="1"/>
  <c r="S2901" i="1"/>
  <c r="O2901" i="1"/>
  <c r="P2901" i="1" s="1"/>
  <c r="S2900" i="1"/>
  <c r="O2900" i="1"/>
  <c r="P2900" i="1" s="1"/>
  <c r="S2899" i="1"/>
  <c r="O2899" i="1"/>
  <c r="P2899" i="1" s="1"/>
  <c r="S2898" i="1"/>
  <c r="O2898" i="1"/>
  <c r="P2898" i="1" s="1"/>
  <c r="S2897" i="1"/>
  <c r="O2897" i="1"/>
  <c r="P2897" i="1" s="1"/>
  <c r="S2896" i="1"/>
  <c r="O2896" i="1"/>
  <c r="P2896" i="1" s="1"/>
  <c r="S2895" i="1"/>
  <c r="O2895" i="1"/>
  <c r="P2895" i="1" s="1"/>
  <c r="S2894" i="1"/>
  <c r="O2894" i="1"/>
  <c r="P2894" i="1" s="1"/>
  <c r="S2893" i="1"/>
  <c r="O2893" i="1"/>
  <c r="P2893" i="1" s="1"/>
  <c r="S2892" i="1"/>
  <c r="O2892" i="1"/>
  <c r="P2892" i="1" s="1"/>
  <c r="S2891" i="1"/>
  <c r="O2891" i="1"/>
  <c r="P2891" i="1" s="1"/>
  <c r="S2890" i="1"/>
  <c r="O2890" i="1"/>
  <c r="P2890" i="1" s="1"/>
  <c r="S2889" i="1"/>
  <c r="O2889" i="1"/>
  <c r="P2889" i="1" s="1"/>
  <c r="S2888" i="1"/>
  <c r="O2888" i="1"/>
  <c r="P2888" i="1" s="1"/>
  <c r="S2887" i="1"/>
  <c r="P2887" i="1"/>
  <c r="O2887" i="1"/>
  <c r="S2886" i="1"/>
  <c r="P2886" i="1"/>
  <c r="O2886" i="1"/>
  <c r="S2885" i="1"/>
  <c r="O2885" i="1"/>
  <c r="P2885" i="1" s="1"/>
  <c r="S2884" i="1"/>
  <c r="O2884" i="1"/>
  <c r="P2884" i="1" s="1"/>
  <c r="S2883" i="1"/>
  <c r="P2883" i="1"/>
  <c r="O2883" i="1"/>
  <c r="S2882" i="1"/>
  <c r="O2882" i="1"/>
  <c r="P2882" i="1" s="1"/>
  <c r="S2881" i="1"/>
  <c r="O2881" i="1"/>
  <c r="P2881" i="1" s="1"/>
  <c r="S2880" i="1"/>
  <c r="O2880" i="1"/>
  <c r="P2880" i="1" s="1"/>
  <c r="S2879" i="1"/>
  <c r="P2879" i="1"/>
  <c r="O2879" i="1"/>
  <c r="S2878" i="1"/>
  <c r="P2878" i="1"/>
  <c r="O2878" i="1"/>
  <c r="S2877" i="1"/>
  <c r="O2877" i="1"/>
  <c r="P2877" i="1" s="1"/>
  <c r="S2876" i="1"/>
  <c r="O2876" i="1"/>
  <c r="P2876" i="1" s="1"/>
  <c r="S2875" i="1"/>
  <c r="P2875" i="1"/>
  <c r="O2875" i="1"/>
  <c r="S2874" i="1"/>
  <c r="O2874" i="1"/>
  <c r="P2874" i="1" s="1"/>
  <c r="S2873" i="1"/>
  <c r="O2873" i="1"/>
  <c r="P2873" i="1" s="1"/>
  <c r="S2872" i="1"/>
  <c r="O2872" i="1"/>
  <c r="P2872" i="1" s="1"/>
  <c r="S2871" i="1"/>
  <c r="O2871" i="1"/>
  <c r="P2871" i="1" s="1"/>
  <c r="S2870" i="1"/>
  <c r="O2870" i="1"/>
  <c r="P2870" i="1" s="1"/>
  <c r="S2869" i="1"/>
  <c r="O2869" i="1"/>
  <c r="P2869" i="1" s="1"/>
  <c r="S2868" i="1"/>
  <c r="O2868" i="1"/>
  <c r="P2868" i="1" s="1"/>
  <c r="S2867" i="1"/>
  <c r="O2867" i="1"/>
  <c r="P2867" i="1" s="1"/>
  <c r="S2866" i="1"/>
  <c r="O2866" i="1"/>
  <c r="P2866" i="1" s="1"/>
  <c r="S2865" i="1"/>
  <c r="O2865" i="1"/>
  <c r="P2865" i="1" s="1"/>
  <c r="S2864" i="1"/>
  <c r="O2864" i="1"/>
  <c r="P2864" i="1" s="1"/>
  <c r="S2863" i="1"/>
  <c r="P2863" i="1"/>
  <c r="O2863" i="1"/>
  <c r="S2862" i="1"/>
  <c r="O2862" i="1"/>
  <c r="P2862" i="1" s="1"/>
  <c r="S2861" i="1"/>
  <c r="O2861" i="1"/>
  <c r="P2861" i="1" s="1"/>
  <c r="S2860" i="1"/>
  <c r="O2860" i="1"/>
  <c r="P2860" i="1" s="1"/>
  <c r="S2859" i="1"/>
  <c r="P2859" i="1"/>
  <c r="O2859" i="1"/>
  <c r="S2858" i="1"/>
  <c r="O2858" i="1"/>
  <c r="P2858" i="1" s="1"/>
  <c r="S2857" i="1"/>
  <c r="O2857" i="1"/>
  <c r="P2857" i="1" s="1"/>
  <c r="S2856" i="1"/>
  <c r="O2856" i="1"/>
  <c r="P2856" i="1" s="1"/>
  <c r="S2855" i="1"/>
  <c r="P2855" i="1"/>
  <c r="O2855" i="1"/>
  <c r="S2854" i="1"/>
  <c r="P2854" i="1"/>
  <c r="O2854" i="1"/>
  <c r="S2853" i="1"/>
  <c r="O2853" i="1"/>
  <c r="P2853" i="1" s="1"/>
  <c r="S2852" i="1"/>
  <c r="O2852" i="1"/>
  <c r="P2852" i="1" s="1"/>
  <c r="S2851" i="1"/>
  <c r="O2851" i="1"/>
  <c r="P2851" i="1" s="1"/>
  <c r="S2850" i="1"/>
  <c r="O2850" i="1"/>
  <c r="P2850" i="1" s="1"/>
  <c r="S2849" i="1"/>
  <c r="O2849" i="1"/>
  <c r="P2849" i="1" s="1"/>
  <c r="S2848" i="1"/>
  <c r="O2848" i="1"/>
  <c r="P2848" i="1" s="1"/>
  <c r="S2847" i="1"/>
  <c r="O2847" i="1"/>
  <c r="P2847" i="1" s="1"/>
  <c r="S2846" i="1"/>
  <c r="O2846" i="1"/>
  <c r="P2846" i="1" s="1"/>
  <c r="S2845" i="1"/>
  <c r="O2845" i="1"/>
  <c r="P2845" i="1" s="1"/>
  <c r="S2844" i="1"/>
  <c r="O2844" i="1"/>
  <c r="P2844" i="1" s="1"/>
  <c r="S2843" i="1"/>
  <c r="O2843" i="1"/>
  <c r="P2843" i="1" s="1"/>
  <c r="S2842" i="1"/>
  <c r="O2842" i="1"/>
  <c r="P2842" i="1" s="1"/>
  <c r="S2841" i="1"/>
  <c r="O2841" i="1"/>
  <c r="P2841" i="1" s="1"/>
  <c r="S2840" i="1"/>
  <c r="O2840" i="1"/>
  <c r="P2840" i="1" s="1"/>
  <c r="S2839" i="1"/>
  <c r="P2839" i="1"/>
  <c r="O2839" i="1"/>
  <c r="S2838" i="1"/>
  <c r="O2838" i="1"/>
  <c r="P2838" i="1" s="1"/>
  <c r="S2837" i="1"/>
  <c r="O2837" i="1"/>
  <c r="P2837" i="1" s="1"/>
  <c r="S2836" i="1"/>
  <c r="O2836" i="1"/>
  <c r="P2836" i="1" s="1"/>
  <c r="S2835" i="1"/>
  <c r="P2835" i="1"/>
  <c r="O2835" i="1"/>
  <c r="S2834" i="1"/>
  <c r="O2834" i="1"/>
  <c r="P2834" i="1" s="1"/>
  <c r="S2833" i="1"/>
  <c r="O2833" i="1"/>
  <c r="P2833" i="1" s="1"/>
  <c r="S2832" i="1"/>
  <c r="O2832" i="1"/>
  <c r="P2832" i="1" s="1"/>
  <c r="S2831" i="1"/>
  <c r="P2831" i="1"/>
  <c r="O2831" i="1"/>
  <c r="S2830" i="1"/>
  <c r="P2830" i="1"/>
  <c r="O2830" i="1"/>
  <c r="S2829" i="1"/>
  <c r="O2829" i="1"/>
  <c r="P2829" i="1" s="1"/>
  <c r="S2828" i="1"/>
  <c r="O2828" i="1"/>
  <c r="P2828" i="1" s="1"/>
  <c r="S2827" i="1"/>
  <c r="O2827" i="1"/>
  <c r="P2827" i="1" s="1"/>
  <c r="S2826" i="1"/>
  <c r="O2826" i="1"/>
  <c r="P2826" i="1" s="1"/>
  <c r="S2825" i="1"/>
  <c r="O2825" i="1"/>
  <c r="P2825" i="1" s="1"/>
  <c r="S2824" i="1"/>
  <c r="O2824" i="1"/>
  <c r="P2824" i="1" s="1"/>
  <c r="S2823" i="1"/>
  <c r="O2823" i="1"/>
  <c r="P2823" i="1" s="1"/>
  <c r="S2822" i="1"/>
  <c r="P2822" i="1"/>
  <c r="O2822" i="1"/>
  <c r="S2821" i="1"/>
  <c r="O2821" i="1"/>
  <c r="P2821" i="1" s="1"/>
  <c r="S2820" i="1"/>
  <c r="O2820" i="1"/>
  <c r="P2820" i="1" s="1"/>
  <c r="S2819" i="1"/>
  <c r="O2819" i="1"/>
  <c r="P2819" i="1" s="1"/>
  <c r="S2818" i="1"/>
  <c r="O2818" i="1"/>
  <c r="P2818" i="1" s="1"/>
  <c r="S2817" i="1"/>
  <c r="O2817" i="1"/>
  <c r="P2817" i="1" s="1"/>
  <c r="S2816" i="1"/>
  <c r="O2816" i="1"/>
  <c r="P2816" i="1" s="1"/>
  <c r="S2815" i="1"/>
  <c r="P2815" i="1"/>
  <c r="O2815" i="1"/>
  <c r="S2814" i="1"/>
  <c r="P2814" i="1"/>
  <c r="O2814" i="1"/>
  <c r="S2813" i="1"/>
  <c r="O2813" i="1"/>
  <c r="P2813" i="1" s="1"/>
  <c r="S2812" i="1"/>
  <c r="O2812" i="1"/>
  <c r="P2812" i="1" s="1"/>
  <c r="S2811" i="1"/>
  <c r="P2811" i="1"/>
  <c r="O2811" i="1"/>
  <c r="S2810" i="1"/>
  <c r="O2810" i="1"/>
  <c r="P2810" i="1" s="1"/>
  <c r="S2809" i="1"/>
  <c r="O2809" i="1"/>
  <c r="P2809" i="1" s="1"/>
  <c r="S2808" i="1"/>
  <c r="O2808" i="1"/>
  <c r="P2808" i="1" s="1"/>
  <c r="S2807" i="1"/>
  <c r="P2807" i="1"/>
  <c r="O2807" i="1"/>
  <c r="S2806" i="1"/>
  <c r="P2806" i="1"/>
  <c r="O2806" i="1"/>
  <c r="S2805" i="1"/>
  <c r="O2805" i="1"/>
  <c r="P2805" i="1" s="1"/>
  <c r="S2804" i="1"/>
  <c r="O2804" i="1"/>
  <c r="P2804" i="1" s="1"/>
  <c r="S2803" i="1"/>
  <c r="O2803" i="1"/>
  <c r="P2803" i="1" s="1"/>
  <c r="S2802" i="1"/>
  <c r="O2802" i="1"/>
  <c r="P2802" i="1" s="1"/>
  <c r="S2801" i="1"/>
  <c r="O2801" i="1"/>
  <c r="P2801" i="1" s="1"/>
  <c r="S2800" i="1"/>
  <c r="O2800" i="1"/>
  <c r="P2800" i="1" s="1"/>
  <c r="S2799" i="1"/>
  <c r="O2799" i="1"/>
  <c r="P2799" i="1" s="1"/>
  <c r="S2798" i="1"/>
  <c r="O2798" i="1"/>
  <c r="P2798" i="1" s="1"/>
  <c r="S2797" i="1"/>
  <c r="O2797" i="1"/>
  <c r="P2797" i="1" s="1"/>
  <c r="S2796" i="1"/>
  <c r="O2796" i="1"/>
  <c r="P2796" i="1" s="1"/>
  <c r="S2795" i="1"/>
  <c r="O2795" i="1"/>
  <c r="P2795" i="1" s="1"/>
  <c r="S2794" i="1"/>
  <c r="O2794" i="1"/>
  <c r="P2794" i="1" s="1"/>
  <c r="S2793" i="1"/>
  <c r="O2793" i="1"/>
  <c r="P2793" i="1" s="1"/>
  <c r="S2792" i="1"/>
  <c r="O2792" i="1"/>
  <c r="P2792" i="1" s="1"/>
  <c r="S2791" i="1"/>
  <c r="P2791" i="1"/>
  <c r="O2791" i="1"/>
  <c r="S2790" i="1"/>
  <c r="P2790" i="1"/>
  <c r="O2790" i="1"/>
  <c r="S2789" i="1"/>
  <c r="O2789" i="1"/>
  <c r="P2789" i="1" s="1"/>
  <c r="S2788" i="1"/>
  <c r="O2788" i="1"/>
  <c r="P2788" i="1" s="1"/>
  <c r="S2787" i="1"/>
  <c r="P2787" i="1"/>
  <c r="O2787" i="1"/>
  <c r="S2786" i="1"/>
  <c r="O2786" i="1"/>
  <c r="P2786" i="1" s="1"/>
  <c r="S2785" i="1"/>
  <c r="O2785" i="1"/>
  <c r="P2785" i="1" s="1"/>
  <c r="S2784" i="1"/>
  <c r="O2784" i="1"/>
  <c r="P2784" i="1" s="1"/>
  <c r="S2783" i="1"/>
  <c r="P2783" i="1"/>
  <c r="O2783" i="1"/>
  <c r="S2782" i="1"/>
  <c r="P2782" i="1"/>
  <c r="O2782" i="1"/>
  <c r="S2781" i="1"/>
  <c r="O2781" i="1"/>
  <c r="P2781" i="1" s="1"/>
  <c r="S2780" i="1"/>
  <c r="O2780" i="1"/>
  <c r="P2780" i="1" s="1"/>
  <c r="S2779" i="1"/>
  <c r="P2779" i="1"/>
  <c r="O2779" i="1"/>
  <c r="S2778" i="1"/>
  <c r="O2778" i="1"/>
  <c r="P2778" i="1" s="1"/>
  <c r="S2777" i="1"/>
  <c r="O2777" i="1"/>
  <c r="P2777" i="1" s="1"/>
  <c r="S2776" i="1"/>
  <c r="O2776" i="1"/>
  <c r="P2776" i="1" s="1"/>
  <c r="S2775" i="1"/>
  <c r="O2775" i="1"/>
  <c r="P2775" i="1" s="1"/>
  <c r="S2774" i="1"/>
  <c r="O2774" i="1"/>
  <c r="P2774" i="1" s="1"/>
  <c r="S2773" i="1"/>
  <c r="O2773" i="1"/>
  <c r="P2773" i="1" s="1"/>
  <c r="S2772" i="1"/>
  <c r="O2772" i="1"/>
  <c r="P2772" i="1" s="1"/>
  <c r="S2771" i="1"/>
  <c r="O2771" i="1"/>
  <c r="P2771" i="1" s="1"/>
  <c r="S2770" i="1"/>
  <c r="O2770" i="1"/>
  <c r="P2770" i="1" s="1"/>
  <c r="S2769" i="1"/>
  <c r="O2769" i="1"/>
  <c r="P2769" i="1" s="1"/>
  <c r="S2768" i="1"/>
  <c r="O2768" i="1"/>
  <c r="P2768" i="1" s="1"/>
  <c r="S2767" i="1"/>
  <c r="P2767" i="1"/>
  <c r="O2767" i="1"/>
  <c r="S2766" i="1"/>
  <c r="O2766" i="1"/>
  <c r="P2766" i="1" s="1"/>
  <c r="S2765" i="1"/>
  <c r="O2765" i="1"/>
  <c r="P2765" i="1" s="1"/>
  <c r="S2764" i="1"/>
  <c r="O2764" i="1"/>
  <c r="P2764" i="1" s="1"/>
  <c r="S2763" i="1"/>
  <c r="P2763" i="1"/>
  <c r="O2763" i="1"/>
  <c r="S2762" i="1"/>
  <c r="O2762" i="1"/>
  <c r="P2762" i="1" s="1"/>
  <c r="S2761" i="1"/>
  <c r="O2761" i="1"/>
  <c r="P2761" i="1" s="1"/>
  <c r="S2760" i="1"/>
  <c r="O2760" i="1"/>
  <c r="P2760" i="1" s="1"/>
  <c r="S2759" i="1"/>
  <c r="P2759" i="1"/>
  <c r="O2759" i="1"/>
  <c r="S2758" i="1"/>
  <c r="P2758" i="1"/>
  <c r="O2758" i="1"/>
  <c r="S2757" i="1"/>
  <c r="O2757" i="1"/>
  <c r="P2757" i="1" s="1"/>
  <c r="S2756" i="1"/>
  <c r="O2756" i="1"/>
  <c r="P2756" i="1" s="1"/>
  <c r="S2755" i="1"/>
  <c r="P2755" i="1"/>
  <c r="O2755" i="1"/>
  <c r="S2754" i="1"/>
  <c r="O2754" i="1"/>
  <c r="P2754" i="1" s="1"/>
  <c r="S2753" i="1"/>
  <c r="O2753" i="1"/>
  <c r="P2753" i="1" s="1"/>
  <c r="S2752" i="1"/>
  <c r="O2752" i="1"/>
  <c r="P2752" i="1" s="1"/>
  <c r="S2751" i="1"/>
  <c r="O2751" i="1"/>
  <c r="P2751" i="1" s="1"/>
  <c r="S2750" i="1"/>
  <c r="O2750" i="1"/>
  <c r="P2750" i="1" s="1"/>
  <c r="S2749" i="1"/>
  <c r="O2749" i="1"/>
  <c r="P2749" i="1" s="1"/>
  <c r="S2748" i="1"/>
  <c r="O2748" i="1"/>
  <c r="P2748" i="1" s="1"/>
  <c r="S2747" i="1"/>
  <c r="O2747" i="1"/>
  <c r="P2747" i="1" s="1"/>
  <c r="S2746" i="1"/>
  <c r="O2746" i="1"/>
  <c r="P2746" i="1" s="1"/>
  <c r="S2745" i="1"/>
  <c r="O2745" i="1"/>
  <c r="P2745" i="1" s="1"/>
  <c r="S2744" i="1"/>
  <c r="O2744" i="1"/>
  <c r="P2744" i="1" s="1"/>
  <c r="S2743" i="1"/>
  <c r="P2743" i="1"/>
  <c r="O2743" i="1"/>
  <c r="S2742" i="1"/>
  <c r="O2742" i="1"/>
  <c r="P2742" i="1" s="1"/>
  <c r="S2741" i="1"/>
  <c r="O2741" i="1"/>
  <c r="P2741" i="1" s="1"/>
  <c r="S2740" i="1"/>
  <c r="O2740" i="1"/>
  <c r="P2740" i="1" s="1"/>
  <c r="S2739" i="1"/>
  <c r="P2739" i="1"/>
  <c r="O2739" i="1"/>
  <c r="S2738" i="1"/>
  <c r="O2738" i="1"/>
  <c r="P2738" i="1" s="1"/>
  <c r="S2737" i="1"/>
  <c r="O2737" i="1"/>
  <c r="P2737" i="1" s="1"/>
  <c r="S2736" i="1"/>
  <c r="O2736" i="1"/>
  <c r="P2736" i="1" s="1"/>
  <c r="S2735" i="1"/>
  <c r="P2735" i="1"/>
  <c r="O2735" i="1"/>
  <c r="S2734" i="1"/>
  <c r="P2734" i="1"/>
  <c r="O2734" i="1"/>
  <c r="S2733" i="1"/>
  <c r="O2733" i="1"/>
  <c r="P2733" i="1" s="1"/>
  <c r="S2732" i="1"/>
  <c r="O2732" i="1"/>
  <c r="P2732" i="1" s="1"/>
  <c r="S2731" i="1"/>
  <c r="P2731" i="1"/>
  <c r="O2731" i="1"/>
  <c r="S2730" i="1"/>
  <c r="O2730" i="1"/>
  <c r="P2730" i="1" s="1"/>
  <c r="S2729" i="1"/>
  <c r="O2729" i="1"/>
  <c r="P2729" i="1" s="1"/>
  <c r="S2728" i="1"/>
  <c r="O2728" i="1"/>
  <c r="P2728" i="1" s="1"/>
  <c r="S2727" i="1"/>
  <c r="O2727" i="1"/>
  <c r="P2727" i="1" s="1"/>
  <c r="S2726" i="1"/>
  <c r="O2726" i="1"/>
  <c r="P2726" i="1" s="1"/>
  <c r="S2725" i="1"/>
  <c r="O2725" i="1"/>
  <c r="P2725" i="1" s="1"/>
  <c r="S2724" i="1"/>
  <c r="O2724" i="1"/>
  <c r="P2724" i="1" s="1"/>
  <c r="S2723" i="1"/>
  <c r="O2723" i="1"/>
  <c r="P2723" i="1" s="1"/>
  <c r="S2722" i="1"/>
  <c r="O2722" i="1"/>
  <c r="P2722" i="1" s="1"/>
  <c r="S2721" i="1"/>
  <c r="O2721" i="1"/>
  <c r="P2721" i="1" s="1"/>
  <c r="S2720" i="1"/>
  <c r="O2720" i="1"/>
  <c r="P2720" i="1" s="1"/>
  <c r="S2719" i="1"/>
  <c r="P2719" i="1"/>
  <c r="O2719" i="1"/>
  <c r="S2718" i="1"/>
  <c r="P2718" i="1"/>
  <c r="O2718" i="1"/>
  <c r="S2717" i="1"/>
  <c r="O2717" i="1"/>
  <c r="P2717" i="1" s="1"/>
  <c r="S2716" i="1"/>
  <c r="O2716" i="1"/>
  <c r="P2716" i="1" s="1"/>
  <c r="S2715" i="1"/>
  <c r="P2715" i="1"/>
  <c r="O2715" i="1"/>
  <c r="S2714" i="1"/>
  <c r="O2714" i="1"/>
  <c r="P2714" i="1" s="1"/>
  <c r="S2713" i="1"/>
  <c r="O2713" i="1"/>
  <c r="P2713" i="1" s="1"/>
  <c r="S2712" i="1"/>
  <c r="O2712" i="1"/>
  <c r="P2712" i="1" s="1"/>
  <c r="S2711" i="1"/>
  <c r="P2711" i="1"/>
  <c r="O2711" i="1"/>
  <c r="S2710" i="1"/>
  <c r="P2710" i="1"/>
  <c r="O2710" i="1"/>
  <c r="S2709" i="1"/>
  <c r="O2709" i="1"/>
  <c r="P2709" i="1" s="1"/>
  <c r="S2708" i="1"/>
  <c r="O2708" i="1"/>
  <c r="P2708" i="1" s="1"/>
  <c r="S2707" i="1"/>
  <c r="P2707" i="1"/>
  <c r="O2707" i="1"/>
  <c r="S2706" i="1"/>
  <c r="O2706" i="1"/>
  <c r="P2706" i="1" s="1"/>
  <c r="S2705" i="1"/>
  <c r="O2705" i="1"/>
  <c r="P2705" i="1" s="1"/>
  <c r="S2704" i="1"/>
  <c r="O2704" i="1"/>
  <c r="P2704" i="1" s="1"/>
  <c r="S2703" i="1"/>
  <c r="O2703" i="1"/>
  <c r="P2703" i="1" s="1"/>
  <c r="S2702" i="1"/>
  <c r="O2702" i="1"/>
  <c r="P2702" i="1" s="1"/>
  <c r="S2701" i="1"/>
  <c r="O2701" i="1"/>
  <c r="P2701" i="1" s="1"/>
  <c r="S2700" i="1"/>
  <c r="O2700" i="1"/>
  <c r="P2700" i="1" s="1"/>
  <c r="S2699" i="1"/>
  <c r="O2699" i="1"/>
  <c r="P2699" i="1" s="1"/>
  <c r="S2698" i="1"/>
  <c r="O2698" i="1"/>
  <c r="P2698" i="1" s="1"/>
  <c r="S2697" i="1"/>
  <c r="O2697" i="1"/>
  <c r="P2697" i="1" s="1"/>
  <c r="S2696" i="1"/>
  <c r="O2696" i="1"/>
  <c r="P2696" i="1" s="1"/>
  <c r="S2695" i="1"/>
  <c r="P2695" i="1"/>
  <c r="O2695" i="1"/>
  <c r="S2694" i="1"/>
  <c r="P2694" i="1"/>
  <c r="O2694" i="1"/>
  <c r="S2693" i="1"/>
  <c r="O2693" i="1"/>
  <c r="P2693" i="1" s="1"/>
  <c r="S2692" i="1"/>
  <c r="O2692" i="1"/>
  <c r="P2692" i="1" s="1"/>
  <c r="S2691" i="1"/>
  <c r="P2691" i="1"/>
  <c r="O2691" i="1"/>
  <c r="S2690" i="1"/>
  <c r="O2690" i="1"/>
  <c r="P2690" i="1" s="1"/>
  <c r="S2689" i="1"/>
  <c r="O2689" i="1"/>
  <c r="P2689" i="1" s="1"/>
  <c r="S2688" i="1"/>
  <c r="P2688" i="1"/>
  <c r="O2688" i="1"/>
  <c r="S2687" i="1"/>
  <c r="O2687" i="1"/>
  <c r="P2687" i="1" s="1"/>
  <c r="S2686" i="1"/>
  <c r="P2686" i="1"/>
  <c r="O2686" i="1"/>
  <c r="S2685" i="1"/>
  <c r="O2685" i="1"/>
  <c r="P2685" i="1" s="1"/>
  <c r="S2684" i="1"/>
  <c r="P2684" i="1"/>
  <c r="O2684" i="1"/>
  <c r="S2683" i="1"/>
  <c r="P2683" i="1"/>
  <c r="O2683" i="1"/>
  <c r="S2682" i="1"/>
  <c r="P2682" i="1"/>
  <c r="O2682" i="1"/>
  <c r="S2681" i="1"/>
  <c r="O2681" i="1"/>
  <c r="P2681" i="1" s="1"/>
  <c r="S2680" i="1"/>
  <c r="P2680" i="1"/>
  <c r="O2680" i="1"/>
  <c r="S2679" i="1"/>
  <c r="O2679" i="1"/>
  <c r="P2679" i="1" s="1"/>
  <c r="S2678" i="1"/>
  <c r="P2678" i="1"/>
  <c r="O2678" i="1"/>
  <c r="S2677" i="1"/>
  <c r="O2677" i="1"/>
  <c r="P2677" i="1" s="1"/>
  <c r="S2676" i="1"/>
  <c r="O2676" i="1"/>
  <c r="P2676" i="1" s="1"/>
  <c r="S2675" i="1"/>
  <c r="O2675" i="1"/>
  <c r="P2675" i="1" s="1"/>
  <c r="S2674" i="1"/>
  <c r="P2674" i="1"/>
  <c r="O2674" i="1"/>
  <c r="S2673" i="1"/>
  <c r="O2673" i="1"/>
  <c r="P2673" i="1" s="1"/>
  <c r="S2672" i="1"/>
  <c r="O2672" i="1"/>
  <c r="P2672" i="1" s="1"/>
  <c r="S2671" i="1"/>
  <c r="P2671" i="1"/>
  <c r="O2671" i="1"/>
  <c r="S2670" i="1"/>
  <c r="O2670" i="1"/>
  <c r="P2670" i="1" s="1"/>
  <c r="S2669" i="1"/>
  <c r="O2669" i="1"/>
  <c r="P2669" i="1" s="1"/>
  <c r="S2668" i="1"/>
  <c r="P2668" i="1"/>
  <c r="O2668" i="1"/>
  <c r="S2667" i="1"/>
  <c r="P2667" i="1"/>
  <c r="O2667" i="1"/>
  <c r="S2666" i="1"/>
  <c r="O2666" i="1"/>
  <c r="P2666" i="1" s="1"/>
  <c r="S2665" i="1"/>
  <c r="P2665" i="1"/>
  <c r="O2665" i="1"/>
  <c r="S2664" i="1"/>
  <c r="P2664" i="1"/>
  <c r="O2664" i="1"/>
  <c r="S2663" i="1"/>
  <c r="P2663" i="1"/>
  <c r="O2663" i="1"/>
  <c r="S2662" i="1"/>
  <c r="O2662" i="1"/>
  <c r="P2662" i="1" s="1"/>
  <c r="S2661" i="1"/>
  <c r="P2661" i="1"/>
  <c r="O2661" i="1"/>
  <c r="S2660" i="1"/>
  <c r="P2660" i="1"/>
  <c r="O2660" i="1"/>
  <c r="S2659" i="1"/>
  <c r="P2659" i="1"/>
  <c r="O2659" i="1"/>
  <c r="S2658" i="1"/>
  <c r="O2658" i="1"/>
  <c r="P2658" i="1" s="1"/>
  <c r="S2657" i="1"/>
  <c r="P2657" i="1"/>
  <c r="O2657" i="1"/>
  <c r="S2656" i="1"/>
  <c r="P2656" i="1"/>
  <c r="O2656" i="1"/>
  <c r="S2655" i="1"/>
  <c r="O2655" i="1"/>
  <c r="P2655" i="1" s="1"/>
  <c r="S2654" i="1"/>
  <c r="O2654" i="1"/>
  <c r="P2654" i="1" s="1"/>
  <c r="S2653" i="1"/>
  <c r="P2653" i="1"/>
  <c r="O2653" i="1"/>
  <c r="S2652" i="1"/>
  <c r="P2652" i="1"/>
  <c r="O2652" i="1"/>
  <c r="S2651" i="1"/>
  <c r="O2651" i="1"/>
  <c r="P2651" i="1" s="1"/>
  <c r="S2650" i="1"/>
  <c r="O2650" i="1"/>
  <c r="P2650" i="1" s="1"/>
  <c r="S2649" i="1"/>
  <c r="P2649" i="1"/>
  <c r="O2649" i="1"/>
  <c r="S2648" i="1"/>
  <c r="P2648" i="1"/>
  <c r="O2648" i="1"/>
  <c r="S2647" i="1"/>
  <c r="O2647" i="1"/>
  <c r="P2647" i="1" s="1"/>
  <c r="S2646" i="1"/>
  <c r="O2646" i="1"/>
  <c r="P2646" i="1" s="1"/>
  <c r="S2645" i="1"/>
  <c r="P2645" i="1"/>
  <c r="O2645" i="1"/>
  <c r="S2644" i="1"/>
  <c r="P2644" i="1"/>
  <c r="O2644" i="1"/>
  <c r="S2643" i="1"/>
  <c r="O2643" i="1"/>
  <c r="P2643" i="1" s="1"/>
  <c r="S2642" i="1"/>
  <c r="O2642" i="1"/>
  <c r="P2642" i="1" s="1"/>
  <c r="S2641" i="1"/>
  <c r="P2641" i="1"/>
  <c r="O2641" i="1"/>
  <c r="S2640" i="1"/>
  <c r="P2640" i="1"/>
  <c r="O2640" i="1"/>
  <c r="S2639" i="1"/>
  <c r="O2639" i="1"/>
  <c r="P2639" i="1" s="1"/>
  <c r="S2638" i="1"/>
  <c r="O2638" i="1"/>
  <c r="P2638" i="1" s="1"/>
  <c r="S2637" i="1"/>
  <c r="P2637" i="1"/>
  <c r="O2637" i="1"/>
  <c r="S2636" i="1"/>
  <c r="P2636" i="1"/>
  <c r="O2636" i="1"/>
  <c r="S2635" i="1"/>
  <c r="O2635" i="1"/>
  <c r="P2635" i="1" s="1"/>
  <c r="S2634" i="1"/>
  <c r="O2634" i="1"/>
  <c r="P2634" i="1" s="1"/>
  <c r="S2633" i="1"/>
  <c r="P2633" i="1"/>
  <c r="O2633" i="1"/>
  <c r="S2632" i="1"/>
  <c r="P2632" i="1"/>
  <c r="O2632" i="1"/>
  <c r="S2631" i="1"/>
  <c r="O2631" i="1"/>
  <c r="P2631" i="1" s="1"/>
  <c r="S2630" i="1"/>
  <c r="P2630" i="1"/>
  <c r="O2630" i="1"/>
  <c r="S2629" i="1"/>
  <c r="P2629" i="1"/>
  <c r="O2629" i="1"/>
  <c r="S2628" i="1"/>
  <c r="P2628" i="1"/>
  <c r="O2628" i="1"/>
  <c r="S2627" i="1"/>
  <c r="O2627" i="1"/>
  <c r="P2627" i="1" s="1"/>
  <c r="S2626" i="1"/>
  <c r="O2626" i="1"/>
  <c r="P2626" i="1" s="1"/>
  <c r="S2625" i="1"/>
  <c r="P2625" i="1"/>
  <c r="O2625" i="1"/>
  <c r="S2624" i="1"/>
  <c r="P2624" i="1"/>
  <c r="O2624" i="1"/>
  <c r="S2623" i="1"/>
  <c r="O2623" i="1"/>
  <c r="P2623" i="1" s="1"/>
  <c r="S2622" i="1"/>
  <c r="O2622" i="1"/>
  <c r="P2622" i="1" s="1"/>
  <c r="S2621" i="1"/>
  <c r="P2621" i="1"/>
  <c r="O2621" i="1"/>
  <c r="S2620" i="1"/>
  <c r="P2620" i="1"/>
  <c r="O2620" i="1"/>
  <c r="S2619" i="1"/>
  <c r="O2619" i="1"/>
  <c r="P2619" i="1" s="1"/>
  <c r="S2618" i="1"/>
  <c r="O2618" i="1"/>
  <c r="P2618" i="1" s="1"/>
  <c r="S2617" i="1"/>
  <c r="P2617" i="1"/>
  <c r="O2617" i="1"/>
  <c r="S2616" i="1"/>
  <c r="P2616" i="1"/>
  <c r="O2616" i="1"/>
  <c r="S2615" i="1"/>
  <c r="O2615" i="1"/>
  <c r="P2615" i="1" s="1"/>
  <c r="S2614" i="1"/>
  <c r="O2614" i="1"/>
  <c r="P2614" i="1" s="1"/>
  <c r="S2613" i="1"/>
  <c r="P2613" i="1"/>
  <c r="O2613" i="1"/>
  <c r="S2612" i="1"/>
  <c r="P2612" i="1"/>
  <c r="O2612" i="1"/>
  <c r="S2611" i="1"/>
  <c r="O2611" i="1"/>
  <c r="P2611" i="1" s="1"/>
  <c r="S2610" i="1"/>
  <c r="O2610" i="1"/>
  <c r="P2610" i="1" s="1"/>
  <c r="S2609" i="1"/>
  <c r="P2609" i="1"/>
  <c r="O2609" i="1"/>
  <c r="S2608" i="1"/>
  <c r="P2608" i="1"/>
  <c r="O2608" i="1"/>
  <c r="S2607" i="1"/>
  <c r="O2607" i="1"/>
  <c r="P2607" i="1" s="1"/>
  <c r="S2606" i="1"/>
  <c r="O2606" i="1"/>
  <c r="P2606" i="1" s="1"/>
  <c r="S2605" i="1"/>
  <c r="P2605" i="1"/>
  <c r="O2605" i="1"/>
  <c r="S2604" i="1"/>
  <c r="P2604" i="1"/>
  <c r="O2604" i="1"/>
  <c r="S2603" i="1"/>
  <c r="O2603" i="1"/>
  <c r="P2603" i="1" s="1"/>
  <c r="S2602" i="1"/>
  <c r="O2602" i="1"/>
  <c r="P2602" i="1" s="1"/>
  <c r="S2601" i="1"/>
  <c r="P2601" i="1"/>
  <c r="O2601" i="1"/>
  <c r="S2600" i="1"/>
  <c r="P2600" i="1"/>
  <c r="O2600" i="1"/>
  <c r="S2599" i="1"/>
  <c r="O2599" i="1"/>
  <c r="P2599" i="1" s="1"/>
  <c r="S2598" i="1"/>
  <c r="O2598" i="1"/>
  <c r="P2598" i="1" s="1"/>
  <c r="S2597" i="1"/>
  <c r="P2597" i="1"/>
  <c r="O2597" i="1"/>
  <c r="S2596" i="1"/>
  <c r="P2596" i="1"/>
  <c r="O2596" i="1"/>
  <c r="S2595" i="1"/>
  <c r="O2595" i="1"/>
  <c r="P2595" i="1" s="1"/>
  <c r="S2594" i="1"/>
  <c r="O2594" i="1"/>
  <c r="P2594" i="1" s="1"/>
  <c r="S2593" i="1"/>
  <c r="P2593" i="1"/>
  <c r="O2593" i="1"/>
  <c r="S2592" i="1"/>
  <c r="P2592" i="1"/>
  <c r="O2592" i="1"/>
  <c r="S2591" i="1"/>
  <c r="O2591" i="1"/>
  <c r="P2591" i="1" s="1"/>
  <c r="S2590" i="1"/>
  <c r="O2590" i="1"/>
  <c r="P2590" i="1" s="1"/>
  <c r="S2589" i="1"/>
  <c r="P2589" i="1"/>
  <c r="O2589" i="1"/>
  <c r="S2588" i="1"/>
  <c r="P2588" i="1"/>
  <c r="O2588" i="1"/>
  <c r="S2587" i="1"/>
  <c r="O2587" i="1"/>
  <c r="P2587" i="1" s="1"/>
  <c r="S2586" i="1"/>
  <c r="O2586" i="1"/>
  <c r="P2586" i="1" s="1"/>
  <c r="S2585" i="1"/>
  <c r="P2585" i="1"/>
  <c r="O2585" i="1"/>
  <c r="S2584" i="1"/>
  <c r="P2584" i="1"/>
  <c r="O2584" i="1"/>
  <c r="S2583" i="1"/>
  <c r="O2583" i="1"/>
  <c r="P2583" i="1" s="1"/>
  <c r="S2582" i="1"/>
  <c r="O2582" i="1"/>
  <c r="P2582" i="1" s="1"/>
  <c r="S2581" i="1"/>
  <c r="P2581" i="1"/>
  <c r="O2581" i="1"/>
  <c r="S2580" i="1"/>
  <c r="P2580" i="1"/>
  <c r="O2580" i="1"/>
  <c r="S2579" i="1"/>
  <c r="O2579" i="1"/>
  <c r="P2579" i="1" s="1"/>
  <c r="S2578" i="1"/>
  <c r="O2578" i="1"/>
  <c r="P2578" i="1" s="1"/>
  <c r="S2577" i="1"/>
  <c r="P2577" i="1"/>
  <c r="O2577" i="1"/>
  <c r="S2576" i="1"/>
  <c r="O2576" i="1"/>
  <c r="P2576" i="1" s="1"/>
  <c r="S2575" i="1"/>
  <c r="P2575" i="1"/>
  <c r="O2575" i="1"/>
  <c r="S2574" i="1"/>
  <c r="O2574" i="1"/>
  <c r="P2574" i="1" s="1"/>
  <c r="S2573" i="1"/>
  <c r="P2573" i="1"/>
  <c r="O2573" i="1"/>
  <c r="S2572" i="1"/>
  <c r="P2572" i="1"/>
  <c r="O2572" i="1"/>
  <c r="S2571" i="1"/>
  <c r="O2571" i="1"/>
  <c r="P2571" i="1" s="1"/>
  <c r="S2570" i="1"/>
  <c r="O2570" i="1"/>
  <c r="P2570" i="1" s="1"/>
  <c r="S2569" i="1"/>
  <c r="P2569" i="1"/>
  <c r="O2569" i="1"/>
  <c r="S2568" i="1"/>
  <c r="O2568" i="1"/>
  <c r="P2568" i="1" s="1"/>
  <c r="S2567" i="1"/>
  <c r="O2567" i="1"/>
  <c r="P2567" i="1" s="1"/>
  <c r="S2566" i="1"/>
  <c r="P2566" i="1"/>
  <c r="O2566" i="1"/>
  <c r="S2565" i="1"/>
  <c r="P2565" i="1"/>
  <c r="O2565" i="1"/>
  <c r="S2564" i="1"/>
  <c r="O2564" i="1"/>
  <c r="P2564" i="1" s="1"/>
  <c r="S2563" i="1"/>
  <c r="O2563" i="1"/>
  <c r="P2563" i="1" s="1"/>
  <c r="S2562" i="1"/>
  <c r="O2562" i="1"/>
  <c r="P2562" i="1" s="1"/>
  <c r="S2561" i="1"/>
  <c r="P2561" i="1"/>
  <c r="O2561" i="1"/>
  <c r="S2560" i="1"/>
  <c r="O2560" i="1"/>
  <c r="P2560" i="1" s="1"/>
  <c r="S2559" i="1"/>
  <c r="O2559" i="1"/>
  <c r="P2559" i="1" s="1"/>
  <c r="S2558" i="1"/>
  <c r="O2558" i="1"/>
  <c r="P2558" i="1" s="1"/>
  <c r="S2557" i="1"/>
  <c r="P2557" i="1"/>
  <c r="O2557" i="1"/>
  <c r="S2556" i="1"/>
  <c r="O2556" i="1"/>
  <c r="P2556" i="1" s="1"/>
  <c r="S2555" i="1"/>
  <c r="O2555" i="1"/>
  <c r="P2555" i="1" s="1"/>
  <c r="S2554" i="1"/>
  <c r="O2554" i="1"/>
  <c r="P2554" i="1" s="1"/>
  <c r="S2553" i="1"/>
  <c r="P2553" i="1"/>
  <c r="O2553" i="1"/>
  <c r="S2552" i="1"/>
  <c r="O2552" i="1"/>
  <c r="P2552" i="1" s="1"/>
  <c r="S2551" i="1"/>
  <c r="O2551" i="1"/>
  <c r="P2551" i="1" s="1"/>
  <c r="S2550" i="1"/>
  <c r="O2550" i="1"/>
  <c r="P2550" i="1" s="1"/>
  <c r="S2549" i="1"/>
  <c r="P2549" i="1"/>
  <c r="O2549" i="1"/>
  <c r="S2548" i="1"/>
  <c r="O2548" i="1"/>
  <c r="P2548" i="1" s="1"/>
  <c r="S2547" i="1"/>
  <c r="O2547" i="1"/>
  <c r="P2547" i="1" s="1"/>
  <c r="S2546" i="1"/>
  <c r="O2546" i="1"/>
  <c r="P2546" i="1" s="1"/>
  <c r="S2545" i="1"/>
  <c r="P2545" i="1"/>
  <c r="O2545" i="1"/>
  <c r="S2544" i="1"/>
  <c r="O2544" i="1"/>
  <c r="P2544" i="1" s="1"/>
  <c r="S2543" i="1"/>
  <c r="O2543" i="1"/>
  <c r="P2543" i="1" s="1"/>
  <c r="S2542" i="1"/>
  <c r="O2542" i="1"/>
  <c r="P2542" i="1" s="1"/>
  <c r="S2541" i="1"/>
  <c r="P2541" i="1"/>
  <c r="O2541" i="1"/>
  <c r="S2540" i="1"/>
  <c r="O2540" i="1"/>
  <c r="P2540" i="1" s="1"/>
  <c r="S2539" i="1"/>
  <c r="O2539" i="1"/>
  <c r="P2539" i="1" s="1"/>
  <c r="S2538" i="1"/>
  <c r="O2538" i="1"/>
  <c r="P2538" i="1" s="1"/>
  <c r="S2537" i="1"/>
  <c r="P2537" i="1"/>
  <c r="O2537" i="1"/>
  <c r="S2536" i="1"/>
  <c r="O2536" i="1"/>
  <c r="P2536" i="1" s="1"/>
  <c r="S2535" i="1"/>
  <c r="O2535" i="1"/>
  <c r="P2535" i="1" s="1"/>
  <c r="S2534" i="1"/>
  <c r="O2534" i="1"/>
  <c r="P2534" i="1" s="1"/>
  <c r="S2533" i="1"/>
  <c r="P2533" i="1"/>
  <c r="O2533" i="1"/>
  <c r="S2532" i="1"/>
  <c r="O2532" i="1"/>
  <c r="P2532" i="1" s="1"/>
  <c r="S2531" i="1"/>
  <c r="O2531" i="1"/>
  <c r="P2531" i="1" s="1"/>
  <c r="S2530" i="1"/>
  <c r="O2530" i="1"/>
  <c r="P2530" i="1" s="1"/>
  <c r="S2529" i="1"/>
  <c r="P2529" i="1"/>
  <c r="O2529" i="1"/>
  <c r="S2528" i="1"/>
  <c r="O2528" i="1"/>
  <c r="P2528" i="1" s="1"/>
  <c r="S2527" i="1"/>
  <c r="O2527" i="1"/>
  <c r="P2527" i="1" s="1"/>
  <c r="S2526" i="1"/>
  <c r="O2526" i="1"/>
  <c r="P2526" i="1" s="1"/>
  <c r="S2525" i="1"/>
  <c r="P2525" i="1"/>
  <c r="O2525" i="1"/>
  <c r="S2524" i="1"/>
  <c r="O2524" i="1"/>
  <c r="P2524" i="1" s="1"/>
  <c r="S2523" i="1"/>
  <c r="O2523" i="1"/>
  <c r="P2523" i="1" s="1"/>
  <c r="S2522" i="1"/>
  <c r="O2522" i="1"/>
  <c r="P2522" i="1" s="1"/>
  <c r="S2521" i="1"/>
  <c r="P2521" i="1"/>
  <c r="O2521" i="1"/>
  <c r="S2520" i="1"/>
  <c r="O2520" i="1"/>
  <c r="P2520" i="1" s="1"/>
  <c r="S2519" i="1"/>
  <c r="O2519" i="1"/>
  <c r="P2519" i="1" s="1"/>
  <c r="S2518" i="1"/>
  <c r="O2518" i="1"/>
  <c r="P2518" i="1" s="1"/>
  <c r="S2517" i="1"/>
  <c r="P2517" i="1"/>
  <c r="O2517" i="1"/>
  <c r="S2516" i="1"/>
  <c r="O2516" i="1"/>
  <c r="P2516" i="1" s="1"/>
  <c r="S2515" i="1"/>
  <c r="O2515" i="1"/>
  <c r="P2515" i="1" s="1"/>
  <c r="S2514" i="1"/>
  <c r="O2514" i="1"/>
  <c r="P2514" i="1" s="1"/>
  <c r="S2513" i="1"/>
  <c r="P2513" i="1"/>
  <c r="O2513" i="1"/>
  <c r="S2512" i="1"/>
  <c r="O2512" i="1"/>
  <c r="P2512" i="1" s="1"/>
  <c r="S2511" i="1"/>
  <c r="O2511" i="1"/>
  <c r="P2511" i="1" s="1"/>
  <c r="S2510" i="1"/>
  <c r="O2510" i="1"/>
  <c r="P2510" i="1" s="1"/>
  <c r="S2509" i="1"/>
  <c r="P2509" i="1"/>
  <c r="O2509" i="1"/>
  <c r="S2508" i="1"/>
  <c r="O2508" i="1"/>
  <c r="P2508" i="1" s="1"/>
  <c r="S2507" i="1"/>
  <c r="O2507" i="1"/>
  <c r="P2507" i="1" s="1"/>
  <c r="S2506" i="1"/>
  <c r="O2506" i="1"/>
  <c r="P2506" i="1" s="1"/>
  <c r="S2505" i="1"/>
  <c r="P2505" i="1"/>
  <c r="O2505" i="1"/>
  <c r="S2504" i="1"/>
  <c r="O2504" i="1"/>
  <c r="P2504" i="1" s="1"/>
  <c r="S2503" i="1"/>
  <c r="O2503" i="1"/>
  <c r="P2503" i="1" s="1"/>
  <c r="S2502" i="1"/>
  <c r="P2502" i="1"/>
  <c r="O2502" i="1"/>
  <c r="S2501" i="1"/>
  <c r="P2501" i="1"/>
  <c r="O2501" i="1"/>
  <c r="S2500" i="1"/>
  <c r="O2500" i="1"/>
  <c r="P2500" i="1" s="1"/>
  <c r="S2499" i="1"/>
  <c r="O2499" i="1"/>
  <c r="P2499" i="1" s="1"/>
  <c r="S2498" i="1"/>
  <c r="O2498" i="1"/>
  <c r="P2498" i="1" s="1"/>
  <c r="S2497" i="1"/>
  <c r="P2497" i="1"/>
  <c r="O2497" i="1"/>
  <c r="S2496" i="1"/>
  <c r="O2496" i="1"/>
  <c r="P2496" i="1" s="1"/>
  <c r="S2495" i="1"/>
  <c r="O2495" i="1"/>
  <c r="P2495" i="1" s="1"/>
  <c r="S2494" i="1"/>
  <c r="O2494" i="1"/>
  <c r="P2494" i="1" s="1"/>
  <c r="S2493" i="1"/>
  <c r="P2493" i="1"/>
  <c r="O2493" i="1"/>
  <c r="S2492" i="1"/>
  <c r="O2492" i="1"/>
  <c r="P2492" i="1" s="1"/>
  <c r="S2491" i="1"/>
  <c r="O2491" i="1"/>
  <c r="P2491" i="1" s="1"/>
  <c r="S2490" i="1"/>
  <c r="O2490" i="1"/>
  <c r="P2490" i="1" s="1"/>
  <c r="S2489" i="1"/>
  <c r="P2489" i="1"/>
  <c r="O2489" i="1"/>
  <c r="S2488" i="1"/>
  <c r="O2488" i="1"/>
  <c r="P2488" i="1" s="1"/>
  <c r="S2487" i="1"/>
  <c r="O2487" i="1"/>
  <c r="P2487" i="1" s="1"/>
  <c r="S2486" i="1"/>
  <c r="O2486" i="1"/>
  <c r="P2486" i="1" s="1"/>
  <c r="S2485" i="1"/>
  <c r="P2485" i="1"/>
  <c r="O2485" i="1"/>
  <c r="S2484" i="1"/>
  <c r="O2484" i="1"/>
  <c r="P2484" i="1" s="1"/>
  <c r="S2483" i="1"/>
  <c r="O2483" i="1"/>
  <c r="P2483" i="1" s="1"/>
  <c r="S2482" i="1"/>
  <c r="O2482" i="1"/>
  <c r="P2482" i="1" s="1"/>
  <c r="S2481" i="1"/>
  <c r="P2481" i="1"/>
  <c r="O2481" i="1"/>
  <c r="S2480" i="1"/>
  <c r="O2480" i="1"/>
  <c r="P2480" i="1" s="1"/>
  <c r="S2479" i="1"/>
  <c r="O2479" i="1"/>
  <c r="P2479" i="1" s="1"/>
  <c r="S2478" i="1"/>
  <c r="O2478" i="1"/>
  <c r="P2478" i="1" s="1"/>
  <c r="S2477" i="1"/>
  <c r="P2477" i="1"/>
  <c r="O2477" i="1"/>
  <c r="S2476" i="1"/>
  <c r="O2476" i="1"/>
  <c r="P2476" i="1" s="1"/>
  <c r="S2475" i="1"/>
  <c r="O2475" i="1"/>
  <c r="P2475" i="1" s="1"/>
  <c r="S2474" i="1"/>
  <c r="O2474" i="1"/>
  <c r="P2474" i="1" s="1"/>
  <c r="S2473" i="1"/>
  <c r="P2473" i="1"/>
  <c r="O2473" i="1"/>
  <c r="S2472" i="1"/>
  <c r="O2472" i="1"/>
  <c r="P2472" i="1" s="1"/>
  <c r="S2471" i="1"/>
  <c r="O2471" i="1"/>
  <c r="P2471" i="1" s="1"/>
  <c r="S2470" i="1"/>
  <c r="O2470" i="1"/>
  <c r="P2470" i="1" s="1"/>
  <c r="S2469" i="1"/>
  <c r="P2469" i="1"/>
  <c r="O2469" i="1"/>
  <c r="S2468" i="1"/>
  <c r="O2468" i="1"/>
  <c r="P2468" i="1" s="1"/>
  <c r="S2467" i="1"/>
  <c r="O2467" i="1"/>
  <c r="P2467" i="1" s="1"/>
  <c r="S2466" i="1"/>
  <c r="O2466" i="1"/>
  <c r="P2466" i="1" s="1"/>
  <c r="S2465" i="1"/>
  <c r="P2465" i="1"/>
  <c r="O2465" i="1"/>
  <c r="S2464" i="1"/>
  <c r="O2464" i="1"/>
  <c r="P2464" i="1" s="1"/>
  <c r="S2463" i="1"/>
  <c r="O2463" i="1"/>
  <c r="P2463" i="1" s="1"/>
  <c r="S2462" i="1"/>
  <c r="O2462" i="1"/>
  <c r="P2462" i="1" s="1"/>
  <c r="S2461" i="1"/>
  <c r="P2461" i="1"/>
  <c r="O2461" i="1"/>
  <c r="S2460" i="1"/>
  <c r="O2460" i="1"/>
  <c r="P2460" i="1" s="1"/>
  <c r="S2459" i="1"/>
  <c r="O2459" i="1"/>
  <c r="P2459" i="1" s="1"/>
  <c r="S2458" i="1"/>
  <c r="O2458" i="1"/>
  <c r="P2458" i="1" s="1"/>
  <c r="S2457" i="1"/>
  <c r="P2457" i="1"/>
  <c r="O2457" i="1"/>
  <c r="S2456" i="1"/>
  <c r="O2456" i="1"/>
  <c r="P2456" i="1" s="1"/>
  <c r="S2455" i="1"/>
  <c r="O2455" i="1"/>
  <c r="P2455" i="1" s="1"/>
  <c r="S2454" i="1"/>
  <c r="O2454" i="1"/>
  <c r="P2454" i="1" s="1"/>
  <c r="S2453" i="1"/>
  <c r="P2453" i="1"/>
  <c r="O2453" i="1"/>
  <c r="S2452" i="1"/>
  <c r="O2452" i="1"/>
  <c r="P2452" i="1" s="1"/>
  <c r="S2451" i="1"/>
  <c r="O2451" i="1"/>
  <c r="P2451" i="1" s="1"/>
  <c r="S2450" i="1"/>
  <c r="O2450" i="1"/>
  <c r="P2450" i="1" s="1"/>
  <c r="S2449" i="1"/>
  <c r="P2449" i="1"/>
  <c r="O2449" i="1"/>
  <c r="S2448" i="1"/>
  <c r="O2448" i="1"/>
  <c r="P2448" i="1" s="1"/>
  <c r="S2447" i="1"/>
  <c r="O2447" i="1"/>
  <c r="P2447" i="1" s="1"/>
  <c r="S2446" i="1"/>
  <c r="O2446" i="1"/>
  <c r="P2446" i="1" s="1"/>
  <c r="S2445" i="1"/>
  <c r="P2445" i="1"/>
  <c r="O2445" i="1"/>
  <c r="S2444" i="1"/>
  <c r="O2444" i="1"/>
  <c r="P2444" i="1" s="1"/>
  <c r="S2443" i="1"/>
  <c r="O2443" i="1"/>
  <c r="P2443" i="1" s="1"/>
  <c r="S2442" i="1"/>
  <c r="O2442" i="1"/>
  <c r="P2442" i="1" s="1"/>
  <c r="S2441" i="1"/>
  <c r="P2441" i="1"/>
  <c r="O2441" i="1"/>
  <c r="S2440" i="1"/>
  <c r="O2440" i="1"/>
  <c r="P2440" i="1" s="1"/>
  <c r="S2439" i="1"/>
  <c r="O2439" i="1"/>
  <c r="P2439" i="1" s="1"/>
  <c r="S2438" i="1"/>
  <c r="P2438" i="1"/>
  <c r="O2438" i="1"/>
  <c r="S2437" i="1"/>
  <c r="P2437" i="1"/>
  <c r="O2437" i="1"/>
  <c r="S2436" i="1"/>
  <c r="O2436" i="1"/>
  <c r="P2436" i="1" s="1"/>
  <c r="S2435" i="1"/>
  <c r="O2435" i="1"/>
  <c r="P2435" i="1" s="1"/>
  <c r="S2434" i="1"/>
  <c r="O2434" i="1"/>
  <c r="P2434" i="1" s="1"/>
  <c r="S2433" i="1"/>
  <c r="P2433" i="1"/>
  <c r="O2433" i="1"/>
  <c r="S2432" i="1"/>
  <c r="O2432" i="1"/>
  <c r="P2432" i="1" s="1"/>
  <c r="S2431" i="1"/>
  <c r="O2431" i="1"/>
  <c r="P2431" i="1" s="1"/>
  <c r="S2430" i="1"/>
  <c r="O2430" i="1"/>
  <c r="P2430" i="1" s="1"/>
  <c r="S2429" i="1"/>
  <c r="P2429" i="1"/>
  <c r="O2429" i="1"/>
  <c r="S2428" i="1"/>
  <c r="O2428" i="1"/>
  <c r="P2428" i="1" s="1"/>
  <c r="S2427" i="1"/>
  <c r="O2427" i="1"/>
  <c r="P2427" i="1" s="1"/>
  <c r="S2426" i="1"/>
  <c r="O2426" i="1"/>
  <c r="P2426" i="1" s="1"/>
  <c r="S2425" i="1"/>
  <c r="P2425" i="1"/>
  <c r="O2425" i="1"/>
  <c r="S2424" i="1"/>
  <c r="O2424" i="1"/>
  <c r="P2424" i="1" s="1"/>
  <c r="S2423" i="1"/>
  <c r="O2423" i="1"/>
  <c r="P2423" i="1" s="1"/>
  <c r="S2422" i="1"/>
  <c r="O2422" i="1"/>
  <c r="P2422" i="1" s="1"/>
  <c r="S2421" i="1"/>
  <c r="P2421" i="1"/>
  <c r="O2421" i="1"/>
  <c r="S2420" i="1"/>
  <c r="O2420" i="1"/>
  <c r="P2420" i="1" s="1"/>
  <c r="S2419" i="1"/>
  <c r="O2419" i="1"/>
  <c r="P2419" i="1" s="1"/>
  <c r="S2418" i="1"/>
  <c r="O2418" i="1"/>
  <c r="P2418" i="1" s="1"/>
  <c r="S2417" i="1"/>
  <c r="P2417" i="1"/>
  <c r="O2417" i="1"/>
  <c r="S2416" i="1"/>
  <c r="O2416" i="1"/>
  <c r="P2416" i="1" s="1"/>
  <c r="S2415" i="1"/>
  <c r="O2415" i="1"/>
  <c r="P2415" i="1" s="1"/>
  <c r="S2414" i="1"/>
  <c r="O2414" i="1"/>
  <c r="P2414" i="1" s="1"/>
  <c r="S2413" i="1"/>
  <c r="P2413" i="1"/>
  <c r="O2413" i="1"/>
  <c r="S2412" i="1"/>
  <c r="O2412" i="1"/>
  <c r="P2412" i="1" s="1"/>
  <c r="S2411" i="1"/>
  <c r="O2411" i="1"/>
  <c r="P2411" i="1" s="1"/>
  <c r="S2410" i="1"/>
  <c r="O2410" i="1"/>
  <c r="P2410" i="1" s="1"/>
  <c r="S2409" i="1"/>
  <c r="O2409" i="1"/>
  <c r="P2409" i="1" s="1"/>
  <c r="S2408" i="1"/>
  <c r="O2408" i="1"/>
  <c r="P2408" i="1" s="1"/>
  <c r="S2407" i="1"/>
  <c r="O2407" i="1"/>
  <c r="P2407" i="1" s="1"/>
  <c r="S2406" i="1"/>
  <c r="O2406" i="1"/>
  <c r="P2406" i="1" s="1"/>
  <c r="S2405" i="1"/>
  <c r="O2405" i="1"/>
  <c r="P2405" i="1" s="1"/>
  <c r="S2404" i="1"/>
  <c r="O2404" i="1"/>
  <c r="P2404" i="1" s="1"/>
  <c r="S2403" i="1"/>
  <c r="O2403" i="1"/>
  <c r="P2403" i="1" s="1"/>
  <c r="S2402" i="1"/>
  <c r="O2402" i="1"/>
  <c r="P2402" i="1" s="1"/>
  <c r="S2401" i="1"/>
  <c r="P2401" i="1"/>
  <c r="O2401" i="1"/>
  <c r="S2400" i="1"/>
  <c r="O2400" i="1"/>
  <c r="P2400" i="1" s="1"/>
  <c r="S2399" i="1"/>
  <c r="O2399" i="1"/>
  <c r="P2399" i="1" s="1"/>
  <c r="S2398" i="1"/>
  <c r="O2398" i="1"/>
  <c r="P2398" i="1" s="1"/>
  <c r="S2397" i="1"/>
  <c r="O2397" i="1"/>
  <c r="P2397" i="1" s="1"/>
  <c r="S2396" i="1"/>
  <c r="O2396" i="1"/>
  <c r="P2396" i="1" s="1"/>
  <c r="S2395" i="1"/>
  <c r="O2395" i="1"/>
  <c r="P2395" i="1" s="1"/>
  <c r="S2394" i="1"/>
  <c r="O2394" i="1"/>
  <c r="P2394" i="1" s="1"/>
  <c r="S2393" i="1"/>
  <c r="O2393" i="1"/>
  <c r="P2393" i="1" s="1"/>
  <c r="S2392" i="1"/>
  <c r="O2392" i="1"/>
  <c r="P2392" i="1" s="1"/>
  <c r="S2391" i="1"/>
  <c r="O2391" i="1"/>
  <c r="P2391" i="1" s="1"/>
  <c r="S2390" i="1"/>
  <c r="O2390" i="1"/>
  <c r="P2390" i="1" s="1"/>
  <c r="S2389" i="1"/>
  <c r="O2389" i="1"/>
  <c r="P2389" i="1" s="1"/>
  <c r="S2388" i="1"/>
  <c r="O2388" i="1"/>
  <c r="P2388" i="1" s="1"/>
  <c r="S2387" i="1"/>
  <c r="O2387" i="1"/>
  <c r="P2387" i="1" s="1"/>
  <c r="S2386" i="1"/>
  <c r="O2386" i="1"/>
  <c r="P2386" i="1" s="1"/>
  <c r="S2385" i="1"/>
  <c r="P2385" i="1"/>
  <c r="O2385" i="1"/>
  <c r="S2384" i="1"/>
  <c r="O2384" i="1"/>
  <c r="P2384" i="1" s="1"/>
  <c r="S2383" i="1"/>
  <c r="O2383" i="1"/>
  <c r="P2383" i="1" s="1"/>
  <c r="S2382" i="1"/>
  <c r="O2382" i="1"/>
  <c r="P2382" i="1" s="1"/>
  <c r="S2381" i="1"/>
  <c r="O2381" i="1"/>
  <c r="P2381" i="1" s="1"/>
  <c r="S2380" i="1"/>
  <c r="O2380" i="1"/>
  <c r="P2380" i="1" s="1"/>
  <c r="S2379" i="1"/>
  <c r="O2379" i="1"/>
  <c r="P2379" i="1" s="1"/>
  <c r="S2378" i="1"/>
  <c r="O2378" i="1"/>
  <c r="P2378" i="1" s="1"/>
  <c r="S2377" i="1"/>
  <c r="O2377" i="1"/>
  <c r="P2377" i="1" s="1"/>
  <c r="S2376" i="1"/>
  <c r="O2376" i="1"/>
  <c r="P2376" i="1" s="1"/>
  <c r="S2375" i="1"/>
  <c r="O2375" i="1"/>
  <c r="P2375" i="1" s="1"/>
  <c r="S2374" i="1"/>
  <c r="P2374" i="1"/>
  <c r="O2374" i="1"/>
  <c r="S2373" i="1"/>
  <c r="P2373" i="1"/>
  <c r="O2373" i="1"/>
  <c r="S2372" i="1"/>
  <c r="O2372" i="1"/>
  <c r="P2372" i="1" s="1"/>
  <c r="S2371" i="1"/>
  <c r="O2371" i="1"/>
  <c r="P2371" i="1" s="1"/>
  <c r="S2370" i="1"/>
  <c r="O2370" i="1"/>
  <c r="P2370" i="1" s="1"/>
  <c r="S2369" i="1"/>
  <c r="O2369" i="1"/>
  <c r="P2369" i="1" s="1"/>
  <c r="S2368" i="1"/>
  <c r="O2368" i="1"/>
  <c r="P2368" i="1" s="1"/>
  <c r="S2367" i="1"/>
  <c r="P2367" i="1"/>
  <c r="O2367" i="1"/>
  <c r="S2366" i="1"/>
  <c r="O2366" i="1"/>
  <c r="P2366" i="1" s="1"/>
  <c r="S2365" i="1"/>
  <c r="O2365" i="1"/>
  <c r="P2365" i="1" s="1"/>
  <c r="S2364" i="1"/>
  <c r="O2364" i="1"/>
  <c r="P2364" i="1" s="1"/>
  <c r="S2363" i="1"/>
  <c r="O2363" i="1"/>
  <c r="P2363" i="1" s="1"/>
  <c r="S2362" i="1"/>
  <c r="O2362" i="1"/>
  <c r="P2362" i="1" s="1"/>
  <c r="S2361" i="1"/>
  <c r="P2361" i="1"/>
  <c r="O2361" i="1"/>
  <c r="S2360" i="1"/>
  <c r="O2360" i="1"/>
  <c r="P2360" i="1" s="1"/>
  <c r="S2359" i="1"/>
  <c r="O2359" i="1"/>
  <c r="P2359" i="1" s="1"/>
  <c r="S2358" i="1"/>
  <c r="O2358" i="1"/>
  <c r="P2358" i="1" s="1"/>
  <c r="S2357" i="1"/>
  <c r="P2357" i="1"/>
  <c r="O2357" i="1"/>
  <c r="S2356" i="1"/>
  <c r="O2356" i="1"/>
  <c r="P2356" i="1" s="1"/>
  <c r="S2355" i="1"/>
  <c r="O2355" i="1"/>
  <c r="P2355" i="1" s="1"/>
  <c r="S2354" i="1"/>
  <c r="O2354" i="1"/>
  <c r="P2354" i="1" s="1"/>
  <c r="S2353" i="1"/>
  <c r="P2353" i="1"/>
  <c r="O2353" i="1"/>
  <c r="S2352" i="1"/>
  <c r="O2352" i="1"/>
  <c r="P2352" i="1" s="1"/>
  <c r="S2351" i="1"/>
  <c r="O2351" i="1"/>
  <c r="P2351" i="1" s="1"/>
  <c r="S2350" i="1"/>
  <c r="O2350" i="1"/>
  <c r="P2350" i="1" s="1"/>
  <c r="S2349" i="1"/>
  <c r="P2349" i="1"/>
  <c r="O2349" i="1"/>
  <c r="S2348" i="1"/>
  <c r="O2348" i="1"/>
  <c r="P2348" i="1" s="1"/>
  <c r="S2347" i="1"/>
  <c r="O2347" i="1"/>
  <c r="P2347" i="1" s="1"/>
  <c r="S2346" i="1"/>
  <c r="O2346" i="1"/>
  <c r="P2346" i="1" s="1"/>
  <c r="S2345" i="1"/>
  <c r="P2345" i="1"/>
  <c r="O2345" i="1"/>
  <c r="S2344" i="1"/>
  <c r="O2344" i="1"/>
  <c r="P2344" i="1" s="1"/>
  <c r="S2343" i="1"/>
  <c r="O2343" i="1"/>
  <c r="P2343" i="1" s="1"/>
  <c r="S2342" i="1"/>
  <c r="O2342" i="1"/>
  <c r="P2342" i="1" s="1"/>
  <c r="S2341" i="1"/>
  <c r="P2341" i="1"/>
  <c r="O2341" i="1"/>
  <c r="S2340" i="1"/>
  <c r="O2340" i="1"/>
  <c r="P2340" i="1" s="1"/>
  <c r="S2339" i="1"/>
  <c r="O2339" i="1"/>
  <c r="P2339" i="1" s="1"/>
  <c r="S2338" i="1"/>
  <c r="O2338" i="1"/>
  <c r="P2338" i="1" s="1"/>
  <c r="S2337" i="1"/>
  <c r="P2337" i="1"/>
  <c r="O2337" i="1"/>
  <c r="S2336" i="1"/>
  <c r="O2336" i="1"/>
  <c r="P2336" i="1" s="1"/>
  <c r="S2335" i="1"/>
  <c r="O2335" i="1"/>
  <c r="P2335" i="1" s="1"/>
  <c r="S2334" i="1"/>
  <c r="O2334" i="1"/>
  <c r="P2334" i="1" s="1"/>
  <c r="S2333" i="1"/>
  <c r="P2333" i="1"/>
  <c r="O2333" i="1"/>
  <c r="S2332" i="1"/>
  <c r="O2332" i="1"/>
  <c r="P2332" i="1" s="1"/>
  <c r="S2331" i="1"/>
  <c r="O2331" i="1"/>
  <c r="P2331" i="1" s="1"/>
  <c r="S2330" i="1"/>
  <c r="O2330" i="1"/>
  <c r="P2330" i="1" s="1"/>
  <c r="S2329" i="1"/>
  <c r="P2329" i="1"/>
  <c r="O2329" i="1"/>
  <c r="S2328" i="1"/>
  <c r="O2328" i="1"/>
  <c r="P2328" i="1" s="1"/>
  <c r="S2327" i="1"/>
  <c r="O2327" i="1"/>
  <c r="P2327" i="1" s="1"/>
  <c r="S2326" i="1"/>
  <c r="O2326" i="1"/>
  <c r="P2326" i="1" s="1"/>
  <c r="S2325" i="1"/>
  <c r="P2325" i="1"/>
  <c r="O2325" i="1"/>
  <c r="S2324" i="1"/>
  <c r="O2324" i="1"/>
  <c r="P2324" i="1" s="1"/>
  <c r="S2323" i="1"/>
  <c r="O2323" i="1"/>
  <c r="P2323" i="1" s="1"/>
  <c r="S2322" i="1"/>
  <c r="O2322" i="1"/>
  <c r="P2322" i="1" s="1"/>
  <c r="S2321" i="1"/>
  <c r="P2321" i="1"/>
  <c r="O2321" i="1"/>
  <c r="S2320" i="1"/>
  <c r="O2320" i="1"/>
  <c r="P2320" i="1" s="1"/>
  <c r="S2319" i="1"/>
  <c r="O2319" i="1"/>
  <c r="P2319" i="1" s="1"/>
  <c r="S2318" i="1"/>
  <c r="O2318" i="1"/>
  <c r="P2318" i="1" s="1"/>
  <c r="S2317" i="1"/>
  <c r="P2317" i="1"/>
  <c r="O2317" i="1"/>
  <c r="S2316" i="1"/>
  <c r="O2316" i="1"/>
  <c r="P2316" i="1" s="1"/>
  <c r="S2315" i="1"/>
  <c r="O2315" i="1"/>
  <c r="P2315" i="1" s="1"/>
  <c r="S2314" i="1"/>
  <c r="O2314" i="1"/>
  <c r="P2314" i="1" s="1"/>
  <c r="S2313" i="1"/>
  <c r="P2313" i="1"/>
  <c r="O2313" i="1"/>
  <c r="S2312" i="1"/>
  <c r="O2312" i="1"/>
  <c r="P2312" i="1" s="1"/>
  <c r="S2311" i="1"/>
  <c r="O2311" i="1"/>
  <c r="P2311" i="1" s="1"/>
  <c r="S2310" i="1"/>
  <c r="P2310" i="1"/>
  <c r="O2310" i="1"/>
  <c r="S2309" i="1"/>
  <c r="P2309" i="1"/>
  <c r="O2309" i="1"/>
  <c r="S2308" i="1"/>
  <c r="O2308" i="1"/>
  <c r="P2308" i="1" s="1"/>
  <c r="S2307" i="1"/>
  <c r="O2307" i="1"/>
  <c r="P2307" i="1" s="1"/>
  <c r="S2306" i="1"/>
  <c r="O2306" i="1"/>
  <c r="P2306" i="1" s="1"/>
  <c r="S2305" i="1"/>
  <c r="P2305" i="1"/>
  <c r="O2305" i="1"/>
  <c r="S2304" i="1"/>
  <c r="O2304" i="1"/>
  <c r="P2304" i="1" s="1"/>
  <c r="S2303" i="1"/>
  <c r="O2303" i="1"/>
  <c r="P2303" i="1" s="1"/>
  <c r="S2302" i="1"/>
  <c r="O2302" i="1"/>
  <c r="P2302" i="1" s="1"/>
  <c r="S2301" i="1"/>
  <c r="P2301" i="1"/>
  <c r="O2301" i="1"/>
  <c r="S2300" i="1"/>
  <c r="O2300" i="1"/>
  <c r="P2300" i="1" s="1"/>
  <c r="S2299" i="1"/>
  <c r="O2299" i="1"/>
  <c r="P2299" i="1" s="1"/>
  <c r="S2298" i="1"/>
  <c r="O2298" i="1"/>
  <c r="P2298" i="1" s="1"/>
  <c r="S2297" i="1"/>
  <c r="P2297" i="1"/>
  <c r="O2297" i="1"/>
  <c r="S2296" i="1"/>
  <c r="O2296" i="1"/>
  <c r="P2296" i="1" s="1"/>
  <c r="S2295" i="1"/>
  <c r="O2295" i="1"/>
  <c r="P2295" i="1" s="1"/>
  <c r="S2294" i="1"/>
  <c r="O2294" i="1"/>
  <c r="P2294" i="1" s="1"/>
  <c r="S2293" i="1"/>
  <c r="P2293" i="1"/>
  <c r="O2293" i="1"/>
  <c r="S2292" i="1"/>
  <c r="O2292" i="1"/>
  <c r="P2292" i="1" s="1"/>
  <c r="S2291" i="1"/>
  <c r="O2291" i="1"/>
  <c r="P2291" i="1" s="1"/>
  <c r="S2290" i="1"/>
  <c r="O2290" i="1"/>
  <c r="P2290" i="1" s="1"/>
  <c r="S2289" i="1"/>
  <c r="P2289" i="1"/>
  <c r="O2289" i="1"/>
  <c r="S2288" i="1"/>
  <c r="O2288" i="1"/>
  <c r="P2288" i="1" s="1"/>
  <c r="S2287" i="1"/>
  <c r="O2287" i="1"/>
  <c r="P2287" i="1" s="1"/>
  <c r="S2286" i="1"/>
  <c r="O2286" i="1"/>
  <c r="P2286" i="1" s="1"/>
  <c r="S2285" i="1"/>
  <c r="P2285" i="1"/>
  <c r="O2285" i="1"/>
  <c r="S2284" i="1"/>
  <c r="O2284" i="1"/>
  <c r="P2284" i="1" s="1"/>
  <c r="S2283" i="1"/>
  <c r="O2283" i="1"/>
  <c r="P2283" i="1" s="1"/>
  <c r="S2282" i="1"/>
  <c r="O2282" i="1"/>
  <c r="P2282" i="1" s="1"/>
  <c r="S2281" i="1"/>
  <c r="P2281" i="1"/>
  <c r="O2281" i="1"/>
  <c r="S2280" i="1"/>
  <c r="O2280" i="1"/>
  <c r="P2280" i="1" s="1"/>
  <c r="S2279" i="1"/>
  <c r="O2279" i="1"/>
  <c r="P2279" i="1" s="1"/>
  <c r="S2278" i="1"/>
  <c r="O2278" i="1"/>
  <c r="P2278" i="1" s="1"/>
  <c r="S2277" i="1"/>
  <c r="P2277" i="1"/>
  <c r="O2277" i="1"/>
  <c r="S2276" i="1"/>
  <c r="O2276" i="1"/>
  <c r="P2276" i="1" s="1"/>
  <c r="S2275" i="1"/>
  <c r="O2275" i="1"/>
  <c r="P2275" i="1" s="1"/>
  <c r="S2274" i="1"/>
  <c r="O2274" i="1"/>
  <c r="P2274" i="1" s="1"/>
  <c r="S2273" i="1"/>
  <c r="P2273" i="1"/>
  <c r="O2273" i="1"/>
  <c r="S2272" i="1"/>
  <c r="O2272" i="1"/>
  <c r="P2272" i="1" s="1"/>
  <c r="S2271" i="1"/>
  <c r="O2271" i="1"/>
  <c r="P2271" i="1" s="1"/>
  <c r="S2270" i="1"/>
  <c r="O2270" i="1"/>
  <c r="P2270" i="1" s="1"/>
  <c r="S2269" i="1"/>
  <c r="P2269" i="1"/>
  <c r="O2269" i="1"/>
  <c r="S2268" i="1"/>
  <c r="O2268" i="1"/>
  <c r="P2268" i="1" s="1"/>
  <c r="S2267" i="1"/>
  <c r="O2267" i="1"/>
  <c r="P2267" i="1" s="1"/>
  <c r="S2266" i="1"/>
  <c r="O2266" i="1"/>
  <c r="P2266" i="1" s="1"/>
  <c r="S2265" i="1"/>
  <c r="P2265" i="1"/>
  <c r="O2265" i="1"/>
  <c r="S2264" i="1"/>
  <c r="O2264" i="1"/>
  <c r="P2264" i="1" s="1"/>
  <c r="S2263" i="1"/>
  <c r="O2263" i="1"/>
  <c r="P2263" i="1" s="1"/>
  <c r="S2262" i="1"/>
  <c r="O2262" i="1"/>
  <c r="P2262" i="1" s="1"/>
  <c r="S2261" i="1"/>
  <c r="P2261" i="1"/>
  <c r="O2261" i="1"/>
  <c r="S2260" i="1"/>
  <c r="O2260" i="1"/>
  <c r="P2260" i="1" s="1"/>
  <c r="S2259" i="1"/>
  <c r="O2259" i="1"/>
  <c r="P2259" i="1" s="1"/>
  <c r="S2258" i="1"/>
  <c r="O2258" i="1"/>
  <c r="P2258" i="1" s="1"/>
  <c r="S2257" i="1"/>
  <c r="P2257" i="1"/>
  <c r="O2257" i="1"/>
  <c r="S2256" i="1"/>
  <c r="O2256" i="1"/>
  <c r="P2256" i="1" s="1"/>
  <c r="S2255" i="1"/>
  <c r="O2255" i="1"/>
  <c r="P2255" i="1" s="1"/>
  <c r="S2254" i="1"/>
  <c r="O2254" i="1"/>
  <c r="P2254" i="1" s="1"/>
  <c r="S2253" i="1"/>
  <c r="O2253" i="1"/>
  <c r="P2253" i="1" s="1"/>
  <c r="S2252" i="1"/>
  <c r="O2252" i="1"/>
  <c r="P2252" i="1" s="1"/>
  <c r="S2251" i="1"/>
  <c r="O2251" i="1"/>
  <c r="P2251" i="1" s="1"/>
  <c r="S2250" i="1"/>
  <c r="O2250" i="1"/>
  <c r="P2250" i="1" s="1"/>
  <c r="S2249" i="1"/>
  <c r="O2249" i="1"/>
  <c r="P2249" i="1" s="1"/>
  <c r="S2248" i="1"/>
  <c r="O2248" i="1"/>
  <c r="P2248" i="1" s="1"/>
  <c r="S2247" i="1"/>
  <c r="O2247" i="1"/>
  <c r="P2247" i="1" s="1"/>
  <c r="S2246" i="1"/>
  <c r="P2246" i="1"/>
  <c r="O2246" i="1"/>
  <c r="S2245" i="1"/>
  <c r="O2245" i="1"/>
  <c r="P2245" i="1" s="1"/>
  <c r="S2244" i="1"/>
  <c r="O2244" i="1"/>
  <c r="P2244" i="1" s="1"/>
  <c r="S2243" i="1"/>
  <c r="O2243" i="1"/>
  <c r="P2243" i="1" s="1"/>
  <c r="S2242" i="1"/>
  <c r="O2242" i="1"/>
  <c r="P2242" i="1" s="1"/>
  <c r="S2241" i="1"/>
  <c r="O2241" i="1"/>
  <c r="P2241" i="1" s="1"/>
  <c r="S2240" i="1"/>
  <c r="O2240" i="1"/>
  <c r="P2240" i="1" s="1"/>
  <c r="S2239" i="1"/>
  <c r="O2239" i="1"/>
  <c r="P2239" i="1" s="1"/>
  <c r="S2238" i="1"/>
  <c r="O2238" i="1"/>
  <c r="P2238" i="1" s="1"/>
  <c r="S2237" i="1"/>
  <c r="O2237" i="1"/>
  <c r="P2237" i="1" s="1"/>
  <c r="S2236" i="1"/>
  <c r="O2236" i="1"/>
  <c r="P2236" i="1" s="1"/>
  <c r="S2235" i="1"/>
  <c r="O2235" i="1"/>
  <c r="P2235" i="1" s="1"/>
  <c r="S2234" i="1"/>
  <c r="O2234" i="1"/>
  <c r="P2234" i="1" s="1"/>
  <c r="S2233" i="1"/>
  <c r="O2233" i="1"/>
  <c r="P2233" i="1" s="1"/>
  <c r="S2232" i="1"/>
  <c r="O2232" i="1"/>
  <c r="P2232" i="1" s="1"/>
  <c r="S2231" i="1"/>
  <c r="O2231" i="1"/>
  <c r="P2231" i="1" s="1"/>
  <c r="S2230" i="1"/>
  <c r="O2230" i="1"/>
  <c r="P2230" i="1" s="1"/>
  <c r="S2229" i="1"/>
  <c r="O2229" i="1"/>
  <c r="P2229" i="1" s="1"/>
  <c r="S2228" i="1"/>
  <c r="O2228" i="1"/>
  <c r="P2228" i="1" s="1"/>
  <c r="S2227" i="1"/>
  <c r="O2227" i="1"/>
  <c r="P2227" i="1" s="1"/>
  <c r="S2226" i="1"/>
  <c r="O2226" i="1"/>
  <c r="P2226" i="1" s="1"/>
  <c r="S2225" i="1"/>
  <c r="O2225" i="1"/>
  <c r="P2225" i="1" s="1"/>
  <c r="S2224" i="1"/>
  <c r="O2224" i="1"/>
  <c r="P2224" i="1" s="1"/>
  <c r="S2223" i="1"/>
  <c r="O2223" i="1"/>
  <c r="P2223" i="1" s="1"/>
  <c r="S2222" i="1"/>
  <c r="O2222" i="1"/>
  <c r="P2222" i="1" s="1"/>
  <c r="S2221" i="1"/>
  <c r="O2221" i="1"/>
  <c r="P2221" i="1" s="1"/>
  <c r="S2220" i="1"/>
  <c r="O2220" i="1"/>
  <c r="P2220" i="1" s="1"/>
  <c r="S2219" i="1"/>
  <c r="O2219" i="1"/>
  <c r="P2219" i="1" s="1"/>
  <c r="S2218" i="1"/>
  <c r="O2218" i="1"/>
  <c r="P2218" i="1" s="1"/>
  <c r="S2217" i="1"/>
  <c r="O2217" i="1"/>
  <c r="P2217" i="1" s="1"/>
  <c r="S2216" i="1"/>
  <c r="O2216" i="1"/>
  <c r="P2216" i="1" s="1"/>
  <c r="S2215" i="1"/>
  <c r="O2215" i="1"/>
  <c r="P2215" i="1" s="1"/>
  <c r="S2214" i="1"/>
  <c r="O2214" i="1"/>
  <c r="P2214" i="1" s="1"/>
  <c r="S2213" i="1"/>
  <c r="O2213" i="1"/>
  <c r="P2213" i="1" s="1"/>
  <c r="S2212" i="1"/>
  <c r="O2212" i="1"/>
  <c r="P2212" i="1" s="1"/>
  <c r="S2211" i="1"/>
  <c r="O2211" i="1"/>
  <c r="P2211" i="1" s="1"/>
  <c r="S2210" i="1"/>
  <c r="O2210" i="1"/>
  <c r="P2210" i="1" s="1"/>
  <c r="S2209" i="1"/>
  <c r="O2209" i="1"/>
  <c r="P2209" i="1" s="1"/>
  <c r="S2208" i="1"/>
  <c r="O2208" i="1"/>
  <c r="P2208" i="1" s="1"/>
  <c r="S2207" i="1"/>
  <c r="O2207" i="1"/>
  <c r="P2207" i="1" s="1"/>
  <c r="S2206" i="1"/>
  <c r="O2206" i="1"/>
  <c r="P2206" i="1" s="1"/>
  <c r="S2205" i="1"/>
  <c r="O2205" i="1"/>
  <c r="P2205" i="1" s="1"/>
  <c r="S2204" i="1"/>
  <c r="O2204" i="1"/>
  <c r="P2204" i="1" s="1"/>
  <c r="S2203" i="1"/>
  <c r="O2203" i="1"/>
  <c r="P2203" i="1" s="1"/>
  <c r="S2202" i="1"/>
  <c r="O2202" i="1"/>
  <c r="P2202" i="1" s="1"/>
  <c r="S2201" i="1"/>
  <c r="O2201" i="1"/>
  <c r="P2201" i="1" s="1"/>
  <c r="S2200" i="1"/>
  <c r="O2200" i="1"/>
  <c r="P2200" i="1" s="1"/>
  <c r="S2199" i="1"/>
  <c r="O2199" i="1"/>
  <c r="P2199" i="1" s="1"/>
  <c r="S2198" i="1"/>
  <c r="O2198" i="1"/>
  <c r="P2198" i="1" s="1"/>
  <c r="S2197" i="1"/>
  <c r="O2197" i="1"/>
  <c r="P2197" i="1" s="1"/>
  <c r="S2196" i="1"/>
  <c r="O2196" i="1"/>
  <c r="P2196" i="1" s="1"/>
  <c r="S2195" i="1"/>
  <c r="O2195" i="1"/>
  <c r="P2195" i="1" s="1"/>
  <c r="S2194" i="1"/>
  <c r="O2194" i="1"/>
  <c r="P2194" i="1" s="1"/>
  <c r="S2193" i="1"/>
  <c r="O2193" i="1"/>
  <c r="P2193" i="1" s="1"/>
  <c r="S2192" i="1"/>
  <c r="O2192" i="1"/>
  <c r="P2192" i="1" s="1"/>
  <c r="S2191" i="1"/>
  <c r="O2191" i="1"/>
  <c r="P2191" i="1" s="1"/>
  <c r="S2190" i="1"/>
  <c r="O2190" i="1"/>
  <c r="P2190" i="1" s="1"/>
  <c r="S2189" i="1"/>
  <c r="O2189" i="1"/>
  <c r="P2189" i="1" s="1"/>
  <c r="S2188" i="1"/>
  <c r="O2188" i="1"/>
  <c r="P2188" i="1" s="1"/>
  <c r="S2187" i="1"/>
  <c r="O2187" i="1"/>
  <c r="P2187" i="1" s="1"/>
  <c r="S2186" i="1"/>
  <c r="O2186" i="1"/>
  <c r="P2186" i="1" s="1"/>
  <c r="S2185" i="1"/>
  <c r="O2185" i="1"/>
  <c r="P2185" i="1" s="1"/>
  <c r="S2184" i="1"/>
  <c r="O2184" i="1"/>
  <c r="P2184" i="1" s="1"/>
  <c r="S2183" i="1"/>
  <c r="O2183" i="1"/>
  <c r="P2183" i="1" s="1"/>
  <c r="S2182" i="1"/>
  <c r="P2182" i="1"/>
  <c r="O2182" i="1"/>
  <c r="S2181" i="1"/>
  <c r="O2181" i="1"/>
  <c r="P2181" i="1" s="1"/>
  <c r="S2180" i="1"/>
  <c r="O2180" i="1"/>
  <c r="P2180" i="1" s="1"/>
  <c r="S2179" i="1"/>
  <c r="O2179" i="1"/>
  <c r="P2179" i="1" s="1"/>
  <c r="S2178" i="1"/>
  <c r="O2178" i="1"/>
  <c r="P2178" i="1" s="1"/>
  <c r="S2177" i="1"/>
  <c r="O2177" i="1"/>
  <c r="P2177" i="1" s="1"/>
  <c r="S2176" i="1"/>
  <c r="O2176" i="1"/>
  <c r="P2176" i="1" s="1"/>
  <c r="S2175" i="1"/>
  <c r="O2175" i="1"/>
  <c r="P2175" i="1" s="1"/>
  <c r="S2174" i="1"/>
  <c r="O2174" i="1"/>
  <c r="P2174" i="1" s="1"/>
  <c r="S2173" i="1"/>
  <c r="O2173" i="1"/>
  <c r="P2173" i="1" s="1"/>
  <c r="S2172" i="1"/>
  <c r="O2172" i="1"/>
  <c r="P2172" i="1" s="1"/>
  <c r="S2171" i="1"/>
  <c r="O2171" i="1"/>
  <c r="P2171" i="1" s="1"/>
  <c r="S2170" i="1"/>
  <c r="O2170" i="1"/>
  <c r="P2170" i="1" s="1"/>
  <c r="S2169" i="1"/>
  <c r="O2169" i="1"/>
  <c r="P2169" i="1" s="1"/>
  <c r="S2168" i="1"/>
  <c r="O2168" i="1"/>
  <c r="P2168" i="1" s="1"/>
  <c r="S2167" i="1"/>
  <c r="O2167" i="1"/>
  <c r="P2167" i="1" s="1"/>
  <c r="S2166" i="1"/>
  <c r="O2166" i="1"/>
  <c r="P2166" i="1" s="1"/>
  <c r="S2165" i="1"/>
  <c r="O2165" i="1"/>
  <c r="P2165" i="1" s="1"/>
  <c r="S2164" i="1"/>
  <c r="O2164" i="1"/>
  <c r="P2164" i="1" s="1"/>
  <c r="S2163" i="1"/>
  <c r="O2163" i="1"/>
  <c r="P2163" i="1" s="1"/>
  <c r="S2162" i="1"/>
  <c r="O2162" i="1"/>
  <c r="P2162" i="1" s="1"/>
  <c r="S2161" i="1"/>
  <c r="O2161" i="1"/>
  <c r="P2161" i="1" s="1"/>
  <c r="S2160" i="1"/>
  <c r="O2160" i="1"/>
  <c r="P2160" i="1" s="1"/>
  <c r="S2159" i="1"/>
  <c r="O2159" i="1"/>
  <c r="P2159" i="1" s="1"/>
  <c r="S2158" i="1"/>
  <c r="O2158" i="1"/>
  <c r="P2158" i="1" s="1"/>
  <c r="S2157" i="1"/>
  <c r="O2157" i="1"/>
  <c r="P2157" i="1" s="1"/>
  <c r="S2156" i="1"/>
  <c r="O2156" i="1"/>
  <c r="P2156" i="1" s="1"/>
  <c r="S2155" i="1"/>
  <c r="O2155" i="1"/>
  <c r="P2155" i="1" s="1"/>
  <c r="S2154" i="1"/>
  <c r="O2154" i="1"/>
  <c r="P2154" i="1" s="1"/>
  <c r="S2153" i="1"/>
  <c r="O2153" i="1"/>
  <c r="P2153" i="1" s="1"/>
  <c r="S2152" i="1"/>
  <c r="O2152" i="1"/>
  <c r="P2152" i="1" s="1"/>
  <c r="S2151" i="1"/>
  <c r="O2151" i="1"/>
  <c r="P2151" i="1" s="1"/>
  <c r="S2150" i="1"/>
  <c r="O2150" i="1"/>
  <c r="P2150" i="1" s="1"/>
  <c r="S2149" i="1"/>
  <c r="O2149" i="1"/>
  <c r="P2149" i="1" s="1"/>
  <c r="S2148" i="1"/>
  <c r="O2148" i="1"/>
  <c r="P2148" i="1" s="1"/>
  <c r="S2147" i="1"/>
  <c r="O2147" i="1"/>
  <c r="P2147" i="1" s="1"/>
  <c r="S2146" i="1"/>
  <c r="O2146" i="1"/>
  <c r="P2146" i="1" s="1"/>
  <c r="S2145" i="1"/>
  <c r="O2145" i="1"/>
  <c r="P2145" i="1" s="1"/>
  <c r="S2144" i="1"/>
  <c r="O2144" i="1"/>
  <c r="P2144" i="1" s="1"/>
  <c r="S2143" i="1"/>
  <c r="O2143" i="1"/>
  <c r="P2143" i="1" s="1"/>
  <c r="S2142" i="1"/>
  <c r="O2142" i="1"/>
  <c r="P2142" i="1" s="1"/>
  <c r="S2141" i="1"/>
  <c r="O2141" i="1"/>
  <c r="P2141" i="1" s="1"/>
  <c r="S2140" i="1"/>
  <c r="O2140" i="1"/>
  <c r="P2140" i="1" s="1"/>
  <c r="S2139" i="1"/>
  <c r="O2139" i="1"/>
  <c r="P2139" i="1" s="1"/>
  <c r="S2138" i="1"/>
  <c r="O2138" i="1"/>
  <c r="P2138" i="1" s="1"/>
  <c r="S2137" i="1"/>
  <c r="O2137" i="1"/>
  <c r="P2137" i="1" s="1"/>
  <c r="S2136" i="1"/>
  <c r="O2136" i="1"/>
  <c r="P2136" i="1" s="1"/>
  <c r="S2135" i="1"/>
  <c r="O2135" i="1"/>
  <c r="P2135" i="1" s="1"/>
  <c r="S2134" i="1"/>
  <c r="O2134" i="1"/>
  <c r="P2134" i="1" s="1"/>
  <c r="S2133" i="1"/>
  <c r="O2133" i="1"/>
  <c r="P2133" i="1" s="1"/>
  <c r="S2132" i="1"/>
  <c r="O2132" i="1"/>
  <c r="P2132" i="1" s="1"/>
  <c r="S2131" i="1"/>
  <c r="O2131" i="1"/>
  <c r="P2131" i="1" s="1"/>
  <c r="S2130" i="1"/>
  <c r="O2130" i="1"/>
  <c r="P2130" i="1" s="1"/>
  <c r="S2129" i="1"/>
  <c r="O2129" i="1"/>
  <c r="P2129" i="1" s="1"/>
  <c r="S2128" i="1"/>
  <c r="O2128" i="1"/>
  <c r="P2128" i="1" s="1"/>
  <c r="S2127" i="1"/>
  <c r="O2127" i="1"/>
  <c r="P2127" i="1" s="1"/>
  <c r="S2126" i="1"/>
  <c r="O2126" i="1"/>
  <c r="P2126" i="1" s="1"/>
  <c r="S2125" i="1"/>
  <c r="O2125" i="1"/>
  <c r="P2125" i="1" s="1"/>
  <c r="S2124" i="1"/>
  <c r="O2124" i="1"/>
  <c r="P2124" i="1" s="1"/>
  <c r="S2123" i="1"/>
  <c r="O2123" i="1"/>
  <c r="P2123" i="1" s="1"/>
  <c r="S2122" i="1"/>
  <c r="O2122" i="1"/>
  <c r="P2122" i="1" s="1"/>
  <c r="S2121" i="1"/>
  <c r="O2121" i="1"/>
  <c r="P2121" i="1" s="1"/>
  <c r="S2120" i="1"/>
  <c r="O2120" i="1"/>
  <c r="P2120" i="1" s="1"/>
  <c r="S2119" i="1"/>
  <c r="O2119" i="1"/>
  <c r="P2119" i="1" s="1"/>
  <c r="S2118" i="1"/>
  <c r="P2118" i="1"/>
  <c r="O2118" i="1"/>
  <c r="S2117" i="1"/>
  <c r="O2117" i="1"/>
  <c r="P2117" i="1" s="1"/>
  <c r="S2116" i="1"/>
  <c r="O2116" i="1"/>
  <c r="P2116" i="1" s="1"/>
  <c r="S2115" i="1"/>
  <c r="O2115" i="1"/>
  <c r="P2115" i="1" s="1"/>
  <c r="S2114" i="1"/>
  <c r="O2114" i="1"/>
  <c r="P2114" i="1" s="1"/>
  <c r="S2113" i="1"/>
  <c r="O2113" i="1"/>
  <c r="P2113" i="1" s="1"/>
  <c r="S2112" i="1"/>
  <c r="O2112" i="1"/>
  <c r="P2112" i="1" s="1"/>
  <c r="S2111" i="1"/>
  <c r="O2111" i="1"/>
  <c r="P2111" i="1" s="1"/>
  <c r="S2110" i="1"/>
  <c r="O2110" i="1"/>
  <c r="P2110" i="1" s="1"/>
  <c r="S2109" i="1"/>
  <c r="O2109" i="1"/>
  <c r="P2109" i="1" s="1"/>
  <c r="S2108" i="1"/>
  <c r="O2108" i="1"/>
  <c r="P2108" i="1" s="1"/>
  <c r="S2107" i="1"/>
  <c r="O2107" i="1"/>
  <c r="P2107" i="1" s="1"/>
  <c r="S2106" i="1"/>
  <c r="O2106" i="1"/>
  <c r="P2106" i="1" s="1"/>
  <c r="S2105" i="1"/>
  <c r="O2105" i="1"/>
  <c r="P2105" i="1" s="1"/>
  <c r="S2104" i="1"/>
  <c r="O2104" i="1"/>
  <c r="P2104" i="1" s="1"/>
  <c r="S2103" i="1"/>
  <c r="O2103" i="1"/>
  <c r="P2103" i="1" s="1"/>
  <c r="S2102" i="1"/>
  <c r="O2102" i="1"/>
  <c r="P2102" i="1" s="1"/>
  <c r="S2101" i="1"/>
  <c r="O2101" i="1"/>
  <c r="P2101" i="1" s="1"/>
  <c r="S2100" i="1"/>
  <c r="O2100" i="1"/>
  <c r="P2100" i="1" s="1"/>
  <c r="S2099" i="1"/>
  <c r="O2099" i="1"/>
  <c r="P2099" i="1" s="1"/>
  <c r="S2098" i="1"/>
  <c r="O2098" i="1"/>
  <c r="P2098" i="1" s="1"/>
  <c r="S2097" i="1"/>
  <c r="O2097" i="1"/>
  <c r="P2097" i="1" s="1"/>
  <c r="S2096" i="1"/>
  <c r="O2096" i="1"/>
  <c r="P2096" i="1" s="1"/>
  <c r="S2095" i="1"/>
  <c r="O2095" i="1"/>
  <c r="P2095" i="1" s="1"/>
  <c r="S2094" i="1"/>
  <c r="O2094" i="1"/>
  <c r="P2094" i="1" s="1"/>
  <c r="S2093" i="1"/>
  <c r="O2093" i="1"/>
  <c r="P2093" i="1" s="1"/>
  <c r="S2092" i="1"/>
  <c r="O2092" i="1"/>
  <c r="P2092" i="1" s="1"/>
  <c r="S2091" i="1"/>
  <c r="O2091" i="1"/>
  <c r="P2091" i="1" s="1"/>
  <c r="S2090" i="1"/>
  <c r="O2090" i="1"/>
  <c r="P2090" i="1" s="1"/>
  <c r="S2089" i="1"/>
  <c r="O2089" i="1"/>
  <c r="P2089" i="1" s="1"/>
  <c r="S2088" i="1"/>
  <c r="O2088" i="1"/>
  <c r="P2088" i="1" s="1"/>
  <c r="S2087" i="1"/>
  <c r="O2087" i="1"/>
  <c r="P2087" i="1" s="1"/>
  <c r="S2086" i="1"/>
  <c r="O2086" i="1"/>
  <c r="P2086" i="1" s="1"/>
  <c r="S2085" i="1"/>
  <c r="O2085" i="1"/>
  <c r="P2085" i="1" s="1"/>
  <c r="S2084" i="1"/>
  <c r="O2084" i="1"/>
  <c r="P2084" i="1" s="1"/>
  <c r="S2083" i="1"/>
  <c r="O2083" i="1"/>
  <c r="P2083" i="1" s="1"/>
  <c r="S2082" i="1"/>
  <c r="O2082" i="1"/>
  <c r="P2082" i="1" s="1"/>
  <c r="S2081" i="1"/>
  <c r="O2081" i="1"/>
  <c r="P2081" i="1" s="1"/>
  <c r="S2080" i="1"/>
  <c r="O2080" i="1"/>
  <c r="P2080" i="1" s="1"/>
  <c r="S2079" i="1"/>
  <c r="O2079" i="1"/>
  <c r="P2079" i="1" s="1"/>
  <c r="S2078" i="1"/>
  <c r="O2078" i="1"/>
  <c r="P2078" i="1" s="1"/>
  <c r="S2077" i="1"/>
  <c r="O2077" i="1"/>
  <c r="P2077" i="1" s="1"/>
  <c r="S2076" i="1"/>
  <c r="O2076" i="1"/>
  <c r="P2076" i="1" s="1"/>
  <c r="S2075" i="1"/>
  <c r="O2075" i="1"/>
  <c r="P2075" i="1" s="1"/>
  <c r="S2074" i="1"/>
  <c r="O2074" i="1"/>
  <c r="P2074" i="1" s="1"/>
  <c r="S2073" i="1"/>
  <c r="O2073" i="1"/>
  <c r="P2073" i="1" s="1"/>
  <c r="S2072" i="1"/>
  <c r="O2072" i="1"/>
  <c r="P2072" i="1" s="1"/>
  <c r="S2071" i="1"/>
  <c r="O2071" i="1"/>
  <c r="P2071" i="1" s="1"/>
  <c r="S2070" i="1"/>
  <c r="O2070" i="1"/>
  <c r="P2070" i="1" s="1"/>
  <c r="S2069" i="1"/>
  <c r="O2069" i="1"/>
  <c r="P2069" i="1" s="1"/>
  <c r="S2068" i="1"/>
  <c r="O2068" i="1"/>
  <c r="P2068" i="1" s="1"/>
  <c r="S2067" i="1"/>
  <c r="O2067" i="1"/>
  <c r="P2067" i="1" s="1"/>
  <c r="S2066" i="1"/>
  <c r="O2066" i="1"/>
  <c r="P2066" i="1" s="1"/>
  <c r="S2065" i="1"/>
  <c r="O2065" i="1"/>
  <c r="P2065" i="1" s="1"/>
  <c r="S2064" i="1"/>
  <c r="O2064" i="1"/>
  <c r="P2064" i="1" s="1"/>
  <c r="S2063" i="1"/>
  <c r="O2063" i="1"/>
  <c r="P2063" i="1" s="1"/>
  <c r="S2062" i="1"/>
  <c r="O2062" i="1"/>
  <c r="P2062" i="1" s="1"/>
  <c r="S2061" i="1"/>
  <c r="O2061" i="1"/>
  <c r="P2061" i="1" s="1"/>
  <c r="S2060" i="1"/>
  <c r="O2060" i="1"/>
  <c r="P2060" i="1" s="1"/>
  <c r="S2059" i="1"/>
  <c r="O2059" i="1"/>
  <c r="P2059" i="1" s="1"/>
  <c r="S2058" i="1"/>
  <c r="O2058" i="1"/>
  <c r="P2058" i="1" s="1"/>
  <c r="S2057" i="1"/>
  <c r="O2057" i="1"/>
  <c r="P2057" i="1" s="1"/>
  <c r="S2056" i="1"/>
  <c r="O2056" i="1"/>
  <c r="P2056" i="1" s="1"/>
  <c r="S2055" i="1"/>
  <c r="P2055" i="1"/>
  <c r="O2055" i="1"/>
  <c r="S2054" i="1"/>
  <c r="P2054" i="1"/>
  <c r="O2054" i="1"/>
  <c r="S2053" i="1"/>
  <c r="O2053" i="1"/>
  <c r="P2053" i="1" s="1"/>
  <c r="S2052" i="1"/>
  <c r="O2052" i="1"/>
  <c r="P2052" i="1" s="1"/>
  <c r="S2051" i="1"/>
  <c r="P2051" i="1"/>
  <c r="O2051" i="1"/>
  <c r="S2050" i="1"/>
  <c r="O2050" i="1"/>
  <c r="P2050" i="1" s="1"/>
  <c r="S2049" i="1"/>
  <c r="O2049" i="1"/>
  <c r="P2049" i="1" s="1"/>
  <c r="S2048" i="1"/>
  <c r="O2048" i="1"/>
  <c r="P2048" i="1" s="1"/>
  <c r="S2047" i="1"/>
  <c r="O2047" i="1"/>
  <c r="P2047" i="1" s="1"/>
  <c r="S2046" i="1"/>
  <c r="O2046" i="1"/>
  <c r="P2046" i="1" s="1"/>
  <c r="S2045" i="1"/>
  <c r="O2045" i="1"/>
  <c r="P2045" i="1" s="1"/>
  <c r="S2044" i="1"/>
  <c r="O2044" i="1"/>
  <c r="P2044" i="1" s="1"/>
  <c r="S2043" i="1"/>
  <c r="P2043" i="1"/>
  <c r="O2043" i="1"/>
  <c r="S2042" i="1"/>
  <c r="O2042" i="1"/>
  <c r="P2042" i="1" s="1"/>
  <c r="S2041" i="1"/>
  <c r="O2041" i="1"/>
  <c r="P2041" i="1" s="1"/>
  <c r="S2040" i="1"/>
  <c r="O2040" i="1"/>
  <c r="P2040" i="1" s="1"/>
  <c r="S2039" i="1"/>
  <c r="P2039" i="1"/>
  <c r="O2039" i="1"/>
  <c r="S2038" i="1"/>
  <c r="O2038" i="1"/>
  <c r="P2038" i="1" s="1"/>
  <c r="S2037" i="1"/>
  <c r="O2037" i="1"/>
  <c r="P2037" i="1" s="1"/>
  <c r="S2036" i="1"/>
  <c r="O2036" i="1"/>
  <c r="P2036" i="1" s="1"/>
  <c r="S2035" i="1"/>
  <c r="P2035" i="1"/>
  <c r="O2035" i="1"/>
  <c r="S2034" i="1"/>
  <c r="O2034" i="1"/>
  <c r="P2034" i="1" s="1"/>
  <c r="S2033" i="1"/>
  <c r="O2033" i="1"/>
  <c r="P2033" i="1" s="1"/>
  <c r="S2032" i="1"/>
  <c r="P2032" i="1"/>
  <c r="O2032" i="1"/>
  <c r="S2031" i="1"/>
  <c r="O2031" i="1"/>
  <c r="P2031" i="1" s="1"/>
  <c r="S2030" i="1"/>
  <c r="O2030" i="1"/>
  <c r="P2030" i="1" s="1"/>
  <c r="S2029" i="1"/>
  <c r="P2029" i="1"/>
  <c r="O2029" i="1"/>
  <c r="S2028" i="1"/>
  <c r="P2028" i="1"/>
  <c r="O2028" i="1"/>
  <c r="S2027" i="1"/>
  <c r="O2027" i="1"/>
  <c r="P2027" i="1" s="1"/>
  <c r="S2026" i="1"/>
  <c r="P2026" i="1"/>
  <c r="O2026" i="1"/>
  <c r="S2025" i="1"/>
  <c r="P2025" i="1"/>
  <c r="O2025" i="1"/>
  <c r="S2024" i="1"/>
  <c r="P2024" i="1"/>
  <c r="O2024" i="1"/>
  <c r="S2023" i="1"/>
  <c r="O2023" i="1"/>
  <c r="P2023" i="1" s="1"/>
  <c r="S2022" i="1"/>
  <c r="P2022" i="1"/>
  <c r="O2022" i="1"/>
  <c r="S2021" i="1"/>
  <c r="P2021" i="1"/>
  <c r="O2021" i="1"/>
  <c r="S2020" i="1"/>
  <c r="P2020" i="1"/>
  <c r="O2020" i="1"/>
  <c r="S2019" i="1"/>
  <c r="O2019" i="1"/>
  <c r="P2019" i="1" s="1"/>
  <c r="S2018" i="1"/>
  <c r="P2018" i="1"/>
  <c r="O2018" i="1"/>
  <c r="S2017" i="1"/>
  <c r="P2017" i="1"/>
  <c r="O2017" i="1"/>
  <c r="S2016" i="1"/>
  <c r="P2016" i="1"/>
  <c r="O2016" i="1"/>
  <c r="S2015" i="1"/>
  <c r="O2015" i="1"/>
  <c r="P2015" i="1" s="1"/>
  <c r="S2014" i="1"/>
  <c r="P2014" i="1"/>
  <c r="O2014" i="1"/>
  <c r="S2013" i="1"/>
  <c r="P2013" i="1"/>
  <c r="O2013" i="1"/>
  <c r="S2012" i="1"/>
  <c r="P2012" i="1"/>
  <c r="O2012" i="1"/>
  <c r="S2011" i="1"/>
  <c r="O2011" i="1"/>
  <c r="P2011" i="1" s="1"/>
  <c r="S2010" i="1"/>
  <c r="P2010" i="1"/>
  <c r="O2010" i="1"/>
  <c r="S2009" i="1"/>
  <c r="P2009" i="1"/>
  <c r="O2009" i="1"/>
  <c r="S2008" i="1"/>
  <c r="O2008" i="1"/>
  <c r="P2008" i="1" s="1"/>
  <c r="S2007" i="1"/>
  <c r="O2007" i="1"/>
  <c r="P2007" i="1" s="1"/>
  <c r="S2006" i="1"/>
  <c r="P2006" i="1"/>
  <c r="O2006" i="1"/>
  <c r="S2005" i="1"/>
  <c r="P2005" i="1"/>
  <c r="O2005" i="1"/>
  <c r="S2004" i="1"/>
  <c r="P2004" i="1"/>
  <c r="O2004" i="1"/>
  <c r="S2003" i="1"/>
  <c r="O2003" i="1"/>
  <c r="P2003" i="1" s="1"/>
  <c r="S2002" i="1"/>
  <c r="P2002" i="1"/>
  <c r="O2002" i="1"/>
  <c r="S2001" i="1"/>
  <c r="P2001" i="1"/>
  <c r="O2001" i="1"/>
  <c r="S2000" i="1"/>
  <c r="P2000" i="1"/>
  <c r="O2000" i="1"/>
  <c r="S1999" i="1"/>
  <c r="O1999" i="1"/>
  <c r="P1999" i="1" s="1"/>
  <c r="S1998" i="1"/>
  <c r="P1998" i="1"/>
  <c r="O1998" i="1"/>
  <c r="S1997" i="1"/>
  <c r="P1997" i="1"/>
  <c r="O1997" i="1"/>
  <c r="S1996" i="1"/>
  <c r="P1996" i="1"/>
  <c r="O1996" i="1"/>
  <c r="S1995" i="1"/>
  <c r="O1995" i="1"/>
  <c r="P1995" i="1" s="1"/>
  <c r="S1994" i="1"/>
  <c r="P1994" i="1"/>
  <c r="O1994" i="1"/>
  <c r="S1993" i="1"/>
  <c r="P1993" i="1"/>
  <c r="O1993" i="1"/>
  <c r="S1992" i="1"/>
  <c r="O1992" i="1"/>
  <c r="P1992" i="1" s="1"/>
  <c r="S1991" i="1"/>
  <c r="O1991" i="1"/>
  <c r="P1991" i="1" s="1"/>
  <c r="S1990" i="1"/>
  <c r="P1990" i="1"/>
  <c r="O1990" i="1"/>
  <c r="S1989" i="1"/>
  <c r="P1989" i="1"/>
  <c r="O1989" i="1"/>
  <c r="S1988" i="1"/>
  <c r="O1988" i="1"/>
  <c r="P1988" i="1" s="1"/>
  <c r="S1987" i="1"/>
  <c r="O1987" i="1"/>
  <c r="P1987" i="1" s="1"/>
  <c r="S1986" i="1"/>
  <c r="P1986" i="1"/>
  <c r="O1986" i="1"/>
  <c r="S1985" i="1"/>
  <c r="P1985" i="1"/>
  <c r="O1985" i="1"/>
  <c r="S1984" i="1"/>
  <c r="O1984" i="1"/>
  <c r="P1984" i="1" s="1"/>
  <c r="S1983" i="1"/>
  <c r="O1983" i="1"/>
  <c r="P1983" i="1" s="1"/>
  <c r="S1982" i="1"/>
  <c r="P1982" i="1"/>
  <c r="O1982" i="1"/>
  <c r="S1981" i="1"/>
  <c r="P1981" i="1"/>
  <c r="O1981" i="1"/>
  <c r="S1980" i="1"/>
  <c r="O1980" i="1"/>
  <c r="P1980" i="1" s="1"/>
  <c r="S1979" i="1"/>
  <c r="O1979" i="1"/>
  <c r="P1979" i="1" s="1"/>
  <c r="S1978" i="1"/>
  <c r="P1978" i="1"/>
  <c r="O1978" i="1"/>
  <c r="S1977" i="1"/>
  <c r="P1977" i="1"/>
  <c r="O1977" i="1"/>
  <c r="S1976" i="1"/>
  <c r="O1976" i="1"/>
  <c r="P1976" i="1" s="1"/>
  <c r="S1975" i="1"/>
  <c r="O1975" i="1"/>
  <c r="P1975" i="1" s="1"/>
  <c r="S1974" i="1"/>
  <c r="P1974" i="1"/>
  <c r="O1974" i="1"/>
  <c r="S1973" i="1"/>
  <c r="P1973" i="1"/>
  <c r="O1973" i="1"/>
  <c r="S1972" i="1"/>
  <c r="O1972" i="1"/>
  <c r="P1972" i="1" s="1"/>
  <c r="S1971" i="1"/>
  <c r="O1971" i="1"/>
  <c r="P1971" i="1" s="1"/>
  <c r="S1970" i="1"/>
  <c r="P1970" i="1"/>
  <c r="O1970" i="1"/>
  <c r="S1969" i="1"/>
  <c r="P1969" i="1"/>
  <c r="O1969" i="1"/>
  <c r="S1968" i="1"/>
  <c r="O1968" i="1"/>
  <c r="P1968" i="1" s="1"/>
  <c r="S1967" i="1"/>
  <c r="O1967" i="1"/>
  <c r="P1967" i="1" s="1"/>
  <c r="S1966" i="1"/>
  <c r="P1966" i="1"/>
  <c r="O1966" i="1"/>
  <c r="S1965" i="1"/>
  <c r="P1965" i="1"/>
  <c r="O1965" i="1"/>
  <c r="S1964" i="1"/>
  <c r="O1964" i="1"/>
  <c r="P1964" i="1" s="1"/>
  <c r="S1963" i="1"/>
  <c r="O1963" i="1"/>
  <c r="P1963" i="1" s="1"/>
  <c r="S1962" i="1"/>
  <c r="P1962" i="1"/>
  <c r="O1962" i="1"/>
  <c r="S1961" i="1"/>
  <c r="P1961" i="1"/>
  <c r="O1961" i="1"/>
  <c r="S1960" i="1"/>
  <c r="O1960" i="1"/>
  <c r="P1960" i="1" s="1"/>
  <c r="S1959" i="1"/>
  <c r="O1959" i="1"/>
  <c r="P1959" i="1" s="1"/>
  <c r="S1958" i="1"/>
  <c r="P1958" i="1"/>
  <c r="O1958" i="1"/>
  <c r="S1957" i="1"/>
  <c r="P1957" i="1"/>
  <c r="O1957" i="1"/>
  <c r="S1956" i="1"/>
  <c r="O1956" i="1"/>
  <c r="P1956" i="1" s="1"/>
  <c r="S1955" i="1"/>
  <c r="O1955" i="1"/>
  <c r="P1955" i="1" s="1"/>
  <c r="S1954" i="1"/>
  <c r="P1954" i="1"/>
  <c r="O1954" i="1"/>
  <c r="S1953" i="1"/>
  <c r="P1953" i="1"/>
  <c r="O1953" i="1"/>
  <c r="S1952" i="1"/>
  <c r="O1952" i="1"/>
  <c r="P1952" i="1" s="1"/>
  <c r="S1951" i="1"/>
  <c r="O1951" i="1"/>
  <c r="P1951" i="1" s="1"/>
  <c r="S1950" i="1"/>
  <c r="P1950" i="1"/>
  <c r="O1950" i="1"/>
  <c r="S1949" i="1"/>
  <c r="P1949" i="1"/>
  <c r="O1949" i="1"/>
  <c r="S1948" i="1"/>
  <c r="O1948" i="1"/>
  <c r="P1948" i="1" s="1"/>
  <c r="S1947" i="1"/>
  <c r="O1947" i="1"/>
  <c r="P1947" i="1" s="1"/>
  <c r="S1946" i="1"/>
  <c r="P1946" i="1"/>
  <c r="O1946" i="1"/>
  <c r="S1945" i="1"/>
  <c r="P1945" i="1"/>
  <c r="O1945" i="1"/>
  <c r="S1944" i="1"/>
  <c r="O1944" i="1"/>
  <c r="P1944" i="1" s="1"/>
  <c r="S1943" i="1"/>
  <c r="O1943" i="1"/>
  <c r="P1943" i="1" s="1"/>
  <c r="S1942" i="1"/>
  <c r="P1942" i="1"/>
  <c r="O1942" i="1"/>
  <c r="S1941" i="1"/>
  <c r="P1941" i="1"/>
  <c r="O1941" i="1"/>
  <c r="S1940" i="1"/>
  <c r="O1940" i="1"/>
  <c r="P1940" i="1" s="1"/>
  <c r="S1939" i="1"/>
  <c r="O1939" i="1"/>
  <c r="P1939" i="1" s="1"/>
  <c r="S1938" i="1"/>
  <c r="P1938" i="1"/>
  <c r="O1938" i="1"/>
  <c r="S1937" i="1"/>
  <c r="P1937" i="1"/>
  <c r="O1937" i="1"/>
  <c r="S1936" i="1"/>
  <c r="O1936" i="1"/>
  <c r="P1936" i="1" s="1"/>
  <c r="S1935" i="1"/>
  <c r="O1935" i="1"/>
  <c r="P1935" i="1" s="1"/>
  <c r="S1934" i="1"/>
  <c r="P1934" i="1"/>
  <c r="O1934" i="1"/>
  <c r="S1933" i="1"/>
  <c r="P1933" i="1"/>
  <c r="O1933" i="1"/>
  <c r="S1932" i="1"/>
  <c r="O1932" i="1"/>
  <c r="P1932" i="1" s="1"/>
  <c r="S1931" i="1"/>
  <c r="O1931" i="1"/>
  <c r="P1931" i="1" s="1"/>
  <c r="S1930" i="1"/>
  <c r="P1930" i="1"/>
  <c r="O1930" i="1"/>
  <c r="S1929" i="1"/>
  <c r="O1929" i="1"/>
  <c r="P1929" i="1" s="1"/>
  <c r="S1928" i="1"/>
  <c r="O1928" i="1"/>
  <c r="P1928" i="1" s="1"/>
  <c r="S1927" i="1"/>
  <c r="O1927" i="1"/>
  <c r="P1927" i="1" s="1"/>
  <c r="S1926" i="1"/>
  <c r="P1926" i="1"/>
  <c r="O1926" i="1"/>
  <c r="S1925" i="1"/>
  <c r="O1925" i="1"/>
  <c r="P1925" i="1" s="1"/>
  <c r="S1924" i="1"/>
  <c r="O1924" i="1"/>
  <c r="P1924" i="1" s="1"/>
  <c r="S1923" i="1"/>
  <c r="O1923" i="1"/>
  <c r="P1923" i="1" s="1"/>
  <c r="S1922" i="1"/>
  <c r="P1922" i="1"/>
  <c r="O1922" i="1"/>
  <c r="S1921" i="1"/>
  <c r="O1921" i="1"/>
  <c r="P1921" i="1" s="1"/>
  <c r="S1920" i="1"/>
  <c r="O1920" i="1"/>
  <c r="P1920" i="1" s="1"/>
  <c r="S1919" i="1"/>
  <c r="O1919" i="1"/>
  <c r="P1919" i="1" s="1"/>
  <c r="S1918" i="1"/>
  <c r="P1918" i="1"/>
  <c r="O1918" i="1"/>
  <c r="S1917" i="1"/>
  <c r="O1917" i="1"/>
  <c r="P1917" i="1" s="1"/>
  <c r="S1916" i="1"/>
  <c r="O1916" i="1"/>
  <c r="P1916" i="1" s="1"/>
  <c r="S1915" i="1"/>
  <c r="O1915" i="1"/>
  <c r="P1915" i="1" s="1"/>
  <c r="S1914" i="1"/>
  <c r="P1914" i="1"/>
  <c r="O1914" i="1"/>
  <c r="S1913" i="1"/>
  <c r="O1913" i="1"/>
  <c r="P1913" i="1" s="1"/>
  <c r="S1912" i="1"/>
  <c r="O1912" i="1"/>
  <c r="P1912" i="1" s="1"/>
  <c r="S1911" i="1"/>
  <c r="O1911" i="1"/>
  <c r="P1911" i="1" s="1"/>
  <c r="S1910" i="1"/>
  <c r="P1910" i="1"/>
  <c r="O1910" i="1"/>
  <c r="S1909" i="1"/>
  <c r="O1909" i="1"/>
  <c r="P1909" i="1" s="1"/>
  <c r="S1908" i="1"/>
  <c r="O1908" i="1"/>
  <c r="P1908" i="1" s="1"/>
  <c r="S1907" i="1"/>
  <c r="O1907" i="1"/>
  <c r="P1907" i="1" s="1"/>
  <c r="S1906" i="1"/>
  <c r="P1906" i="1"/>
  <c r="O1906" i="1"/>
  <c r="S1905" i="1"/>
  <c r="O1905" i="1"/>
  <c r="P1905" i="1" s="1"/>
  <c r="S1904" i="1"/>
  <c r="O1904" i="1"/>
  <c r="P1904" i="1" s="1"/>
  <c r="S1903" i="1"/>
  <c r="O1903" i="1"/>
  <c r="P1903" i="1" s="1"/>
  <c r="S1902" i="1"/>
  <c r="P1902" i="1"/>
  <c r="O1902" i="1"/>
  <c r="S1901" i="1"/>
  <c r="O1901" i="1"/>
  <c r="P1901" i="1" s="1"/>
  <c r="S1900" i="1"/>
  <c r="O1900" i="1"/>
  <c r="P1900" i="1" s="1"/>
  <c r="S1899" i="1"/>
  <c r="O1899" i="1"/>
  <c r="P1899" i="1" s="1"/>
  <c r="S1898" i="1"/>
  <c r="P1898" i="1"/>
  <c r="O1898" i="1"/>
  <c r="S1897" i="1"/>
  <c r="O1897" i="1"/>
  <c r="P1897" i="1" s="1"/>
  <c r="S1896" i="1"/>
  <c r="O1896" i="1"/>
  <c r="P1896" i="1" s="1"/>
  <c r="S1895" i="1"/>
  <c r="O1895" i="1"/>
  <c r="P1895" i="1" s="1"/>
  <c r="S1894" i="1"/>
  <c r="P1894" i="1"/>
  <c r="O1894" i="1"/>
  <c r="S1893" i="1"/>
  <c r="O1893" i="1"/>
  <c r="P1893" i="1" s="1"/>
  <c r="S1892" i="1"/>
  <c r="O1892" i="1"/>
  <c r="P1892" i="1" s="1"/>
  <c r="S1891" i="1"/>
  <c r="O1891" i="1"/>
  <c r="P1891" i="1" s="1"/>
  <c r="S1890" i="1"/>
  <c r="P1890" i="1"/>
  <c r="O1890" i="1"/>
  <c r="S1889" i="1"/>
  <c r="O1889" i="1"/>
  <c r="P1889" i="1" s="1"/>
  <c r="S1888" i="1"/>
  <c r="O1888" i="1"/>
  <c r="P1888" i="1" s="1"/>
  <c r="S1887" i="1"/>
  <c r="O1887" i="1"/>
  <c r="P1887" i="1" s="1"/>
  <c r="S1886" i="1"/>
  <c r="P1886" i="1"/>
  <c r="O1886" i="1"/>
  <c r="S1885" i="1"/>
  <c r="O1885" i="1"/>
  <c r="P1885" i="1" s="1"/>
  <c r="S1884" i="1"/>
  <c r="O1884" i="1"/>
  <c r="P1884" i="1" s="1"/>
  <c r="S1883" i="1"/>
  <c r="O1883" i="1"/>
  <c r="P1883" i="1" s="1"/>
  <c r="S1882" i="1"/>
  <c r="P1882" i="1"/>
  <c r="O1882" i="1"/>
  <c r="S1881" i="1"/>
  <c r="O1881" i="1"/>
  <c r="P1881" i="1" s="1"/>
  <c r="S1880" i="1"/>
  <c r="O1880" i="1"/>
  <c r="P1880" i="1" s="1"/>
  <c r="S1879" i="1"/>
  <c r="O1879" i="1"/>
  <c r="P1879" i="1" s="1"/>
  <c r="S1878" i="1"/>
  <c r="P1878" i="1"/>
  <c r="O1878" i="1"/>
  <c r="S1877" i="1"/>
  <c r="O1877" i="1"/>
  <c r="P1877" i="1" s="1"/>
  <c r="S1876" i="1"/>
  <c r="O1876" i="1"/>
  <c r="P1876" i="1" s="1"/>
  <c r="S1875" i="1"/>
  <c r="O1875" i="1"/>
  <c r="P1875" i="1" s="1"/>
  <c r="S1874" i="1"/>
  <c r="P1874" i="1"/>
  <c r="O1874" i="1"/>
  <c r="S1873" i="1"/>
  <c r="O1873" i="1"/>
  <c r="P1873" i="1" s="1"/>
  <c r="S1872" i="1"/>
  <c r="O1872" i="1"/>
  <c r="P1872" i="1" s="1"/>
  <c r="S1871" i="1"/>
  <c r="O1871" i="1"/>
  <c r="P1871" i="1" s="1"/>
  <c r="S1870" i="1"/>
  <c r="P1870" i="1"/>
  <c r="O1870" i="1"/>
  <c r="S1869" i="1"/>
  <c r="O1869" i="1"/>
  <c r="P1869" i="1" s="1"/>
  <c r="S1868" i="1"/>
  <c r="O1868" i="1"/>
  <c r="P1868" i="1" s="1"/>
  <c r="S1867" i="1"/>
  <c r="O1867" i="1"/>
  <c r="P1867" i="1" s="1"/>
  <c r="S1866" i="1"/>
  <c r="P1866" i="1"/>
  <c r="O1866" i="1"/>
  <c r="S1865" i="1"/>
  <c r="O1865" i="1"/>
  <c r="P1865" i="1" s="1"/>
  <c r="S1864" i="1"/>
  <c r="O1864" i="1"/>
  <c r="P1864" i="1" s="1"/>
  <c r="S1863" i="1"/>
  <c r="O1863" i="1"/>
  <c r="P1863" i="1" s="1"/>
  <c r="S1862" i="1"/>
  <c r="P1862" i="1"/>
  <c r="O1862" i="1"/>
  <c r="S1861" i="1"/>
  <c r="O1861" i="1"/>
  <c r="P1861" i="1" s="1"/>
  <c r="S1860" i="1"/>
  <c r="O1860" i="1"/>
  <c r="P1860" i="1" s="1"/>
  <c r="S1859" i="1"/>
  <c r="O1859" i="1"/>
  <c r="P1859" i="1" s="1"/>
  <c r="S1858" i="1"/>
  <c r="P1858" i="1"/>
  <c r="O1858" i="1"/>
  <c r="S1857" i="1"/>
  <c r="O1857" i="1"/>
  <c r="P1857" i="1" s="1"/>
  <c r="S1856" i="1"/>
  <c r="O1856" i="1"/>
  <c r="P1856" i="1" s="1"/>
  <c r="S1855" i="1"/>
  <c r="O1855" i="1"/>
  <c r="P1855" i="1" s="1"/>
  <c r="S1854" i="1"/>
  <c r="P1854" i="1"/>
  <c r="O1854" i="1"/>
  <c r="S1853" i="1"/>
  <c r="O1853" i="1"/>
  <c r="P1853" i="1" s="1"/>
  <c r="S1852" i="1"/>
  <c r="O1852" i="1"/>
  <c r="P1852" i="1" s="1"/>
  <c r="S1851" i="1"/>
  <c r="O1851" i="1"/>
  <c r="P1851" i="1" s="1"/>
  <c r="S1850" i="1"/>
  <c r="P1850" i="1"/>
  <c r="O1850" i="1"/>
  <c r="S1849" i="1"/>
  <c r="O1849" i="1"/>
  <c r="P1849" i="1" s="1"/>
  <c r="S1848" i="1"/>
  <c r="O1848" i="1"/>
  <c r="P1848" i="1" s="1"/>
  <c r="S1847" i="1"/>
  <c r="O1847" i="1"/>
  <c r="P1847" i="1" s="1"/>
  <c r="S1846" i="1"/>
  <c r="P1846" i="1"/>
  <c r="O1846" i="1"/>
  <c r="S1845" i="1"/>
  <c r="O1845" i="1"/>
  <c r="P1845" i="1" s="1"/>
  <c r="S1844" i="1"/>
  <c r="O1844" i="1"/>
  <c r="P1844" i="1" s="1"/>
  <c r="S1843" i="1"/>
  <c r="O1843" i="1"/>
  <c r="P1843" i="1" s="1"/>
  <c r="S1842" i="1"/>
  <c r="P1842" i="1"/>
  <c r="O1842" i="1"/>
  <c r="S1841" i="1"/>
  <c r="O1841" i="1"/>
  <c r="P1841" i="1" s="1"/>
  <c r="S1840" i="1"/>
  <c r="O1840" i="1"/>
  <c r="P1840" i="1" s="1"/>
  <c r="S1839" i="1"/>
  <c r="O1839" i="1"/>
  <c r="P1839" i="1" s="1"/>
  <c r="S1838" i="1"/>
  <c r="P1838" i="1"/>
  <c r="O1838" i="1"/>
  <c r="S1837" i="1"/>
  <c r="O1837" i="1"/>
  <c r="P1837" i="1" s="1"/>
  <c r="S1836" i="1"/>
  <c r="O1836" i="1"/>
  <c r="P1836" i="1" s="1"/>
  <c r="S1835" i="1"/>
  <c r="O1835" i="1"/>
  <c r="P1835" i="1" s="1"/>
  <c r="S1834" i="1"/>
  <c r="P1834" i="1"/>
  <c r="O1834" i="1"/>
  <c r="S1833" i="1"/>
  <c r="O1833" i="1"/>
  <c r="P1833" i="1" s="1"/>
  <c r="S1832" i="1"/>
  <c r="O1832" i="1"/>
  <c r="P1832" i="1" s="1"/>
  <c r="S1831" i="1"/>
  <c r="O1831" i="1"/>
  <c r="P1831" i="1" s="1"/>
  <c r="S1830" i="1"/>
  <c r="P1830" i="1"/>
  <c r="O1830" i="1"/>
  <c r="S1829" i="1"/>
  <c r="O1829" i="1"/>
  <c r="P1829" i="1" s="1"/>
  <c r="S1828" i="1"/>
  <c r="O1828" i="1"/>
  <c r="P1828" i="1" s="1"/>
  <c r="S1827" i="1"/>
  <c r="O1827" i="1"/>
  <c r="P1827" i="1" s="1"/>
  <c r="S1826" i="1"/>
  <c r="P1826" i="1"/>
  <c r="O1826" i="1"/>
  <c r="S1825" i="1"/>
  <c r="O1825" i="1"/>
  <c r="P1825" i="1" s="1"/>
  <c r="S1824" i="1"/>
  <c r="O1824" i="1"/>
  <c r="P1824" i="1" s="1"/>
  <c r="S1823" i="1"/>
  <c r="O1823" i="1"/>
  <c r="P1823" i="1" s="1"/>
  <c r="S1822" i="1"/>
  <c r="P1822" i="1"/>
  <c r="O1822" i="1"/>
  <c r="S1821" i="1"/>
  <c r="O1821" i="1"/>
  <c r="P1821" i="1" s="1"/>
  <c r="S1820" i="1"/>
  <c r="O1820" i="1"/>
  <c r="P1820" i="1" s="1"/>
  <c r="S1819" i="1"/>
  <c r="O1819" i="1"/>
  <c r="P1819" i="1" s="1"/>
  <c r="S1818" i="1"/>
  <c r="P1818" i="1"/>
  <c r="O1818" i="1"/>
  <c r="S1817" i="1"/>
  <c r="O1817" i="1"/>
  <c r="P1817" i="1" s="1"/>
  <c r="S1816" i="1"/>
  <c r="O1816" i="1"/>
  <c r="P1816" i="1" s="1"/>
  <c r="S1815" i="1"/>
  <c r="O1815" i="1"/>
  <c r="P1815" i="1" s="1"/>
  <c r="S1814" i="1"/>
  <c r="P1814" i="1"/>
  <c r="O1814" i="1"/>
  <c r="S1813" i="1"/>
  <c r="O1813" i="1"/>
  <c r="P1813" i="1" s="1"/>
  <c r="S1812" i="1"/>
  <c r="O1812" i="1"/>
  <c r="P1812" i="1" s="1"/>
  <c r="S1811" i="1"/>
  <c r="O1811" i="1"/>
  <c r="P1811" i="1" s="1"/>
  <c r="S1810" i="1"/>
  <c r="P1810" i="1"/>
  <c r="O1810" i="1"/>
  <c r="S1809" i="1"/>
  <c r="O1809" i="1"/>
  <c r="P1809" i="1" s="1"/>
  <c r="S1808" i="1"/>
  <c r="O1808" i="1"/>
  <c r="P1808" i="1" s="1"/>
  <c r="S1807" i="1"/>
  <c r="O1807" i="1"/>
  <c r="P1807" i="1" s="1"/>
  <c r="S1806" i="1"/>
  <c r="P1806" i="1"/>
  <c r="O1806" i="1"/>
  <c r="S1805" i="1"/>
  <c r="O1805" i="1"/>
  <c r="P1805" i="1" s="1"/>
  <c r="S1804" i="1"/>
  <c r="O1804" i="1"/>
  <c r="P1804" i="1" s="1"/>
  <c r="S1803" i="1"/>
  <c r="O1803" i="1"/>
  <c r="P1803" i="1" s="1"/>
  <c r="S1802" i="1"/>
  <c r="P1802" i="1"/>
  <c r="O1802" i="1"/>
  <c r="S1801" i="1"/>
  <c r="O1801" i="1"/>
  <c r="P1801" i="1" s="1"/>
  <c r="S1800" i="1"/>
  <c r="O1800" i="1"/>
  <c r="P1800" i="1" s="1"/>
  <c r="S1799" i="1"/>
  <c r="O1799" i="1"/>
  <c r="P1799" i="1" s="1"/>
  <c r="S1798" i="1"/>
  <c r="P1798" i="1"/>
  <c r="O1798" i="1"/>
  <c r="S1797" i="1"/>
  <c r="O1797" i="1"/>
  <c r="P1797" i="1" s="1"/>
  <c r="S1796" i="1"/>
  <c r="O1796" i="1"/>
  <c r="P1796" i="1" s="1"/>
  <c r="S1795" i="1"/>
  <c r="O1795" i="1"/>
  <c r="P1795" i="1" s="1"/>
  <c r="S1794" i="1"/>
  <c r="P1794" i="1"/>
  <c r="O1794" i="1"/>
  <c r="S1793" i="1"/>
  <c r="O1793" i="1"/>
  <c r="P1793" i="1" s="1"/>
  <c r="S1792" i="1"/>
  <c r="O1792" i="1"/>
  <c r="P1792" i="1" s="1"/>
  <c r="S1791" i="1"/>
  <c r="O1791" i="1"/>
  <c r="P1791" i="1" s="1"/>
  <c r="S1790" i="1"/>
  <c r="P1790" i="1"/>
  <c r="O1790" i="1"/>
  <c r="S1789" i="1"/>
  <c r="O1789" i="1"/>
  <c r="P1789" i="1" s="1"/>
  <c r="S1788" i="1"/>
  <c r="O1788" i="1"/>
  <c r="P1788" i="1" s="1"/>
  <c r="S1787" i="1"/>
  <c r="O1787" i="1"/>
  <c r="P1787" i="1" s="1"/>
  <c r="S1786" i="1"/>
  <c r="P1786" i="1"/>
  <c r="O1786" i="1"/>
  <c r="S1785" i="1"/>
  <c r="O1785" i="1"/>
  <c r="P1785" i="1" s="1"/>
  <c r="S1784" i="1"/>
  <c r="O1784" i="1"/>
  <c r="P1784" i="1" s="1"/>
  <c r="S1783" i="1"/>
  <c r="O1783" i="1"/>
  <c r="P1783" i="1" s="1"/>
  <c r="S1782" i="1"/>
  <c r="P1782" i="1"/>
  <c r="O1782" i="1"/>
  <c r="S1781" i="1"/>
  <c r="O1781" i="1"/>
  <c r="P1781" i="1" s="1"/>
  <c r="S1780" i="1"/>
  <c r="O1780" i="1"/>
  <c r="P1780" i="1" s="1"/>
  <c r="S1779" i="1"/>
  <c r="O1779" i="1"/>
  <c r="P1779" i="1" s="1"/>
  <c r="S1778" i="1"/>
  <c r="P1778" i="1"/>
  <c r="O1778" i="1"/>
  <c r="S1777" i="1"/>
  <c r="O1777" i="1"/>
  <c r="P1777" i="1" s="1"/>
  <c r="S1776" i="1"/>
  <c r="O1776" i="1"/>
  <c r="P1776" i="1" s="1"/>
  <c r="S1775" i="1"/>
  <c r="O1775" i="1"/>
  <c r="P1775" i="1" s="1"/>
  <c r="S1774" i="1"/>
  <c r="P1774" i="1"/>
  <c r="O1774" i="1"/>
  <c r="S1773" i="1"/>
  <c r="O1773" i="1"/>
  <c r="P1773" i="1" s="1"/>
  <c r="S1772" i="1"/>
  <c r="O1772" i="1"/>
  <c r="P1772" i="1" s="1"/>
  <c r="S1771" i="1"/>
  <c r="O1771" i="1"/>
  <c r="P1771" i="1" s="1"/>
  <c r="S1770" i="1"/>
  <c r="P1770" i="1"/>
  <c r="O1770" i="1"/>
  <c r="S1769" i="1"/>
  <c r="O1769" i="1"/>
  <c r="P1769" i="1" s="1"/>
  <c r="S1768" i="1"/>
  <c r="O1768" i="1"/>
  <c r="P1768" i="1" s="1"/>
  <c r="S1767" i="1"/>
  <c r="O1767" i="1"/>
  <c r="P1767" i="1" s="1"/>
  <c r="S1766" i="1"/>
  <c r="P1766" i="1"/>
  <c r="O1766" i="1"/>
  <c r="S1765" i="1"/>
  <c r="O1765" i="1"/>
  <c r="P1765" i="1" s="1"/>
  <c r="S1764" i="1"/>
  <c r="O1764" i="1"/>
  <c r="P1764" i="1" s="1"/>
  <c r="S1763" i="1"/>
  <c r="O1763" i="1"/>
  <c r="P1763" i="1" s="1"/>
  <c r="S1762" i="1"/>
  <c r="P1762" i="1"/>
  <c r="O1762" i="1"/>
  <c r="S1761" i="1"/>
  <c r="O1761" i="1"/>
  <c r="P1761" i="1" s="1"/>
  <c r="S1760" i="1"/>
  <c r="O1760" i="1"/>
  <c r="P1760" i="1" s="1"/>
  <c r="S1759" i="1"/>
  <c r="O1759" i="1"/>
  <c r="P1759" i="1" s="1"/>
  <c r="S1758" i="1"/>
  <c r="P1758" i="1"/>
  <c r="O1758" i="1"/>
  <c r="S1757" i="1"/>
  <c r="O1757" i="1"/>
  <c r="P1757" i="1" s="1"/>
  <c r="S1756" i="1"/>
  <c r="O1756" i="1"/>
  <c r="P1756" i="1" s="1"/>
  <c r="S1755" i="1"/>
  <c r="O1755" i="1"/>
  <c r="P1755" i="1" s="1"/>
  <c r="S1754" i="1"/>
  <c r="P1754" i="1"/>
  <c r="O1754" i="1"/>
  <c r="S1753" i="1"/>
  <c r="O1753" i="1"/>
  <c r="P1753" i="1" s="1"/>
  <c r="S1752" i="1"/>
  <c r="O1752" i="1"/>
  <c r="P1752" i="1" s="1"/>
  <c r="S1751" i="1"/>
  <c r="O1751" i="1"/>
  <c r="P1751" i="1" s="1"/>
  <c r="S1750" i="1"/>
  <c r="P1750" i="1"/>
  <c r="O1750" i="1"/>
  <c r="S1749" i="1"/>
  <c r="O1749" i="1"/>
  <c r="P1749" i="1" s="1"/>
  <c r="S1748" i="1"/>
  <c r="O1748" i="1"/>
  <c r="P1748" i="1" s="1"/>
  <c r="S1747" i="1"/>
  <c r="O1747" i="1"/>
  <c r="P1747" i="1" s="1"/>
  <c r="S1746" i="1"/>
  <c r="P1746" i="1"/>
  <c r="O1746" i="1"/>
  <c r="S1745" i="1"/>
  <c r="O1745" i="1"/>
  <c r="P1745" i="1" s="1"/>
  <c r="S1744" i="1"/>
  <c r="O1744" i="1"/>
  <c r="P1744" i="1" s="1"/>
  <c r="S1743" i="1"/>
  <c r="O1743" i="1"/>
  <c r="P1743" i="1" s="1"/>
  <c r="S1742" i="1"/>
  <c r="P1742" i="1"/>
  <c r="O1742" i="1"/>
  <c r="S1741" i="1"/>
  <c r="O1741" i="1"/>
  <c r="P1741" i="1" s="1"/>
  <c r="S1740" i="1"/>
  <c r="O1740" i="1"/>
  <c r="P1740" i="1" s="1"/>
  <c r="S1739" i="1"/>
  <c r="O1739" i="1"/>
  <c r="P1739" i="1" s="1"/>
  <c r="S1738" i="1"/>
  <c r="P1738" i="1"/>
  <c r="O1738" i="1"/>
  <c r="S1737" i="1"/>
  <c r="O1737" i="1"/>
  <c r="P1737" i="1" s="1"/>
  <c r="S1736" i="1"/>
  <c r="O1736" i="1"/>
  <c r="P1736" i="1" s="1"/>
  <c r="S1735" i="1"/>
  <c r="O1735" i="1"/>
  <c r="P1735" i="1" s="1"/>
  <c r="S1734" i="1"/>
  <c r="P1734" i="1"/>
  <c r="O1734" i="1"/>
  <c r="S1733" i="1"/>
  <c r="O1733" i="1"/>
  <c r="P1733" i="1" s="1"/>
  <c r="S1732" i="1"/>
  <c r="O1732" i="1"/>
  <c r="P1732" i="1" s="1"/>
  <c r="S1731" i="1"/>
  <c r="O1731" i="1"/>
  <c r="P1731" i="1" s="1"/>
  <c r="S1730" i="1"/>
  <c r="P1730" i="1"/>
  <c r="O1730" i="1"/>
  <c r="S1729" i="1"/>
  <c r="O1729" i="1"/>
  <c r="P1729" i="1" s="1"/>
  <c r="S1728" i="1"/>
  <c r="O1728" i="1"/>
  <c r="P1728" i="1" s="1"/>
  <c r="S1727" i="1"/>
  <c r="O1727" i="1"/>
  <c r="P1727" i="1" s="1"/>
  <c r="S1726" i="1"/>
  <c r="P1726" i="1"/>
  <c r="O1726" i="1"/>
  <c r="S1725" i="1"/>
  <c r="O1725" i="1"/>
  <c r="P1725" i="1" s="1"/>
  <c r="S1724" i="1"/>
  <c r="O1724" i="1"/>
  <c r="P1724" i="1" s="1"/>
  <c r="S1723" i="1"/>
  <c r="O1723" i="1"/>
  <c r="P1723" i="1" s="1"/>
  <c r="S1722" i="1"/>
  <c r="P1722" i="1"/>
  <c r="O1722" i="1"/>
  <c r="S1721" i="1"/>
  <c r="O1721" i="1"/>
  <c r="P1721" i="1" s="1"/>
  <c r="S1720" i="1"/>
  <c r="O1720" i="1"/>
  <c r="P1720" i="1" s="1"/>
  <c r="S1719" i="1"/>
  <c r="O1719" i="1"/>
  <c r="P1719" i="1" s="1"/>
  <c r="S1718" i="1"/>
  <c r="P1718" i="1"/>
  <c r="O1718" i="1"/>
  <c r="S1717" i="1"/>
  <c r="O1717" i="1"/>
  <c r="P1717" i="1" s="1"/>
  <c r="S1716" i="1"/>
  <c r="O1716" i="1"/>
  <c r="P1716" i="1" s="1"/>
  <c r="S1715" i="1"/>
  <c r="O1715" i="1"/>
  <c r="P1715" i="1" s="1"/>
  <c r="S1714" i="1"/>
  <c r="P1714" i="1"/>
  <c r="O1714" i="1"/>
  <c r="S1713" i="1"/>
  <c r="O1713" i="1"/>
  <c r="P1713" i="1" s="1"/>
  <c r="S1712" i="1"/>
  <c r="O1712" i="1"/>
  <c r="P1712" i="1" s="1"/>
  <c r="S1711" i="1"/>
  <c r="O1711" i="1"/>
  <c r="P1711" i="1" s="1"/>
  <c r="S1710" i="1"/>
  <c r="P1710" i="1"/>
  <c r="O1710" i="1"/>
  <c r="S1709" i="1"/>
  <c r="O1709" i="1"/>
  <c r="P1709" i="1" s="1"/>
  <c r="S1708" i="1"/>
  <c r="O1708" i="1"/>
  <c r="P1708" i="1" s="1"/>
  <c r="S1707" i="1"/>
  <c r="O1707" i="1"/>
  <c r="P1707" i="1" s="1"/>
  <c r="S1706" i="1"/>
  <c r="P1706" i="1"/>
  <c r="O1706" i="1"/>
  <c r="S1705" i="1"/>
  <c r="O1705" i="1"/>
  <c r="P1705" i="1" s="1"/>
  <c r="S1704" i="1"/>
  <c r="O1704" i="1"/>
  <c r="P1704" i="1" s="1"/>
  <c r="S1703" i="1"/>
  <c r="O1703" i="1"/>
  <c r="P1703" i="1" s="1"/>
  <c r="S1702" i="1"/>
  <c r="P1702" i="1"/>
  <c r="O1702" i="1"/>
  <c r="S1701" i="1"/>
  <c r="O1701" i="1"/>
  <c r="P1701" i="1" s="1"/>
  <c r="S1700" i="1"/>
  <c r="O1700" i="1"/>
  <c r="P1700" i="1" s="1"/>
  <c r="S1699" i="1"/>
  <c r="O1699" i="1"/>
  <c r="P1699" i="1" s="1"/>
  <c r="S1698" i="1"/>
  <c r="P1698" i="1"/>
  <c r="O1698" i="1"/>
  <c r="S1697" i="1"/>
  <c r="O1697" i="1"/>
  <c r="P1697" i="1" s="1"/>
  <c r="S1696" i="1"/>
  <c r="O1696" i="1"/>
  <c r="P1696" i="1" s="1"/>
  <c r="S1695" i="1"/>
  <c r="O1695" i="1"/>
  <c r="P1695" i="1" s="1"/>
  <c r="S1694" i="1"/>
  <c r="P1694" i="1"/>
  <c r="O1694" i="1"/>
  <c r="S1693" i="1"/>
  <c r="O1693" i="1"/>
  <c r="P1693" i="1" s="1"/>
  <c r="S1692" i="1"/>
  <c r="O1692" i="1"/>
  <c r="P1692" i="1" s="1"/>
  <c r="S1691" i="1"/>
  <c r="O1691" i="1"/>
  <c r="P1691" i="1" s="1"/>
  <c r="S1690" i="1"/>
  <c r="P1690" i="1"/>
  <c r="O1690" i="1"/>
  <c r="S1689" i="1"/>
  <c r="O1689" i="1"/>
  <c r="P1689" i="1" s="1"/>
  <c r="S1688" i="1"/>
  <c r="O1688" i="1"/>
  <c r="P1688" i="1" s="1"/>
  <c r="S1687" i="1"/>
  <c r="O1687" i="1"/>
  <c r="P1687" i="1" s="1"/>
  <c r="S1686" i="1"/>
  <c r="P1686" i="1"/>
  <c r="O1686" i="1"/>
  <c r="S1685" i="1"/>
  <c r="O1685" i="1"/>
  <c r="P1685" i="1" s="1"/>
  <c r="S1684" i="1"/>
  <c r="O1684" i="1"/>
  <c r="P1684" i="1" s="1"/>
  <c r="S1683" i="1"/>
  <c r="O1683" i="1"/>
  <c r="P1683" i="1" s="1"/>
  <c r="S1682" i="1"/>
  <c r="P1682" i="1"/>
  <c r="O1682" i="1"/>
  <c r="S1681" i="1"/>
  <c r="O1681" i="1"/>
  <c r="P1681" i="1" s="1"/>
  <c r="S1680" i="1"/>
  <c r="O1680" i="1"/>
  <c r="P1680" i="1" s="1"/>
  <c r="S1679" i="1"/>
  <c r="O1679" i="1"/>
  <c r="P1679" i="1" s="1"/>
  <c r="S1678" i="1"/>
  <c r="P1678" i="1"/>
  <c r="O1678" i="1"/>
  <c r="S1677" i="1"/>
  <c r="O1677" i="1"/>
  <c r="P1677" i="1" s="1"/>
  <c r="S1676" i="1"/>
  <c r="O1676" i="1"/>
  <c r="P1676" i="1" s="1"/>
  <c r="S1675" i="1"/>
  <c r="O1675" i="1"/>
  <c r="P1675" i="1" s="1"/>
  <c r="S1674" i="1"/>
  <c r="P1674" i="1"/>
  <c r="O1674" i="1"/>
  <c r="S1673" i="1"/>
  <c r="O1673" i="1"/>
  <c r="P1673" i="1" s="1"/>
  <c r="S1672" i="1"/>
  <c r="O1672" i="1"/>
  <c r="P1672" i="1" s="1"/>
  <c r="S1671" i="1"/>
  <c r="O1671" i="1"/>
  <c r="P1671" i="1" s="1"/>
  <c r="S1670" i="1"/>
  <c r="P1670" i="1"/>
  <c r="O1670" i="1"/>
  <c r="S1669" i="1"/>
  <c r="O1669" i="1"/>
  <c r="P1669" i="1" s="1"/>
  <c r="S1668" i="1"/>
  <c r="O1668" i="1"/>
  <c r="P1668" i="1" s="1"/>
  <c r="S1667" i="1"/>
  <c r="O1667" i="1"/>
  <c r="P1667" i="1" s="1"/>
  <c r="S1666" i="1"/>
  <c r="P1666" i="1"/>
  <c r="O1666" i="1"/>
  <c r="S1665" i="1"/>
  <c r="O1665" i="1"/>
  <c r="P1665" i="1" s="1"/>
  <c r="S1664" i="1"/>
  <c r="O1664" i="1"/>
  <c r="P1664" i="1" s="1"/>
  <c r="S1663" i="1"/>
  <c r="O1663" i="1"/>
  <c r="P1663" i="1" s="1"/>
  <c r="S1662" i="1"/>
  <c r="P1662" i="1"/>
  <c r="O1662" i="1"/>
  <c r="S1661" i="1"/>
  <c r="O1661" i="1"/>
  <c r="P1661" i="1" s="1"/>
  <c r="S1660" i="1"/>
  <c r="O1660" i="1"/>
  <c r="P1660" i="1" s="1"/>
  <c r="S1659" i="1"/>
  <c r="O1659" i="1"/>
  <c r="P1659" i="1" s="1"/>
  <c r="S1658" i="1"/>
  <c r="P1658" i="1"/>
  <c r="O1658" i="1"/>
  <c r="S1657" i="1"/>
  <c r="O1657" i="1"/>
  <c r="P1657" i="1" s="1"/>
  <c r="S1656" i="1"/>
  <c r="O1656" i="1"/>
  <c r="P1656" i="1" s="1"/>
  <c r="S1655" i="1"/>
  <c r="O1655" i="1"/>
  <c r="P1655" i="1" s="1"/>
  <c r="S1654" i="1"/>
  <c r="O1654" i="1"/>
  <c r="P1654" i="1" s="1"/>
  <c r="S1653" i="1"/>
  <c r="O1653" i="1"/>
  <c r="P1653" i="1" s="1"/>
  <c r="S1652" i="1"/>
  <c r="P1652" i="1"/>
  <c r="O1652" i="1"/>
  <c r="S1651" i="1"/>
  <c r="O1651" i="1"/>
  <c r="P1651" i="1" s="1"/>
  <c r="S1650" i="1"/>
  <c r="O1650" i="1"/>
  <c r="P1650" i="1" s="1"/>
  <c r="S1649" i="1"/>
  <c r="O1649" i="1"/>
  <c r="P1649" i="1" s="1"/>
  <c r="S1648" i="1"/>
  <c r="O1648" i="1"/>
  <c r="P1648" i="1" s="1"/>
  <c r="S1647" i="1"/>
  <c r="O1647" i="1"/>
  <c r="P1647" i="1" s="1"/>
  <c r="S1646" i="1"/>
  <c r="O1646" i="1"/>
  <c r="P1646" i="1" s="1"/>
  <c r="S1645" i="1"/>
  <c r="O1645" i="1"/>
  <c r="P1645" i="1" s="1"/>
  <c r="S1644" i="1"/>
  <c r="O1644" i="1"/>
  <c r="P1644" i="1" s="1"/>
  <c r="S1643" i="1"/>
  <c r="O1643" i="1"/>
  <c r="P1643" i="1" s="1"/>
  <c r="S1642" i="1"/>
  <c r="O1642" i="1"/>
  <c r="P1642" i="1" s="1"/>
  <c r="S1641" i="1"/>
  <c r="O1641" i="1"/>
  <c r="P1641" i="1" s="1"/>
  <c r="S1640" i="1"/>
  <c r="O1640" i="1"/>
  <c r="P1640" i="1" s="1"/>
  <c r="S1639" i="1"/>
  <c r="O1639" i="1"/>
  <c r="P1639" i="1" s="1"/>
  <c r="S1638" i="1"/>
  <c r="O1638" i="1"/>
  <c r="P1638" i="1" s="1"/>
  <c r="S1637" i="1"/>
  <c r="O1637" i="1"/>
  <c r="P1637" i="1" s="1"/>
  <c r="S1636" i="1"/>
  <c r="O1636" i="1"/>
  <c r="P1636" i="1" s="1"/>
  <c r="S1635" i="1"/>
  <c r="O1635" i="1"/>
  <c r="P1635" i="1" s="1"/>
  <c r="S1634" i="1"/>
  <c r="O1634" i="1"/>
  <c r="P1634" i="1" s="1"/>
  <c r="S1633" i="1"/>
  <c r="O1633" i="1"/>
  <c r="P1633" i="1" s="1"/>
  <c r="S1632" i="1"/>
  <c r="O1632" i="1"/>
  <c r="P1632" i="1" s="1"/>
  <c r="S1631" i="1"/>
  <c r="O1631" i="1"/>
  <c r="P1631" i="1" s="1"/>
  <c r="S1630" i="1"/>
  <c r="O1630" i="1"/>
  <c r="P1630" i="1" s="1"/>
  <c r="S1629" i="1"/>
  <c r="O1629" i="1"/>
  <c r="P1629" i="1" s="1"/>
  <c r="S1628" i="1"/>
  <c r="O1628" i="1"/>
  <c r="P1628" i="1" s="1"/>
  <c r="S1627" i="1"/>
  <c r="O1627" i="1"/>
  <c r="P1627" i="1" s="1"/>
  <c r="S1626" i="1"/>
  <c r="O1626" i="1"/>
  <c r="P1626" i="1" s="1"/>
  <c r="S1625" i="1"/>
  <c r="O1625" i="1"/>
  <c r="P1625" i="1" s="1"/>
  <c r="S1624" i="1"/>
  <c r="O1624" i="1"/>
  <c r="P1624" i="1" s="1"/>
  <c r="S1623" i="1"/>
  <c r="O1623" i="1"/>
  <c r="P1623" i="1" s="1"/>
  <c r="S1622" i="1"/>
  <c r="O1622" i="1"/>
  <c r="P1622" i="1" s="1"/>
  <c r="S1621" i="1"/>
  <c r="O1621" i="1"/>
  <c r="P1621" i="1" s="1"/>
  <c r="S1620" i="1"/>
  <c r="O1620" i="1"/>
  <c r="P1620" i="1" s="1"/>
  <c r="S1619" i="1"/>
  <c r="O1619" i="1"/>
  <c r="P1619" i="1" s="1"/>
  <c r="S1618" i="1"/>
  <c r="O1618" i="1"/>
  <c r="P1618" i="1" s="1"/>
  <c r="S1617" i="1"/>
  <c r="O1617" i="1"/>
  <c r="P1617" i="1" s="1"/>
  <c r="S1616" i="1"/>
  <c r="O1616" i="1"/>
  <c r="P1616" i="1" s="1"/>
  <c r="S1615" i="1"/>
  <c r="O1615" i="1"/>
  <c r="P1615" i="1" s="1"/>
  <c r="S1614" i="1"/>
  <c r="O1614" i="1"/>
  <c r="P1614" i="1" s="1"/>
  <c r="S1613" i="1"/>
  <c r="O1613" i="1"/>
  <c r="P1613" i="1" s="1"/>
  <c r="S1612" i="1"/>
  <c r="O1612" i="1"/>
  <c r="P1612" i="1" s="1"/>
  <c r="S1611" i="1"/>
  <c r="O1611" i="1"/>
  <c r="P1611" i="1" s="1"/>
  <c r="S1610" i="1"/>
  <c r="O1610" i="1"/>
  <c r="P1610" i="1" s="1"/>
  <c r="S1609" i="1"/>
  <c r="O1609" i="1"/>
  <c r="P1609" i="1" s="1"/>
  <c r="S1608" i="1"/>
  <c r="O1608" i="1"/>
  <c r="P1608" i="1" s="1"/>
  <c r="S1607" i="1"/>
  <c r="O1607" i="1"/>
  <c r="P1607" i="1" s="1"/>
  <c r="S1606" i="1"/>
  <c r="P1606" i="1"/>
  <c r="O1606" i="1"/>
  <c r="S1605" i="1"/>
  <c r="O1605" i="1"/>
  <c r="P1605" i="1" s="1"/>
  <c r="S1604" i="1"/>
  <c r="O1604" i="1"/>
  <c r="P1604" i="1" s="1"/>
  <c r="S1603" i="1"/>
  <c r="O1603" i="1"/>
  <c r="P1603" i="1" s="1"/>
  <c r="S1602" i="1"/>
  <c r="O1602" i="1"/>
  <c r="P1602" i="1" s="1"/>
  <c r="S1601" i="1"/>
  <c r="O1601" i="1"/>
  <c r="P1601" i="1" s="1"/>
  <c r="S1600" i="1"/>
  <c r="O1600" i="1"/>
  <c r="P1600" i="1" s="1"/>
  <c r="S1599" i="1"/>
  <c r="O1599" i="1"/>
  <c r="P1599" i="1" s="1"/>
  <c r="S1598" i="1"/>
  <c r="O1598" i="1"/>
  <c r="P1598" i="1" s="1"/>
  <c r="S1597" i="1"/>
  <c r="O1597" i="1"/>
  <c r="P1597" i="1" s="1"/>
  <c r="S1596" i="1"/>
  <c r="O1596" i="1"/>
  <c r="P1596" i="1" s="1"/>
  <c r="S1595" i="1"/>
  <c r="O1595" i="1"/>
  <c r="P1595" i="1" s="1"/>
  <c r="S1594" i="1"/>
  <c r="O1594" i="1"/>
  <c r="P1594" i="1" s="1"/>
  <c r="S1593" i="1"/>
  <c r="O1593" i="1"/>
  <c r="P1593" i="1" s="1"/>
  <c r="S1592" i="1"/>
  <c r="O1592" i="1"/>
  <c r="P1592" i="1" s="1"/>
  <c r="S1591" i="1"/>
  <c r="O1591" i="1"/>
  <c r="P1591" i="1" s="1"/>
  <c r="S1590" i="1"/>
  <c r="O1590" i="1"/>
  <c r="P1590" i="1" s="1"/>
  <c r="S1589" i="1"/>
  <c r="O1589" i="1"/>
  <c r="P1589" i="1" s="1"/>
  <c r="S1588" i="1"/>
  <c r="O1588" i="1"/>
  <c r="P1588" i="1" s="1"/>
  <c r="S1587" i="1"/>
  <c r="O1587" i="1"/>
  <c r="P1587" i="1" s="1"/>
  <c r="S1586" i="1"/>
  <c r="O1586" i="1"/>
  <c r="P1586" i="1" s="1"/>
  <c r="S1585" i="1"/>
  <c r="O1585" i="1"/>
  <c r="P1585" i="1" s="1"/>
  <c r="S1584" i="1"/>
  <c r="O1584" i="1"/>
  <c r="P1584" i="1" s="1"/>
  <c r="S1583" i="1"/>
  <c r="O1583" i="1"/>
  <c r="P1583" i="1" s="1"/>
  <c r="S1582" i="1"/>
  <c r="O1582" i="1"/>
  <c r="P1582" i="1" s="1"/>
  <c r="S1581" i="1"/>
  <c r="O1581" i="1"/>
  <c r="P1581" i="1" s="1"/>
  <c r="S1580" i="1"/>
  <c r="O1580" i="1"/>
  <c r="P1580" i="1" s="1"/>
  <c r="S1579" i="1"/>
  <c r="O1579" i="1"/>
  <c r="P1579" i="1" s="1"/>
  <c r="S1578" i="1"/>
  <c r="O1578" i="1"/>
  <c r="P1578" i="1" s="1"/>
  <c r="S1577" i="1"/>
  <c r="O1577" i="1"/>
  <c r="P1577" i="1" s="1"/>
  <c r="S1576" i="1"/>
  <c r="O1576" i="1"/>
  <c r="P1576" i="1" s="1"/>
  <c r="S1575" i="1"/>
  <c r="O1575" i="1"/>
  <c r="P1575" i="1" s="1"/>
  <c r="S1574" i="1"/>
  <c r="O1574" i="1"/>
  <c r="P1574" i="1" s="1"/>
  <c r="S1573" i="1"/>
  <c r="O1573" i="1"/>
  <c r="P1573" i="1" s="1"/>
  <c r="S1572" i="1"/>
  <c r="O1572" i="1"/>
  <c r="P1572" i="1" s="1"/>
  <c r="S1571" i="1"/>
  <c r="O1571" i="1"/>
  <c r="P1571" i="1" s="1"/>
  <c r="S1570" i="1"/>
  <c r="O1570" i="1"/>
  <c r="P1570" i="1" s="1"/>
  <c r="S1569" i="1"/>
  <c r="O1569" i="1"/>
  <c r="P1569" i="1" s="1"/>
  <c r="S1568" i="1"/>
  <c r="O1568" i="1"/>
  <c r="P1568" i="1" s="1"/>
  <c r="S1567" i="1"/>
  <c r="O1567" i="1"/>
  <c r="P1567" i="1" s="1"/>
  <c r="S1566" i="1"/>
  <c r="O1566" i="1"/>
  <c r="P1566" i="1" s="1"/>
  <c r="S1565" i="1"/>
  <c r="O1565" i="1"/>
  <c r="P1565" i="1" s="1"/>
  <c r="S1564" i="1"/>
  <c r="O1564" i="1"/>
  <c r="P1564" i="1" s="1"/>
  <c r="S1563" i="1"/>
  <c r="O1563" i="1"/>
  <c r="P1563" i="1" s="1"/>
  <c r="S1562" i="1"/>
  <c r="O1562" i="1"/>
  <c r="P1562" i="1" s="1"/>
  <c r="S1561" i="1"/>
  <c r="O1561" i="1"/>
  <c r="P1561" i="1" s="1"/>
  <c r="S1560" i="1"/>
  <c r="O1560" i="1"/>
  <c r="P1560" i="1" s="1"/>
  <c r="S1559" i="1"/>
  <c r="O1559" i="1"/>
  <c r="P1559" i="1" s="1"/>
  <c r="S1558" i="1"/>
  <c r="O1558" i="1"/>
  <c r="P1558" i="1" s="1"/>
  <c r="S1557" i="1"/>
  <c r="O1557" i="1"/>
  <c r="P1557" i="1" s="1"/>
  <c r="S1556" i="1"/>
  <c r="O1556" i="1"/>
  <c r="P1556" i="1" s="1"/>
  <c r="S1555" i="1"/>
  <c r="O1555" i="1"/>
  <c r="P1555" i="1" s="1"/>
  <c r="S1554" i="1"/>
  <c r="O1554" i="1"/>
  <c r="P1554" i="1" s="1"/>
  <c r="S1553" i="1"/>
  <c r="O1553" i="1"/>
  <c r="P1553" i="1" s="1"/>
  <c r="S1552" i="1"/>
  <c r="O1552" i="1"/>
  <c r="P1552" i="1" s="1"/>
  <c r="S1551" i="1"/>
  <c r="O1551" i="1"/>
  <c r="P1551" i="1" s="1"/>
  <c r="S1550" i="1"/>
  <c r="O1550" i="1"/>
  <c r="P1550" i="1" s="1"/>
  <c r="S1549" i="1"/>
  <c r="O1549" i="1"/>
  <c r="P1549" i="1" s="1"/>
  <c r="S1548" i="1"/>
  <c r="O1548" i="1"/>
  <c r="P1548" i="1" s="1"/>
  <c r="S1547" i="1"/>
  <c r="O1547" i="1"/>
  <c r="P1547" i="1" s="1"/>
  <c r="S1546" i="1"/>
  <c r="O1546" i="1"/>
  <c r="P1546" i="1" s="1"/>
  <c r="S1545" i="1"/>
  <c r="O1545" i="1"/>
  <c r="P1545" i="1" s="1"/>
  <c r="S1544" i="1"/>
  <c r="O1544" i="1"/>
  <c r="P1544" i="1" s="1"/>
  <c r="S1543" i="1"/>
  <c r="O1543" i="1"/>
  <c r="P1543" i="1" s="1"/>
  <c r="S1542" i="1"/>
  <c r="P1542" i="1"/>
  <c r="O1542" i="1"/>
  <c r="S1541" i="1"/>
  <c r="O1541" i="1"/>
  <c r="P1541" i="1" s="1"/>
  <c r="S1540" i="1"/>
  <c r="O1540" i="1"/>
  <c r="P1540" i="1" s="1"/>
  <c r="S1539" i="1"/>
  <c r="O1539" i="1"/>
  <c r="P1539" i="1" s="1"/>
  <c r="S1538" i="1"/>
  <c r="O1538" i="1"/>
  <c r="P1538" i="1" s="1"/>
  <c r="S1537" i="1"/>
  <c r="O1537" i="1"/>
  <c r="P1537" i="1" s="1"/>
  <c r="S1536" i="1"/>
  <c r="O1536" i="1"/>
  <c r="P1536" i="1" s="1"/>
  <c r="S1535" i="1"/>
  <c r="O1535" i="1"/>
  <c r="P1535" i="1" s="1"/>
  <c r="S1534" i="1"/>
  <c r="O1534" i="1"/>
  <c r="P1534" i="1" s="1"/>
  <c r="S1533" i="1"/>
  <c r="O1533" i="1"/>
  <c r="P1533" i="1" s="1"/>
  <c r="S1532" i="1"/>
  <c r="O1532" i="1"/>
  <c r="P1532" i="1" s="1"/>
  <c r="S1531" i="1"/>
  <c r="O1531" i="1"/>
  <c r="P1531" i="1" s="1"/>
  <c r="S1530" i="1"/>
  <c r="O1530" i="1"/>
  <c r="P1530" i="1" s="1"/>
  <c r="S1529" i="1"/>
  <c r="O1529" i="1"/>
  <c r="P1529" i="1" s="1"/>
  <c r="S1528" i="1"/>
  <c r="O1528" i="1"/>
  <c r="P1528" i="1" s="1"/>
  <c r="S1527" i="1"/>
  <c r="O1527" i="1"/>
  <c r="P1527" i="1" s="1"/>
  <c r="S1526" i="1"/>
  <c r="O1526" i="1"/>
  <c r="P1526" i="1" s="1"/>
  <c r="S1525" i="1"/>
  <c r="O1525" i="1"/>
  <c r="P1525" i="1" s="1"/>
  <c r="S1524" i="1"/>
  <c r="O1524" i="1"/>
  <c r="P1524" i="1" s="1"/>
  <c r="S1523" i="1"/>
  <c r="O1523" i="1"/>
  <c r="P1523" i="1" s="1"/>
  <c r="S1522" i="1"/>
  <c r="O1522" i="1"/>
  <c r="P1522" i="1" s="1"/>
  <c r="S1521" i="1"/>
  <c r="O1521" i="1"/>
  <c r="P1521" i="1" s="1"/>
  <c r="S1520" i="1"/>
  <c r="O1520" i="1"/>
  <c r="P1520" i="1" s="1"/>
  <c r="S1519" i="1"/>
  <c r="O1519" i="1"/>
  <c r="P1519" i="1" s="1"/>
  <c r="S1518" i="1"/>
  <c r="O1518" i="1"/>
  <c r="P1518" i="1" s="1"/>
  <c r="S1517" i="1"/>
  <c r="O1517" i="1"/>
  <c r="P1517" i="1" s="1"/>
  <c r="S1516" i="1"/>
  <c r="O1516" i="1"/>
  <c r="P1516" i="1" s="1"/>
  <c r="S1515" i="1"/>
  <c r="O1515" i="1"/>
  <c r="P1515" i="1" s="1"/>
  <c r="S1514" i="1"/>
  <c r="O1514" i="1"/>
  <c r="P1514" i="1" s="1"/>
  <c r="S1513" i="1"/>
  <c r="O1513" i="1"/>
  <c r="P1513" i="1" s="1"/>
  <c r="S1512" i="1"/>
  <c r="O1512" i="1"/>
  <c r="P1512" i="1" s="1"/>
  <c r="S1511" i="1"/>
  <c r="O1511" i="1"/>
  <c r="P1511" i="1" s="1"/>
  <c r="S1510" i="1"/>
  <c r="O1510" i="1"/>
  <c r="P1510" i="1" s="1"/>
  <c r="S1509" i="1"/>
  <c r="O1509" i="1"/>
  <c r="P1509" i="1" s="1"/>
  <c r="S1508" i="1"/>
  <c r="O1508" i="1"/>
  <c r="P1508" i="1" s="1"/>
  <c r="S1507" i="1"/>
  <c r="O1507" i="1"/>
  <c r="P1507" i="1" s="1"/>
  <c r="S1506" i="1"/>
  <c r="O1506" i="1"/>
  <c r="P1506" i="1" s="1"/>
  <c r="S1505" i="1"/>
  <c r="O1505" i="1"/>
  <c r="P1505" i="1" s="1"/>
  <c r="S1504" i="1"/>
  <c r="O1504" i="1"/>
  <c r="P1504" i="1" s="1"/>
  <c r="S1503" i="1"/>
  <c r="O1503" i="1"/>
  <c r="P1503" i="1" s="1"/>
  <c r="S1502" i="1"/>
  <c r="O1502" i="1"/>
  <c r="P1502" i="1" s="1"/>
  <c r="S1501" i="1"/>
  <c r="O1501" i="1"/>
  <c r="P1501" i="1" s="1"/>
  <c r="S1500" i="1"/>
  <c r="O1500" i="1"/>
  <c r="P1500" i="1" s="1"/>
  <c r="S1499" i="1"/>
  <c r="O1499" i="1"/>
  <c r="P1499" i="1" s="1"/>
  <c r="S1498" i="1"/>
  <c r="O1498" i="1"/>
  <c r="P1498" i="1" s="1"/>
  <c r="S1497" i="1"/>
  <c r="O1497" i="1"/>
  <c r="P1497" i="1" s="1"/>
  <c r="S1496" i="1"/>
  <c r="O1496" i="1"/>
  <c r="P1496" i="1" s="1"/>
  <c r="S1495" i="1"/>
  <c r="O1495" i="1"/>
  <c r="P1495" i="1" s="1"/>
  <c r="S1494" i="1"/>
  <c r="O1494" i="1"/>
  <c r="P1494" i="1" s="1"/>
  <c r="S1493" i="1"/>
  <c r="O1493" i="1"/>
  <c r="P1493" i="1" s="1"/>
  <c r="S1492" i="1"/>
  <c r="O1492" i="1"/>
  <c r="P1492" i="1" s="1"/>
  <c r="S1491" i="1"/>
  <c r="O1491" i="1"/>
  <c r="P1491" i="1" s="1"/>
  <c r="S1490" i="1"/>
  <c r="O1490" i="1"/>
  <c r="P1490" i="1" s="1"/>
  <c r="S1489" i="1"/>
  <c r="O1489" i="1"/>
  <c r="P1489" i="1" s="1"/>
  <c r="S1488" i="1"/>
  <c r="O1488" i="1"/>
  <c r="P1488" i="1" s="1"/>
  <c r="S1487" i="1"/>
  <c r="O1487" i="1"/>
  <c r="P1487" i="1" s="1"/>
  <c r="S1486" i="1"/>
  <c r="O1486" i="1"/>
  <c r="P1486" i="1" s="1"/>
  <c r="S1485" i="1"/>
  <c r="O1485" i="1"/>
  <c r="P1485" i="1" s="1"/>
  <c r="S1484" i="1"/>
  <c r="O1484" i="1"/>
  <c r="P1484" i="1" s="1"/>
  <c r="S1483" i="1"/>
  <c r="O1483" i="1"/>
  <c r="P1483" i="1" s="1"/>
  <c r="S1482" i="1"/>
  <c r="O1482" i="1"/>
  <c r="P1482" i="1" s="1"/>
  <c r="S1481" i="1"/>
  <c r="O1481" i="1"/>
  <c r="P1481" i="1" s="1"/>
  <c r="S1480" i="1"/>
  <c r="O1480" i="1"/>
  <c r="P1480" i="1" s="1"/>
  <c r="S1479" i="1"/>
  <c r="O1479" i="1"/>
  <c r="P1479" i="1" s="1"/>
  <c r="S1478" i="1"/>
  <c r="P1478" i="1"/>
  <c r="O1478" i="1"/>
  <c r="S1477" i="1"/>
  <c r="O1477" i="1"/>
  <c r="P1477" i="1" s="1"/>
  <c r="S1476" i="1"/>
  <c r="O1476" i="1"/>
  <c r="P1476" i="1" s="1"/>
  <c r="S1475" i="1"/>
  <c r="O1475" i="1"/>
  <c r="P1475" i="1" s="1"/>
  <c r="S1474" i="1"/>
  <c r="O1474" i="1"/>
  <c r="P1474" i="1" s="1"/>
  <c r="S1473" i="1"/>
  <c r="O1473" i="1"/>
  <c r="P1473" i="1" s="1"/>
  <c r="S1472" i="1"/>
  <c r="O1472" i="1"/>
  <c r="P1472" i="1" s="1"/>
  <c r="S1471" i="1"/>
  <c r="O1471" i="1"/>
  <c r="P1471" i="1" s="1"/>
  <c r="S1470" i="1"/>
  <c r="O1470" i="1"/>
  <c r="P1470" i="1" s="1"/>
  <c r="S1469" i="1"/>
  <c r="O1469" i="1"/>
  <c r="P1469" i="1" s="1"/>
  <c r="S1468" i="1"/>
  <c r="O1468" i="1"/>
  <c r="P1468" i="1" s="1"/>
  <c r="S1467" i="1"/>
  <c r="O1467" i="1"/>
  <c r="P1467" i="1" s="1"/>
  <c r="S1466" i="1"/>
  <c r="O1466" i="1"/>
  <c r="P1466" i="1" s="1"/>
  <c r="S1465" i="1"/>
  <c r="O1465" i="1"/>
  <c r="P1465" i="1" s="1"/>
  <c r="S1464" i="1"/>
  <c r="O1464" i="1"/>
  <c r="P1464" i="1" s="1"/>
  <c r="S1463" i="1"/>
  <c r="O1463" i="1"/>
  <c r="P1463" i="1" s="1"/>
  <c r="S1462" i="1"/>
  <c r="O1462" i="1"/>
  <c r="P1462" i="1" s="1"/>
  <c r="S1461" i="1"/>
  <c r="O1461" i="1"/>
  <c r="P1461" i="1" s="1"/>
  <c r="S1460" i="1"/>
  <c r="O1460" i="1"/>
  <c r="P1460" i="1" s="1"/>
  <c r="S1459" i="1"/>
  <c r="O1459" i="1"/>
  <c r="P1459" i="1" s="1"/>
  <c r="S1458" i="1"/>
  <c r="O1458" i="1"/>
  <c r="P1458" i="1" s="1"/>
  <c r="S1457" i="1"/>
  <c r="O1457" i="1"/>
  <c r="P1457" i="1" s="1"/>
  <c r="S1456" i="1"/>
  <c r="O1456" i="1"/>
  <c r="P1456" i="1" s="1"/>
  <c r="S1455" i="1"/>
  <c r="O1455" i="1"/>
  <c r="P1455" i="1" s="1"/>
  <c r="S1454" i="1"/>
  <c r="O1454" i="1"/>
  <c r="P1454" i="1" s="1"/>
  <c r="S1453" i="1"/>
  <c r="O1453" i="1"/>
  <c r="P1453" i="1" s="1"/>
  <c r="S1452" i="1"/>
  <c r="O1452" i="1"/>
  <c r="P1452" i="1" s="1"/>
  <c r="S1451" i="1"/>
  <c r="O1451" i="1"/>
  <c r="P1451" i="1" s="1"/>
  <c r="S1450" i="1"/>
  <c r="O1450" i="1"/>
  <c r="P1450" i="1" s="1"/>
  <c r="S1449" i="1"/>
  <c r="O1449" i="1"/>
  <c r="P1449" i="1" s="1"/>
  <c r="S1448" i="1"/>
  <c r="O1448" i="1"/>
  <c r="P1448" i="1" s="1"/>
  <c r="S1447" i="1"/>
  <c r="O1447" i="1"/>
  <c r="P1447" i="1" s="1"/>
  <c r="S1446" i="1"/>
  <c r="O1446" i="1"/>
  <c r="P1446" i="1" s="1"/>
  <c r="S1445" i="1"/>
  <c r="O1445" i="1"/>
  <c r="P1445" i="1" s="1"/>
  <c r="S1444" i="1"/>
  <c r="O1444" i="1"/>
  <c r="P1444" i="1" s="1"/>
  <c r="S1443" i="1"/>
  <c r="O1443" i="1"/>
  <c r="P1443" i="1" s="1"/>
  <c r="S1442" i="1"/>
  <c r="O1442" i="1"/>
  <c r="P1442" i="1" s="1"/>
  <c r="S1441" i="1"/>
  <c r="O1441" i="1"/>
  <c r="P1441" i="1" s="1"/>
  <c r="S1440" i="1"/>
  <c r="O1440" i="1"/>
  <c r="P1440" i="1" s="1"/>
  <c r="S1439" i="1"/>
  <c r="O1439" i="1"/>
  <c r="P1439" i="1" s="1"/>
  <c r="S1438" i="1"/>
  <c r="O1438" i="1"/>
  <c r="P1438" i="1" s="1"/>
  <c r="S1437" i="1"/>
  <c r="O1437" i="1"/>
  <c r="P1437" i="1" s="1"/>
  <c r="S1436" i="1"/>
  <c r="O1436" i="1"/>
  <c r="P1436" i="1" s="1"/>
  <c r="S1435" i="1"/>
  <c r="O1435" i="1"/>
  <c r="P1435" i="1" s="1"/>
  <c r="S1434" i="1"/>
  <c r="O1434" i="1"/>
  <c r="P1434" i="1" s="1"/>
  <c r="S1433" i="1"/>
  <c r="P1433" i="1"/>
  <c r="O1433" i="1"/>
  <c r="S1432" i="1"/>
  <c r="O1432" i="1"/>
  <c r="P1432" i="1" s="1"/>
  <c r="S1431" i="1"/>
  <c r="O1431" i="1"/>
  <c r="P1431" i="1" s="1"/>
  <c r="S1430" i="1"/>
  <c r="O1430" i="1"/>
  <c r="P1430" i="1" s="1"/>
  <c r="S1429" i="1"/>
  <c r="O1429" i="1"/>
  <c r="P1429" i="1" s="1"/>
  <c r="S1428" i="1"/>
  <c r="O1428" i="1"/>
  <c r="P1428" i="1" s="1"/>
  <c r="S1427" i="1"/>
  <c r="O1427" i="1"/>
  <c r="P1427" i="1" s="1"/>
  <c r="S1426" i="1"/>
  <c r="O1426" i="1"/>
  <c r="P1426" i="1" s="1"/>
  <c r="S1425" i="1"/>
  <c r="O1425" i="1"/>
  <c r="P1425" i="1" s="1"/>
  <c r="S1424" i="1"/>
  <c r="O1424" i="1"/>
  <c r="P1424" i="1" s="1"/>
  <c r="S1423" i="1"/>
  <c r="O1423" i="1"/>
  <c r="P1423" i="1" s="1"/>
  <c r="S1422" i="1"/>
  <c r="O1422" i="1"/>
  <c r="P1422" i="1" s="1"/>
  <c r="S1421" i="1"/>
  <c r="P1421" i="1"/>
  <c r="O1421" i="1"/>
  <c r="S1420" i="1"/>
  <c r="O1420" i="1"/>
  <c r="P1420" i="1" s="1"/>
  <c r="S1419" i="1"/>
  <c r="O1419" i="1"/>
  <c r="P1419" i="1" s="1"/>
  <c r="S1418" i="1"/>
  <c r="O1418" i="1"/>
  <c r="P1418" i="1" s="1"/>
  <c r="S1417" i="1"/>
  <c r="P1417" i="1"/>
  <c r="O1417" i="1"/>
  <c r="S1416" i="1"/>
  <c r="O1416" i="1"/>
  <c r="P1416" i="1" s="1"/>
  <c r="S1415" i="1"/>
  <c r="O1415" i="1"/>
  <c r="P1415" i="1" s="1"/>
  <c r="S1414" i="1"/>
  <c r="P1414" i="1"/>
  <c r="O1414" i="1"/>
  <c r="S1413" i="1"/>
  <c r="P1413" i="1"/>
  <c r="O1413" i="1"/>
  <c r="S1412" i="1"/>
  <c r="O1412" i="1"/>
  <c r="P1412" i="1" s="1"/>
  <c r="S1411" i="1"/>
  <c r="O1411" i="1"/>
  <c r="P1411" i="1" s="1"/>
  <c r="S1410" i="1"/>
  <c r="O1410" i="1"/>
  <c r="P1410" i="1" s="1"/>
  <c r="S1409" i="1"/>
  <c r="O1409" i="1"/>
  <c r="P1409" i="1" s="1"/>
  <c r="S1408" i="1"/>
  <c r="O1408" i="1"/>
  <c r="P1408" i="1" s="1"/>
  <c r="S1407" i="1"/>
  <c r="O1407" i="1"/>
  <c r="P1407" i="1" s="1"/>
  <c r="S1406" i="1"/>
  <c r="O1406" i="1"/>
  <c r="P1406" i="1" s="1"/>
  <c r="S1405" i="1"/>
  <c r="P1405" i="1"/>
  <c r="O1405" i="1"/>
  <c r="S1404" i="1"/>
  <c r="O1404" i="1"/>
  <c r="P1404" i="1" s="1"/>
  <c r="S1403" i="1"/>
  <c r="O1403" i="1"/>
  <c r="P1403" i="1" s="1"/>
  <c r="S1402" i="1"/>
  <c r="O1402" i="1"/>
  <c r="P1402" i="1" s="1"/>
  <c r="S1401" i="1"/>
  <c r="O1401" i="1"/>
  <c r="P1401" i="1" s="1"/>
  <c r="S1400" i="1"/>
  <c r="O1400" i="1"/>
  <c r="P1400" i="1" s="1"/>
  <c r="S1399" i="1"/>
  <c r="O1399" i="1"/>
  <c r="P1399" i="1" s="1"/>
  <c r="S1398" i="1"/>
  <c r="O1398" i="1"/>
  <c r="P1398" i="1" s="1"/>
  <c r="S1397" i="1"/>
  <c r="P1397" i="1"/>
  <c r="O1397" i="1"/>
  <c r="S1396" i="1"/>
  <c r="O1396" i="1"/>
  <c r="P1396" i="1" s="1"/>
  <c r="S1395" i="1"/>
  <c r="O1395" i="1"/>
  <c r="P1395" i="1" s="1"/>
  <c r="S1394" i="1"/>
  <c r="O1394" i="1"/>
  <c r="P1394" i="1" s="1"/>
  <c r="S1393" i="1"/>
  <c r="O1393" i="1"/>
  <c r="P1393" i="1" s="1"/>
  <c r="S1392" i="1"/>
  <c r="O1392" i="1"/>
  <c r="P1392" i="1" s="1"/>
  <c r="S1391" i="1"/>
  <c r="O1391" i="1"/>
  <c r="P1391" i="1" s="1"/>
  <c r="S1390" i="1"/>
  <c r="O1390" i="1"/>
  <c r="P1390" i="1" s="1"/>
  <c r="S1389" i="1"/>
  <c r="P1389" i="1"/>
  <c r="O1389" i="1"/>
  <c r="S1388" i="1"/>
  <c r="O1388" i="1"/>
  <c r="P1388" i="1" s="1"/>
  <c r="S1387" i="1"/>
  <c r="O1387" i="1"/>
  <c r="P1387" i="1" s="1"/>
  <c r="S1386" i="1"/>
  <c r="O1386" i="1"/>
  <c r="P1386" i="1" s="1"/>
  <c r="S1385" i="1"/>
  <c r="P1385" i="1"/>
  <c r="O1385" i="1"/>
  <c r="S1384" i="1"/>
  <c r="O1384" i="1"/>
  <c r="P1384" i="1" s="1"/>
  <c r="S1383" i="1"/>
  <c r="O1383" i="1"/>
  <c r="P1383" i="1" s="1"/>
  <c r="S1382" i="1"/>
  <c r="P1382" i="1"/>
  <c r="O1382" i="1"/>
  <c r="S1381" i="1"/>
  <c r="P1381" i="1"/>
  <c r="O1381" i="1"/>
  <c r="S1380" i="1"/>
  <c r="O1380" i="1"/>
  <c r="P1380" i="1" s="1"/>
  <c r="S1379" i="1"/>
  <c r="O1379" i="1"/>
  <c r="P1379" i="1" s="1"/>
  <c r="S1378" i="1"/>
  <c r="O1378" i="1"/>
  <c r="P1378" i="1" s="1"/>
  <c r="S1377" i="1"/>
  <c r="P1377" i="1"/>
  <c r="O1377" i="1"/>
  <c r="S1376" i="1"/>
  <c r="O1376" i="1"/>
  <c r="P1376" i="1" s="1"/>
  <c r="S1375" i="1"/>
  <c r="O1375" i="1"/>
  <c r="P1375" i="1" s="1"/>
  <c r="S1374" i="1"/>
  <c r="O1374" i="1"/>
  <c r="P1374" i="1" s="1"/>
  <c r="S1373" i="1"/>
  <c r="O1373" i="1"/>
  <c r="P1373" i="1" s="1"/>
  <c r="S1372" i="1"/>
  <c r="O1372" i="1"/>
  <c r="P1372" i="1" s="1"/>
  <c r="S1371" i="1"/>
  <c r="O1371" i="1"/>
  <c r="P1371" i="1" s="1"/>
  <c r="S1370" i="1"/>
  <c r="P1370" i="1"/>
  <c r="O1370" i="1"/>
  <c r="S1369" i="1"/>
  <c r="O1369" i="1"/>
  <c r="P1369" i="1" s="1"/>
  <c r="S1368" i="1"/>
  <c r="O1368" i="1"/>
  <c r="P1368" i="1" s="1"/>
  <c r="S1367" i="1"/>
  <c r="O1367" i="1"/>
  <c r="P1367" i="1" s="1"/>
  <c r="S1366" i="1"/>
  <c r="O1366" i="1"/>
  <c r="P1366" i="1" s="1"/>
  <c r="S1365" i="1"/>
  <c r="P1365" i="1"/>
  <c r="O1365" i="1"/>
  <c r="S1364" i="1"/>
  <c r="O1364" i="1"/>
  <c r="P1364" i="1" s="1"/>
  <c r="S1363" i="1"/>
  <c r="O1363" i="1"/>
  <c r="P1363" i="1" s="1"/>
  <c r="S1362" i="1"/>
  <c r="O1362" i="1"/>
  <c r="P1362" i="1" s="1"/>
  <c r="S1361" i="1"/>
  <c r="P1361" i="1"/>
  <c r="O1361" i="1"/>
  <c r="S1360" i="1"/>
  <c r="O1360" i="1"/>
  <c r="P1360" i="1" s="1"/>
  <c r="S1359" i="1"/>
  <c r="O1359" i="1"/>
  <c r="P1359" i="1" s="1"/>
  <c r="S1358" i="1"/>
  <c r="P1358" i="1"/>
  <c r="O1358" i="1"/>
  <c r="S1357" i="1"/>
  <c r="P1357" i="1"/>
  <c r="O1357" i="1"/>
  <c r="S1356" i="1"/>
  <c r="O1356" i="1"/>
  <c r="P1356" i="1" s="1"/>
  <c r="S1355" i="1"/>
  <c r="O1355" i="1"/>
  <c r="P1355" i="1" s="1"/>
  <c r="S1354" i="1"/>
  <c r="O1354" i="1"/>
  <c r="P1354" i="1" s="1"/>
  <c r="S1353" i="1"/>
  <c r="P1353" i="1"/>
  <c r="O1353" i="1"/>
  <c r="S1352" i="1"/>
  <c r="O1352" i="1"/>
  <c r="P1352" i="1" s="1"/>
  <c r="S1351" i="1"/>
  <c r="O1351" i="1"/>
  <c r="P1351" i="1" s="1"/>
  <c r="S1350" i="1"/>
  <c r="P1350" i="1"/>
  <c r="O1350" i="1"/>
  <c r="S1349" i="1"/>
  <c r="O1349" i="1"/>
  <c r="P1349" i="1" s="1"/>
  <c r="S1348" i="1"/>
  <c r="O1348" i="1"/>
  <c r="P1348" i="1" s="1"/>
  <c r="S1347" i="1"/>
  <c r="O1347" i="1"/>
  <c r="P1347" i="1" s="1"/>
  <c r="S1346" i="1"/>
  <c r="P1346" i="1"/>
  <c r="O1346" i="1"/>
  <c r="S1345" i="1"/>
  <c r="O1345" i="1"/>
  <c r="P1345" i="1" s="1"/>
  <c r="S1344" i="1"/>
  <c r="O1344" i="1"/>
  <c r="P1344" i="1" s="1"/>
  <c r="S1343" i="1"/>
  <c r="O1343" i="1"/>
  <c r="P1343" i="1" s="1"/>
  <c r="S1342" i="1"/>
  <c r="O1342" i="1"/>
  <c r="P1342" i="1" s="1"/>
  <c r="S1341" i="1"/>
  <c r="P1341" i="1"/>
  <c r="O1341" i="1"/>
  <c r="S1340" i="1"/>
  <c r="O1340" i="1"/>
  <c r="P1340" i="1" s="1"/>
  <c r="S1339" i="1"/>
  <c r="O1339" i="1"/>
  <c r="P1339" i="1" s="1"/>
  <c r="S1338" i="1"/>
  <c r="O1338" i="1"/>
  <c r="P1338" i="1" s="1"/>
  <c r="S1337" i="1"/>
  <c r="P1337" i="1"/>
  <c r="O1337" i="1"/>
  <c r="S1336" i="1"/>
  <c r="O1336" i="1"/>
  <c r="P1336" i="1" s="1"/>
  <c r="S1335" i="1"/>
  <c r="O1335" i="1"/>
  <c r="P1335" i="1" s="1"/>
  <c r="S1334" i="1"/>
  <c r="O1334" i="1"/>
  <c r="P1334" i="1" s="1"/>
  <c r="S1333" i="1"/>
  <c r="P1333" i="1"/>
  <c r="O1333" i="1"/>
  <c r="S1332" i="1"/>
  <c r="O1332" i="1"/>
  <c r="P1332" i="1" s="1"/>
  <c r="S1331" i="1"/>
  <c r="O1331" i="1"/>
  <c r="P1331" i="1" s="1"/>
  <c r="S1330" i="1"/>
  <c r="O1330" i="1"/>
  <c r="P1330" i="1" s="1"/>
  <c r="S1329" i="1"/>
  <c r="P1329" i="1"/>
  <c r="O1329" i="1"/>
  <c r="S1328" i="1"/>
  <c r="O1328" i="1"/>
  <c r="P1328" i="1" s="1"/>
  <c r="S1327" i="1"/>
  <c r="O1327" i="1"/>
  <c r="P1327" i="1" s="1"/>
  <c r="S1326" i="1"/>
  <c r="O1326" i="1"/>
  <c r="P1326" i="1" s="1"/>
  <c r="S1325" i="1"/>
  <c r="O1325" i="1"/>
  <c r="P1325" i="1" s="1"/>
  <c r="S1324" i="1"/>
  <c r="O1324" i="1"/>
  <c r="P1324" i="1" s="1"/>
  <c r="S1323" i="1"/>
  <c r="O1323" i="1"/>
  <c r="P1323" i="1" s="1"/>
  <c r="S1322" i="1"/>
  <c r="P1322" i="1"/>
  <c r="O1322" i="1"/>
  <c r="S1321" i="1"/>
  <c r="O1321" i="1"/>
  <c r="P1321" i="1" s="1"/>
  <c r="S1320" i="1"/>
  <c r="O1320" i="1"/>
  <c r="P1320" i="1" s="1"/>
  <c r="S1319" i="1"/>
  <c r="O1319" i="1"/>
  <c r="P1319" i="1" s="1"/>
  <c r="S1318" i="1"/>
  <c r="O1318" i="1"/>
  <c r="P1318" i="1" s="1"/>
  <c r="S1317" i="1"/>
  <c r="P1317" i="1"/>
  <c r="O1317" i="1"/>
  <c r="S1316" i="1"/>
  <c r="O1316" i="1"/>
  <c r="P1316" i="1" s="1"/>
  <c r="S1315" i="1"/>
  <c r="O1315" i="1"/>
  <c r="P1315" i="1" s="1"/>
  <c r="S1314" i="1"/>
  <c r="O1314" i="1"/>
  <c r="P1314" i="1" s="1"/>
  <c r="S1313" i="1"/>
  <c r="P1313" i="1"/>
  <c r="O1313" i="1"/>
  <c r="S1312" i="1"/>
  <c r="O1312" i="1"/>
  <c r="P1312" i="1" s="1"/>
  <c r="S1311" i="1"/>
  <c r="O1311" i="1"/>
  <c r="P1311" i="1" s="1"/>
  <c r="S1310" i="1"/>
  <c r="O1310" i="1"/>
  <c r="P1310" i="1" s="1"/>
  <c r="S1309" i="1"/>
  <c r="P1309" i="1"/>
  <c r="O1309" i="1"/>
  <c r="S1308" i="1"/>
  <c r="P1308" i="1"/>
  <c r="O1308" i="1"/>
  <c r="S1307" i="1"/>
  <c r="O1307" i="1"/>
  <c r="P1307" i="1" s="1"/>
  <c r="S1306" i="1"/>
  <c r="P1306" i="1"/>
  <c r="O1306" i="1"/>
  <c r="S1305" i="1"/>
  <c r="P1305" i="1"/>
  <c r="O1305" i="1"/>
  <c r="S1304" i="1"/>
  <c r="P1304" i="1"/>
  <c r="O1304" i="1"/>
  <c r="S1303" i="1"/>
  <c r="O1303" i="1"/>
  <c r="P1303" i="1" s="1"/>
  <c r="S1302" i="1"/>
  <c r="O1302" i="1"/>
  <c r="P1302" i="1" s="1"/>
  <c r="S1301" i="1"/>
  <c r="P1301" i="1"/>
  <c r="O1301" i="1"/>
  <c r="S1300" i="1"/>
  <c r="P1300" i="1"/>
  <c r="O1300" i="1"/>
  <c r="S1299" i="1"/>
  <c r="O1299" i="1"/>
  <c r="P1299" i="1" s="1"/>
  <c r="S1298" i="1"/>
  <c r="O1298" i="1"/>
  <c r="P1298" i="1" s="1"/>
  <c r="S1297" i="1"/>
  <c r="P1297" i="1"/>
  <c r="O1297" i="1"/>
  <c r="S1296" i="1"/>
  <c r="P1296" i="1"/>
  <c r="O1296" i="1"/>
  <c r="S1295" i="1"/>
  <c r="O1295" i="1"/>
  <c r="P1295" i="1" s="1"/>
  <c r="S1294" i="1"/>
  <c r="O1294" i="1"/>
  <c r="P1294" i="1" s="1"/>
  <c r="S1293" i="1"/>
  <c r="P1293" i="1"/>
  <c r="O1293" i="1"/>
  <c r="S1292" i="1"/>
  <c r="P1292" i="1"/>
  <c r="O1292" i="1"/>
  <c r="S1291" i="1"/>
  <c r="O1291" i="1"/>
  <c r="P1291" i="1" s="1"/>
  <c r="S1290" i="1"/>
  <c r="O1290" i="1"/>
  <c r="P1290" i="1" s="1"/>
  <c r="S1289" i="1"/>
  <c r="P1289" i="1"/>
  <c r="O1289" i="1"/>
  <c r="S1288" i="1"/>
  <c r="P1288" i="1"/>
  <c r="O1288" i="1"/>
  <c r="S1287" i="1"/>
  <c r="O1287" i="1"/>
  <c r="P1287" i="1" s="1"/>
  <c r="S1286" i="1"/>
  <c r="P1286" i="1"/>
  <c r="O1286" i="1"/>
  <c r="S1285" i="1"/>
  <c r="P1285" i="1"/>
  <c r="O1285" i="1"/>
  <c r="S1284" i="1"/>
  <c r="P1284" i="1"/>
  <c r="O1284" i="1"/>
  <c r="S1283" i="1"/>
  <c r="O1283" i="1"/>
  <c r="P1283" i="1" s="1"/>
  <c r="S1282" i="1"/>
  <c r="P1282" i="1"/>
  <c r="O1282" i="1"/>
  <c r="S1281" i="1"/>
  <c r="P1281" i="1"/>
  <c r="O1281" i="1"/>
  <c r="S1280" i="1"/>
  <c r="P1280" i="1"/>
  <c r="O1280" i="1"/>
  <c r="S1279" i="1"/>
  <c r="O1279" i="1"/>
  <c r="P1279" i="1" s="1"/>
  <c r="S1278" i="1"/>
  <c r="O1278" i="1"/>
  <c r="P1278" i="1" s="1"/>
  <c r="S1277" i="1"/>
  <c r="P1277" i="1"/>
  <c r="O1277" i="1"/>
  <c r="S1276" i="1"/>
  <c r="P1276" i="1"/>
  <c r="O1276" i="1"/>
  <c r="S1275" i="1"/>
  <c r="O1275" i="1"/>
  <c r="P1275" i="1" s="1"/>
  <c r="S1274" i="1"/>
  <c r="O1274" i="1"/>
  <c r="P1274" i="1" s="1"/>
  <c r="S1273" i="1"/>
  <c r="P1273" i="1"/>
  <c r="O1273" i="1"/>
  <c r="S1272" i="1"/>
  <c r="P1272" i="1"/>
  <c r="O1272" i="1"/>
  <c r="S1271" i="1"/>
  <c r="O1271" i="1"/>
  <c r="P1271" i="1" s="1"/>
  <c r="S1270" i="1"/>
  <c r="P1270" i="1"/>
  <c r="O1270" i="1"/>
  <c r="S1269" i="1"/>
  <c r="P1269" i="1"/>
  <c r="O1269" i="1"/>
  <c r="S1268" i="1"/>
  <c r="P1268" i="1"/>
  <c r="O1268" i="1"/>
  <c r="S1267" i="1"/>
  <c r="O1267" i="1"/>
  <c r="P1267" i="1" s="1"/>
  <c r="S1266" i="1"/>
  <c r="P1266" i="1"/>
  <c r="O1266" i="1"/>
  <c r="S1265" i="1"/>
  <c r="P1265" i="1"/>
  <c r="O1265" i="1"/>
  <c r="S1264" i="1"/>
  <c r="P1264" i="1"/>
  <c r="O1264" i="1"/>
  <c r="S1263" i="1"/>
  <c r="O1263" i="1"/>
  <c r="P1263" i="1" s="1"/>
  <c r="S1262" i="1"/>
  <c r="O1262" i="1"/>
  <c r="P1262" i="1" s="1"/>
  <c r="S1261" i="1"/>
  <c r="P1261" i="1"/>
  <c r="O1261" i="1"/>
  <c r="S1260" i="1"/>
  <c r="P1260" i="1"/>
  <c r="O1260" i="1"/>
  <c r="S1259" i="1"/>
  <c r="O1259" i="1"/>
  <c r="P1259" i="1" s="1"/>
  <c r="S1258" i="1"/>
  <c r="P1258" i="1"/>
  <c r="O1258" i="1"/>
  <c r="S1257" i="1"/>
  <c r="P1257" i="1"/>
  <c r="O1257" i="1"/>
  <c r="S1256" i="1"/>
  <c r="P1256" i="1"/>
  <c r="O1256" i="1"/>
  <c r="S1255" i="1"/>
  <c r="O1255" i="1"/>
  <c r="P1255" i="1" s="1"/>
  <c r="S1254" i="1"/>
  <c r="O1254" i="1"/>
  <c r="P1254" i="1" s="1"/>
  <c r="S1253" i="1"/>
  <c r="P1253" i="1"/>
  <c r="O1253" i="1"/>
  <c r="S1252" i="1"/>
  <c r="P1252" i="1"/>
  <c r="O1252" i="1"/>
  <c r="S1251" i="1"/>
  <c r="O1251" i="1"/>
  <c r="P1251" i="1" s="1"/>
  <c r="S1250" i="1"/>
  <c r="O1250" i="1"/>
  <c r="P1250" i="1" s="1"/>
  <c r="S1249" i="1"/>
  <c r="P1249" i="1"/>
  <c r="O1249" i="1"/>
  <c r="S1248" i="1"/>
  <c r="P1248" i="1"/>
  <c r="O1248" i="1"/>
  <c r="S1247" i="1"/>
  <c r="O1247" i="1"/>
  <c r="P1247" i="1" s="1"/>
  <c r="S1246" i="1"/>
  <c r="O1246" i="1"/>
  <c r="P1246" i="1" s="1"/>
  <c r="S1245" i="1"/>
  <c r="P1245" i="1"/>
  <c r="O1245" i="1"/>
  <c r="S1244" i="1"/>
  <c r="P1244" i="1"/>
  <c r="O1244" i="1"/>
  <c r="S1243" i="1"/>
  <c r="O1243" i="1"/>
  <c r="P1243" i="1" s="1"/>
  <c r="S1242" i="1"/>
  <c r="O1242" i="1"/>
  <c r="P1242" i="1" s="1"/>
  <c r="S1241" i="1"/>
  <c r="P1241" i="1"/>
  <c r="O1241" i="1"/>
  <c r="S1240" i="1"/>
  <c r="P1240" i="1"/>
  <c r="O1240" i="1"/>
  <c r="S1239" i="1"/>
  <c r="O1239" i="1"/>
  <c r="P1239" i="1" s="1"/>
  <c r="S1238" i="1"/>
  <c r="O1238" i="1"/>
  <c r="P1238" i="1" s="1"/>
  <c r="S1237" i="1"/>
  <c r="P1237" i="1"/>
  <c r="O1237" i="1"/>
  <c r="S1236" i="1"/>
  <c r="P1236" i="1"/>
  <c r="O1236" i="1"/>
  <c r="S1235" i="1"/>
  <c r="O1235" i="1"/>
  <c r="P1235" i="1" s="1"/>
  <c r="S1234" i="1"/>
  <c r="P1234" i="1"/>
  <c r="O1234" i="1"/>
  <c r="S1233" i="1"/>
  <c r="P1233" i="1"/>
  <c r="O1233" i="1"/>
  <c r="S1232" i="1"/>
  <c r="P1232" i="1"/>
  <c r="O1232" i="1"/>
  <c r="S1231" i="1"/>
  <c r="O1231" i="1"/>
  <c r="P1231" i="1" s="1"/>
  <c r="S1230" i="1"/>
  <c r="P1230" i="1"/>
  <c r="O1230" i="1"/>
  <c r="S1229" i="1"/>
  <c r="P1229" i="1"/>
  <c r="O1229" i="1"/>
  <c r="S1228" i="1"/>
  <c r="P1228" i="1"/>
  <c r="O1228" i="1"/>
  <c r="S1227" i="1"/>
  <c r="O1227" i="1"/>
  <c r="P1227" i="1" s="1"/>
  <c r="S1226" i="1"/>
  <c r="O1226" i="1"/>
  <c r="P1226" i="1" s="1"/>
  <c r="S1225" i="1"/>
  <c r="P1225" i="1"/>
  <c r="O1225" i="1"/>
  <c r="S1224" i="1"/>
  <c r="P1224" i="1"/>
  <c r="O1224" i="1"/>
  <c r="S1223" i="1"/>
  <c r="O1223" i="1"/>
  <c r="P1223" i="1" s="1"/>
  <c r="S1222" i="1"/>
  <c r="P1222" i="1"/>
  <c r="O1222" i="1"/>
  <c r="S1221" i="1"/>
  <c r="P1221" i="1"/>
  <c r="O1221" i="1"/>
  <c r="S1220" i="1"/>
  <c r="P1220" i="1"/>
  <c r="O1220" i="1"/>
  <c r="S1219" i="1"/>
  <c r="O1219" i="1"/>
  <c r="P1219" i="1" s="1"/>
  <c r="S1218" i="1"/>
  <c r="P1218" i="1"/>
  <c r="O1218" i="1"/>
  <c r="S1217" i="1"/>
  <c r="P1217" i="1"/>
  <c r="O1217" i="1"/>
  <c r="S1216" i="1"/>
  <c r="P1216" i="1"/>
  <c r="O1216" i="1"/>
  <c r="S1215" i="1"/>
  <c r="O1215" i="1"/>
  <c r="P1215" i="1" s="1"/>
  <c r="S1214" i="1"/>
  <c r="O1214" i="1"/>
  <c r="P1214" i="1" s="1"/>
  <c r="S1213" i="1"/>
  <c r="P1213" i="1"/>
  <c r="O1213" i="1"/>
  <c r="S1212" i="1"/>
  <c r="P1212" i="1"/>
  <c r="O1212" i="1"/>
  <c r="S1211" i="1"/>
  <c r="O1211" i="1"/>
  <c r="P1211" i="1" s="1"/>
  <c r="S1210" i="1"/>
  <c r="P1210" i="1"/>
  <c r="O1210" i="1"/>
  <c r="S1209" i="1"/>
  <c r="P1209" i="1"/>
  <c r="O1209" i="1"/>
  <c r="S1208" i="1"/>
  <c r="P1208" i="1"/>
  <c r="O1208" i="1"/>
  <c r="S1207" i="1"/>
  <c r="O1207" i="1"/>
  <c r="P1207" i="1" s="1"/>
  <c r="S1206" i="1"/>
  <c r="O1206" i="1"/>
  <c r="P1206" i="1" s="1"/>
  <c r="S1205" i="1"/>
  <c r="P1205" i="1"/>
  <c r="O1205" i="1"/>
  <c r="S1204" i="1"/>
  <c r="P1204" i="1"/>
  <c r="O1204" i="1"/>
  <c r="S1203" i="1"/>
  <c r="O1203" i="1"/>
  <c r="P1203" i="1" s="1"/>
  <c r="S1202" i="1"/>
  <c r="O1202" i="1"/>
  <c r="P1202" i="1" s="1"/>
  <c r="S1201" i="1"/>
  <c r="P1201" i="1"/>
  <c r="O1201" i="1"/>
  <c r="S1200" i="1"/>
  <c r="P1200" i="1"/>
  <c r="O1200" i="1"/>
  <c r="S1199" i="1"/>
  <c r="O1199" i="1"/>
  <c r="P1199" i="1" s="1"/>
  <c r="S1198" i="1"/>
  <c r="O1198" i="1"/>
  <c r="P1198" i="1" s="1"/>
  <c r="S1197" i="1"/>
  <c r="P1197" i="1"/>
  <c r="O1197" i="1"/>
  <c r="S1196" i="1"/>
  <c r="P1196" i="1"/>
  <c r="O1196" i="1"/>
  <c r="S1195" i="1"/>
  <c r="O1195" i="1"/>
  <c r="P1195" i="1" s="1"/>
  <c r="S1194" i="1"/>
  <c r="O1194" i="1"/>
  <c r="P1194" i="1" s="1"/>
  <c r="S1193" i="1"/>
  <c r="P1193" i="1"/>
  <c r="O1193" i="1"/>
  <c r="S1192" i="1"/>
  <c r="P1192" i="1"/>
  <c r="O1192" i="1"/>
  <c r="S1191" i="1"/>
  <c r="O1191" i="1"/>
  <c r="P1191" i="1" s="1"/>
  <c r="S1190" i="1"/>
  <c r="O1190" i="1"/>
  <c r="P1190" i="1" s="1"/>
  <c r="S1189" i="1"/>
  <c r="P1189" i="1"/>
  <c r="O1189" i="1"/>
  <c r="S1188" i="1"/>
  <c r="P1188" i="1"/>
  <c r="O1188" i="1"/>
  <c r="S1187" i="1"/>
  <c r="O1187" i="1"/>
  <c r="P1187" i="1" s="1"/>
  <c r="S1186" i="1"/>
  <c r="P1186" i="1"/>
  <c r="O1186" i="1"/>
  <c r="S1185" i="1"/>
  <c r="P1185" i="1"/>
  <c r="O1185" i="1"/>
  <c r="S1184" i="1"/>
  <c r="P1184" i="1"/>
  <c r="O1184" i="1"/>
  <c r="S1183" i="1"/>
  <c r="O1183" i="1"/>
  <c r="P1183" i="1" s="1"/>
  <c r="S1182" i="1"/>
  <c r="P1182" i="1"/>
  <c r="O1182" i="1"/>
  <c r="S1181" i="1"/>
  <c r="P1181" i="1"/>
  <c r="O1181" i="1"/>
  <c r="S1180" i="1"/>
  <c r="O1180" i="1"/>
  <c r="P1180" i="1" s="1"/>
  <c r="S1179" i="1"/>
  <c r="O1179" i="1"/>
  <c r="P1179" i="1" s="1"/>
  <c r="S1178" i="1"/>
  <c r="P1178" i="1"/>
  <c r="O1178" i="1"/>
  <c r="S1177" i="1"/>
  <c r="P1177" i="1"/>
  <c r="O1177" i="1"/>
  <c r="S1176" i="1"/>
  <c r="O1176" i="1"/>
  <c r="P1176" i="1" s="1"/>
  <c r="S1175" i="1"/>
  <c r="O1175" i="1"/>
  <c r="P1175" i="1" s="1"/>
  <c r="S1174" i="1"/>
  <c r="O1174" i="1"/>
  <c r="P1174" i="1" s="1"/>
  <c r="S1173" i="1"/>
  <c r="P1173" i="1"/>
  <c r="O1173" i="1"/>
  <c r="S1172" i="1"/>
  <c r="O1172" i="1"/>
  <c r="P1172" i="1" s="1"/>
  <c r="S1171" i="1"/>
  <c r="O1171" i="1"/>
  <c r="P1171" i="1" s="1"/>
  <c r="S1170" i="1"/>
  <c r="O1170" i="1"/>
  <c r="P1170" i="1" s="1"/>
  <c r="S1169" i="1"/>
  <c r="P1169" i="1"/>
  <c r="O1169" i="1"/>
  <c r="S1168" i="1"/>
  <c r="O1168" i="1"/>
  <c r="P1168" i="1" s="1"/>
  <c r="S1167" i="1"/>
  <c r="O1167" i="1"/>
  <c r="P1167" i="1" s="1"/>
  <c r="S1166" i="1"/>
  <c r="O1166" i="1"/>
  <c r="P1166" i="1" s="1"/>
  <c r="S1165" i="1"/>
  <c r="P1165" i="1"/>
  <c r="O1165" i="1"/>
  <c r="S1164" i="1"/>
  <c r="O1164" i="1"/>
  <c r="P1164" i="1" s="1"/>
  <c r="S1163" i="1"/>
  <c r="O1163" i="1"/>
  <c r="P1163" i="1" s="1"/>
  <c r="S1162" i="1"/>
  <c r="O1162" i="1"/>
  <c r="P1162" i="1" s="1"/>
  <c r="S1161" i="1"/>
  <c r="P1161" i="1"/>
  <c r="O1161" i="1"/>
  <c r="S1160" i="1"/>
  <c r="O1160" i="1"/>
  <c r="P1160" i="1" s="1"/>
  <c r="S1159" i="1"/>
  <c r="O1159" i="1"/>
  <c r="P1159" i="1" s="1"/>
  <c r="S1158" i="1"/>
  <c r="P1158" i="1"/>
  <c r="O1158" i="1"/>
  <c r="S1157" i="1"/>
  <c r="P1157" i="1"/>
  <c r="O1157" i="1"/>
  <c r="S1156" i="1"/>
  <c r="O1156" i="1"/>
  <c r="P1156" i="1" s="1"/>
  <c r="S1155" i="1"/>
  <c r="O1155" i="1"/>
  <c r="P1155" i="1" s="1"/>
  <c r="S1154" i="1"/>
  <c r="P1154" i="1"/>
  <c r="O1154" i="1"/>
  <c r="S1153" i="1"/>
  <c r="P1153" i="1"/>
  <c r="O1153" i="1"/>
  <c r="S1152" i="1"/>
  <c r="O1152" i="1"/>
  <c r="P1152" i="1" s="1"/>
  <c r="S1151" i="1"/>
  <c r="O1151" i="1"/>
  <c r="P1151" i="1" s="1"/>
  <c r="S1150" i="1"/>
  <c r="O1150" i="1"/>
  <c r="P1150" i="1" s="1"/>
  <c r="S1149" i="1"/>
  <c r="P1149" i="1"/>
  <c r="O1149" i="1"/>
  <c r="S1148" i="1"/>
  <c r="O1148" i="1"/>
  <c r="P1148" i="1" s="1"/>
  <c r="S1147" i="1"/>
  <c r="O1147" i="1"/>
  <c r="P1147" i="1" s="1"/>
  <c r="S1146" i="1"/>
  <c r="O1146" i="1"/>
  <c r="P1146" i="1" s="1"/>
  <c r="S1145" i="1"/>
  <c r="P1145" i="1"/>
  <c r="O1145" i="1"/>
  <c r="S1144" i="1"/>
  <c r="O1144" i="1"/>
  <c r="P1144" i="1" s="1"/>
  <c r="S1143" i="1"/>
  <c r="O1143" i="1"/>
  <c r="P1143" i="1" s="1"/>
  <c r="S1142" i="1"/>
  <c r="O1142" i="1"/>
  <c r="P1142" i="1" s="1"/>
  <c r="S1141" i="1"/>
  <c r="P1141" i="1"/>
  <c r="O1141" i="1"/>
  <c r="S1140" i="1"/>
  <c r="O1140" i="1"/>
  <c r="P1140" i="1" s="1"/>
  <c r="S1139" i="1"/>
  <c r="O1139" i="1"/>
  <c r="P1139" i="1" s="1"/>
  <c r="S1138" i="1"/>
  <c r="O1138" i="1"/>
  <c r="P1138" i="1" s="1"/>
  <c r="S1137" i="1"/>
  <c r="P1137" i="1"/>
  <c r="O1137" i="1"/>
  <c r="S1136" i="1"/>
  <c r="O1136" i="1"/>
  <c r="P1136" i="1" s="1"/>
  <c r="S1135" i="1"/>
  <c r="O1135" i="1"/>
  <c r="P1135" i="1" s="1"/>
  <c r="S1134" i="1"/>
  <c r="P1134" i="1"/>
  <c r="O1134" i="1"/>
  <c r="S1133" i="1"/>
  <c r="P1133" i="1"/>
  <c r="O1133" i="1"/>
  <c r="S1132" i="1"/>
  <c r="O1132" i="1"/>
  <c r="P1132" i="1" s="1"/>
  <c r="S1131" i="1"/>
  <c r="O1131" i="1"/>
  <c r="P1131" i="1" s="1"/>
  <c r="S1130" i="1"/>
  <c r="P1130" i="1"/>
  <c r="O1130" i="1"/>
  <c r="S1129" i="1"/>
  <c r="P1129" i="1"/>
  <c r="O1129" i="1"/>
  <c r="S1128" i="1"/>
  <c r="O1128" i="1"/>
  <c r="P1128" i="1" s="1"/>
  <c r="S1127" i="1"/>
  <c r="O1127" i="1"/>
  <c r="P1127" i="1" s="1"/>
  <c r="S1126" i="1"/>
  <c r="O1126" i="1"/>
  <c r="P1126" i="1" s="1"/>
  <c r="S1125" i="1"/>
  <c r="P1125" i="1"/>
  <c r="O1125" i="1"/>
  <c r="S1124" i="1"/>
  <c r="O1124" i="1"/>
  <c r="P1124" i="1" s="1"/>
  <c r="S1123" i="1"/>
  <c r="O1123" i="1"/>
  <c r="P1123" i="1" s="1"/>
  <c r="S1122" i="1"/>
  <c r="O1122" i="1"/>
  <c r="P1122" i="1" s="1"/>
  <c r="S1121" i="1"/>
  <c r="P1121" i="1"/>
  <c r="O1121" i="1"/>
  <c r="S1120" i="1"/>
  <c r="O1120" i="1"/>
  <c r="P1120" i="1" s="1"/>
  <c r="S1119" i="1"/>
  <c r="O1119" i="1"/>
  <c r="P1119" i="1" s="1"/>
  <c r="S1118" i="1"/>
  <c r="O1118" i="1"/>
  <c r="P1118" i="1" s="1"/>
  <c r="S1117" i="1"/>
  <c r="P1117" i="1"/>
  <c r="O1117" i="1"/>
  <c r="S1116" i="1"/>
  <c r="O1116" i="1"/>
  <c r="P1116" i="1" s="1"/>
  <c r="S1115" i="1"/>
  <c r="O1115" i="1"/>
  <c r="P1115" i="1" s="1"/>
  <c r="S1114" i="1"/>
  <c r="O1114" i="1"/>
  <c r="P1114" i="1" s="1"/>
  <c r="S1113" i="1"/>
  <c r="P1113" i="1"/>
  <c r="O1113" i="1"/>
  <c r="S1112" i="1"/>
  <c r="O1112" i="1"/>
  <c r="P1112" i="1" s="1"/>
  <c r="S1111" i="1"/>
  <c r="O1111" i="1"/>
  <c r="P1111" i="1" s="1"/>
  <c r="S1110" i="1"/>
  <c r="O1110" i="1"/>
  <c r="P1110" i="1" s="1"/>
  <c r="S1109" i="1"/>
  <c r="P1109" i="1"/>
  <c r="O1109" i="1"/>
  <c r="S1108" i="1"/>
  <c r="O1108" i="1"/>
  <c r="P1108" i="1" s="1"/>
  <c r="S1107" i="1"/>
  <c r="O1107" i="1"/>
  <c r="P1107" i="1" s="1"/>
  <c r="S1106" i="1"/>
  <c r="P1106" i="1"/>
  <c r="O1106" i="1"/>
  <c r="S1105" i="1"/>
  <c r="P1105" i="1"/>
  <c r="O1105" i="1"/>
  <c r="S1104" i="1"/>
  <c r="O1104" i="1"/>
  <c r="P1104" i="1" s="1"/>
  <c r="S1103" i="1"/>
  <c r="O1103" i="1"/>
  <c r="P1103" i="1" s="1"/>
  <c r="S1102" i="1"/>
  <c r="O1102" i="1"/>
  <c r="P1102" i="1" s="1"/>
  <c r="S1101" i="1"/>
  <c r="P1101" i="1"/>
  <c r="O1101" i="1"/>
  <c r="S1100" i="1"/>
  <c r="O1100" i="1"/>
  <c r="P1100" i="1" s="1"/>
  <c r="S1099" i="1"/>
  <c r="O1099" i="1"/>
  <c r="P1099" i="1" s="1"/>
  <c r="S1098" i="1"/>
  <c r="O1098" i="1"/>
  <c r="P1098" i="1" s="1"/>
  <c r="S1097" i="1"/>
  <c r="P1097" i="1"/>
  <c r="O1097" i="1"/>
  <c r="S1096" i="1"/>
  <c r="O1096" i="1"/>
  <c r="P1096" i="1" s="1"/>
  <c r="S1095" i="1"/>
  <c r="O1095" i="1"/>
  <c r="P1095" i="1" s="1"/>
  <c r="S1094" i="1"/>
  <c r="P1094" i="1"/>
  <c r="O1094" i="1"/>
  <c r="S1093" i="1"/>
  <c r="P1093" i="1"/>
  <c r="O1093" i="1"/>
  <c r="S1092" i="1"/>
  <c r="O1092" i="1"/>
  <c r="P1092" i="1" s="1"/>
  <c r="S1091" i="1"/>
  <c r="O1091" i="1"/>
  <c r="P1091" i="1" s="1"/>
  <c r="S1090" i="1"/>
  <c r="O1090" i="1"/>
  <c r="P1090" i="1" s="1"/>
  <c r="S1089" i="1"/>
  <c r="P1089" i="1"/>
  <c r="O1089" i="1"/>
  <c r="S1088" i="1"/>
  <c r="O1088" i="1"/>
  <c r="P1088" i="1" s="1"/>
  <c r="S1087" i="1"/>
  <c r="O1087" i="1"/>
  <c r="P1087" i="1" s="1"/>
  <c r="S1086" i="1"/>
  <c r="O1086" i="1"/>
  <c r="P1086" i="1" s="1"/>
  <c r="S1085" i="1"/>
  <c r="P1085" i="1"/>
  <c r="O1085" i="1"/>
  <c r="S1084" i="1"/>
  <c r="O1084" i="1"/>
  <c r="P1084" i="1" s="1"/>
  <c r="S1083" i="1"/>
  <c r="O1083" i="1"/>
  <c r="P1083" i="1" s="1"/>
  <c r="S1082" i="1"/>
  <c r="P1082" i="1"/>
  <c r="O1082" i="1"/>
  <c r="S1081" i="1"/>
  <c r="P1081" i="1"/>
  <c r="O1081" i="1"/>
  <c r="S1080" i="1"/>
  <c r="O1080" i="1"/>
  <c r="P1080" i="1" s="1"/>
  <c r="S1079" i="1"/>
  <c r="O1079" i="1"/>
  <c r="P1079" i="1" s="1"/>
  <c r="S1078" i="1"/>
  <c r="O1078" i="1"/>
  <c r="P1078" i="1" s="1"/>
  <c r="S1077" i="1"/>
  <c r="P1077" i="1"/>
  <c r="O1077" i="1"/>
  <c r="S1076" i="1"/>
  <c r="O1076" i="1"/>
  <c r="P1076" i="1" s="1"/>
  <c r="S1075" i="1"/>
  <c r="O1075" i="1"/>
  <c r="P1075" i="1" s="1"/>
  <c r="S1074" i="1"/>
  <c r="O1074" i="1"/>
  <c r="P1074" i="1" s="1"/>
  <c r="S1073" i="1"/>
  <c r="P1073" i="1"/>
  <c r="O1073" i="1"/>
  <c r="S1072" i="1"/>
  <c r="O1072" i="1"/>
  <c r="P1072" i="1" s="1"/>
  <c r="S1071" i="1"/>
  <c r="O1071" i="1"/>
  <c r="P1071" i="1" s="1"/>
  <c r="S1070" i="1"/>
  <c r="O1070" i="1"/>
  <c r="P1070" i="1" s="1"/>
  <c r="S1069" i="1"/>
  <c r="P1069" i="1"/>
  <c r="O1069" i="1"/>
  <c r="S1068" i="1"/>
  <c r="O1068" i="1"/>
  <c r="P1068" i="1" s="1"/>
  <c r="S1067" i="1"/>
  <c r="O1067" i="1"/>
  <c r="P1067" i="1" s="1"/>
  <c r="S1066" i="1"/>
  <c r="O1066" i="1"/>
  <c r="P1066" i="1" s="1"/>
  <c r="S1065" i="1"/>
  <c r="P1065" i="1"/>
  <c r="O1065" i="1"/>
  <c r="S1064" i="1"/>
  <c r="O1064" i="1"/>
  <c r="P1064" i="1" s="1"/>
  <c r="S1063" i="1"/>
  <c r="O1063" i="1"/>
  <c r="P1063" i="1" s="1"/>
  <c r="S1062" i="1"/>
  <c r="O1062" i="1"/>
  <c r="P1062" i="1" s="1"/>
  <c r="S1061" i="1"/>
  <c r="P1061" i="1"/>
  <c r="O1061" i="1"/>
  <c r="S1060" i="1"/>
  <c r="O1060" i="1"/>
  <c r="P1060" i="1" s="1"/>
  <c r="S1059" i="1"/>
  <c r="O1059" i="1"/>
  <c r="P1059" i="1" s="1"/>
  <c r="S1058" i="1"/>
  <c r="P1058" i="1"/>
  <c r="O1058" i="1"/>
  <c r="S1057" i="1"/>
  <c r="P1057" i="1"/>
  <c r="O1057" i="1"/>
  <c r="S1056" i="1"/>
  <c r="O1056" i="1"/>
  <c r="P1056" i="1" s="1"/>
  <c r="S1055" i="1"/>
  <c r="O1055" i="1"/>
  <c r="P1055" i="1" s="1"/>
  <c r="S1054" i="1"/>
  <c r="O1054" i="1"/>
  <c r="P1054" i="1" s="1"/>
  <c r="S1053" i="1"/>
  <c r="P1053" i="1"/>
  <c r="O1053" i="1"/>
  <c r="S1052" i="1"/>
  <c r="O1052" i="1"/>
  <c r="P1052" i="1" s="1"/>
  <c r="S1051" i="1"/>
  <c r="O1051" i="1"/>
  <c r="P1051" i="1" s="1"/>
  <c r="S1050" i="1"/>
  <c r="O1050" i="1"/>
  <c r="P1050" i="1" s="1"/>
  <c r="S1049" i="1"/>
  <c r="P1049" i="1"/>
  <c r="O1049" i="1"/>
  <c r="S1048" i="1"/>
  <c r="O1048" i="1"/>
  <c r="P1048" i="1" s="1"/>
  <c r="S1047" i="1"/>
  <c r="O1047" i="1"/>
  <c r="P1047" i="1" s="1"/>
  <c r="S1046" i="1"/>
  <c r="O1046" i="1"/>
  <c r="P1046" i="1" s="1"/>
  <c r="S1045" i="1"/>
  <c r="P1045" i="1"/>
  <c r="O1045" i="1"/>
  <c r="S1044" i="1"/>
  <c r="O1044" i="1"/>
  <c r="P1044" i="1" s="1"/>
  <c r="S1043" i="1"/>
  <c r="O1043" i="1"/>
  <c r="P1043" i="1" s="1"/>
  <c r="S1042" i="1"/>
  <c r="O1042" i="1"/>
  <c r="P1042" i="1" s="1"/>
  <c r="S1041" i="1"/>
  <c r="P1041" i="1"/>
  <c r="O1041" i="1"/>
  <c r="S1040" i="1"/>
  <c r="O1040" i="1"/>
  <c r="P1040" i="1" s="1"/>
  <c r="S1039" i="1"/>
  <c r="O1039" i="1"/>
  <c r="P1039" i="1" s="1"/>
  <c r="S1038" i="1"/>
  <c r="O1038" i="1"/>
  <c r="P1038" i="1" s="1"/>
  <c r="S1037" i="1"/>
  <c r="P1037" i="1"/>
  <c r="O1037" i="1"/>
  <c r="S1036" i="1"/>
  <c r="O1036" i="1"/>
  <c r="P1036" i="1" s="1"/>
  <c r="S1035" i="1"/>
  <c r="O1035" i="1"/>
  <c r="P1035" i="1" s="1"/>
  <c r="S1034" i="1"/>
  <c r="P1034" i="1"/>
  <c r="O1034" i="1"/>
  <c r="S1033" i="1"/>
  <c r="P1033" i="1"/>
  <c r="O1033" i="1"/>
  <c r="S1032" i="1"/>
  <c r="O1032" i="1"/>
  <c r="P1032" i="1" s="1"/>
  <c r="S1031" i="1"/>
  <c r="O1031" i="1"/>
  <c r="P1031" i="1" s="1"/>
  <c r="S1030" i="1"/>
  <c r="P1030" i="1"/>
  <c r="O1030" i="1"/>
  <c r="S1029" i="1"/>
  <c r="P1029" i="1"/>
  <c r="O1029" i="1"/>
  <c r="S1028" i="1"/>
  <c r="O1028" i="1"/>
  <c r="P1028" i="1" s="1"/>
  <c r="S1027" i="1"/>
  <c r="O1027" i="1"/>
  <c r="P1027" i="1" s="1"/>
  <c r="S1026" i="1"/>
  <c r="O1026" i="1"/>
  <c r="P1026" i="1" s="1"/>
  <c r="S1025" i="1"/>
  <c r="P1025" i="1"/>
  <c r="O1025" i="1"/>
  <c r="S1024" i="1"/>
  <c r="O1024" i="1"/>
  <c r="P1024" i="1" s="1"/>
  <c r="S1023" i="1"/>
  <c r="O1023" i="1"/>
  <c r="P1023" i="1" s="1"/>
  <c r="S1022" i="1"/>
  <c r="O1022" i="1"/>
  <c r="P1022" i="1" s="1"/>
  <c r="S1021" i="1"/>
  <c r="P1021" i="1"/>
  <c r="O1021" i="1"/>
  <c r="S1020" i="1"/>
  <c r="O1020" i="1"/>
  <c r="P1020" i="1" s="1"/>
  <c r="S1019" i="1"/>
  <c r="O1019" i="1"/>
  <c r="P1019" i="1" s="1"/>
  <c r="S1018" i="1"/>
  <c r="O1018" i="1"/>
  <c r="P1018" i="1" s="1"/>
  <c r="S1017" i="1"/>
  <c r="P1017" i="1"/>
  <c r="O1017" i="1"/>
  <c r="S1016" i="1"/>
  <c r="O1016" i="1"/>
  <c r="P1016" i="1" s="1"/>
  <c r="S1015" i="1"/>
  <c r="O1015" i="1"/>
  <c r="P1015" i="1" s="1"/>
  <c r="S1014" i="1"/>
  <c r="O1014" i="1"/>
  <c r="P1014" i="1" s="1"/>
  <c r="S1013" i="1"/>
  <c r="P1013" i="1"/>
  <c r="O1013" i="1"/>
  <c r="S1012" i="1"/>
  <c r="O1012" i="1"/>
  <c r="P1012" i="1" s="1"/>
  <c r="S1011" i="1"/>
  <c r="O1011" i="1"/>
  <c r="P1011" i="1" s="1"/>
  <c r="S1010" i="1"/>
  <c r="P1010" i="1"/>
  <c r="O1010" i="1"/>
  <c r="S1009" i="1"/>
  <c r="P1009" i="1"/>
  <c r="O1009" i="1"/>
  <c r="S1008" i="1"/>
  <c r="O1008" i="1"/>
  <c r="P1008" i="1" s="1"/>
  <c r="S1007" i="1"/>
  <c r="O1007" i="1"/>
  <c r="P1007" i="1" s="1"/>
  <c r="S1006" i="1"/>
  <c r="O1006" i="1"/>
  <c r="P1006" i="1" s="1"/>
  <c r="S1005" i="1"/>
  <c r="P1005" i="1"/>
  <c r="O1005" i="1"/>
  <c r="S1004" i="1"/>
  <c r="O1004" i="1"/>
  <c r="P1004" i="1" s="1"/>
  <c r="S1003" i="1"/>
  <c r="O1003" i="1"/>
  <c r="P1003" i="1" s="1"/>
  <c r="S1002" i="1"/>
  <c r="O1002" i="1"/>
  <c r="P1002" i="1" s="1"/>
  <c r="S1001" i="1"/>
  <c r="P1001" i="1"/>
  <c r="O1001" i="1"/>
  <c r="S1000" i="1"/>
  <c r="O1000" i="1"/>
  <c r="P1000" i="1" s="1"/>
  <c r="S999" i="1"/>
  <c r="O999" i="1"/>
  <c r="P999" i="1" s="1"/>
  <c r="S998" i="1"/>
  <c r="O998" i="1"/>
  <c r="P998" i="1" s="1"/>
  <c r="S997" i="1"/>
  <c r="P997" i="1"/>
  <c r="O997" i="1"/>
  <c r="S996" i="1"/>
  <c r="O996" i="1"/>
  <c r="P996" i="1" s="1"/>
  <c r="S995" i="1"/>
  <c r="O995" i="1"/>
  <c r="P995" i="1" s="1"/>
  <c r="S994" i="1"/>
  <c r="O994" i="1"/>
  <c r="P994" i="1" s="1"/>
  <c r="S993" i="1"/>
  <c r="P993" i="1"/>
  <c r="O993" i="1"/>
  <c r="S992" i="1"/>
  <c r="O992" i="1"/>
  <c r="P992" i="1" s="1"/>
  <c r="S991" i="1"/>
  <c r="O991" i="1"/>
  <c r="P991" i="1" s="1"/>
  <c r="S990" i="1"/>
  <c r="O990" i="1"/>
  <c r="P990" i="1" s="1"/>
  <c r="S989" i="1"/>
  <c r="P989" i="1"/>
  <c r="O989" i="1"/>
  <c r="S988" i="1"/>
  <c r="O988" i="1"/>
  <c r="P988" i="1" s="1"/>
  <c r="S987" i="1"/>
  <c r="O987" i="1"/>
  <c r="P987" i="1" s="1"/>
  <c r="S986" i="1"/>
  <c r="P986" i="1"/>
  <c r="O986" i="1"/>
  <c r="S985" i="1"/>
  <c r="P985" i="1"/>
  <c r="O985" i="1"/>
  <c r="S984" i="1"/>
  <c r="O984" i="1"/>
  <c r="P984" i="1" s="1"/>
  <c r="S983" i="1"/>
  <c r="O983" i="1"/>
  <c r="P983" i="1" s="1"/>
  <c r="S982" i="1"/>
  <c r="O982" i="1"/>
  <c r="P982" i="1" s="1"/>
  <c r="S981" i="1"/>
  <c r="P981" i="1"/>
  <c r="O981" i="1"/>
  <c r="S980" i="1"/>
  <c r="O980" i="1"/>
  <c r="P980" i="1" s="1"/>
  <c r="S979" i="1"/>
  <c r="O979" i="1"/>
  <c r="P979" i="1" s="1"/>
  <c r="S978" i="1"/>
  <c r="O978" i="1"/>
  <c r="P978" i="1" s="1"/>
  <c r="S977" i="1"/>
  <c r="P977" i="1"/>
  <c r="O977" i="1"/>
  <c r="S976" i="1"/>
  <c r="O976" i="1"/>
  <c r="P976" i="1" s="1"/>
  <c r="S975" i="1"/>
  <c r="O975" i="1"/>
  <c r="P975" i="1" s="1"/>
  <c r="S974" i="1"/>
  <c r="O974" i="1"/>
  <c r="P974" i="1" s="1"/>
  <c r="S973" i="1"/>
  <c r="P973" i="1"/>
  <c r="O973" i="1"/>
  <c r="S972" i="1"/>
  <c r="O972" i="1"/>
  <c r="P972" i="1" s="1"/>
  <c r="S971" i="1"/>
  <c r="O971" i="1"/>
  <c r="P971" i="1" s="1"/>
  <c r="S970" i="1"/>
  <c r="O970" i="1"/>
  <c r="P970" i="1" s="1"/>
  <c r="S969" i="1"/>
  <c r="P969" i="1"/>
  <c r="O969" i="1"/>
  <c r="S968" i="1"/>
  <c r="O968" i="1"/>
  <c r="P968" i="1" s="1"/>
  <c r="S967" i="1"/>
  <c r="O967" i="1"/>
  <c r="P967" i="1" s="1"/>
  <c r="S966" i="1"/>
  <c r="P966" i="1"/>
  <c r="O966" i="1"/>
  <c r="S965" i="1"/>
  <c r="P965" i="1"/>
  <c r="O965" i="1"/>
  <c r="S964" i="1"/>
  <c r="O964" i="1"/>
  <c r="P964" i="1" s="1"/>
  <c r="S963" i="1"/>
  <c r="O963" i="1"/>
  <c r="P963" i="1" s="1"/>
  <c r="S962" i="1"/>
  <c r="P962" i="1"/>
  <c r="O962" i="1"/>
  <c r="S961" i="1"/>
  <c r="P961" i="1"/>
  <c r="O961" i="1"/>
  <c r="S960" i="1"/>
  <c r="O960" i="1"/>
  <c r="P960" i="1" s="1"/>
  <c r="S959" i="1"/>
  <c r="O959" i="1"/>
  <c r="P959" i="1" s="1"/>
  <c r="S958" i="1"/>
  <c r="O958" i="1"/>
  <c r="P958" i="1" s="1"/>
  <c r="S957" i="1"/>
  <c r="P957" i="1"/>
  <c r="O957" i="1"/>
  <c r="S956" i="1"/>
  <c r="O956" i="1"/>
  <c r="P956" i="1" s="1"/>
  <c r="S955" i="1"/>
  <c r="O955" i="1"/>
  <c r="P955" i="1" s="1"/>
  <c r="S954" i="1"/>
  <c r="O954" i="1"/>
  <c r="P954" i="1" s="1"/>
  <c r="S953" i="1"/>
  <c r="P953" i="1"/>
  <c r="O953" i="1"/>
  <c r="S952" i="1"/>
  <c r="O952" i="1"/>
  <c r="P952" i="1" s="1"/>
  <c r="S951" i="1"/>
  <c r="O951" i="1"/>
  <c r="P951" i="1" s="1"/>
  <c r="S950" i="1"/>
  <c r="O950" i="1"/>
  <c r="P950" i="1" s="1"/>
  <c r="S949" i="1"/>
  <c r="P949" i="1"/>
  <c r="O949" i="1"/>
  <c r="S948" i="1"/>
  <c r="O948" i="1"/>
  <c r="P948" i="1" s="1"/>
  <c r="S947" i="1"/>
  <c r="O947" i="1"/>
  <c r="P947" i="1" s="1"/>
  <c r="S946" i="1"/>
  <c r="O946" i="1"/>
  <c r="P946" i="1" s="1"/>
  <c r="S945" i="1"/>
  <c r="P945" i="1"/>
  <c r="O945" i="1"/>
  <c r="S944" i="1"/>
  <c r="O944" i="1"/>
  <c r="P944" i="1" s="1"/>
  <c r="S943" i="1"/>
  <c r="O943" i="1"/>
  <c r="P943" i="1" s="1"/>
  <c r="S942" i="1"/>
  <c r="O942" i="1"/>
  <c r="P942" i="1" s="1"/>
  <c r="S941" i="1"/>
  <c r="P941" i="1"/>
  <c r="O941" i="1"/>
  <c r="S940" i="1"/>
  <c r="O940" i="1"/>
  <c r="P940" i="1" s="1"/>
  <c r="S939" i="1"/>
  <c r="O939" i="1"/>
  <c r="P939" i="1" s="1"/>
  <c r="S938" i="1"/>
  <c r="P938" i="1"/>
  <c r="O938" i="1"/>
  <c r="S937" i="1"/>
  <c r="P937" i="1"/>
  <c r="O937" i="1"/>
  <c r="S936" i="1"/>
  <c r="O936" i="1"/>
  <c r="P936" i="1" s="1"/>
  <c r="S935" i="1"/>
  <c r="O935" i="1"/>
  <c r="P935" i="1" s="1"/>
  <c r="S934" i="1"/>
  <c r="O934" i="1"/>
  <c r="P934" i="1" s="1"/>
  <c r="S933" i="1"/>
  <c r="P933" i="1"/>
  <c r="O933" i="1"/>
  <c r="S932" i="1"/>
  <c r="O932" i="1"/>
  <c r="P932" i="1" s="1"/>
  <c r="S931" i="1"/>
  <c r="O931" i="1"/>
  <c r="P931" i="1" s="1"/>
  <c r="S930" i="1"/>
  <c r="O930" i="1"/>
  <c r="P930" i="1" s="1"/>
  <c r="S929" i="1"/>
  <c r="P929" i="1"/>
  <c r="O929" i="1"/>
  <c r="S928" i="1"/>
  <c r="O928" i="1"/>
  <c r="P928" i="1" s="1"/>
  <c r="S927" i="1"/>
  <c r="O927" i="1"/>
  <c r="P927" i="1" s="1"/>
  <c r="S926" i="1"/>
  <c r="O926" i="1"/>
  <c r="P926" i="1" s="1"/>
  <c r="S925" i="1"/>
  <c r="P925" i="1"/>
  <c r="O925" i="1"/>
  <c r="S924" i="1"/>
  <c r="O924" i="1"/>
  <c r="P924" i="1" s="1"/>
  <c r="S923" i="1"/>
  <c r="O923" i="1"/>
  <c r="P923" i="1" s="1"/>
  <c r="S922" i="1"/>
  <c r="O922" i="1"/>
  <c r="P922" i="1" s="1"/>
  <c r="S921" i="1"/>
  <c r="P921" i="1"/>
  <c r="O921" i="1"/>
  <c r="S920" i="1"/>
  <c r="O920" i="1"/>
  <c r="P920" i="1" s="1"/>
  <c r="S919" i="1"/>
  <c r="O919" i="1"/>
  <c r="P919" i="1" s="1"/>
  <c r="S918" i="1"/>
  <c r="O918" i="1"/>
  <c r="P918" i="1" s="1"/>
  <c r="S917" i="1"/>
  <c r="P917" i="1"/>
  <c r="O917" i="1"/>
  <c r="S916" i="1"/>
  <c r="O916" i="1"/>
  <c r="P916" i="1" s="1"/>
  <c r="S915" i="1"/>
  <c r="O915" i="1"/>
  <c r="P915" i="1" s="1"/>
  <c r="S914" i="1"/>
  <c r="P914" i="1"/>
  <c r="O914" i="1"/>
  <c r="S913" i="1"/>
  <c r="P913" i="1"/>
  <c r="O913" i="1"/>
  <c r="S912" i="1"/>
  <c r="O912" i="1"/>
  <c r="P912" i="1" s="1"/>
  <c r="S911" i="1"/>
  <c r="O911" i="1"/>
  <c r="P911" i="1" s="1"/>
  <c r="S910" i="1"/>
  <c r="O910" i="1"/>
  <c r="P910" i="1" s="1"/>
  <c r="S909" i="1"/>
  <c r="P909" i="1"/>
  <c r="O909" i="1"/>
  <c r="S908" i="1"/>
  <c r="O908" i="1"/>
  <c r="P908" i="1" s="1"/>
  <c r="S907" i="1"/>
  <c r="O907" i="1"/>
  <c r="P907" i="1" s="1"/>
  <c r="S906" i="1"/>
  <c r="O906" i="1"/>
  <c r="P906" i="1" s="1"/>
  <c r="S905" i="1"/>
  <c r="P905" i="1"/>
  <c r="O905" i="1"/>
  <c r="S904" i="1"/>
  <c r="O904" i="1"/>
  <c r="P904" i="1" s="1"/>
  <c r="S903" i="1"/>
  <c r="O903" i="1"/>
  <c r="P903" i="1" s="1"/>
  <c r="S902" i="1"/>
  <c r="P902" i="1"/>
  <c r="O902" i="1"/>
  <c r="S901" i="1"/>
  <c r="P901" i="1"/>
  <c r="O901" i="1"/>
  <c r="S900" i="1"/>
  <c r="O900" i="1"/>
  <c r="P900" i="1" s="1"/>
  <c r="S899" i="1"/>
  <c r="O899" i="1"/>
  <c r="P899" i="1" s="1"/>
  <c r="S898" i="1"/>
  <c r="O898" i="1"/>
  <c r="P898" i="1" s="1"/>
  <c r="S897" i="1"/>
  <c r="P897" i="1"/>
  <c r="O897" i="1"/>
  <c r="S896" i="1"/>
  <c r="O896" i="1"/>
  <c r="P896" i="1" s="1"/>
  <c r="S895" i="1"/>
  <c r="O895" i="1"/>
  <c r="P895" i="1" s="1"/>
  <c r="S894" i="1"/>
  <c r="O894" i="1"/>
  <c r="P894" i="1" s="1"/>
  <c r="S893" i="1"/>
  <c r="P893" i="1"/>
  <c r="O893" i="1"/>
  <c r="S892" i="1"/>
  <c r="O892" i="1"/>
  <c r="P892" i="1" s="1"/>
  <c r="S891" i="1"/>
  <c r="O891" i="1"/>
  <c r="P891" i="1" s="1"/>
  <c r="S890" i="1"/>
  <c r="P890" i="1"/>
  <c r="O890" i="1"/>
  <c r="S889" i="1"/>
  <c r="P889" i="1"/>
  <c r="O889" i="1"/>
  <c r="S888" i="1"/>
  <c r="O888" i="1"/>
  <c r="P888" i="1" s="1"/>
  <c r="S887" i="1"/>
  <c r="O887" i="1"/>
  <c r="P887" i="1" s="1"/>
  <c r="S886" i="1"/>
  <c r="O886" i="1"/>
  <c r="P886" i="1" s="1"/>
  <c r="S885" i="1"/>
  <c r="P885" i="1"/>
  <c r="O885" i="1"/>
  <c r="S884" i="1"/>
  <c r="O884" i="1"/>
  <c r="P884" i="1" s="1"/>
  <c r="S883" i="1"/>
  <c r="O883" i="1"/>
  <c r="P883" i="1" s="1"/>
  <c r="S882" i="1"/>
  <c r="O882" i="1"/>
  <c r="P882" i="1" s="1"/>
  <c r="S881" i="1"/>
  <c r="P881" i="1"/>
  <c r="O881" i="1"/>
  <c r="S880" i="1"/>
  <c r="O880" i="1"/>
  <c r="P880" i="1" s="1"/>
  <c r="S879" i="1"/>
  <c r="O879" i="1"/>
  <c r="P879" i="1" s="1"/>
  <c r="S878" i="1"/>
  <c r="O878" i="1"/>
  <c r="P878" i="1" s="1"/>
  <c r="S877" i="1"/>
  <c r="P877" i="1"/>
  <c r="O877" i="1"/>
  <c r="S876" i="1"/>
  <c r="O876" i="1"/>
  <c r="P876" i="1" s="1"/>
  <c r="S875" i="1"/>
  <c r="O875" i="1"/>
  <c r="P875" i="1" s="1"/>
  <c r="S874" i="1"/>
  <c r="O874" i="1"/>
  <c r="P874" i="1" s="1"/>
  <c r="S873" i="1"/>
  <c r="P873" i="1"/>
  <c r="O873" i="1"/>
  <c r="S872" i="1"/>
  <c r="O872" i="1"/>
  <c r="P872" i="1" s="1"/>
  <c r="S871" i="1"/>
  <c r="O871" i="1"/>
  <c r="P871" i="1" s="1"/>
  <c r="S870" i="1"/>
  <c r="O870" i="1"/>
  <c r="P870" i="1" s="1"/>
  <c r="S869" i="1"/>
  <c r="P869" i="1"/>
  <c r="O869" i="1"/>
  <c r="S868" i="1"/>
  <c r="O868" i="1"/>
  <c r="P868" i="1" s="1"/>
  <c r="S867" i="1"/>
  <c r="O867" i="1"/>
  <c r="P867" i="1" s="1"/>
  <c r="S866" i="1"/>
  <c r="P866" i="1"/>
  <c r="O866" i="1"/>
  <c r="S865" i="1"/>
  <c r="P865" i="1"/>
  <c r="O865" i="1"/>
  <c r="S864" i="1"/>
  <c r="O864" i="1"/>
  <c r="P864" i="1" s="1"/>
  <c r="S863" i="1"/>
  <c r="O863" i="1"/>
  <c r="P863" i="1" s="1"/>
  <c r="S862" i="1"/>
  <c r="O862" i="1"/>
  <c r="P862" i="1" s="1"/>
  <c r="S861" i="1"/>
  <c r="P861" i="1"/>
  <c r="O861" i="1"/>
  <c r="S860" i="1"/>
  <c r="O860" i="1"/>
  <c r="P860" i="1" s="1"/>
  <c r="S859" i="1"/>
  <c r="O859" i="1"/>
  <c r="P859" i="1" s="1"/>
  <c r="S858" i="1"/>
  <c r="O858" i="1"/>
  <c r="P858" i="1" s="1"/>
  <c r="S857" i="1"/>
  <c r="P857" i="1"/>
  <c r="O857" i="1"/>
  <c r="S856" i="1"/>
  <c r="O856" i="1"/>
  <c r="P856" i="1" s="1"/>
  <c r="S855" i="1"/>
  <c r="O855" i="1"/>
  <c r="P855" i="1" s="1"/>
  <c r="S854" i="1"/>
  <c r="O854" i="1"/>
  <c r="P854" i="1" s="1"/>
  <c r="S853" i="1"/>
  <c r="P853" i="1"/>
  <c r="O853" i="1"/>
  <c r="S852" i="1"/>
  <c r="O852" i="1"/>
  <c r="P852" i="1" s="1"/>
  <c r="S851" i="1"/>
  <c r="O851" i="1"/>
  <c r="P851" i="1" s="1"/>
  <c r="S850" i="1"/>
  <c r="O850" i="1"/>
  <c r="P850" i="1" s="1"/>
  <c r="S849" i="1"/>
  <c r="O849" i="1"/>
  <c r="P849" i="1" s="1"/>
  <c r="S848" i="1"/>
  <c r="O848" i="1"/>
  <c r="P848" i="1" s="1"/>
  <c r="S847" i="1"/>
  <c r="O847" i="1"/>
  <c r="P847" i="1" s="1"/>
  <c r="S846" i="1"/>
  <c r="O846" i="1"/>
  <c r="P846" i="1" s="1"/>
  <c r="S845" i="1"/>
  <c r="P845" i="1"/>
  <c r="O845" i="1"/>
  <c r="S844" i="1"/>
  <c r="O844" i="1"/>
  <c r="P844" i="1" s="1"/>
  <c r="S843" i="1"/>
  <c r="O843" i="1"/>
  <c r="P843" i="1" s="1"/>
  <c r="S842" i="1"/>
  <c r="P842" i="1"/>
  <c r="O842" i="1"/>
  <c r="S841" i="1"/>
  <c r="P841" i="1"/>
  <c r="O841" i="1"/>
  <c r="S840" i="1"/>
  <c r="O840" i="1"/>
  <c r="P840" i="1" s="1"/>
  <c r="S839" i="1"/>
  <c r="O839" i="1"/>
  <c r="P839" i="1" s="1"/>
  <c r="S838" i="1"/>
  <c r="P838" i="1"/>
  <c r="O838" i="1"/>
  <c r="S837" i="1"/>
  <c r="O837" i="1"/>
  <c r="P837" i="1" s="1"/>
  <c r="S836" i="1"/>
  <c r="P836" i="1"/>
  <c r="O836" i="1"/>
  <c r="S835" i="1"/>
  <c r="O835" i="1"/>
  <c r="P835" i="1" s="1"/>
  <c r="S834" i="1"/>
  <c r="P834" i="1"/>
  <c r="O834" i="1"/>
  <c r="S833" i="1"/>
  <c r="O833" i="1"/>
  <c r="P833" i="1" s="1"/>
  <c r="S832" i="1"/>
  <c r="P832" i="1"/>
  <c r="O832" i="1"/>
  <c r="S831" i="1"/>
  <c r="O831" i="1"/>
  <c r="P831" i="1" s="1"/>
  <c r="S830" i="1"/>
  <c r="P830" i="1"/>
  <c r="O830" i="1"/>
  <c r="S829" i="1"/>
  <c r="O829" i="1"/>
  <c r="P829" i="1" s="1"/>
  <c r="S828" i="1"/>
  <c r="P828" i="1"/>
  <c r="O828" i="1"/>
  <c r="S827" i="1"/>
  <c r="O827" i="1"/>
  <c r="P827" i="1" s="1"/>
  <c r="S826" i="1"/>
  <c r="P826" i="1"/>
  <c r="O826" i="1"/>
  <c r="S825" i="1"/>
  <c r="O825" i="1"/>
  <c r="P825" i="1" s="1"/>
  <c r="S824" i="1"/>
  <c r="P824" i="1"/>
  <c r="O824" i="1"/>
  <c r="S823" i="1"/>
  <c r="O823" i="1"/>
  <c r="P823" i="1" s="1"/>
  <c r="S822" i="1"/>
  <c r="P822" i="1"/>
  <c r="O822" i="1"/>
  <c r="S821" i="1"/>
  <c r="O821" i="1"/>
  <c r="P821" i="1" s="1"/>
  <c r="S820" i="1"/>
  <c r="P820" i="1"/>
  <c r="O820" i="1"/>
  <c r="S819" i="1"/>
  <c r="O819" i="1"/>
  <c r="P819" i="1" s="1"/>
  <c r="S818" i="1"/>
  <c r="P818" i="1"/>
  <c r="O818" i="1"/>
  <c r="S817" i="1"/>
  <c r="O817" i="1"/>
  <c r="P817" i="1" s="1"/>
  <c r="S816" i="1"/>
  <c r="P816" i="1"/>
  <c r="O816" i="1"/>
  <c r="S815" i="1"/>
  <c r="O815" i="1"/>
  <c r="P815" i="1" s="1"/>
  <c r="S814" i="1"/>
  <c r="P814" i="1"/>
  <c r="O814" i="1"/>
  <c r="S813" i="1"/>
  <c r="O813" i="1"/>
  <c r="P813" i="1" s="1"/>
  <c r="S812" i="1"/>
  <c r="P812" i="1"/>
  <c r="O812" i="1"/>
  <c r="S811" i="1"/>
  <c r="O811" i="1"/>
  <c r="P811" i="1" s="1"/>
  <c r="S810" i="1"/>
  <c r="P810" i="1"/>
  <c r="O810" i="1"/>
  <c r="S809" i="1"/>
  <c r="O809" i="1"/>
  <c r="P809" i="1" s="1"/>
  <c r="S808" i="1"/>
  <c r="P808" i="1"/>
  <c r="O808" i="1"/>
  <c r="S807" i="1"/>
  <c r="O807" i="1"/>
  <c r="P807" i="1" s="1"/>
  <c r="S806" i="1"/>
  <c r="P806" i="1"/>
  <c r="O806" i="1"/>
  <c r="S805" i="1"/>
  <c r="O805" i="1"/>
  <c r="P805" i="1" s="1"/>
  <c r="S804" i="1"/>
  <c r="P804" i="1"/>
  <c r="O804" i="1"/>
  <c r="S803" i="1"/>
  <c r="O803" i="1"/>
  <c r="P803" i="1" s="1"/>
  <c r="S802" i="1"/>
  <c r="P802" i="1"/>
  <c r="O802" i="1"/>
  <c r="S801" i="1"/>
  <c r="O801" i="1"/>
  <c r="P801" i="1" s="1"/>
  <c r="S800" i="1"/>
  <c r="P800" i="1"/>
  <c r="O800" i="1"/>
  <c r="S799" i="1"/>
  <c r="O799" i="1"/>
  <c r="P799" i="1" s="1"/>
  <c r="S798" i="1"/>
  <c r="P798" i="1"/>
  <c r="O798" i="1"/>
  <c r="S797" i="1"/>
  <c r="O797" i="1"/>
  <c r="P797" i="1" s="1"/>
  <c r="S796" i="1"/>
  <c r="P796" i="1"/>
  <c r="O796" i="1"/>
  <c r="S795" i="1"/>
  <c r="O795" i="1"/>
  <c r="P795" i="1" s="1"/>
  <c r="S794" i="1"/>
  <c r="P794" i="1"/>
  <c r="O794" i="1"/>
  <c r="S793" i="1"/>
  <c r="O793" i="1"/>
  <c r="P793" i="1" s="1"/>
  <c r="S792" i="1"/>
  <c r="P792" i="1"/>
  <c r="O792" i="1"/>
  <c r="S791" i="1"/>
  <c r="O791" i="1"/>
  <c r="P791" i="1" s="1"/>
  <c r="S790" i="1"/>
  <c r="P790" i="1"/>
  <c r="O790" i="1"/>
  <c r="S789" i="1"/>
  <c r="O789" i="1"/>
  <c r="P789" i="1" s="1"/>
  <c r="S788" i="1"/>
  <c r="P788" i="1"/>
  <c r="O788" i="1"/>
  <c r="S787" i="1"/>
  <c r="O787" i="1"/>
  <c r="P787" i="1" s="1"/>
  <c r="S786" i="1"/>
  <c r="P786" i="1"/>
  <c r="O786" i="1"/>
  <c r="S785" i="1"/>
  <c r="O785" i="1"/>
  <c r="P785" i="1" s="1"/>
  <c r="S784" i="1"/>
  <c r="P784" i="1"/>
  <c r="O784" i="1"/>
  <c r="S783" i="1"/>
  <c r="O783" i="1"/>
  <c r="P783" i="1" s="1"/>
  <c r="S782" i="1"/>
  <c r="P782" i="1"/>
  <c r="O782" i="1"/>
  <c r="S781" i="1"/>
  <c r="O781" i="1"/>
  <c r="P781" i="1" s="1"/>
  <c r="S780" i="1"/>
  <c r="P780" i="1"/>
  <c r="O780" i="1"/>
  <c r="S779" i="1"/>
  <c r="O779" i="1"/>
  <c r="P779" i="1" s="1"/>
  <c r="S778" i="1"/>
  <c r="P778" i="1"/>
  <c r="O778" i="1"/>
  <c r="S777" i="1"/>
  <c r="O777" i="1"/>
  <c r="P777" i="1" s="1"/>
  <c r="S776" i="1"/>
  <c r="P776" i="1"/>
  <c r="O776" i="1"/>
  <c r="S775" i="1"/>
  <c r="O775" i="1"/>
  <c r="P775" i="1" s="1"/>
  <c r="S774" i="1"/>
  <c r="P774" i="1"/>
  <c r="O774" i="1"/>
  <c r="S773" i="1"/>
  <c r="O773" i="1"/>
  <c r="P773" i="1" s="1"/>
  <c r="S772" i="1"/>
  <c r="P772" i="1"/>
  <c r="O772" i="1"/>
  <c r="S771" i="1"/>
  <c r="O771" i="1"/>
  <c r="P771" i="1" s="1"/>
  <c r="S770" i="1"/>
  <c r="P770" i="1"/>
  <c r="O770" i="1"/>
  <c r="S769" i="1"/>
  <c r="O769" i="1"/>
  <c r="P769" i="1" s="1"/>
  <c r="S768" i="1"/>
  <c r="P768" i="1"/>
  <c r="O768" i="1"/>
  <c r="S767" i="1"/>
  <c r="O767" i="1"/>
  <c r="P767" i="1" s="1"/>
  <c r="S766" i="1"/>
  <c r="P766" i="1"/>
  <c r="O766" i="1"/>
  <c r="S765" i="1"/>
  <c r="O765" i="1"/>
  <c r="P765" i="1" s="1"/>
  <c r="S764" i="1"/>
  <c r="P764" i="1"/>
  <c r="O764" i="1"/>
  <c r="S763" i="1"/>
  <c r="O763" i="1"/>
  <c r="P763" i="1" s="1"/>
  <c r="S762" i="1"/>
  <c r="P762" i="1"/>
  <c r="O762" i="1"/>
  <c r="S761" i="1"/>
  <c r="O761" i="1"/>
  <c r="P761" i="1" s="1"/>
  <c r="S760" i="1"/>
  <c r="P760" i="1"/>
  <c r="O760" i="1"/>
  <c r="S759" i="1"/>
  <c r="O759" i="1"/>
  <c r="P759" i="1" s="1"/>
  <c r="S758" i="1"/>
  <c r="P758" i="1"/>
  <c r="O758" i="1"/>
  <c r="S757" i="1"/>
  <c r="O757" i="1"/>
  <c r="P757" i="1" s="1"/>
  <c r="S756" i="1"/>
  <c r="P756" i="1"/>
  <c r="O756" i="1"/>
  <c r="S755" i="1"/>
  <c r="O755" i="1"/>
  <c r="P755" i="1" s="1"/>
  <c r="S754" i="1"/>
  <c r="P754" i="1"/>
  <c r="O754" i="1"/>
  <c r="S753" i="1"/>
  <c r="O753" i="1"/>
  <c r="P753" i="1" s="1"/>
  <c r="S752" i="1"/>
  <c r="P752" i="1"/>
  <c r="O752" i="1"/>
  <c r="S751" i="1"/>
  <c r="O751" i="1"/>
  <c r="P751" i="1" s="1"/>
  <c r="S750" i="1"/>
  <c r="P750" i="1"/>
  <c r="O750" i="1"/>
  <c r="S749" i="1"/>
  <c r="O749" i="1"/>
  <c r="P749" i="1" s="1"/>
  <c r="S748" i="1"/>
  <c r="P748" i="1"/>
  <c r="O748" i="1"/>
  <c r="S747" i="1"/>
  <c r="O747" i="1"/>
  <c r="P747" i="1" s="1"/>
  <c r="S746" i="1"/>
  <c r="P746" i="1"/>
  <c r="O746" i="1"/>
  <c r="S745" i="1"/>
  <c r="O745" i="1"/>
  <c r="P745" i="1" s="1"/>
  <c r="S744" i="1"/>
  <c r="P744" i="1"/>
  <c r="O744" i="1"/>
  <c r="S743" i="1"/>
  <c r="O743" i="1"/>
  <c r="P743" i="1" s="1"/>
  <c r="S742" i="1"/>
  <c r="P742" i="1"/>
  <c r="O742" i="1"/>
  <c r="S741" i="1"/>
  <c r="O741" i="1"/>
  <c r="P741" i="1" s="1"/>
  <c r="S740" i="1"/>
  <c r="P740" i="1"/>
  <c r="O740" i="1"/>
  <c r="S739" i="1"/>
  <c r="O739" i="1"/>
  <c r="P739" i="1" s="1"/>
  <c r="S738" i="1"/>
  <c r="P738" i="1"/>
  <c r="O738" i="1"/>
  <c r="S737" i="1"/>
  <c r="O737" i="1"/>
  <c r="P737" i="1" s="1"/>
  <c r="S736" i="1"/>
  <c r="P736" i="1"/>
  <c r="O736" i="1"/>
  <c r="S735" i="1"/>
  <c r="O735" i="1"/>
  <c r="P735" i="1" s="1"/>
  <c r="S734" i="1"/>
  <c r="P734" i="1"/>
  <c r="O734" i="1"/>
  <c r="S733" i="1"/>
  <c r="O733" i="1"/>
  <c r="P733" i="1" s="1"/>
  <c r="S732" i="1"/>
  <c r="P732" i="1"/>
  <c r="O732" i="1"/>
  <c r="S731" i="1"/>
  <c r="O731" i="1"/>
  <c r="P731" i="1" s="1"/>
  <c r="S730" i="1"/>
  <c r="P730" i="1"/>
  <c r="O730" i="1"/>
  <c r="S729" i="1"/>
  <c r="O729" i="1"/>
  <c r="P729" i="1" s="1"/>
  <c r="S728" i="1"/>
  <c r="P728" i="1"/>
  <c r="O728" i="1"/>
  <c r="S727" i="1"/>
  <c r="O727" i="1"/>
  <c r="P727" i="1" s="1"/>
  <c r="S726" i="1"/>
  <c r="P726" i="1"/>
  <c r="O726" i="1"/>
  <c r="S725" i="1"/>
  <c r="O725" i="1"/>
  <c r="P725" i="1" s="1"/>
  <c r="S724" i="1"/>
  <c r="O724" i="1"/>
  <c r="P724" i="1" s="1"/>
  <c r="S723" i="1"/>
  <c r="O723" i="1"/>
  <c r="P723" i="1" s="1"/>
  <c r="S722" i="1"/>
  <c r="P722" i="1"/>
  <c r="O722" i="1"/>
  <c r="S721" i="1"/>
  <c r="O721" i="1"/>
  <c r="P721" i="1" s="1"/>
  <c r="S720" i="1"/>
  <c r="O720" i="1"/>
  <c r="P720" i="1" s="1"/>
  <c r="S719" i="1"/>
  <c r="O719" i="1"/>
  <c r="P719" i="1" s="1"/>
  <c r="S718" i="1"/>
  <c r="P718" i="1"/>
  <c r="O718" i="1"/>
  <c r="S717" i="1"/>
  <c r="O717" i="1"/>
  <c r="P717" i="1" s="1"/>
  <c r="S716" i="1"/>
  <c r="O716" i="1"/>
  <c r="P716" i="1" s="1"/>
  <c r="S715" i="1"/>
  <c r="O715" i="1"/>
  <c r="P715" i="1" s="1"/>
  <c r="S714" i="1"/>
  <c r="P714" i="1"/>
  <c r="O714" i="1"/>
  <c r="S713" i="1"/>
  <c r="O713" i="1"/>
  <c r="P713" i="1" s="1"/>
  <c r="S712" i="1"/>
  <c r="O712" i="1"/>
  <c r="P712" i="1" s="1"/>
  <c r="S711" i="1"/>
  <c r="O711" i="1"/>
  <c r="P711" i="1" s="1"/>
  <c r="S710" i="1"/>
  <c r="P710" i="1"/>
  <c r="O710" i="1"/>
  <c r="S709" i="1"/>
  <c r="O709" i="1"/>
  <c r="P709" i="1" s="1"/>
  <c r="S708" i="1"/>
  <c r="P708" i="1"/>
  <c r="O708" i="1"/>
  <c r="S707" i="1"/>
  <c r="O707" i="1"/>
  <c r="P707" i="1" s="1"/>
  <c r="S706" i="1"/>
  <c r="P706" i="1"/>
  <c r="O706" i="1"/>
  <c r="S705" i="1"/>
  <c r="O705" i="1"/>
  <c r="P705" i="1" s="1"/>
  <c r="S704" i="1"/>
  <c r="O704" i="1"/>
  <c r="P704" i="1" s="1"/>
  <c r="S703" i="1"/>
  <c r="O703" i="1"/>
  <c r="P703" i="1" s="1"/>
  <c r="S702" i="1"/>
  <c r="P702" i="1"/>
  <c r="O702" i="1"/>
  <c r="S701" i="1"/>
  <c r="O701" i="1"/>
  <c r="P701" i="1" s="1"/>
  <c r="S700" i="1"/>
  <c r="O700" i="1"/>
  <c r="P700" i="1" s="1"/>
  <c r="S699" i="1"/>
  <c r="O699" i="1"/>
  <c r="P699" i="1" s="1"/>
  <c r="S698" i="1"/>
  <c r="P698" i="1"/>
  <c r="O698" i="1"/>
  <c r="S697" i="1"/>
  <c r="O697" i="1"/>
  <c r="P697" i="1" s="1"/>
  <c r="S696" i="1"/>
  <c r="O696" i="1"/>
  <c r="P696" i="1" s="1"/>
  <c r="S695" i="1"/>
  <c r="O695" i="1"/>
  <c r="P695" i="1" s="1"/>
  <c r="S694" i="1"/>
  <c r="P694" i="1"/>
  <c r="O694" i="1"/>
  <c r="S693" i="1"/>
  <c r="O693" i="1"/>
  <c r="P693" i="1" s="1"/>
  <c r="S692" i="1"/>
  <c r="O692" i="1"/>
  <c r="P692" i="1" s="1"/>
  <c r="S691" i="1"/>
  <c r="O691" i="1"/>
  <c r="P691" i="1" s="1"/>
  <c r="S690" i="1"/>
  <c r="P690" i="1"/>
  <c r="O690" i="1"/>
  <c r="S689" i="1"/>
  <c r="O689" i="1"/>
  <c r="P689" i="1" s="1"/>
  <c r="S688" i="1"/>
  <c r="O688" i="1"/>
  <c r="P688" i="1" s="1"/>
  <c r="S687" i="1"/>
  <c r="O687" i="1"/>
  <c r="P687" i="1" s="1"/>
  <c r="S686" i="1"/>
  <c r="P686" i="1"/>
  <c r="O686" i="1"/>
  <c r="S685" i="1"/>
  <c r="O685" i="1"/>
  <c r="P685" i="1" s="1"/>
  <c r="S684" i="1"/>
  <c r="O684" i="1"/>
  <c r="P684" i="1" s="1"/>
  <c r="S683" i="1"/>
  <c r="O683" i="1"/>
  <c r="P683" i="1" s="1"/>
  <c r="S682" i="1"/>
  <c r="P682" i="1"/>
  <c r="O682" i="1"/>
  <c r="S681" i="1"/>
  <c r="O681" i="1"/>
  <c r="P681" i="1" s="1"/>
  <c r="S680" i="1"/>
  <c r="O680" i="1"/>
  <c r="P680" i="1" s="1"/>
  <c r="S679" i="1"/>
  <c r="O679" i="1"/>
  <c r="P679" i="1" s="1"/>
  <c r="S678" i="1"/>
  <c r="P678" i="1"/>
  <c r="O678" i="1"/>
  <c r="S677" i="1"/>
  <c r="O677" i="1"/>
  <c r="P677" i="1" s="1"/>
  <c r="S676" i="1"/>
  <c r="O676" i="1"/>
  <c r="P676" i="1" s="1"/>
  <c r="S675" i="1"/>
  <c r="O675" i="1"/>
  <c r="P675" i="1" s="1"/>
  <c r="S674" i="1"/>
  <c r="P674" i="1"/>
  <c r="O674" i="1"/>
  <c r="S673" i="1"/>
  <c r="O673" i="1"/>
  <c r="P673" i="1" s="1"/>
  <c r="S672" i="1"/>
  <c r="O672" i="1"/>
  <c r="P672" i="1" s="1"/>
  <c r="S671" i="1"/>
  <c r="O671" i="1"/>
  <c r="P671" i="1" s="1"/>
  <c r="S670" i="1"/>
  <c r="P670" i="1"/>
  <c r="O670" i="1"/>
  <c r="S669" i="1"/>
  <c r="O669" i="1"/>
  <c r="P669" i="1" s="1"/>
  <c r="S668" i="1"/>
  <c r="O668" i="1"/>
  <c r="P668" i="1" s="1"/>
  <c r="S667" i="1"/>
  <c r="O667" i="1"/>
  <c r="P667" i="1" s="1"/>
  <c r="S666" i="1"/>
  <c r="P666" i="1"/>
  <c r="O666" i="1"/>
  <c r="S665" i="1"/>
  <c r="O665" i="1"/>
  <c r="P665" i="1" s="1"/>
  <c r="S664" i="1"/>
  <c r="O664" i="1"/>
  <c r="P664" i="1" s="1"/>
  <c r="S663" i="1"/>
  <c r="O663" i="1"/>
  <c r="P663" i="1" s="1"/>
  <c r="S662" i="1"/>
  <c r="P662" i="1"/>
  <c r="O662" i="1"/>
  <c r="S661" i="1"/>
  <c r="O661" i="1"/>
  <c r="P661" i="1" s="1"/>
  <c r="S660" i="1"/>
  <c r="O660" i="1"/>
  <c r="P660" i="1" s="1"/>
  <c r="S659" i="1"/>
  <c r="O659" i="1"/>
  <c r="P659" i="1" s="1"/>
  <c r="S658" i="1"/>
  <c r="P658" i="1"/>
  <c r="O658" i="1"/>
  <c r="S657" i="1"/>
  <c r="O657" i="1"/>
  <c r="P657" i="1" s="1"/>
  <c r="S656" i="1"/>
  <c r="O656" i="1"/>
  <c r="P656" i="1" s="1"/>
  <c r="S655" i="1"/>
  <c r="O655" i="1"/>
  <c r="P655" i="1" s="1"/>
  <c r="S654" i="1"/>
  <c r="P654" i="1"/>
  <c r="O654" i="1"/>
  <c r="S653" i="1"/>
  <c r="O653" i="1"/>
  <c r="P653" i="1" s="1"/>
  <c r="S652" i="1"/>
  <c r="O652" i="1"/>
  <c r="P652" i="1" s="1"/>
  <c r="S651" i="1"/>
  <c r="O651" i="1"/>
  <c r="P651" i="1" s="1"/>
  <c r="S650" i="1"/>
  <c r="P650" i="1"/>
  <c r="O650" i="1"/>
  <c r="S649" i="1"/>
  <c r="O649" i="1"/>
  <c r="P649" i="1" s="1"/>
  <c r="S648" i="1"/>
  <c r="O648" i="1"/>
  <c r="P648" i="1" s="1"/>
  <c r="S647" i="1"/>
  <c r="O647" i="1"/>
  <c r="P647" i="1" s="1"/>
  <c r="S646" i="1"/>
  <c r="P646" i="1"/>
  <c r="O646" i="1"/>
  <c r="S645" i="1"/>
  <c r="O645" i="1"/>
  <c r="P645" i="1" s="1"/>
  <c r="S644" i="1"/>
  <c r="O644" i="1"/>
  <c r="P644" i="1" s="1"/>
  <c r="S643" i="1"/>
  <c r="O643" i="1"/>
  <c r="P643" i="1" s="1"/>
  <c r="S642" i="1"/>
  <c r="P642" i="1"/>
  <c r="O642" i="1"/>
  <c r="S641" i="1"/>
  <c r="O641" i="1"/>
  <c r="P641" i="1" s="1"/>
  <c r="S640" i="1"/>
  <c r="O640" i="1"/>
  <c r="P640" i="1" s="1"/>
  <c r="S639" i="1"/>
  <c r="O639" i="1"/>
  <c r="P639" i="1" s="1"/>
  <c r="S638" i="1"/>
  <c r="P638" i="1"/>
  <c r="O638" i="1"/>
  <c r="S637" i="1"/>
  <c r="O637" i="1"/>
  <c r="P637" i="1" s="1"/>
  <c r="S636" i="1"/>
  <c r="O636" i="1"/>
  <c r="P636" i="1" s="1"/>
  <c r="S635" i="1"/>
  <c r="O635" i="1"/>
  <c r="P635" i="1" s="1"/>
  <c r="S634" i="1"/>
  <c r="P634" i="1"/>
  <c r="O634" i="1"/>
  <c r="S633" i="1"/>
  <c r="O633" i="1"/>
  <c r="P633" i="1" s="1"/>
  <c r="S632" i="1"/>
  <c r="O632" i="1"/>
  <c r="P632" i="1" s="1"/>
  <c r="S631" i="1"/>
  <c r="O631" i="1"/>
  <c r="P631" i="1" s="1"/>
  <c r="S630" i="1"/>
  <c r="P630" i="1"/>
  <c r="O630" i="1"/>
  <c r="S629" i="1"/>
  <c r="O629" i="1"/>
  <c r="P629" i="1" s="1"/>
  <c r="S628" i="1"/>
  <c r="O628" i="1"/>
  <c r="P628" i="1" s="1"/>
  <c r="S627" i="1"/>
  <c r="O627" i="1"/>
  <c r="P627" i="1" s="1"/>
  <c r="S626" i="1"/>
  <c r="P626" i="1"/>
  <c r="O626" i="1"/>
  <c r="S625" i="1"/>
  <c r="O625" i="1"/>
  <c r="P625" i="1" s="1"/>
  <c r="S624" i="1"/>
  <c r="O624" i="1"/>
  <c r="P624" i="1" s="1"/>
  <c r="S623" i="1"/>
  <c r="O623" i="1"/>
  <c r="P623" i="1" s="1"/>
  <c r="S622" i="1"/>
  <c r="P622" i="1"/>
  <c r="O622" i="1"/>
  <c r="S621" i="1"/>
  <c r="O621" i="1"/>
  <c r="P621" i="1" s="1"/>
  <c r="S620" i="1"/>
  <c r="O620" i="1"/>
  <c r="P620" i="1" s="1"/>
  <c r="S619" i="1"/>
  <c r="O619" i="1"/>
  <c r="P619" i="1" s="1"/>
  <c r="S618" i="1"/>
  <c r="P618" i="1"/>
  <c r="O618" i="1"/>
  <c r="S617" i="1"/>
  <c r="O617" i="1"/>
  <c r="P617" i="1" s="1"/>
  <c r="S616" i="1"/>
  <c r="O616" i="1"/>
  <c r="P616" i="1" s="1"/>
  <c r="S615" i="1"/>
  <c r="O615" i="1"/>
  <c r="P615" i="1" s="1"/>
  <c r="S614" i="1"/>
  <c r="P614" i="1"/>
  <c r="O614" i="1"/>
  <c r="S613" i="1"/>
  <c r="O613" i="1"/>
  <c r="P613" i="1" s="1"/>
  <c r="S612" i="1"/>
  <c r="O612" i="1"/>
  <c r="P612" i="1" s="1"/>
  <c r="S611" i="1"/>
  <c r="O611" i="1"/>
  <c r="P611" i="1" s="1"/>
  <c r="S610" i="1"/>
  <c r="P610" i="1"/>
  <c r="O610" i="1"/>
  <c r="S609" i="1"/>
  <c r="O609" i="1"/>
  <c r="P609" i="1" s="1"/>
  <c r="S608" i="1"/>
  <c r="O608" i="1"/>
  <c r="P608" i="1" s="1"/>
  <c r="S607" i="1"/>
  <c r="O607" i="1"/>
  <c r="P607" i="1" s="1"/>
  <c r="S606" i="1"/>
  <c r="P606" i="1"/>
  <c r="O606" i="1"/>
  <c r="S605" i="1"/>
  <c r="O605" i="1"/>
  <c r="P605" i="1" s="1"/>
  <c r="S604" i="1"/>
  <c r="O604" i="1"/>
  <c r="P604" i="1" s="1"/>
  <c r="S603" i="1"/>
  <c r="O603" i="1"/>
  <c r="P603" i="1" s="1"/>
  <c r="S602" i="1"/>
  <c r="P602" i="1"/>
  <c r="O602" i="1"/>
  <c r="S601" i="1"/>
  <c r="O601" i="1"/>
  <c r="P601" i="1" s="1"/>
  <c r="S600" i="1"/>
  <c r="O600" i="1"/>
  <c r="P600" i="1" s="1"/>
  <c r="S599" i="1"/>
  <c r="O599" i="1"/>
  <c r="P599" i="1" s="1"/>
  <c r="S598" i="1"/>
  <c r="P598" i="1"/>
  <c r="O598" i="1"/>
  <c r="S597" i="1"/>
  <c r="O597" i="1"/>
  <c r="P597" i="1" s="1"/>
  <c r="S596" i="1"/>
  <c r="O596" i="1"/>
  <c r="P596" i="1" s="1"/>
  <c r="S595" i="1"/>
  <c r="O595" i="1"/>
  <c r="P595" i="1" s="1"/>
  <c r="S594" i="1"/>
  <c r="P594" i="1"/>
  <c r="O594" i="1"/>
  <c r="S593" i="1"/>
  <c r="O593" i="1"/>
  <c r="P593" i="1" s="1"/>
  <c r="S592" i="1"/>
  <c r="O592" i="1"/>
  <c r="P592" i="1" s="1"/>
  <c r="S591" i="1"/>
  <c r="O591" i="1"/>
  <c r="P591" i="1" s="1"/>
  <c r="S590" i="1"/>
  <c r="P590" i="1"/>
  <c r="O590" i="1"/>
  <c r="S589" i="1"/>
  <c r="O589" i="1"/>
  <c r="P589" i="1" s="1"/>
  <c r="S588" i="1"/>
  <c r="O588" i="1"/>
  <c r="P588" i="1" s="1"/>
  <c r="S587" i="1"/>
  <c r="O587" i="1"/>
  <c r="P587" i="1" s="1"/>
  <c r="S586" i="1"/>
  <c r="P586" i="1"/>
  <c r="O586" i="1"/>
  <c r="S585" i="1"/>
  <c r="O585" i="1"/>
  <c r="P585" i="1" s="1"/>
  <c r="S584" i="1"/>
  <c r="O584" i="1"/>
  <c r="P584" i="1" s="1"/>
  <c r="S583" i="1"/>
  <c r="O583" i="1"/>
  <c r="P583" i="1" s="1"/>
  <c r="S582" i="1"/>
  <c r="P582" i="1"/>
  <c r="O582" i="1"/>
  <c r="S581" i="1"/>
  <c r="O581" i="1"/>
  <c r="P581" i="1" s="1"/>
  <c r="S580" i="1"/>
  <c r="O580" i="1"/>
  <c r="P580" i="1" s="1"/>
  <c r="S579" i="1"/>
  <c r="O579" i="1"/>
  <c r="P579" i="1" s="1"/>
  <c r="S578" i="1"/>
  <c r="P578" i="1"/>
  <c r="O578" i="1"/>
  <c r="S577" i="1"/>
  <c r="O577" i="1"/>
  <c r="P577" i="1" s="1"/>
  <c r="S576" i="1"/>
  <c r="O576" i="1"/>
  <c r="P576" i="1" s="1"/>
  <c r="S575" i="1"/>
  <c r="O575" i="1"/>
  <c r="P575" i="1" s="1"/>
  <c r="S574" i="1"/>
  <c r="P574" i="1"/>
  <c r="O574" i="1"/>
  <c r="S573" i="1"/>
  <c r="O573" i="1"/>
  <c r="P573" i="1" s="1"/>
  <c r="S572" i="1"/>
  <c r="O572" i="1"/>
  <c r="P572" i="1" s="1"/>
  <c r="S571" i="1"/>
  <c r="O571" i="1"/>
  <c r="P571" i="1" s="1"/>
  <c r="S570" i="1"/>
  <c r="P570" i="1"/>
  <c r="O570" i="1"/>
  <c r="S569" i="1"/>
  <c r="O569" i="1"/>
  <c r="P569" i="1" s="1"/>
  <c r="S568" i="1"/>
  <c r="O568" i="1"/>
  <c r="P568" i="1" s="1"/>
  <c r="S567" i="1"/>
  <c r="O567" i="1"/>
  <c r="P567" i="1" s="1"/>
  <c r="S566" i="1"/>
  <c r="P566" i="1"/>
  <c r="O566" i="1"/>
  <c r="S565" i="1"/>
  <c r="O565" i="1"/>
  <c r="P565" i="1" s="1"/>
  <c r="S564" i="1"/>
  <c r="O564" i="1"/>
  <c r="P564" i="1" s="1"/>
  <c r="S563" i="1"/>
  <c r="O563" i="1"/>
  <c r="P563" i="1" s="1"/>
  <c r="S562" i="1"/>
  <c r="P562" i="1"/>
  <c r="O562" i="1"/>
  <c r="S561" i="1"/>
  <c r="O561" i="1"/>
  <c r="P561" i="1" s="1"/>
  <c r="S560" i="1"/>
  <c r="O560" i="1"/>
  <c r="P560" i="1" s="1"/>
  <c r="S559" i="1"/>
  <c r="O559" i="1"/>
  <c r="P559" i="1" s="1"/>
  <c r="S558" i="1"/>
  <c r="P558" i="1"/>
  <c r="O558" i="1"/>
  <c r="S557" i="1"/>
  <c r="O557" i="1"/>
  <c r="P557" i="1" s="1"/>
  <c r="S556" i="1"/>
  <c r="O556" i="1"/>
  <c r="P556" i="1" s="1"/>
  <c r="S555" i="1"/>
  <c r="O555" i="1"/>
  <c r="P555" i="1" s="1"/>
  <c r="S554" i="1"/>
  <c r="P554" i="1"/>
  <c r="O554" i="1"/>
  <c r="S553" i="1"/>
  <c r="O553" i="1"/>
  <c r="P553" i="1" s="1"/>
  <c r="S552" i="1"/>
  <c r="O552" i="1"/>
  <c r="P552" i="1" s="1"/>
  <c r="S551" i="1"/>
  <c r="O551" i="1"/>
  <c r="P551" i="1" s="1"/>
  <c r="S550" i="1"/>
  <c r="P550" i="1"/>
  <c r="O550" i="1"/>
  <c r="S549" i="1"/>
  <c r="O549" i="1"/>
  <c r="P549" i="1" s="1"/>
  <c r="S548" i="1"/>
  <c r="O548" i="1"/>
  <c r="P548" i="1" s="1"/>
  <c r="S547" i="1"/>
  <c r="P547" i="1"/>
  <c r="O547" i="1"/>
  <c r="S546" i="1"/>
  <c r="P546" i="1"/>
  <c r="O546" i="1"/>
  <c r="S545" i="1"/>
  <c r="O545" i="1"/>
  <c r="P545" i="1" s="1"/>
  <c r="S544" i="1"/>
  <c r="O544" i="1"/>
  <c r="P544" i="1" s="1"/>
  <c r="S543" i="1"/>
  <c r="O543" i="1"/>
  <c r="P543" i="1" s="1"/>
  <c r="S542" i="1"/>
  <c r="P542" i="1"/>
  <c r="O542" i="1"/>
  <c r="S541" i="1"/>
  <c r="O541" i="1"/>
  <c r="P541" i="1" s="1"/>
  <c r="S540" i="1"/>
  <c r="O540" i="1"/>
  <c r="P540" i="1" s="1"/>
  <c r="S539" i="1"/>
  <c r="O539" i="1"/>
  <c r="P539" i="1" s="1"/>
  <c r="S538" i="1"/>
  <c r="P538" i="1"/>
  <c r="O538" i="1"/>
  <c r="S537" i="1"/>
  <c r="O537" i="1"/>
  <c r="P537" i="1" s="1"/>
  <c r="S536" i="1"/>
  <c r="O536" i="1"/>
  <c r="P536" i="1" s="1"/>
  <c r="S535" i="1"/>
  <c r="O535" i="1"/>
  <c r="P535" i="1" s="1"/>
  <c r="S534" i="1"/>
  <c r="P534" i="1"/>
  <c r="O534" i="1"/>
  <c r="S533" i="1"/>
  <c r="O533" i="1"/>
  <c r="P533" i="1" s="1"/>
  <c r="S532" i="1"/>
  <c r="O532" i="1"/>
  <c r="P532" i="1" s="1"/>
  <c r="S531" i="1"/>
  <c r="O531" i="1"/>
  <c r="P531" i="1" s="1"/>
  <c r="S530" i="1"/>
  <c r="P530" i="1"/>
  <c r="O530" i="1"/>
  <c r="S529" i="1"/>
  <c r="O529" i="1"/>
  <c r="P529" i="1" s="1"/>
  <c r="S528" i="1"/>
  <c r="O528" i="1"/>
  <c r="P528" i="1" s="1"/>
  <c r="S527" i="1"/>
  <c r="O527" i="1"/>
  <c r="P527" i="1" s="1"/>
  <c r="S526" i="1"/>
  <c r="P526" i="1"/>
  <c r="O526" i="1"/>
  <c r="S525" i="1"/>
  <c r="O525" i="1"/>
  <c r="P525" i="1" s="1"/>
  <c r="S524" i="1"/>
  <c r="O524" i="1"/>
  <c r="P524" i="1" s="1"/>
  <c r="S523" i="1"/>
  <c r="P523" i="1"/>
  <c r="O523" i="1"/>
  <c r="S522" i="1"/>
  <c r="P522" i="1"/>
  <c r="O522" i="1"/>
  <c r="S521" i="1"/>
  <c r="O521" i="1"/>
  <c r="P521" i="1" s="1"/>
  <c r="S520" i="1"/>
  <c r="O520" i="1"/>
  <c r="P520" i="1" s="1"/>
  <c r="S519" i="1"/>
  <c r="O519" i="1"/>
  <c r="P519" i="1" s="1"/>
  <c r="S518" i="1"/>
  <c r="P518" i="1"/>
  <c r="O518" i="1"/>
  <c r="S517" i="1"/>
  <c r="O517" i="1"/>
  <c r="P517" i="1" s="1"/>
  <c r="S516" i="1"/>
  <c r="O516" i="1"/>
  <c r="P516" i="1" s="1"/>
  <c r="S515" i="1"/>
  <c r="O515" i="1"/>
  <c r="P515" i="1" s="1"/>
  <c r="S514" i="1"/>
  <c r="P514" i="1"/>
  <c r="O514" i="1"/>
  <c r="S513" i="1"/>
  <c r="O513" i="1"/>
  <c r="P513" i="1" s="1"/>
  <c r="S512" i="1"/>
  <c r="O512" i="1"/>
  <c r="P512" i="1" s="1"/>
  <c r="S511" i="1"/>
  <c r="O511" i="1"/>
  <c r="P511" i="1" s="1"/>
  <c r="S510" i="1"/>
  <c r="P510" i="1"/>
  <c r="O510" i="1"/>
  <c r="S509" i="1"/>
  <c r="O509" i="1"/>
  <c r="P509" i="1" s="1"/>
  <c r="S508" i="1"/>
  <c r="O508" i="1"/>
  <c r="P508" i="1" s="1"/>
  <c r="S507" i="1"/>
  <c r="O507" i="1"/>
  <c r="P507" i="1" s="1"/>
  <c r="S506" i="1"/>
  <c r="P506" i="1"/>
  <c r="O506" i="1"/>
  <c r="S505" i="1"/>
  <c r="O505" i="1"/>
  <c r="P505" i="1" s="1"/>
  <c r="S504" i="1"/>
  <c r="O504" i="1"/>
  <c r="P504" i="1" s="1"/>
  <c r="S503" i="1"/>
  <c r="O503" i="1"/>
  <c r="P503" i="1" s="1"/>
  <c r="S502" i="1"/>
  <c r="P502" i="1"/>
  <c r="O502" i="1"/>
  <c r="S501" i="1"/>
  <c r="O501" i="1"/>
  <c r="P501" i="1" s="1"/>
  <c r="S500" i="1"/>
  <c r="O500" i="1"/>
  <c r="P500" i="1" s="1"/>
  <c r="S499" i="1"/>
  <c r="P499" i="1"/>
  <c r="O499" i="1"/>
  <c r="S498" i="1"/>
  <c r="P498" i="1"/>
  <c r="O498" i="1"/>
  <c r="S497" i="1"/>
  <c r="O497" i="1"/>
  <c r="P497" i="1" s="1"/>
  <c r="S496" i="1"/>
  <c r="O496" i="1"/>
  <c r="P496" i="1" s="1"/>
  <c r="S495" i="1"/>
  <c r="O495" i="1"/>
  <c r="P495" i="1" s="1"/>
  <c r="S494" i="1"/>
  <c r="P494" i="1"/>
  <c r="O494" i="1"/>
  <c r="S493" i="1"/>
  <c r="O493" i="1"/>
  <c r="P493" i="1" s="1"/>
  <c r="S492" i="1"/>
  <c r="O492" i="1"/>
  <c r="P492" i="1" s="1"/>
  <c r="S491" i="1"/>
  <c r="O491" i="1"/>
  <c r="P491" i="1" s="1"/>
  <c r="S490" i="1"/>
  <c r="P490" i="1"/>
  <c r="O490" i="1"/>
  <c r="S489" i="1"/>
  <c r="O489" i="1"/>
  <c r="P489" i="1" s="1"/>
  <c r="S488" i="1"/>
  <c r="O488" i="1"/>
  <c r="P488" i="1" s="1"/>
  <c r="S487" i="1"/>
  <c r="O487" i="1"/>
  <c r="P487" i="1" s="1"/>
  <c r="S486" i="1"/>
  <c r="P486" i="1"/>
  <c r="O486" i="1"/>
  <c r="S485" i="1"/>
  <c r="O485" i="1"/>
  <c r="P485" i="1" s="1"/>
  <c r="S484" i="1"/>
  <c r="O484" i="1"/>
  <c r="P484" i="1" s="1"/>
  <c r="S483" i="1"/>
  <c r="O483" i="1"/>
  <c r="P483" i="1" s="1"/>
  <c r="S482" i="1"/>
  <c r="P482" i="1"/>
  <c r="O482" i="1"/>
  <c r="S481" i="1"/>
  <c r="O481" i="1"/>
  <c r="P481" i="1" s="1"/>
  <c r="S480" i="1"/>
  <c r="O480" i="1"/>
  <c r="P480" i="1" s="1"/>
  <c r="S479" i="1"/>
  <c r="O479" i="1"/>
  <c r="P479" i="1" s="1"/>
  <c r="S478" i="1"/>
  <c r="P478" i="1"/>
  <c r="O478" i="1"/>
  <c r="S477" i="1"/>
  <c r="O477" i="1"/>
  <c r="P477" i="1" s="1"/>
  <c r="S476" i="1"/>
  <c r="O476" i="1"/>
  <c r="P476" i="1" s="1"/>
  <c r="S475" i="1"/>
  <c r="P475" i="1"/>
  <c r="O475" i="1"/>
  <c r="S474" i="1"/>
  <c r="P474" i="1"/>
  <c r="O474" i="1"/>
  <c r="S473" i="1"/>
  <c r="O473" i="1"/>
  <c r="P473" i="1" s="1"/>
  <c r="S472" i="1"/>
  <c r="O472" i="1"/>
  <c r="P472" i="1" s="1"/>
  <c r="S471" i="1"/>
  <c r="O471" i="1"/>
  <c r="P471" i="1" s="1"/>
  <c r="S470" i="1"/>
  <c r="P470" i="1"/>
  <c r="O470" i="1"/>
  <c r="S469" i="1"/>
  <c r="O469" i="1"/>
  <c r="P469" i="1" s="1"/>
  <c r="S468" i="1"/>
  <c r="O468" i="1"/>
  <c r="P468" i="1" s="1"/>
  <c r="S467" i="1"/>
  <c r="O467" i="1"/>
  <c r="P467" i="1" s="1"/>
  <c r="S466" i="1"/>
  <c r="P466" i="1"/>
  <c r="O466" i="1"/>
  <c r="S465" i="1"/>
  <c r="O465" i="1"/>
  <c r="P465" i="1" s="1"/>
  <c r="S464" i="1"/>
  <c r="O464" i="1"/>
  <c r="P464" i="1" s="1"/>
  <c r="S463" i="1"/>
  <c r="O463" i="1"/>
  <c r="P463" i="1" s="1"/>
  <c r="S462" i="1"/>
  <c r="P462" i="1"/>
  <c r="O462" i="1"/>
  <c r="S461" i="1"/>
  <c r="O461" i="1"/>
  <c r="P461" i="1" s="1"/>
  <c r="S460" i="1"/>
  <c r="O460" i="1"/>
  <c r="P460" i="1" s="1"/>
  <c r="S459" i="1"/>
  <c r="O459" i="1"/>
  <c r="P459" i="1" s="1"/>
  <c r="S458" i="1"/>
  <c r="P458" i="1"/>
  <c r="O458" i="1"/>
  <c r="S457" i="1"/>
  <c r="O457" i="1"/>
  <c r="P457" i="1" s="1"/>
  <c r="S456" i="1"/>
  <c r="O456" i="1"/>
  <c r="P456" i="1" s="1"/>
  <c r="S455" i="1"/>
  <c r="O455" i="1"/>
  <c r="P455" i="1" s="1"/>
  <c r="S454" i="1"/>
  <c r="P454" i="1"/>
  <c r="O454" i="1"/>
  <c r="S453" i="1"/>
  <c r="O453" i="1"/>
  <c r="P453" i="1" s="1"/>
  <c r="S452" i="1"/>
  <c r="O452" i="1"/>
  <c r="P452" i="1" s="1"/>
  <c r="S451" i="1"/>
  <c r="P451" i="1"/>
  <c r="O451" i="1"/>
  <c r="S450" i="1"/>
  <c r="P450" i="1"/>
  <c r="O450" i="1"/>
  <c r="S449" i="1"/>
  <c r="O449" i="1"/>
  <c r="P449" i="1" s="1"/>
  <c r="S448" i="1"/>
  <c r="O448" i="1"/>
  <c r="P448" i="1" s="1"/>
  <c r="S447" i="1"/>
  <c r="O447" i="1"/>
  <c r="P447" i="1" s="1"/>
  <c r="S446" i="1"/>
  <c r="P446" i="1"/>
  <c r="O446" i="1"/>
  <c r="S445" i="1"/>
  <c r="O445" i="1"/>
  <c r="P445" i="1" s="1"/>
  <c r="S444" i="1"/>
  <c r="O444" i="1"/>
  <c r="P444" i="1" s="1"/>
  <c r="S443" i="1"/>
  <c r="O443" i="1"/>
  <c r="P443" i="1" s="1"/>
  <c r="S442" i="1"/>
  <c r="P442" i="1"/>
  <c r="O442" i="1"/>
  <c r="S441" i="1"/>
  <c r="O441" i="1"/>
  <c r="P441" i="1" s="1"/>
  <c r="S440" i="1"/>
  <c r="O440" i="1"/>
  <c r="P440" i="1" s="1"/>
  <c r="S439" i="1"/>
  <c r="O439" i="1"/>
  <c r="P439" i="1" s="1"/>
  <c r="S438" i="1"/>
  <c r="P438" i="1"/>
  <c r="O438" i="1"/>
  <c r="S437" i="1"/>
  <c r="O437" i="1"/>
  <c r="P437" i="1" s="1"/>
  <c r="S436" i="1"/>
  <c r="O436" i="1"/>
  <c r="P436" i="1" s="1"/>
  <c r="S435" i="1"/>
  <c r="O435" i="1"/>
  <c r="P435" i="1" s="1"/>
  <c r="S434" i="1"/>
  <c r="P434" i="1"/>
  <c r="O434" i="1"/>
  <c r="S433" i="1"/>
  <c r="O433" i="1"/>
  <c r="P433" i="1" s="1"/>
  <c r="S432" i="1"/>
  <c r="O432" i="1"/>
  <c r="P432" i="1" s="1"/>
  <c r="S431" i="1"/>
  <c r="O431" i="1"/>
  <c r="P431" i="1" s="1"/>
  <c r="S430" i="1"/>
  <c r="P430" i="1"/>
  <c r="O430" i="1"/>
  <c r="S429" i="1"/>
  <c r="O429" i="1"/>
  <c r="P429" i="1" s="1"/>
  <c r="S428" i="1"/>
  <c r="O428" i="1"/>
  <c r="P428" i="1" s="1"/>
  <c r="S427" i="1"/>
  <c r="P427" i="1"/>
  <c r="O427" i="1"/>
  <c r="S426" i="1"/>
  <c r="P426" i="1"/>
  <c r="O426" i="1"/>
  <c r="S425" i="1"/>
  <c r="O425" i="1"/>
  <c r="P425" i="1" s="1"/>
  <c r="S424" i="1"/>
  <c r="O424" i="1"/>
  <c r="P424" i="1" s="1"/>
  <c r="S423" i="1"/>
  <c r="O423" i="1"/>
  <c r="P423" i="1" s="1"/>
  <c r="S422" i="1"/>
  <c r="P422" i="1"/>
  <c r="O422" i="1"/>
  <c r="S421" i="1"/>
  <c r="O421" i="1"/>
  <c r="P421" i="1" s="1"/>
  <c r="S420" i="1"/>
  <c r="O420" i="1"/>
  <c r="P420" i="1" s="1"/>
  <c r="S419" i="1"/>
  <c r="O419" i="1"/>
  <c r="P419" i="1" s="1"/>
  <c r="S418" i="1"/>
  <c r="P418" i="1"/>
  <c r="O418" i="1"/>
  <c r="S417" i="1"/>
  <c r="O417" i="1"/>
  <c r="P417" i="1" s="1"/>
  <c r="S416" i="1"/>
  <c r="O416" i="1"/>
  <c r="P416" i="1" s="1"/>
  <c r="S415" i="1"/>
  <c r="O415" i="1"/>
  <c r="P415" i="1" s="1"/>
  <c r="S414" i="1"/>
  <c r="P414" i="1"/>
  <c r="O414" i="1"/>
  <c r="S413" i="1"/>
  <c r="O413" i="1"/>
  <c r="P413" i="1" s="1"/>
  <c r="S412" i="1"/>
  <c r="O412" i="1"/>
  <c r="P412" i="1" s="1"/>
  <c r="S411" i="1"/>
  <c r="O411" i="1"/>
  <c r="P411" i="1" s="1"/>
  <c r="S410" i="1"/>
  <c r="P410" i="1"/>
  <c r="O410" i="1"/>
  <c r="S409" i="1"/>
  <c r="O409" i="1"/>
  <c r="P409" i="1" s="1"/>
  <c r="S408" i="1"/>
  <c r="O408" i="1"/>
  <c r="P408" i="1" s="1"/>
  <c r="S407" i="1"/>
  <c r="O407" i="1"/>
  <c r="P407" i="1" s="1"/>
  <c r="S406" i="1"/>
  <c r="P406" i="1"/>
  <c r="O406" i="1"/>
  <c r="S405" i="1"/>
  <c r="O405" i="1"/>
  <c r="P405" i="1" s="1"/>
  <c r="S404" i="1"/>
  <c r="O404" i="1"/>
  <c r="P404" i="1" s="1"/>
  <c r="S403" i="1"/>
  <c r="P403" i="1"/>
  <c r="O403" i="1"/>
  <c r="S402" i="1"/>
  <c r="P402" i="1"/>
  <c r="O402" i="1"/>
  <c r="S401" i="1"/>
  <c r="O401" i="1"/>
  <c r="P401" i="1" s="1"/>
  <c r="S400" i="1"/>
  <c r="O400" i="1"/>
  <c r="P400" i="1" s="1"/>
  <c r="S399" i="1"/>
  <c r="O399" i="1"/>
  <c r="P399" i="1" s="1"/>
  <c r="S398" i="1"/>
  <c r="P398" i="1"/>
  <c r="O398" i="1"/>
  <c r="S397" i="1"/>
  <c r="O397" i="1"/>
  <c r="P397" i="1" s="1"/>
  <c r="S396" i="1"/>
  <c r="O396" i="1"/>
  <c r="P396" i="1" s="1"/>
  <c r="S395" i="1"/>
  <c r="O395" i="1"/>
  <c r="P395" i="1" s="1"/>
  <c r="S394" i="1"/>
  <c r="P394" i="1"/>
  <c r="O394" i="1"/>
  <c r="S393" i="1"/>
  <c r="O393" i="1"/>
  <c r="P393" i="1" s="1"/>
  <c r="S392" i="1"/>
  <c r="O392" i="1"/>
  <c r="P392" i="1" s="1"/>
  <c r="S391" i="1"/>
  <c r="O391" i="1"/>
  <c r="P391" i="1" s="1"/>
  <c r="S390" i="1"/>
  <c r="P390" i="1"/>
  <c r="O390" i="1"/>
  <c r="S389" i="1"/>
  <c r="O389" i="1"/>
  <c r="P389" i="1" s="1"/>
  <c r="S388" i="1"/>
  <c r="O388" i="1"/>
  <c r="P388" i="1" s="1"/>
  <c r="S387" i="1"/>
  <c r="O387" i="1"/>
  <c r="P387" i="1" s="1"/>
  <c r="S386" i="1"/>
  <c r="P386" i="1"/>
  <c r="O386" i="1"/>
  <c r="S385" i="1"/>
  <c r="O385" i="1"/>
  <c r="P385" i="1" s="1"/>
  <c r="S384" i="1"/>
  <c r="O384" i="1"/>
  <c r="P384" i="1" s="1"/>
  <c r="S383" i="1"/>
  <c r="O383" i="1"/>
  <c r="P383" i="1" s="1"/>
  <c r="S382" i="1"/>
  <c r="P382" i="1"/>
  <c r="O382" i="1"/>
  <c r="S381" i="1"/>
  <c r="O381" i="1"/>
  <c r="P381" i="1" s="1"/>
  <c r="S380" i="1"/>
  <c r="O380" i="1"/>
  <c r="P380" i="1" s="1"/>
  <c r="S379" i="1"/>
  <c r="P379" i="1"/>
  <c r="O379" i="1"/>
  <c r="S378" i="1"/>
  <c r="P378" i="1"/>
  <c r="O378" i="1"/>
  <c r="S377" i="1"/>
  <c r="O377" i="1"/>
  <c r="P377" i="1" s="1"/>
  <c r="S376" i="1"/>
  <c r="O376" i="1"/>
  <c r="P376" i="1" s="1"/>
  <c r="S375" i="1"/>
  <c r="O375" i="1"/>
  <c r="P375" i="1" s="1"/>
  <c r="S374" i="1"/>
  <c r="P374" i="1"/>
  <c r="O374" i="1"/>
  <c r="S373" i="1"/>
  <c r="O373" i="1"/>
  <c r="P373" i="1" s="1"/>
  <c r="S372" i="1"/>
  <c r="O372" i="1"/>
  <c r="P372" i="1" s="1"/>
  <c r="S371" i="1"/>
  <c r="O371" i="1"/>
  <c r="P371" i="1" s="1"/>
  <c r="S370" i="1"/>
  <c r="P370" i="1"/>
  <c r="O370" i="1"/>
  <c r="S369" i="1"/>
  <c r="O369" i="1"/>
  <c r="P369" i="1" s="1"/>
  <c r="S368" i="1"/>
  <c r="O368" i="1"/>
  <c r="P368" i="1" s="1"/>
  <c r="S367" i="1"/>
  <c r="O367" i="1"/>
  <c r="P367" i="1" s="1"/>
  <c r="S366" i="1"/>
  <c r="P366" i="1"/>
  <c r="O366" i="1"/>
  <c r="S365" i="1"/>
  <c r="O365" i="1"/>
  <c r="P365" i="1" s="1"/>
  <c r="S364" i="1"/>
  <c r="O364" i="1"/>
  <c r="P364" i="1" s="1"/>
  <c r="S363" i="1"/>
  <c r="O363" i="1"/>
  <c r="P363" i="1" s="1"/>
  <c r="S362" i="1"/>
  <c r="P362" i="1"/>
  <c r="O362" i="1"/>
  <c r="S361" i="1"/>
  <c r="O361" i="1"/>
  <c r="P361" i="1" s="1"/>
  <c r="S360" i="1"/>
  <c r="O360" i="1"/>
  <c r="P360" i="1" s="1"/>
  <c r="S359" i="1"/>
  <c r="O359" i="1"/>
  <c r="P359" i="1" s="1"/>
  <c r="S358" i="1"/>
  <c r="P358" i="1"/>
  <c r="O358" i="1"/>
  <c r="S357" i="1"/>
  <c r="O357" i="1"/>
  <c r="P357" i="1" s="1"/>
  <c r="S356" i="1"/>
  <c r="O356" i="1"/>
  <c r="P356" i="1" s="1"/>
  <c r="S355" i="1"/>
  <c r="P355" i="1"/>
  <c r="O355" i="1"/>
  <c r="S354" i="1"/>
  <c r="P354" i="1"/>
  <c r="O354" i="1"/>
  <c r="S353" i="1"/>
  <c r="O353" i="1"/>
  <c r="P353" i="1" s="1"/>
  <c r="S352" i="1"/>
  <c r="O352" i="1"/>
  <c r="P352" i="1" s="1"/>
  <c r="S351" i="1"/>
  <c r="O351" i="1"/>
  <c r="P351" i="1" s="1"/>
  <c r="S350" i="1"/>
  <c r="P350" i="1"/>
  <c r="O350" i="1"/>
  <c r="S349" i="1"/>
  <c r="O349" i="1"/>
  <c r="P349" i="1" s="1"/>
  <c r="S348" i="1"/>
  <c r="O348" i="1"/>
  <c r="P348" i="1" s="1"/>
  <c r="S347" i="1"/>
  <c r="O347" i="1"/>
  <c r="P347" i="1" s="1"/>
  <c r="S346" i="1"/>
  <c r="P346" i="1"/>
  <c r="O346" i="1"/>
  <c r="S345" i="1"/>
  <c r="O345" i="1"/>
  <c r="P345" i="1" s="1"/>
  <c r="S344" i="1"/>
  <c r="O344" i="1"/>
  <c r="P344" i="1" s="1"/>
  <c r="S343" i="1"/>
  <c r="O343" i="1"/>
  <c r="P343" i="1" s="1"/>
  <c r="S342" i="1"/>
  <c r="P342" i="1"/>
  <c r="O342" i="1"/>
  <c r="S341" i="1"/>
  <c r="O341" i="1"/>
  <c r="P341" i="1" s="1"/>
  <c r="S340" i="1"/>
  <c r="O340" i="1"/>
  <c r="P340" i="1" s="1"/>
  <c r="S339" i="1"/>
  <c r="O339" i="1"/>
  <c r="P339" i="1" s="1"/>
  <c r="S338" i="1"/>
  <c r="P338" i="1"/>
  <c r="O338" i="1"/>
  <c r="S337" i="1"/>
  <c r="O337" i="1"/>
  <c r="P337" i="1" s="1"/>
  <c r="S336" i="1"/>
  <c r="O336" i="1"/>
  <c r="P336" i="1" s="1"/>
  <c r="S335" i="1"/>
  <c r="O335" i="1"/>
  <c r="P335" i="1" s="1"/>
  <c r="S334" i="1"/>
  <c r="P334" i="1"/>
  <c r="O334" i="1"/>
  <c r="S333" i="1"/>
  <c r="O333" i="1"/>
  <c r="P333" i="1" s="1"/>
  <c r="S332" i="1"/>
  <c r="O332" i="1"/>
  <c r="P332" i="1" s="1"/>
  <c r="S331" i="1"/>
  <c r="P331" i="1"/>
  <c r="O331" i="1"/>
  <c r="S330" i="1"/>
  <c r="P330" i="1"/>
  <c r="O330" i="1"/>
  <c r="S329" i="1"/>
  <c r="O329" i="1"/>
  <c r="P329" i="1" s="1"/>
  <c r="S328" i="1"/>
  <c r="O328" i="1"/>
  <c r="P328" i="1" s="1"/>
  <c r="S327" i="1"/>
  <c r="O327" i="1"/>
  <c r="P327" i="1" s="1"/>
  <c r="S326" i="1"/>
  <c r="P326" i="1"/>
  <c r="O326" i="1"/>
  <c r="S325" i="1"/>
  <c r="O325" i="1"/>
  <c r="P325" i="1" s="1"/>
  <c r="S324" i="1"/>
  <c r="O324" i="1"/>
  <c r="P324" i="1" s="1"/>
  <c r="S323" i="1"/>
  <c r="O323" i="1"/>
  <c r="P323" i="1" s="1"/>
  <c r="S322" i="1"/>
  <c r="P322" i="1"/>
  <c r="O322" i="1"/>
  <c r="S321" i="1"/>
  <c r="O321" i="1"/>
  <c r="P321" i="1" s="1"/>
  <c r="S320" i="1"/>
  <c r="O320" i="1"/>
  <c r="P320" i="1" s="1"/>
  <c r="S319" i="1"/>
  <c r="O319" i="1"/>
  <c r="P319" i="1" s="1"/>
  <c r="S318" i="1"/>
  <c r="P318" i="1"/>
  <c r="O318" i="1"/>
  <c r="S317" i="1"/>
  <c r="O317" i="1"/>
  <c r="P317" i="1" s="1"/>
  <c r="S316" i="1"/>
  <c r="O316" i="1"/>
  <c r="P316" i="1" s="1"/>
  <c r="S315" i="1"/>
  <c r="O315" i="1"/>
  <c r="P315" i="1" s="1"/>
  <c r="S314" i="1"/>
  <c r="P314" i="1"/>
  <c r="O314" i="1"/>
  <c r="S313" i="1"/>
  <c r="O313" i="1"/>
  <c r="P313" i="1" s="1"/>
  <c r="S312" i="1"/>
  <c r="O312" i="1"/>
  <c r="P312" i="1" s="1"/>
  <c r="S311" i="1"/>
  <c r="O311" i="1"/>
  <c r="P311" i="1" s="1"/>
  <c r="S310" i="1"/>
  <c r="P310" i="1"/>
  <c r="O310" i="1"/>
  <c r="S309" i="1"/>
  <c r="O309" i="1"/>
  <c r="P309" i="1" s="1"/>
  <c r="S308" i="1"/>
  <c r="O308" i="1"/>
  <c r="P308" i="1" s="1"/>
  <c r="S307" i="1"/>
  <c r="P307" i="1"/>
  <c r="O307" i="1"/>
  <c r="S306" i="1"/>
  <c r="P306" i="1"/>
  <c r="O306" i="1"/>
  <c r="S305" i="1"/>
  <c r="O305" i="1"/>
  <c r="P305" i="1" s="1"/>
  <c r="S304" i="1"/>
  <c r="O304" i="1"/>
  <c r="P304" i="1" s="1"/>
  <c r="S303" i="1"/>
  <c r="O303" i="1"/>
  <c r="P303" i="1" s="1"/>
  <c r="S302" i="1"/>
  <c r="P302" i="1"/>
  <c r="O302" i="1"/>
  <c r="S301" i="1"/>
  <c r="O301" i="1"/>
  <c r="P301" i="1" s="1"/>
  <c r="S300" i="1"/>
  <c r="O300" i="1"/>
  <c r="P300" i="1" s="1"/>
  <c r="S299" i="1"/>
  <c r="O299" i="1"/>
  <c r="P299" i="1" s="1"/>
  <c r="S298" i="1"/>
  <c r="P298" i="1"/>
  <c r="O298" i="1"/>
  <c r="S297" i="1"/>
  <c r="O297" i="1"/>
  <c r="P297" i="1" s="1"/>
  <c r="S296" i="1"/>
  <c r="O296" i="1"/>
  <c r="P296" i="1" s="1"/>
  <c r="S295" i="1"/>
  <c r="O295" i="1"/>
  <c r="P295" i="1" s="1"/>
  <c r="S294" i="1"/>
  <c r="P294" i="1"/>
  <c r="O294" i="1"/>
  <c r="S293" i="1"/>
  <c r="O293" i="1"/>
  <c r="P293" i="1" s="1"/>
  <c r="S292" i="1"/>
  <c r="O292" i="1"/>
  <c r="P292" i="1" s="1"/>
  <c r="S291" i="1"/>
  <c r="O291" i="1"/>
  <c r="P291" i="1" s="1"/>
  <c r="S290" i="1"/>
  <c r="P290" i="1"/>
  <c r="O290" i="1"/>
  <c r="S289" i="1"/>
  <c r="O289" i="1"/>
  <c r="P289" i="1" s="1"/>
  <c r="S288" i="1"/>
  <c r="O288" i="1"/>
  <c r="P288" i="1" s="1"/>
  <c r="S287" i="1"/>
  <c r="O287" i="1"/>
  <c r="P287" i="1" s="1"/>
  <c r="S286" i="1"/>
  <c r="P286" i="1"/>
  <c r="O286" i="1"/>
  <c r="S285" i="1"/>
  <c r="O285" i="1"/>
  <c r="P285" i="1" s="1"/>
  <c r="S284" i="1"/>
  <c r="O284" i="1"/>
  <c r="P284" i="1" s="1"/>
  <c r="S283" i="1"/>
  <c r="P283" i="1"/>
  <c r="O283" i="1"/>
  <c r="S282" i="1"/>
  <c r="P282" i="1"/>
  <c r="O282" i="1"/>
  <c r="S281" i="1"/>
  <c r="O281" i="1"/>
  <c r="P281" i="1" s="1"/>
  <c r="S280" i="1"/>
  <c r="O280" i="1"/>
  <c r="P280" i="1" s="1"/>
  <c r="S279" i="1"/>
  <c r="O279" i="1"/>
  <c r="P279" i="1" s="1"/>
  <c r="S278" i="1"/>
  <c r="P278" i="1"/>
  <c r="O278" i="1"/>
  <c r="S277" i="1"/>
  <c r="O277" i="1"/>
  <c r="P277" i="1" s="1"/>
  <c r="S276" i="1"/>
  <c r="O276" i="1"/>
  <c r="P276" i="1" s="1"/>
  <c r="S275" i="1"/>
  <c r="O275" i="1"/>
  <c r="P275" i="1" s="1"/>
  <c r="S274" i="1"/>
  <c r="P274" i="1"/>
  <c r="O274" i="1"/>
  <c r="S273" i="1"/>
  <c r="O273" i="1"/>
  <c r="P273" i="1" s="1"/>
  <c r="S272" i="1"/>
  <c r="O272" i="1"/>
  <c r="P272" i="1" s="1"/>
  <c r="S271" i="1"/>
  <c r="O271" i="1"/>
  <c r="P271" i="1" s="1"/>
  <c r="S270" i="1"/>
  <c r="P270" i="1"/>
  <c r="O270" i="1"/>
  <c r="S269" i="1"/>
  <c r="O269" i="1"/>
  <c r="P269" i="1" s="1"/>
  <c r="S268" i="1"/>
  <c r="O268" i="1"/>
  <c r="P268" i="1" s="1"/>
  <c r="S267" i="1"/>
  <c r="O267" i="1"/>
  <c r="P267" i="1" s="1"/>
  <c r="S266" i="1"/>
  <c r="P266" i="1"/>
  <c r="O266" i="1"/>
  <c r="S265" i="1"/>
  <c r="O265" i="1"/>
  <c r="P265" i="1" s="1"/>
  <c r="S264" i="1"/>
  <c r="O264" i="1"/>
  <c r="P264" i="1" s="1"/>
  <c r="S263" i="1"/>
  <c r="O263" i="1"/>
  <c r="P263" i="1" s="1"/>
  <c r="S262" i="1"/>
  <c r="P262" i="1"/>
  <c r="O262" i="1"/>
  <c r="S261" i="1"/>
  <c r="O261" i="1"/>
  <c r="P261" i="1" s="1"/>
  <c r="S260" i="1"/>
  <c r="O260" i="1"/>
  <c r="P260" i="1" s="1"/>
  <c r="S259" i="1"/>
  <c r="P259" i="1"/>
  <c r="O259" i="1"/>
  <c r="S258" i="1"/>
  <c r="P258" i="1"/>
  <c r="O258" i="1"/>
  <c r="S257" i="1"/>
  <c r="O257" i="1"/>
  <c r="P257" i="1" s="1"/>
  <c r="S256" i="1"/>
  <c r="O256" i="1"/>
  <c r="P256" i="1" s="1"/>
  <c r="S255" i="1"/>
  <c r="P255" i="1"/>
  <c r="O255" i="1"/>
  <c r="S254" i="1"/>
  <c r="P254" i="1"/>
  <c r="O254" i="1"/>
  <c r="S253" i="1"/>
  <c r="O253" i="1"/>
  <c r="P253" i="1" s="1"/>
  <c r="S252" i="1"/>
  <c r="O252" i="1"/>
  <c r="P252" i="1" s="1"/>
  <c r="S251" i="1"/>
  <c r="O251" i="1"/>
  <c r="P251" i="1" s="1"/>
  <c r="S250" i="1"/>
  <c r="O250" i="1"/>
  <c r="P250" i="1" s="1"/>
  <c r="S249" i="1"/>
  <c r="O249" i="1"/>
  <c r="P249" i="1" s="1"/>
  <c r="S248" i="1"/>
  <c r="O248" i="1"/>
  <c r="P248" i="1" s="1"/>
  <c r="S247" i="1"/>
  <c r="O247" i="1"/>
  <c r="P247" i="1" s="1"/>
  <c r="S246" i="1"/>
  <c r="O246" i="1"/>
  <c r="P246" i="1" s="1"/>
  <c r="S245" i="1"/>
  <c r="O245" i="1"/>
  <c r="P245" i="1" s="1"/>
  <c r="S244" i="1"/>
  <c r="O244" i="1"/>
  <c r="P244" i="1" s="1"/>
  <c r="S243" i="1"/>
  <c r="O243" i="1"/>
  <c r="P243" i="1" s="1"/>
  <c r="S242" i="1"/>
  <c r="O242" i="1"/>
  <c r="P242" i="1" s="1"/>
  <c r="S241" i="1"/>
  <c r="O241" i="1"/>
  <c r="P241" i="1" s="1"/>
  <c r="S240" i="1"/>
  <c r="O240" i="1"/>
  <c r="P240" i="1" s="1"/>
  <c r="S239" i="1"/>
  <c r="O239" i="1"/>
  <c r="P239" i="1" s="1"/>
  <c r="S238" i="1"/>
  <c r="O238" i="1"/>
  <c r="P238" i="1" s="1"/>
  <c r="S237" i="1"/>
  <c r="O237" i="1"/>
  <c r="P237" i="1" s="1"/>
  <c r="S236" i="1"/>
  <c r="O236" i="1"/>
  <c r="P236" i="1" s="1"/>
  <c r="S235" i="1"/>
  <c r="O235" i="1"/>
  <c r="P235" i="1" s="1"/>
  <c r="S234" i="1"/>
  <c r="O234" i="1"/>
  <c r="P234" i="1" s="1"/>
  <c r="S233" i="1"/>
  <c r="O233" i="1"/>
  <c r="P233" i="1" s="1"/>
  <c r="S232" i="1"/>
  <c r="O232" i="1"/>
  <c r="P232" i="1" s="1"/>
  <c r="S231" i="1"/>
  <c r="O231" i="1"/>
  <c r="P231" i="1" s="1"/>
  <c r="S230" i="1"/>
  <c r="O230" i="1"/>
  <c r="P230" i="1" s="1"/>
  <c r="S229" i="1"/>
  <c r="O229" i="1"/>
  <c r="P229" i="1" s="1"/>
  <c r="S228" i="1"/>
  <c r="O228" i="1"/>
  <c r="P228" i="1" s="1"/>
  <c r="S227" i="1"/>
  <c r="O227" i="1"/>
  <c r="P227" i="1" s="1"/>
  <c r="S226" i="1"/>
  <c r="O226" i="1"/>
  <c r="P226" i="1" s="1"/>
  <c r="S225" i="1"/>
  <c r="O225" i="1"/>
  <c r="P225" i="1" s="1"/>
  <c r="S224" i="1"/>
  <c r="O224" i="1"/>
  <c r="P224" i="1" s="1"/>
  <c r="S223" i="1"/>
  <c r="O223" i="1"/>
  <c r="P223" i="1" s="1"/>
  <c r="S222" i="1"/>
  <c r="O222" i="1"/>
  <c r="P222" i="1" s="1"/>
  <c r="S221" i="1"/>
  <c r="O221" i="1"/>
  <c r="P221" i="1" s="1"/>
  <c r="S220" i="1"/>
  <c r="O220" i="1"/>
  <c r="P220" i="1" s="1"/>
  <c r="S219" i="1"/>
  <c r="O219" i="1"/>
  <c r="P219" i="1" s="1"/>
  <c r="S218" i="1"/>
  <c r="O218" i="1"/>
  <c r="P218" i="1" s="1"/>
  <c r="S217" i="1"/>
  <c r="O217" i="1"/>
  <c r="P217" i="1" s="1"/>
  <c r="S216" i="1"/>
  <c r="O216" i="1"/>
  <c r="P216" i="1" s="1"/>
  <c r="S215" i="1"/>
  <c r="O215" i="1"/>
  <c r="P215" i="1" s="1"/>
  <c r="S214" i="1"/>
  <c r="O214" i="1"/>
  <c r="P214" i="1" s="1"/>
  <c r="S213" i="1"/>
  <c r="O213" i="1"/>
  <c r="P213" i="1" s="1"/>
  <c r="S212" i="1"/>
  <c r="O212" i="1"/>
  <c r="P212" i="1" s="1"/>
  <c r="S211" i="1"/>
  <c r="O211" i="1"/>
  <c r="P211" i="1" s="1"/>
  <c r="S210" i="1"/>
  <c r="O210" i="1"/>
  <c r="P210" i="1" s="1"/>
  <c r="S209" i="1"/>
  <c r="O209" i="1"/>
  <c r="P209" i="1" s="1"/>
  <c r="S208" i="1"/>
  <c r="O208" i="1"/>
  <c r="P208" i="1" s="1"/>
  <c r="S207" i="1"/>
  <c r="O207" i="1"/>
  <c r="P207" i="1" s="1"/>
  <c r="S206" i="1"/>
  <c r="O206" i="1"/>
  <c r="P206" i="1" s="1"/>
  <c r="S205" i="1"/>
  <c r="O205" i="1"/>
  <c r="P205" i="1" s="1"/>
  <c r="S204" i="1"/>
  <c r="O204" i="1"/>
  <c r="P204" i="1" s="1"/>
  <c r="S203" i="1"/>
  <c r="O203" i="1"/>
  <c r="P203" i="1" s="1"/>
  <c r="S202" i="1"/>
  <c r="O202" i="1"/>
  <c r="P202" i="1" s="1"/>
  <c r="S201" i="1"/>
  <c r="O201" i="1"/>
  <c r="P201" i="1" s="1"/>
  <c r="S200" i="1"/>
  <c r="O200" i="1"/>
  <c r="P200" i="1" s="1"/>
  <c r="S199" i="1"/>
  <c r="O199" i="1"/>
  <c r="P199" i="1" s="1"/>
  <c r="S198" i="1"/>
  <c r="P198" i="1"/>
  <c r="O198" i="1"/>
  <c r="S197" i="1"/>
  <c r="O197" i="1"/>
  <c r="P197" i="1" s="1"/>
  <c r="S196" i="1"/>
  <c r="O196" i="1"/>
  <c r="P196" i="1" s="1"/>
  <c r="S195" i="1"/>
  <c r="O195" i="1"/>
  <c r="P195" i="1" s="1"/>
  <c r="S194" i="1"/>
  <c r="O194" i="1"/>
  <c r="P194" i="1" s="1"/>
  <c r="S193" i="1"/>
  <c r="O193" i="1"/>
  <c r="P193" i="1" s="1"/>
  <c r="S192" i="1"/>
  <c r="O192" i="1"/>
  <c r="P192" i="1" s="1"/>
  <c r="S191" i="1"/>
  <c r="O191" i="1"/>
  <c r="P191" i="1" s="1"/>
  <c r="S190" i="1"/>
  <c r="O190" i="1"/>
  <c r="P190" i="1" s="1"/>
  <c r="S189" i="1"/>
  <c r="O189" i="1"/>
  <c r="P189" i="1" s="1"/>
  <c r="S188" i="1"/>
  <c r="O188" i="1"/>
  <c r="P188" i="1" s="1"/>
  <c r="S187" i="1"/>
  <c r="O187" i="1"/>
  <c r="P187" i="1" s="1"/>
  <c r="S186" i="1"/>
  <c r="O186" i="1"/>
  <c r="P186" i="1" s="1"/>
  <c r="S185" i="1"/>
  <c r="O185" i="1"/>
  <c r="P185" i="1" s="1"/>
  <c r="S184" i="1"/>
  <c r="O184" i="1"/>
  <c r="P184" i="1" s="1"/>
  <c r="S183" i="1"/>
  <c r="O183" i="1"/>
  <c r="P183" i="1" s="1"/>
  <c r="S182" i="1"/>
  <c r="O182" i="1"/>
  <c r="P182" i="1" s="1"/>
  <c r="S181" i="1"/>
  <c r="O181" i="1"/>
  <c r="P181" i="1" s="1"/>
  <c r="S180" i="1"/>
  <c r="O180" i="1"/>
  <c r="P180" i="1" s="1"/>
  <c r="S179" i="1"/>
  <c r="O179" i="1"/>
  <c r="P179" i="1" s="1"/>
  <c r="S178" i="1"/>
  <c r="O178" i="1"/>
  <c r="P178" i="1" s="1"/>
  <c r="S177" i="1"/>
  <c r="O177" i="1"/>
  <c r="P177" i="1" s="1"/>
  <c r="S176" i="1"/>
  <c r="O176" i="1"/>
  <c r="P176" i="1" s="1"/>
  <c r="S175" i="1"/>
  <c r="O175" i="1"/>
  <c r="P175" i="1" s="1"/>
  <c r="S174" i="1"/>
  <c r="O174" i="1"/>
  <c r="P174" i="1" s="1"/>
  <c r="S173" i="1"/>
  <c r="O173" i="1"/>
  <c r="P173" i="1" s="1"/>
  <c r="S172" i="1"/>
  <c r="O172" i="1"/>
  <c r="P172" i="1" s="1"/>
  <c r="S171" i="1"/>
  <c r="O171" i="1"/>
  <c r="P171" i="1" s="1"/>
  <c r="S170" i="1"/>
  <c r="O170" i="1"/>
  <c r="P170" i="1" s="1"/>
  <c r="S169" i="1"/>
  <c r="O169" i="1"/>
  <c r="P169" i="1" s="1"/>
  <c r="S168" i="1"/>
  <c r="O168" i="1"/>
  <c r="P168" i="1" s="1"/>
  <c r="S167" i="1"/>
  <c r="O167" i="1"/>
  <c r="P167" i="1" s="1"/>
  <c r="S166" i="1"/>
  <c r="O166" i="1"/>
  <c r="P166" i="1" s="1"/>
  <c r="S165" i="1"/>
  <c r="O165" i="1"/>
  <c r="P165" i="1" s="1"/>
  <c r="S164" i="1"/>
  <c r="O164" i="1"/>
  <c r="P164" i="1" s="1"/>
  <c r="S163" i="1"/>
  <c r="O163" i="1"/>
  <c r="P163" i="1" s="1"/>
  <c r="S162" i="1"/>
  <c r="O162" i="1"/>
  <c r="P162" i="1" s="1"/>
  <c r="S161" i="1"/>
  <c r="O161" i="1"/>
  <c r="P161" i="1" s="1"/>
  <c r="S160" i="1"/>
  <c r="O160" i="1"/>
  <c r="P160" i="1" s="1"/>
  <c r="S159" i="1"/>
  <c r="O159" i="1"/>
  <c r="P159" i="1" s="1"/>
  <c r="S158" i="1"/>
  <c r="O158" i="1"/>
  <c r="P158" i="1" s="1"/>
  <c r="S157" i="1"/>
  <c r="O157" i="1"/>
  <c r="P157" i="1" s="1"/>
  <c r="S156" i="1"/>
  <c r="O156" i="1"/>
  <c r="P156" i="1" s="1"/>
  <c r="S155" i="1"/>
  <c r="O155" i="1"/>
  <c r="P155" i="1" s="1"/>
  <c r="S154" i="1"/>
  <c r="O154" i="1"/>
  <c r="P154" i="1" s="1"/>
  <c r="S153" i="1"/>
  <c r="O153" i="1"/>
  <c r="P153" i="1" s="1"/>
  <c r="S152" i="1"/>
  <c r="O152" i="1"/>
  <c r="P152" i="1" s="1"/>
  <c r="S151" i="1"/>
  <c r="O151" i="1"/>
  <c r="P151" i="1" s="1"/>
  <c r="S150" i="1"/>
  <c r="O150" i="1"/>
  <c r="P150" i="1" s="1"/>
  <c r="S149" i="1"/>
  <c r="O149" i="1"/>
  <c r="P149" i="1" s="1"/>
  <c r="S148" i="1"/>
  <c r="O148" i="1"/>
  <c r="P148" i="1" s="1"/>
  <c r="S147" i="1"/>
  <c r="O147" i="1"/>
  <c r="P147" i="1" s="1"/>
  <c r="S146" i="1"/>
  <c r="O146" i="1"/>
  <c r="P146" i="1" s="1"/>
  <c r="S145" i="1"/>
  <c r="O145" i="1"/>
  <c r="P145" i="1" s="1"/>
  <c r="S144" i="1"/>
  <c r="O144" i="1"/>
  <c r="P144" i="1" s="1"/>
  <c r="S143" i="1"/>
  <c r="O143" i="1"/>
  <c r="P143" i="1" s="1"/>
  <c r="S142" i="1"/>
  <c r="O142" i="1"/>
  <c r="P142" i="1" s="1"/>
  <c r="S141" i="1"/>
  <c r="O141" i="1"/>
  <c r="P141" i="1" s="1"/>
  <c r="S140" i="1"/>
  <c r="O140" i="1"/>
  <c r="P140" i="1" s="1"/>
  <c r="S139" i="1"/>
  <c r="O139" i="1"/>
  <c r="P139" i="1" s="1"/>
  <c r="S138" i="1"/>
  <c r="O138" i="1"/>
  <c r="P138" i="1" s="1"/>
  <c r="S137" i="1"/>
  <c r="O137" i="1"/>
  <c r="P137" i="1" s="1"/>
  <c r="S136" i="1"/>
  <c r="O136" i="1"/>
  <c r="P136" i="1" s="1"/>
  <c r="S135" i="1"/>
  <c r="O135" i="1"/>
  <c r="P135" i="1" s="1"/>
  <c r="S134" i="1"/>
  <c r="P134" i="1"/>
  <c r="O134" i="1"/>
  <c r="S133" i="1"/>
  <c r="O133" i="1"/>
  <c r="P133" i="1" s="1"/>
  <c r="S132" i="1"/>
  <c r="O132" i="1"/>
  <c r="P132" i="1" s="1"/>
  <c r="S131" i="1"/>
  <c r="O131" i="1"/>
  <c r="P131" i="1" s="1"/>
  <c r="S130" i="1"/>
  <c r="O130" i="1"/>
  <c r="P130" i="1" s="1"/>
  <c r="S129" i="1"/>
  <c r="O129" i="1"/>
  <c r="P129" i="1" s="1"/>
  <c r="S128" i="1"/>
  <c r="O128" i="1"/>
  <c r="P128" i="1" s="1"/>
  <c r="S127" i="1"/>
  <c r="O127" i="1"/>
  <c r="P127" i="1" s="1"/>
  <c r="S126" i="1"/>
  <c r="O126" i="1"/>
  <c r="P126" i="1" s="1"/>
  <c r="S125" i="1"/>
  <c r="O125" i="1"/>
  <c r="P125" i="1" s="1"/>
  <c r="S124" i="1"/>
  <c r="O124" i="1"/>
  <c r="P124" i="1" s="1"/>
  <c r="S123" i="1"/>
  <c r="O123" i="1"/>
  <c r="P123" i="1" s="1"/>
  <c r="S122" i="1"/>
  <c r="O122" i="1"/>
  <c r="P122" i="1" s="1"/>
  <c r="S121" i="1"/>
  <c r="O121" i="1"/>
  <c r="P121" i="1" s="1"/>
  <c r="S120" i="1"/>
  <c r="O120" i="1"/>
  <c r="P120" i="1" s="1"/>
  <c r="S119" i="1"/>
  <c r="O119" i="1"/>
  <c r="P119" i="1" s="1"/>
  <c r="S118" i="1"/>
  <c r="O118" i="1"/>
  <c r="P118" i="1" s="1"/>
  <c r="S117" i="1"/>
  <c r="O117" i="1"/>
  <c r="P117" i="1" s="1"/>
  <c r="S116" i="1"/>
  <c r="O116" i="1"/>
  <c r="P116" i="1" s="1"/>
  <c r="S115" i="1"/>
  <c r="O115" i="1"/>
  <c r="P115" i="1" s="1"/>
  <c r="S114" i="1"/>
  <c r="O114" i="1"/>
  <c r="P114" i="1" s="1"/>
  <c r="S113" i="1"/>
  <c r="O113" i="1"/>
  <c r="P113" i="1" s="1"/>
  <c r="S112" i="1"/>
  <c r="O112" i="1"/>
  <c r="P112" i="1" s="1"/>
  <c r="S111" i="1"/>
  <c r="O111" i="1"/>
  <c r="P111" i="1" s="1"/>
  <c r="S110" i="1"/>
  <c r="O110" i="1"/>
  <c r="P110" i="1" s="1"/>
  <c r="S109" i="1"/>
  <c r="O109" i="1"/>
  <c r="P109" i="1" s="1"/>
  <c r="S108" i="1"/>
  <c r="O108" i="1"/>
  <c r="P108" i="1" s="1"/>
  <c r="S107" i="1"/>
  <c r="O107" i="1"/>
  <c r="P107" i="1" s="1"/>
  <c r="S106" i="1"/>
  <c r="O106" i="1"/>
  <c r="P106" i="1" s="1"/>
  <c r="S105" i="1"/>
  <c r="O105" i="1"/>
  <c r="P105" i="1" s="1"/>
  <c r="S104" i="1"/>
  <c r="O104" i="1"/>
  <c r="P104" i="1" s="1"/>
  <c r="S103" i="1"/>
  <c r="O103" i="1"/>
  <c r="P103" i="1" s="1"/>
  <c r="S102" i="1"/>
  <c r="O102" i="1"/>
  <c r="P102" i="1" s="1"/>
  <c r="S101" i="1"/>
  <c r="O101" i="1"/>
  <c r="P101" i="1" s="1"/>
  <c r="S100" i="1"/>
  <c r="O100" i="1"/>
  <c r="P100" i="1" s="1"/>
  <c r="S99" i="1"/>
  <c r="O99" i="1"/>
  <c r="P99" i="1" s="1"/>
  <c r="S98" i="1"/>
  <c r="O98" i="1"/>
  <c r="P98" i="1" s="1"/>
  <c r="S97" i="1"/>
  <c r="O97" i="1"/>
  <c r="P97" i="1" s="1"/>
  <c r="S96" i="1"/>
  <c r="O96" i="1"/>
  <c r="P96" i="1" s="1"/>
  <c r="S95" i="1"/>
  <c r="O95" i="1"/>
  <c r="P95" i="1" s="1"/>
  <c r="S94" i="1"/>
  <c r="O94" i="1"/>
  <c r="P94" i="1" s="1"/>
  <c r="S93" i="1"/>
  <c r="O93" i="1"/>
  <c r="P93" i="1" s="1"/>
  <c r="S92" i="1"/>
  <c r="O92" i="1"/>
  <c r="P92" i="1" s="1"/>
  <c r="S91" i="1"/>
  <c r="O91" i="1"/>
  <c r="P91" i="1" s="1"/>
  <c r="S90" i="1"/>
  <c r="O90" i="1"/>
  <c r="P90" i="1" s="1"/>
  <c r="S89" i="1"/>
  <c r="O89" i="1"/>
  <c r="P89" i="1" s="1"/>
  <c r="S88" i="1"/>
  <c r="O88" i="1"/>
  <c r="P88" i="1" s="1"/>
  <c r="S87" i="1"/>
  <c r="O87" i="1"/>
  <c r="P87" i="1" s="1"/>
  <c r="S86" i="1"/>
  <c r="O86" i="1"/>
  <c r="P86" i="1" s="1"/>
  <c r="S85" i="1"/>
  <c r="O85" i="1"/>
  <c r="P85" i="1" s="1"/>
  <c r="S84" i="1"/>
  <c r="O84" i="1"/>
  <c r="P84" i="1" s="1"/>
  <c r="S83" i="1"/>
  <c r="O83" i="1"/>
  <c r="P83" i="1" s="1"/>
  <c r="S82" i="1"/>
  <c r="O82" i="1"/>
  <c r="P82" i="1" s="1"/>
  <c r="S81" i="1"/>
  <c r="O81" i="1"/>
  <c r="P81" i="1" s="1"/>
  <c r="S80" i="1"/>
  <c r="O80" i="1"/>
  <c r="P80" i="1" s="1"/>
  <c r="S79" i="1"/>
  <c r="O79" i="1"/>
  <c r="P79" i="1" s="1"/>
  <c r="S78" i="1"/>
  <c r="O78" i="1"/>
  <c r="P78" i="1" s="1"/>
  <c r="S77" i="1"/>
  <c r="O77" i="1"/>
  <c r="P77" i="1" s="1"/>
  <c r="S76" i="1"/>
  <c r="O76" i="1"/>
  <c r="P76" i="1" s="1"/>
  <c r="S75" i="1"/>
  <c r="O75" i="1"/>
  <c r="P75" i="1" s="1"/>
  <c r="S74" i="1"/>
  <c r="O74" i="1"/>
  <c r="P74" i="1" s="1"/>
  <c r="S73" i="1"/>
  <c r="O73" i="1"/>
  <c r="P73" i="1" s="1"/>
  <c r="S72" i="1"/>
  <c r="O72" i="1"/>
  <c r="P72" i="1" s="1"/>
  <c r="S71" i="1"/>
  <c r="O71" i="1"/>
  <c r="P71" i="1" s="1"/>
  <c r="S70" i="1"/>
  <c r="O70" i="1"/>
  <c r="P70" i="1" s="1"/>
  <c r="S69" i="1"/>
  <c r="O69" i="1"/>
  <c r="P69" i="1" s="1"/>
  <c r="S68" i="1"/>
  <c r="O68" i="1"/>
  <c r="P68" i="1" s="1"/>
  <c r="S67" i="1"/>
  <c r="O67" i="1"/>
  <c r="P67" i="1" s="1"/>
  <c r="S66" i="1"/>
  <c r="O66" i="1"/>
  <c r="P66" i="1" s="1"/>
  <c r="S65" i="1"/>
  <c r="O65" i="1"/>
  <c r="P65" i="1" s="1"/>
  <c r="S64" i="1"/>
  <c r="O64" i="1"/>
  <c r="P64" i="1" s="1"/>
  <c r="S63" i="1"/>
  <c r="O63" i="1"/>
  <c r="P63" i="1" s="1"/>
  <c r="S62" i="1"/>
  <c r="O62" i="1"/>
  <c r="P62" i="1" s="1"/>
  <c r="S61" i="1"/>
  <c r="O61" i="1"/>
  <c r="P61" i="1" s="1"/>
  <c r="S60" i="1"/>
  <c r="O60" i="1"/>
  <c r="P60" i="1" s="1"/>
  <c r="S59" i="1"/>
  <c r="O59" i="1"/>
  <c r="P59" i="1" s="1"/>
  <c r="S58" i="1"/>
  <c r="O58" i="1"/>
  <c r="P58" i="1" s="1"/>
  <c r="S57" i="1"/>
  <c r="O57" i="1"/>
  <c r="P57" i="1" s="1"/>
  <c r="S56" i="1"/>
  <c r="O56" i="1"/>
  <c r="P56" i="1" s="1"/>
  <c r="S55" i="1"/>
  <c r="O55" i="1"/>
  <c r="P55" i="1" s="1"/>
  <c r="S54" i="1"/>
  <c r="O54" i="1"/>
  <c r="P54" i="1" s="1"/>
  <c r="S53" i="1"/>
  <c r="O53" i="1"/>
  <c r="P53" i="1" s="1"/>
  <c r="S52" i="1"/>
  <c r="O52" i="1"/>
  <c r="P52" i="1" s="1"/>
  <c r="S51" i="1"/>
  <c r="O51" i="1"/>
  <c r="P51" i="1" s="1"/>
  <c r="S50" i="1"/>
  <c r="O50" i="1"/>
  <c r="P50" i="1" s="1"/>
  <c r="S49" i="1"/>
  <c r="O49" i="1"/>
  <c r="P49" i="1" s="1"/>
  <c r="S48" i="1"/>
  <c r="O48" i="1"/>
  <c r="P48" i="1" s="1"/>
  <c r="S47" i="1"/>
  <c r="O47" i="1"/>
  <c r="P47" i="1" s="1"/>
  <c r="S46" i="1"/>
  <c r="O46" i="1"/>
  <c r="P46" i="1" s="1"/>
  <c r="S45" i="1"/>
  <c r="O45" i="1"/>
  <c r="P45" i="1" s="1"/>
  <c r="S44" i="1"/>
  <c r="O44" i="1"/>
  <c r="P44" i="1" s="1"/>
  <c r="S43" i="1"/>
  <c r="O43" i="1"/>
  <c r="P43" i="1" s="1"/>
  <c r="S42" i="1"/>
  <c r="O42" i="1"/>
  <c r="P42" i="1" s="1"/>
  <c r="S41" i="1"/>
  <c r="O41" i="1"/>
  <c r="P41" i="1" s="1"/>
  <c r="S40" i="1"/>
  <c r="O40" i="1"/>
  <c r="P40" i="1" s="1"/>
  <c r="S39" i="1"/>
  <c r="O39" i="1"/>
  <c r="P39" i="1" s="1"/>
  <c r="S38" i="1"/>
  <c r="O38" i="1"/>
  <c r="P38" i="1" s="1"/>
  <c r="S37" i="1"/>
  <c r="O37" i="1"/>
  <c r="P37" i="1" s="1"/>
  <c r="S36" i="1"/>
  <c r="O36" i="1"/>
  <c r="P36" i="1" s="1"/>
  <c r="S35" i="1"/>
  <c r="O35" i="1"/>
  <c r="P35" i="1" s="1"/>
  <c r="S34" i="1"/>
  <c r="O34" i="1"/>
  <c r="P34" i="1" s="1"/>
  <c r="S33" i="1"/>
  <c r="O33" i="1"/>
  <c r="P33" i="1" s="1"/>
  <c r="S32" i="1"/>
  <c r="O32" i="1"/>
  <c r="P32" i="1" s="1"/>
  <c r="S31" i="1"/>
  <c r="P31" i="1"/>
  <c r="O31" i="1"/>
  <c r="S30" i="1"/>
  <c r="O30" i="1"/>
  <c r="P30" i="1" s="1"/>
  <c r="S29" i="1"/>
  <c r="O29" i="1"/>
  <c r="P29" i="1" s="1"/>
  <c r="S28" i="1"/>
  <c r="O28" i="1"/>
  <c r="P28" i="1" s="1"/>
  <c r="S27" i="1"/>
  <c r="O27" i="1"/>
  <c r="P27" i="1" s="1"/>
  <c r="S26" i="1"/>
  <c r="O26" i="1"/>
  <c r="P26" i="1" s="1"/>
  <c r="S25" i="1"/>
  <c r="O25" i="1"/>
  <c r="P25" i="1" s="1"/>
  <c r="S24" i="1"/>
  <c r="O24" i="1"/>
  <c r="P24" i="1" s="1"/>
  <c r="S23" i="1"/>
  <c r="O23" i="1"/>
  <c r="P23" i="1" s="1"/>
  <c r="S22" i="1"/>
  <c r="P22" i="1"/>
  <c r="O22" i="1"/>
  <c r="S21" i="1"/>
  <c r="O21" i="1"/>
  <c r="P21" i="1" s="1"/>
  <c r="S20" i="1"/>
  <c r="O20" i="1"/>
  <c r="P20" i="1" s="1"/>
  <c r="S19" i="1"/>
  <c r="O19" i="1"/>
  <c r="P19" i="1" s="1"/>
  <c r="S18" i="1"/>
  <c r="P18" i="1"/>
  <c r="O18" i="1"/>
  <c r="S17" i="1"/>
  <c r="O17" i="1"/>
  <c r="P17" i="1" s="1"/>
  <c r="S16" i="1"/>
  <c r="O16" i="1"/>
  <c r="P16" i="1" s="1"/>
  <c r="S15" i="1"/>
  <c r="O15" i="1"/>
  <c r="P15" i="1" s="1"/>
  <c r="S14" i="1"/>
  <c r="O14" i="1"/>
  <c r="P14" i="1" s="1"/>
  <c r="S13" i="1"/>
  <c r="O13" i="1"/>
  <c r="P13" i="1" s="1"/>
  <c r="S12" i="1"/>
  <c r="O12" i="1"/>
  <c r="P12" i="1" s="1"/>
  <c r="S11" i="1"/>
  <c r="O11" i="1"/>
  <c r="P11" i="1" s="1"/>
  <c r="S10" i="1"/>
  <c r="O10" i="1"/>
  <c r="P10" i="1" s="1"/>
  <c r="S9" i="1"/>
  <c r="O9" i="1"/>
  <c r="P9" i="1" s="1"/>
  <c r="S8" i="1"/>
  <c r="O8" i="1"/>
  <c r="P8" i="1" s="1"/>
  <c r="M4" i="1"/>
  <c r="I4" i="1"/>
  <c r="E4" i="1"/>
  <c r="A4" i="1"/>
  <c r="B16" i="2" a="1"/>
  <c r="B16" i="2" s="1"/>
  <c r="G2" i="2"/>
  <c r="D16" i="2" l="1"/>
  <c r="C16" i="2"/>
  <c r="F16" i="2"/>
  <c r="E16" i="2"/>
  <c r="B17" i="2" a="1"/>
  <c r="B17" i="2" s="1"/>
  <c r="G16" i="2" l="1"/>
  <c r="H16" i="2" s="1"/>
  <c r="B18" i="2" a="1"/>
  <c r="B18" i="2" s="1"/>
  <c r="B19" i="2" s="1" a="1"/>
  <c r="B19" i="2" s="1"/>
  <c r="E17" i="2"/>
  <c r="D17" i="2"/>
  <c r="F17" i="2"/>
  <c r="C17" i="2"/>
  <c r="G17" i="2" l="1"/>
  <c r="H17" i="2" s="1"/>
  <c r="D19" i="2"/>
  <c r="F19" i="2"/>
  <c r="C19" i="2"/>
  <c r="E19" i="2"/>
  <c r="B20" i="2" a="1"/>
  <c r="B20" i="2" s="1"/>
  <c r="B21" i="2" s="1" a="1"/>
  <c r="B21" i="2" s="1"/>
  <c r="E18" i="2"/>
  <c r="D18" i="2"/>
  <c r="C18" i="2"/>
  <c r="F18" i="2"/>
  <c r="G19" i="2" l="1"/>
  <c r="H19" i="2" s="1"/>
  <c r="C20" i="2"/>
  <c r="E20" i="2"/>
  <c r="F20" i="2"/>
  <c r="D20" i="2"/>
  <c r="B22" i="2" a="1"/>
  <c r="B22" i="2" s="1"/>
  <c r="C21" i="2"/>
  <c r="F21" i="2"/>
  <c r="E21" i="2"/>
  <c r="D21" i="2"/>
  <c r="G18" i="2"/>
  <c r="G20" i="2" l="1"/>
  <c r="H20" i="2" s="1"/>
  <c r="G21" i="2"/>
  <c r="H21" i="2" s="1"/>
  <c r="D22" i="2"/>
  <c r="F22" i="2"/>
  <c r="C22" i="2"/>
  <c r="E22" i="2"/>
  <c r="H18" i="2"/>
  <c r="B23" i="2" a="1"/>
  <c r="B23" i="2" s="1"/>
  <c r="G22" i="2" l="1"/>
  <c r="H22" i="2" s="1"/>
  <c r="B24" i="2" a="1"/>
  <c r="B24" i="2" s="1"/>
  <c r="F23" i="2"/>
  <c r="E23" i="2"/>
  <c r="D23" i="2"/>
  <c r="C23" i="2"/>
  <c r="B25" i="2" l="1" a="1"/>
  <c r="B25" i="2" s="1"/>
  <c r="B26" i="2" s="1" a="1"/>
  <c r="B26" i="2" s="1"/>
  <c r="D24" i="2"/>
  <c r="G23" i="2"/>
  <c r="H23" i="2" s="1"/>
  <c r="C24" i="2"/>
  <c r="F24" i="2"/>
  <c r="E24" i="2"/>
  <c r="D26" i="2" l="1"/>
  <c r="F26" i="2"/>
  <c r="C26" i="2"/>
  <c r="E26" i="2"/>
  <c r="E25" i="2"/>
  <c r="F25" i="2"/>
  <c r="C25" i="2"/>
  <c r="D25" i="2"/>
  <c r="B27" i="2" a="1"/>
  <c r="B27" i="2" s="1"/>
  <c r="F27" i="2" s="1"/>
  <c r="G24" i="2"/>
  <c r="H24" i="2" s="1"/>
  <c r="G26" i="2" l="1"/>
  <c r="H26" i="2" s="1"/>
  <c r="B28" i="2" a="1"/>
  <c r="B28" i="2" s="1"/>
  <c r="F28" i="2" s="1"/>
  <c r="D27" i="2"/>
  <c r="E27" i="2"/>
  <c r="C27" i="2"/>
  <c r="G25" i="2"/>
  <c r="H25" i="2" s="1"/>
  <c r="G27" i="2" l="1"/>
  <c r="H27" i="2" s="1"/>
  <c r="B29" i="2" a="1"/>
  <c r="B29" i="2" s="1"/>
  <c r="B30" i="2" s="1" a="1"/>
  <c r="B30" i="2" s="1"/>
  <c r="D28" i="2"/>
  <c r="E28" i="2"/>
  <c r="C28" i="2"/>
  <c r="G28" i="2" l="1"/>
  <c r="H28" i="2" s="1"/>
  <c r="C29" i="2"/>
  <c r="E29" i="2"/>
  <c r="D29" i="2"/>
  <c r="F29" i="2"/>
  <c r="E30" i="2"/>
  <c r="C30" i="2"/>
  <c r="D30" i="2"/>
  <c r="F30" i="2"/>
  <c r="B31" i="2" a="1"/>
  <c r="B31" i="2" s="1"/>
  <c r="G29" i="2" l="1"/>
  <c r="H29" i="2" s="1"/>
  <c r="D31" i="2"/>
  <c r="E31" i="2"/>
  <c r="F31" i="2"/>
  <c r="C31" i="2"/>
  <c r="B32" i="2" a="1"/>
  <c r="B32" i="2" s="1"/>
  <c r="G30" i="2"/>
  <c r="G31" i="2" l="1"/>
  <c r="H31" i="2" s="1"/>
  <c r="B33" i="2" a="1"/>
  <c r="B33" i="2" s="1"/>
  <c r="H30" i="2"/>
  <c r="C32" i="2"/>
  <c r="E32" i="2"/>
  <c r="D32" i="2"/>
  <c r="F32" i="2"/>
  <c r="G32" i="2" l="1"/>
  <c r="H32" i="2" s="1"/>
  <c r="F33" i="2"/>
  <c r="C33" i="2"/>
  <c r="E33" i="2"/>
  <c r="D33" i="2"/>
  <c r="B34" i="2" a="1"/>
  <c r="B34" i="2" s="1"/>
  <c r="G33" i="2" l="1"/>
  <c r="H33" i="2" s="1"/>
  <c r="D34" i="2"/>
  <c r="F34" i="2"/>
  <c r="C34" i="2"/>
  <c r="E34" i="2"/>
  <c r="B35" i="2" a="1"/>
  <c r="B35" i="2" s="1"/>
  <c r="G34" i="2" l="1"/>
  <c r="H34" i="2" s="1"/>
  <c r="F35" i="2"/>
  <c r="C35" i="2"/>
  <c r="E35" i="2"/>
  <c r="D35" i="2"/>
  <c r="B36" i="2" a="1"/>
  <c r="B36" i="2" s="1"/>
  <c r="G35" i="2" l="1"/>
  <c r="H35" i="2" s="1"/>
  <c r="D36" i="2"/>
  <c r="C36" i="2"/>
  <c r="F36" i="2"/>
  <c r="E36" i="2"/>
  <c r="B37" i="2" a="1"/>
  <c r="B37" i="2" s="1"/>
  <c r="E37" i="2" s="1"/>
  <c r="G36" i="2" l="1"/>
  <c r="H36" i="2" s="1"/>
  <c r="D37" i="2"/>
  <c r="F37" i="2"/>
  <c r="C37" i="2"/>
  <c r="B38" i="2" a="1"/>
  <c r="B38" i="2" s="1"/>
  <c r="G37" i="2" l="1"/>
  <c r="H37" i="2" s="1"/>
  <c r="D38" i="2"/>
  <c r="F38" i="2"/>
  <c r="E38" i="2"/>
  <c r="C38" i="2"/>
  <c r="B39" i="2" a="1"/>
  <c r="B39" i="2" s="1"/>
  <c r="D39" i="2" s="1"/>
  <c r="G38" i="2" l="1"/>
  <c r="H38" i="2" s="1"/>
  <c r="E39" i="2"/>
  <c r="C39" i="2"/>
  <c r="F39" i="2"/>
  <c r="B40" i="2" a="1"/>
  <c r="B40" i="2" s="1"/>
  <c r="G39" i="2" l="1"/>
  <c r="H39" i="2" s="1"/>
  <c r="D40" i="2"/>
  <c r="C40" i="2"/>
  <c r="F40" i="2"/>
  <c r="E40" i="2"/>
  <c r="B41" i="2" a="1"/>
  <c r="B41" i="2" s="1"/>
  <c r="G40" i="2" l="1"/>
  <c r="H40" i="2" s="1"/>
  <c r="F41" i="2"/>
  <c r="D41" i="2"/>
  <c r="E41" i="2"/>
  <c r="C41" i="2"/>
  <c r="G41" i="2" s="1"/>
  <c r="H41" i="2" s="1"/>
  <c r="B42" i="2" a="1"/>
  <c r="B42" i="2" s="1"/>
  <c r="E42" i="2" l="1"/>
  <c r="D42" i="2"/>
  <c r="C42" i="2"/>
  <c r="G42" i="2" s="1"/>
  <c r="H42" i="2" s="1"/>
  <c r="F42" i="2"/>
  <c r="B43" i="2" a="1"/>
  <c r="B43" i="2" s="1"/>
  <c r="D43" i="2" l="1"/>
  <c r="C43" i="2"/>
  <c r="G43" i="2" s="1"/>
  <c r="H43" i="2" s="1"/>
  <c r="F43" i="2"/>
  <c r="E43" i="2"/>
  <c r="B44" i="2" a="1"/>
  <c r="B44" i="2" s="1"/>
  <c r="D44" i="2" l="1"/>
  <c r="F44" i="2"/>
  <c r="G44" i="2" s="1"/>
  <c r="H44" i="2" s="1"/>
  <c r="E44" i="2"/>
  <c r="C44" i="2"/>
  <c r="B45" i="2" a="1"/>
  <c r="B45" i="2" s="1"/>
  <c r="C45" i="2" l="1"/>
  <c r="G45" i="2" s="1"/>
  <c r="H45" i="2" s="1"/>
  <c r="F45" i="2"/>
  <c r="E45" i="2"/>
  <c r="D45" i="2"/>
  <c r="B46" i="2" a="1"/>
  <c r="B46" i="2" s="1"/>
  <c r="D46" i="2" l="1"/>
  <c r="F46" i="2"/>
  <c r="H46" i="2"/>
  <c r="E46" i="2"/>
  <c r="G46" i="2"/>
  <c r="C46" i="2"/>
  <c r="B47" i="2" a="1"/>
  <c r="B47" i="2" s="1"/>
  <c r="H47" i="2" l="1"/>
  <c r="F47" i="2"/>
  <c r="D47" i="2"/>
  <c r="C47" i="2"/>
  <c r="E47" i="2"/>
  <c r="G47" i="2"/>
  <c r="B48" i="2" a="1"/>
  <c r="B48" i="2" s="1"/>
  <c r="C48" i="2" l="1"/>
  <c r="E48" i="2"/>
  <c r="H48" i="2"/>
  <c r="G48" i="2"/>
  <c r="F48" i="2"/>
  <c r="D48" i="2"/>
  <c r="B49" i="2" a="1"/>
  <c r="B49" i="2" s="1"/>
  <c r="H49" i="2" l="1"/>
  <c r="C49" i="2"/>
  <c r="G49" i="2"/>
  <c r="F49" i="2"/>
  <c r="E49" i="2"/>
  <c r="D49" i="2"/>
  <c r="B50" i="2" a="1"/>
  <c r="B50" i="2" s="1"/>
  <c r="G50" i="2" l="1"/>
  <c r="E50" i="2"/>
  <c r="D50" i="2"/>
  <c r="H50" i="2"/>
  <c r="F50" i="2"/>
  <c r="C50" i="2"/>
  <c r="B51" i="2" a="1"/>
  <c r="B51" i="2" s="1"/>
  <c r="G51" i="2" l="1"/>
  <c r="D51" i="2"/>
  <c r="H51" i="2"/>
  <c r="F51" i="2"/>
  <c r="C51" i="2"/>
  <c r="E51" i="2"/>
  <c r="B52" i="2" a="1"/>
  <c r="B52" i="2" s="1"/>
  <c r="D52" i="2" l="1"/>
  <c r="F52" i="2"/>
  <c r="C52" i="2"/>
  <c r="E52" i="2"/>
  <c r="H52" i="2"/>
  <c r="G52" i="2"/>
  <c r="B53" i="2" a="1"/>
  <c r="B53" i="2" s="1"/>
  <c r="H53" i="2" l="1"/>
  <c r="D53" i="2"/>
  <c r="G53" i="2"/>
  <c r="F53" i="2"/>
  <c r="E53" i="2"/>
  <c r="C53" i="2"/>
  <c r="B54" i="2" a="1"/>
  <c r="B54" i="2" s="1"/>
  <c r="E54" i="2" l="1"/>
  <c r="D54" i="2"/>
  <c r="H54" i="2"/>
  <c r="G54" i="2"/>
  <c r="C54" i="2"/>
  <c r="F54" i="2"/>
  <c r="B55" i="2" a="1"/>
  <c r="B55" i="2" s="1"/>
  <c r="C55" i="2" l="1"/>
  <c r="D55" i="2"/>
  <c r="H55" i="2"/>
  <c r="F55" i="2"/>
  <c r="G55" i="2"/>
  <c r="E55" i="2"/>
  <c r="B56" i="2" a="1"/>
  <c r="B56" i="2" s="1"/>
  <c r="C56" i="2" l="1"/>
  <c r="H56" i="2"/>
  <c r="D56" i="2"/>
  <c r="F56" i="2"/>
  <c r="G56" i="2"/>
  <c r="E56" i="2"/>
  <c r="B57" i="2" a="1"/>
  <c r="B57" i="2" s="1"/>
  <c r="E57" i="2" l="1"/>
  <c r="C57" i="2"/>
  <c r="H57" i="2"/>
  <c r="D57" i="2"/>
  <c r="G57" i="2"/>
  <c r="F57" i="2"/>
  <c r="B58" i="2" a="1"/>
  <c r="B58" i="2" s="1"/>
  <c r="G58" i="2" l="1"/>
  <c r="D58" i="2"/>
  <c r="H58" i="2"/>
  <c r="C58" i="2"/>
  <c r="F58" i="2"/>
  <c r="E58" i="2"/>
  <c r="B59" i="2" a="1"/>
  <c r="B59" i="2" s="1"/>
  <c r="H59" i="2" l="1"/>
  <c r="F59" i="2"/>
  <c r="E59" i="2"/>
  <c r="D59" i="2"/>
  <c r="C59" i="2"/>
  <c r="G59" i="2"/>
  <c r="B60" i="2" a="1"/>
  <c r="B60" i="2" s="1"/>
  <c r="E60" i="2" l="1"/>
  <c r="H60" i="2"/>
  <c r="F60" i="2"/>
  <c r="D60" i="2"/>
  <c r="C60" i="2"/>
  <c r="G60" i="2"/>
  <c r="B61" i="2" a="1"/>
  <c r="B61" i="2" s="1"/>
  <c r="D61" i="2" l="1"/>
  <c r="C61" i="2"/>
  <c r="F61" i="2"/>
  <c r="H61" i="2"/>
  <c r="G61" i="2"/>
  <c r="E61" i="2"/>
  <c r="B62" i="2" a="1"/>
  <c r="B62" i="2" s="1"/>
  <c r="G62" i="2" l="1"/>
  <c r="C62" i="2"/>
  <c r="F62" i="2"/>
  <c r="H62" i="2"/>
  <c r="D62" i="2"/>
  <c r="E62" i="2"/>
  <c r="B63" i="2" a="1"/>
  <c r="B63" i="2" s="1"/>
  <c r="F63" i="2" l="1"/>
  <c r="E63" i="2"/>
  <c r="D63" i="2"/>
  <c r="G63" i="2"/>
  <c r="C63" i="2"/>
  <c r="H63" i="2"/>
  <c r="B64" i="2" a="1"/>
  <c r="B64" i="2" s="1"/>
  <c r="F64" i="2" l="1"/>
  <c r="H64" i="2"/>
  <c r="E64" i="2"/>
  <c r="C64" i="2"/>
  <c r="G64" i="2"/>
  <c r="D64" i="2"/>
  <c r="B65" i="2" a="1"/>
  <c r="B65" i="2" s="1"/>
  <c r="G65" i="2" l="1"/>
  <c r="E65" i="2"/>
  <c r="C65" i="2"/>
  <c r="H65" i="2"/>
  <c r="F65" i="2"/>
  <c r="D65" i="2"/>
  <c r="B66" i="2" a="1"/>
  <c r="B66" i="2" s="1"/>
  <c r="H66" i="2" l="1"/>
  <c r="G66" i="2"/>
  <c r="F66" i="2"/>
  <c r="D66" i="2"/>
  <c r="C66" i="2"/>
  <c r="E66" i="2"/>
  <c r="B67" i="2" a="1"/>
  <c r="B67" i="2" s="1"/>
  <c r="E67" i="2" l="1"/>
  <c r="D67" i="2"/>
  <c r="H67" i="2"/>
  <c r="C67" i="2"/>
  <c r="G67" i="2"/>
  <c r="F67" i="2"/>
  <c r="B68" i="2" a="1"/>
  <c r="B68" i="2" s="1"/>
  <c r="H68" i="2" l="1"/>
  <c r="F68" i="2"/>
  <c r="G68" i="2"/>
  <c r="E68" i="2"/>
  <c r="D68" i="2"/>
  <c r="C68" i="2"/>
  <c r="B69" i="2" a="1"/>
  <c r="B69" i="2" s="1"/>
  <c r="E69" i="2" l="1"/>
  <c r="G69" i="2"/>
  <c r="F69" i="2"/>
  <c r="D69" i="2"/>
  <c r="C69" i="2"/>
  <c r="H69" i="2"/>
  <c r="B70" i="2" a="1"/>
  <c r="B70" i="2" s="1"/>
  <c r="D70" i="2" l="1"/>
  <c r="F70" i="2"/>
  <c r="C70" i="2"/>
  <c r="H70" i="2"/>
  <c r="G70" i="2"/>
  <c r="E70" i="2"/>
  <c r="B71" i="2" a="1"/>
  <c r="B71" i="2" s="1"/>
  <c r="D71" i="2" l="1"/>
  <c r="G71" i="2"/>
  <c r="F71" i="2"/>
  <c r="E71" i="2"/>
  <c r="C71" i="2"/>
  <c r="H71" i="2"/>
  <c r="B72" i="2" a="1"/>
  <c r="B72" i="2" s="1"/>
  <c r="G72" i="2" l="1"/>
  <c r="C72" i="2"/>
  <c r="H72" i="2"/>
  <c r="F72" i="2"/>
  <c r="E72" i="2"/>
  <c r="D72" i="2"/>
  <c r="B73" i="2" a="1"/>
  <c r="B73" i="2" s="1"/>
  <c r="H73" i="2" l="1"/>
  <c r="F73" i="2"/>
  <c r="G73" i="2"/>
  <c r="E73" i="2"/>
  <c r="C73" i="2"/>
  <c r="D73" i="2"/>
  <c r="B74" i="2" a="1"/>
  <c r="B74" i="2" s="1"/>
  <c r="E74" i="2" l="1"/>
  <c r="C74" i="2"/>
  <c r="G74" i="2"/>
  <c r="H74" i="2"/>
  <c r="D74" i="2"/>
  <c r="F74" i="2"/>
  <c r="B75" i="2" a="1"/>
  <c r="B75" i="2" s="1"/>
  <c r="G75" i="2" l="1"/>
  <c r="E75" i="2"/>
  <c r="C75" i="2"/>
  <c r="H75" i="2"/>
  <c r="F75" i="2"/>
  <c r="D75" i="2"/>
  <c r="B76" i="2" a="1"/>
  <c r="B76" i="2" s="1"/>
  <c r="D76" i="2" l="1"/>
  <c r="H76" i="2"/>
  <c r="C76" i="2"/>
  <c r="G76" i="2"/>
  <c r="F76" i="2"/>
  <c r="E76" i="2"/>
  <c r="B77" i="2" a="1"/>
  <c r="B77" i="2" s="1"/>
  <c r="H77" i="2" l="1"/>
  <c r="F77" i="2"/>
  <c r="G77" i="2"/>
  <c r="E77" i="2"/>
  <c r="D77" i="2"/>
  <c r="C77" i="2"/>
  <c r="B78" i="2" a="1"/>
  <c r="B78" i="2" s="1"/>
  <c r="F78" i="2" l="1"/>
  <c r="D78" i="2"/>
  <c r="C78" i="2"/>
  <c r="G78" i="2"/>
  <c r="E78" i="2"/>
  <c r="H78" i="2"/>
  <c r="B79" i="2" a="1"/>
  <c r="B79" i="2" s="1"/>
  <c r="D79" i="2" l="1"/>
  <c r="C79" i="2"/>
  <c r="F79" i="2"/>
  <c r="E79" i="2"/>
  <c r="H79" i="2"/>
  <c r="G79" i="2"/>
  <c r="B80" i="2" a="1"/>
  <c r="B80" i="2" s="1"/>
  <c r="C80" i="2" l="1"/>
  <c r="H80" i="2"/>
  <c r="D80" i="2"/>
  <c r="G80" i="2"/>
  <c r="F80" i="2"/>
  <c r="E80" i="2"/>
  <c r="B81" i="2" a="1"/>
  <c r="B81" i="2" s="1"/>
  <c r="E81" i="2" l="1"/>
  <c r="D81" i="2"/>
  <c r="G81" i="2"/>
  <c r="C81" i="2"/>
  <c r="H81" i="2"/>
  <c r="F81" i="2"/>
  <c r="B82" i="2" a="1"/>
  <c r="B82" i="2" s="1"/>
  <c r="D82" i="2" l="1"/>
  <c r="F82" i="2"/>
  <c r="H82" i="2"/>
  <c r="G82" i="2"/>
  <c r="E82" i="2"/>
  <c r="C82" i="2"/>
  <c r="B83" i="2" a="1"/>
  <c r="B83" i="2" s="1"/>
  <c r="H83" i="2" l="1"/>
  <c r="F83" i="2"/>
  <c r="D83" i="2"/>
  <c r="G83" i="2"/>
  <c r="E83" i="2"/>
  <c r="C83" i="2"/>
  <c r="B84" i="2" a="1"/>
  <c r="B84" i="2" s="1"/>
  <c r="C84" i="2" l="1"/>
  <c r="E84" i="2"/>
  <c r="D84" i="2"/>
  <c r="H84" i="2"/>
  <c r="G84" i="2"/>
  <c r="F84" i="2"/>
  <c r="B85" i="2" a="1"/>
  <c r="B85" i="2" s="1"/>
  <c r="G85" i="2" l="1"/>
  <c r="C85" i="2"/>
  <c r="F85" i="2"/>
  <c r="E85" i="2"/>
  <c r="D85" i="2"/>
  <c r="H85" i="2"/>
  <c r="B86" i="2" a="1"/>
  <c r="B86" i="2" s="1"/>
  <c r="H86" i="2" l="1"/>
  <c r="F86" i="2"/>
  <c r="G86" i="2"/>
  <c r="E86" i="2"/>
  <c r="D86" i="2"/>
  <c r="C86" i="2"/>
  <c r="B87" i="2" a="1"/>
  <c r="B87" i="2" s="1"/>
  <c r="G87" i="2" l="1"/>
  <c r="H87" i="2"/>
  <c r="F87" i="2"/>
  <c r="D87" i="2"/>
  <c r="C87" i="2"/>
  <c r="E87" i="2"/>
  <c r="B88" i="2" a="1"/>
  <c r="B88" i="2" s="1"/>
  <c r="D88" i="2" l="1"/>
  <c r="F88" i="2"/>
  <c r="C88" i="2"/>
  <c r="H88" i="2"/>
  <c r="G88" i="2"/>
  <c r="E88" i="2"/>
  <c r="B89" i="2" a="1"/>
  <c r="B89" i="2" s="1"/>
  <c r="G89" i="2" l="1"/>
  <c r="F89" i="2"/>
  <c r="E89" i="2"/>
  <c r="H89" i="2"/>
  <c r="D89" i="2"/>
  <c r="C89" i="2"/>
  <c r="B90" i="2" a="1"/>
  <c r="B90" i="2" s="1"/>
  <c r="D90" i="2" l="1"/>
  <c r="G90" i="2"/>
  <c r="C90" i="2"/>
  <c r="H90" i="2"/>
  <c r="F90" i="2"/>
  <c r="E90" i="2"/>
  <c r="B91" i="2" a="1"/>
  <c r="B91" i="2" s="1"/>
  <c r="D91" i="2" l="1"/>
  <c r="H91" i="2"/>
  <c r="F91" i="2"/>
  <c r="G91" i="2"/>
  <c r="E91" i="2"/>
  <c r="C91" i="2"/>
  <c r="B92" i="2" a="1"/>
  <c r="B92" i="2" s="1"/>
  <c r="H92" i="2" l="1"/>
  <c r="D92" i="2"/>
  <c r="F92" i="2"/>
  <c r="G92" i="2"/>
  <c r="E92" i="2"/>
  <c r="C92" i="2"/>
  <c r="B93" i="2" a="1"/>
  <c r="B93" i="2" s="1"/>
  <c r="E93" i="2" l="1"/>
  <c r="C93" i="2"/>
  <c r="H93" i="2"/>
  <c r="G93" i="2"/>
  <c r="F93" i="2"/>
  <c r="D93" i="2"/>
  <c r="B94" i="2" a="1"/>
  <c r="B94" i="2" s="1"/>
  <c r="E94" i="2" l="1"/>
  <c r="D94" i="2"/>
  <c r="H94" i="2"/>
  <c r="C94" i="2"/>
  <c r="G94" i="2"/>
  <c r="F94" i="2"/>
  <c r="B95" i="2" a="1"/>
  <c r="B95" i="2" s="1"/>
  <c r="C95" i="2" l="1"/>
  <c r="H95" i="2"/>
  <c r="F95" i="2"/>
  <c r="G95" i="2"/>
  <c r="E95" i="2"/>
  <c r="D95" i="2"/>
  <c r="B96" i="2" a="1"/>
  <c r="B96" i="2" s="1"/>
  <c r="G96" i="2" l="1"/>
  <c r="E96" i="2"/>
  <c r="F96" i="2"/>
  <c r="D96" i="2"/>
  <c r="C96" i="2"/>
  <c r="H96" i="2"/>
  <c r="B97" i="2" a="1"/>
  <c r="B97" i="2" s="1"/>
  <c r="H97" i="2" l="1"/>
  <c r="D97" i="2"/>
  <c r="C97" i="2"/>
  <c r="F97" i="2"/>
  <c r="G97" i="2"/>
  <c r="E97" i="2"/>
  <c r="B98" i="2" a="1"/>
  <c r="B98" i="2" s="1"/>
  <c r="H98" i="2" l="1"/>
  <c r="G98" i="2"/>
  <c r="D98" i="2"/>
  <c r="F98" i="2"/>
  <c r="E98" i="2"/>
  <c r="C98" i="2"/>
  <c r="B99" i="2" a="1"/>
  <c r="B99" i="2" s="1"/>
  <c r="C99" i="2" l="1"/>
  <c r="G99" i="2"/>
  <c r="F99" i="2"/>
  <c r="E99" i="2"/>
  <c r="D99" i="2"/>
  <c r="H99" i="2"/>
  <c r="B100" i="2" a="1"/>
  <c r="B100" i="2" s="1"/>
  <c r="D100" i="2" l="1"/>
  <c r="F100" i="2"/>
  <c r="E100" i="2"/>
  <c r="H100" i="2"/>
  <c r="G100" i="2"/>
  <c r="C100" i="2"/>
  <c r="B101" i="2" a="1"/>
  <c r="B101" i="2" s="1"/>
  <c r="F101" i="2" l="1"/>
  <c r="D101" i="2"/>
  <c r="G101" i="2"/>
  <c r="E101" i="2"/>
  <c r="C101" i="2"/>
  <c r="H101" i="2"/>
  <c r="B102" i="2" a="1"/>
  <c r="B102" i="2" s="1"/>
  <c r="H102" i="2" l="1"/>
  <c r="G102" i="2"/>
  <c r="F102" i="2"/>
  <c r="C102" i="2"/>
  <c r="E102" i="2"/>
  <c r="D102" i="2"/>
  <c r="B103" i="2" a="1"/>
  <c r="B103" i="2" s="1"/>
  <c r="D103" i="2" l="1"/>
  <c r="H103" i="2"/>
  <c r="G103" i="2"/>
  <c r="C103" i="2"/>
  <c r="F103" i="2"/>
  <c r="E103" i="2"/>
  <c r="B104" i="2" a="1"/>
  <c r="B104" i="2" s="1"/>
  <c r="H104" i="2" l="1"/>
  <c r="F104" i="2"/>
  <c r="G104" i="2"/>
  <c r="E104" i="2"/>
  <c r="D104" i="2"/>
  <c r="C104" i="2"/>
  <c r="B105" i="2" a="1"/>
  <c r="B105" i="2" s="1"/>
  <c r="E105" i="2" l="1"/>
  <c r="D105" i="2"/>
  <c r="G105" i="2"/>
  <c r="H105" i="2"/>
  <c r="F105" i="2"/>
  <c r="C105" i="2"/>
  <c r="B106" i="2" a="1"/>
  <c r="B106" i="2" s="1"/>
  <c r="H106" i="2" l="1"/>
  <c r="G106" i="2"/>
  <c r="E106" i="2"/>
  <c r="D106" i="2"/>
  <c r="F106" i="2"/>
  <c r="C106" i="2"/>
  <c r="B107" i="2" a="1"/>
  <c r="B107" i="2" s="1"/>
  <c r="F107" i="2" l="1"/>
  <c r="E107" i="2"/>
  <c r="C107" i="2"/>
  <c r="H107" i="2"/>
  <c r="D107" i="2"/>
  <c r="G107" i="2"/>
  <c r="B108" i="2" a="1"/>
  <c r="B108" i="2" s="1"/>
  <c r="F108" i="2" l="1"/>
  <c r="C108" i="2"/>
  <c r="H108" i="2"/>
  <c r="E108" i="2"/>
  <c r="D108" i="2"/>
  <c r="G108" i="2"/>
  <c r="B109" i="2" a="1"/>
  <c r="B109" i="2" s="1"/>
  <c r="D109" i="2" l="1"/>
  <c r="H109" i="2"/>
  <c r="F109" i="2"/>
  <c r="G109" i="2"/>
  <c r="E109" i="2"/>
  <c r="C109" i="2"/>
  <c r="B110" i="2" a="1"/>
  <c r="B110" i="2" s="1"/>
  <c r="D110" i="2" l="1"/>
  <c r="C110" i="2"/>
  <c r="F110" i="2"/>
  <c r="G110" i="2"/>
  <c r="E110" i="2"/>
  <c r="H110" i="2"/>
  <c r="B111" i="2" a="1"/>
  <c r="B111" i="2" s="1"/>
  <c r="H111" i="2" l="1"/>
  <c r="E111" i="2"/>
  <c r="C111" i="2"/>
  <c r="G111" i="2"/>
  <c r="F111" i="2"/>
  <c r="D111" i="2"/>
  <c r="B112" i="2" a="1"/>
  <c r="B112" i="2" s="1"/>
  <c r="D112" i="2" l="1"/>
  <c r="H112" i="2"/>
  <c r="C112" i="2"/>
  <c r="G112" i="2"/>
  <c r="F112" i="2"/>
  <c r="E112" i="2"/>
  <c r="B113" i="2" a="1"/>
  <c r="B113" i="2" s="1"/>
  <c r="G113" i="2" l="1"/>
  <c r="H113" i="2"/>
  <c r="F113" i="2"/>
  <c r="E113" i="2"/>
  <c r="D113" i="2"/>
  <c r="C113" i="2"/>
  <c r="B114" i="2" a="1"/>
  <c r="B114" i="2" s="1"/>
  <c r="G114" i="2" l="1"/>
  <c r="E114" i="2"/>
  <c r="H114" i="2"/>
  <c r="F114" i="2"/>
  <c r="D114" i="2"/>
  <c r="C114" i="2"/>
  <c r="B115" i="2" a="1"/>
  <c r="B115" i="2" s="1"/>
  <c r="D115" i="2" l="1"/>
  <c r="E115" i="2"/>
  <c r="C115" i="2"/>
  <c r="F115" i="2"/>
  <c r="H115" i="2"/>
  <c r="G115" i="2"/>
  <c r="B116" i="2" a="1"/>
  <c r="B116" i="2" s="1"/>
  <c r="G116" i="2" l="1"/>
  <c r="E116" i="2"/>
  <c r="C116" i="2"/>
  <c r="H116" i="2"/>
  <c r="D116" i="2"/>
  <c r="F116" i="2"/>
  <c r="B117" i="2" a="1"/>
  <c r="B117" i="2" s="1"/>
  <c r="E117" i="2" l="1"/>
  <c r="D117" i="2"/>
  <c r="H117" i="2"/>
  <c r="F117" i="2"/>
  <c r="G117" i="2"/>
  <c r="C117" i="2"/>
  <c r="B118" i="2" a="1"/>
  <c r="B118" i="2" s="1"/>
  <c r="G118" i="2" l="1"/>
  <c r="C118" i="2"/>
  <c r="D118" i="2"/>
  <c r="F118" i="2"/>
  <c r="E118" i="2"/>
  <c r="H118" i="2"/>
  <c r="B119" i="2" a="1"/>
  <c r="B119" i="2" s="1"/>
  <c r="G119" i="2" l="1"/>
  <c r="E119" i="2"/>
  <c r="C119" i="2"/>
  <c r="H119" i="2"/>
  <c r="F119" i="2"/>
  <c r="D119" i="2"/>
  <c r="B120" i="2" a="1"/>
  <c r="B120" i="2" s="1"/>
  <c r="G120" i="2" l="1"/>
  <c r="D120" i="2"/>
  <c r="C120" i="2"/>
  <c r="E120" i="2"/>
  <c r="H120" i="2"/>
  <c r="F120" i="2"/>
  <c r="B121" i="2" a="1"/>
  <c r="B121" i="2" s="1"/>
  <c r="D121" i="2" l="1"/>
  <c r="H121" i="2"/>
  <c r="G121" i="2"/>
  <c r="C121" i="2"/>
  <c r="F121" i="2"/>
  <c r="E121" i="2"/>
  <c r="B122" i="2" a="1"/>
  <c r="B122" i="2" s="1"/>
  <c r="D122" i="2" l="1"/>
  <c r="E122" i="2"/>
  <c r="C122" i="2"/>
  <c r="H122" i="2"/>
  <c r="G122" i="2"/>
  <c r="F122" i="2"/>
  <c r="B123" i="2" a="1"/>
  <c r="B123" i="2" s="1"/>
  <c r="F123" i="2" l="1"/>
  <c r="E123" i="2"/>
  <c r="D123" i="2"/>
  <c r="G123" i="2"/>
  <c r="H123" i="2"/>
  <c r="C123" i="2"/>
  <c r="B124" i="2" a="1"/>
  <c r="B124" i="2" s="1"/>
  <c r="C124" i="2" l="1"/>
  <c r="D124" i="2"/>
  <c r="F124" i="2"/>
  <c r="E124" i="2"/>
  <c r="H124" i="2"/>
  <c r="G124" i="2"/>
  <c r="B125" i="2" a="1"/>
  <c r="B125" i="2" s="1"/>
  <c r="D125" i="2" l="1"/>
  <c r="G125" i="2"/>
  <c r="F125" i="2"/>
  <c r="E125" i="2"/>
  <c r="C125" i="2"/>
  <c r="H125" i="2"/>
  <c r="B126" i="2" a="1"/>
  <c r="B126" i="2" s="1"/>
  <c r="G126" i="2" l="1"/>
  <c r="F126" i="2"/>
  <c r="C126" i="2"/>
  <c r="E126" i="2"/>
  <c r="D126" i="2"/>
  <c r="H126" i="2"/>
  <c r="B127" i="2" a="1"/>
  <c r="B127" i="2" s="1"/>
  <c r="D127" i="2" l="1"/>
  <c r="H127" i="2"/>
  <c r="G127" i="2"/>
  <c r="F127" i="2"/>
  <c r="E127" i="2"/>
  <c r="C127" i="2"/>
  <c r="B128" i="2" a="1"/>
  <c r="B128" i="2" s="1"/>
  <c r="G128" i="2" l="1"/>
  <c r="H128" i="2"/>
  <c r="E128" i="2"/>
  <c r="D128" i="2"/>
  <c r="C128" i="2"/>
  <c r="F128" i="2"/>
  <c r="B129" i="2" a="1"/>
  <c r="B129" i="2" s="1"/>
  <c r="H129" i="2" l="1"/>
  <c r="G129" i="2"/>
  <c r="E129" i="2"/>
  <c r="D129" i="2"/>
  <c r="C129" i="2"/>
  <c r="F129" i="2"/>
  <c r="B130" i="2" a="1"/>
  <c r="B130" i="2" s="1"/>
  <c r="F130" i="2" l="1"/>
  <c r="D130" i="2"/>
  <c r="H130" i="2"/>
  <c r="G130" i="2"/>
  <c r="C130" i="2"/>
  <c r="E130" i="2"/>
  <c r="B131" i="2" a="1"/>
  <c r="B131" i="2" s="1"/>
  <c r="H131" i="2" l="1"/>
  <c r="G131" i="2"/>
  <c r="F131" i="2"/>
  <c r="E131" i="2"/>
  <c r="D131" i="2"/>
  <c r="C131" i="2"/>
  <c r="B132" i="2" a="1"/>
  <c r="B132" i="2" s="1"/>
  <c r="G132" i="2" l="1"/>
  <c r="F132" i="2"/>
  <c r="E132" i="2"/>
  <c r="D132" i="2"/>
  <c r="C132" i="2"/>
  <c r="H132" i="2"/>
  <c r="B133" i="2" a="1"/>
  <c r="B133" i="2" s="1"/>
  <c r="H133" i="2" l="1"/>
  <c r="F133" i="2"/>
  <c r="G133" i="2"/>
  <c r="D133" i="2"/>
  <c r="E133" i="2"/>
  <c r="C133" i="2"/>
  <c r="B134" i="2" a="1"/>
  <c r="B134" i="2" s="1"/>
  <c r="C134" i="2" l="1"/>
  <c r="E134" i="2"/>
  <c r="H134" i="2"/>
  <c r="G134" i="2"/>
  <c r="F134" i="2"/>
  <c r="D134" i="2"/>
  <c r="B135" i="2" a="1"/>
  <c r="B135" i="2" s="1"/>
  <c r="H135" i="2" l="1"/>
  <c r="G135" i="2"/>
  <c r="F135" i="2"/>
  <c r="E135" i="2"/>
  <c r="C135" i="2"/>
  <c r="D135" i="2"/>
  <c r="B136" i="2" a="1"/>
  <c r="B136" i="2" s="1"/>
  <c r="D136" i="2" l="1"/>
  <c r="G136" i="2"/>
  <c r="F136" i="2"/>
  <c r="E136" i="2"/>
  <c r="C136" i="2"/>
  <c r="H136" i="2"/>
  <c r="B137" i="2" a="1"/>
  <c r="B137" i="2" s="1"/>
  <c r="D137" i="2" l="1"/>
  <c r="C137" i="2"/>
  <c r="G137" i="2"/>
  <c r="H137" i="2"/>
  <c r="F137" i="2"/>
  <c r="E137" i="2"/>
  <c r="B138" i="2" a="1"/>
  <c r="B138" i="2" s="1"/>
  <c r="G138" i="2" l="1"/>
  <c r="E138" i="2"/>
  <c r="F138" i="2"/>
  <c r="D138" i="2"/>
  <c r="C138" i="2"/>
  <c r="H138" i="2"/>
  <c r="B139" i="2" a="1"/>
  <c r="B139" i="2" s="1"/>
  <c r="C139" i="2" l="1"/>
  <c r="E139" i="2"/>
  <c r="D139" i="2"/>
  <c r="H139" i="2"/>
  <c r="G139" i="2"/>
  <c r="F139" i="2"/>
  <c r="B140" i="2" a="1"/>
  <c r="B140" i="2" s="1"/>
  <c r="H140" i="2" l="1"/>
  <c r="G140" i="2"/>
  <c r="F140" i="2"/>
  <c r="E140" i="2"/>
  <c r="D140" i="2"/>
  <c r="C140" i="2"/>
  <c r="B141" i="2" a="1"/>
  <c r="B141" i="2" s="1"/>
  <c r="C141" i="2" l="1"/>
  <c r="G141" i="2"/>
  <c r="H141" i="2"/>
  <c r="F141" i="2"/>
  <c r="E141" i="2"/>
  <c r="D141" i="2"/>
  <c r="B142" i="2" a="1"/>
  <c r="B142" i="2" s="1"/>
  <c r="H142" i="2" l="1"/>
  <c r="C142" i="2"/>
  <c r="D142" i="2"/>
  <c r="G142" i="2"/>
  <c r="F142" i="2"/>
  <c r="E142" i="2"/>
  <c r="B143" i="2" a="1"/>
  <c r="B143" i="2" s="1"/>
  <c r="F143" i="2" l="1"/>
  <c r="D143" i="2"/>
  <c r="E143" i="2"/>
  <c r="H143" i="2"/>
  <c r="C143" i="2"/>
  <c r="G143" i="2"/>
  <c r="B144" i="2" a="1"/>
  <c r="B144" i="2" s="1"/>
  <c r="H144" i="2" l="1"/>
  <c r="G144" i="2"/>
  <c r="F144" i="2"/>
  <c r="E144" i="2"/>
  <c r="D144" i="2"/>
  <c r="C144" i="2"/>
  <c r="B145" i="2" a="1"/>
  <c r="B145" i="2" s="1"/>
  <c r="E145" i="2" l="1"/>
  <c r="C145" i="2"/>
  <c r="D145" i="2"/>
  <c r="H145" i="2"/>
  <c r="G145" i="2"/>
  <c r="F145" i="2"/>
  <c r="B146" i="2" a="1"/>
  <c r="B146" i="2" s="1"/>
  <c r="H146" i="2" l="1"/>
  <c r="E146" i="2"/>
  <c r="D146" i="2"/>
  <c r="C146" i="2"/>
  <c r="F146" i="2"/>
  <c r="G146" i="2"/>
  <c r="B147" i="2" a="1"/>
  <c r="B147" i="2" s="1"/>
  <c r="H147" i="2" l="1"/>
  <c r="G147" i="2"/>
  <c r="F147" i="2"/>
  <c r="E147" i="2"/>
  <c r="D147" i="2"/>
  <c r="C147" i="2"/>
  <c r="B148" i="2" a="1"/>
  <c r="B148" i="2" s="1"/>
  <c r="D148" i="2" l="1"/>
  <c r="H148" i="2"/>
  <c r="G148" i="2"/>
  <c r="F148" i="2"/>
  <c r="C148" i="2"/>
  <c r="E148" i="2"/>
  <c r="B149" i="2" a="1"/>
  <c r="B149" i="2" s="1"/>
  <c r="G149" i="2" l="1"/>
  <c r="F149" i="2"/>
  <c r="E149" i="2"/>
  <c r="D149" i="2"/>
  <c r="C149" i="2"/>
  <c r="H149" i="2"/>
  <c r="B150" i="2" a="1"/>
  <c r="B150" i="2" s="1"/>
  <c r="E150" i="2" l="1"/>
  <c r="H150" i="2"/>
  <c r="G150" i="2"/>
  <c r="F150" i="2"/>
  <c r="D150" i="2"/>
  <c r="C150" i="2"/>
  <c r="B151" i="2" a="1"/>
  <c r="B151" i="2" s="1"/>
  <c r="E151" i="2" l="1"/>
  <c r="D151" i="2"/>
  <c r="C151" i="2"/>
  <c r="H151" i="2"/>
  <c r="F151" i="2"/>
  <c r="G151" i="2"/>
  <c r="B152" i="2" a="1"/>
  <c r="B152" i="2" s="1"/>
  <c r="H152" i="2" l="1"/>
  <c r="G152" i="2"/>
  <c r="F152" i="2"/>
  <c r="E152" i="2"/>
  <c r="D152" i="2"/>
  <c r="C152" i="2"/>
  <c r="B153" i="2" a="1"/>
  <c r="B153" i="2" s="1"/>
  <c r="G153" i="2" l="1"/>
  <c r="F153" i="2"/>
  <c r="E153" i="2"/>
  <c r="C153" i="2"/>
  <c r="D153" i="2"/>
  <c r="H153" i="2"/>
  <c r="B154" i="2" a="1"/>
  <c r="B154" i="2" s="1"/>
  <c r="D154" i="2" l="1"/>
  <c r="G154" i="2"/>
  <c r="F154" i="2"/>
  <c r="E154" i="2"/>
  <c r="C154" i="2"/>
  <c r="H154" i="2"/>
  <c r="B155" i="2" a="1"/>
  <c r="B155" i="2" s="1"/>
  <c r="G155" i="2" l="1"/>
  <c r="D155" i="2"/>
  <c r="H155" i="2"/>
  <c r="F155" i="2"/>
  <c r="E155" i="2"/>
  <c r="C155" i="2"/>
  <c r="B156" i="2" a="1"/>
  <c r="B156" i="2" s="1"/>
  <c r="D156" i="2" l="1"/>
  <c r="C156" i="2"/>
  <c r="H156" i="2"/>
  <c r="G156" i="2"/>
  <c r="E156" i="2"/>
  <c r="F156" i="2"/>
  <c r="B157" i="2" a="1"/>
  <c r="B157" i="2" s="1"/>
  <c r="C157" i="2" l="1"/>
  <c r="D157" i="2"/>
  <c r="H157" i="2"/>
  <c r="G157" i="2"/>
  <c r="F157" i="2"/>
  <c r="E157" i="2"/>
  <c r="B158" i="2" a="1"/>
  <c r="B158" i="2" s="1"/>
  <c r="E158" i="2" l="1"/>
  <c r="D158" i="2"/>
  <c r="C158" i="2"/>
  <c r="H158" i="2"/>
  <c r="G158" i="2"/>
  <c r="F158" i="2"/>
  <c r="B159" i="2" a="1"/>
  <c r="B159" i="2" s="1"/>
  <c r="D159" i="2" l="1"/>
  <c r="C159" i="2"/>
  <c r="G159" i="2"/>
  <c r="F159" i="2"/>
  <c r="E159" i="2"/>
  <c r="H159" i="2"/>
  <c r="B160" i="2" a="1"/>
  <c r="B160" i="2" s="1"/>
  <c r="D160" i="2" l="1"/>
  <c r="H160" i="2"/>
  <c r="G160" i="2"/>
  <c r="F160" i="2"/>
  <c r="E160" i="2"/>
  <c r="C160" i="2"/>
  <c r="B161" i="2" a="1"/>
  <c r="B161" i="2" s="1"/>
  <c r="H161" i="2" l="1"/>
  <c r="C161" i="2"/>
  <c r="G161" i="2"/>
  <c r="F161" i="2"/>
  <c r="D161" i="2"/>
  <c r="E161" i="2"/>
  <c r="B162" i="2" a="1"/>
  <c r="B162" i="2" s="1"/>
  <c r="H162" i="2" l="1"/>
  <c r="G162" i="2"/>
  <c r="F162" i="2"/>
  <c r="E162" i="2"/>
  <c r="D162" i="2"/>
  <c r="C162" i="2"/>
  <c r="B163" i="2" a="1"/>
  <c r="B163" i="2" s="1"/>
  <c r="D163" i="2" l="1"/>
  <c r="H163" i="2"/>
  <c r="G163" i="2"/>
  <c r="F163" i="2"/>
  <c r="E163" i="2"/>
  <c r="C163" i="2"/>
  <c r="B164" i="2" a="1"/>
  <c r="B164" i="2" s="1"/>
  <c r="H164" i="2" l="1"/>
  <c r="E164" i="2"/>
  <c r="D164" i="2"/>
  <c r="C164" i="2"/>
  <c r="G164" i="2"/>
  <c r="F164" i="2"/>
  <c r="B165" i="2" a="1"/>
  <c r="B165" i="2" s="1"/>
  <c r="H165" i="2" l="1"/>
  <c r="G165" i="2"/>
  <c r="F165" i="2"/>
  <c r="E165" i="2"/>
  <c r="D165" i="2"/>
  <c r="C165" i="2"/>
  <c r="B166" i="2" a="1"/>
  <c r="B166" i="2" s="1"/>
  <c r="F166" i="2" l="1"/>
  <c r="E166" i="2"/>
  <c r="C166" i="2"/>
  <c r="D166" i="2"/>
  <c r="H166" i="2"/>
  <c r="G166" i="2"/>
  <c r="B167" i="2" a="1"/>
  <c r="B167" i="2" s="1"/>
  <c r="H167" i="2" l="1"/>
  <c r="G167" i="2"/>
  <c r="F167" i="2"/>
  <c r="E167" i="2"/>
  <c r="D167" i="2"/>
  <c r="C167" i="2"/>
  <c r="B168" i="2" a="1"/>
  <c r="B168" i="2" s="1"/>
  <c r="H168" i="2" l="1"/>
  <c r="G168" i="2"/>
  <c r="F168" i="2"/>
  <c r="E168" i="2"/>
  <c r="D168" i="2"/>
  <c r="C168" i="2"/>
  <c r="B169" i="2" a="1"/>
  <c r="B169" i="2" s="1"/>
  <c r="D169" i="2" l="1"/>
  <c r="E169" i="2"/>
  <c r="C169" i="2"/>
  <c r="H169" i="2"/>
  <c r="G169" i="2"/>
  <c r="F169" i="2"/>
  <c r="B170" i="2" a="1"/>
  <c r="B170" i="2" s="1"/>
  <c r="E170" i="2" l="1"/>
  <c r="G170" i="2"/>
  <c r="F170" i="2"/>
  <c r="D170" i="2"/>
  <c r="C170" i="2"/>
  <c r="H170" i="2"/>
  <c r="B171" i="2" a="1"/>
  <c r="B171" i="2" s="1"/>
  <c r="H171" i="2" l="1"/>
  <c r="G171" i="2"/>
  <c r="F171" i="2"/>
  <c r="E171" i="2"/>
  <c r="D171" i="2"/>
  <c r="C171" i="2"/>
  <c r="B172" i="2" a="1"/>
  <c r="B172" i="2" s="1"/>
  <c r="G172" i="2" l="1"/>
  <c r="F172" i="2"/>
  <c r="E172" i="2"/>
  <c r="C172" i="2"/>
  <c r="H172" i="2"/>
  <c r="D172" i="2"/>
  <c r="B173" i="2" a="1"/>
  <c r="B173" i="2" s="1"/>
  <c r="H173" i="2" l="1"/>
  <c r="G173" i="2"/>
  <c r="F173" i="2"/>
  <c r="E173" i="2"/>
  <c r="D173" i="2"/>
  <c r="C173" i="2"/>
  <c r="B174" i="2" a="1"/>
  <c r="B174" i="2" s="1"/>
  <c r="D174" i="2" l="1"/>
  <c r="C174" i="2"/>
  <c r="H174" i="2"/>
  <c r="G174" i="2"/>
  <c r="F174" i="2"/>
  <c r="E174" i="2"/>
  <c r="B175" i="2" a="1"/>
  <c r="B175" i="2" s="1"/>
  <c r="D175" i="2" l="1"/>
  <c r="H175" i="2"/>
  <c r="G175" i="2"/>
  <c r="F175" i="2"/>
  <c r="E175" i="2"/>
  <c r="C175" i="2"/>
  <c r="B176" i="2" a="1"/>
  <c r="B176" i="2" s="1"/>
  <c r="H176" i="2" l="1"/>
  <c r="G176" i="2"/>
  <c r="F176" i="2"/>
  <c r="E176" i="2"/>
  <c r="D176" i="2"/>
  <c r="C176" i="2"/>
  <c r="B177" i="2" a="1"/>
  <c r="B177" i="2" s="1"/>
  <c r="C177" i="2" l="1"/>
  <c r="G177" i="2"/>
  <c r="F177" i="2"/>
  <c r="E177" i="2"/>
  <c r="D177" i="2"/>
  <c r="H177" i="2"/>
  <c r="B178" i="2" a="1"/>
  <c r="B178" i="2" s="1"/>
  <c r="D178" i="2" l="1"/>
  <c r="H178" i="2"/>
  <c r="G178" i="2"/>
  <c r="F178" i="2"/>
  <c r="E178" i="2"/>
  <c r="C178" i="2"/>
  <c r="B179" i="2" a="1"/>
  <c r="B179" i="2" s="1"/>
  <c r="F179" i="2" l="1"/>
  <c r="E179" i="2"/>
  <c r="D179" i="2"/>
  <c r="H179" i="2"/>
  <c r="C179" i="2"/>
  <c r="G179" i="2"/>
  <c r="B180" i="2" a="1"/>
  <c r="B180" i="2" s="1"/>
  <c r="H180" i="2" l="1"/>
  <c r="G180" i="2"/>
  <c r="F180" i="2"/>
  <c r="E180" i="2"/>
  <c r="D180" i="2"/>
  <c r="C180" i="2"/>
  <c r="B181" i="2" a="1"/>
  <c r="B181" i="2" s="1"/>
  <c r="G181" i="2" l="1"/>
  <c r="D181" i="2"/>
  <c r="H181" i="2"/>
  <c r="F181" i="2"/>
  <c r="E181" i="2"/>
  <c r="C181" i="2"/>
  <c r="B182" i="2" a="1"/>
  <c r="B182" i="2" s="1"/>
  <c r="E182" i="2" l="1"/>
  <c r="D182" i="2"/>
  <c r="C182" i="2"/>
  <c r="G182" i="2"/>
  <c r="F182" i="2"/>
  <c r="H182" i="2"/>
  <c r="B183" i="2" a="1"/>
  <c r="B183" i="2" s="1"/>
  <c r="H183" i="2" l="1"/>
  <c r="G183" i="2"/>
  <c r="F183" i="2"/>
  <c r="E183" i="2"/>
  <c r="D183" i="2"/>
  <c r="C183" i="2"/>
  <c r="B184" i="2" a="1"/>
  <c r="B184" i="2" s="1"/>
  <c r="D184" i="2" l="1"/>
  <c r="H184" i="2"/>
  <c r="G184" i="2"/>
  <c r="F184" i="2"/>
  <c r="E184" i="2"/>
  <c r="C184" i="2"/>
  <c r="B185" i="2" a="1"/>
  <c r="B185" i="2" s="1"/>
  <c r="H185" i="2" l="1"/>
  <c r="G185" i="2"/>
  <c r="F185" i="2"/>
  <c r="E185" i="2"/>
  <c r="D185" i="2"/>
  <c r="C185" i="2"/>
  <c r="B186" i="2" a="1"/>
  <c r="B186" i="2" s="1"/>
  <c r="H186" i="2" l="1"/>
  <c r="G186" i="2"/>
  <c r="F186" i="2"/>
  <c r="E186" i="2"/>
  <c r="D186" i="2"/>
  <c r="C186" i="2"/>
  <c r="B187" i="2" a="1"/>
  <c r="B187" i="2" s="1"/>
  <c r="F187" i="2" l="1"/>
  <c r="D187" i="2"/>
  <c r="E187" i="2"/>
  <c r="C187" i="2"/>
  <c r="H187" i="2"/>
  <c r="G187" i="2"/>
  <c r="B188" i="2" a="1"/>
  <c r="B188" i="2" s="1"/>
  <c r="H188" i="2" l="1"/>
  <c r="C188" i="2"/>
  <c r="G188" i="2"/>
  <c r="D188" i="2"/>
  <c r="E188" i="2"/>
  <c r="F188" i="2"/>
  <c r="B189" i="2" a="1"/>
  <c r="B189" i="2" s="1"/>
  <c r="D189" i="2" l="1"/>
  <c r="C189" i="2"/>
  <c r="H189" i="2"/>
  <c r="G189" i="2"/>
  <c r="F189" i="2"/>
  <c r="E189" i="2"/>
  <c r="B190" i="2" a="1"/>
  <c r="B190" i="2" s="1"/>
  <c r="D190" i="2" l="1"/>
  <c r="G190" i="2"/>
  <c r="F190" i="2"/>
  <c r="E190" i="2"/>
  <c r="C190" i="2"/>
  <c r="H190" i="2"/>
  <c r="B191" i="2" a="1"/>
  <c r="B191" i="2" s="1"/>
  <c r="D191" i="2" l="1"/>
  <c r="C191" i="2"/>
  <c r="H191" i="2"/>
  <c r="E191" i="2"/>
  <c r="G191" i="2"/>
  <c r="F191" i="2"/>
  <c r="B192" i="2" a="1"/>
  <c r="B192" i="2" s="1"/>
  <c r="D192" i="2" l="1"/>
  <c r="C192" i="2"/>
  <c r="H192" i="2"/>
  <c r="G192" i="2"/>
  <c r="F192" i="2"/>
  <c r="E192" i="2"/>
  <c r="B193" i="2" a="1"/>
  <c r="B193" i="2" s="1"/>
  <c r="D193" i="2" l="1"/>
  <c r="H193" i="2"/>
  <c r="G193" i="2"/>
  <c r="F193" i="2"/>
  <c r="E193" i="2"/>
  <c r="C193" i="2"/>
  <c r="B194" i="2" a="1"/>
  <c r="B194" i="2" s="1"/>
  <c r="H194" i="2" l="1"/>
  <c r="G194" i="2"/>
  <c r="F194" i="2"/>
  <c r="E194" i="2"/>
  <c r="D194" i="2"/>
  <c r="C194" i="2"/>
  <c r="B195" i="2" a="1"/>
  <c r="B195" i="2" s="1"/>
  <c r="F195" i="2" l="1"/>
  <c r="E195" i="2"/>
  <c r="D195" i="2"/>
  <c r="C195" i="2"/>
  <c r="H195" i="2"/>
  <c r="G195" i="2"/>
  <c r="B196" i="2" a="1"/>
  <c r="B196" i="2" s="1"/>
  <c r="D196" i="2" l="1"/>
  <c r="H196" i="2"/>
  <c r="G196" i="2"/>
  <c r="F196" i="2"/>
  <c r="E196" i="2"/>
  <c r="C196" i="2"/>
  <c r="B197" i="2" a="1"/>
  <c r="B197" i="2" s="1"/>
  <c r="F197" i="2" l="1"/>
  <c r="E197" i="2"/>
  <c r="D197" i="2"/>
  <c r="H197" i="2"/>
  <c r="G197" i="2"/>
  <c r="C197" i="2"/>
  <c r="B198" i="2" a="1"/>
  <c r="B198" i="2" s="1"/>
  <c r="H198" i="2" l="1"/>
  <c r="G198" i="2"/>
  <c r="F198" i="2"/>
  <c r="E198" i="2"/>
  <c r="D198" i="2"/>
  <c r="C198" i="2"/>
  <c r="B199" i="2" a="1"/>
  <c r="B199" i="2" s="1"/>
  <c r="F199" i="2" l="1"/>
  <c r="E199" i="2"/>
  <c r="C199" i="2"/>
  <c r="D199" i="2"/>
  <c r="G199" i="2"/>
  <c r="H199" i="2"/>
  <c r="B200" i="2" a="1"/>
  <c r="B200" i="2" s="1"/>
  <c r="E200" i="2" l="1"/>
  <c r="D200" i="2"/>
  <c r="C200" i="2"/>
  <c r="G200" i="2"/>
  <c r="F200" i="2"/>
  <c r="H200" i="2"/>
  <c r="B201" i="2" a="1"/>
  <c r="B201" i="2" s="1"/>
  <c r="H201" i="2" l="1"/>
  <c r="G201" i="2"/>
  <c r="F201" i="2"/>
  <c r="E201" i="2"/>
  <c r="D201" i="2"/>
  <c r="C201" i="2"/>
  <c r="B202" i="2" a="1"/>
  <c r="B202" i="2" s="1"/>
  <c r="C202" i="2" l="1"/>
  <c r="D202" i="2"/>
  <c r="H202" i="2"/>
  <c r="G202" i="2"/>
  <c r="F202" i="2"/>
  <c r="E202" i="2"/>
  <c r="B203" i="2" a="1"/>
  <c r="B203" i="2" s="1"/>
  <c r="H203" i="2" l="1"/>
  <c r="G203" i="2"/>
  <c r="F203" i="2"/>
  <c r="E203" i="2"/>
  <c r="D203" i="2"/>
  <c r="C203" i="2"/>
  <c r="B204" i="2" a="1"/>
  <c r="B204" i="2" s="1"/>
  <c r="E204" i="2" l="1"/>
  <c r="H204" i="2"/>
  <c r="G204" i="2"/>
  <c r="F204" i="2"/>
  <c r="D204" i="2"/>
  <c r="C204" i="2"/>
  <c r="B205" i="2" a="1"/>
  <c r="B205" i="2" s="1"/>
  <c r="D205" i="2" l="1"/>
  <c r="E205" i="2"/>
  <c r="H205" i="2"/>
  <c r="G205" i="2"/>
  <c r="F205" i="2"/>
  <c r="C205" i="2"/>
  <c r="B206" i="2" a="1"/>
  <c r="B206" i="2" s="1"/>
  <c r="D206" i="2" l="1"/>
  <c r="C206" i="2"/>
  <c r="H206" i="2"/>
  <c r="G206" i="2"/>
  <c r="F206" i="2"/>
  <c r="E206" i="2"/>
  <c r="B207" i="2" a="1"/>
  <c r="B207" i="2" s="1"/>
  <c r="E207" i="2" l="1"/>
  <c r="D207" i="2"/>
  <c r="C207" i="2"/>
  <c r="H207" i="2"/>
  <c r="G207" i="2"/>
  <c r="F207" i="2"/>
  <c r="B208" i="2" a="1"/>
  <c r="B208" i="2" s="1"/>
  <c r="E208" i="2" l="1"/>
  <c r="F208" i="2"/>
  <c r="C208" i="2"/>
  <c r="H208" i="2"/>
  <c r="D208" i="2"/>
  <c r="G208" i="2"/>
  <c r="B209" i="2" a="1"/>
  <c r="B209" i="2" s="1"/>
  <c r="G209" i="2" l="1"/>
  <c r="C209" i="2"/>
  <c r="D209" i="2"/>
  <c r="H209" i="2"/>
  <c r="F209" i="2"/>
  <c r="E209" i="2"/>
  <c r="B210" i="2" a="1"/>
  <c r="B210" i="2" s="1"/>
  <c r="C210" i="2" l="1"/>
  <c r="H210" i="2"/>
  <c r="G210" i="2"/>
  <c r="F210" i="2"/>
  <c r="E210" i="2"/>
  <c r="D210" i="2"/>
  <c r="B211" i="2" a="1"/>
  <c r="B211" i="2" s="1"/>
  <c r="F211" i="2" l="1"/>
  <c r="H211" i="2"/>
  <c r="G211" i="2"/>
  <c r="E211" i="2"/>
  <c r="C211" i="2"/>
  <c r="D211" i="2"/>
  <c r="B212" i="2" a="1"/>
  <c r="B212" i="2" s="1"/>
  <c r="G212" i="2" l="1"/>
  <c r="F212" i="2"/>
  <c r="E212" i="2"/>
  <c r="D212" i="2"/>
  <c r="C212" i="2"/>
  <c r="H212" i="2"/>
  <c r="B213" i="2" a="1"/>
  <c r="B213" i="2" s="1"/>
  <c r="F213" i="2" l="1"/>
  <c r="E213" i="2"/>
  <c r="D213" i="2"/>
  <c r="C213" i="2"/>
  <c r="H213" i="2"/>
  <c r="G213" i="2"/>
  <c r="B214" i="2" a="1"/>
  <c r="B214" i="2" s="1"/>
  <c r="H214" i="2" l="1"/>
  <c r="G214" i="2"/>
  <c r="F214" i="2"/>
  <c r="E214" i="2"/>
  <c r="C214" i="2"/>
  <c r="D214" i="2"/>
  <c r="B215" i="2" a="1"/>
  <c r="B215" i="2" s="1"/>
  <c r="H215" i="2" l="1"/>
  <c r="C215" i="2"/>
  <c r="G215" i="2"/>
  <c r="F215" i="2"/>
  <c r="E215" i="2"/>
  <c r="D215" i="2"/>
  <c r="B216" i="2" a="1"/>
  <c r="B216" i="2" s="1"/>
  <c r="E216" i="2" l="1"/>
  <c r="C216" i="2"/>
  <c r="H216" i="2"/>
  <c r="G216" i="2"/>
  <c r="F216" i="2"/>
  <c r="D216" i="2"/>
  <c r="B217" i="2" a="1"/>
  <c r="B217" i="2" s="1"/>
  <c r="F217" i="2" l="1"/>
  <c r="D217" i="2"/>
  <c r="H217" i="2"/>
  <c r="G217" i="2"/>
  <c r="E217" i="2"/>
  <c r="C217" i="2"/>
  <c r="B218" i="2" a="1"/>
  <c r="B218" i="2" s="1"/>
  <c r="H218" i="2" l="1"/>
  <c r="E218" i="2"/>
  <c r="D218" i="2"/>
  <c r="C218" i="2"/>
  <c r="G218" i="2"/>
  <c r="F218" i="2"/>
  <c r="B219" i="2" a="1"/>
  <c r="B219" i="2" s="1"/>
  <c r="G219" i="2" l="1"/>
  <c r="E219" i="2"/>
  <c r="H219" i="2"/>
  <c r="F219" i="2"/>
  <c r="D219" i="2"/>
  <c r="C219" i="2"/>
  <c r="B220" i="2" a="1"/>
  <c r="B220" i="2" s="1"/>
  <c r="H220" i="2" l="1"/>
  <c r="D220" i="2"/>
  <c r="G220" i="2"/>
  <c r="F220" i="2"/>
  <c r="E220" i="2"/>
  <c r="C220" i="2"/>
  <c r="B221" i="2" a="1"/>
  <c r="B221" i="2" s="1"/>
  <c r="F221" i="2" l="1"/>
  <c r="H221" i="2"/>
  <c r="C221" i="2"/>
  <c r="G221" i="2"/>
  <c r="D221" i="2"/>
  <c r="E221" i="2"/>
  <c r="B222" i="2" a="1"/>
  <c r="B222" i="2" s="1"/>
  <c r="H222" i="2" l="1"/>
  <c r="G222" i="2"/>
  <c r="F222" i="2"/>
  <c r="E222" i="2"/>
  <c r="D222" i="2"/>
  <c r="C222" i="2"/>
  <c r="B223" i="2" a="1"/>
  <c r="B223" i="2" s="1"/>
  <c r="D223" i="2" l="1"/>
  <c r="C223" i="2"/>
  <c r="G223" i="2"/>
  <c r="F223" i="2"/>
  <c r="E223" i="2"/>
  <c r="H223" i="2"/>
  <c r="B224" i="2" a="1"/>
  <c r="B224" i="2" s="1"/>
  <c r="E224" i="2" l="1"/>
  <c r="H224" i="2"/>
  <c r="G224" i="2"/>
  <c r="F224" i="2"/>
  <c r="D224" i="2"/>
  <c r="C224" i="2"/>
  <c r="B225" i="2" a="1"/>
  <c r="B225" i="2" s="1"/>
  <c r="H225" i="2" l="1"/>
  <c r="E225" i="2"/>
  <c r="D225" i="2"/>
  <c r="C225" i="2"/>
  <c r="G225" i="2"/>
  <c r="F225" i="2"/>
  <c r="B226" i="2" a="1"/>
  <c r="B226" i="2" s="1"/>
  <c r="E226" i="2" l="1"/>
  <c r="C226" i="2"/>
  <c r="D226" i="2"/>
  <c r="F226" i="2"/>
  <c r="H226" i="2"/>
  <c r="G226" i="2"/>
  <c r="B227" i="2" a="1"/>
  <c r="B227" i="2" s="1"/>
  <c r="H227" i="2" l="1"/>
  <c r="C227" i="2"/>
  <c r="G227" i="2"/>
  <c r="F227" i="2"/>
  <c r="E227" i="2"/>
  <c r="D227" i="2"/>
  <c r="B228" i="2" a="1"/>
  <c r="B228" i="2" s="1"/>
  <c r="H228" i="2" l="1"/>
  <c r="C228" i="2"/>
  <c r="D228" i="2"/>
  <c r="G228" i="2"/>
  <c r="E228" i="2"/>
  <c r="F228" i="2"/>
  <c r="B229" i="2" a="1"/>
  <c r="B229" i="2" s="1"/>
  <c r="C229" i="2" l="1"/>
  <c r="D229" i="2"/>
  <c r="H229" i="2"/>
  <c r="G229" i="2"/>
  <c r="F229" i="2"/>
  <c r="E229" i="2"/>
  <c r="B230" i="2" a="1"/>
  <c r="B230" i="2" s="1"/>
  <c r="E230" i="2" l="1"/>
  <c r="D230" i="2"/>
  <c r="C230" i="2"/>
  <c r="H230" i="2"/>
  <c r="G230" i="2"/>
  <c r="F230" i="2"/>
  <c r="B231" i="2" a="1"/>
  <c r="B231" i="2" s="1"/>
  <c r="F231" i="2" l="1"/>
  <c r="E231" i="2"/>
  <c r="H231" i="2"/>
  <c r="G231" i="2"/>
  <c r="D231" i="2"/>
  <c r="C231" i="2"/>
  <c r="B232" i="2" a="1"/>
  <c r="B232" i="2" s="1"/>
  <c r="D232" i="2" l="1"/>
  <c r="F232" i="2"/>
  <c r="E232" i="2"/>
  <c r="C232" i="2"/>
  <c r="H232" i="2"/>
  <c r="G232" i="2"/>
  <c r="B233" i="2" a="1"/>
  <c r="B233" i="2" s="1"/>
  <c r="H233" i="2" l="1"/>
  <c r="G233" i="2"/>
  <c r="F233" i="2"/>
  <c r="E233" i="2"/>
  <c r="D233" i="2"/>
  <c r="C233" i="2"/>
  <c r="B234" i="2" a="1"/>
  <c r="B234" i="2" s="1"/>
  <c r="H234" i="2" l="1"/>
  <c r="C234" i="2"/>
  <c r="F234" i="2"/>
  <c r="E234" i="2"/>
  <c r="G234" i="2"/>
  <c r="D234" i="2"/>
  <c r="B235" i="2" a="1"/>
  <c r="B235" i="2" s="1"/>
  <c r="D235" i="2" l="1"/>
  <c r="H235" i="2"/>
  <c r="G235" i="2"/>
  <c r="F235" i="2"/>
  <c r="E235" i="2"/>
  <c r="C235" i="2"/>
  <c r="B236" i="2" a="1"/>
  <c r="B236" i="2" s="1"/>
  <c r="E236" i="2" l="1"/>
  <c r="H236" i="2"/>
  <c r="D236" i="2"/>
  <c r="G236" i="2"/>
  <c r="F236" i="2"/>
  <c r="C236" i="2"/>
  <c r="B237" i="2" a="1"/>
  <c r="B237" i="2" s="1"/>
  <c r="H237" i="2" l="1"/>
  <c r="G237" i="2"/>
  <c r="F237" i="2"/>
  <c r="E237" i="2"/>
  <c r="D237" i="2"/>
  <c r="C237" i="2"/>
  <c r="B238" i="2" a="1"/>
  <c r="B238" i="2" s="1"/>
  <c r="D238" i="2" l="1"/>
  <c r="H238" i="2"/>
  <c r="G238" i="2"/>
  <c r="F238" i="2"/>
  <c r="E238" i="2"/>
  <c r="C238" i="2"/>
  <c r="B239" i="2" a="1"/>
  <c r="B239" i="2" s="1"/>
  <c r="H239" i="2" l="1"/>
  <c r="F239" i="2"/>
  <c r="G239" i="2"/>
  <c r="E239" i="2"/>
  <c r="D239" i="2"/>
  <c r="C239" i="2"/>
  <c r="B240" i="2" a="1"/>
  <c r="B240" i="2" s="1"/>
  <c r="E240" i="2" l="1"/>
  <c r="D240" i="2"/>
  <c r="C240" i="2"/>
  <c r="G240" i="2"/>
  <c r="H240" i="2"/>
  <c r="F240" i="2"/>
  <c r="B241" i="2" a="1"/>
  <c r="B241" i="2" s="1"/>
  <c r="G241" i="2" l="1"/>
  <c r="F241" i="2"/>
  <c r="E241" i="2"/>
  <c r="D241" i="2"/>
  <c r="C241" i="2"/>
  <c r="H241" i="2"/>
  <c r="B242" i="2" a="1"/>
  <c r="B242" i="2" s="1"/>
  <c r="F242" i="2" l="1"/>
  <c r="E242" i="2"/>
  <c r="C242" i="2"/>
  <c r="H242" i="2"/>
  <c r="D242" i="2"/>
  <c r="G242" i="2"/>
  <c r="B243" i="2" a="1"/>
  <c r="B243" i="2" s="1"/>
  <c r="G243" i="2" l="1"/>
  <c r="F243" i="2"/>
  <c r="E243" i="2"/>
  <c r="D243" i="2"/>
  <c r="C243" i="2"/>
  <c r="H243" i="2"/>
  <c r="B244" i="2" a="1"/>
  <c r="B244" i="2" s="1"/>
  <c r="F244" i="2" l="1"/>
  <c r="D244" i="2"/>
  <c r="H244" i="2"/>
  <c r="G244" i="2"/>
  <c r="E244" i="2"/>
  <c r="C244" i="2"/>
  <c r="B245" i="2" a="1"/>
  <c r="B245" i="2" s="1"/>
  <c r="F245" i="2" l="1"/>
  <c r="H245" i="2"/>
  <c r="G245" i="2"/>
  <c r="E245" i="2"/>
  <c r="D245" i="2"/>
  <c r="C245" i="2"/>
  <c r="B246" i="2" a="1"/>
  <c r="B246" i="2" s="1"/>
  <c r="H246" i="2" l="1"/>
  <c r="G246" i="2"/>
  <c r="F246" i="2"/>
  <c r="E246" i="2"/>
  <c r="D246" i="2"/>
  <c r="C246" i="2"/>
  <c r="B247" i="2" a="1"/>
  <c r="B247" i="2" s="1"/>
  <c r="D247" i="2" l="1"/>
  <c r="H247" i="2"/>
  <c r="C247" i="2"/>
  <c r="G247" i="2"/>
  <c r="F247" i="2"/>
  <c r="E247" i="2"/>
  <c r="B248" i="2" a="1"/>
  <c r="B248" i="2" s="1"/>
  <c r="D248" i="2" l="1"/>
  <c r="C248" i="2"/>
  <c r="H248" i="2"/>
  <c r="G248" i="2"/>
  <c r="F248" i="2"/>
  <c r="E248" i="2"/>
  <c r="B249" i="2" a="1"/>
  <c r="B249" i="2" s="1"/>
  <c r="E249" i="2" l="1"/>
  <c r="G249" i="2"/>
  <c r="F249" i="2"/>
  <c r="D249" i="2"/>
  <c r="C249" i="2"/>
  <c r="H249" i="2"/>
  <c r="B250" i="2" a="1"/>
  <c r="B250" i="2" s="1"/>
  <c r="H250" i="2" l="1"/>
  <c r="G250" i="2"/>
  <c r="E250" i="2"/>
  <c r="D250" i="2"/>
  <c r="F250" i="2"/>
  <c r="C250" i="2"/>
  <c r="B251" i="2" a="1"/>
  <c r="B251" i="2" s="1"/>
  <c r="H251" i="2" l="1"/>
  <c r="F251" i="2"/>
  <c r="E251" i="2"/>
  <c r="D251" i="2"/>
  <c r="C251" i="2"/>
  <c r="G251" i="2"/>
  <c r="B252" i="2" a="1"/>
  <c r="B252" i="2" s="1"/>
  <c r="F252" i="2" l="1"/>
  <c r="E252" i="2"/>
  <c r="D252" i="2"/>
  <c r="G252" i="2"/>
  <c r="H252" i="2"/>
  <c r="C252" i="2"/>
  <c r="B253" i="2" a="1"/>
  <c r="B253" i="2" s="1"/>
  <c r="H253" i="2" l="1"/>
  <c r="F253" i="2"/>
  <c r="E253" i="2"/>
  <c r="C253" i="2"/>
  <c r="G253" i="2"/>
  <c r="D253" i="2"/>
  <c r="B254" i="2" a="1"/>
  <c r="B254" i="2" s="1"/>
  <c r="D254" i="2" l="1"/>
  <c r="G254" i="2"/>
  <c r="F254" i="2"/>
  <c r="E254" i="2"/>
  <c r="C254" i="2"/>
  <c r="H254" i="2"/>
  <c r="B255" i="2" a="1"/>
  <c r="B255" i="2" s="1"/>
  <c r="G255" i="2" l="1"/>
  <c r="E255" i="2"/>
  <c r="F255" i="2"/>
  <c r="D255" i="2"/>
  <c r="C255" i="2"/>
  <c r="H255" i="2"/>
  <c r="B256" i="2" a="1"/>
  <c r="B256" i="2" s="1"/>
  <c r="D256" i="2" l="1"/>
  <c r="H256" i="2"/>
  <c r="G256" i="2"/>
  <c r="F256" i="2"/>
  <c r="E256" i="2"/>
  <c r="C256" i="2"/>
  <c r="B257" i="2" a="1"/>
  <c r="B257" i="2" s="1"/>
  <c r="D257" i="2" l="1"/>
  <c r="H257" i="2"/>
  <c r="F257" i="2"/>
  <c r="E257" i="2"/>
  <c r="C257" i="2"/>
  <c r="G257" i="2"/>
  <c r="B258" i="2" a="1"/>
  <c r="B258" i="2" s="1"/>
  <c r="D258" i="2" l="1"/>
  <c r="C258" i="2"/>
  <c r="G258" i="2"/>
  <c r="H258" i="2"/>
  <c r="F258" i="2"/>
  <c r="E258" i="2"/>
  <c r="B259" i="2" a="1"/>
  <c r="B259" i="2" s="1"/>
  <c r="D259" i="2" l="1"/>
  <c r="C259" i="2"/>
  <c r="F259" i="2"/>
  <c r="E259" i="2"/>
  <c r="H259" i="2"/>
  <c r="G259" i="2"/>
  <c r="B260" i="2" a="1"/>
  <c r="B260" i="2" s="1"/>
  <c r="H260" i="2" l="1"/>
  <c r="D260" i="2"/>
  <c r="G260" i="2"/>
  <c r="F260" i="2"/>
  <c r="E260" i="2"/>
  <c r="C260" i="2"/>
  <c r="B261" i="2" a="1"/>
  <c r="B261" i="2" s="1"/>
  <c r="H261" i="2" l="1"/>
  <c r="E261" i="2"/>
  <c r="D261" i="2"/>
  <c r="C261" i="2"/>
  <c r="G261" i="2"/>
  <c r="F261" i="2"/>
  <c r="B262" i="2" a="1"/>
  <c r="B262" i="2" s="1"/>
  <c r="D262" i="2" l="1"/>
  <c r="F262" i="2"/>
  <c r="H262" i="2"/>
  <c r="G262" i="2"/>
  <c r="E262" i="2"/>
  <c r="C262" i="2"/>
  <c r="B263" i="2" a="1"/>
  <c r="B263" i="2" s="1"/>
  <c r="E263" i="2" l="1"/>
  <c r="D263" i="2"/>
  <c r="C263" i="2"/>
  <c r="G263" i="2"/>
  <c r="H263" i="2"/>
  <c r="F263" i="2"/>
  <c r="B264" i="2" a="1"/>
  <c r="B264" i="2" s="1"/>
  <c r="C264" i="2" l="1"/>
  <c r="G264" i="2"/>
  <c r="H264" i="2"/>
  <c r="F264" i="2"/>
  <c r="E264" i="2"/>
  <c r="D264" i="2"/>
  <c r="B265" i="2" a="1"/>
  <c r="B265" i="2" s="1"/>
  <c r="D265" i="2" l="1"/>
  <c r="H265" i="2"/>
  <c r="C265" i="2"/>
  <c r="G265" i="2"/>
  <c r="F265" i="2"/>
  <c r="E265" i="2"/>
  <c r="B266" i="2" a="1"/>
  <c r="B266" i="2" s="1"/>
  <c r="D266" i="2" l="1"/>
  <c r="G266" i="2"/>
  <c r="F266" i="2"/>
  <c r="E266" i="2"/>
  <c r="C266" i="2"/>
  <c r="H266" i="2"/>
  <c r="B267" i="2" a="1"/>
  <c r="B267" i="2" s="1"/>
  <c r="C267" i="2" l="1"/>
  <c r="G267" i="2"/>
  <c r="F267" i="2"/>
  <c r="D267" i="2"/>
  <c r="E267" i="2"/>
  <c r="H267" i="2"/>
  <c r="B268" i="2" a="1"/>
  <c r="B268" i="2" s="1"/>
  <c r="D268" i="2" l="1"/>
  <c r="F268" i="2"/>
  <c r="H268" i="2"/>
  <c r="G268" i="2"/>
  <c r="E268" i="2"/>
  <c r="C268" i="2"/>
  <c r="B269" i="2" a="1"/>
  <c r="B269" i="2" s="1"/>
  <c r="H269" i="2" l="1"/>
  <c r="F269" i="2"/>
  <c r="G269" i="2"/>
  <c r="E269" i="2"/>
  <c r="D269" i="2"/>
  <c r="C269" i="2"/>
  <c r="B270" i="2" a="1"/>
  <c r="B270" i="2" s="1"/>
  <c r="G270" i="2" l="1"/>
  <c r="C270" i="2"/>
  <c r="H270" i="2"/>
  <c r="F270" i="2"/>
  <c r="E270" i="2"/>
  <c r="D270" i="2"/>
  <c r="B271" i="2" a="1"/>
  <c r="B271" i="2" s="1"/>
  <c r="D271" i="2" l="1"/>
  <c r="H271" i="2"/>
  <c r="F271" i="2"/>
  <c r="E271" i="2"/>
  <c r="C271" i="2"/>
  <c r="G271" i="2"/>
  <c r="B272" i="2" a="1"/>
  <c r="B272" i="2" s="1"/>
  <c r="G272" i="2" l="1"/>
  <c r="F272" i="2"/>
  <c r="E272" i="2"/>
  <c r="H272" i="2"/>
  <c r="D272" i="2"/>
  <c r="C272" i="2"/>
  <c r="B273" i="2" a="1"/>
  <c r="B273" i="2" s="1"/>
  <c r="F273" i="2" l="1"/>
  <c r="D273" i="2"/>
  <c r="C273" i="2"/>
  <c r="E273" i="2"/>
  <c r="H273" i="2"/>
  <c r="G273" i="2"/>
  <c r="B274" i="2" a="1"/>
  <c r="B274" i="2" s="1"/>
  <c r="C274" i="2" l="1"/>
  <c r="H274" i="2"/>
  <c r="G274" i="2"/>
  <c r="D274" i="2"/>
  <c r="F274" i="2"/>
  <c r="E274" i="2"/>
  <c r="B275" i="2" a="1"/>
  <c r="B275" i="2" s="1"/>
  <c r="H275" i="2" l="1"/>
  <c r="F275" i="2"/>
  <c r="G275" i="2"/>
  <c r="E275" i="2"/>
  <c r="D275" i="2"/>
  <c r="C275" i="2"/>
  <c r="B276" i="2" a="1"/>
  <c r="B276" i="2" s="1"/>
  <c r="H276" i="2" l="1"/>
  <c r="G276" i="2"/>
  <c r="C276" i="2"/>
  <c r="F276" i="2"/>
  <c r="E276" i="2"/>
  <c r="D276" i="2"/>
  <c r="B277" i="2" a="1"/>
  <c r="B277" i="2" s="1"/>
  <c r="C277" i="2" l="1"/>
  <c r="D277" i="2"/>
  <c r="H277" i="2"/>
  <c r="G277" i="2"/>
  <c r="F277" i="2"/>
  <c r="E277" i="2"/>
  <c r="B278" i="2" a="1"/>
  <c r="B278" i="2" s="1"/>
  <c r="H278" i="2" l="1"/>
  <c r="D278" i="2"/>
  <c r="G278" i="2"/>
  <c r="F278" i="2"/>
  <c r="E278" i="2"/>
  <c r="C278" i="2"/>
  <c r="B279" i="2" a="1"/>
  <c r="B279" i="2" s="1"/>
  <c r="E279" i="2" l="1"/>
  <c r="H279" i="2"/>
  <c r="F279" i="2"/>
  <c r="D279" i="2"/>
  <c r="C279" i="2"/>
  <c r="G279" i="2"/>
  <c r="B280" i="2" a="1"/>
  <c r="B280" i="2" s="1"/>
  <c r="D280" i="2" l="1"/>
  <c r="F280" i="2"/>
  <c r="H280" i="2"/>
  <c r="G280" i="2"/>
  <c r="E280" i="2"/>
  <c r="C280" i="2"/>
  <c r="B281" i="2" a="1"/>
  <c r="B281" i="2" s="1"/>
  <c r="H281" i="2" l="1"/>
  <c r="F281" i="2"/>
  <c r="D281" i="2"/>
  <c r="E281" i="2"/>
  <c r="C281" i="2"/>
  <c r="G281" i="2"/>
  <c r="B282" i="2" a="1"/>
  <c r="B282" i="2" s="1"/>
  <c r="C282" i="2" l="1"/>
  <c r="G282" i="2"/>
  <c r="H282" i="2"/>
  <c r="F282" i="2"/>
  <c r="E282" i="2"/>
  <c r="D282" i="2"/>
  <c r="B283" i="2" a="1"/>
  <c r="B283" i="2" s="1"/>
  <c r="F283" i="2" l="1"/>
  <c r="E283" i="2"/>
  <c r="D283" i="2"/>
  <c r="H283" i="2"/>
  <c r="C283" i="2"/>
  <c r="G283" i="2"/>
  <c r="B284" i="2" a="1"/>
  <c r="B284" i="2" s="1"/>
  <c r="H284" i="2" l="1"/>
  <c r="F284" i="2"/>
  <c r="D284" i="2"/>
  <c r="G284" i="2"/>
  <c r="E284" i="2"/>
  <c r="C284" i="2"/>
  <c r="B285" i="2" a="1"/>
  <c r="B285" i="2" s="1"/>
  <c r="H285" i="2" l="1"/>
  <c r="G285" i="2"/>
  <c r="F285" i="2"/>
  <c r="D285" i="2"/>
  <c r="C285" i="2"/>
  <c r="E285" i="2"/>
  <c r="B286" i="2" a="1"/>
  <c r="B286" i="2" s="1"/>
  <c r="F286" i="2" l="1"/>
  <c r="C286" i="2"/>
  <c r="E286" i="2"/>
  <c r="H286" i="2"/>
  <c r="G286" i="2"/>
  <c r="D286" i="2"/>
  <c r="B287" i="2" a="1"/>
  <c r="B287" i="2" s="1"/>
  <c r="H287" i="2" l="1"/>
  <c r="F287" i="2"/>
  <c r="G287" i="2"/>
  <c r="E287" i="2"/>
  <c r="D287" i="2"/>
  <c r="C287" i="2"/>
  <c r="B288" i="2" a="1"/>
  <c r="B288" i="2" s="1"/>
  <c r="C288" i="2" l="1"/>
  <c r="H288" i="2"/>
  <c r="F288" i="2"/>
  <c r="E288" i="2"/>
  <c r="D288" i="2"/>
  <c r="G288" i="2"/>
  <c r="B289" i="2" a="1"/>
  <c r="B289" i="2" s="1"/>
  <c r="H289" i="2" l="1"/>
  <c r="D289" i="2"/>
  <c r="F289" i="2"/>
  <c r="C289" i="2"/>
  <c r="E289" i="2"/>
  <c r="G289" i="2"/>
  <c r="B290" i="2" a="1"/>
  <c r="B290" i="2" s="1"/>
  <c r="F290" i="2" l="1"/>
  <c r="G290" i="2"/>
  <c r="E290" i="2"/>
  <c r="C290" i="2"/>
  <c r="H290" i="2"/>
  <c r="D290" i="2"/>
  <c r="B291" i="2" a="1"/>
  <c r="B291" i="2" s="1"/>
  <c r="E291" i="2" l="1"/>
  <c r="C291" i="2"/>
  <c r="D291" i="2"/>
  <c r="H291" i="2"/>
  <c r="G291" i="2"/>
  <c r="F291" i="2"/>
  <c r="B292" i="2" a="1"/>
  <c r="B292" i="2" s="1"/>
  <c r="D292" i="2" l="1"/>
  <c r="H292" i="2"/>
  <c r="F292" i="2"/>
  <c r="G292" i="2"/>
  <c r="E292" i="2"/>
  <c r="C292" i="2"/>
  <c r="B293" i="2" a="1"/>
  <c r="B293" i="2" s="1"/>
  <c r="H293" i="2" l="1"/>
  <c r="F293" i="2"/>
  <c r="G293" i="2"/>
  <c r="E293" i="2"/>
  <c r="D293" i="2"/>
  <c r="C293" i="2"/>
  <c r="B294" i="2" a="1"/>
  <c r="B294" i="2" s="1"/>
  <c r="G294" i="2" l="1"/>
  <c r="E294" i="2"/>
  <c r="C294" i="2"/>
  <c r="H294" i="2"/>
  <c r="F294" i="2"/>
  <c r="D294" i="2"/>
  <c r="B295" i="2" a="1"/>
  <c r="B295" i="2" s="1"/>
  <c r="G295" i="2" l="1"/>
  <c r="D295" i="2"/>
  <c r="C295" i="2"/>
  <c r="H295" i="2"/>
  <c r="F295" i="2"/>
  <c r="E295" i="2"/>
  <c r="B296" i="2" a="1"/>
  <c r="B296" i="2" s="1"/>
  <c r="G296" i="2" l="1"/>
  <c r="F296" i="2"/>
  <c r="E296" i="2"/>
  <c r="H296" i="2"/>
  <c r="D296" i="2"/>
  <c r="C296" i="2"/>
  <c r="B297" i="2" a="1"/>
  <c r="B297" i="2" s="1"/>
  <c r="D297" i="2" l="1"/>
  <c r="C297" i="2"/>
  <c r="G297" i="2"/>
  <c r="E297" i="2"/>
  <c r="H297" i="2"/>
  <c r="F297" i="2"/>
  <c r="B298" i="2" a="1"/>
  <c r="B298" i="2" s="1"/>
  <c r="D298" i="2" l="1"/>
  <c r="F298" i="2"/>
  <c r="G298" i="2"/>
  <c r="E298" i="2"/>
  <c r="C298" i="2"/>
  <c r="H298" i="2"/>
  <c r="B299" i="2" a="1"/>
  <c r="B299" i="2" s="1"/>
  <c r="H299" i="2" l="1"/>
  <c r="F299" i="2"/>
  <c r="D299" i="2"/>
  <c r="G299" i="2"/>
  <c r="E299" i="2"/>
  <c r="C299" i="2"/>
  <c r="B300" i="2" a="1"/>
  <c r="B300" i="2" s="1"/>
  <c r="C300" i="2" l="1"/>
  <c r="G300" i="2"/>
  <c r="H300" i="2"/>
  <c r="F300" i="2"/>
  <c r="E300" i="2"/>
  <c r="D300" i="2"/>
  <c r="B301" i="2" a="1"/>
  <c r="B301" i="2" s="1"/>
  <c r="F301" i="2" l="1"/>
  <c r="E301" i="2"/>
  <c r="D301" i="2"/>
  <c r="H301" i="2"/>
  <c r="C301" i="2"/>
  <c r="G301" i="2"/>
  <c r="B302" i="2" a="1"/>
  <c r="B302" i="2" s="1"/>
  <c r="H302" i="2" l="1"/>
  <c r="F302" i="2"/>
  <c r="D302" i="2"/>
  <c r="G302" i="2"/>
  <c r="E302" i="2"/>
  <c r="C302" i="2"/>
  <c r="B303" i="2" a="1"/>
  <c r="B303" i="2" s="1"/>
  <c r="C303" i="2" l="1"/>
  <c r="H303" i="2"/>
  <c r="G303" i="2"/>
  <c r="E303" i="2"/>
  <c r="F303" i="2"/>
  <c r="D303" i="2"/>
  <c r="B304" i="2" a="1"/>
  <c r="B304" i="2" s="1"/>
  <c r="H304" i="2" l="1"/>
  <c r="D304" i="2"/>
  <c r="F304" i="2"/>
  <c r="C304" i="2"/>
  <c r="G304" i="2"/>
  <c r="E304" i="2"/>
  <c r="B305" i="2" a="1"/>
  <c r="B305" i="2" s="1"/>
  <c r="H305" i="2" l="1"/>
  <c r="F305" i="2"/>
  <c r="G305" i="2"/>
  <c r="E305" i="2"/>
  <c r="D305" i="2"/>
  <c r="C305" i="2"/>
  <c r="B306" i="2" a="1"/>
  <c r="B306" i="2" s="1"/>
  <c r="E306" i="2" l="1"/>
  <c r="D306" i="2"/>
  <c r="G306" i="2"/>
  <c r="C306" i="2"/>
  <c r="H306" i="2"/>
  <c r="F306" i="2"/>
  <c r="B307" i="2" a="1"/>
  <c r="B307" i="2" s="1"/>
  <c r="C307" i="2" l="1"/>
  <c r="D307" i="2"/>
  <c r="F307" i="2"/>
  <c r="G307" i="2"/>
  <c r="E307" i="2"/>
  <c r="H307" i="2"/>
  <c r="B308" i="2" a="1"/>
  <c r="B308" i="2" s="1"/>
  <c r="H308" i="2" l="1"/>
  <c r="D308" i="2"/>
  <c r="E308" i="2"/>
  <c r="C308" i="2"/>
  <c r="G308" i="2"/>
  <c r="F308" i="2"/>
  <c r="B309" i="2" a="1"/>
  <c r="B309" i="2" s="1"/>
  <c r="F309" i="2" l="1"/>
  <c r="D309" i="2"/>
  <c r="E309" i="2"/>
  <c r="C309" i="2"/>
  <c r="H309" i="2"/>
  <c r="G309" i="2"/>
  <c r="B310" i="2" a="1"/>
  <c r="B310" i="2" s="1"/>
  <c r="D310" i="2" l="1"/>
  <c r="H310" i="2"/>
  <c r="F310" i="2"/>
  <c r="G310" i="2"/>
  <c r="E310" i="2"/>
  <c r="C310" i="2"/>
  <c r="B311" i="2" a="1"/>
  <c r="B311" i="2" s="1"/>
  <c r="H311" i="2" l="1"/>
  <c r="F311" i="2"/>
  <c r="G311" i="2"/>
  <c r="E311" i="2"/>
  <c r="D311" i="2"/>
  <c r="C311" i="2"/>
  <c r="B312" i="2" a="1"/>
  <c r="B312" i="2" s="1"/>
  <c r="G312" i="2" l="1"/>
  <c r="D312" i="2"/>
  <c r="E312" i="2"/>
  <c r="C312" i="2"/>
  <c r="H312" i="2"/>
  <c r="F312" i="2"/>
  <c r="B313" i="2" a="1"/>
  <c r="B313" i="2" s="1"/>
  <c r="E313" i="2" l="1"/>
  <c r="G313" i="2"/>
  <c r="F313" i="2"/>
  <c r="D313" i="2"/>
  <c r="C313" i="2"/>
  <c r="H313" i="2"/>
  <c r="B314" i="2" a="1"/>
  <c r="B314" i="2" s="1"/>
  <c r="D314" i="2" l="1"/>
  <c r="E314" i="2"/>
  <c r="H314" i="2"/>
  <c r="G314" i="2"/>
  <c r="F314" i="2"/>
  <c r="C314" i="2"/>
  <c r="B315" i="2" a="1"/>
  <c r="B315" i="2" s="1"/>
  <c r="G315" i="2" l="1"/>
  <c r="E315" i="2"/>
  <c r="H315" i="2"/>
  <c r="F315" i="2"/>
  <c r="D315" i="2"/>
  <c r="C315" i="2"/>
  <c r="B316" i="2" a="1"/>
  <c r="B316" i="2" s="1"/>
  <c r="F316" i="2" l="1"/>
  <c r="H316" i="2"/>
  <c r="G316" i="2"/>
  <c r="E316" i="2"/>
  <c r="C316" i="2"/>
  <c r="D316" i="2"/>
  <c r="B317" i="2" a="1"/>
  <c r="B317" i="2" s="1"/>
  <c r="C317" i="2" l="1"/>
  <c r="H317" i="2"/>
  <c r="F317" i="2"/>
  <c r="D317" i="2"/>
  <c r="G317" i="2"/>
  <c r="E317" i="2"/>
  <c r="B318" i="2" a="1"/>
  <c r="B318" i="2" s="1"/>
  <c r="H318" i="2" l="1"/>
  <c r="F318" i="2"/>
  <c r="E318" i="2"/>
  <c r="C318" i="2"/>
  <c r="G318" i="2"/>
  <c r="D318" i="2"/>
  <c r="B319" i="2" a="1"/>
  <c r="B319" i="2" s="1"/>
  <c r="G319" i="2" l="1"/>
  <c r="F319" i="2"/>
  <c r="E319" i="2"/>
  <c r="D319" i="2"/>
  <c r="H319" i="2"/>
  <c r="C319" i="2"/>
  <c r="B320" i="2" a="1"/>
  <c r="B320" i="2" s="1"/>
  <c r="E320" i="2" l="1"/>
  <c r="C320" i="2"/>
  <c r="H320" i="2"/>
  <c r="F320" i="2"/>
  <c r="D320" i="2"/>
  <c r="G320" i="2"/>
  <c r="B321" i="2" a="1"/>
  <c r="B321" i="2" s="1"/>
  <c r="C321" i="2" l="1"/>
  <c r="E321" i="2"/>
  <c r="H321" i="2"/>
  <c r="G321" i="2"/>
  <c r="F321" i="2"/>
  <c r="D321" i="2"/>
  <c r="B322" i="2" a="1"/>
  <c r="B322" i="2" s="1"/>
  <c r="H322" i="2" l="1"/>
  <c r="G322" i="2"/>
  <c r="E322" i="2"/>
  <c r="D322" i="2"/>
  <c r="F322" i="2"/>
  <c r="C322" i="2"/>
  <c r="B323" i="2" a="1"/>
  <c r="B323" i="2" s="1"/>
  <c r="F323" i="2" l="1"/>
  <c r="H323" i="2"/>
  <c r="C323" i="2"/>
  <c r="G323" i="2"/>
  <c r="E323" i="2"/>
  <c r="D323" i="2"/>
  <c r="B324" i="2" a="1"/>
  <c r="B324" i="2" s="1"/>
  <c r="C324" i="2" l="1"/>
  <c r="G324" i="2"/>
  <c r="D324" i="2"/>
  <c r="H324" i="2"/>
  <c r="E324" i="2"/>
  <c r="F324" i="2"/>
  <c r="B325" i="2" a="1"/>
  <c r="B325" i="2" s="1"/>
  <c r="G325" i="2" l="1"/>
  <c r="E325" i="2"/>
  <c r="D325" i="2"/>
  <c r="H325" i="2"/>
  <c r="F325" i="2"/>
  <c r="C325" i="2"/>
  <c r="B326" i="2" a="1"/>
  <c r="B326" i="2" s="1"/>
  <c r="H326" i="2" l="1"/>
  <c r="D326" i="2"/>
  <c r="G326" i="2"/>
  <c r="F326" i="2"/>
  <c r="E326" i="2"/>
  <c r="C326" i="2"/>
  <c r="B327" i="2" a="1"/>
  <c r="B327" i="2" s="1"/>
  <c r="E327" i="2" l="1"/>
  <c r="C327" i="2"/>
  <c r="H327" i="2"/>
  <c r="G327" i="2"/>
  <c r="F327" i="2"/>
  <c r="D327" i="2"/>
  <c r="B328" i="2" a="1"/>
  <c r="B328" i="2" s="1"/>
  <c r="D328" i="2" l="1"/>
  <c r="H328" i="2"/>
  <c r="G328" i="2"/>
  <c r="F328" i="2"/>
  <c r="C328" i="2"/>
  <c r="E328" i="2"/>
  <c r="B329" i="2" a="1"/>
  <c r="B329" i="2" s="1"/>
  <c r="H329" i="2" l="1"/>
  <c r="F329" i="2"/>
  <c r="G329" i="2"/>
  <c r="E329" i="2"/>
  <c r="D329" i="2"/>
  <c r="C329" i="2"/>
  <c r="B330" i="2" a="1"/>
  <c r="B330" i="2" s="1"/>
  <c r="F330" i="2" l="1"/>
  <c r="G330" i="2"/>
  <c r="E330" i="2"/>
  <c r="D330" i="2"/>
  <c r="C330" i="2"/>
  <c r="H330" i="2"/>
  <c r="B331" i="2" a="1"/>
  <c r="B331" i="2" s="1"/>
  <c r="D331" i="2" l="1"/>
  <c r="C331" i="2"/>
  <c r="H331" i="2"/>
  <c r="G331" i="2"/>
  <c r="F331" i="2"/>
  <c r="E331" i="2"/>
  <c r="B332" i="2" a="1"/>
  <c r="B332" i="2" s="1"/>
  <c r="H332" i="2" l="1"/>
  <c r="D332" i="2"/>
  <c r="G332" i="2"/>
  <c r="F332" i="2"/>
  <c r="E332" i="2"/>
  <c r="C332" i="2"/>
  <c r="B333" i="2" a="1"/>
  <c r="B333" i="2" s="1"/>
  <c r="D333" i="2" l="1"/>
  <c r="C333" i="2"/>
  <c r="G333" i="2"/>
  <c r="F333" i="2"/>
  <c r="E333" i="2"/>
  <c r="H333" i="2"/>
  <c r="B334" i="2" a="1"/>
  <c r="B334" i="2" s="1"/>
  <c r="D334" i="2" l="1"/>
  <c r="G334" i="2"/>
  <c r="F334" i="2"/>
  <c r="E334" i="2"/>
  <c r="C334" i="2"/>
  <c r="H334" i="2"/>
  <c r="B335" i="2" a="1"/>
  <c r="B335" i="2" s="1"/>
  <c r="H335" i="2" l="1"/>
  <c r="G335" i="2"/>
  <c r="F335" i="2"/>
  <c r="D335" i="2"/>
  <c r="C335" i="2"/>
  <c r="E335" i="2"/>
  <c r="B336" i="2" a="1"/>
  <c r="B336" i="2" s="1"/>
  <c r="D336" i="2" l="1"/>
  <c r="C336" i="2"/>
  <c r="H336" i="2"/>
  <c r="G336" i="2"/>
  <c r="F336" i="2"/>
  <c r="E336" i="2"/>
  <c r="B337" i="2" a="1"/>
  <c r="B337" i="2" s="1"/>
  <c r="D337" i="2" l="1"/>
  <c r="H337" i="2"/>
  <c r="E337" i="2"/>
  <c r="C337" i="2"/>
  <c r="G337" i="2"/>
  <c r="F337" i="2"/>
  <c r="B338" i="2" a="1"/>
  <c r="B338" i="2" s="1"/>
  <c r="H338" i="2" l="1"/>
  <c r="F338" i="2"/>
  <c r="E338" i="2"/>
  <c r="D338" i="2"/>
  <c r="G338" i="2"/>
  <c r="C338" i="2"/>
  <c r="B339" i="2" a="1"/>
  <c r="B339" i="2" s="1"/>
  <c r="G339" i="2" l="1"/>
  <c r="F339" i="2"/>
  <c r="E339" i="2"/>
  <c r="H339" i="2"/>
  <c r="D339" i="2"/>
  <c r="C339" i="2"/>
  <c r="B340" i="2" a="1"/>
  <c r="B340" i="2" s="1"/>
  <c r="G340" i="2" l="1"/>
  <c r="F340" i="2"/>
  <c r="C340" i="2"/>
  <c r="D340" i="2"/>
  <c r="H340" i="2"/>
  <c r="E340" i="2"/>
  <c r="B341" i="2" a="1"/>
  <c r="B341" i="2" s="1"/>
  <c r="H341" i="2" l="1"/>
  <c r="D341" i="2"/>
  <c r="C341" i="2"/>
  <c r="G341" i="2"/>
  <c r="F341" i="2"/>
  <c r="E341" i="2"/>
  <c r="B342" i="2" a="1"/>
  <c r="B342" i="2" s="1"/>
  <c r="H342" i="2" l="1"/>
  <c r="G342" i="2"/>
  <c r="D342" i="2"/>
  <c r="C342" i="2"/>
  <c r="F342" i="2"/>
  <c r="E342" i="2"/>
  <c r="B343" i="2" a="1"/>
  <c r="B343" i="2" s="1"/>
  <c r="D343" i="2" l="1"/>
  <c r="H343" i="2"/>
  <c r="F343" i="2"/>
  <c r="E343" i="2"/>
  <c r="C343" i="2"/>
  <c r="G343" i="2"/>
  <c r="B344" i="2" a="1"/>
  <c r="B344" i="2" s="1"/>
  <c r="D344" i="2" l="1"/>
  <c r="G344" i="2"/>
  <c r="C344" i="2"/>
  <c r="H344" i="2"/>
  <c r="F344" i="2"/>
  <c r="E344" i="2"/>
  <c r="B345" i="2" a="1"/>
  <c r="B345" i="2" s="1"/>
  <c r="F345" i="2" l="1"/>
  <c r="E345" i="2"/>
  <c r="C345" i="2"/>
  <c r="H345" i="2"/>
  <c r="G345" i="2"/>
  <c r="D345" i="2"/>
  <c r="B346" i="2" a="1"/>
  <c r="B346" i="2" s="1"/>
  <c r="D346" i="2" l="1"/>
  <c r="C346" i="2"/>
  <c r="H346" i="2"/>
  <c r="G346" i="2"/>
  <c r="F346" i="2"/>
  <c r="E346" i="2"/>
  <c r="B347" i="2" a="1"/>
  <c r="B347" i="2" s="1"/>
  <c r="H347" i="2" l="1"/>
  <c r="G347" i="2"/>
  <c r="F347" i="2"/>
  <c r="C347" i="2"/>
  <c r="E347" i="2"/>
  <c r="D347" i="2"/>
  <c r="B348" i="2" a="1"/>
  <c r="B348" i="2" s="1"/>
  <c r="H348" i="2" l="1"/>
  <c r="G348" i="2"/>
  <c r="E348" i="2"/>
  <c r="D348" i="2"/>
  <c r="C348" i="2"/>
  <c r="F348" i="2"/>
  <c r="B349" i="2" a="1"/>
  <c r="B349" i="2" s="1"/>
  <c r="C349" i="2" l="1"/>
  <c r="E349" i="2"/>
  <c r="H349" i="2"/>
  <c r="G349" i="2"/>
  <c r="D349" i="2"/>
  <c r="F349" i="2"/>
  <c r="B350" i="2" a="1"/>
  <c r="B350" i="2" s="1"/>
  <c r="H350" i="2" l="1"/>
  <c r="E350" i="2"/>
  <c r="D350" i="2"/>
  <c r="G350" i="2"/>
  <c r="F350" i="2"/>
  <c r="C350" i="2"/>
  <c r="B351" i="2" a="1"/>
  <c r="B351" i="2" s="1"/>
  <c r="G351" i="2" l="1"/>
  <c r="F351" i="2"/>
  <c r="E351" i="2"/>
  <c r="H351" i="2"/>
  <c r="D351" i="2"/>
  <c r="C351" i="2"/>
  <c r="B352" i="2" a="1"/>
  <c r="B352" i="2" s="1"/>
  <c r="F352" i="2" l="1"/>
  <c r="E352" i="2"/>
  <c r="C352" i="2"/>
  <c r="D352" i="2"/>
  <c r="H352" i="2"/>
  <c r="G352" i="2"/>
  <c r="B353" i="2" a="1"/>
  <c r="B353" i="2" s="1"/>
  <c r="D353" i="2" l="1"/>
  <c r="E353" i="2"/>
  <c r="H353" i="2"/>
  <c r="G353" i="2"/>
  <c r="F353" i="2"/>
  <c r="C353" i="2"/>
  <c r="B354" i="2" a="1"/>
  <c r="B354" i="2" s="1"/>
  <c r="H354" i="2" l="1"/>
  <c r="G354" i="2"/>
  <c r="F354" i="2"/>
  <c r="E354" i="2"/>
  <c r="C354" i="2"/>
  <c r="D354" i="2"/>
  <c r="B355" i="2" a="1"/>
  <c r="B355" i="2" s="1"/>
  <c r="C355" i="2" l="1"/>
  <c r="G355" i="2"/>
  <c r="F355" i="2"/>
  <c r="D355" i="2"/>
  <c r="H355" i="2"/>
  <c r="E355" i="2"/>
  <c r="B356" i="2" a="1"/>
  <c r="B356" i="2" s="1"/>
  <c r="F356" i="2" l="1"/>
  <c r="E356" i="2"/>
  <c r="D356" i="2"/>
  <c r="G356" i="2"/>
  <c r="C356" i="2"/>
  <c r="H356" i="2"/>
  <c r="B357" i="2" a="1"/>
  <c r="B357" i="2" s="1"/>
  <c r="G357" i="2" l="1"/>
  <c r="F357" i="2"/>
  <c r="E357" i="2"/>
  <c r="H357" i="2"/>
  <c r="D357" i="2"/>
  <c r="C357" i="2"/>
  <c r="B358" i="2" a="1"/>
  <c r="B358" i="2" s="1"/>
  <c r="D358" i="2" l="1"/>
  <c r="G358" i="2"/>
  <c r="F358" i="2"/>
  <c r="C358" i="2"/>
  <c r="E358" i="2"/>
  <c r="H358" i="2"/>
  <c r="B359" i="2" a="1"/>
  <c r="B359" i="2" s="1"/>
  <c r="G359" i="2" l="1"/>
  <c r="F359" i="2"/>
  <c r="E359" i="2"/>
  <c r="H359" i="2"/>
  <c r="D359" i="2"/>
  <c r="C359" i="2"/>
  <c r="B360" i="2" a="1"/>
  <c r="B360" i="2" s="1"/>
  <c r="C360" i="2" l="1"/>
  <c r="H360" i="2"/>
  <c r="G360" i="2"/>
  <c r="D360" i="2"/>
  <c r="F360" i="2"/>
  <c r="E360" i="2"/>
  <c r="B361" i="2" a="1"/>
  <c r="B361" i="2" s="1"/>
  <c r="D361" i="2" l="1"/>
  <c r="H361" i="2"/>
  <c r="G361" i="2"/>
  <c r="F361" i="2"/>
  <c r="E361" i="2"/>
  <c r="C361" i="2"/>
  <c r="B362" i="2" a="1"/>
  <c r="B362" i="2" s="1"/>
  <c r="H362" i="2" l="1"/>
  <c r="F362" i="2"/>
  <c r="E362" i="2"/>
  <c r="D362" i="2"/>
  <c r="G362" i="2"/>
  <c r="C362" i="2"/>
  <c r="B363" i="2" a="1"/>
  <c r="B363" i="2" s="1"/>
  <c r="F363" i="2" l="1"/>
  <c r="E363" i="2"/>
  <c r="D363" i="2"/>
  <c r="C363" i="2"/>
  <c r="H363" i="2"/>
  <c r="G363" i="2"/>
  <c r="B364" i="2" a="1"/>
  <c r="B364" i="2" s="1"/>
  <c r="D364" i="2" l="1"/>
  <c r="C364" i="2"/>
  <c r="H364" i="2"/>
  <c r="G364" i="2"/>
  <c r="F364" i="2"/>
  <c r="E364" i="2"/>
  <c r="B365" i="2" a="1"/>
  <c r="B365" i="2" s="1"/>
  <c r="C365" i="2" l="1"/>
  <c r="E365" i="2"/>
  <c r="D365" i="2"/>
  <c r="H365" i="2"/>
  <c r="F365" i="2"/>
  <c r="G365" i="2"/>
  <c r="B366" i="2" a="1"/>
  <c r="B366" i="2" s="1"/>
  <c r="H366" i="2" l="1"/>
  <c r="G366" i="2"/>
  <c r="F366" i="2"/>
  <c r="E366" i="2"/>
  <c r="D366" i="2"/>
  <c r="C366" i="2"/>
  <c r="B367" i="2" a="1"/>
  <c r="B367" i="2" s="1"/>
  <c r="G367" i="2" l="1"/>
  <c r="D367" i="2"/>
  <c r="F367" i="2"/>
  <c r="E367" i="2"/>
  <c r="C367" i="2"/>
  <c r="H367" i="2"/>
  <c r="B368" i="2" a="1"/>
  <c r="B368" i="2" s="1"/>
  <c r="C368" i="2" l="1"/>
  <c r="G368" i="2"/>
  <c r="F368" i="2"/>
  <c r="H368" i="2"/>
  <c r="E368" i="2"/>
  <c r="D368" i="2"/>
  <c r="B369" i="2" a="1"/>
  <c r="B369" i="2" s="1"/>
  <c r="C369" i="2" l="1"/>
  <c r="H369" i="2"/>
  <c r="G369" i="2"/>
  <c r="F369" i="2"/>
  <c r="E369" i="2"/>
  <c r="D369" i="2"/>
  <c r="B370" i="2" a="1"/>
  <c r="B370" i="2" s="1"/>
  <c r="D370" i="2" l="1"/>
  <c r="H370" i="2"/>
  <c r="G370" i="2"/>
  <c r="F370" i="2"/>
  <c r="E370" i="2"/>
  <c r="C370" i="2"/>
  <c r="B371" i="2" a="1"/>
  <c r="B371" i="2" s="1"/>
  <c r="H371" i="2" l="1"/>
  <c r="G371" i="2"/>
  <c r="F371" i="2"/>
  <c r="E371" i="2"/>
  <c r="D371" i="2"/>
  <c r="C371" i="2"/>
  <c r="B372" i="2" a="1"/>
  <c r="B372" i="2" s="1"/>
  <c r="E372" i="2" l="1"/>
  <c r="D372" i="2"/>
  <c r="C372" i="2"/>
  <c r="H372" i="2"/>
  <c r="G372" i="2"/>
  <c r="F372" i="2"/>
  <c r="B373" i="2" a="1"/>
  <c r="B373" i="2" s="1"/>
  <c r="C373" i="2" l="1"/>
  <c r="G373" i="2"/>
  <c r="F373" i="2"/>
  <c r="D373" i="2"/>
  <c r="H373" i="2"/>
  <c r="E373" i="2"/>
  <c r="B374" i="2" a="1"/>
  <c r="B374" i="2" s="1"/>
  <c r="D374" i="2" l="1"/>
  <c r="H374" i="2"/>
  <c r="G374" i="2"/>
  <c r="F374" i="2"/>
  <c r="E374" i="2"/>
  <c r="C374" i="2"/>
  <c r="B375" i="2" a="1"/>
  <c r="B375" i="2" s="1"/>
  <c r="G375" i="2" l="1"/>
  <c r="F375" i="2"/>
  <c r="E375" i="2"/>
  <c r="H375" i="2"/>
  <c r="D375" i="2"/>
  <c r="C375" i="2"/>
  <c r="B376" i="2" a="1"/>
  <c r="B376" i="2" s="1"/>
  <c r="G376" i="2" l="1"/>
  <c r="E376" i="2"/>
  <c r="D376" i="2"/>
  <c r="F376" i="2"/>
  <c r="C376" i="2"/>
  <c r="H376" i="2"/>
  <c r="B377" i="2" a="1"/>
  <c r="B377" i="2" s="1"/>
  <c r="G377" i="2" l="1"/>
  <c r="D377" i="2"/>
  <c r="C377" i="2"/>
  <c r="F377" i="2"/>
  <c r="E377" i="2"/>
  <c r="H377" i="2"/>
  <c r="B378" i="2" a="1"/>
  <c r="B378" i="2" s="1"/>
  <c r="H378" i="2" l="1"/>
  <c r="G378" i="2"/>
  <c r="D378" i="2"/>
  <c r="C378" i="2"/>
  <c r="F378" i="2"/>
  <c r="E378" i="2"/>
  <c r="B379" i="2" a="1"/>
  <c r="B379" i="2" s="1"/>
  <c r="F379" i="2" l="1"/>
  <c r="E379" i="2"/>
  <c r="C379" i="2"/>
  <c r="D379" i="2"/>
  <c r="H379" i="2"/>
  <c r="G379" i="2"/>
  <c r="B380" i="2" a="1"/>
  <c r="B380" i="2" s="1"/>
  <c r="C380" i="2" l="1"/>
  <c r="H380" i="2"/>
  <c r="F380" i="2"/>
  <c r="E380" i="2"/>
  <c r="D380" i="2"/>
  <c r="G380" i="2"/>
  <c r="B381" i="2" a="1"/>
  <c r="B381" i="2" s="1"/>
  <c r="F381" i="2" l="1"/>
  <c r="G381" i="2"/>
  <c r="E381" i="2"/>
  <c r="D381" i="2"/>
  <c r="C381" i="2"/>
  <c r="H381" i="2"/>
  <c r="B382" i="2" a="1"/>
  <c r="B382" i="2" s="1"/>
  <c r="G382" i="2" l="1"/>
  <c r="F382" i="2"/>
  <c r="E382" i="2"/>
  <c r="D382" i="2"/>
  <c r="H382" i="2"/>
  <c r="C382" i="2"/>
  <c r="B383" i="2" a="1"/>
  <c r="B383" i="2" s="1"/>
  <c r="D383" i="2" l="1"/>
  <c r="H383" i="2"/>
  <c r="G383" i="2"/>
  <c r="F383" i="2"/>
  <c r="C383" i="2"/>
  <c r="E383" i="2"/>
  <c r="B384" i="2" a="1"/>
  <c r="B384" i="2" s="1"/>
  <c r="E384" i="2" l="1"/>
  <c r="D384" i="2"/>
  <c r="C384" i="2"/>
  <c r="H384" i="2"/>
  <c r="G384" i="2"/>
  <c r="F384" i="2"/>
  <c r="B385" i="2" a="1"/>
  <c r="B385" i="2" s="1"/>
  <c r="D385" i="2" l="1"/>
  <c r="F385" i="2"/>
  <c r="E385" i="2"/>
  <c r="C385" i="2"/>
  <c r="H385" i="2"/>
  <c r="G385" i="2"/>
  <c r="B386" i="2" a="1"/>
  <c r="B386" i="2" s="1"/>
  <c r="H386" i="2" l="1"/>
  <c r="G386" i="2"/>
  <c r="F386" i="2"/>
  <c r="E386" i="2"/>
  <c r="D386" i="2"/>
  <c r="C386" i="2"/>
  <c r="B387" i="2" a="1"/>
  <c r="B387" i="2" s="1"/>
  <c r="E387" i="2" l="1"/>
  <c r="D387" i="2"/>
  <c r="C387" i="2"/>
  <c r="H387" i="2"/>
  <c r="G387" i="2"/>
  <c r="F387" i="2"/>
  <c r="B388" i="2" a="1"/>
  <c r="B388" i="2" s="1"/>
  <c r="E388" i="2" l="1"/>
  <c r="C388" i="2"/>
  <c r="D388" i="2"/>
  <c r="H388" i="2"/>
  <c r="G388" i="2"/>
  <c r="F388" i="2"/>
  <c r="B389" i="2" a="1"/>
  <c r="B389" i="2" s="1"/>
  <c r="E389" i="2" l="1"/>
  <c r="C389" i="2"/>
  <c r="H389" i="2"/>
  <c r="G389" i="2"/>
  <c r="F389" i="2"/>
  <c r="D389" i="2"/>
  <c r="B390" i="2" a="1"/>
  <c r="B390" i="2" s="1"/>
  <c r="E390" i="2" l="1"/>
  <c r="D390" i="2"/>
  <c r="C390" i="2"/>
  <c r="H390" i="2"/>
  <c r="G390" i="2"/>
  <c r="F390" i="2"/>
  <c r="B391" i="2" a="1"/>
  <c r="B391" i="2" s="1"/>
  <c r="D391" i="2" l="1"/>
  <c r="H391" i="2"/>
  <c r="G391" i="2"/>
  <c r="F391" i="2"/>
  <c r="E391" i="2"/>
  <c r="C391" i="2"/>
  <c r="B392" i="2" a="1"/>
  <c r="B392" i="2" s="1"/>
  <c r="D392" i="2" l="1"/>
  <c r="C392" i="2"/>
  <c r="H392" i="2"/>
  <c r="E392" i="2"/>
  <c r="G392" i="2"/>
  <c r="F392" i="2"/>
  <c r="B393" i="2" a="1"/>
  <c r="B393" i="2" s="1"/>
  <c r="F393" i="2" l="1"/>
  <c r="E393" i="2"/>
  <c r="D393" i="2"/>
  <c r="C393" i="2"/>
  <c r="H393" i="2"/>
  <c r="G393" i="2"/>
  <c r="B394" i="2" a="1"/>
  <c r="B394" i="2" s="1"/>
  <c r="E394" i="2" l="1"/>
  <c r="C394" i="2"/>
  <c r="G394" i="2"/>
  <c r="D394" i="2"/>
  <c r="H394" i="2"/>
  <c r="F394" i="2"/>
  <c r="B395" i="2" a="1"/>
  <c r="B395" i="2" s="1"/>
  <c r="D395" i="2" l="1"/>
  <c r="F395" i="2"/>
  <c r="H395" i="2"/>
  <c r="E395" i="2"/>
  <c r="C395" i="2"/>
  <c r="G395" i="2"/>
  <c r="B396" i="2" a="1"/>
  <c r="B396" i="2" s="1"/>
  <c r="C396" i="2" l="1"/>
  <c r="H396" i="2"/>
  <c r="G396" i="2"/>
  <c r="F396" i="2"/>
  <c r="E396" i="2"/>
  <c r="D396" i="2"/>
  <c r="B397" i="2" a="1"/>
  <c r="B397" i="2" s="1"/>
  <c r="C397" i="2" l="1"/>
  <c r="H397" i="2"/>
  <c r="F397" i="2"/>
  <c r="E397" i="2"/>
  <c r="G397" i="2"/>
  <c r="D397" i="2"/>
  <c r="B398" i="2" a="1"/>
  <c r="B398" i="2" s="1"/>
  <c r="F398" i="2" l="1"/>
  <c r="E398" i="2"/>
  <c r="D398" i="2"/>
  <c r="H398" i="2"/>
  <c r="G398" i="2"/>
  <c r="C398" i="2"/>
  <c r="B399" i="2" a="1"/>
  <c r="B399" i="2" s="1"/>
  <c r="H399" i="2" l="1"/>
  <c r="G399" i="2"/>
  <c r="F399" i="2"/>
  <c r="E399" i="2"/>
  <c r="D399" i="2"/>
  <c r="C399" i="2"/>
  <c r="B400" i="2" a="1"/>
  <c r="B400" i="2" s="1"/>
  <c r="G400" i="2" l="1"/>
  <c r="D400" i="2"/>
  <c r="H400" i="2"/>
  <c r="F400" i="2"/>
  <c r="E400" i="2"/>
  <c r="C400" i="2"/>
  <c r="B401" i="2" a="1"/>
  <c r="B401" i="2" s="1"/>
  <c r="G401" i="2" l="1"/>
  <c r="F401" i="2"/>
  <c r="E401" i="2"/>
  <c r="D401" i="2"/>
  <c r="C401" i="2"/>
  <c r="H401" i="2"/>
  <c r="B402" i="2" a="1"/>
  <c r="B402" i="2" s="1"/>
  <c r="H402" i="2" l="1"/>
  <c r="C402" i="2"/>
  <c r="G402" i="2"/>
  <c r="F402" i="2"/>
  <c r="E402" i="2"/>
  <c r="D402" i="2"/>
  <c r="B403" i="2" a="1"/>
  <c r="B403" i="2" s="1"/>
  <c r="G403" i="2" l="1"/>
  <c r="D403" i="2"/>
  <c r="H403" i="2"/>
  <c r="F403" i="2"/>
  <c r="E403" i="2"/>
  <c r="C403" i="2"/>
  <c r="B404" i="2" a="1"/>
  <c r="B404" i="2" s="1"/>
  <c r="H404" i="2" l="1"/>
  <c r="F404" i="2"/>
  <c r="E404" i="2"/>
  <c r="D404" i="2"/>
  <c r="C404" i="2"/>
  <c r="G404" i="2"/>
  <c r="B405" i="2" a="1"/>
  <c r="B405" i="2" s="1"/>
  <c r="C405" i="2" l="1"/>
  <c r="H405" i="2"/>
  <c r="G405" i="2"/>
  <c r="F405" i="2"/>
  <c r="E405" i="2"/>
  <c r="D405" i="2"/>
  <c r="B406" i="2" a="1"/>
  <c r="B406" i="2" s="1"/>
  <c r="D406" i="2" l="1"/>
  <c r="G406" i="2"/>
  <c r="E406" i="2"/>
  <c r="C406" i="2"/>
  <c r="H406" i="2"/>
  <c r="F406" i="2"/>
  <c r="B407" i="2" a="1"/>
  <c r="B407" i="2" s="1"/>
  <c r="H407" i="2" l="1"/>
  <c r="G407" i="2"/>
  <c r="F407" i="2"/>
  <c r="E407" i="2"/>
  <c r="D407" i="2"/>
  <c r="C407" i="2"/>
  <c r="B408" i="2" a="1"/>
  <c r="B408" i="2" s="1"/>
  <c r="C408" i="2" l="1"/>
  <c r="D408" i="2"/>
  <c r="H408" i="2"/>
  <c r="G408" i="2"/>
  <c r="F408" i="2"/>
  <c r="E408" i="2"/>
  <c r="B409" i="2" a="1"/>
  <c r="B409" i="2" s="1"/>
  <c r="D409" i="2" l="1"/>
  <c r="H409" i="2"/>
  <c r="F409" i="2"/>
  <c r="E409" i="2"/>
  <c r="C409" i="2"/>
  <c r="G409" i="2"/>
  <c r="B410" i="2" a="1"/>
  <c r="B410" i="2" s="1"/>
  <c r="D410" i="2" l="1"/>
  <c r="C410" i="2"/>
  <c r="H410" i="2"/>
  <c r="G410" i="2"/>
  <c r="F410" i="2"/>
  <c r="E410" i="2"/>
  <c r="B411" i="2" a="1"/>
  <c r="B411" i="2" s="1"/>
  <c r="C411" i="2" l="1"/>
  <c r="H411" i="2"/>
  <c r="G411" i="2"/>
  <c r="F411" i="2"/>
  <c r="E411" i="2"/>
  <c r="D411" i="2"/>
  <c r="B412" i="2" a="1"/>
  <c r="B412" i="2" s="1"/>
  <c r="C412" i="2" l="1"/>
  <c r="G412" i="2"/>
  <c r="D412" i="2"/>
  <c r="H412" i="2"/>
  <c r="F412" i="2"/>
  <c r="E412" i="2"/>
  <c r="B413" i="2" a="1"/>
  <c r="B413" i="2" s="1"/>
  <c r="F413" i="2" l="1"/>
  <c r="E413" i="2"/>
  <c r="D413" i="2"/>
  <c r="C413" i="2"/>
  <c r="G413" i="2"/>
  <c r="H413" i="2"/>
  <c r="B414" i="2" a="1"/>
  <c r="B414" i="2" s="1"/>
  <c r="F414" i="2" l="1"/>
  <c r="E414" i="2"/>
  <c r="D414" i="2"/>
  <c r="C414" i="2"/>
  <c r="H414" i="2"/>
  <c r="G414" i="2"/>
  <c r="B415" i="2" a="1"/>
  <c r="B415" i="2" s="1"/>
  <c r="G415" i="2" l="1"/>
  <c r="D415" i="2"/>
  <c r="E415" i="2"/>
  <c r="C415" i="2"/>
  <c r="H415" i="2"/>
  <c r="F415" i="2"/>
  <c r="B416" i="2" a="1"/>
  <c r="B416" i="2" s="1"/>
  <c r="H416" i="2" l="1"/>
  <c r="G416" i="2"/>
  <c r="F416" i="2"/>
  <c r="E416" i="2"/>
  <c r="D416" i="2"/>
  <c r="C416" i="2"/>
  <c r="B417" i="2" a="1"/>
  <c r="B417" i="2" s="1"/>
  <c r="D417" i="2" l="1"/>
  <c r="H417" i="2"/>
  <c r="C417" i="2"/>
  <c r="G417" i="2"/>
  <c r="F417" i="2"/>
  <c r="E417" i="2"/>
  <c r="B418" i="2" a="1"/>
  <c r="B418" i="2" s="1"/>
  <c r="D418" i="2" l="1"/>
  <c r="H418" i="2"/>
  <c r="F418" i="2"/>
  <c r="E418" i="2"/>
  <c r="C418" i="2"/>
  <c r="G418" i="2"/>
  <c r="B419" i="2" a="1"/>
  <c r="B419" i="2" s="1"/>
  <c r="E419" i="2" l="1"/>
  <c r="H419" i="2"/>
  <c r="G419" i="2"/>
  <c r="F419" i="2"/>
  <c r="D419" i="2"/>
  <c r="C419" i="2"/>
  <c r="B420" i="2" a="1"/>
  <c r="B420" i="2" s="1"/>
  <c r="C420" i="2" l="1"/>
  <c r="H420" i="2"/>
  <c r="G420" i="2"/>
  <c r="F420" i="2"/>
  <c r="E420" i="2"/>
  <c r="D420" i="2"/>
  <c r="B421" i="2" a="1"/>
  <c r="B421" i="2" s="1"/>
  <c r="G421" i="2" l="1"/>
  <c r="D421" i="2"/>
  <c r="H421" i="2"/>
  <c r="F421" i="2"/>
  <c r="E421" i="2"/>
  <c r="C421" i="2"/>
  <c r="B422" i="2" a="1"/>
  <c r="B422" i="2" s="1"/>
  <c r="H422" i="2" l="1"/>
  <c r="F422" i="2"/>
  <c r="E422" i="2"/>
  <c r="D422" i="2"/>
  <c r="C422" i="2"/>
  <c r="G422" i="2"/>
  <c r="B423" i="2" a="1"/>
  <c r="B423" i="2" s="1"/>
  <c r="C423" i="2" l="1"/>
  <c r="H423" i="2"/>
  <c r="E423" i="2"/>
  <c r="D423" i="2"/>
  <c r="G423" i="2"/>
  <c r="F423" i="2"/>
  <c r="B424" i="2" a="1"/>
  <c r="B424" i="2" s="1"/>
  <c r="C424" i="2" l="1"/>
  <c r="H424" i="2"/>
  <c r="F424" i="2"/>
  <c r="G424" i="2"/>
  <c r="D424" i="2"/>
  <c r="E424" i="2"/>
  <c r="B425" i="2" a="1"/>
  <c r="B425" i="2" s="1"/>
  <c r="H425" i="2" l="1"/>
  <c r="G425" i="2"/>
  <c r="F425" i="2"/>
  <c r="E425" i="2"/>
  <c r="D425" i="2"/>
  <c r="C425" i="2"/>
  <c r="B426" i="2" a="1"/>
  <c r="B426" i="2" s="1"/>
  <c r="G426" i="2" l="1"/>
  <c r="C426" i="2"/>
  <c r="D426" i="2"/>
  <c r="H426" i="2"/>
  <c r="F426" i="2"/>
  <c r="E426" i="2"/>
  <c r="B427" i="2" a="1"/>
  <c r="B427" i="2" s="1"/>
  <c r="G427" i="2" l="1"/>
  <c r="D427" i="2"/>
  <c r="H427" i="2"/>
  <c r="F427" i="2"/>
  <c r="E427" i="2"/>
  <c r="C427" i="2"/>
  <c r="B428" i="2" a="1"/>
  <c r="B428" i="2" s="1"/>
  <c r="F428" i="2" l="1"/>
  <c r="E428" i="2"/>
  <c r="D428" i="2"/>
  <c r="H428" i="2"/>
  <c r="G428" i="2"/>
  <c r="C428" i="2"/>
  <c r="B429" i="2" a="1"/>
  <c r="B429" i="2" s="1"/>
  <c r="C429" i="2" l="1"/>
  <c r="H429" i="2"/>
  <c r="G429" i="2"/>
  <c r="F429" i="2"/>
  <c r="E429" i="2"/>
  <c r="D429" i="2"/>
  <c r="B430" i="2" a="1"/>
  <c r="B430" i="2" s="1"/>
  <c r="D430" i="2" l="1"/>
  <c r="H430" i="2"/>
  <c r="F430" i="2"/>
  <c r="E430" i="2"/>
  <c r="C430" i="2"/>
  <c r="G430" i="2"/>
  <c r="B431" i="2" a="1"/>
  <c r="B431" i="2" s="1"/>
  <c r="H431" i="2" l="1"/>
  <c r="F431" i="2"/>
  <c r="G431" i="2"/>
  <c r="E431" i="2"/>
  <c r="D431" i="2"/>
  <c r="C431" i="2"/>
  <c r="B432" i="2" a="1"/>
  <c r="B432" i="2" s="1"/>
  <c r="C432" i="2" l="1"/>
  <c r="H432" i="2"/>
  <c r="G432" i="2"/>
  <c r="F432" i="2"/>
  <c r="E432" i="2"/>
  <c r="D432" i="2"/>
  <c r="B433" i="2" a="1"/>
  <c r="B433" i="2" s="1"/>
  <c r="F433" i="2" l="1"/>
  <c r="E433" i="2"/>
  <c r="C433" i="2"/>
  <c r="G433" i="2"/>
  <c r="D433" i="2"/>
  <c r="H433" i="2"/>
  <c r="B434" i="2" a="1"/>
  <c r="B434" i="2" s="1"/>
  <c r="H434" i="2" l="1"/>
  <c r="F434" i="2"/>
  <c r="G434" i="2"/>
  <c r="E434" i="2"/>
  <c r="D434" i="2"/>
  <c r="C434" i="2"/>
  <c r="B435" i="2" a="1"/>
  <c r="B435" i="2" s="1"/>
  <c r="C435" i="2" l="1"/>
  <c r="H435" i="2"/>
  <c r="G435" i="2"/>
  <c r="F435" i="2"/>
  <c r="E435" i="2"/>
  <c r="D435" i="2"/>
  <c r="B436" i="2" a="1"/>
  <c r="B436" i="2" s="1"/>
  <c r="G436" i="2" l="1"/>
  <c r="D436" i="2"/>
  <c r="H436" i="2"/>
  <c r="F436" i="2"/>
  <c r="E436" i="2"/>
  <c r="C436" i="2"/>
  <c r="B437" i="2" a="1"/>
  <c r="B437" i="2" s="1"/>
  <c r="H437" i="2" l="1"/>
  <c r="F437" i="2"/>
  <c r="G437" i="2"/>
  <c r="E437" i="2"/>
  <c r="D437" i="2"/>
  <c r="C437" i="2"/>
  <c r="B438" i="2" a="1"/>
  <c r="B438" i="2" s="1"/>
  <c r="H438" i="2" l="1"/>
  <c r="G438" i="2"/>
  <c r="F438" i="2"/>
  <c r="E438" i="2"/>
  <c r="D438" i="2"/>
  <c r="C438" i="2"/>
  <c r="B439" i="2" a="1"/>
  <c r="B439" i="2" s="1"/>
  <c r="F439" i="2" l="1"/>
  <c r="E439" i="2"/>
  <c r="C439" i="2"/>
  <c r="G439" i="2"/>
  <c r="D439" i="2"/>
  <c r="H439" i="2"/>
  <c r="B440" i="2" a="1"/>
  <c r="B440" i="2" s="1"/>
  <c r="E440" i="2" l="1"/>
  <c r="D440" i="2"/>
  <c r="C440" i="2"/>
  <c r="H440" i="2"/>
  <c r="F440" i="2"/>
  <c r="G440" i="2"/>
  <c r="B441" i="2" a="1"/>
  <c r="B441" i="2" s="1"/>
  <c r="E441" i="2" l="1"/>
  <c r="D441" i="2"/>
  <c r="C441" i="2"/>
  <c r="H441" i="2"/>
  <c r="G441" i="2"/>
  <c r="F441" i="2"/>
  <c r="B442" i="2" a="1"/>
  <c r="B442" i="2" s="1"/>
  <c r="D442" i="2" l="1"/>
  <c r="H442" i="2"/>
  <c r="F442" i="2"/>
  <c r="E442" i="2"/>
  <c r="C442" i="2"/>
  <c r="G442" i="2"/>
  <c r="B443" i="2" a="1"/>
  <c r="B443" i="2" s="1"/>
  <c r="G443" i="2" l="1"/>
  <c r="E443" i="2"/>
  <c r="D443" i="2"/>
  <c r="H443" i="2"/>
  <c r="F443" i="2"/>
  <c r="C443" i="2"/>
  <c r="B444" i="2" a="1"/>
  <c r="B444" i="2" s="1"/>
  <c r="C444" i="2" l="1"/>
  <c r="H444" i="2"/>
  <c r="G444" i="2"/>
  <c r="F444" i="2"/>
  <c r="E444" i="2"/>
  <c r="D444" i="2"/>
  <c r="B445" i="2" a="1"/>
  <c r="B445" i="2" s="1"/>
  <c r="G445" i="2" l="1"/>
  <c r="D445" i="2"/>
  <c r="H445" i="2"/>
  <c r="F445" i="2"/>
  <c r="E445" i="2"/>
  <c r="C445" i="2"/>
  <c r="B446" i="2" a="1"/>
  <c r="B446" i="2" s="1"/>
  <c r="H446" i="2" l="1"/>
  <c r="F446" i="2"/>
  <c r="G446" i="2"/>
  <c r="E446" i="2"/>
  <c r="D446" i="2"/>
  <c r="C446" i="2"/>
  <c r="B447" i="2" a="1"/>
  <c r="B447" i="2" s="1"/>
  <c r="G447" i="2" l="1"/>
  <c r="F447" i="2"/>
  <c r="E447" i="2"/>
  <c r="D447" i="2"/>
  <c r="C447" i="2"/>
  <c r="H447" i="2"/>
  <c r="B448" i="2" a="1"/>
  <c r="B448" i="2" s="1"/>
  <c r="G448" i="2" l="1"/>
  <c r="D448" i="2"/>
  <c r="H448" i="2"/>
  <c r="F448" i="2"/>
  <c r="E448" i="2"/>
  <c r="C448" i="2"/>
  <c r="B449" i="2" a="1"/>
  <c r="B449" i="2" s="1"/>
  <c r="E449" i="2" l="1"/>
  <c r="D449" i="2"/>
  <c r="C449" i="2"/>
  <c r="H449" i="2"/>
  <c r="F449" i="2"/>
  <c r="G449" i="2"/>
  <c r="B450" i="2" a="1"/>
  <c r="B450" i="2" s="1"/>
  <c r="H450" i="2" l="1"/>
  <c r="G450" i="2"/>
  <c r="F450" i="2"/>
  <c r="E450" i="2"/>
  <c r="D450" i="2"/>
  <c r="C450" i="2"/>
  <c r="B451" i="2" a="1"/>
  <c r="B451" i="2" s="1"/>
  <c r="H451" i="2" l="1"/>
  <c r="G451" i="2"/>
  <c r="D451" i="2"/>
  <c r="F451" i="2"/>
  <c r="E451" i="2"/>
  <c r="C451" i="2"/>
  <c r="B452" i="2" a="1"/>
  <c r="B452" i="2" s="1"/>
  <c r="G452" i="2" l="1"/>
  <c r="H452" i="2"/>
  <c r="F452" i="2"/>
  <c r="E452" i="2"/>
  <c r="D452" i="2"/>
  <c r="C452" i="2"/>
  <c r="B453" i="2" a="1"/>
  <c r="B453" i="2" s="1"/>
  <c r="D453" i="2" l="1"/>
  <c r="E453" i="2"/>
  <c r="H453" i="2"/>
  <c r="G453" i="2"/>
  <c r="F453" i="2"/>
  <c r="C453" i="2"/>
  <c r="B454" i="2" a="1"/>
  <c r="B454" i="2" s="1"/>
  <c r="H454" i="2" l="1"/>
  <c r="F454" i="2"/>
  <c r="D454" i="2"/>
  <c r="G454" i="2"/>
  <c r="E454" i="2"/>
  <c r="C454" i="2"/>
  <c r="B455" i="2" a="1"/>
  <c r="B455" i="2" s="1"/>
  <c r="E455" i="2" l="1"/>
  <c r="H455" i="2"/>
  <c r="G455" i="2"/>
  <c r="F455" i="2"/>
  <c r="D455" i="2"/>
  <c r="C455" i="2"/>
  <c r="B456" i="2" a="1"/>
  <c r="B456" i="2" s="1"/>
  <c r="E456" i="2" l="1"/>
  <c r="D456" i="2"/>
  <c r="G456" i="2"/>
  <c r="C456" i="2"/>
  <c r="H456" i="2"/>
  <c r="F456" i="2"/>
  <c r="B457" i="2" a="1"/>
  <c r="B457" i="2" s="1"/>
  <c r="C457" i="2" l="1"/>
  <c r="H457" i="2"/>
  <c r="F457" i="2"/>
  <c r="G457" i="2"/>
  <c r="D457" i="2"/>
  <c r="E457" i="2"/>
  <c r="B458" i="2" a="1"/>
  <c r="B458" i="2" s="1"/>
  <c r="D458" i="2" l="1"/>
  <c r="F458" i="2"/>
  <c r="E458" i="2"/>
  <c r="C458" i="2"/>
  <c r="H458" i="2"/>
  <c r="G458" i="2"/>
  <c r="B459" i="2" a="1"/>
  <c r="B459" i="2" s="1"/>
  <c r="H459" i="2" l="1"/>
  <c r="G459" i="2"/>
  <c r="E459" i="2"/>
  <c r="D459" i="2"/>
  <c r="F459" i="2"/>
  <c r="C459" i="2"/>
  <c r="B460" i="2" a="1"/>
  <c r="B460" i="2" s="1"/>
  <c r="H460" i="2" l="1"/>
  <c r="F460" i="2"/>
  <c r="E460" i="2"/>
  <c r="D460" i="2"/>
  <c r="C460" i="2"/>
  <c r="G460" i="2"/>
  <c r="B461" i="2" a="1"/>
  <c r="B461" i="2" s="1"/>
  <c r="F461" i="2" l="1"/>
  <c r="C461" i="2"/>
  <c r="H461" i="2"/>
  <c r="G461" i="2"/>
  <c r="E461" i="2"/>
  <c r="D461" i="2"/>
  <c r="B462" i="2" a="1"/>
  <c r="B462" i="2" s="1"/>
  <c r="H462" i="2" l="1"/>
  <c r="G462" i="2"/>
  <c r="C462" i="2"/>
  <c r="D462" i="2"/>
  <c r="F462" i="2"/>
  <c r="E462" i="2"/>
  <c r="B463" i="2" a="1"/>
  <c r="B463" i="2" s="1"/>
  <c r="H463" i="2" l="1"/>
  <c r="C463" i="2"/>
  <c r="G463" i="2"/>
  <c r="F463" i="2"/>
  <c r="E463" i="2"/>
  <c r="D463" i="2"/>
  <c r="B464" i="2" a="1"/>
  <c r="B464" i="2" s="1"/>
  <c r="F464" i="2" l="1"/>
  <c r="D464" i="2"/>
  <c r="H464" i="2"/>
  <c r="E464" i="2"/>
  <c r="C464" i="2"/>
  <c r="G464" i="2"/>
  <c r="B465" i="2" a="1"/>
  <c r="B465" i="2" s="1"/>
  <c r="D465" i="2" l="1"/>
  <c r="H465" i="2"/>
  <c r="G465" i="2"/>
  <c r="F465" i="2"/>
  <c r="E465" i="2"/>
  <c r="C465" i="2"/>
  <c r="B466" i="2" a="1"/>
  <c r="B466" i="2" s="1"/>
  <c r="H466" i="2" l="1"/>
  <c r="E466" i="2"/>
  <c r="G466" i="2"/>
  <c r="F466" i="2"/>
  <c r="D466" i="2"/>
  <c r="C466" i="2"/>
  <c r="B467" i="2" a="1"/>
  <c r="B467" i="2" s="1"/>
  <c r="E467" i="2" l="1"/>
  <c r="D467" i="2"/>
  <c r="G467" i="2"/>
  <c r="C467" i="2"/>
  <c r="F467" i="2"/>
  <c r="H467" i="2"/>
  <c r="B468" i="2" a="1"/>
  <c r="B468" i="2" s="1"/>
  <c r="D468" i="2" l="1"/>
  <c r="H468" i="2"/>
  <c r="G468" i="2"/>
  <c r="F468" i="2"/>
  <c r="E468" i="2"/>
  <c r="C468" i="2"/>
  <c r="B469" i="2" a="1"/>
  <c r="B469" i="2" s="1"/>
  <c r="G469" i="2" l="1"/>
  <c r="D469" i="2"/>
  <c r="E469" i="2"/>
  <c r="C469" i="2"/>
  <c r="F469" i="2"/>
  <c r="H469" i="2"/>
  <c r="B470" i="2" a="1"/>
  <c r="B470" i="2" s="1"/>
  <c r="C470" i="2" l="1"/>
  <c r="G470" i="2"/>
  <c r="H470" i="2"/>
  <c r="F470" i="2"/>
  <c r="E470" i="2"/>
  <c r="D470" i="2"/>
  <c r="B471" i="2" a="1"/>
  <c r="B471" i="2" s="1"/>
  <c r="D471" i="2" l="1"/>
  <c r="E471" i="2"/>
  <c r="G471" i="2"/>
  <c r="F471" i="2"/>
  <c r="C471" i="2"/>
  <c r="H471" i="2"/>
  <c r="B472" i="2" a="1"/>
  <c r="B472" i="2" s="1"/>
  <c r="G472" i="2" l="1"/>
  <c r="H472" i="2"/>
  <c r="F472" i="2"/>
  <c r="D472" i="2"/>
  <c r="E472" i="2"/>
  <c r="C472" i="2"/>
  <c r="B473" i="2" a="1"/>
  <c r="B473" i="2" s="1"/>
  <c r="F473" i="2" l="1"/>
  <c r="E473" i="2"/>
  <c r="D473" i="2"/>
  <c r="C473" i="2"/>
  <c r="H473" i="2"/>
  <c r="G473" i="2"/>
  <c r="B474" i="2" a="1"/>
  <c r="B474" i="2" s="1"/>
  <c r="D474" i="2" l="1"/>
  <c r="G474" i="2"/>
  <c r="C474" i="2"/>
  <c r="H474" i="2"/>
  <c r="F474" i="2"/>
  <c r="E474" i="2"/>
  <c r="B475" i="2" a="1"/>
  <c r="B475" i="2" s="1"/>
  <c r="H475" i="2" l="1"/>
  <c r="F475" i="2"/>
  <c r="G475" i="2"/>
  <c r="E475" i="2"/>
  <c r="D475" i="2"/>
  <c r="C475" i="2"/>
  <c r="B476" i="2" a="1"/>
  <c r="B476" i="2" s="1"/>
  <c r="F476" i="2" l="1"/>
  <c r="D476" i="2"/>
  <c r="H476" i="2"/>
  <c r="G476" i="2"/>
  <c r="E476" i="2"/>
  <c r="C476" i="2"/>
  <c r="B477" i="2" a="1"/>
  <c r="B477" i="2" s="1"/>
  <c r="F477" i="2" l="1"/>
  <c r="C477" i="2"/>
  <c r="H477" i="2"/>
  <c r="G477" i="2"/>
  <c r="E477" i="2"/>
  <c r="D477" i="2"/>
  <c r="B478" i="2" a="1"/>
  <c r="B478" i="2" s="1"/>
  <c r="F478" i="2" l="1"/>
  <c r="E478" i="2"/>
  <c r="D478" i="2"/>
  <c r="H478" i="2"/>
  <c r="C478" i="2"/>
  <c r="G478" i="2"/>
  <c r="B479" i="2" a="1"/>
  <c r="B479" i="2" s="1"/>
  <c r="F479" i="2" l="1"/>
  <c r="H479" i="2"/>
  <c r="G479" i="2"/>
  <c r="E479" i="2"/>
  <c r="D479" i="2"/>
  <c r="C479" i="2"/>
  <c r="B480" i="2" a="1"/>
  <c r="B480" i="2" s="1"/>
  <c r="D480" i="2" l="1"/>
  <c r="H480" i="2"/>
  <c r="F480" i="2"/>
  <c r="C480" i="2"/>
  <c r="G480" i="2"/>
  <c r="E480" i="2"/>
  <c r="B481" i="2" a="1"/>
  <c r="B481" i="2" s="1"/>
  <c r="F481" i="2" l="1"/>
  <c r="E481" i="2"/>
  <c r="D481" i="2"/>
  <c r="H481" i="2"/>
  <c r="C481" i="2"/>
  <c r="G481" i="2"/>
  <c r="B482" i="2" a="1"/>
  <c r="B482" i="2" s="1"/>
  <c r="F482" i="2" l="1"/>
  <c r="D482" i="2"/>
  <c r="G482" i="2"/>
  <c r="H482" i="2"/>
  <c r="E482" i="2"/>
  <c r="C482" i="2"/>
  <c r="B483" i="2" a="1"/>
  <c r="B483" i="2" s="1"/>
  <c r="F483" i="2" l="1"/>
  <c r="E483" i="2"/>
  <c r="C483" i="2"/>
  <c r="D483" i="2"/>
  <c r="H483" i="2"/>
  <c r="G483" i="2"/>
  <c r="B484" i="2" a="1"/>
  <c r="B484" i="2" s="1"/>
  <c r="F484" i="2" l="1"/>
  <c r="D484" i="2"/>
  <c r="C484" i="2"/>
  <c r="H484" i="2"/>
  <c r="E484" i="2"/>
  <c r="G484" i="2"/>
  <c r="B485" i="2" a="1"/>
  <c r="B485" i="2" s="1"/>
  <c r="G485" i="2" l="1"/>
  <c r="E485" i="2"/>
  <c r="H485" i="2"/>
  <c r="F485" i="2"/>
  <c r="D485" i="2"/>
  <c r="C485" i="2"/>
  <c r="B486" i="2" a="1"/>
  <c r="B486" i="2" s="1"/>
  <c r="H486" i="2" l="1"/>
  <c r="G486" i="2"/>
  <c r="F486" i="2"/>
  <c r="E486" i="2"/>
  <c r="C486" i="2"/>
  <c r="D486" i="2"/>
  <c r="B487" i="2" a="1"/>
  <c r="B487" i="2" s="1"/>
  <c r="G487" i="2" l="1"/>
  <c r="H487" i="2"/>
  <c r="D487" i="2"/>
  <c r="F487" i="2"/>
  <c r="E487" i="2"/>
  <c r="C487" i="2"/>
  <c r="B488" i="2" a="1"/>
  <c r="B488" i="2" s="1"/>
  <c r="C488" i="2" l="1"/>
  <c r="G488" i="2"/>
  <c r="H488" i="2"/>
  <c r="F488" i="2"/>
  <c r="E488" i="2"/>
  <c r="D488" i="2"/>
  <c r="B489" i="2" a="1"/>
  <c r="B489" i="2" s="1"/>
  <c r="D489" i="2" l="1"/>
  <c r="E489" i="2"/>
  <c r="H489" i="2"/>
  <c r="G489" i="2"/>
  <c r="F489" i="2"/>
  <c r="C489" i="2"/>
  <c r="B490" i="2" a="1"/>
  <c r="B490" i="2" s="1"/>
  <c r="H490" i="2" l="1"/>
  <c r="F490" i="2"/>
  <c r="D490" i="2"/>
  <c r="G490" i="2"/>
  <c r="E490" i="2"/>
  <c r="C490" i="2"/>
  <c r="B491" i="2" a="1"/>
  <c r="B491" i="2" s="1"/>
  <c r="D491" i="2" l="1"/>
  <c r="C491" i="2"/>
  <c r="H491" i="2"/>
  <c r="G491" i="2"/>
  <c r="F491" i="2"/>
  <c r="E491" i="2"/>
  <c r="B492" i="2" a="1"/>
  <c r="B492" i="2" s="1"/>
  <c r="F492" i="2" l="1"/>
  <c r="D492" i="2"/>
  <c r="G492" i="2"/>
  <c r="C492" i="2"/>
  <c r="H492" i="2"/>
  <c r="E492" i="2"/>
  <c r="B493" i="2" a="1"/>
  <c r="B493" i="2" s="1"/>
  <c r="F493" i="2" l="1"/>
  <c r="G493" i="2"/>
  <c r="E493" i="2"/>
  <c r="H493" i="2"/>
  <c r="D493" i="2"/>
  <c r="C493" i="2"/>
  <c r="B494" i="2" a="1"/>
  <c r="B494" i="2" s="1"/>
  <c r="D494" i="2" l="1"/>
  <c r="H494" i="2"/>
  <c r="G494" i="2"/>
  <c r="F494" i="2"/>
  <c r="E494" i="2"/>
  <c r="C494" i="2"/>
  <c r="B495" i="2" a="1"/>
  <c r="B495" i="2" s="1"/>
  <c r="F495" i="2" l="1"/>
  <c r="D495" i="2"/>
  <c r="C495" i="2"/>
  <c r="G495" i="2"/>
  <c r="E495" i="2"/>
  <c r="H495" i="2"/>
  <c r="B496" i="2" a="1"/>
  <c r="B496" i="2" s="1"/>
  <c r="H496" i="2" l="1"/>
  <c r="G496" i="2"/>
  <c r="F496" i="2"/>
  <c r="E496" i="2"/>
  <c r="D496" i="2"/>
  <c r="C496" i="2"/>
  <c r="B497" i="2" a="1"/>
  <c r="B497" i="2" s="1"/>
  <c r="H497" i="2" l="1"/>
  <c r="G497" i="2"/>
  <c r="E497" i="2"/>
  <c r="F497" i="2"/>
  <c r="C497" i="2"/>
  <c r="D497" i="2"/>
  <c r="B498" i="2" a="1"/>
  <c r="B498" i="2" s="1"/>
  <c r="H498" i="2" l="1"/>
  <c r="C498" i="2"/>
  <c r="E498" i="2"/>
  <c r="D498" i="2"/>
  <c r="F498" i="2"/>
  <c r="G498" i="2"/>
  <c r="B499" i="2" a="1"/>
  <c r="B499" i="2" s="1"/>
  <c r="D499" i="2" l="1"/>
  <c r="H499" i="2"/>
  <c r="C499" i="2"/>
  <c r="G499" i="2"/>
  <c r="F499" i="2"/>
  <c r="E499" i="2"/>
  <c r="B500" i="2" a="1"/>
  <c r="B500" i="2" s="1"/>
  <c r="H500" i="2" l="1"/>
  <c r="G500" i="2"/>
  <c r="E500" i="2"/>
  <c r="C500" i="2"/>
  <c r="F500" i="2"/>
  <c r="D500" i="2"/>
  <c r="B501" i="2" a="1"/>
  <c r="B501" i="2" s="1"/>
  <c r="D501" i="2" l="1"/>
  <c r="H501" i="2"/>
  <c r="G501" i="2"/>
  <c r="F501" i="2"/>
  <c r="E501" i="2"/>
  <c r="C501" i="2"/>
  <c r="B502" i="2" a="1"/>
  <c r="B502" i="2" s="1"/>
  <c r="F502" i="2" l="1"/>
  <c r="C502" i="2"/>
  <c r="H502" i="2"/>
  <c r="G502" i="2"/>
  <c r="E502" i="2"/>
  <c r="D502" i="2"/>
  <c r="B503" i="2" a="1"/>
  <c r="B503" i="2" s="1"/>
  <c r="G503" i="2" l="1"/>
  <c r="E503" i="2"/>
  <c r="H503" i="2"/>
  <c r="F503" i="2"/>
  <c r="D503" i="2"/>
  <c r="C503" i="2"/>
  <c r="B504" i="2" a="1"/>
  <c r="B504" i="2" s="1"/>
  <c r="E504" i="2" l="1"/>
  <c r="H504" i="2"/>
  <c r="G504" i="2"/>
  <c r="F504" i="2"/>
  <c r="C504" i="2"/>
  <c r="D504" i="2"/>
  <c r="B505" i="2" a="1"/>
  <c r="B505" i="2" s="1"/>
  <c r="D505" i="2" l="1"/>
  <c r="H505" i="2"/>
  <c r="G505" i="2"/>
  <c r="F505" i="2"/>
  <c r="E505" i="2"/>
  <c r="C505" i="2"/>
  <c r="B506" i="2" a="1"/>
  <c r="B506" i="2" s="1"/>
  <c r="G506" i="2" l="1"/>
  <c r="C506" i="2"/>
  <c r="H506" i="2"/>
  <c r="F506" i="2"/>
  <c r="E506" i="2"/>
  <c r="D506" i="2"/>
  <c r="B507" i="2" a="1"/>
  <c r="B507" i="2" s="1"/>
  <c r="D507" i="2" l="1"/>
  <c r="G507" i="2"/>
  <c r="E507" i="2"/>
  <c r="C507" i="2"/>
  <c r="H507" i="2"/>
  <c r="F507" i="2"/>
  <c r="B508" i="2" a="1"/>
  <c r="B508" i="2" s="1"/>
  <c r="H508" i="2" l="1"/>
  <c r="F508" i="2"/>
  <c r="D508" i="2"/>
  <c r="E508" i="2"/>
  <c r="C508" i="2"/>
  <c r="G508" i="2"/>
  <c r="B509" i="2" a="1"/>
  <c r="B509" i="2" s="1"/>
  <c r="F509" i="2" l="1"/>
  <c r="E509" i="2"/>
  <c r="C509" i="2"/>
  <c r="D509" i="2"/>
  <c r="H509" i="2"/>
  <c r="G509" i="2"/>
  <c r="B510" i="2" a="1"/>
  <c r="B510" i="2" s="1"/>
  <c r="D510" i="2" l="1"/>
  <c r="G510" i="2"/>
  <c r="F510" i="2"/>
  <c r="C510" i="2"/>
  <c r="H510" i="2"/>
  <c r="E510" i="2"/>
  <c r="B511" i="2" a="1"/>
  <c r="B511" i="2" s="1"/>
  <c r="G511" i="2" l="1"/>
  <c r="E511" i="2"/>
  <c r="H511" i="2"/>
  <c r="F511" i="2"/>
  <c r="D511" i="2"/>
  <c r="C511" i="2"/>
  <c r="B512" i="2" a="1"/>
  <c r="B512" i="2" s="1"/>
  <c r="D512" i="2" l="1"/>
  <c r="C512" i="2"/>
  <c r="H512" i="2"/>
  <c r="G512" i="2"/>
  <c r="E512" i="2"/>
  <c r="F512" i="2"/>
  <c r="B513" i="2" a="1"/>
  <c r="B513" i="2" s="1"/>
  <c r="H513" i="2" l="1"/>
  <c r="F513" i="2"/>
  <c r="C513" i="2"/>
  <c r="G513" i="2"/>
  <c r="E513" i="2"/>
  <c r="D513" i="2"/>
  <c r="B514" i="2" a="1"/>
  <c r="B514" i="2" s="1"/>
  <c r="H514" i="2" l="1"/>
  <c r="C514" i="2"/>
  <c r="E514" i="2"/>
  <c r="D514" i="2"/>
  <c r="G514" i="2"/>
  <c r="F514" i="2"/>
  <c r="B515" i="2" a="1"/>
  <c r="B515" i="2" s="1"/>
  <c r="D515" i="2" l="1"/>
  <c r="H515" i="2"/>
  <c r="G515" i="2"/>
  <c r="F515" i="2"/>
  <c r="E515" i="2"/>
  <c r="C515" i="2"/>
  <c r="B516" i="2" a="1"/>
  <c r="B516" i="2" s="1"/>
  <c r="D516" i="2" l="1"/>
  <c r="H516" i="2"/>
  <c r="G516" i="2"/>
  <c r="F516" i="2"/>
  <c r="E516" i="2"/>
  <c r="C516" i="2"/>
  <c r="B517" i="2" a="1"/>
  <c r="B517" i="2" s="1"/>
  <c r="E517" i="2" l="1"/>
  <c r="H517" i="2"/>
  <c r="D517" i="2"/>
  <c r="C517" i="2"/>
  <c r="G517" i="2"/>
  <c r="F517" i="2"/>
  <c r="B518" i="2" a="1"/>
  <c r="B518" i="2" s="1"/>
  <c r="D518" i="2" l="1"/>
  <c r="H518" i="2"/>
  <c r="G518" i="2"/>
  <c r="E518" i="2"/>
  <c r="C518" i="2"/>
  <c r="F518" i="2"/>
  <c r="B519" i="2" a="1"/>
  <c r="B519" i="2" s="1"/>
  <c r="D519" i="2" l="1"/>
  <c r="H519" i="2"/>
  <c r="G519" i="2"/>
  <c r="F519" i="2"/>
  <c r="E519" i="2"/>
  <c r="C519" i="2"/>
  <c r="B520" i="2" a="1"/>
  <c r="B520" i="2" s="1"/>
  <c r="E520" i="2" l="1"/>
  <c r="F520" i="2"/>
  <c r="D520" i="2"/>
  <c r="C520" i="2"/>
  <c r="H520" i="2"/>
  <c r="G520" i="2"/>
  <c r="B521" i="2" a="1"/>
  <c r="B521" i="2" s="1"/>
  <c r="G521" i="2" l="1"/>
  <c r="F521" i="2"/>
  <c r="E521" i="2"/>
  <c r="H521" i="2"/>
  <c r="D521" i="2"/>
  <c r="C521" i="2"/>
  <c r="B522" i="2" a="1"/>
  <c r="B522" i="2" s="1"/>
  <c r="D522" i="2" l="1"/>
  <c r="E522" i="2"/>
  <c r="C522" i="2"/>
  <c r="F522" i="2"/>
  <c r="H522" i="2"/>
  <c r="G522" i="2"/>
  <c r="B523" i="2" a="1"/>
  <c r="B523" i="2" s="1"/>
  <c r="E523" i="2" l="1"/>
  <c r="F523" i="2"/>
  <c r="D523" i="2"/>
  <c r="C523" i="2"/>
  <c r="H523" i="2"/>
  <c r="G523" i="2"/>
  <c r="B524" i="2" a="1"/>
  <c r="B524" i="2" s="1"/>
  <c r="E524" i="2" l="1"/>
  <c r="C524" i="2"/>
  <c r="H524" i="2"/>
  <c r="G524" i="2"/>
  <c r="F524" i="2"/>
  <c r="D524" i="2"/>
  <c r="B525" i="2" a="1"/>
  <c r="B525" i="2" s="1"/>
  <c r="G525" i="2" l="1"/>
  <c r="F525" i="2"/>
  <c r="E525" i="2"/>
  <c r="C525" i="2"/>
  <c r="H525" i="2"/>
  <c r="D525" i="2"/>
  <c r="B526" i="2" a="1"/>
  <c r="B526" i="2" s="1"/>
  <c r="D526" i="2" l="1"/>
  <c r="G526" i="2"/>
  <c r="C526" i="2"/>
  <c r="H526" i="2"/>
  <c r="E526" i="2"/>
  <c r="F526" i="2"/>
  <c r="B527" i="2" a="1"/>
  <c r="B527" i="2" s="1"/>
  <c r="G527" i="2" l="1"/>
  <c r="F527" i="2"/>
  <c r="E527" i="2"/>
  <c r="D527" i="2"/>
  <c r="C527" i="2"/>
  <c r="H527" i="2"/>
  <c r="B528" i="2" a="1"/>
  <c r="B528" i="2" s="1"/>
  <c r="H528" i="2" l="1"/>
  <c r="D528" i="2"/>
  <c r="G528" i="2"/>
  <c r="F528" i="2"/>
  <c r="C528" i="2"/>
  <c r="E528" i="2"/>
  <c r="B529" i="2" a="1"/>
  <c r="B529" i="2" s="1"/>
  <c r="D529" i="2" l="1"/>
  <c r="C529" i="2"/>
  <c r="H529" i="2"/>
  <c r="G529" i="2"/>
  <c r="F529" i="2"/>
  <c r="E529" i="2"/>
  <c r="B530" i="2" a="1"/>
  <c r="B530" i="2" s="1"/>
  <c r="G530" i="2" l="1"/>
  <c r="F530" i="2"/>
  <c r="E530" i="2"/>
  <c r="D530" i="2"/>
  <c r="C530" i="2"/>
  <c r="H530" i="2"/>
  <c r="B531" i="2" a="1"/>
  <c r="B531" i="2" s="1"/>
  <c r="D531" i="2" l="1"/>
  <c r="H531" i="2"/>
  <c r="F531" i="2"/>
  <c r="E531" i="2"/>
  <c r="C531" i="2"/>
  <c r="G531" i="2"/>
  <c r="B532" i="2" a="1"/>
  <c r="B532" i="2" s="1"/>
  <c r="G532" i="2" l="1"/>
  <c r="H532" i="2"/>
  <c r="D532" i="2"/>
  <c r="C532" i="2"/>
  <c r="F532" i="2"/>
  <c r="E532" i="2"/>
  <c r="B533" i="2" a="1"/>
  <c r="B533" i="2" s="1"/>
  <c r="H533" i="2" l="1"/>
  <c r="G533" i="2"/>
  <c r="F533" i="2"/>
  <c r="E533" i="2"/>
  <c r="C533" i="2"/>
  <c r="D533" i="2"/>
  <c r="B534" i="2" a="1"/>
  <c r="B534" i="2" s="1"/>
  <c r="F534" i="2" l="1"/>
  <c r="E534" i="2"/>
  <c r="C534" i="2"/>
  <c r="D534" i="2"/>
  <c r="H534" i="2"/>
  <c r="G534" i="2"/>
  <c r="B535" i="2" a="1"/>
  <c r="B535" i="2" s="1"/>
  <c r="F535" i="2" l="1"/>
  <c r="E535" i="2"/>
  <c r="D535" i="2"/>
  <c r="H535" i="2"/>
  <c r="G535" i="2"/>
  <c r="C535" i="2"/>
  <c r="B536" i="2" a="1"/>
  <c r="B536" i="2" s="1"/>
  <c r="H536" i="2" l="1"/>
  <c r="G536" i="2"/>
  <c r="E536" i="2"/>
  <c r="D536" i="2"/>
  <c r="C536" i="2"/>
  <c r="F536" i="2"/>
  <c r="B537" i="2" a="1"/>
  <c r="B537" i="2" s="1"/>
  <c r="E537" i="2" l="1"/>
  <c r="H537" i="2"/>
  <c r="G537" i="2"/>
  <c r="F537" i="2"/>
  <c r="D537" i="2"/>
  <c r="C537" i="2"/>
  <c r="B538" i="2" a="1"/>
  <c r="B538" i="2" s="1"/>
  <c r="G538" i="2" l="1"/>
  <c r="F538" i="2"/>
  <c r="E538" i="2"/>
  <c r="D538" i="2"/>
  <c r="C538" i="2"/>
  <c r="H538" i="2"/>
  <c r="B539" i="2" a="1"/>
  <c r="B539" i="2" s="1"/>
  <c r="F539" i="2" l="1"/>
  <c r="E539" i="2"/>
  <c r="D539" i="2"/>
  <c r="C539" i="2"/>
  <c r="H539" i="2"/>
  <c r="G539" i="2"/>
  <c r="B540" i="2" a="1"/>
  <c r="B540" i="2" s="1"/>
  <c r="G540" i="2" l="1"/>
  <c r="D540" i="2"/>
  <c r="F540" i="2"/>
  <c r="E540" i="2"/>
  <c r="C540" i="2"/>
  <c r="H540" i="2"/>
  <c r="B541" i="2" a="1"/>
  <c r="B541" i="2" s="1"/>
  <c r="D541" i="2" l="1"/>
  <c r="C541" i="2"/>
  <c r="E541" i="2"/>
  <c r="H541" i="2"/>
  <c r="G541" i="2"/>
  <c r="F541" i="2"/>
  <c r="B542" i="2" a="1"/>
  <c r="B542" i="2" s="1"/>
  <c r="C542" i="2" l="1"/>
  <c r="G542" i="2"/>
  <c r="D542" i="2"/>
  <c r="H542" i="2"/>
  <c r="F542" i="2"/>
  <c r="E542" i="2"/>
  <c r="B543" i="2" a="1"/>
  <c r="B543" i="2" s="1"/>
  <c r="D543" i="2" l="1"/>
  <c r="H543" i="2"/>
  <c r="G543" i="2"/>
  <c r="F543" i="2"/>
  <c r="E543" i="2"/>
  <c r="C543" i="2"/>
  <c r="B544" i="2" a="1"/>
  <c r="B544" i="2" s="1"/>
  <c r="C544" i="2" l="1"/>
  <c r="G544" i="2"/>
  <c r="H544" i="2"/>
  <c r="F544" i="2"/>
  <c r="E544" i="2"/>
  <c r="D544" i="2"/>
  <c r="B545" i="2" a="1"/>
  <c r="B545" i="2" s="1"/>
  <c r="F545" i="2" l="1"/>
  <c r="E545" i="2"/>
  <c r="D545" i="2"/>
  <c r="C545" i="2"/>
  <c r="H545" i="2"/>
  <c r="G545" i="2"/>
  <c r="B546" i="2" a="1"/>
  <c r="B546" i="2" s="1"/>
  <c r="F546" i="2" l="1"/>
  <c r="D546" i="2"/>
  <c r="H546" i="2"/>
  <c r="G546" i="2"/>
  <c r="C546" i="2"/>
  <c r="E546" i="2"/>
  <c r="B547" i="2" a="1"/>
  <c r="B547" i="2" s="1"/>
  <c r="H547" i="2" l="1"/>
  <c r="C547" i="2"/>
  <c r="G547" i="2"/>
  <c r="F547" i="2"/>
  <c r="E547" i="2"/>
  <c r="D547" i="2"/>
  <c r="B548" i="2" a="1"/>
  <c r="B548" i="2" s="1"/>
  <c r="G548" i="2" l="1"/>
  <c r="F548" i="2"/>
  <c r="E548" i="2"/>
  <c r="D548" i="2"/>
  <c r="C548" i="2"/>
  <c r="H548" i="2"/>
  <c r="B549" i="2" a="1"/>
  <c r="B549" i="2" s="1"/>
  <c r="D549" i="2" l="1"/>
  <c r="H549" i="2"/>
  <c r="F549" i="2"/>
  <c r="E549" i="2"/>
  <c r="C549" i="2"/>
  <c r="G549" i="2"/>
  <c r="B550" i="2" a="1"/>
  <c r="B550" i="2" s="1"/>
  <c r="F550" i="2" l="1"/>
  <c r="H550" i="2"/>
  <c r="E550" i="2"/>
  <c r="D550" i="2"/>
  <c r="C550" i="2"/>
  <c r="G550" i="2"/>
  <c r="B551" i="2" a="1"/>
  <c r="B551" i="2" s="1"/>
  <c r="H551" i="2" l="1"/>
  <c r="G551" i="2"/>
  <c r="F551" i="2"/>
  <c r="E551" i="2"/>
  <c r="C551" i="2"/>
  <c r="D551" i="2"/>
  <c r="B552" i="2" a="1"/>
  <c r="B552" i="2" s="1"/>
  <c r="E552" i="2" l="1"/>
  <c r="C552" i="2"/>
  <c r="D552" i="2"/>
  <c r="H552" i="2"/>
  <c r="G552" i="2"/>
  <c r="F552" i="2"/>
  <c r="B553" i="2" a="1"/>
  <c r="B553" i="2" s="1"/>
  <c r="E553" i="2" l="1"/>
  <c r="D553" i="2"/>
  <c r="C553" i="2"/>
  <c r="H553" i="2"/>
  <c r="G553" i="2"/>
  <c r="F553" i="2"/>
  <c r="B554" i="2" a="1"/>
  <c r="B554" i="2" s="1"/>
  <c r="D554" i="2" l="1"/>
  <c r="C554" i="2"/>
  <c r="F554" i="2"/>
  <c r="H554" i="2"/>
  <c r="G554" i="2"/>
  <c r="E554" i="2"/>
  <c r="B555" i="2" a="1"/>
  <c r="B555" i="2" s="1"/>
  <c r="F555" i="2" l="1"/>
  <c r="D555" i="2"/>
  <c r="E555" i="2"/>
  <c r="C555" i="2"/>
  <c r="H555" i="2"/>
  <c r="G555" i="2"/>
  <c r="B556" i="2" a="1"/>
  <c r="B556" i="2" s="1"/>
  <c r="H556" i="2" l="1"/>
  <c r="G556" i="2"/>
  <c r="F556" i="2"/>
  <c r="E556" i="2"/>
  <c r="D556" i="2"/>
  <c r="C556" i="2"/>
  <c r="B557" i="2" a="1"/>
  <c r="B557" i="2" s="1"/>
  <c r="G557" i="2" l="1"/>
  <c r="F557" i="2"/>
  <c r="E557" i="2"/>
  <c r="D557" i="2"/>
  <c r="C557" i="2"/>
  <c r="H557" i="2"/>
  <c r="B558" i="2" a="1"/>
  <c r="B558" i="2" s="1"/>
  <c r="E558" i="2" l="1"/>
  <c r="C558" i="2"/>
  <c r="H558" i="2"/>
  <c r="D558" i="2"/>
  <c r="G558" i="2"/>
  <c r="F558" i="2"/>
  <c r="B559" i="2" a="1"/>
  <c r="B559" i="2" s="1"/>
  <c r="H559" i="2" l="1"/>
  <c r="G559" i="2"/>
  <c r="F559" i="2"/>
  <c r="D559" i="2"/>
  <c r="C559" i="2"/>
  <c r="E559" i="2"/>
  <c r="B560" i="2" a="1"/>
  <c r="B560" i="2" s="1"/>
  <c r="D560" i="2" l="1"/>
  <c r="C560" i="2"/>
  <c r="H560" i="2"/>
  <c r="G560" i="2"/>
  <c r="F560" i="2"/>
  <c r="E560" i="2"/>
  <c r="B561" i="2" a="1"/>
  <c r="B561" i="2" s="1"/>
  <c r="H561" i="2" l="1"/>
  <c r="G561" i="2"/>
  <c r="F561" i="2"/>
  <c r="E561" i="2"/>
  <c r="C561" i="2"/>
  <c r="D561" i="2"/>
  <c r="B562" i="2" a="1"/>
  <c r="B562" i="2" s="1"/>
  <c r="D562" i="2" l="1"/>
  <c r="C562" i="2"/>
  <c r="G562" i="2"/>
  <c r="H562" i="2"/>
  <c r="F562" i="2"/>
  <c r="E562" i="2"/>
  <c r="B563" i="2" a="1"/>
  <c r="B563" i="2" s="1"/>
  <c r="H563" i="2" l="1"/>
  <c r="G563" i="2"/>
  <c r="F563" i="2"/>
  <c r="E563" i="2"/>
  <c r="D563" i="2"/>
  <c r="C563" i="2"/>
  <c r="B564" i="2" a="1"/>
  <c r="B564" i="2" s="1"/>
  <c r="D564" i="2" l="1"/>
  <c r="H564" i="2"/>
  <c r="G564" i="2"/>
  <c r="F564" i="2"/>
  <c r="C564" i="2"/>
  <c r="E564" i="2"/>
  <c r="B565" i="2" a="1"/>
  <c r="B565" i="2" s="1"/>
  <c r="H565" i="2" l="1"/>
  <c r="C565" i="2"/>
  <c r="G565" i="2"/>
  <c r="F565" i="2"/>
  <c r="E565" i="2"/>
  <c r="D565" i="2"/>
  <c r="B566" i="2" a="1"/>
  <c r="B566" i="2" s="1"/>
  <c r="C566" i="2" l="1"/>
  <c r="H566" i="2"/>
  <c r="G566" i="2"/>
  <c r="F566" i="2"/>
  <c r="E566" i="2"/>
  <c r="D566" i="2"/>
  <c r="B567" i="2" a="1"/>
  <c r="B567" i="2" s="1"/>
  <c r="F567" i="2" l="1"/>
  <c r="D567" i="2"/>
  <c r="H567" i="2"/>
  <c r="G567" i="2"/>
  <c r="E567" i="2"/>
  <c r="C567" i="2"/>
  <c r="B568" i="2" a="1"/>
  <c r="B568" i="2" s="1"/>
  <c r="E568" i="2" l="1"/>
  <c r="D568" i="2"/>
  <c r="C568" i="2"/>
  <c r="H568" i="2"/>
  <c r="G568" i="2"/>
  <c r="F568" i="2"/>
  <c r="B569" i="2" a="1"/>
  <c r="B569" i="2" s="1"/>
  <c r="D569" i="2" l="1"/>
  <c r="C569" i="2"/>
  <c r="H569" i="2"/>
  <c r="G569" i="2"/>
  <c r="E569" i="2"/>
  <c r="F569" i="2"/>
  <c r="B570" i="2" a="1"/>
  <c r="B570" i="2" s="1"/>
  <c r="E570" i="2" l="1"/>
  <c r="H570" i="2"/>
  <c r="G570" i="2"/>
  <c r="F570" i="2"/>
  <c r="D570" i="2"/>
  <c r="C570" i="2"/>
  <c r="B571" i="2" a="1"/>
  <c r="B571" i="2" s="1"/>
  <c r="D571" i="2" l="1"/>
  <c r="C571" i="2"/>
  <c r="H571" i="2"/>
  <c r="G571" i="2"/>
  <c r="F571" i="2"/>
  <c r="E571" i="2"/>
  <c r="B572" i="2" a="1"/>
  <c r="B572" i="2" s="1"/>
  <c r="H572" i="2" l="1"/>
  <c r="G572" i="2"/>
  <c r="F572" i="2"/>
  <c r="E572" i="2"/>
  <c r="D572" i="2"/>
  <c r="C572" i="2"/>
  <c r="B573" i="2" a="1"/>
  <c r="B573" i="2" s="1"/>
  <c r="E573" i="2" l="1"/>
  <c r="C573" i="2"/>
  <c r="H573" i="2"/>
  <c r="G573" i="2"/>
  <c r="F573" i="2"/>
  <c r="D573" i="2"/>
  <c r="B574" i="2" a="1"/>
  <c r="B574" i="2" s="1"/>
  <c r="D574" i="2" l="1"/>
  <c r="C574" i="2"/>
  <c r="H574" i="2"/>
  <c r="G574" i="2"/>
  <c r="F574" i="2"/>
  <c r="E574" i="2"/>
  <c r="B575" i="2" a="1"/>
  <c r="B575" i="2" s="1"/>
  <c r="H575" i="2" l="1"/>
  <c r="G575" i="2"/>
  <c r="F575" i="2"/>
  <c r="E575" i="2"/>
  <c r="D575" i="2"/>
  <c r="C575" i="2"/>
  <c r="B576" i="2" a="1"/>
  <c r="B576" i="2" s="1"/>
  <c r="E576" i="2" l="1"/>
  <c r="D576" i="2"/>
  <c r="G576" i="2"/>
  <c r="F576" i="2"/>
  <c r="C576" i="2"/>
  <c r="H576" i="2"/>
  <c r="B577" i="2" a="1"/>
  <c r="B577" i="2" s="1"/>
  <c r="C577" i="2" l="1"/>
  <c r="H577" i="2"/>
  <c r="G577" i="2"/>
  <c r="F577" i="2"/>
  <c r="E577" i="2"/>
  <c r="D577" i="2"/>
  <c r="B578" i="2" a="1"/>
  <c r="B578" i="2" s="1"/>
  <c r="G578" i="2" l="1"/>
  <c r="F578" i="2"/>
  <c r="E578" i="2"/>
  <c r="D578" i="2"/>
  <c r="C578" i="2"/>
  <c r="H578" i="2"/>
  <c r="B579" i="2" a="1"/>
  <c r="B579" i="2" s="1"/>
  <c r="H579" i="2" l="1"/>
  <c r="G579" i="2"/>
  <c r="F579" i="2"/>
  <c r="E579" i="2"/>
  <c r="C579" i="2"/>
  <c r="D579" i="2"/>
  <c r="B580" i="2" a="1"/>
  <c r="B580" i="2" s="1"/>
  <c r="H580" i="2" l="1"/>
  <c r="G580" i="2"/>
  <c r="F580" i="2"/>
  <c r="E580" i="2"/>
  <c r="D580" i="2"/>
  <c r="C580" i="2"/>
  <c r="B581" i="2" a="1"/>
  <c r="B581" i="2" s="1"/>
  <c r="C581" i="2" l="1"/>
  <c r="H581" i="2"/>
  <c r="G581" i="2"/>
  <c r="F581" i="2"/>
  <c r="E581" i="2"/>
  <c r="D581" i="2"/>
  <c r="B582" i="2" a="1"/>
  <c r="B582" i="2" s="1"/>
  <c r="F582" i="2" l="1"/>
  <c r="D582" i="2"/>
  <c r="H582" i="2"/>
  <c r="G582" i="2"/>
  <c r="E582" i="2"/>
  <c r="C582" i="2"/>
  <c r="B583" i="2" a="1"/>
  <c r="B583" i="2" s="1"/>
  <c r="C583" i="2" l="1"/>
  <c r="G583" i="2"/>
  <c r="F583" i="2"/>
  <c r="E583" i="2"/>
  <c r="D583" i="2"/>
  <c r="H583" i="2"/>
  <c r="B584" i="2" a="1"/>
  <c r="B584" i="2" s="1"/>
  <c r="E584" i="2" l="1"/>
  <c r="D584" i="2"/>
  <c r="C584" i="2"/>
  <c r="H584" i="2"/>
  <c r="G584" i="2"/>
  <c r="F584" i="2"/>
  <c r="B585" i="2" a="1"/>
  <c r="B585" i="2" s="1"/>
  <c r="C585" i="2" l="1"/>
  <c r="D585" i="2"/>
  <c r="H585" i="2"/>
  <c r="G585" i="2"/>
  <c r="F585" i="2"/>
  <c r="E585" i="2"/>
  <c r="B586" i="2" a="1"/>
  <c r="B586" i="2" s="1"/>
  <c r="C586" i="2" l="1"/>
  <c r="H586" i="2"/>
  <c r="E586" i="2"/>
  <c r="D586" i="2"/>
  <c r="G586" i="2"/>
  <c r="F586" i="2"/>
  <c r="B587" i="2" a="1"/>
  <c r="B587" i="2" s="1"/>
  <c r="H587" i="2" l="1"/>
  <c r="G587" i="2"/>
  <c r="F587" i="2"/>
  <c r="E587" i="2"/>
  <c r="D587" i="2"/>
  <c r="C587" i="2"/>
  <c r="B588" i="2" a="1"/>
  <c r="B588" i="2" s="1"/>
  <c r="H588" i="2" l="1"/>
  <c r="G588" i="2"/>
  <c r="F588" i="2"/>
  <c r="E588" i="2"/>
  <c r="C588" i="2"/>
  <c r="D588" i="2"/>
  <c r="B589" i="2" a="1"/>
  <c r="B589" i="2" s="1"/>
  <c r="H589" i="2" l="1"/>
  <c r="F589" i="2"/>
  <c r="G589" i="2"/>
  <c r="E589" i="2"/>
  <c r="D589" i="2"/>
  <c r="C589" i="2"/>
  <c r="B590" i="2" a="1"/>
  <c r="B590" i="2" s="1"/>
  <c r="G590" i="2" l="1"/>
  <c r="C590" i="2"/>
  <c r="H590" i="2"/>
  <c r="F590" i="2"/>
  <c r="E590" i="2"/>
  <c r="D590" i="2"/>
  <c r="B591" i="2" a="1"/>
  <c r="B591" i="2" s="1"/>
  <c r="F591" i="2" l="1"/>
  <c r="E591" i="2"/>
  <c r="H591" i="2"/>
  <c r="D591" i="2"/>
  <c r="C591" i="2"/>
  <c r="G591" i="2"/>
  <c r="B592" i="2" a="1"/>
  <c r="B592" i="2" s="1"/>
  <c r="G592" i="2" l="1"/>
  <c r="F592" i="2"/>
  <c r="E592" i="2"/>
  <c r="D592" i="2"/>
  <c r="C592" i="2"/>
  <c r="H592" i="2"/>
  <c r="B593" i="2" a="1"/>
  <c r="B593" i="2" s="1"/>
  <c r="E593" i="2" l="1"/>
  <c r="D593" i="2"/>
  <c r="C593" i="2"/>
  <c r="H593" i="2"/>
  <c r="G593" i="2"/>
  <c r="F593" i="2"/>
  <c r="B594" i="2" a="1"/>
  <c r="B594" i="2" s="1"/>
  <c r="D594" i="2" l="1"/>
  <c r="F594" i="2"/>
  <c r="H594" i="2"/>
  <c r="G594" i="2"/>
  <c r="E594" i="2"/>
  <c r="C594" i="2"/>
  <c r="B595" i="2" a="1"/>
  <c r="B595" i="2" s="1"/>
  <c r="H595" i="2" l="1"/>
  <c r="D595" i="2"/>
  <c r="C595" i="2"/>
  <c r="F595" i="2"/>
  <c r="E595" i="2"/>
  <c r="G595" i="2"/>
  <c r="B596" i="2" a="1"/>
  <c r="B596" i="2" s="1"/>
  <c r="C596" i="2" l="1"/>
  <c r="H596" i="2"/>
  <c r="G596" i="2"/>
  <c r="F596" i="2"/>
  <c r="E596" i="2"/>
  <c r="D596" i="2"/>
  <c r="B597" i="2" a="1"/>
  <c r="B597" i="2" s="1"/>
  <c r="D597" i="2" l="1"/>
  <c r="C597" i="2"/>
  <c r="H597" i="2"/>
  <c r="G597" i="2"/>
  <c r="F597" i="2"/>
  <c r="E597" i="2"/>
  <c r="B598" i="2" a="1"/>
  <c r="B598" i="2" s="1"/>
  <c r="G598" i="2" l="1"/>
  <c r="H598" i="2"/>
  <c r="F598" i="2"/>
  <c r="E598" i="2"/>
  <c r="D598" i="2"/>
  <c r="C598" i="2"/>
  <c r="B599" i="2" a="1"/>
  <c r="B599" i="2" s="1"/>
  <c r="H599" i="2" l="1"/>
  <c r="E599" i="2"/>
  <c r="G599" i="2"/>
  <c r="F599" i="2"/>
  <c r="D599" i="2"/>
  <c r="C599" i="2"/>
  <c r="B600" i="2" a="1"/>
  <c r="B600" i="2" s="1"/>
  <c r="D600" i="2" l="1"/>
  <c r="F600" i="2"/>
  <c r="E600" i="2"/>
  <c r="C600" i="2"/>
  <c r="H600" i="2"/>
  <c r="G600" i="2"/>
  <c r="B601" i="2" a="1"/>
  <c r="B601" i="2" s="1"/>
  <c r="H601" i="2" l="1"/>
  <c r="G601" i="2"/>
  <c r="F601" i="2"/>
  <c r="E601" i="2"/>
  <c r="D601" i="2"/>
  <c r="C601" i="2"/>
  <c r="B602" i="2" a="1"/>
  <c r="B602" i="2" s="1"/>
  <c r="D602" i="2" l="1"/>
  <c r="C602" i="2"/>
  <c r="H602" i="2"/>
  <c r="F602" i="2"/>
  <c r="E602" i="2"/>
  <c r="G602" i="2"/>
  <c r="B603" i="2" a="1"/>
  <c r="B603" i="2" s="1"/>
  <c r="H603" i="2" l="1"/>
  <c r="F603" i="2"/>
  <c r="E603" i="2"/>
  <c r="C603" i="2"/>
  <c r="D603" i="2"/>
  <c r="G603" i="2"/>
  <c r="B604" i="2" a="1"/>
  <c r="B604" i="2" s="1"/>
  <c r="H604" i="2" l="1"/>
  <c r="D604" i="2"/>
  <c r="C604" i="2"/>
  <c r="G604" i="2"/>
  <c r="F604" i="2"/>
  <c r="E604" i="2"/>
  <c r="B605" i="2" a="1"/>
  <c r="B605" i="2" s="1"/>
  <c r="G605" i="2" l="1"/>
  <c r="H605" i="2"/>
  <c r="F605" i="2"/>
  <c r="E605" i="2"/>
  <c r="D605" i="2"/>
  <c r="C605" i="2"/>
  <c r="B606" i="2" a="1"/>
  <c r="B606" i="2" s="1"/>
  <c r="D606" i="2" l="1"/>
  <c r="C606" i="2"/>
  <c r="H606" i="2"/>
  <c r="G606" i="2"/>
  <c r="F606" i="2"/>
  <c r="E606" i="2"/>
  <c r="B607" i="2" a="1"/>
  <c r="B607" i="2" s="1"/>
  <c r="F607" i="2" l="1"/>
  <c r="H607" i="2"/>
  <c r="C607" i="2"/>
  <c r="D607" i="2"/>
  <c r="G607" i="2"/>
  <c r="E607" i="2"/>
  <c r="B608" i="2" a="1"/>
  <c r="B608" i="2" s="1"/>
  <c r="C608" i="2" l="1"/>
  <c r="H608" i="2"/>
  <c r="G608" i="2"/>
  <c r="F608" i="2"/>
  <c r="E608" i="2"/>
  <c r="D608" i="2"/>
  <c r="B609" i="2" a="1"/>
  <c r="B609" i="2" s="1"/>
  <c r="C609" i="2" l="1"/>
  <c r="H609" i="2"/>
  <c r="G609" i="2"/>
  <c r="F609" i="2"/>
  <c r="E609" i="2"/>
  <c r="D609" i="2"/>
  <c r="B610" i="2" a="1"/>
  <c r="B610" i="2" s="1"/>
  <c r="D610" i="2" l="1"/>
  <c r="C610" i="2"/>
  <c r="H610" i="2"/>
  <c r="F610" i="2"/>
  <c r="G610" i="2"/>
  <c r="E610" i="2"/>
  <c r="B611" i="2" a="1"/>
  <c r="B611" i="2" s="1"/>
  <c r="D611" i="2" l="1"/>
  <c r="C611" i="2"/>
  <c r="H611" i="2"/>
  <c r="G611" i="2"/>
  <c r="F611" i="2"/>
  <c r="E611" i="2"/>
  <c r="B612" i="2" a="1"/>
  <c r="B612" i="2" s="1"/>
  <c r="D612" i="2" l="1"/>
  <c r="F612" i="2"/>
  <c r="C612" i="2"/>
  <c r="H612" i="2"/>
  <c r="G612" i="2"/>
  <c r="E612" i="2"/>
  <c r="B613" i="2" a="1"/>
  <c r="B613" i="2" s="1"/>
  <c r="E613" i="2" l="1"/>
  <c r="D613" i="2"/>
  <c r="C613" i="2"/>
  <c r="H613" i="2"/>
  <c r="G613" i="2"/>
  <c r="F613" i="2"/>
  <c r="B614" i="2" a="1"/>
  <c r="B614" i="2" s="1"/>
  <c r="F614" i="2" l="1"/>
  <c r="C614" i="2"/>
  <c r="H614" i="2"/>
  <c r="D614" i="2"/>
  <c r="G614" i="2"/>
  <c r="E614" i="2"/>
  <c r="B615" i="2" a="1"/>
  <c r="B615" i="2" s="1"/>
  <c r="D615" i="2" l="1"/>
  <c r="H615" i="2"/>
  <c r="F615" i="2"/>
  <c r="G615" i="2"/>
  <c r="E615" i="2"/>
  <c r="C615" i="2"/>
  <c r="B616" i="2" a="1"/>
  <c r="B616" i="2" s="1"/>
  <c r="H616" i="2" l="1"/>
  <c r="G616" i="2"/>
  <c r="F616" i="2"/>
  <c r="E616" i="2"/>
  <c r="D616" i="2"/>
  <c r="C616" i="2"/>
  <c r="B617" i="2" a="1"/>
  <c r="B617" i="2" s="1"/>
  <c r="C617" i="2" l="1"/>
  <c r="H617" i="2"/>
  <c r="G617" i="2"/>
  <c r="F617" i="2"/>
  <c r="D617" i="2"/>
  <c r="E617" i="2"/>
  <c r="B618" i="2" a="1"/>
  <c r="B618" i="2" s="1"/>
  <c r="D618" i="2" l="1"/>
  <c r="H618" i="2"/>
  <c r="G618" i="2"/>
  <c r="F618" i="2"/>
  <c r="E618" i="2"/>
  <c r="C618" i="2"/>
  <c r="B619" i="2" a="1"/>
  <c r="B619" i="2" s="1"/>
  <c r="H619" i="2" l="1"/>
  <c r="G619" i="2"/>
  <c r="F619" i="2"/>
  <c r="E619" i="2"/>
  <c r="D619" i="2"/>
  <c r="C619" i="2"/>
  <c r="B620" i="2" a="1"/>
  <c r="B620" i="2" s="1"/>
  <c r="E620" i="2" l="1"/>
  <c r="G620" i="2"/>
  <c r="C620" i="2"/>
  <c r="H620" i="2"/>
  <c r="F620" i="2"/>
  <c r="D620" i="2"/>
  <c r="B621" i="2" a="1"/>
  <c r="B621" i="2" s="1"/>
  <c r="E621" i="2" l="1"/>
  <c r="C621" i="2"/>
  <c r="D621" i="2"/>
  <c r="H621" i="2"/>
  <c r="G621" i="2"/>
  <c r="F621" i="2"/>
  <c r="B622" i="2" a="1"/>
  <c r="B622" i="2" s="1"/>
  <c r="H622" i="2" l="1"/>
  <c r="D622" i="2"/>
  <c r="G622" i="2"/>
  <c r="F622" i="2"/>
  <c r="E622" i="2"/>
  <c r="C622" i="2"/>
  <c r="B623" i="2" a="1"/>
  <c r="B623" i="2" s="1"/>
  <c r="G623" i="2" l="1"/>
  <c r="H623" i="2"/>
  <c r="F623" i="2"/>
  <c r="E623" i="2"/>
  <c r="D623" i="2"/>
  <c r="C623" i="2"/>
  <c r="B624" i="2" a="1"/>
  <c r="B624" i="2" s="1"/>
  <c r="H624" i="2" l="1"/>
  <c r="C624" i="2"/>
  <c r="D624" i="2"/>
  <c r="G624" i="2"/>
  <c r="F624" i="2"/>
  <c r="E624" i="2"/>
  <c r="B625" i="2" a="1"/>
  <c r="B625" i="2" s="1"/>
  <c r="F625" i="2" l="1"/>
  <c r="H625" i="2"/>
  <c r="D625" i="2"/>
  <c r="G625" i="2"/>
  <c r="E625" i="2"/>
  <c r="C625" i="2"/>
  <c r="B626" i="2" a="1"/>
  <c r="B626" i="2" s="1"/>
  <c r="E626" i="2" l="1"/>
  <c r="D626" i="2"/>
  <c r="C626" i="2"/>
  <c r="H626" i="2"/>
  <c r="G626" i="2"/>
  <c r="F626" i="2"/>
  <c r="B627" i="2" a="1"/>
  <c r="B627" i="2" s="1"/>
  <c r="G627" i="2" l="1"/>
  <c r="D627" i="2"/>
  <c r="C627" i="2"/>
  <c r="H627" i="2"/>
  <c r="F627" i="2"/>
  <c r="E627" i="2"/>
  <c r="B628" i="2" a="1"/>
  <c r="B628" i="2" s="1"/>
  <c r="E628" i="2" l="1"/>
  <c r="H628" i="2"/>
  <c r="F628" i="2"/>
  <c r="G628" i="2"/>
  <c r="D628" i="2"/>
  <c r="C628" i="2"/>
  <c r="B629" i="2" a="1"/>
  <c r="B629" i="2" s="1"/>
  <c r="G629" i="2" l="1"/>
  <c r="H629" i="2"/>
  <c r="F629" i="2"/>
  <c r="E629" i="2"/>
  <c r="D629" i="2"/>
  <c r="C629" i="2"/>
  <c r="B630" i="2" a="1"/>
  <c r="B630" i="2" s="1"/>
  <c r="D630" i="2" l="1"/>
  <c r="F630" i="2"/>
  <c r="C630" i="2"/>
  <c r="H630" i="2"/>
  <c r="G630" i="2"/>
  <c r="E630" i="2"/>
  <c r="B631" i="2" a="1"/>
  <c r="B631" i="2" s="1"/>
  <c r="F631" i="2" l="1"/>
  <c r="E631" i="2"/>
  <c r="C631" i="2"/>
  <c r="H631" i="2"/>
  <c r="D631" i="2"/>
  <c r="G631" i="2"/>
  <c r="B632" i="2" a="1"/>
  <c r="B632" i="2" s="1"/>
  <c r="F632" i="2" l="1"/>
  <c r="C632" i="2"/>
  <c r="G632" i="2"/>
  <c r="E632" i="2"/>
  <c r="D632" i="2"/>
  <c r="H632" i="2"/>
  <c r="B633" i="2" a="1"/>
  <c r="B633" i="2" s="1"/>
  <c r="D633" i="2" l="1"/>
  <c r="H633" i="2"/>
  <c r="F633" i="2"/>
  <c r="G633" i="2"/>
  <c r="E633" i="2"/>
  <c r="C633" i="2"/>
  <c r="B634" i="2" a="1"/>
  <c r="B634" i="2" s="1"/>
  <c r="H634" i="2" l="1"/>
  <c r="C634" i="2"/>
  <c r="D634" i="2"/>
  <c r="G634" i="2"/>
  <c r="E634" i="2"/>
  <c r="F634" i="2"/>
  <c r="B635" i="2" a="1"/>
  <c r="B635" i="2" s="1"/>
  <c r="D635" i="2" l="1"/>
  <c r="E635" i="2"/>
  <c r="C635" i="2"/>
  <c r="H635" i="2"/>
  <c r="G635" i="2"/>
  <c r="F635" i="2"/>
  <c r="B636" i="2" a="1"/>
  <c r="B636" i="2" s="1"/>
  <c r="G636" i="2" l="1"/>
  <c r="D636" i="2"/>
  <c r="H636" i="2"/>
  <c r="C636" i="2"/>
  <c r="F636" i="2"/>
  <c r="E636" i="2"/>
  <c r="B637" i="2" a="1"/>
  <c r="B637" i="2" s="1"/>
  <c r="C637" i="2" l="1"/>
  <c r="H637" i="2"/>
  <c r="F637" i="2"/>
  <c r="D637" i="2"/>
  <c r="G637" i="2"/>
  <c r="E637" i="2"/>
  <c r="B638" i="2" a="1"/>
  <c r="B638" i="2" s="1"/>
  <c r="G638" i="2" l="1"/>
  <c r="E638" i="2"/>
  <c r="H638" i="2"/>
  <c r="F638" i="2"/>
  <c r="D638" i="2"/>
  <c r="C638" i="2"/>
  <c r="B639" i="2" a="1"/>
  <c r="B639" i="2" s="1"/>
  <c r="G639" i="2" l="1"/>
  <c r="E639" i="2"/>
  <c r="D639" i="2"/>
  <c r="F639" i="2"/>
  <c r="C639" i="2"/>
  <c r="H639" i="2"/>
  <c r="B640" i="2" a="1"/>
  <c r="B640" i="2" s="1"/>
  <c r="H640" i="2" l="1"/>
  <c r="D640" i="2"/>
  <c r="G640" i="2"/>
  <c r="F640" i="2"/>
  <c r="E640" i="2"/>
  <c r="C640" i="2"/>
  <c r="B641" i="2" a="1"/>
  <c r="B641" i="2" s="1"/>
  <c r="G641" i="2" l="1"/>
  <c r="C641" i="2"/>
  <c r="H641" i="2"/>
  <c r="F641" i="2"/>
  <c r="E641" i="2"/>
  <c r="D641" i="2"/>
  <c r="B642" i="2" a="1"/>
  <c r="B642" i="2" s="1"/>
  <c r="C642" i="2" l="1"/>
  <c r="D642" i="2"/>
  <c r="H642" i="2"/>
  <c r="F642" i="2"/>
  <c r="G642" i="2"/>
  <c r="E642" i="2"/>
  <c r="B643" i="2" a="1"/>
  <c r="B643" i="2" s="1"/>
  <c r="G643" i="2" l="1"/>
  <c r="H643" i="2"/>
  <c r="F643" i="2"/>
  <c r="D643" i="2"/>
  <c r="E643" i="2"/>
  <c r="C643" i="2"/>
  <c r="B644" i="2" a="1"/>
  <c r="B644" i="2" s="1"/>
  <c r="E644" i="2" l="1"/>
  <c r="C644" i="2"/>
  <c r="G644" i="2"/>
  <c r="F644" i="2"/>
  <c r="D644" i="2"/>
  <c r="H644" i="2"/>
  <c r="B645" i="2" a="1"/>
  <c r="B645" i="2" s="1"/>
  <c r="D645" i="2" l="1"/>
  <c r="C645" i="2"/>
  <c r="H645" i="2"/>
  <c r="G645" i="2"/>
  <c r="F645" i="2"/>
  <c r="E645" i="2"/>
  <c r="B646" i="2" a="1"/>
  <c r="B646" i="2" s="1"/>
  <c r="H646" i="2" l="1"/>
  <c r="F646" i="2"/>
  <c r="G646" i="2"/>
  <c r="E646" i="2"/>
  <c r="D646" i="2"/>
  <c r="C646" i="2"/>
  <c r="B647" i="2" a="1"/>
  <c r="B647" i="2" s="1"/>
  <c r="H647" i="2" l="1"/>
  <c r="G647" i="2"/>
  <c r="E647" i="2"/>
  <c r="C647" i="2"/>
  <c r="F647" i="2"/>
  <c r="D647" i="2"/>
  <c r="B648" i="2" a="1"/>
  <c r="B648" i="2" s="1"/>
  <c r="C648" i="2" l="1"/>
  <c r="H648" i="2"/>
  <c r="G648" i="2"/>
  <c r="E648" i="2"/>
  <c r="D648" i="2"/>
  <c r="F648" i="2"/>
  <c r="B649" i="2" a="1"/>
  <c r="B649" i="2" s="1"/>
  <c r="H649" i="2" l="1"/>
  <c r="D649" i="2"/>
  <c r="F649" i="2"/>
  <c r="E649" i="2"/>
  <c r="C649" i="2"/>
  <c r="G649" i="2"/>
  <c r="B650" i="2" a="1"/>
  <c r="B650" i="2" s="1"/>
  <c r="C650" i="2" l="1"/>
  <c r="G650" i="2"/>
  <c r="H650" i="2"/>
  <c r="F650" i="2"/>
  <c r="E650" i="2"/>
  <c r="D650" i="2"/>
  <c r="B651" i="2" a="1"/>
  <c r="B651" i="2" s="1"/>
  <c r="H651" i="2" l="1"/>
  <c r="F651" i="2"/>
  <c r="G651" i="2"/>
  <c r="E651" i="2"/>
  <c r="C651" i="2"/>
  <c r="D651" i="2"/>
  <c r="B652" i="2" a="1"/>
  <c r="B652" i="2" s="1"/>
  <c r="H652" i="2" l="1"/>
  <c r="F652" i="2"/>
  <c r="D652" i="2"/>
  <c r="G652" i="2"/>
  <c r="E652" i="2"/>
  <c r="C652" i="2"/>
  <c r="B653" i="2" a="1"/>
  <c r="B653" i="2" s="1"/>
  <c r="G653" i="2" l="1"/>
  <c r="E653" i="2"/>
  <c r="C653" i="2"/>
  <c r="H653" i="2"/>
  <c r="F653" i="2"/>
  <c r="D653" i="2"/>
  <c r="B654" i="2" a="1"/>
  <c r="B654" i="2" s="1"/>
  <c r="C654" i="2" l="1"/>
  <c r="F654" i="2"/>
  <c r="E654" i="2"/>
  <c r="D654" i="2"/>
  <c r="H654" i="2"/>
  <c r="G654" i="2"/>
  <c r="B655" i="2" a="1"/>
  <c r="B655" i="2" s="1"/>
  <c r="F655" i="2" l="1"/>
  <c r="D655" i="2"/>
  <c r="C655" i="2"/>
  <c r="H655" i="2"/>
  <c r="E655" i="2"/>
  <c r="G655" i="2"/>
  <c r="B656" i="2" a="1"/>
  <c r="B656" i="2" s="1"/>
  <c r="G656" i="2" l="1"/>
  <c r="E656" i="2"/>
  <c r="H656" i="2"/>
  <c r="F656" i="2"/>
  <c r="D656" i="2"/>
  <c r="C656" i="2"/>
  <c r="B657" i="2" a="1"/>
  <c r="B657" i="2" s="1"/>
  <c r="D657" i="2" l="1"/>
  <c r="F657" i="2"/>
  <c r="C657" i="2"/>
  <c r="H657" i="2"/>
  <c r="G657" i="2"/>
  <c r="E657" i="2"/>
  <c r="B658" i="2" a="1"/>
  <c r="B658" i="2" s="1"/>
  <c r="C658" i="2" l="1"/>
  <c r="H658" i="2"/>
  <c r="D658" i="2"/>
  <c r="G658" i="2"/>
  <c r="F658" i="2"/>
  <c r="E658" i="2"/>
  <c r="B659" i="2" a="1"/>
  <c r="B659" i="2" s="1"/>
  <c r="E659" i="2" l="1"/>
  <c r="D659" i="2"/>
  <c r="H659" i="2"/>
  <c r="G659" i="2"/>
  <c r="C659" i="2"/>
  <c r="F659" i="2"/>
  <c r="B660" i="2" a="1"/>
  <c r="B660" i="2" s="1"/>
  <c r="D660" i="2" l="1"/>
  <c r="H660" i="2"/>
  <c r="G660" i="2"/>
  <c r="F660" i="2"/>
  <c r="E660" i="2"/>
  <c r="C660" i="2"/>
  <c r="B661" i="2" a="1"/>
  <c r="B661" i="2" s="1"/>
  <c r="H661" i="2" l="1"/>
  <c r="F661" i="2"/>
  <c r="D661" i="2"/>
  <c r="G661" i="2"/>
  <c r="E661" i="2"/>
  <c r="C661" i="2"/>
  <c r="B662" i="2" a="1"/>
  <c r="B662" i="2" s="1"/>
  <c r="E662" i="2" l="1"/>
  <c r="D662" i="2"/>
  <c r="C662" i="2"/>
  <c r="F662" i="2"/>
  <c r="H662" i="2"/>
  <c r="G662" i="2"/>
  <c r="B663" i="2" a="1"/>
  <c r="B663" i="2" s="1"/>
  <c r="C663" i="2" l="1"/>
  <c r="H663" i="2"/>
  <c r="G663" i="2"/>
  <c r="F663" i="2"/>
  <c r="E663" i="2"/>
  <c r="D663" i="2"/>
  <c r="B664" i="2" a="1"/>
  <c r="B664" i="2" s="1"/>
  <c r="H664" i="2" l="1"/>
  <c r="E664" i="2"/>
  <c r="D664" i="2"/>
  <c r="F664" i="2"/>
  <c r="G664" i="2"/>
  <c r="C664" i="2"/>
  <c r="B665" i="2" a="1"/>
  <c r="B665" i="2" s="1"/>
  <c r="E665" i="2" l="1"/>
  <c r="C665" i="2"/>
  <c r="H665" i="2"/>
  <c r="G665" i="2"/>
  <c r="F665" i="2"/>
  <c r="D665" i="2"/>
  <c r="B666" i="2" a="1"/>
  <c r="B666" i="2" s="1"/>
  <c r="F666" i="2" l="1"/>
  <c r="C666" i="2"/>
  <c r="H666" i="2"/>
  <c r="G666" i="2"/>
  <c r="E666" i="2"/>
  <c r="D666" i="2"/>
  <c r="B667" i="2" a="1"/>
  <c r="B667" i="2" s="1"/>
  <c r="H667" i="2" l="1"/>
  <c r="D667" i="2"/>
  <c r="C667" i="2"/>
  <c r="G667" i="2"/>
  <c r="F667" i="2"/>
  <c r="E667" i="2"/>
  <c r="B668" i="2" a="1"/>
  <c r="B668" i="2" s="1"/>
  <c r="D668" i="2" l="1"/>
  <c r="C668" i="2"/>
  <c r="H668" i="2"/>
  <c r="G668" i="2"/>
  <c r="F668" i="2"/>
  <c r="E668" i="2"/>
  <c r="B669" i="2" a="1"/>
  <c r="B669" i="2" s="1"/>
  <c r="D669" i="2" l="1"/>
  <c r="H669" i="2"/>
  <c r="F669" i="2"/>
  <c r="G669" i="2"/>
  <c r="E669" i="2"/>
  <c r="C669" i="2"/>
  <c r="B670" i="2" a="1"/>
  <c r="B670" i="2" s="1"/>
  <c r="F670" i="2" l="1"/>
  <c r="E670" i="2"/>
  <c r="D670" i="2"/>
  <c r="G670" i="2"/>
  <c r="C670" i="2"/>
  <c r="H670" i="2"/>
  <c r="B671" i="2" a="1"/>
  <c r="B671" i="2" s="1"/>
  <c r="E671" i="2" l="1"/>
  <c r="G671" i="2"/>
  <c r="D671" i="2"/>
  <c r="C671" i="2"/>
  <c r="H671" i="2"/>
  <c r="F671" i="2"/>
  <c r="B672" i="2" a="1"/>
  <c r="B672" i="2" s="1"/>
  <c r="C672" i="2" l="1"/>
  <c r="G672" i="2"/>
  <c r="F672" i="2"/>
  <c r="E672" i="2"/>
  <c r="D672" i="2"/>
  <c r="H672" i="2"/>
  <c r="B673" i="2" a="1"/>
  <c r="B673" i="2" s="1"/>
  <c r="H673" i="2" l="1"/>
  <c r="D673" i="2"/>
  <c r="G673" i="2"/>
  <c r="F673" i="2"/>
  <c r="E673" i="2"/>
  <c r="C673" i="2"/>
  <c r="B674" i="2" a="1"/>
  <c r="B674" i="2" s="1"/>
  <c r="G674" i="2" l="1"/>
  <c r="E674" i="2"/>
  <c r="D674" i="2"/>
  <c r="C674" i="2"/>
  <c r="H674" i="2"/>
  <c r="F674" i="2"/>
  <c r="B675" i="2" a="1"/>
  <c r="B675" i="2" s="1"/>
  <c r="C675" i="2" l="1"/>
  <c r="D675" i="2"/>
  <c r="F675" i="2"/>
  <c r="E675" i="2"/>
  <c r="H675" i="2"/>
  <c r="G675" i="2"/>
  <c r="B676" i="2" a="1"/>
  <c r="B676" i="2" s="1"/>
  <c r="H676" i="2" l="1"/>
  <c r="F676" i="2"/>
  <c r="D676" i="2"/>
  <c r="G676" i="2"/>
  <c r="E676" i="2"/>
  <c r="C676" i="2"/>
  <c r="B677" i="2" a="1"/>
  <c r="B677" i="2" s="1"/>
  <c r="F677" i="2" l="1"/>
  <c r="E677" i="2"/>
  <c r="D677" i="2"/>
  <c r="G677" i="2"/>
  <c r="C677" i="2"/>
  <c r="H677" i="2"/>
  <c r="B678" i="2" a="1"/>
  <c r="B678" i="2" s="1"/>
  <c r="F678" i="2" l="1"/>
  <c r="E678" i="2"/>
  <c r="C678" i="2"/>
  <c r="H678" i="2"/>
  <c r="G678" i="2"/>
  <c r="D678" i="2"/>
  <c r="B679" i="2" a="1"/>
  <c r="B679" i="2" s="1"/>
  <c r="H679" i="2" l="1"/>
  <c r="G679" i="2"/>
  <c r="F679" i="2"/>
  <c r="D679" i="2"/>
  <c r="E679" i="2"/>
  <c r="C679" i="2"/>
  <c r="B680" i="2" a="1"/>
  <c r="B680" i="2" s="1"/>
  <c r="G680" i="2" l="1"/>
  <c r="E680" i="2"/>
  <c r="D680" i="2"/>
  <c r="C680" i="2"/>
  <c r="H680" i="2"/>
  <c r="F680" i="2"/>
  <c r="B681" i="2" a="1"/>
  <c r="B681" i="2" s="1"/>
  <c r="G681" i="2" l="1"/>
  <c r="E681" i="2"/>
  <c r="C681" i="2"/>
  <c r="H681" i="2"/>
  <c r="D681" i="2"/>
  <c r="F681" i="2"/>
  <c r="B682" i="2" a="1"/>
  <c r="B682" i="2" s="1"/>
  <c r="H682" i="2" l="1"/>
  <c r="F682" i="2"/>
  <c r="D682" i="2"/>
  <c r="E682" i="2"/>
  <c r="C682" i="2"/>
  <c r="G682" i="2"/>
  <c r="B683" i="2" a="1"/>
  <c r="B683" i="2" s="1"/>
  <c r="C683" i="2" l="1"/>
  <c r="G683" i="2"/>
  <c r="F683" i="2"/>
  <c r="E683" i="2"/>
  <c r="H683" i="2"/>
  <c r="D683" i="2"/>
  <c r="B684" i="2" a="1"/>
  <c r="B684" i="2" s="1"/>
  <c r="D684" i="2" l="1"/>
  <c r="H684" i="2"/>
  <c r="G684" i="2"/>
  <c r="F684" i="2"/>
  <c r="C684" i="2"/>
  <c r="E684" i="2"/>
  <c r="B685" i="2" a="1"/>
  <c r="B685" i="2" s="1"/>
  <c r="H685" i="2" l="1"/>
  <c r="F685" i="2"/>
  <c r="D685" i="2"/>
  <c r="C685" i="2"/>
  <c r="G685" i="2"/>
  <c r="E685" i="2"/>
  <c r="B686" i="2" a="1"/>
  <c r="B686" i="2" s="1"/>
  <c r="D686" i="2" l="1"/>
  <c r="C686" i="2"/>
  <c r="H686" i="2"/>
  <c r="G686" i="2"/>
  <c r="F686" i="2"/>
  <c r="E686" i="2"/>
  <c r="B687" i="2" a="1"/>
  <c r="B687" i="2" s="1"/>
  <c r="C687" i="2" l="1"/>
  <c r="G687" i="2"/>
  <c r="D687" i="2"/>
  <c r="H687" i="2"/>
  <c r="F687" i="2"/>
  <c r="E687" i="2"/>
  <c r="B688" i="2" a="1"/>
  <c r="B688" i="2" s="1"/>
  <c r="D688" i="2" l="1"/>
  <c r="G688" i="2"/>
  <c r="C688" i="2"/>
  <c r="H688" i="2"/>
  <c r="F688" i="2"/>
  <c r="E688" i="2"/>
  <c r="B689" i="2" a="1"/>
  <c r="B689" i="2" s="1"/>
  <c r="E689" i="2" l="1"/>
  <c r="C689" i="2"/>
  <c r="H689" i="2"/>
  <c r="G689" i="2"/>
  <c r="F689" i="2"/>
  <c r="D689" i="2"/>
  <c r="B690" i="2" a="1"/>
  <c r="B690" i="2" s="1"/>
  <c r="C690" i="2" l="1"/>
  <c r="G690" i="2"/>
  <c r="D690" i="2"/>
  <c r="H690" i="2"/>
  <c r="F690" i="2"/>
  <c r="E690" i="2"/>
  <c r="B691" i="2" a="1"/>
  <c r="B691" i="2" s="1"/>
  <c r="H691" i="2" l="1"/>
  <c r="D691" i="2"/>
  <c r="C691" i="2"/>
  <c r="G691" i="2"/>
  <c r="F691" i="2"/>
  <c r="E691" i="2"/>
  <c r="B692" i="2" a="1"/>
  <c r="B692" i="2" s="1"/>
  <c r="H692" i="2" l="1"/>
  <c r="G692" i="2"/>
  <c r="E692" i="2"/>
  <c r="C692" i="2"/>
  <c r="D692" i="2"/>
  <c r="F692" i="2"/>
  <c r="B693" i="2" a="1"/>
  <c r="B693" i="2" s="1"/>
  <c r="D693" i="2" l="1"/>
  <c r="H693" i="2"/>
  <c r="F693" i="2"/>
  <c r="E693" i="2"/>
  <c r="C693" i="2"/>
  <c r="G693" i="2"/>
  <c r="B694" i="2" a="1"/>
  <c r="B694" i="2" s="1"/>
  <c r="F694" i="2" l="1"/>
  <c r="E694" i="2"/>
  <c r="D694" i="2"/>
  <c r="G694" i="2"/>
  <c r="C694" i="2"/>
  <c r="H694" i="2"/>
  <c r="B695" i="2" a="1"/>
  <c r="B695" i="2" s="1"/>
  <c r="G695" i="2" l="1"/>
  <c r="E695" i="2"/>
  <c r="C695" i="2"/>
  <c r="H695" i="2"/>
  <c r="F695" i="2"/>
  <c r="D695" i="2"/>
  <c r="B696" i="2" a="1"/>
  <c r="B696" i="2" s="1"/>
  <c r="D696" i="2" l="1"/>
  <c r="C696" i="2"/>
  <c r="H696" i="2"/>
  <c r="G696" i="2"/>
  <c r="F696" i="2"/>
  <c r="E696" i="2"/>
  <c r="B697" i="2" a="1"/>
  <c r="B697" i="2" s="1"/>
  <c r="H697" i="2" l="1"/>
  <c r="G697" i="2"/>
  <c r="F697" i="2"/>
  <c r="D697" i="2"/>
  <c r="C697" i="2"/>
  <c r="E697" i="2"/>
  <c r="B698" i="2" a="1"/>
  <c r="B698" i="2" s="1"/>
  <c r="F698" i="2" l="1"/>
  <c r="G698" i="2"/>
  <c r="E698" i="2"/>
  <c r="D698" i="2"/>
  <c r="C698" i="2"/>
  <c r="H698" i="2"/>
  <c r="B699" i="2" a="1"/>
  <c r="B699" i="2" s="1"/>
  <c r="D699" i="2" l="1"/>
  <c r="F699" i="2"/>
  <c r="E699" i="2"/>
  <c r="C699" i="2"/>
  <c r="H699" i="2"/>
  <c r="G699" i="2"/>
  <c r="B700" i="2" a="1"/>
  <c r="B700" i="2" s="1"/>
  <c r="G700" i="2" l="1"/>
  <c r="F700" i="2"/>
  <c r="D700" i="2"/>
  <c r="E700" i="2"/>
  <c r="C700" i="2"/>
  <c r="H700" i="2"/>
  <c r="B701" i="2" a="1"/>
  <c r="B701" i="2" s="1"/>
  <c r="E701" i="2" l="1"/>
  <c r="H701" i="2"/>
  <c r="D701" i="2"/>
  <c r="C701" i="2"/>
  <c r="G701" i="2"/>
  <c r="F701" i="2"/>
  <c r="B702" i="2" a="1"/>
  <c r="B702" i="2" s="1"/>
  <c r="G702" i="2" l="1"/>
  <c r="F702" i="2"/>
  <c r="E702" i="2"/>
  <c r="C702" i="2"/>
  <c r="D702" i="2"/>
  <c r="H702" i="2"/>
  <c r="B703" i="2" a="1"/>
  <c r="B703" i="2" s="1"/>
  <c r="H703" i="2" l="1"/>
  <c r="F703" i="2"/>
  <c r="D703" i="2"/>
  <c r="C703" i="2"/>
  <c r="E703" i="2"/>
  <c r="G703" i="2"/>
  <c r="B704" i="2" a="1"/>
  <c r="B704" i="2" s="1"/>
  <c r="F704" i="2" l="1"/>
  <c r="C704" i="2"/>
  <c r="H704" i="2"/>
  <c r="G704" i="2"/>
  <c r="E704" i="2"/>
  <c r="D704" i="2"/>
  <c r="B705" i="2" a="1"/>
  <c r="B705" i="2" s="1"/>
  <c r="D705" i="2" l="1"/>
  <c r="H705" i="2"/>
  <c r="G705" i="2"/>
  <c r="F705" i="2"/>
  <c r="C705" i="2"/>
  <c r="E705" i="2"/>
  <c r="B706" i="2" a="1"/>
  <c r="B706" i="2" s="1"/>
  <c r="H706" i="2" l="1"/>
  <c r="G706" i="2"/>
  <c r="C706" i="2"/>
  <c r="F706" i="2"/>
  <c r="D706" i="2"/>
  <c r="E706" i="2"/>
  <c r="B707" i="2" a="1"/>
  <c r="B707" i="2" s="1"/>
  <c r="G707" i="2" l="1"/>
  <c r="F707" i="2"/>
  <c r="E707" i="2"/>
  <c r="D707" i="2"/>
  <c r="C707" i="2"/>
  <c r="H707" i="2"/>
  <c r="B708" i="2" a="1"/>
  <c r="B708" i="2" s="1"/>
  <c r="D708" i="2" l="1"/>
  <c r="H708" i="2"/>
  <c r="F708" i="2"/>
  <c r="C708" i="2"/>
  <c r="G708" i="2"/>
  <c r="E708" i="2"/>
  <c r="B709" i="2" a="1"/>
  <c r="B709" i="2" s="1"/>
  <c r="H709" i="2" l="1"/>
  <c r="D709" i="2"/>
  <c r="C709" i="2"/>
  <c r="G709" i="2"/>
  <c r="F709" i="2"/>
  <c r="E709" i="2"/>
  <c r="B710" i="2" a="1"/>
  <c r="B710" i="2" s="1"/>
  <c r="F710" i="2" l="1"/>
  <c r="E710" i="2"/>
  <c r="C710" i="2"/>
  <c r="H710" i="2"/>
  <c r="G710" i="2"/>
  <c r="D710" i="2"/>
  <c r="B711" i="2" a="1"/>
  <c r="B711" i="2" s="1"/>
  <c r="D711" i="2" l="1"/>
  <c r="H711" i="2"/>
  <c r="G711" i="2"/>
  <c r="F711" i="2"/>
  <c r="E711" i="2"/>
  <c r="C711" i="2"/>
  <c r="B712" i="2" a="1"/>
  <c r="B712" i="2" s="1"/>
  <c r="G712" i="2" l="1"/>
  <c r="H712" i="2"/>
  <c r="F712" i="2"/>
  <c r="E712" i="2"/>
  <c r="D712" i="2"/>
  <c r="C712" i="2"/>
  <c r="B713" i="2" a="1"/>
  <c r="B713" i="2" s="1"/>
  <c r="C713" i="2" l="1"/>
  <c r="F713" i="2"/>
  <c r="H713" i="2"/>
  <c r="G713" i="2"/>
  <c r="E713" i="2"/>
  <c r="D713" i="2"/>
  <c r="B714" i="2" a="1"/>
  <c r="B714" i="2" s="1"/>
  <c r="C714" i="2" l="1"/>
  <c r="D714" i="2"/>
  <c r="E714" i="2"/>
  <c r="H714" i="2"/>
  <c r="F714" i="2"/>
  <c r="G714" i="2"/>
  <c r="B715" i="2" a="1"/>
  <c r="B715" i="2" s="1"/>
  <c r="G715" i="2" l="1"/>
  <c r="F715" i="2"/>
  <c r="E715" i="2"/>
  <c r="D715" i="2"/>
  <c r="C715" i="2"/>
  <c r="H715" i="2"/>
  <c r="B716" i="2" a="1"/>
  <c r="B716" i="2" s="1"/>
  <c r="E716" i="2" l="1"/>
  <c r="D716" i="2"/>
  <c r="C716" i="2"/>
  <c r="G716" i="2"/>
  <c r="F716" i="2"/>
  <c r="H716" i="2"/>
  <c r="B717" i="2" a="1"/>
  <c r="B717" i="2" s="1"/>
  <c r="D717" i="2" l="1"/>
  <c r="F717" i="2"/>
  <c r="E717" i="2"/>
  <c r="C717" i="2"/>
  <c r="H717" i="2"/>
  <c r="G717" i="2"/>
  <c r="B718" i="2" a="1"/>
  <c r="B718" i="2" s="1"/>
  <c r="D718" i="2" l="1"/>
  <c r="F718" i="2"/>
  <c r="C718" i="2"/>
  <c r="E718" i="2"/>
  <c r="H718" i="2"/>
  <c r="G718" i="2"/>
  <c r="B719" i="2" a="1"/>
  <c r="B719" i="2" s="1"/>
  <c r="H719" i="2" l="1"/>
  <c r="G719" i="2"/>
  <c r="F719" i="2"/>
  <c r="E719" i="2"/>
  <c r="D719" i="2"/>
  <c r="C719" i="2"/>
  <c r="B720" i="2" a="1"/>
  <c r="B720" i="2" s="1"/>
  <c r="D720" i="2" l="1"/>
  <c r="H720" i="2"/>
  <c r="G720" i="2"/>
  <c r="F720" i="2"/>
  <c r="E720" i="2"/>
  <c r="C720" i="2"/>
  <c r="B721" i="2" a="1"/>
  <c r="B721" i="2" s="1"/>
  <c r="F721" i="2" l="1"/>
  <c r="E721" i="2"/>
  <c r="H721" i="2"/>
  <c r="D721" i="2"/>
  <c r="C721" i="2"/>
  <c r="G721" i="2"/>
  <c r="B722" i="2" a="1"/>
  <c r="B722" i="2" s="1"/>
  <c r="G722" i="2" l="1"/>
  <c r="F722" i="2"/>
  <c r="E722" i="2"/>
  <c r="D722" i="2"/>
  <c r="C722" i="2"/>
  <c r="H722" i="2"/>
  <c r="B723" i="2" a="1"/>
  <c r="B723" i="2" s="1"/>
  <c r="F723" i="2" l="1"/>
  <c r="G723" i="2"/>
  <c r="C723" i="2"/>
  <c r="E723" i="2"/>
  <c r="D723" i="2"/>
  <c r="H723" i="2"/>
  <c r="B724" i="2" a="1"/>
  <c r="B724" i="2" s="1"/>
  <c r="D724" i="2" l="1"/>
  <c r="C724" i="2"/>
  <c r="H724" i="2"/>
  <c r="G724" i="2"/>
  <c r="F724" i="2"/>
  <c r="E724" i="2"/>
  <c r="B725" i="2" a="1"/>
  <c r="B725" i="2" s="1"/>
  <c r="G725" i="2" l="1"/>
  <c r="F725" i="2"/>
  <c r="E725" i="2"/>
  <c r="D725" i="2"/>
  <c r="C725" i="2"/>
  <c r="H725" i="2"/>
  <c r="B726" i="2" a="1"/>
  <c r="B726" i="2" s="1"/>
  <c r="H726" i="2" l="1"/>
  <c r="D726" i="2"/>
  <c r="G726" i="2"/>
  <c r="F726" i="2"/>
  <c r="C726" i="2"/>
  <c r="E726" i="2"/>
  <c r="B727" i="2" a="1"/>
  <c r="B727" i="2" s="1"/>
  <c r="H727" i="2" l="1"/>
  <c r="D727" i="2"/>
  <c r="C727" i="2"/>
  <c r="G727" i="2"/>
  <c r="F727" i="2"/>
  <c r="E727" i="2"/>
  <c r="B728" i="2" a="1"/>
  <c r="B728" i="2" s="1"/>
  <c r="D728" i="2" l="1"/>
  <c r="G728" i="2"/>
  <c r="F728" i="2"/>
  <c r="C728" i="2"/>
  <c r="H728" i="2"/>
  <c r="E728" i="2"/>
  <c r="B729" i="2" a="1"/>
  <c r="B729" i="2" s="1"/>
  <c r="G729" i="2" l="1"/>
  <c r="F729" i="2"/>
  <c r="E729" i="2"/>
  <c r="C729" i="2"/>
  <c r="H729" i="2"/>
  <c r="D729" i="2"/>
  <c r="B730" i="2" a="1"/>
  <c r="B730" i="2" s="1"/>
  <c r="H730" i="2" l="1"/>
  <c r="F730" i="2"/>
  <c r="E730" i="2"/>
  <c r="D730" i="2"/>
  <c r="C730" i="2"/>
  <c r="G730" i="2"/>
  <c r="B731" i="2" a="1"/>
  <c r="B731" i="2" s="1"/>
  <c r="F731" i="2" l="1"/>
  <c r="H731" i="2"/>
  <c r="G731" i="2"/>
  <c r="E731" i="2"/>
  <c r="D731" i="2"/>
  <c r="C731" i="2"/>
  <c r="B732" i="2" a="1"/>
  <c r="B732" i="2" s="1"/>
  <c r="D732" i="2" l="1"/>
  <c r="C732" i="2"/>
  <c r="H732" i="2"/>
  <c r="G732" i="2"/>
  <c r="F732" i="2"/>
  <c r="E732" i="2"/>
  <c r="B733" i="2" a="1"/>
  <c r="B733" i="2" s="1"/>
  <c r="H733" i="2" l="1"/>
  <c r="G733" i="2"/>
  <c r="F733" i="2"/>
  <c r="E733" i="2"/>
  <c r="D733" i="2"/>
  <c r="C733" i="2"/>
  <c r="B734" i="2" a="1"/>
  <c r="B734" i="2" s="1"/>
  <c r="D734" i="2" l="1"/>
  <c r="C734" i="2"/>
  <c r="H734" i="2"/>
  <c r="G734" i="2"/>
  <c r="F734" i="2"/>
  <c r="E734" i="2"/>
  <c r="B735" i="2" a="1"/>
  <c r="B735" i="2" s="1"/>
  <c r="C735" i="2" l="1"/>
  <c r="H735" i="2"/>
  <c r="G735" i="2"/>
  <c r="D735" i="2"/>
  <c r="F735" i="2"/>
  <c r="E735" i="2"/>
  <c r="B736" i="2" a="1"/>
  <c r="B736" i="2" s="1"/>
  <c r="H736" i="2" l="1"/>
  <c r="G736" i="2"/>
  <c r="F736" i="2"/>
  <c r="D736" i="2"/>
  <c r="C736" i="2"/>
  <c r="E736" i="2"/>
  <c r="B737" i="2" a="1"/>
  <c r="B737" i="2" s="1"/>
  <c r="C737" i="2" l="1"/>
  <c r="H737" i="2"/>
  <c r="G737" i="2"/>
  <c r="F737" i="2"/>
  <c r="E737" i="2"/>
  <c r="D737" i="2"/>
  <c r="B738" i="2" a="1"/>
  <c r="B738" i="2" s="1"/>
  <c r="D738" i="2" l="1"/>
  <c r="H738" i="2"/>
  <c r="G738" i="2"/>
  <c r="F738" i="2"/>
  <c r="E738" i="2"/>
  <c r="C738" i="2"/>
  <c r="B739" i="2" a="1"/>
  <c r="B739" i="2" s="1"/>
  <c r="H739" i="2" l="1"/>
  <c r="F739" i="2"/>
  <c r="E739" i="2"/>
  <c r="D739" i="2"/>
  <c r="C739" i="2"/>
  <c r="G739" i="2"/>
  <c r="B740" i="2" a="1"/>
  <c r="B740" i="2" s="1"/>
  <c r="E740" i="2" l="1"/>
  <c r="D740" i="2"/>
  <c r="C740" i="2"/>
  <c r="H740" i="2"/>
  <c r="G740" i="2"/>
  <c r="F740" i="2"/>
  <c r="B741" i="2" a="1"/>
  <c r="B741" i="2" s="1"/>
  <c r="F741" i="2" l="1"/>
  <c r="C741" i="2"/>
  <c r="E741" i="2"/>
  <c r="D741" i="2"/>
  <c r="H741" i="2"/>
  <c r="G741" i="2"/>
  <c r="B742" i="2" a="1"/>
  <c r="B742" i="2" s="1"/>
  <c r="G742" i="2" l="1"/>
  <c r="H742" i="2"/>
  <c r="F742" i="2"/>
  <c r="E742" i="2"/>
  <c r="D742" i="2"/>
  <c r="C742" i="2"/>
  <c r="B743" i="2" a="1"/>
  <c r="B743" i="2" s="1"/>
  <c r="F743" i="2" l="1"/>
  <c r="C743" i="2"/>
  <c r="G743" i="2"/>
  <c r="E743" i="2"/>
  <c r="D743" i="2"/>
  <c r="H743" i="2"/>
  <c r="B744" i="2" a="1"/>
  <c r="B744" i="2" s="1"/>
  <c r="H744" i="2" l="1"/>
  <c r="F744" i="2"/>
  <c r="E744" i="2"/>
  <c r="C744" i="2"/>
  <c r="G744" i="2"/>
  <c r="D744" i="2"/>
  <c r="B745" i="2" a="1"/>
  <c r="B745" i="2" s="1"/>
  <c r="D745" i="2" l="1"/>
  <c r="H745" i="2"/>
  <c r="C745" i="2"/>
  <c r="G745" i="2"/>
  <c r="F745" i="2"/>
  <c r="E745" i="2"/>
  <c r="B746" i="2" a="1"/>
  <c r="B746" i="2" s="1"/>
  <c r="H746" i="2" l="1"/>
  <c r="G746" i="2"/>
  <c r="F746" i="2"/>
  <c r="E746" i="2"/>
  <c r="C746" i="2"/>
  <c r="D746" i="2"/>
  <c r="B747" i="2" a="1"/>
  <c r="B747" i="2" s="1"/>
  <c r="D747" i="2" l="1"/>
  <c r="H747" i="2"/>
  <c r="G747" i="2"/>
  <c r="F747" i="2"/>
  <c r="E747" i="2"/>
  <c r="C747" i="2"/>
  <c r="B748" i="2" a="1"/>
  <c r="B748" i="2" s="1"/>
  <c r="F748" i="2" l="1"/>
  <c r="E748" i="2"/>
  <c r="D748" i="2"/>
  <c r="C748" i="2"/>
  <c r="G748" i="2"/>
  <c r="H748" i="2"/>
  <c r="B749" i="2" a="1"/>
  <c r="B749" i="2" s="1"/>
  <c r="H749" i="2" l="1"/>
  <c r="G749" i="2"/>
  <c r="E749" i="2"/>
  <c r="D749" i="2"/>
  <c r="C749" i="2"/>
  <c r="F749" i="2"/>
  <c r="B750" i="2" a="1"/>
  <c r="B750" i="2" s="1"/>
  <c r="C750" i="2" l="1"/>
  <c r="H750" i="2"/>
  <c r="G750" i="2"/>
  <c r="F750" i="2"/>
  <c r="E750" i="2"/>
  <c r="D750" i="2"/>
  <c r="B751" i="2" a="1"/>
  <c r="B751" i="2" s="1"/>
  <c r="H751" i="2" l="1"/>
  <c r="G751" i="2"/>
  <c r="F751" i="2"/>
  <c r="E751" i="2"/>
  <c r="D751" i="2"/>
  <c r="C751" i="2"/>
  <c r="B752" i="2" a="1"/>
  <c r="B752" i="2" s="1"/>
  <c r="C752" i="2" l="1"/>
  <c r="H752" i="2"/>
  <c r="G752" i="2"/>
  <c r="E752" i="2"/>
  <c r="F752" i="2"/>
  <c r="D752" i="2"/>
  <c r="B753" i="2" a="1"/>
  <c r="B753" i="2" s="1"/>
  <c r="D753" i="2" l="1"/>
  <c r="F753" i="2"/>
  <c r="E753" i="2"/>
  <c r="C753" i="2"/>
  <c r="H753" i="2"/>
  <c r="G753" i="2"/>
  <c r="B754" i="2" a="1"/>
  <c r="B754" i="2" s="1"/>
  <c r="G754" i="2" l="1"/>
  <c r="F754" i="2"/>
  <c r="D754" i="2"/>
  <c r="C754" i="2"/>
  <c r="E754" i="2"/>
  <c r="H754" i="2"/>
  <c r="B755" i="2" a="1"/>
  <c r="B755" i="2" s="1"/>
  <c r="C755" i="2" l="1"/>
  <c r="H755" i="2"/>
  <c r="G755" i="2"/>
  <c r="F755" i="2"/>
  <c r="E755" i="2"/>
  <c r="D755" i="2"/>
  <c r="B756" i="2" a="1"/>
  <c r="B756" i="2" s="1"/>
  <c r="H756" i="2" l="1"/>
  <c r="G756" i="2"/>
  <c r="C756" i="2"/>
  <c r="D756" i="2"/>
  <c r="E756" i="2"/>
  <c r="F756" i="2"/>
  <c r="B757" i="2" a="1"/>
  <c r="B757" i="2" s="1"/>
  <c r="H757" i="2" l="1"/>
  <c r="F757" i="2"/>
  <c r="E757" i="2"/>
  <c r="D757" i="2"/>
  <c r="C757" i="2"/>
  <c r="G757" i="2"/>
  <c r="B758" i="2" a="1"/>
  <c r="B758" i="2" s="1"/>
  <c r="H758" i="2" l="1"/>
  <c r="G758" i="2"/>
  <c r="F758" i="2"/>
  <c r="E758" i="2"/>
  <c r="C758" i="2"/>
  <c r="D758" i="2"/>
  <c r="B759" i="2" a="1"/>
  <c r="B759" i="2" s="1"/>
  <c r="D759" i="2" l="1"/>
  <c r="H759" i="2"/>
  <c r="G759" i="2"/>
  <c r="F759" i="2"/>
  <c r="C759" i="2"/>
  <c r="E759" i="2"/>
  <c r="B760" i="2" a="1"/>
  <c r="B760" i="2" s="1"/>
  <c r="H760" i="2" l="1"/>
  <c r="G760" i="2"/>
  <c r="F760" i="2"/>
  <c r="E760" i="2"/>
  <c r="D760" i="2"/>
  <c r="C760" i="2"/>
  <c r="B761" i="2" a="1"/>
  <c r="B761" i="2" s="1"/>
  <c r="H761" i="2" l="1"/>
  <c r="G761" i="2"/>
  <c r="F761" i="2"/>
  <c r="E761" i="2"/>
  <c r="D761" i="2"/>
  <c r="C761" i="2"/>
  <c r="B762" i="2" a="1"/>
  <c r="B762" i="2" s="1"/>
  <c r="E762" i="2" l="1"/>
  <c r="C762" i="2"/>
  <c r="D762" i="2"/>
  <c r="H762" i="2"/>
  <c r="G762" i="2"/>
  <c r="F762" i="2"/>
  <c r="B763" i="2" a="1"/>
  <c r="B763" i="2" s="1"/>
  <c r="D763" i="2" l="1"/>
  <c r="C763" i="2"/>
  <c r="G763" i="2"/>
  <c r="F763" i="2"/>
  <c r="E763" i="2"/>
  <c r="H763" i="2"/>
  <c r="B764" i="2" a="1"/>
  <c r="B764" i="2" s="1"/>
  <c r="H764" i="2" l="1"/>
  <c r="G764" i="2"/>
  <c r="F764" i="2"/>
  <c r="E764" i="2"/>
  <c r="D764" i="2"/>
  <c r="C764" i="2"/>
  <c r="B765" i="2" a="1"/>
  <c r="B765" i="2" s="1"/>
  <c r="H765" i="2" l="1"/>
  <c r="G765" i="2"/>
  <c r="F765" i="2"/>
  <c r="E765" i="2"/>
  <c r="C765" i="2"/>
  <c r="D765" i="2"/>
  <c r="B766" i="2" a="1"/>
  <c r="B766" i="2" s="1"/>
  <c r="H766" i="2" l="1"/>
  <c r="F766" i="2"/>
  <c r="E766" i="2"/>
  <c r="D766" i="2"/>
  <c r="C766" i="2"/>
  <c r="G766" i="2"/>
  <c r="B767" i="2" a="1"/>
  <c r="B767" i="2" s="1"/>
  <c r="D767" i="2" l="1"/>
  <c r="C767" i="2"/>
  <c r="H767" i="2"/>
  <c r="G767" i="2"/>
  <c r="F767" i="2"/>
  <c r="E767" i="2"/>
  <c r="B768" i="2" a="1"/>
  <c r="B768" i="2" s="1"/>
  <c r="G768" i="2" l="1"/>
  <c r="F768" i="2"/>
  <c r="E768" i="2"/>
  <c r="D768" i="2"/>
  <c r="C768" i="2"/>
  <c r="H768" i="2"/>
  <c r="B769" i="2" a="1"/>
  <c r="B769" i="2" s="1"/>
  <c r="G769" i="2" l="1"/>
  <c r="F769" i="2"/>
  <c r="E769" i="2"/>
  <c r="D769" i="2"/>
  <c r="C769" i="2"/>
  <c r="H769" i="2"/>
  <c r="B770" i="2" a="1"/>
  <c r="B770" i="2" s="1"/>
  <c r="E770" i="2" l="1"/>
  <c r="D770" i="2"/>
  <c r="C770" i="2"/>
  <c r="H770" i="2"/>
  <c r="G770" i="2"/>
  <c r="F770" i="2"/>
  <c r="B771" i="2" a="1"/>
  <c r="B771" i="2" s="1"/>
  <c r="D771" i="2" l="1"/>
  <c r="F771" i="2"/>
  <c r="E771" i="2"/>
  <c r="C771" i="2"/>
  <c r="H771" i="2"/>
  <c r="G771" i="2"/>
  <c r="B772" i="2" a="1"/>
  <c r="B772" i="2" s="1"/>
  <c r="E772" i="2" l="1"/>
  <c r="D772" i="2"/>
  <c r="C772" i="2"/>
  <c r="H772" i="2"/>
  <c r="G772" i="2"/>
  <c r="F772" i="2"/>
  <c r="B773" i="2" a="1"/>
  <c r="B773" i="2" s="1"/>
  <c r="F773" i="2" l="1"/>
  <c r="C773" i="2"/>
  <c r="H773" i="2"/>
  <c r="G773" i="2"/>
  <c r="E773" i="2"/>
  <c r="D773" i="2"/>
  <c r="B774" i="2" a="1"/>
  <c r="B774" i="2" s="1"/>
  <c r="E774" i="2" l="1"/>
  <c r="C774" i="2"/>
  <c r="D774" i="2"/>
  <c r="H774" i="2"/>
  <c r="G774" i="2"/>
  <c r="F774" i="2"/>
  <c r="B775" i="2" a="1"/>
  <c r="B775" i="2" s="1"/>
  <c r="E775" i="2" l="1"/>
  <c r="D775" i="2"/>
  <c r="C775" i="2"/>
  <c r="H775" i="2"/>
  <c r="G775" i="2"/>
  <c r="F775" i="2"/>
  <c r="B776" i="2" a="1"/>
  <c r="B776" i="2" s="1"/>
  <c r="F776" i="2" l="1"/>
  <c r="E776" i="2"/>
  <c r="D776" i="2"/>
  <c r="C776" i="2"/>
  <c r="H776" i="2"/>
  <c r="G776" i="2"/>
  <c r="B777" i="2" a="1"/>
  <c r="B777" i="2" s="1"/>
  <c r="D777" i="2" l="1"/>
  <c r="H777" i="2"/>
  <c r="G777" i="2"/>
  <c r="F777" i="2"/>
  <c r="E777" i="2"/>
  <c r="C777" i="2"/>
  <c r="B778" i="2" a="1"/>
  <c r="B778" i="2" s="1"/>
  <c r="H778" i="2" l="1"/>
  <c r="G778" i="2"/>
  <c r="F778" i="2"/>
  <c r="E778" i="2"/>
  <c r="D778" i="2"/>
  <c r="C778" i="2"/>
  <c r="B779" i="2" a="1"/>
  <c r="B779" i="2" s="1"/>
  <c r="G779" i="2" l="1"/>
  <c r="F779" i="2"/>
  <c r="E779" i="2"/>
  <c r="D779" i="2"/>
  <c r="C779" i="2"/>
  <c r="H779" i="2"/>
  <c r="B780" i="2" a="1"/>
  <c r="B780" i="2" s="1"/>
  <c r="E780" i="2" l="1"/>
  <c r="C780" i="2"/>
  <c r="D780" i="2"/>
  <c r="H780" i="2"/>
  <c r="G780" i="2"/>
  <c r="F780" i="2"/>
  <c r="B781" i="2" a="1"/>
  <c r="B781" i="2" s="1"/>
  <c r="H781" i="2" l="1"/>
  <c r="D781" i="2"/>
  <c r="C781" i="2"/>
  <c r="G781" i="2"/>
  <c r="F781" i="2"/>
  <c r="E781" i="2"/>
  <c r="B782" i="2" a="1"/>
  <c r="B782" i="2" s="1"/>
  <c r="H782" i="2" l="1"/>
  <c r="G782" i="2"/>
  <c r="F782" i="2"/>
  <c r="E782" i="2"/>
  <c r="D782" i="2"/>
  <c r="C782" i="2"/>
  <c r="B783" i="2" a="1"/>
  <c r="B783" i="2" s="1"/>
  <c r="H783" i="2" l="1"/>
  <c r="G783" i="2"/>
  <c r="F783" i="2"/>
  <c r="E783" i="2"/>
  <c r="C783" i="2"/>
  <c r="D783" i="2"/>
  <c r="B784" i="2" a="1"/>
  <c r="B784" i="2" s="1"/>
  <c r="G784" i="2" l="1"/>
  <c r="H784" i="2"/>
  <c r="F784" i="2"/>
  <c r="E784" i="2"/>
  <c r="D784" i="2"/>
  <c r="C784" i="2"/>
  <c r="B785" i="2" a="1"/>
  <c r="B785" i="2" s="1"/>
  <c r="H785" i="2" l="1"/>
  <c r="G785" i="2"/>
  <c r="F785" i="2"/>
  <c r="E785" i="2"/>
  <c r="D785" i="2"/>
  <c r="C785" i="2"/>
  <c r="B786" i="2" a="1"/>
  <c r="B786" i="2" s="1"/>
  <c r="D786" i="2" l="1"/>
  <c r="C786" i="2"/>
  <c r="H786" i="2"/>
  <c r="G786" i="2"/>
  <c r="F786" i="2"/>
  <c r="E786" i="2"/>
  <c r="B787" i="2" a="1"/>
  <c r="B787" i="2" s="1"/>
  <c r="H787" i="2" l="1"/>
  <c r="G787" i="2"/>
  <c r="F787" i="2"/>
  <c r="E787" i="2"/>
  <c r="D787" i="2"/>
  <c r="C787" i="2"/>
  <c r="B788" i="2" a="1"/>
  <c r="B788" i="2" s="1"/>
  <c r="H788" i="2" l="1"/>
  <c r="G788" i="2"/>
  <c r="F788" i="2"/>
  <c r="E788" i="2"/>
  <c r="D788" i="2"/>
  <c r="C788" i="2"/>
  <c r="B789" i="2" a="1"/>
  <c r="B789" i="2" s="1"/>
  <c r="D789" i="2" l="1"/>
  <c r="F789" i="2"/>
  <c r="E789" i="2"/>
  <c r="C789" i="2"/>
  <c r="H789" i="2"/>
  <c r="G789" i="2"/>
  <c r="B790" i="2" a="1"/>
  <c r="B790" i="2" s="1"/>
  <c r="H790" i="2" l="1"/>
  <c r="G790" i="2"/>
  <c r="F790" i="2"/>
  <c r="E790" i="2"/>
  <c r="D790" i="2"/>
  <c r="C790" i="2"/>
  <c r="B791" i="2" a="1"/>
  <c r="B791" i="2" s="1"/>
  <c r="G791" i="2" l="1"/>
  <c r="F791" i="2"/>
  <c r="E791" i="2"/>
  <c r="C791" i="2"/>
  <c r="H791" i="2"/>
  <c r="D791" i="2"/>
  <c r="B792" i="2" a="1"/>
  <c r="B792" i="2" s="1"/>
  <c r="E792" i="2" l="1"/>
  <c r="C792" i="2"/>
  <c r="D792" i="2"/>
  <c r="H792" i="2"/>
  <c r="G792" i="2"/>
  <c r="F792" i="2"/>
  <c r="B793" i="2" a="1"/>
  <c r="B793" i="2" s="1"/>
  <c r="G793" i="2" l="1"/>
  <c r="E793" i="2"/>
  <c r="D793" i="2"/>
  <c r="C793" i="2"/>
  <c r="H793" i="2"/>
  <c r="F793" i="2"/>
  <c r="B794" i="2" a="1"/>
  <c r="B794" i="2" s="1"/>
  <c r="H794" i="2" l="1"/>
  <c r="G794" i="2"/>
  <c r="F794" i="2"/>
  <c r="E794" i="2"/>
  <c r="D794" i="2"/>
  <c r="C794" i="2"/>
  <c r="B795" i="2" a="1"/>
  <c r="B795" i="2" s="1"/>
  <c r="F795" i="2" l="1"/>
  <c r="E795" i="2"/>
  <c r="C795" i="2"/>
  <c r="D795" i="2"/>
  <c r="H795" i="2"/>
  <c r="G795" i="2"/>
  <c r="B796" i="2" a="1"/>
  <c r="B796" i="2" s="1"/>
  <c r="G796" i="2" l="1"/>
  <c r="F796" i="2"/>
  <c r="E796" i="2"/>
  <c r="D796" i="2"/>
  <c r="C796" i="2"/>
  <c r="H796" i="2"/>
  <c r="B797" i="2" a="1"/>
  <c r="B797" i="2" s="1"/>
  <c r="F797" i="2" l="1"/>
  <c r="D797" i="2"/>
  <c r="E797" i="2"/>
  <c r="C797" i="2"/>
  <c r="H797" i="2"/>
  <c r="G797" i="2"/>
  <c r="B798" i="2" a="1"/>
  <c r="B798" i="2" s="1"/>
  <c r="F798" i="2" l="1"/>
  <c r="E798" i="2"/>
  <c r="C798" i="2"/>
  <c r="D798" i="2"/>
  <c r="H798" i="2"/>
  <c r="G798" i="2"/>
  <c r="B799" i="2" a="1"/>
  <c r="B799" i="2" s="1"/>
  <c r="H799" i="2" l="1"/>
  <c r="D799" i="2"/>
  <c r="C799" i="2"/>
  <c r="G799" i="2"/>
  <c r="F799" i="2"/>
  <c r="E799" i="2"/>
  <c r="B800" i="2" a="1"/>
  <c r="B800" i="2" s="1"/>
  <c r="G800" i="2" l="1"/>
  <c r="E800" i="2"/>
  <c r="H800" i="2"/>
  <c r="F800" i="2"/>
  <c r="D800" i="2"/>
  <c r="C800" i="2"/>
  <c r="B801" i="2" a="1"/>
  <c r="B801" i="2" s="1"/>
  <c r="F801" i="2" l="1"/>
  <c r="E801" i="2"/>
  <c r="C801" i="2"/>
  <c r="D801" i="2"/>
  <c r="H801" i="2"/>
  <c r="G801" i="2"/>
  <c r="B802" i="2" a="1"/>
  <c r="B802" i="2" s="1"/>
  <c r="H802" i="2" l="1"/>
  <c r="F802" i="2"/>
  <c r="E802" i="2"/>
  <c r="D802" i="2"/>
  <c r="C802" i="2"/>
  <c r="G802" i="2"/>
  <c r="B803" i="2" a="1"/>
  <c r="B803" i="2" s="1"/>
  <c r="G803" i="2" l="1"/>
  <c r="D803" i="2"/>
  <c r="C803" i="2"/>
  <c r="F803" i="2"/>
  <c r="E803" i="2"/>
  <c r="H803" i="2"/>
  <c r="B804" i="2" a="1"/>
  <c r="B804" i="2" s="1"/>
  <c r="E804" i="2" l="1"/>
  <c r="D804" i="2"/>
  <c r="C804" i="2"/>
  <c r="H804" i="2"/>
  <c r="G804" i="2"/>
  <c r="F804" i="2"/>
  <c r="B805" i="2" a="1"/>
  <c r="B805" i="2" s="1"/>
  <c r="H805" i="2" l="1"/>
  <c r="E805" i="2"/>
  <c r="D805" i="2"/>
  <c r="C805" i="2"/>
  <c r="G805" i="2"/>
  <c r="F805" i="2"/>
  <c r="B806" i="2" a="1"/>
  <c r="B806" i="2" s="1"/>
  <c r="C806" i="2" l="1"/>
  <c r="H806" i="2"/>
  <c r="G806" i="2"/>
  <c r="F806" i="2"/>
  <c r="E806" i="2"/>
  <c r="D806" i="2"/>
  <c r="B807" i="2" a="1"/>
  <c r="B807" i="2" s="1"/>
  <c r="D807" i="2" l="1"/>
  <c r="F807" i="2"/>
  <c r="E807" i="2"/>
  <c r="C807" i="2"/>
  <c r="H807" i="2"/>
  <c r="G807" i="2"/>
  <c r="B808" i="2" a="1"/>
  <c r="B808" i="2" s="1"/>
  <c r="D808" i="2" l="1"/>
  <c r="C808" i="2"/>
  <c r="H808" i="2"/>
  <c r="G808" i="2"/>
  <c r="F808" i="2"/>
  <c r="E808" i="2"/>
  <c r="B809" i="2" a="1"/>
  <c r="B809" i="2" s="1"/>
  <c r="C809" i="2" l="1"/>
  <c r="H809" i="2"/>
  <c r="G809" i="2"/>
  <c r="F809" i="2"/>
  <c r="E809" i="2"/>
  <c r="D809" i="2"/>
  <c r="B810" i="2" a="1"/>
  <c r="B810" i="2" s="1"/>
  <c r="D810" i="2" l="1"/>
  <c r="H810" i="2"/>
  <c r="G810" i="2"/>
  <c r="F810" i="2"/>
  <c r="E810" i="2"/>
  <c r="C810" i="2"/>
  <c r="B811" i="2" a="1"/>
  <c r="B811" i="2" s="1"/>
  <c r="G811" i="2" l="1"/>
  <c r="F811" i="2"/>
  <c r="E811" i="2"/>
  <c r="D811" i="2"/>
  <c r="C811" i="2"/>
  <c r="H811" i="2"/>
  <c r="B812" i="2" a="1"/>
  <c r="B812" i="2" s="1"/>
  <c r="F812" i="2" l="1"/>
  <c r="E812" i="2"/>
  <c r="D812" i="2"/>
  <c r="C812" i="2"/>
  <c r="H812" i="2"/>
  <c r="G812" i="2"/>
  <c r="B813" i="2" a="1"/>
  <c r="B813" i="2" s="1"/>
  <c r="C813" i="2" l="1"/>
  <c r="D813" i="2"/>
  <c r="H813" i="2"/>
  <c r="G813" i="2"/>
  <c r="F813" i="2"/>
  <c r="E813" i="2"/>
  <c r="B814" i="2" a="1"/>
  <c r="B814" i="2" s="1"/>
  <c r="G814" i="2" l="1"/>
  <c r="F814" i="2"/>
  <c r="E814" i="2"/>
  <c r="H814" i="2"/>
  <c r="D814" i="2"/>
  <c r="C814" i="2"/>
  <c r="B815" i="2" a="1"/>
  <c r="B815" i="2" s="1"/>
  <c r="G815" i="2" l="1"/>
  <c r="H815" i="2"/>
  <c r="F815" i="2"/>
  <c r="E815" i="2"/>
  <c r="C815" i="2"/>
  <c r="D815" i="2"/>
  <c r="B816" i="2" a="1"/>
  <c r="B816" i="2" s="1"/>
  <c r="F816" i="2" l="1"/>
  <c r="E816" i="2"/>
  <c r="H816" i="2"/>
  <c r="G816" i="2"/>
  <c r="D816" i="2"/>
  <c r="C816" i="2"/>
  <c r="B817" i="2" a="1"/>
  <c r="B817" i="2" s="1"/>
  <c r="D817" i="2" l="1"/>
  <c r="H817" i="2"/>
  <c r="G817" i="2"/>
  <c r="C817" i="2"/>
  <c r="F817" i="2"/>
  <c r="E817" i="2"/>
  <c r="B818" i="2" a="1"/>
  <c r="B818" i="2" s="1"/>
  <c r="G818" i="2" l="1"/>
  <c r="H818" i="2"/>
  <c r="F818" i="2"/>
  <c r="E818" i="2"/>
  <c r="D818" i="2"/>
  <c r="C818" i="2"/>
  <c r="B819" i="2" a="1"/>
  <c r="B819" i="2" s="1"/>
  <c r="G819" i="2" l="1"/>
  <c r="D819" i="2"/>
  <c r="C819" i="2"/>
  <c r="H819" i="2"/>
  <c r="F819" i="2"/>
  <c r="E819" i="2"/>
  <c r="B820" i="2" a="1"/>
  <c r="B820" i="2" s="1"/>
  <c r="C820" i="2" l="1"/>
  <c r="H820" i="2"/>
  <c r="G820" i="2"/>
  <c r="F820" i="2"/>
  <c r="E820" i="2"/>
  <c r="D820" i="2"/>
  <c r="B821" i="2" a="1"/>
  <c r="B821" i="2" s="1"/>
  <c r="F821" i="2" l="1"/>
  <c r="E821" i="2"/>
  <c r="C821" i="2"/>
  <c r="G821" i="2"/>
  <c r="D821" i="2"/>
  <c r="H821" i="2"/>
  <c r="B822" i="2" a="1"/>
  <c r="B822" i="2" s="1"/>
  <c r="H822" i="2" l="1"/>
  <c r="G822" i="2"/>
  <c r="F822" i="2"/>
  <c r="E822" i="2"/>
  <c r="D822" i="2"/>
  <c r="C822" i="2"/>
  <c r="B823" i="2" a="1"/>
  <c r="B823" i="2" s="1"/>
  <c r="F823" i="2" l="1"/>
  <c r="E823" i="2"/>
  <c r="D823" i="2"/>
  <c r="C823" i="2"/>
  <c r="H823" i="2"/>
  <c r="G823" i="2"/>
  <c r="B824" i="2" a="1"/>
  <c r="B824" i="2" s="1"/>
  <c r="E824" i="2" l="1"/>
  <c r="D824" i="2"/>
  <c r="C824" i="2"/>
  <c r="G824" i="2"/>
  <c r="F824" i="2"/>
  <c r="H824" i="2"/>
  <c r="B825" i="2" a="1"/>
  <c r="B825" i="2" s="1"/>
  <c r="G825" i="2" l="1"/>
  <c r="F825" i="2"/>
  <c r="E825" i="2"/>
  <c r="D825" i="2"/>
  <c r="C825" i="2"/>
  <c r="H825" i="2"/>
  <c r="B826" i="2" a="1"/>
  <c r="B826" i="2" s="1"/>
  <c r="C826" i="2" l="1"/>
  <c r="D826" i="2"/>
  <c r="F826" i="2"/>
  <c r="E826" i="2"/>
  <c r="H826" i="2"/>
  <c r="G826" i="2"/>
  <c r="B827" i="2" a="1"/>
  <c r="B827" i="2" s="1"/>
  <c r="G827" i="2" l="1"/>
  <c r="H827" i="2"/>
  <c r="F827" i="2"/>
  <c r="E827" i="2"/>
  <c r="D827" i="2"/>
  <c r="C827" i="2"/>
  <c r="B828" i="2" a="1"/>
  <c r="B828" i="2" s="1"/>
  <c r="D828" i="2" l="1"/>
  <c r="C828" i="2"/>
  <c r="H828" i="2"/>
  <c r="G828" i="2"/>
  <c r="F828" i="2"/>
  <c r="E828" i="2"/>
  <c r="B829" i="2" a="1"/>
  <c r="B829" i="2" s="1"/>
  <c r="C829" i="2" l="1"/>
  <c r="F829" i="2"/>
  <c r="H829" i="2"/>
  <c r="G829" i="2"/>
  <c r="E829" i="2"/>
  <c r="D829" i="2"/>
  <c r="B830" i="2" a="1"/>
  <c r="B830" i="2" s="1"/>
  <c r="F830" i="2" l="1"/>
  <c r="G830" i="2"/>
  <c r="C830" i="2"/>
  <c r="H830" i="2"/>
  <c r="E830" i="2"/>
  <c r="D830" i="2"/>
  <c r="B831" i="2" a="1"/>
  <c r="B831" i="2" s="1"/>
  <c r="C831" i="2" l="1"/>
  <c r="G831" i="2"/>
  <c r="H831" i="2"/>
  <c r="F831" i="2"/>
  <c r="E831" i="2"/>
  <c r="D831" i="2"/>
  <c r="B832" i="2" a="1"/>
  <c r="B832" i="2" s="1"/>
  <c r="C832" i="2" l="1"/>
  <c r="H832" i="2"/>
  <c r="G832" i="2"/>
  <c r="F832" i="2"/>
  <c r="E832" i="2"/>
  <c r="D832" i="2"/>
  <c r="B833" i="2" a="1"/>
  <c r="B833" i="2" s="1"/>
  <c r="G833" i="2" l="1"/>
  <c r="D833" i="2"/>
  <c r="H833" i="2"/>
  <c r="F833" i="2"/>
  <c r="E833" i="2"/>
  <c r="C833" i="2"/>
  <c r="B834" i="2" a="1"/>
  <c r="B834" i="2" s="1"/>
  <c r="H834" i="2" l="1"/>
  <c r="E834" i="2"/>
  <c r="G834" i="2"/>
  <c r="F834" i="2"/>
  <c r="D834" i="2"/>
  <c r="C834" i="2"/>
  <c r="B835" i="2" a="1"/>
  <c r="B835" i="2" s="1"/>
  <c r="H835" i="2" l="1"/>
  <c r="C835" i="2"/>
  <c r="G835" i="2"/>
  <c r="F835" i="2"/>
  <c r="E835" i="2"/>
  <c r="D835" i="2"/>
  <c r="B836" i="2" a="1"/>
  <c r="B836" i="2" s="1"/>
  <c r="G836" i="2" l="1"/>
  <c r="F836" i="2"/>
  <c r="H836" i="2"/>
  <c r="E836" i="2"/>
  <c r="D836" i="2"/>
  <c r="C836" i="2"/>
  <c r="B837" i="2" a="1"/>
  <c r="B837" i="2" s="1"/>
  <c r="C837" i="2" l="1"/>
  <c r="G837" i="2"/>
  <c r="H837" i="2"/>
  <c r="F837" i="2"/>
  <c r="E837" i="2"/>
  <c r="D837" i="2"/>
  <c r="B838" i="2" a="1"/>
  <c r="B838" i="2" s="1"/>
  <c r="C838" i="2" l="1"/>
  <c r="D838" i="2"/>
  <c r="H838" i="2"/>
  <c r="G838" i="2"/>
  <c r="F838" i="2"/>
  <c r="E838" i="2"/>
  <c r="B839" i="2" a="1"/>
  <c r="B839" i="2" s="1"/>
  <c r="E839" i="2" l="1"/>
  <c r="C839" i="2"/>
  <c r="G839" i="2"/>
  <c r="D839" i="2"/>
  <c r="H839" i="2"/>
  <c r="F839" i="2"/>
  <c r="B840" i="2" a="1"/>
  <c r="B840" i="2" s="1"/>
  <c r="H840" i="2" l="1"/>
  <c r="G840" i="2"/>
  <c r="F840" i="2"/>
  <c r="E840" i="2"/>
  <c r="D840" i="2"/>
  <c r="C840" i="2"/>
  <c r="B841" i="2" a="1"/>
  <c r="B841" i="2" s="1"/>
  <c r="G841" i="2" l="1"/>
  <c r="E841" i="2"/>
  <c r="D841" i="2"/>
  <c r="C841" i="2"/>
  <c r="F841" i="2"/>
  <c r="H841" i="2"/>
  <c r="B842" i="2" a="1"/>
  <c r="B842" i="2" s="1"/>
  <c r="F842" i="2" l="1"/>
  <c r="C842" i="2"/>
  <c r="G842" i="2"/>
  <c r="H842" i="2"/>
  <c r="E842" i="2"/>
  <c r="D842" i="2"/>
  <c r="B843" i="2" a="1"/>
  <c r="B843" i="2" s="1"/>
  <c r="H843" i="2" l="1"/>
  <c r="G843" i="2"/>
  <c r="F843" i="2"/>
  <c r="E843" i="2"/>
  <c r="D843" i="2"/>
  <c r="C843" i="2"/>
  <c r="B844" i="2" a="1"/>
  <c r="B844" i="2" s="1"/>
  <c r="G844" i="2" l="1"/>
  <c r="F844" i="2"/>
  <c r="E844" i="2"/>
  <c r="C844" i="2"/>
  <c r="D844" i="2"/>
  <c r="H844" i="2"/>
  <c r="B845" i="2" a="1"/>
  <c r="B845" i="2" s="1"/>
  <c r="G845" i="2" l="1"/>
  <c r="H845" i="2"/>
  <c r="F845" i="2"/>
  <c r="E845" i="2"/>
  <c r="D845" i="2"/>
  <c r="C845" i="2"/>
  <c r="B846" i="2" a="1"/>
  <c r="B846" i="2" s="1"/>
  <c r="F846" i="2" l="1"/>
  <c r="E846" i="2"/>
  <c r="H846" i="2"/>
  <c r="G846" i="2"/>
  <c r="D846" i="2"/>
  <c r="C846" i="2"/>
  <c r="B847" i="2" a="1"/>
  <c r="B847" i="2" s="1"/>
  <c r="C847" i="2" l="1"/>
  <c r="F847" i="2"/>
  <c r="H847" i="2"/>
  <c r="G847" i="2"/>
  <c r="E847" i="2"/>
  <c r="D847" i="2"/>
  <c r="B848" i="2" a="1"/>
  <c r="B848" i="2" s="1"/>
  <c r="G848" i="2" l="1"/>
  <c r="H848" i="2"/>
  <c r="F848" i="2"/>
  <c r="E848" i="2"/>
  <c r="D848" i="2"/>
  <c r="C848" i="2"/>
  <c r="B849" i="2" a="1"/>
  <c r="B849" i="2" s="1"/>
  <c r="F849" i="2" l="1"/>
  <c r="E849" i="2"/>
  <c r="D849" i="2"/>
  <c r="C849" i="2"/>
  <c r="G849" i="2"/>
  <c r="H849" i="2"/>
  <c r="B850" i="2" a="1"/>
  <c r="B850" i="2" s="1"/>
  <c r="E850" i="2" l="1"/>
  <c r="D850" i="2"/>
  <c r="C850" i="2"/>
  <c r="H850" i="2"/>
  <c r="G850" i="2"/>
  <c r="F850" i="2"/>
  <c r="B851" i="2" a="1"/>
  <c r="B851" i="2" s="1"/>
  <c r="C851" i="2" l="1"/>
  <c r="G851" i="2"/>
  <c r="D851" i="2"/>
  <c r="H851" i="2"/>
  <c r="F851" i="2"/>
  <c r="E851" i="2"/>
  <c r="B852" i="2" a="1"/>
  <c r="B852" i="2" s="1"/>
  <c r="E852" i="2" l="1"/>
  <c r="H852" i="2"/>
  <c r="G852" i="2"/>
  <c r="F852" i="2"/>
  <c r="D852" i="2"/>
  <c r="C852" i="2"/>
  <c r="B853" i="2" a="1"/>
  <c r="B853" i="2" s="1"/>
  <c r="G853" i="2" l="1"/>
  <c r="D853" i="2"/>
  <c r="F853" i="2"/>
  <c r="E853" i="2"/>
  <c r="C853" i="2"/>
  <c r="H853" i="2"/>
  <c r="B854" i="2" a="1"/>
  <c r="B854" i="2" s="1"/>
  <c r="E854" i="2" l="1"/>
  <c r="D854" i="2"/>
  <c r="C854" i="2"/>
  <c r="G854" i="2"/>
  <c r="F854" i="2"/>
  <c r="H854" i="2"/>
  <c r="B855" i="2" a="1"/>
  <c r="B855" i="2" s="1"/>
  <c r="G855" i="2" l="1"/>
  <c r="D855" i="2"/>
  <c r="H855" i="2"/>
  <c r="F855" i="2"/>
  <c r="E855" i="2"/>
  <c r="C855" i="2"/>
  <c r="B856" i="2" a="1"/>
  <c r="B856" i="2" s="1"/>
  <c r="G856" i="2" l="1"/>
  <c r="F856" i="2"/>
  <c r="E856" i="2"/>
  <c r="C856" i="2"/>
  <c r="D856" i="2"/>
  <c r="H856" i="2"/>
  <c r="B857" i="2" a="1"/>
  <c r="B857" i="2" s="1"/>
  <c r="G857" i="2" l="1"/>
  <c r="D857" i="2"/>
  <c r="H857" i="2"/>
  <c r="F857" i="2"/>
  <c r="E857" i="2"/>
  <c r="C857" i="2"/>
  <c r="B858" i="2" a="1"/>
  <c r="B858" i="2" s="1"/>
  <c r="D858" i="2" l="1"/>
  <c r="C858" i="2"/>
  <c r="H858" i="2"/>
  <c r="G858" i="2"/>
  <c r="E858" i="2"/>
  <c r="F858" i="2"/>
  <c r="B859" i="2" a="1"/>
  <c r="B859" i="2" s="1"/>
  <c r="C859" i="2" l="1"/>
  <c r="F859" i="2"/>
  <c r="H859" i="2"/>
  <c r="G859" i="2"/>
  <c r="E859" i="2"/>
  <c r="D859" i="2"/>
  <c r="B860" i="2" a="1"/>
  <c r="B860" i="2" s="1"/>
  <c r="H860" i="2" l="1"/>
  <c r="E860" i="2"/>
  <c r="D860" i="2"/>
  <c r="G860" i="2"/>
  <c r="F860" i="2"/>
  <c r="C860" i="2"/>
  <c r="B861" i="2" a="1"/>
  <c r="B861" i="2" s="1"/>
  <c r="F861" i="2" l="1"/>
  <c r="H861" i="2"/>
  <c r="G861" i="2"/>
  <c r="C861" i="2"/>
  <c r="E861" i="2"/>
  <c r="D861" i="2"/>
  <c r="B862" i="2" a="1"/>
  <c r="B862" i="2" s="1"/>
  <c r="G862" i="2" l="1"/>
  <c r="F862" i="2"/>
  <c r="E862" i="2"/>
  <c r="C862" i="2"/>
  <c r="D862" i="2"/>
  <c r="H862" i="2"/>
  <c r="B863" i="2" a="1"/>
  <c r="B863" i="2" s="1"/>
  <c r="G863" i="2" l="1"/>
  <c r="E863" i="2"/>
  <c r="D863" i="2"/>
  <c r="H863" i="2"/>
  <c r="F863" i="2"/>
  <c r="C863" i="2"/>
  <c r="B864" i="2" a="1"/>
  <c r="B864" i="2" s="1"/>
  <c r="F864" i="2" l="1"/>
  <c r="E864" i="2"/>
  <c r="H864" i="2"/>
  <c r="G864" i="2"/>
  <c r="D864" i="2"/>
  <c r="C864" i="2"/>
  <c r="B865" i="2" a="1"/>
  <c r="B865" i="2" s="1"/>
  <c r="C865" i="2" l="1"/>
  <c r="F865" i="2"/>
  <c r="G865" i="2"/>
  <c r="E865" i="2"/>
  <c r="D865" i="2"/>
  <c r="H865" i="2"/>
  <c r="B866" i="2" a="1"/>
  <c r="B866" i="2" s="1"/>
  <c r="H866" i="2" l="1"/>
  <c r="G866" i="2"/>
  <c r="F866" i="2"/>
  <c r="E866" i="2"/>
  <c r="D866" i="2"/>
  <c r="C866" i="2"/>
  <c r="B867" i="2" a="1"/>
  <c r="B867" i="2" s="1"/>
  <c r="C867" i="2" l="1"/>
  <c r="G867" i="2"/>
  <c r="H867" i="2"/>
  <c r="F867" i="2"/>
  <c r="E867" i="2"/>
  <c r="D867" i="2"/>
  <c r="B868" i="2" a="1"/>
  <c r="B868" i="2" s="1"/>
  <c r="D868" i="2" l="1"/>
  <c r="F868" i="2"/>
  <c r="C868" i="2"/>
  <c r="H868" i="2"/>
  <c r="G868" i="2"/>
  <c r="E868" i="2"/>
  <c r="B869" i="2" a="1"/>
  <c r="B869" i="2" s="1"/>
  <c r="F869" i="2" l="1"/>
  <c r="E869" i="2"/>
  <c r="C869" i="2"/>
  <c r="G869" i="2"/>
  <c r="H869" i="2"/>
  <c r="D869" i="2"/>
  <c r="B870" i="2" a="1"/>
  <c r="B870" i="2" s="1"/>
  <c r="E870" i="2" l="1"/>
  <c r="D870" i="2"/>
  <c r="G870" i="2"/>
  <c r="H870" i="2"/>
  <c r="F870" i="2"/>
  <c r="C870" i="2"/>
  <c r="B871" i="2" a="1"/>
  <c r="B871" i="2" s="1"/>
  <c r="H871" i="2" l="1"/>
  <c r="E871" i="2"/>
  <c r="D871" i="2"/>
  <c r="C871" i="2"/>
  <c r="G871" i="2"/>
  <c r="F871" i="2"/>
  <c r="B872" i="2" a="1"/>
  <c r="B872" i="2" s="1"/>
  <c r="G872" i="2" l="1"/>
  <c r="H872" i="2"/>
  <c r="F872" i="2"/>
  <c r="D872" i="2"/>
  <c r="E872" i="2"/>
  <c r="C872" i="2"/>
  <c r="B873" i="2" a="1"/>
  <c r="B873" i="2" s="1"/>
  <c r="F873" i="2" l="1"/>
  <c r="G873" i="2"/>
  <c r="E873" i="2"/>
  <c r="D873" i="2"/>
  <c r="H873" i="2"/>
  <c r="C873" i="2"/>
  <c r="B874" i="2" a="1"/>
  <c r="B874" i="2" s="1"/>
  <c r="C874" i="2" l="1"/>
  <c r="H874" i="2"/>
  <c r="E874" i="2"/>
  <c r="D874" i="2"/>
  <c r="G874" i="2"/>
  <c r="F874" i="2"/>
  <c r="B875" i="2" a="1"/>
  <c r="B875" i="2" s="1"/>
  <c r="F875" i="2" l="1"/>
  <c r="G875" i="2"/>
  <c r="D875" i="2"/>
  <c r="C875" i="2"/>
  <c r="H875" i="2"/>
  <c r="E875" i="2"/>
  <c r="B876" i="2" a="1"/>
  <c r="B876" i="2" s="1"/>
  <c r="E876" i="2" l="1"/>
  <c r="C876" i="2"/>
  <c r="D876" i="2"/>
  <c r="H876" i="2"/>
  <c r="G876" i="2"/>
  <c r="F876" i="2"/>
  <c r="B877" i="2" a="1"/>
  <c r="B877" i="2" s="1"/>
  <c r="C877" i="2" l="1"/>
  <c r="G877" i="2"/>
  <c r="F877" i="2"/>
  <c r="D877" i="2"/>
  <c r="H877" i="2"/>
  <c r="E877" i="2"/>
  <c r="B878" i="2" a="1"/>
  <c r="B878" i="2" s="1"/>
  <c r="G878" i="2" l="1"/>
  <c r="H878" i="2"/>
  <c r="F878" i="2"/>
  <c r="E878" i="2"/>
  <c r="D878" i="2"/>
  <c r="C878" i="2"/>
  <c r="B879" i="2" a="1"/>
  <c r="B879" i="2" s="1"/>
  <c r="H879" i="2" l="1"/>
  <c r="G879" i="2"/>
  <c r="D879" i="2"/>
  <c r="C879" i="2"/>
  <c r="F879" i="2"/>
  <c r="E879" i="2"/>
  <c r="B880" i="2" a="1"/>
  <c r="B880" i="2" s="1"/>
  <c r="F880" i="2" l="1"/>
  <c r="G880" i="2"/>
  <c r="C880" i="2"/>
  <c r="D880" i="2"/>
  <c r="H880" i="2"/>
  <c r="E880" i="2"/>
  <c r="B881" i="2" a="1"/>
  <c r="B881" i="2" s="1"/>
  <c r="G881" i="2" l="1"/>
  <c r="H881" i="2"/>
  <c r="F881" i="2"/>
  <c r="E881" i="2"/>
  <c r="D881" i="2"/>
  <c r="C881" i="2"/>
  <c r="B882" i="2" a="1"/>
  <c r="B882" i="2" s="1"/>
  <c r="F882" i="2" l="1"/>
  <c r="E882" i="2"/>
  <c r="C882" i="2"/>
  <c r="G882" i="2"/>
  <c r="D882" i="2"/>
  <c r="H882" i="2"/>
  <c r="B883" i="2" a="1"/>
  <c r="B883" i="2" s="1"/>
  <c r="H883" i="2" l="1"/>
  <c r="C883" i="2"/>
  <c r="G883" i="2"/>
  <c r="F883" i="2"/>
  <c r="E883" i="2"/>
  <c r="D883" i="2"/>
  <c r="B884" i="2" a="1"/>
  <c r="B884" i="2" s="1"/>
  <c r="G884" i="2" l="1"/>
  <c r="H884" i="2"/>
  <c r="F884" i="2"/>
  <c r="C884" i="2"/>
  <c r="E884" i="2"/>
  <c r="D884" i="2"/>
  <c r="B885" i="2" a="1"/>
  <c r="B885" i="2" s="1"/>
  <c r="E885" i="2" l="1"/>
  <c r="F885" i="2"/>
  <c r="G885" i="2"/>
  <c r="D885" i="2"/>
  <c r="C885" i="2"/>
  <c r="H885" i="2"/>
  <c r="B886" i="2" a="1"/>
  <c r="B886" i="2" s="1"/>
  <c r="C886" i="2" l="1"/>
  <c r="H886" i="2"/>
  <c r="G886" i="2"/>
  <c r="F886" i="2"/>
  <c r="E886" i="2"/>
  <c r="D886" i="2"/>
  <c r="B887" i="2" a="1"/>
  <c r="B887" i="2" s="1"/>
  <c r="E887" i="2" l="1"/>
  <c r="D887" i="2"/>
  <c r="H887" i="2"/>
  <c r="F887" i="2"/>
  <c r="C887" i="2"/>
  <c r="G887" i="2"/>
  <c r="B888" i="2" a="1"/>
  <c r="B888" i="2" s="1"/>
  <c r="E888" i="2" l="1"/>
  <c r="F888" i="2"/>
  <c r="D888" i="2"/>
  <c r="C888" i="2"/>
  <c r="G888" i="2"/>
  <c r="H888" i="2"/>
  <c r="B889" i="2" a="1"/>
  <c r="B889" i="2" s="1"/>
  <c r="C889" i="2" l="1"/>
  <c r="H889" i="2"/>
  <c r="G889" i="2"/>
  <c r="F889" i="2"/>
  <c r="D889" i="2"/>
  <c r="E889" i="2"/>
  <c r="B890" i="2" a="1"/>
  <c r="B890" i="2" s="1"/>
  <c r="G890" i="2" l="1"/>
  <c r="C890" i="2"/>
  <c r="H890" i="2"/>
  <c r="F890" i="2"/>
  <c r="D890" i="2"/>
  <c r="E890" i="2"/>
  <c r="B891" i="2" a="1"/>
  <c r="B891" i="2" s="1"/>
  <c r="E891" i="2" l="1"/>
  <c r="G891" i="2"/>
  <c r="F891" i="2"/>
  <c r="D891" i="2"/>
  <c r="C891" i="2"/>
  <c r="H891" i="2"/>
  <c r="B892" i="2" a="1"/>
  <c r="B892" i="2" s="1"/>
  <c r="C892" i="2" l="1"/>
  <c r="H892" i="2"/>
  <c r="E892" i="2"/>
  <c r="D892" i="2"/>
  <c r="G892" i="2"/>
  <c r="F892" i="2"/>
  <c r="B893" i="2" a="1"/>
  <c r="B893" i="2" s="1"/>
  <c r="H893" i="2" l="1"/>
  <c r="G893" i="2"/>
  <c r="E893" i="2"/>
  <c r="D893" i="2"/>
  <c r="C893" i="2"/>
  <c r="F893" i="2"/>
  <c r="B894" i="2" a="1"/>
  <c r="B894" i="2" s="1"/>
  <c r="H894" i="2" l="1"/>
  <c r="C894" i="2"/>
  <c r="G894" i="2"/>
  <c r="F894" i="2"/>
  <c r="D894" i="2"/>
  <c r="E894" i="2"/>
  <c r="B895" i="2" a="1"/>
  <c r="B895" i="2" s="1"/>
  <c r="C895" i="2" l="1"/>
  <c r="G895" i="2"/>
  <c r="F895" i="2"/>
  <c r="D895" i="2"/>
  <c r="H895" i="2"/>
  <c r="E895" i="2"/>
  <c r="B896" i="2" a="1"/>
  <c r="B896" i="2" s="1"/>
  <c r="G896" i="2" l="1"/>
  <c r="H896" i="2"/>
  <c r="F896" i="2"/>
  <c r="E896" i="2"/>
  <c r="D896" i="2"/>
  <c r="C896" i="2"/>
  <c r="B897" i="2" a="1"/>
  <c r="B897" i="2" s="1"/>
  <c r="G897" i="2" l="1"/>
  <c r="C897" i="2"/>
  <c r="F897" i="2"/>
  <c r="E897" i="2"/>
  <c r="H897" i="2"/>
  <c r="D897" i="2"/>
  <c r="B898" i="2" a="1"/>
  <c r="B898" i="2" s="1"/>
  <c r="C898" i="2" l="1"/>
  <c r="E898" i="2"/>
  <c r="D898" i="2"/>
  <c r="H898" i="2"/>
  <c r="G898" i="2"/>
  <c r="F898" i="2"/>
  <c r="B899" i="2" a="1"/>
  <c r="B899" i="2" s="1"/>
  <c r="G899" i="2" l="1"/>
  <c r="H899" i="2"/>
  <c r="F899" i="2"/>
  <c r="E899" i="2"/>
  <c r="D899" i="2"/>
  <c r="C899" i="2"/>
  <c r="B900" i="2" a="1"/>
  <c r="B900" i="2" s="1"/>
  <c r="D900" i="2" l="1"/>
  <c r="C900" i="2"/>
  <c r="H900" i="2"/>
  <c r="G900" i="2"/>
  <c r="F900" i="2"/>
  <c r="E900" i="2"/>
  <c r="B901" i="2" a="1"/>
  <c r="B901" i="2" s="1"/>
  <c r="C901" i="2" l="1"/>
  <c r="G901" i="2"/>
  <c r="F901" i="2"/>
  <c r="E901" i="2"/>
  <c r="D901" i="2"/>
  <c r="H901" i="2"/>
  <c r="B902" i="2" a="1"/>
  <c r="B902" i="2" s="1"/>
  <c r="G902" i="2" l="1"/>
  <c r="H902" i="2"/>
  <c r="F902" i="2"/>
  <c r="D902" i="2"/>
  <c r="C902" i="2"/>
  <c r="E902" i="2"/>
  <c r="B903" i="2" a="1"/>
  <c r="B903" i="2" s="1"/>
  <c r="D903" i="2" l="1"/>
  <c r="C903" i="2"/>
  <c r="H903" i="2"/>
  <c r="G903" i="2"/>
  <c r="F903" i="2"/>
  <c r="E903" i="2"/>
  <c r="B904" i="2" a="1"/>
  <c r="B904" i="2" s="1"/>
  <c r="D904" i="2" l="1"/>
  <c r="C904" i="2"/>
  <c r="H904" i="2"/>
  <c r="G904" i="2"/>
  <c r="F904" i="2"/>
  <c r="E904" i="2"/>
  <c r="B905" i="2" a="1"/>
  <c r="B905" i="2" s="1"/>
  <c r="G905" i="2" l="1"/>
  <c r="H905" i="2"/>
  <c r="F905" i="2"/>
  <c r="E905" i="2"/>
  <c r="D905" i="2"/>
  <c r="C905" i="2"/>
  <c r="B906" i="2" a="1"/>
  <c r="B906" i="2" s="1"/>
  <c r="F906" i="2" l="1"/>
  <c r="E906" i="2"/>
  <c r="D906" i="2"/>
  <c r="C906" i="2"/>
  <c r="H906" i="2"/>
  <c r="G906" i="2"/>
  <c r="B907" i="2" a="1"/>
  <c r="B907" i="2" s="1"/>
  <c r="C907" i="2" l="1"/>
  <c r="H907" i="2"/>
  <c r="G907" i="2"/>
  <c r="F907" i="2"/>
  <c r="E907" i="2"/>
  <c r="D907" i="2"/>
  <c r="B908" i="2" a="1"/>
  <c r="B908" i="2" s="1"/>
  <c r="H908" i="2" l="1"/>
  <c r="F908" i="2"/>
  <c r="E908" i="2"/>
  <c r="G908" i="2"/>
  <c r="C908" i="2"/>
  <c r="D908" i="2"/>
  <c r="B909" i="2" a="1"/>
  <c r="B909" i="2" s="1"/>
  <c r="H909" i="2" l="1"/>
  <c r="G909" i="2"/>
  <c r="F909" i="2"/>
  <c r="E909" i="2"/>
  <c r="D909" i="2"/>
  <c r="C909" i="2"/>
  <c r="B910" i="2" a="1"/>
  <c r="B910" i="2" s="1"/>
  <c r="C910" i="2" l="1"/>
  <c r="H910" i="2"/>
  <c r="G910" i="2"/>
  <c r="F910" i="2"/>
  <c r="E910" i="2"/>
  <c r="D910" i="2"/>
  <c r="B911" i="2" a="1"/>
  <c r="B911" i="2" s="1"/>
  <c r="G911" i="2" l="1"/>
  <c r="E911" i="2"/>
  <c r="D911" i="2"/>
  <c r="C911" i="2"/>
  <c r="H911" i="2"/>
  <c r="F911" i="2"/>
  <c r="B912" i="2" a="1"/>
  <c r="B912" i="2" s="1"/>
  <c r="H912" i="2" l="1"/>
  <c r="G912" i="2"/>
  <c r="F912" i="2"/>
  <c r="E912" i="2"/>
  <c r="D912" i="2"/>
  <c r="C912" i="2"/>
  <c r="B913" i="2" a="1"/>
  <c r="B913" i="2" s="1"/>
  <c r="F913" i="2" l="1"/>
  <c r="E913" i="2"/>
  <c r="D913" i="2"/>
  <c r="C913" i="2"/>
  <c r="G913" i="2"/>
  <c r="H913" i="2"/>
  <c r="B914" i="2" a="1"/>
  <c r="B914" i="2" s="1"/>
  <c r="H914" i="2" l="1"/>
  <c r="G914" i="2"/>
  <c r="C914" i="2"/>
  <c r="F914" i="2"/>
  <c r="E914" i="2"/>
  <c r="D914" i="2"/>
  <c r="B915" i="2" a="1"/>
  <c r="B915" i="2" s="1"/>
  <c r="G915" i="2" l="1"/>
  <c r="F915" i="2"/>
  <c r="E915" i="2"/>
  <c r="D915" i="2"/>
  <c r="C915" i="2"/>
  <c r="H915" i="2"/>
  <c r="B916" i="2" a="1"/>
  <c r="B916" i="2" s="1"/>
  <c r="E916" i="2" l="1"/>
  <c r="D916" i="2"/>
  <c r="H916" i="2"/>
  <c r="G916" i="2"/>
  <c r="F916" i="2"/>
  <c r="C916" i="2"/>
  <c r="B917" i="2" a="1"/>
  <c r="B917" i="2" s="1"/>
  <c r="E917" i="2" l="1"/>
  <c r="D917" i="2"/>
  <c r="C917" i="2"/>
  <c r="G917" i="2"/>
  <c r="H917" i="2"/>
  <c r="F917" i="2"/>
  <c r="B918" i="2" a="1"/>
  <c r="B918" i="2" s="1"/>
  <c r="H918" i="2" l="1"/>
  <c r="E918" i="2"/>
  <c r="D918" i="2"/>
  <c r="C918" i="2"/>
  <c r="G918" i="2"/>
  <c r="F918" i="2"/>
  <c r="B919" i="2" a="1"/>
  <c r="B919" i="2" s="1"/>
  <c r="G919" i="2" l="1"/>
  <c r="D919" i="2"/>
  <c r="H919" i="2"/>
  <c r="F919" i="2"/>
  <c r="E919" i="2"/>
  <c r="C919" i="2"/>
  <c r="B920" i="2" a="1"/>
  <c r="B920" i="2" s="1"/>
  <c r="H920" i="2" l="1"/>
  <c r="G920" i="2"/>
  <c r="F920" i="2"/>
  <c r="E920" i="2"/>
  <c r="D920" i="2"/>
  <c r="C920" i="2"/>
  <c r="B921" i="2" a="1"/>
  <c r="B921" i="2" s="1"/>
  <c r="C921" i="2" l="1"/>
  <c r="G921" i="2"/>
  <c r="F921" i="2"/>
  <c r="E921" i="2"/>
  <c r="D921" i="2"/>
  <c r="H921" i="2"/>
  <c r="B922" i="2" a="1"/>
  <c r="B922" i="2" s="1"/>
  <c r="G922" i="2" l="1"/>
  <c r="F922" i="2"/>
  <c r="H922" i="2"/>
  <c r="E922" i="2"/>
  <c r="D922" i="2"/>
  <c r="C922" i="2"/>
  <c r="B923" i="2" a="1"/>
  <c r="B923" i="2" s="1"/>
  <c r="H923" i="2" l="1"/>
  <c r="G923" i="2"/>
  <c r="F923" i="2"/>
  <c r="E923" i="2"/>
  <c r="D923" i="2"/>
  <c r="C923" i="2"/>
  <c r="B924" i="2" a="1"/>
  <c r="B924" i="2" s="1"/>
  <c r="G924" i="2" l="1"/>
  <c r="F924" i="2"/>
  <c r="E924" i="2"/>
  <c r="C924" i="2"/>
  <c r="D924" i="2"/>
  <c r="H924" i="2"/>
  <c r="B925" i="2" a="1"/>
  <c r="B925" i="2" s="1"/>
  <c r="G925" i="2" l="1"/>
  <c r="C925" i="2"/>
  <c r="H925" i="2"/>
  <c r="F925" i="2"/>
  <c r="E925" i="2"/>
  <c r="D925" i="2"/>
  <c r="B926" i="2" a="1"/>
  <c r="B926" i="2" s="1"/>
  <c r="G926" i="2" l="1"/>
  <c r="H926" i="2"/>
  <c r="C926" i="2"/>
  <c r="F926" i="2"/>
  <c r="E926" i="2"/>
  <c r="D926" i="2"/>
  <c r="B927" i="2" a="1"/>
  <c r="B927" i="2" s="1"/>
  <c r="C927" i="2" l="1"/>
  <c r="F927" i="2"/>
  <c r="H927" i="2"/>
  <c r="G927" i="2"/>
  <c r="E927" i="2"/>
  <c r="D927" i="2"/>
  <c r="B928" i="2" a="1"/>
  <c r="B928" i="2" s="1"/>
  <c r="H928" i="2" l="1"/>
  <c r="G928" i="2"/>
  <c r="F928" i="2"/>
  <c r="E928" i="2"/>
  <c r="D928" i="2"/>
  <c r="C928" i="2"/>
  <c r="B929" i="2" a="1"/>
  <c r="B929" i="2" s="1"/>
  <c r="C929" i="2" l="1"/>
  <c r="H929" i="2"/>
  <c r="G929" i="2"/>
  <c r="F929" i="2"/>
  <c r="E929" i="2"/>
  <c r="D929" i="2"/>
  <c r="B930" i="2" a="1"/>
  <c r="B930" i="2" s="1"/>
  <c r="C930" i="2" l="1"/>
  <c r="H930" i="2"/>
  <c r="F930" i="2"/>
  <c r="E930" i="2"/>
  <c r="D930" i="2"/>
  <c r="G930" i="2"/>
  <c r="B931" i="2" a="1"/>
  <c r="B931" i="2" s="1"/>
  <c r="D931" i="2" l="1"/>
  <c r="C931" i="2"/>
  <c r="G931" i="2"/>
  <c r="F931" i="2"/>
  <c r="H931" i="2"/>
  <c r="E931" i="2"/>
  <c r="B932" i="2" a="1"/>
  <c r="B932" i="2" s="1"/>
  <c r="D932" i="2" l="1"/>
  <c r="H932" i="2"/>
  <c r="G932" i="2"/>
  <c r="F932" i="2"/>
  <c r="E932" i="2"/>
  <c r="C932" i="2"/>
  <c r="B933" i="2" a="1"/>
  <c r="B933" i="2" s="1"/>
  <c r="H933" i="2" l="1"/>
  <c r="F933" i="2"/>
  <c r="C933" i="2"/>
  <c r="G933" i="2"/>
  <c r="E933" i="2"/>
  <c r="D933" i="2"/>
  <c r="B934" i="2" a="1"/>
  <c r="B934" i="2" s="1"/>
  <c r="C934" i="2" l="1"/>
  <c r="F934" i="2"/>
  <c r="E934" i="2"/>
  <c r="D934" i="2"/>
  <c r="G934" i="2"/>
  <c r="H934" i="2"/>
  <c r="B935" i="2" a="1"/>
  <c r="B935" i="2" s="1"/>
  <c r="G935" i="2" l="1"/>
  <c r="E935" i="2"/>
  <c r="D935" i="2"/>
  <c r="H935" i="2"/>
  <c r="F935" i="2"/>
  <c r="C935" i="2"/>
  <c r="B936" i="2" a="1"/>
  <c r="B936" i="2" s="1"/>
  <c r="H936" i="2" l="1"/>
  <c r="C936" i="2"/>
  <c r="G936" i="2"/>
  <c r="F936" i="2"/>
  <c r="E936" i="2"/>
  <c r="D936" i="2"/>
  <c r="B937" i="2" a="1"/>
  <c r="B937" i="2" s="1"/>
  <c r="C937" i="2" l="1"/>
  <c r="G937" i="2"/>
  <c r="D937" i="2"/>
  <c r="H937" i="2"/>
  <c r="F937" i="2"/>
  <c r="E937" i="2"/>
  <c r="B938" i="2" a="1"/>
  <c r="B938" i="2" s="1"/>
  <c r="H938" i="2" l="1"/>
  <c r="G938" i="2"/>
  <c r="F938" i="2"/>
  <c r="E938" i="2"/>
  <c r="D938" i="2"/>
  <c r="C938" i="2"/>
  <c r="B939" i="2" a="1"/>
  <c r="B939" i="2" s="1"/>
  <c r="H939" i="2" l="1"/>
  <c r="G939" i="2"/>
  <c r="C939" i="2"/>
  <c r="F939" i="2"/>
  <c r="E939" i="2"/>
  <c r="D939" i="2"/>
  <c r="B940" i="2" a="1"/>
  <c r="B940" i="2" s="1"/>
  <c r="E940" i="2" l="1"/>
  <c r="D940" i="2"/>
  <c r="C940" i="2"/>
  <c r="G940" i="2"/>
  <c r="F940" i="2"/>
  <c r="H940" i="2"/>
  <c r="B941" i="2" a="1"/>
  <c r="B941" i="2" s="1"/>
  <c r="G941" i="2" l="1"/>
  <c r="F941" i="2"/>
  <c r="E941" i="2"/>
  <c r="D941" i="2"/>
  <c r="C941" i="2"/>
  <c r="H941" i="2"/>
  <c r="B942" i="2" a="1"/>
  <c r="B942" i="2" s="1"/>
  <c r="G942" i="2" l="1"/>
  <c r="F942" i="2"/>
  <c r="E942" i="2"/>
  <c r="C942" i="2"/>
  <c r="D942" i="2"/>
  <c r="H942" i="2"/>
  <c r="B943" i="2" a="1"/>
  <c r="B943" i="2" s="1"/>
  <c r="C943" i="2" l="1"/>
  <c r="H943" i="2"/>
  <c r="F943" i="2"/>
  <c r="E943" i="2"/>
  <c r="D943" i="2"/>
  <c r="G943" i="2"/>
  <c r="B944" i="2" a="1"/>
  <c r="B944" i="2" s="1"/>
  <c r="G944" i="2" l="1"/>
  <c r="H944" i="2"/>
  <c r="F944" i="2"/>
  <c r="E944" i="2"/>
  <c r="D944" i="2"/>
  <c r="C944" i="2"/>
  <c r="B945" i="2" a="1"/>
  <c r="B945" i="2" s="1"/>
  <c r="F945" i="2" l="1"/>
  <c r="H945" i="2"/>
  <c r="G945" i="2"/>
  <c r="E945" i="2"/>
  <c r="D945" i="2"/>
  <c r="C945" i="2"/>
  <c r="B946" i="2" a="1"/>
  <c r="B946" i="2" s="1"/>
  <c r="F946" i="2" l="1"/>
  <c r="E946" i="2"/>
  <c r="C946" i="2"/>
  <c r="G946" i="2"/>
  <c r="D946" i="2"/>
  <c r="H946" i="2"/>
  <c r="B947" i="2" a="1"/>
  <c r="B947" i="2" s="1"/>
  <c r="C947" i="2" l="1"/>
  <c r="H947" i="2"/>
  <c r="G947" i="2"/>
  <c r="F947" i="2"/>
  <c r="E947" i="2"/>
  <c r="D947" i="2"/>
  <c r="B948" i="2" a="1"/>
  <c r="B948" i="2" s="1"/>
  <c r="D948" i="2" l="1"/>
  <c r="C948" i="2"/>
  <c r="H948" i="2"/>
  <c r="G948" i="2"/>
  <c r="F948" i="2"/>
  <c r="E948" i="2"/>
  <c r="B949" i="2" a="1"/>
  <c r="B949" i="2" s="1"/>
  <c r="F949" i="2" l="1"/>
  <c r="G949" i="2"/>
  <c r="C949" i="2"/>
  <c r="H949" i="2"/>
  <c r="E949" i="2"/>
  <c r="D949" i="2"/>
  <c r="B950" i="2" a="1"/>
  <c r="B950" i="2" s="1"/>
  <c r="F950" i="2" l="1"/>
  <c r="G950" i="2"/>
  <c r="E950" i="2"/>
  <c r="H950" i="2"/>
  <c r="D950" i="2"/>
  <c r="C950" i="2"/>
  <c r="B951" i="2" a="1"/>
  <c r="B951" i="2" s="1"/>
  <c r="H951" i="2" l="1"/>
  <c r="G951" i="2"/>
  <c r="F951" i="2"/>
  <c r="C951" i="2"/>
  <c r="D951" i="2"/>
  <c r="E951" i="2"/>
  <c r="B952" i="2" a="1"/>
  <c r="B952" i="2" s="1"/>
  <c r="E952" i="2" l="1"/>
  <c r="C952" i="2"/>
  <c r="G952" i="2"/>
  <c r="D952" i="2"/>
  <c r="H952" i="2"/>
  <c r="F952" i="2"/>
  <c r="B953" i="2" a="1"/>
  <c r="B953" i="2" s="1"/>
  <c r="C953" i="2" l="1"/>
  <c r="H953" i="2"/>
  <c r="G953" i="2"/>
  <c r="F953" i="2"/>
  <c r="E953" i="2"/>
  <c r="D953" i="2"/>
  <c r="B954" i="2" a="1"/>
  <c r="B954" i="2" s="1"/>
  <c r="D954" i="2" l="1"/>
  <c r="C954" i="2"/>
  <c r="F954" i="2"/>
  <c r="G954" i="2"/>
  <c r="H954" i="2"/>
  <c r="E954" i="2"/>
  <c r="B955" i="2" a="1"/>
  <c r="B955" i="2" s="1"/>
  <c r="G955" i="2" l="1"/>
  <c r="F955" i="2"/>
  <c r="D955" i="2"/>
  <c r="H955" i="2"/>
  <c r="E955" i="2"/>
  <c r="C955" i="2"/>
  <c r="B956" i="2" a="1"/>
  <c r="B956" i="2" s="1"/>
  <c r="C956" i="2" l="1"/>
  <c r="D956" i="2"/>
  <c r="H956" i="2"/>
  <c r="G956" i="2"/>
  <c r="F956" i="2"/>
  <c r="E956" i="2"/>
  <c r="B957" i="2" a="1"/>
  <c r="B957" i="2" s="1"/>
  <c r="C957" i="2" l="1"/>
  <c r="H957" i="2"/>
  <c r="D957" i="2"/>
  <c r="G957" i="2"/>
  <c r="F957" i="2"/>
  <c r="E957" i="2"/>
  <c r="B958" i="2" a="1"/>
  <c r="B958" i="2" s="1"/>
  <c r="G958" i="2" l="1"/>
  <c r="F958" i="2"/>
  <c r="H958" i="2"/>
  <c r="E958" i="2"/>
  <c r="D958" i="2"/>
  <c r="C958" i="2"/>
  <c r="B959" i="2" a="1"/>
  <c r="B959" i="2" s="1"/>
  <c r="E959" i="2" l="1"/>
  <c r="G959" i="2"/>
  <c r="F959" i="2"/>
  <c r="H959" i="2"/>
  <c r="D959" i="2"/>
  <c r="C959" i="2"/>
  <c r="B960" i="2" a="1"/>
  <c r="B960" i="2" s="1"/>
  <c r="E960" i="2" l="1"/>
  <c r="C960" i="2"/>
  <c r="F960" i="2"/>
  <c r="D960" i="2"/>
  <c r="H960" i="2"/>
  <c r="G960" i="2"/>
  <c r="B961" i="2" a="1"/>
  <c r="B961" i="2" s="1"/>
  <c r="H961" i="2" l="1"/>
  <c r="G961" i="2"/>
  <c r="D961" i="2"/>
  <c r="C961" i="2"/>
  <c r="F961" i="2"/>
  <c r="E961" i="2"/>
  <c r="B962" i="2" a="1"/>
  <c r="B962" i="2" s="1"/>
  <c r="D962" i="2" l="1"/>
  <c r="G962" i="2"/>
  <c r="C962" i="2"/>
  <c r="H962" i="2"/>
  <c r="E962" i="2"/>
  <c r="F962" i="2"/>
  <c r="B963" i="2" a="1"/>
  <c r="B963" i="2" s="1"/>
  <c r="G963" i="2" l="1"/>
  <c r="C963" i="2"/>
  <c r="H963" i="2"/>
  <c r="F963" i="2"/>
  <c r="E963" i="2"/>
  <c r="D963" i="2"/>
  <c r="B964" i="2" a="1"/>
  <c r="B964" i="2" s="1"/>
  <c r="G964" i="2" l="1"/>
  <c r="D964" i="2"/>
  <c r="F964" i="2"/>
  <c r="E964" i="2"/>
  <c r="C964" i="2"/>
  <c r="H964" i="2"/>
  <c r="B965" i="2" a="1"/>
  <c r="B965" i="2" s="1"/>
  <c r="E965" i="2" l="1"/>
  <c r="C965" i="2"/>
  <c r="H965" i="2"/>
  <c r="G965" i="2"/>
  <c r="F965" i="2"/>
  <c r="D965" i="2"/>
  <c r="B966" i="2" a="1"/>
  <c r="B966" i="2" s="1"/>
  <c r="C966" i="2" l="1"/>
  <c r="H966" i="2"/>
  <c r="D966" i="2"/>
  <c r="G966" i="2"/>
  <c r="F966" i="2"/>
  <c r="E966" i="2"/>
  <c r="B967" i="2" a="1"/>
  <c r="B967" i="2" s="1"/>
  <c r="C967" i="2" l="1"/>
  <c r="E967" i="2"/>
  <c r="D967" i="2"/>
  <c r="G967" i="2"/>
  <c r="F967" i="2"/>
  <c r="H967" i="2"/>
  <c r="B968" i="2" a="1"/>
  <c r="B968" i="2" s="1"/>
  <c r="E968" i="2" l="1"/>
  <c r="H968" i="2"/>
  <c r="F968" i="2"/>
  <c r="G968" i="2"/>
  <c r="D968" i="2"/>
  <c r="C968" i="2"/>
  <c r="B969" i="2" a="1"/>
  <c r="B969" i="2" s="1"/>
  <c r="H969" i="2" l="1"/>
  <c r="G969" i="2"/>
  <c r="C969" i="2"/>
  <c r="D969" i="2"/>
  <c r="F969" i="2"/>
  <c r="E969" i="2"/>
  <c r="B970" i="2" a="1"/>
  <c r="B970" i="2" s="1"/>
  <c r="G970" i="2" l="1"/>
  <c r="D970" i="2"/>
  <c r="H970" i="2"/>
  <c r="F970" i="2"/>
  <c r="E970" i="2"/>
  <c r="C970" i="2"/>
  <c r="B971" i="2" a="1"/>
  <c r="B971" i="2" s="1"/>
  <c r="F971" i="2" l="1"/>
  <c r="E971" i="2"/>
  <c r="D971" i="2"/>
  <c r="G971" i="2"/>
  <c r="C971" i="2"/>
  <c r="H971" i="2"/>
  <c r="B972" i="2" a="1"/>
  <c r="B972" i="2" s="1"/>
  <c r="F972" i="2" l="1"/>
  <c r="H972" i="2"/>
  <c r="G972" i="2"/>
  <c r="E972" i="2"/>
  <c r="D972" i="2"/>
  <c r="C972" i="2"/>
  <c r="B973" i="2" a="1"/>
  <c r="B973" i="2" s="1"/>
  <c r="G973" i="2" l="1"/>
  <c r="F973" i="2"/>
  <c r="D973" i="2"/>
  <c r="H973" i="2"/>
  <c r="E973" i="2"/>
  <c r="C973" i="2"/>
  <c r="B974" i="2" a="1"/>
  <c r="B974" i="2" s="1"/>
  <c r="C974" i="2" l="1"/>
  <c r="E974" i="2"/>
  <c r="D974" i="2"/>
  <c r="H974" i="2"/>
  <c r="G974" i="2"/>
  <c r="F974" i="2"/>
  <c r="B975" i="2" a="1"/>
  <c r="B975" i="2" s="1"/>
  <c r="C975" i="2" l="1"/>
  <c r="H975" i="2"/>
  <c r="D975" i="2"/>
  <c r="G975" i="2"/>
  <c r="F975" i="2"/>
  <c r="E975" i="2"/>
  <c r="B976" i="2" a="1"/>
  <c r="B976" i="2" s="1"/>
  <c r="E976" i="2" l="1"/>
  <c r="D976" i="2"/>
  <c r="C976" i="2"/>
  <c r="G976" i="2"/>
  <c r="H976" i="2"/>
  <c r="F976" i="2"/>
  <c r="B977" i="2" a="1"/>
  <c r="B977" i="2" s="1"/>
  <c r="G977" i="2" l="1"/>
  <c r="F977" i="2"/>
  <c r="H977" i="2"/>
  <c r="D977" i="2"/>
  <c r="C977" i="2"/>
  <c r="E977" i="2"/>
  <c r="B978" i="2" a="1"/>
  <c r="B978" i="2" s="1"/>
  <c r="C978" i="2" l="1"/>
  <c r="F978" i="2"/>
  <c r="E978" i="2"/>
  <c r="D978" i="2"/>
  <c r="H978" i="2"/>
  <c r="G978" i="2"/>
  <c r="B979" i="2" a="1"/>
  <c r="B979" i="2" s="1"/>
  <c r="H979" i="2" l="1"/>
  <c r="F979" i="2"/>
  <c r="E979" i="2"/>
  <c r="G979" i="2"/>
  <c r="D979" i="2"/>
  <c r="C979" i="2"/>
  <c r="B980" i="2" a="1"/>
  <c r="B980" i="2" s="1"/>
  <c r="D980" i="2" l="1"/>
  <c r="G980" i="2"/>
  <c r="C980" i="2"/>
  <c r="H980" i="2"/>
  <c r="F980" i="2"/>
  <c r="E980" i="2"/>
  <c r="B981" i="2" a="1"/>
  <c r="B981" i="2" s="1"/>
  <c r="G981" i="2" l="1"/>
  <c r="C981" i="2"/>
  <c r="H981" i="2"/>
  <c r="F981" i="2"/>
  <c r="E981" i="2"/>
  <c r="D981" i="2"/>
  <c r="B982" i="2" a="1"/>
  <c r="B982" i="2" s="1"/>
  <c r="D982" i="2" l="1"/>
  <c r="C982" i="2"/>
  <c r="G982" i="2"/>
  <c r="E982" i="2"/>
  <c r="H982" i="2"/>
  <c r="F982" i="2"/>
  <c r="B983" i="2" a="1"/>
  <c r="B983" i="2" s="1"/>
  <c r="D983" i="2" l="1"/>
  <c r="E983" i="2"/>
  <c r="H983" i="2"/>
  <c r="C983" i="2"/>
  <c r="G983" i="2"/>
  <c r="F983" i="2"/>
  <c r="B984" i="2" a="1"/>
  <c r="B984" i="2" s="1"/>
  <c r="D984" i="2" l="1"/>
  <c r="H984" i="2"/>
  <c r="C984" i="2"/>
  <c r="F984" i="2"/>
  <c r="E984" i="2"/>
  <c r="G984" i="2"/>
  <c r="B985" i="2" a="1"/>
  <c r="B985" i="2" s="1"/>
  <c r="G985" i="2" l="1"/>
  <c r="D985" i="2"/>
  <c r="E985" i="2"/>
  <c r="C985" i="2"/>
  <c r="H985" i="2"/>
  <c r="F985" i="2"/>
  <c r="B986" i="2" a="1"/>
  <c r="B986" i="2" s="1"/>
  <c r="F986" i="2" l="1"/>
  <c r="H986" i="2"/>
  <c r="C986" i="2"/>
  <c r="G986" i="2"/>
  <c r="D986" i="2"/>
  <c r="E986" i="2"/>
  <c r="B987" i="2" a="1"/>
  <c r="B987" i="2" s="1"/>
  <c r="C987" i="2" l="1"/>
  <c r="H987" i="2"/>
  <c r="G987" i="2"/>
  <c r="D987" i="2"/>
  <c r="F987" i="2"/>
  <c r="E987" i="2"/>
  <c r="B988" i="2" a="1"/>
  <c r="B988" i="2" s="1"/>
  <c r="D988" i="2" l="1"/>
  <c r="C988" i="2"/>
  <c r="G988" i="2"/>
  <c r="F988" i="2"/>
  <c r="E988" i="2"/>
  <c r="H988" i="2"/>
  <c r="B989" i="2" a="1"/>
  <c r="B989" i="2" s="1"/>
  <c r="D989" i="2" l="1"/>
  <c r="C989" i="2"/>
  <c r="F989" i="2"/>
  <c r="E989" i="2"/>
  <c r="H989" i="2"/>
  <c r="G989" i="2"/>
  <c r="B990" i="2" a="1"/>
  <c r="B990" i="2" s="1"/>
  <c r="D990" i="2" l="1"/>
  <c r="H990" i="2"/>
  <c r="G990" i="2"/>
  <c r="F990" i="2"/>
  <c r="E990" i="2"/>
  <c r="C990" i="2"/>
  <c r="B991" i="2" a="1"/>
  <c r="B991" i="2" s="1"/>
  <c r="G991" i="2" l="1"/>
  <c r="D991" i="2"/>
  <c r="C991" i="2"/>
  <c r="F991" i="2"/>
  <c r="E991" i="2"/>
  <c r="H991" i="2"/>
  <c r="B992" i="2" a="1"/>
  <c r="B992" i="2" s="1"/>
  <c r="F992" i="2" l="1"/>
  <c r="E992" i="2"/>
  <c r="D992" i="2"/>
  <c r="H992" i="2"/>
  <c r="G992" i="2"/>
  <c r="C992" i="2"/>
  <c r="B993" i="2" a="1"/>
  <c r="B993" i="2" s="1"/>
  <c r="C993" i="2" l="1"/>
  <c r="F993" i="2"/>
  <c r="H993" i="2"/>
  <c r="E993" i="2"/>
  <c r="D993" i="2"/>
  <c r="G993" i="2"/>
  <c r="B994" i="2" a="1"/>
  <c r="B994" i="2" s="1"/>
  <c r="G994" i="2" l="1"/>
  <c r="H994" i="2"/>
  <c r="D994" i="2"/>
  <c r="C994" i="2"/>
  <c r="F994" i="2"/>
  <c r="E994" i="2"/>
  <c r="B995" i="2" a="1"/>
  <c r="B995" i="2" s="1"/>
  <c r="C995" i="2" l="1"/>
  <c r="H995" i="2"/>
  <c r="F995" i="2"/>
  <c r="D995" i="2"/>
  <c r="G995" i="2"/>
  <c r="E995" i="2"/>
  <c r="B996" i="2" a="1"/>
  <c r="B996" i="2" s="1"/>
  <c r="E996" i="2" l="1"/>
  <c r="C996" i="2"/>
  <c r="H996" i="2"/>
  <c r="G996" i="2"/>
  <c r="F996" i="2"/>
  <c r="D996" i="2"/>
  <c r="B997" i="2" a="1"/>
  <c r="B997" i="2" s="1"/>
  <c r="G997" i="2" l="1"/>
  <c r="H997" i="2"/>
  <c r="F997" i="2"/>
  <c r="D997" i="2"/>
  <c r="E997" i="2"/>
  <c r="C997" i="2"/>
  <c r="B998" i="2" a="1"/>
  <c r="B998" i="2" s="1"/>
  <c r="H998" i="2" l="1"/>
  <c r="G998" i="2"/>
  <c r="C998" i="2"/>
  <c r="E998" i="2"/>
  <c r="D998" i="2"/>
  <c r="F998" i="2"/>
  <c r="B999" i="2" a="1"/>
  <c r="B999" i="2" s="1"/>
  <c r="G999" i="2" l="1"/>
  <c r="F999" i="2"/>
  <c r="E999" i="2"/>
  <c r="H999" i="2"/>
  <c r="D999" i="2"/>
  <c r="C999" i="2"/>
  <c r="B1000" i="2" a="1"/>
  <c r="B1000" i="2" s="1"/>
  <c r="D1000" i="2" l="1"/>
  <c r="C1000" i="2"/>
  <c r="F1000" i="2"/>
  <c r="E1000" i="2"/>
  <c r="H1000" i="2"/>
  <c r="G1000" i="2"/>
  <c r="B1001" i="2" a="1"/>
  <c r="B1001" i="2" s="1"/>
  <c r="G1001" i="2" l="1"/>
  <c r="C1001" i="2"/>
  <c r="H1001" i="2"/>
  <c r="E1001" i="2"/>
  <c r="D1001" i="2"/>
  <c r="F1001" i="2"/>
  <c r="B1002" i="2" a="1"/>
  <c r="B1002" i="2" s="1"/>
  <c r="C1002" i="2" l="1"/>
  <c r="H1002" i="2"/>
  <c r="G1002" i="2"/>
  <c r="E1002" i="2"/>
  <c r="D1002" i="2"/>
  <c r="F1002" i="2"/>
  <c r="B1003" i="2" a="1"/>
  <c r="B1003" i="2" s="1"/>
  <c r="C1003" i="2" l="1"/>
  <c r="F1003" i="2"/>
  <c r="E1003" i="2"/>
  <c r="G1003" i="2"/>
  <c r="D1003" i="2"/>
  <c r="H1003" i="2"/>
  <c r="B1004" i="2" a="1"/>
  <c r="B1004" i="2" s="1"/>
  <c r="H1004" i="2" l="1"/>
  <c r="G1004" i="2"/>
  <c r="F1004" i="2"/>
  <c r="E1004" i="2"/>
  <c r="C1004" i="2"/>
  <c r="D1004" i="2"/>
  <c r="B1005" i="2" a="1"/>
  <c r="B1005" i="2" s="1"/>
  <c r="C1005" i="2" l="1"/>
  <c r="G1005" i="2"/>
  <c r="F1005" i="2"/>
  <c r="H1005" i="2"/>
  <c r="E1005" i="2"/>
  <c r="D1005" i="2"/>
  <c r="B1006" i="2" a="1"/>
  <c r="B1006" i="2" s="1"/>
  <c r="G1006" i="2" l="1"/>
  <c r="F1006" i="2"/>
  <c r="H1006" i="2"/>
  <c r="E1006" i="2"/>
  <c r="D1006" i="2"/>
  <c r="C1006" i="2"/>
  <c r="B1007" i="2" a="1"/>
  <c r="B1007" i="2" s="1"/>
  <c r="E1007" i="2" l="1"/>
  <c r="D1007" i="2"/>
  <c r="G1007" i="2"/>
  <c r="F1007" i="2"/>
  <c r="H1007" i="2"/>
  <c r="C1007" i="2"/>
  <c r="B1008" i="2" a="1"/>
  <c r="B1008" i="2" s="1"/>
  <c r="E1008" i="2" l="1"/>
  <c r="C1008" i="2"/>
  <c r="D1008" i="2"/>
  <c r="H1008" i="2"/>
  <c r="G1008" i="2"/>
  <c r="F1008" i="2"/>
  <c r="B1009" i="2" a="1"/>
  <c r="B1009" i="2" s="1"/>
  <c r="E1009" i="2" l="1"/>
  <c r="D1009" i="2"/>
  <c r="F1009" i="2"/>
  <c r="G1009" i="2"/>
  <c r="C1009" i="2"/>
  <c r="H1009" i="2"/>
  <c r="B1010" i="2" a="1"/>
  <c r="B1010" i="2" s="1"/>
  <c r="F1010" i="2" l="1"/>
  <c r="H1010" i="2"/>
  <c r="E1010" i="2"/>
  <c r="D1010" i="2"/>
  <c r="C1010" i="2"/>
  <c r="G1010" i="2"/>
  <c r="B1011" i="2" a="1"/>
  <c r="B1011" i="2" s="1"/>
  <c r="D1011" i="2" l="1"/>
  <c r="E1011" i="2"/>
  <c r="C1011" i="2"/>
  <c r="F1011" i="2"/>
  <c r="H1011" i="2"/>
  <c r="G1011" i="2"/>
  <c r="B1012" i="2" a="1"/>
  <c r="B1012" i="2" s="1"/>
  <c r="H1012" i="2" l="1"/>
  <c r="F1012" i="2"/>
  <c r="D1012" i="2"/>
  <c r="C1012" i="2"/>
  <c r="E1012" i="2"/>
  <c r="G1012" i="2"/>
  <c r="B1013" i="2" a="1"/>
  <c r="B1013" i="2" s="1"/>
  <c r="F1013" i="2" l="1"/>
  <c r="C1013" i="2"/>
  <c r="H1013" i="2"/>
  <c r="G1013" i="2"/>
  <c r="E1013" i="2"/>
  <c r="D1013" i="2"/>
  <c r="B1014" i="2" a="1"/>
  <c r="B1014" i="2" s="1"/>
  <c r="C1014" i="2" l="1"/>
  <c r="H1014" i="2"/>
  <c r="F1014" i="2"/>
  <c r="E1014" i="2"/>
  <c r="G1014" i="2"/>
  <c r="D1014" i="2"/>
  <c r="B1015" i="2" a="1"/>
  <c r="B1015" i="2" s="1"/>
  <c r="H1015" i="2" l="1"/>
  <c r="F1015" i="2"/>
  <c r="E1015" i="2"/>
  <c r="D1015" i="2"/>
  <c r="C1015" i="2"/>
  <c r="G1015" i="2"/>
  <c r="B1016" i="2" a="1"/>
  <c r="B1016" i="2" s="1"/>
  <c r="E1016" i="2" l="1"/>
  <c r="D1016" i="2"/>
  <c r="C1016" i="2"/>
  <c r="G1016" i="2"/>
  <c r="F1016" i="2"/>
  <c r="H1016" i="2"/>
  <c r="B1017" i="2" a="1"/>
  <c r="B1017" i="2" s="1"/>
  <c r="C1017" i="2" l="1"/>
  <c r="H1017" i="2"/>
  <c r="G1017" i="2"/>
  <c r="F1017" i="2"/>
  <c r="E1017" i="2"/>
  <c r="D1017" i="2"/>
  <c r="B1018" i="2" a="1"/>
  <c r="B1018" i="2" s="1"/>
  <c r="E1018" i="2" l="1"/>
  <c r="D1018" i="2"/>
  <c r="F1018" i="2"/>
  <c r="G1018" i="2"/>
  <c r="C1018" i="2"/>
  <c r="H1018" i="2"/>
  <c r="B1019" i="2" a="1"/>
  <c r="B1019" i="2" s="1"/>
  <c r="G1019" i="2" l="1"/>
  <c r="H1019" i="2"/>
  <c r="F1019" i="2"/>
  <c r="E1019" i="2"/>
  <c r="D1019" i="2"/>
  <c r="C1019" i="2"/>
  <c r="B1020" i="2" a="1"/>
  <c r="B1020" i="2" s="1"/>
  <c r="F1020" i="2" l="1"/>
  <c r="D1020" i="2"/>
  <c r="E1020" i="2"/>
  <c r="C1020" i="2"/>
  <c r="H1020" i="2"/>
  <c r="G1020" i="2"/>
  <c r="B1021" i="2" a="1"/>
  <c r="B1021" i="2" s="1"/>
  <c r="F1021" i="2" l="1"/>
  <c r="E1021" i="2"/>
  <c r="C1021" i="2"/>
  <c r="G1021" i="2"/>
  <c r="D1021" i="2"/>
  <c r="H1021" i="2"/>
  <c r="B1022" i="2" a="1"/>
  <c r="B1022" i="2" s="1"/>
  <c r="H1022" i="2" l="1"/>
  <c r="G1022" i="2"/>
  <c r="F1022" i="2"/>
  <c r="E1022" i="2"/>
  <c r="D1022" i="2"/>
  <c r="C1022" i="2"/>
  <c r="B1023" i="2" a="1"/>
  <c r="B1023" i="2" s="1"/>
  <c r="H1023" i="2" l="1"/>
  <c r="G1023" i="2"/>
  <c r="C1023" i="2"/>
  <c r="F1023" i="2"/>
  <c r="E1023" i="2"/>
  <c r="D1023" i="2"/>
  <c r="B1024" i="2" a="1"/>
  <c r="B1024" i="2" s="1"/>
  <c r="F1024" i="2" l="1"/>
  <c r="G1024" i="2"/>
  <c r="H1024" i="2"/>
  <c r="E1024" i="2"/>
  <c r="D1024" i="2"/>
  <c r="C1024" i="2"/>
  <c r="B1025" i="2" a="1"/>
  <c r="B1025" i="2" s="1"/>
  <c r="D1025" i="2" l="1"/>
  <c r="C1025" i="2"/>
  <c r="H1025" i="2"/>
  <c r="F1025" i="2"/>
  <c r="E1025" i="2"/>
  <c r="G1025" i="2"/>
  <c r="B1026" i="2" a="1"/>
  <c r="B1026" i="2" s="1"/>
  <c r="C1026" i="2" l="1"/>
  <c r="D1026" i="2"/>
  <c r="H1026" i="2"/>
  <c r="G1026" i="2"/>
  <c r="F1026" i="2"/>
  <c r="E1026" i="2"/>
  <c r="B1027" i="2" a="1"/>
  <c r="B1027" i="2" s="1"/>
  <c r="G1027" i="2" l="1"/>
  <c r="H1027" i="2"/>
  <c r="F1027" i="2"/>
  <c r="D1027" i="2"/>
  <c r="C1027" i="2"/>
  <c r="E1027" i="2"/>
  <c r="B1028" i="2" a="1"/>
  <c r="B1028" i="2" s="1"/>
  <c r="H1028" i="2" l="1"/>
  <c r="G1028" i="2"/>
  <c r="F1028" i="2"/>
  <c r="E1028" i="2"/>
  <c r="D1028" i="2"/>
  <c r="C1028" i="2"/>
  <c r="B1029" i="2" a="1"/>
  <c r="B1029" i="2" s="1"/>
  <c r="C1029" i="2" l="1"/>
  <c r="F1029" i="2"/>
  <c r="H1029" i="2"/>
  <c r="G1029" i="2"/>
  <c r="E1029" i="2"/>
  <c r="D1029" i="2"/>
  <c r="B1030" i="2" a="1"/>
  <c r="B1030" i="2" s="1"/>
  <c r="F1030" i="2" l="1"/>
  <c r="E1030" i="2"/>
  <c r="D1030" i="2"/>
  <c r="C1030" i="2"/>
  <c r="H1030" i="2"/>
  <c r="G1030" i="2"/>
  <c r="B1031" i="2" a="1"/>
  <c r="B1031" i="2" s="1"/>
  <c r="D1031" i="2" l="1"/>
  <c r="C1031" i="2"/>
  <c r="H1031" i="2"/>
  <c r="G1031" i="2"/>
  <c r="F1031" i="2"/>
  <c r="E1031" i="2"/>
  <c r="B1032" i="2" a="1"/>
  <c r="B1032" i="2" s="1"/>
  <c r="G1032" i="2" l="1"/>
  <c r="F1032" i="2"/>
  <c r="C1032" i="2"/>
  <c r="H1032" i="2"/>
  <c r="E1032" i="2"/>
  <c r="D1032" i="2"/>
  <c r="B1033" i="2" a="1"/>
  <c r="B1033" i="2" s="1"/>
  <c r="E1033" i="2" l="1"/>
  <c r="G1033" i="2"/>
  <c r="H1033" i="2"/>
  <c r="F1033" i="2"/>
  <c r="D1033" i="2"/>
  <c r="C1033" i="2"/>
  <c r="B1034" i="2" a="1"/>
  <c r="B1034" i="2" s="1"/>
  <c r="C1034" i="2" l="1"/>
  <c r="E1034" i="2"/>
  <c r="G1034" i="2"/>
  <c r="H1034" i="2"/>
  <c r="F1034" i="2"/>
  <c r="D1034" i="2"/>
  <c r="B1035" i="2" a="1"/>
  <c r="B1035" i="2" s="1"/>
  <c r="C1035" i="2" l="1"/>
  <c r="H1035" i="2"/>
  <c r="G1035" i="2"/>
  <c r="F1035" i="2"/>
  <c r="E1035" i="2"/>
  <c r="D1035" i="2"/>
  <c r="B1036" i="2" a="1"/>
  <c r="B1036" i="2" s="1"/>
  <c r="G1036" i="2" l="1"/>
  <c r="H1036" i="2"/>
  <c r="F1036" i="2"/>
  <c r="D1036" i="2"/>
  <c r="C1036" i="2"/>
  <c r="E1036" i="2"/>
  <c r="B1037" i="2" a="1"/>
  <c r="B1037" i="2" s="1"/>
  <c r="E1037" i="2" l="1"/>
  <c r="D1037" i="2"/>
  <c r="C1037" i="2"/>
  <c r="G1037" i="2"/>
  <c r="H1037" i="2"/>
  <c r="F1037" i="2"/>
  <c r="B1038" i="2" a="1"/>
  <c r="B1038" i="2" s="1"/>
  <c r="H1038" i="2" l="1"/>
  <c r="G1038" i="2"/>
  <c r="F1038" i="2"/>
  <c r="E1038" i="2"/>
  <c r="D1038" i="2"/>
  <c r="C1038" i="2"/>
  <c r="B1039" i="2" a="1"/>
  <c r="B1039" i="2" s="1"/>
  <c r="G1039" i="2" l="1"/>
  <c r="D1039" i="2"/>
  <c r="F1039" i="2"/>
  <c r="E1039" i="2"/>
  <c r="C1039" i="2"/>
  <c r="H1039" i="2"/>
  <c r="B1040" i="2" a="1"/>
  <c r="B1040" i="2" s="1"/>
  <c r="E1040" i="2" l="1"/>
  <c r="D1040" i="2"/>
  <c r="C1040" i="2"/>
  <c r="H1040" i="2"/>
  <c r="G1040" i="2"/>
  <c r="F1040" i="2"/>
  <c r="B1041" i="2" a="1"/>
  <c r="B1041" i="2" s="1"/>
  <c r="C1041" i="2" l="1"/>
  <c r="E1041" i="2"/>
  <c r="D1041" i="2"/>
  <c r="H1041" i="2"/>
  <c r="G1041" i="2"/>
  <c r="F1041" i="2"/>
  <c r="B1042" i="2" a="1"/>
  <c r="B1042" i="2" s="1"/>
  <c r="C1042" i="2" l="1"/>
  <c r="G1042" i="2"/>
  <c r="F1042" i="2"/>
  <c r="H1042" i="2"/>
  <c r="E1042" i="2"/>
  <c r="D1042" i="2"/>
  <c r="B1043" i="2" a="1"/>
  <c r="B1043" i="2" s="1"/>
  <c r="E1043" i="2" l="1"/>
  <c r="D1043" i="2"/>
  <c r="C1043" i="2"/>
  <c r="H1043" i="2"/>
  <c r="G1043" i="2"/>
  <c r="F1043" i="2"/>
  <c r="B1044" i="2" a="1"/>
  <c r="B1044" i="2" s="1"/>
  <c r="C1044" i="2" l="1"/>
  <c r="D1044" i="2"/>
  <c r="H1044" i="2"/>
  <c r="G1044" i="2"/>
  <c r="F1044" i="2"/>
  <c r="E1044" i="2"/>
  <c r="B1045" i="2" a="1"/>
  <c r="B1045" i="2" s="1"/>
  <c r="G1045" i="2" l="1"/>
  <c r="H1045" i="2"/>
  <c r="F1045" i="2"/>
  <c r="E1045" i="2"/>
  <c r="D1045" i="2"/>
  <c r="C1045" i="2"/>
  <c r="B1046" i="2" a="1"/>
  <c r="B1046" i="2" s="1"/>
  <c r="G1046" i="2" l="1"/>
  <c r="F1046" i="2"/>
  <c r="E1046" i="2"/>
  <c r="D1046" i="2"/>
  <c r="C1046" i="2"/>
  <c r="H1046" i="2"/>
  <c r="B1047" i="2" a="1"/>
  <c r="B1047" i="2" s="1"/>
  <c r="C1047" i="2" l="1"/>
  <c r="F1047" i="2"/>
  <c r="H1047" i="2"/>
  <c r="G1047" i="2"/>
  <c r="E1047" i="2"/>
  <c r="D1047" i="2"/>
  <c r="B1048" i="2" a="1"/>
  <c r="B1048" i="2" s="1"/>
  <c r="C1048" i="2" l="1"/>
  <c r="G1048" i="2"/>
  <c r="E1048" i="2"/>
  <c r="D1048" i="2"/>
  <c r="H1048" i="2"/>
  <c r="F1048" i="2"/>
  <c r="B1049" i="2" a="1"/>
  <c r="B1049" i="2" s="1"/>
  <c r="H1049" i="2" l="1"/>
  <c r="G1049" i="2"/>
  <c r="F1049" i="2"/>
  <c r="E1049" i="2"/>
  <c r="D1049" i="2"/>
  <c r="C1049" i="2"/>
  <c r="B1050" i="2" a="1"/>
  <c r="B1050" i="2" s="1"/>
  <c r="G1050" i="2" l="1"/>
  <c r="F1050" i="2"/>
  <c r="E1050" i="2"/>
  <c r="C1050" i="2"/>
  <c r="H1050" i="2"/>
  <c r="D1050" i="2"/>
  <c r="B1051" i="2" a="1"/>
  <c r="B1051" i="2" s="1"/>
  <c r="H1051" i="2" l="1"/>
  <c r="C1051" i="2"/>
  <c r="G1051" i="2"/>
  <c r="F1051" i="2"/>
  <c r="E1051" i="2"/>
  <c r="D1051" i="2"/>
  <c r="B1052" i="2" a="1"/>
  <c r="B1052" i="2" s="1"/>
  <c r="F1052" i="2" l="1"/>
  <c r="E1052" i="2"/>
  <c r="H1052" i="2"/>
  <c r="G1052" i="2"/>
  <c r="D1052" i="2"/>
  <c r="C1052" i="2"/>
  <c r="B1053" i="2" a="1"/>
  <c r="B1053" i="2" s="1"/>
  <c r="H1053" i="2" l="1"/>
  <c r="G1053" i="2"/>
  <c r="F1053" i="2"/>
  <c r="E1053" i="2"/>
  <c r="D1053" i="2"/>
  <c r="C1053" i="2"/>
  <c r="B1054" i="2" a="1"/>
  <c r="B1054" i="2" s="1"/>
  <c r="G1054" i="2" l="1"/>
  <c r="H1054" i="2"/>
  <c r="F1054" i="2"/>
  <c r="E1054" i="2"/>
  <c r="D1054" i="2"/>
  <c r="C1054" i="2"/>
  <c r="B1055" i="2" a="1"/>
  <c r="B1055" i="2" s="1"/>
  <c r="D1055" i="2" l="1"/>
  <c r="G1055" i="2"/>
  <c r="F1055" i="2"/>
  <c r="E1055" i="2"/>
  <c r="C1055" i="2"/>
  <c r="H1055" i="2"/>
  <c r="B1056" i="2" a="1"/>
  <c r="B1056" i="2" s="1"/>
  <c r="C1056" i="2" l="1"/>
  <c r="G1056" i="2"/>
  <c r="H1056" i="2"/>
  <c r="F1056" i="2"/>
  <c r="E1056" i="2"/>
  <c r="D1056" i="2"/>
  <c r="B1057" i="2" a="1"/>
  <c r="B1057" i="2" s="1"/>
  <c r="G1057" i="2" l="1"/>
  <c r="D1057" i="2"/>
  <c r="F1057" i="2"/>
  <c r="E1057" i="2"/>
  <c r="C1057" i="2"/>
  <c r="H1057" i="2"/>
  <c r="B1058" i="2" a="1"/>
  <c r="B1058" i="2" s="1"/>
  <c r="H1058" i="2" l="1"/>
  <c r="D1058" i="2"/>
  <c r="F1058" i="2"/>
  <c r="E1058" i="2"/>
  <c r="C1058" i="2"/>
  <c r="G1058" i="2"/>
  <c r="B1059" i="2" a="1"/>
  <c r="B1059" i="2" s="1"/>
  <c r="G1059" i="2" l="1"/>
  <c r="C1059" i="2"/>
  <c r="F1059" i="2"/>
  <c r="E1059" i="2"/>
  <c r="D1059" i="2"/>
  <c r="H1059" i="2"/>
  <c r="B1060" i="2" a="1"/>
  <c r="B1060" i="2" s="1"/>
  <c r="D1060" i="2" l="1"/>
  <c r="C1060" i="2"/>
  <c r="G1060" i="2"/>
  <c r="F1060" i="2"/>
  <c r="H1060" i="2"/>
  <c r="E1060" i="2"/>
  <c r="B1061" i="2" a="1"/>
  <c r="B1061" i="2" s="1"/>
  <c r="C1061" i="2" l="1"/>
  <c r="H1061" i="2"/>
  <c r="G1061" i="2"/>
  <c r="F1061" i="2"/>
  <c r="E1061" i="2"/>
  <c r="D1061" i="2"/>
  <c r="B1062" i="2" a="1"/>
  <c r="B1062" i="2" s="1"/>
  <c r="E1062" i="2" l="1"/>
  <c r="C1062" i="2"/>
  <c r="D1062" i="2"/>
  <c r="H1062" i="2"/>
  <c r="G1062" i="2"/>
  <c r="F1062" i="2"/>
  <c r="B1063" i="2" a="1"/>
  <c r="B1063" i="2" s="1"/>
  <c r="C1063" i="2" l="1"/>
  <c r="F1063" i="2"/>
  <c r="H1063" i="2"/>
  <c r="G1063" i="2"/>
  <c r="E1063" i="2"/>
  <c r="D1063" i="2"/>
  <c r="B1064" i="2" a="1"/>
  <c r="B1064" i="2" s="1"/>
  <c r="H1064" i="2" l="1"/>
  <c r="G1064" i="2"/>
  <c r="F1064" i="2"/>
  <c r="E1064" i="2"/>
  <c r="D1064" i="2"/>
  <c r="C1064" i="2"/>
  <c r="B1065" i="2" a="1"/>
  <c r="B1065" i="2" s="1"/>
  <c r="C1065" i="2" l="1"/>
  <c r="F1065" i="2"/>
  <c r="E1065" i="2"/>
  <c r="D1065" i="2"/>
  <c r="H1065" i="2"/>
  <c r="G1065" i="2"/>
  <c r="B1066" i="2" a="1"/>
  <c r="B1066" i="2" s="1"/>
  <c r="D1066" i="2" l="1"/>
  <c r="C1066" i="2"/>
  <c r="G1066" i="2"/>
  <c r="E1066" i="2"/>
  <c r="H1066" i="2"/>
  <c r="F1066" i="2"/>
  <c r="B1067" i="2" a="1"/>
  <c r="B1067" i="2" s="1"/>
  <c r="C1067" i="2" l="1"/>
  <c r="E1067" i="2"/>
  <c r="D1067" i="2"/>
  <c r="H1067" i="2"/>
  <c r="G1067" i="2"/>
  <c r="F1067" i="2"/>
  <c r="B1068" i="2" a="1"/>
  <c r="B1068" i="2" s="1"/>
  <c r="C1068" i="2" l="1"/>
  <c r="H1068" i="2"/>
  <c r="G1068" i="2"/>
  <c r="F1068" i="2"/>
  <c r="E1068" i="2"/>
  <c r="D1068" i="2"/>
  <c r="B1069" i="2" a="1"/>
  <c r="B1069" i="2" s="1"/>
  <c r="G1069" i="2" l="1"/>
  <c r="H1069" i="2"/>
  <c r="D1069" i="2"/>
  <c r="C1069" i="2"/>
  <c r="F1069" i="2"/>
  <c r="E1069" i="2"/>
  <c r="B1070" i="2" a="1"/>
  <c r="B1070" i="2" s="1"/>
  <c r="C1070" i="2" l="1"/>
  <c r="E1070" i="2"/>
  <c r="H1070" i="2"/>
  <c r="G1070" i="2"/>
  <c r="F1070" i="2"/>
  <c r="D1070" i="2"/>
  <c r="B1071" i="2" a="1"/>
  <c r="B1071" i="2" s="1"/>
  <c r="E1071" i="2" l="1"/>
  <c r="D1071" i="2"/>
  <c r="H1071" i="2"/>
  <c r="G1071" i="2"/>
  <c r="F1071" i="2"/>
  <c r="C1071" i="2"/>
  <c r="B1072" i="2" a="1"/>
  <c r="B1072" i="2" s="1"/>
  <c r="G1072" i="2" l="1"/>
  <c r="H1072" i="2"/>
  <c r="F1072" i="2"/>
  <c r="E1072" i="2"/>
  <c r="D1072" i="2"/>
  <c r="C1072" i="2"/>
  <c r="B1073" i="2" a="1"/>
  <c r="B1073" i="2" s="1"/>
  <c r="G1073" i="2" l="1"/>
  <c r="D1073" i="2"/>
  <c r="C1073" i="2"/>
  <c r="E1073" i="2"/>
  <c r="H1073" i="2"/>
  <c r="F1073" i="2"/>
  <c r="B1074" i="2" a="1"/>
  <c r="B1074" i="2" s="1"/>
  <c r="C1074" i="2" l="1"/>
  <c r="G1074" i="2"/>
  <c r="H1074" i="2"/>
  <c r="F1074" i="2"/>
  <c r="E1074" i="2"/>
  <c r="D1074" i="2"/>
  <c r="B1075" i="2" a="1"/>
  <c r="B1075" i="2" s="1"/>
  <c r="G1075" i="2" l="1"/>
  <c r="D1075" i="2"/>
  <c r="C1075" i="2"/>
  <c r="H1075" i="2"/>
  <c r="F1075" i="2"/>
  <c r="E1075" i="2"/>
  <c r="B1076" i="2" a="1"/>
  <c r="B1076" i="2" s="1"/>
  <c r="C1076" i="2" l="1"/>
  <c r="D1076" i="2"/>
  <c r="H1076" i="2"/>
  <c r="G1076" i="2"/>
  <c r="F1076" i="2"/>
  <c r="E1076" i="2"/>
  <c r="B1077" i="2" a="1"/>
  <c r="B1077" i="2" s="1"/>
  <c r="G1077" i="2" l="1"/>
  <c r="H1077" i="2"/>
  <c r="E1077" i="2"/>
  <c r="D1077" i="2"/>
  <c r="F1077" i="2"/>
  <c r="C1077" i="2"/>
  <c r="B1078" i="2" a="1"/>
  <c r="B1078" i="2" s="1"/>
  <c r="G1078" i="2" l="1"/>
  <c r="F1078" i="2"/>
  <c r="H1078" i="2"/>
  <c r="E1078" i="2"/>
  <c r="D1078" i="2"/>
  <c r="C1078" i="2"/>
  <c r="B1079" i="2" a="1"/>
  <c r="B1079" i="2" s="1"/>
  <c r="E1079" i="2" l="1"/>
  <c r="F1079" i="2"/>
  <c r="D1079" i="2"/>
  <c r="G1079" i="2"/>
  <c r="C1079" i="2"/>
  <c r="H1079" i="2"/>
  <c r="B1080" i="2" a="1"/>
  <c r="B1080" i="2" s="1"/>
  <c r="F1080" i="2" l="1"/>
  <c r="E1080" i="2"/>
  <c r="C1080" i="2"/>
  <c r="D1080" i="2"/>
  <c r="H1080" i="2"/>
  <c r="G1080" i="2"/>
  <c r="B1081" i="2" a="1"/>
  <c r="B1081" i="2" s="1"/>
  <c r="G1081" i="2" l="1"/>
  <c r="C1081" i="2"/>
  <c r="H1081" i="2"/>
  <c r="F1081" i="2"/>
  <c r="E1081" i="2"/>
  <c r="D1081" i="2"/>
  <c r="B1082" i="2" a="1"/>
  <c r="B1082" i="2" s="1"/>
  <c r="H1082" i="2" l="1"/>
  <c r="G1082" i="2"/>
  <c r="F1082" i="2"/>
  <c r="E1082" i="2"/>
  <c r="D1082" i="2"/>
  <c r="C1082" i="2"/>
  <c r="B1083" i="2" a="1"/>
  <c r="B1083" i="2" s="1"/>
  <c r="F1083" i="2" l="1"/>
  <c r="D1083" i="2"/>
  <c r="C1083" i="2"/>
  <c r="H1083" i="2"/>
  <c r="G1083" i="2"/>
  <c r="E1083" i="2"/>
  <c r="B1084" i="2" a="1"/>
  <c r="B1084" i="2" s="1"/>
  <c r="C1084" i="2" l="1"/>
  <c r="F1084" i="2"/>
  <c r="H1084" i="2"/>
  <c r="G1084" i="2"/>
  <c r="E1084" i="2"/>
  <c r="D1084" i="2"/>
  <c r="B1085" i="2" a="1"/>
  <c r="B1085" i="2" s="1"/>
  <c r="F1085" i="2" l="1"/>
  <c r="E1085" i="2"/>
  <c r="D1085" i="2"/>
  <c r="C1085" i="2"/>
  <c r="H1085" i="2"/>
  <c r="G1085" i="2"/>
  <c r="B1086" i="2" a="1"/>
  <c r="B1086" i="2" s="1"/>
  <c r="F1086" i="2" l="1"/>
  <c r="E1086" i="2"/>
  <c r="D1086" i="2"/>
  <c r="C1086" i="2"/>
  <c r="H1086" i="2"/>
  <c r="G1086" i="2"/>
  <c r="B1087" i="2" a="1"/>
  <c r="B1087" i="2" s="1"/>
  <c r="G1087" i="2" l="1"/>
  <c r="H1087" i="2"/>
  <c r="F1087" i="2"/>
  <c r="E1087" i="2"/>
  <c r="D1087" i="2"/>
  <c r="C1087" i="2"/>
  <c r="B1088" i="2" a="1"/>
  <c r="B1088" i="2" s="1"/>
  <c r="E1088" i="2" l="1"/>
  <c r="H1088" i="2"/>
  <c r="G1088" i="2"/>
  <c r="F1088" i="2"/>
  <c r="D1088" i="2"/>
  <c r="C1088" i="2"/>
  <c r="B1089" i="2" a="1"/>
  <c r="B1089" i="2" s="1"/>
  <c r="E1089" i="2" l="1"/>
  <c r="G1089" i="2"/>
  <c r="C1089" i="2"/>
  <c r="D1089" i="2"/>
  <c r="F1089" i="2"/>
  <c r="H1089" i="2"/>
  <c r="B1090" i="2" a="1"/>
  <c r="B1090" i="2" s="1"/>
  <c r="E1090" i="2" l="1"/>
  <c r="D1090" i="2"/>
  <c r="C1090" i="2"/>
  <c r="G1090" i="2"/>
  <c r="H1090" i="2"/>
  <c r="F1090" i="2"/>
  <c r="B1091" i="2" a="1"/>
  <c r="B1091" i="2" s="1"/>
  <c r="H1091" i="2" l="1"/>
  <c r="G1091" i="2"/>
  <c r="C1091" i="2"/>
  <c r="F1091" i="2"/>
  <c r="D1091" i="2"/>
  <c r="E1091" i="2"/>
  <c r="B1092" i="2" a="1"/>
  <c r="B1092" i="2" s="1"/>
  <c r="E1092" i="2" l="1"/>
  <c r="C1092" i="2"/>
  <c r="G1092" i="2"/>
  <c r="F1092" i="2"/>
  <c r="H1092" i="2"/>
  <c r="D1092" i="2"/>
  <c r="B1093" i="2" a="1"/>
  <c r="B1093" i="2" s="1"/>
  <c r="F1093" i="2" l="1"/>
  <c r="G1093" i="2"/>
  <c r="D1093" i="2"/>
  <c r="H1093" i="2"/>
  <c r="E1093" i="2"/>
  <c r="C1093" i="2"/>
  <c r="B1094" i="2" a="1"/>
  <c r="B1094" i="2" s="1"/>
  <c r="G1094" i="2" l="1"/>
  <c r="D1094" i="2"/>
  <c r="C1094" i="2"/>
  <c r="F1094" i="2"/>
  <c r="E1094" i="2"/>
  <c r="H1094" i="2"/>
  <c r="B1095" i="2" a="1"/>
  <c r="B1095" i="2" s="1"/>
  <c r="H1095" i="2" l="1"/>
  <c r="G1095" i="2"/>
  <c r="F1095" i="2"/>
  <c r="E1095" i="2"/>
  <c r="D1095" i="2"/>
  <c r="C1095" i="2"/>
  <c r="B1096" i="2" a="1"/>
  <c r="B1096" i="2" s="1"/>
  <c r="E1096" i="2" l="1"/>
  <c r="C1096" i="2"/>
  <c r="G1096" i="2"/>
  <c r="H1096" i="2"/>
  <c r="F1096" i="2"/>
  <c r="D1096" i="2"/>
  <c r="B1097" i="2" a="1"/>
  <c r="B1097" i="2" s="1"/>
  <c r="F1097" i="2" l="1"/>
  <c r="D1097" i="2"/>
  <c r="H1097" i="2"/>
  <c r="C1097" i="2"/>
  <c r="E1097" i="2"/>
  <c r="G1097" i="2"/>
  <c r="B1098" i="2" a="1"/>
  <c r="B1098" i="2" s="1"/>
  <c r="E1098" i="2" l="1"/>
  <c r="D1098" i="2"/>
  <c r="F1098" i="2"/>
  <c r="H1098" i="2"/>
  <c r="C1098" i="2"/>
  <c r="G1098" i="2"/>
  <c r="B1099" i="2" a="1"/>
  <c r="B1099" i="2" s="1"/>
  <c r="F1099" i="2" l="1"/>
  <c r="D1099" i="2"/>
  <c r="C1099" i="2"/>
  <c r="H1099" i="2"/>
  <c r="E1099" i="2"/>
  <c r="G1099" i="2"/>
  <c r="B1100" i="2" a="1"/>
  <c r="B1100" i="2" s="1"/>
  <c r="E1100" i="2" l="1"/>
  <c r="D1100" i="2"/>
  <c r="C1100" i="2"/>
  <c r="H1100" i="2"/>
  <c r="G1100" i="2"/>
  <c r="F1100" i="2"/>
  <c r="B1101" i="2" a="1"/>
  <c r="B1101" i="2" s="1"/>
  <c r="C1101" i="2" l="1"/>
  <c r="G1101" i="2"/>
  <c r="F1101" i="2"/>
  <c r="D1101" i="2"/>
  <c r="H1101" i="2"/>
  <c r="E1101" i="2"/>
  <c r="B1102" i="2" a="1"/>
  <c r="B1102" i="2" s="1"/>
  <c r="G1102" i="2" l="1"/>
  <c r="H1102" i="2"/>
  <c r="F1102" i="2"/>
  <c r="E1102" i="2"/>
  <c r="D1102" i="2"/>
  <c r="C1102" i="2"/>
  <c r="B1103" i="2" a="1"/>
  <c r="B1103" i="2" s="1"/>
  <c r="D1103" i="2" l="1"/>
  <c r="C1103" i="2"/>
  <c r="H1103" i="2"/>
  <c r="G1103" i="2"/>
  <c r="F1103" i="2"/>
  <c r="E1103" i="2"/>
  <c r="B1104" i="2" a="1"/>
  <c r="B1104" i="2" s="1"/>
  <c r="H1104" i="2" l="1"/>
  <c r="D1104" i="2"/>
  <c r="C1104" i="2"/>
  <c r="G1104" i="2"/>
  <c r="F1104" i="2"/>
  <c r="E1104" i="2"/>
  <c r="B1105" i="2" a="1"/>
  <c r="B1105" i="2" s="1"/>
  <c r="E1105" i="2" l="1"/>
  <c r="G1105" i="2"/>
  <c r="H1105" i="2"/>
  <c r="F1105" i="2"/>
  <c r="D1105" i="2"/>
  <c r="C1105" i="2"/>
  <c r="B1106" i="2" a="1"/>
  <c r="B1106" i="2" s="1"/>
  <c r="G1106" i="2" l="1"/>
  <c r="H1106" i="2"/>
  <c r="F1106" i="2"/>
  <c r="C1106" i="2"/>
  <c r="E1106" i="2"/>
  <c r="D1106" i="2"/>
  <c r="B1107" i="2" a="1"/>
  <c r="B1107" i="2" s="1"/>
  <c r="H1107" i="2" l="1"/>
  <c r="G1107" i="2"/>
  <c r="F1107" i="2"/>
  <c r="E1107" i="2"/>
  <c r="D1107" i="2"/>
  <c r="C1107" i="2"/>
  <c r="B1108" i="2" a="1"/>
  <c r="B1108" i="2" s="1"/>
  <c r="C1108" i="2" l="1"/>
  <c r="H1108" i="2"/>
  <c r="F1108" i="2"/>
  <c r="D1108" i="2"/>
  <c r="E1108" i="2"/>
  <c r="G1108" i="2"/>
  <c r="B1109" i="2" a="1"/>
  <c r="B1109" i="2" s="1"/>
  <c r="H1109" i="2" l="1"/>
  <c r="G1109" i="2"/>
  <c r="F1109" i="2"/>
  <c r="E1109" i="2"/>
  <c r="D1109" i="2"/>
  <c r="C1109" i="2"/>
  <c r="B1110" i="2" a="1"/>
  <c r="B1110" i="2" s="1"/>
  <c r="F1110" i="2" l="1"/>
  <c r="D1110" i="2"/>
  <c r="C1110" i="2"/>
  <c r="H1110" i="2"/>
  <c r="G1110" i="2"/>
  <c r="E1110" i="2"/>
  <c r="B1111" i="2" a="1"/>
  <c r="B1111" i="2" s="1"/>
  <c r="E1111" i="2" l="1"/>
  <c r="G1111" i="2"/>
  <c r="D1111" i="2"/>
  <c r="C1111" i="2"/>
  <c r="F1111" i="2"/>
  <c r="H1111" i="2"/>
  <c r="B1112" i="2" a="1"/>
  <c r="B1112" i="2" s="1"/>
  <c r="H1112" i="2" l="1"/>
  <c r="G1112" i="2"/>
  <c r="F1112" i="2"/>
  <c r="E1112" i="2"/>
  <c r="D1112" i="2"/>
  <c r="C1112" i="2"/>
  <c r="B1113" i="2" a="1"/>
  <c r="B1113" i="2" s="1"/>
  <c r="E1113" i="2" l="1"/>
  <c r="C1113" i="2"/>
  <c r="H1113" i="2"/>
  <c r="G1113" i="2"/>
  <c r="F1113" i="2"/>
  <c r="D1113" i="2"/>
  <c r="B1114" i="2" a="1"/>
  <c r="B1114" i="2" s="1"/>
  <c r="H1114" i="2" l="1"/>
  <c r="F1114" i="2"/>
  <c r="E1114" i="2"/>
  <c r="D1114" i="2"/>
  <c r="C1114" i="2"/>
  <c r="G1114" i="2"/>
  <c r="B1115" i="2" a="1"/>
  <c r="B1115" i="2" s="1"/>
  <c r="G1115" i="2" l="1"/>
  <c r="H1115" i="2"/>
  <c r="F1115" i="2"/>
  <c r="E1115" i="2"/>
  <c r="C1115" i="2"/>
  <c r="D1115" i="2"/>
  <c r="B1116" i="2" a="1"/>
  <c r="B1116" i="2" s="1"/>
  <c r="C1116" i="2" l="1"/>
  <c r="E1116" i="2"/>
  <c r="D1116" i="2"/>
  <c r="H1116" i="2"/>
  <c r="G1116" i="2"/>
  <c r="F1116" i="2"/>
  <c r="B1117" i="2" a="1"/>
  <c r="B1117" i="2" s="1"/>
  <c r="G1117" i="2" l="1"/>
  <c r="H1117" i="2"/>
  <c r="F1117" i="2"/>
  <c r="E1117" i="2"/>
  <c r="D1117" i="2"/>
  <c r="C1117" i="2"/>
  <c r="B1118" i="2" a="1"/>
  <c r="B1118" i="2" s="1"/>
  <c r="H1118" i="2" l="1"/>
  <c r="G1118" i="2"/>
  <c r="F1118" i="2"/>
  <c r="E1118" i="2"/>
  <c r="D1118" i="2"/>
  <c r="C1118" i="2"/>
  <c r="B1119" i="2" a="1"/>
  <c r="B1119" i="2" s="1"/>
  <c r="G1119" i="2" l="1"/>
  <c r="F1119" i="2"/>
  <c r="E1119" i="2"/>
  <c r="D1119" i="2"/>
  <c r="H1119" i="2"/>
  <c r="C1119" i="2"/>
  <c r="B1120" i="2" a="1"/>
  <c r="B1120" i="2" s="1"/>
  <c r="G1120" i="2" l="1"/>
  <c r="H1120" i="2"/>
  <c r="F1120" i="2"/>
  <c r="E1120" i="2"/>
  <c r="D1120" i="2"/>
  <c r="C1120" i="2"/>
  <c r="B1121" i="2" a="1"/>
  <c r="B1121" i="2" s="1"/>
  <c r="G1121" i="2" l="1"/>
  <c r="F1121" i="2"/>
  <c r="E1121" i="2"/>
  <c r="D1121" i="2"/>
  <c r="C1121" i="2"/>
  <c r="H1121" i="2"/>
  <c r="B1122" i="2" a="1"/>
  <c r="B1122" i="2" s="1"/>
  <c r="F1122" i="2" l="1"/>
  <c r="G1122" i="2"/>
  <c r="E1122" i="2"/>
  <c r="D1122" i="2"/>
  <c r="C1122" i="2"/>
  <c r="H1122" i="2"/>
  <c r="B1123" i="2" a="1"/>
  <c r="B1123" i="2" s="1"/>
  <c r="G1123" i="2" l="1"/>
  <c r="H1123" i="2"/>
  <c r="F1123" i="2"/>
  <c r="E1123" i="2"/>
  <c r="D1123" i="2"/>
  <c r="C1123" i="2"/>
  <c r="B1124" i="2" a="1"/>
  <c r="B1124" i="2" s="1"/>
  <c r="E1124" i="2" l="1"/>
  <c r="C1124" i="2"/>
  <c r="F1124" i="2"/>
  <c r="D1124" i="2"/>
  <c r="H1124" i="2"/>
  <c r="G1124" i="2"/>
  <c r="B1125" i="2" a="1"/>
  <c r="B1125" i="2" s="1"/>
  <c r="C1125" i="2" l="1"/>
  <c r="H1125" i="2"/>
  <c r="G1125" i="2"/>
  <c r="F1125" i="2"/>
  <c r="E1125" i="2"/>
  <c r="D1125" i="2"/>
  <c r="B1126" i="2" a="1"/>
  <c r="B1126" i="2" s="1"/>
  <c r="G1126" i="2" l="1"/>
  <c r="C1126" i="2"/>
  <c r="H1126" i="2"/>
  <c r="F1126" i="2"/>
  <c r="E1126" i="2"/>
  <c r="D1126" i="2"/>
  <c r="B1127" i="2" a="1"/>
  <c r="B1127" i="2" s="1"/>
  <c r="H1127" i="2" l="1"/>
  <c r="G1127" i="2"/>
  <c r="F1127" i="2"/>
  <c r="E1127" i="2"/>
  <c r="D1127" i="2"/>
  <c r="C1127" i="2"/>
  <c r="B1128" i="2" a="1"/>
  <c r="B1128" i="2" s="1"/>
  <c r="C1128" i="2" l="1"/>
  <c r="H1128" i="2"/>
  <c r="G1128" i="2"/>
  <c r="F1128" i="2"/>
  <c r="E1128" i="2"/>
  <c r="D1128" i="2"/>
  <c r="B1129" i="2" a="1"/>
  <c r="B1129" i="2" s="1"/>
  <c r="G1129" i="2" l="1"/>
  <c r="E1129" i="2"/>
  <c r="D1129" i="2"/>
  <c r="C1129" i="2"/>
  <c r="H1129" i="2"/>
  <c r="F1129" i="2"/>
  <c r="B1130" i="2" a="1"/>
  <c r="B1130" i="2" s="1"/>
  <c r="G1130" i="2" l="1"/>
  <c r="E1130" i="2"/>
  <c r="D1130" i="2"/>
  <c r="C1130" i="2"/>
  <c r="F1130" i="2"/>
  <c r="H1130" i="2"/>
  <c r="B1131" i="2" a="1"/>
  <c r="B1131" i="2" s="1"/>
  <c r="C1131" i="2" l="1"/>
  <c r="H1131" i="2"/>
  <c r="G1131" i="2"/>
  <c r="F1131" i="2"/>
  <c r="E1131" i="2"/>
  <c r="D1131" i="2"/>
  <c r="B1132" i="2" a="1"/>
  <c r="B1132" i="2" s="1"/>
  <c r="G1132" i="2" l="1"/>
  <c r="H1132" i="2"/>
  <c r="F1132" i="2"/>
  <c r="E1132" i="2"/>
  <c r="D1132" i="2"/>
  <c r="C1132" i="2"/>
  <c r="B1133" i="2" a="1"/>
  <c r="B1133" i="2" s="1"/>
  <c r="G1133" i="2" l="1"/>
  <c r="F1133" i="2"/>
  <c r="E1133" i="2"/>
  <c r="D1133" i="2"/>
  <c r="C1133" i="2"/>
  <c r="H1133" i="2"/>
  <c r="B1134" i="2" a="1"/>
  <c r="B1134" i="2" s="1"/>
  <c r="C1134" i="2" l="1"/>
  <c r="E1134" i="2"/>
  <c r="D1134" i="2"/>
  <c r="H1134" i="2"/>
  <c r="G1134" i="2"/>
  <c r="F1134" i="2"/>
  <c r="B1135" i="2" a="1"/>
  <c r="B1135" i="2" s="1"/>
  <c r="G1135" i="2" l="1"/>
  <c r="H1135" i="2"/>
  <c r="F1135" i="2"/>
  <c r="E1135" i="2"/>
  <c r="D1135" i="2"/>
  <c r="C1135" i="2"/>
  <c r="B1136" i="2" a="1"/>
  <c r="B1136" i="2" s="1"/>
  <c r="C1136" i="2" l="1"/>
  <c r="H1136" i="2"/>
  <c r="G1136" i="2"/>
  <c r="F1136" i="2"/>
  <c r="E1136" i="2"/>
  <c r="D1136" i="2"/>
  <c r="B1137" i="2" a="1"/>
  <c r="B1137" i="2" s="1"/>
  <c r="E1137" i="2" l="1"/>
  <c r="C1137" i="2"/>
  <c r="G1137" i="2"/>
  <c r="F1137" i="2"/>
  <c r="D1137" i="2"/>
  <c r="H1137" i="2"/>
  <c r="B1138" i="2" a="1"/>
  <c r="B1138" i="2" s="1"/>
  <c r="G1138" i="2" l="1"/>
  <c r="H1138" i="2"/>
  <c r="F1138" i="2"/>
  <c r="E1138" i="2"/>
  <c r="D1138" i="2"/>
  <c r="C1138" i="2"/>
  <c r="B1139" i="2" a="1"/>
  <c r="B1139" i="2" s="1"/>
  <c r="D1139" i="2" l="1"/>
  <c r="F1139" i="2"/>
  <c r="G1139" i="2"/>
  <c r="E1139" i="2"/>
  <c r="C1139" i="2"/>
  <c r="H1139" i="2"/>
  <c r="B1140" i="2" a="1"/>
  <c r="B1140" i="2" s="1"/>
  <c r="C1140" i="2" l="1"/>
  <c r="H1140" i="2"/>
  <c r="G1140" i="2"/>
  <c r="F1140" i="2"/>
  <c r="E1140" i="2"/>
  <c r="D1140" i="2"/>
  <c r="B1141" i="2" a="1"/>
  <c r="B1141" i="2" s="1"/>
  <c r="G1141" i="2" l="1"/>
  <c r="D1141" i="2"/>
  <c r="C1141" i="2"/>
  <c r="H1141" i="2"/>
  <c r="F1141" i="2"/>
  <c r="E1141" i="2"/>
  <c r="B1142" i="2" a="1"/>
  <c r="B1142" i="2" s="1"/>
  <c r="E1142" i="2" l="1"/>
  <c r="D1142" i="2"/>
  <c r="C1142" i="2"/>
  <c r="H1142" i="2"/>
  <c r="G1142" i="2"/>
  <c r="F1142" i="2"/>
  <c r="B1143" i="2" a="1"/>
  <c r="B1143" i="2" s="1"/>
  <c r="C1143" i="2" l="1"/>
  <c r="H1143" i="2"/>
  <c r="G1143" i="2"/>
  <c r="F1143" i="2"/>
  <c r="E1143" i="2"/>
  <c r="D1143" i="2"/>
  <c r="B1144" i="2" a="1"/>
  <c r="B1144" i="2" s="1"/>
  <c r="F1144" i="2" l="1"/>
  <c r="H1144" i="2"/>
  <c r="G1144" i="2"/>
  <c r="E1144" i="2"/>
  <c r="D1144" i="2"/>
  <c r="C1144" i="2"/>
  <c r="B1145" i="2" a="1"/>
  <c r="B1145" i="2" s="1"/>
  <c r="E1145" i="2" l="1"/>
  <c r="H1145" i="2"/>
  <c r="G1145" i="2"/>
  <c r="F1145" i="2"/>
  <c r="D1145" i="2"/>
  <c r="C1145" i="2"/>
  <c r="B1146" i="2" a="1"/>
  <c r="B1146" i="2" s="1"/>
  <c r="D1146" i="2" l="1"/>
  <c r="G1146" i="2"/>
  <c r="F1146" i="2"/>
  <c r="E1146" i="2"/>
  <c r="H1146" i="2"/>
  <c r="C1146" i="2"/>
  <c r="B1147" i="2" a="1"/>
  <c r="B1147" i="2" s="1"/>
  <c r="E1147" i="2" l="1"/>
  <c r="H1147" i="2"/>
  <c r="F1147" i="2"/>
  <c r="D1147" i="2"/>
  <c r="C1147" i="2"/>
  <c r="G1147" i="2"/>
  <c r="B1148" i="2" a="1"/>
  <c r="B1148" i="2" s="1"/>
  <c r="G1148" i="2" l="1"/>
  <c r="F1148" i="2"/>
  <c r="E1148" i="2"/>
  <c r="D1148" i="2"/>
  <c r="C1148" i="2"/>
  <c r="H1148" i="2"/>
  <c r="B1149" i="2" a="1"/>
  <c r="B1149" i="2" s="1"/>
  <c r="D1149" i="2" l="1"/>
  <c r="C1149" i="2"/>
  <c r="F1149" i="2"/>
  <c r="H1149" i="2"/>
  <c r="E1149" i="2"/>
  <c r="G1149" i="2"/>
  <c r="B1150" i="2" a="1"/>
  <c r="B1150" i="2" s="1"/>
  <c r="H1150" i="2" l="1"/>
  <c r="G1150" i="2"/>
  <c r="D1150" i="2"/>
  <c r="F1150" i="2"/>
  <c r="E1150" i="2"/>
  <c r="C1150" i="2"/>
  <c r="B1151" i="2" a="1"/>
  <c r="B1151" i="2" s="1"/>
  <c r="C1151" i="2" l="1"/>
  <c r="H1151" i="2"/>
  <c r="G1151" i="2"/>
  <c r="F1151" i="2"/>
  <c r="E1151" i="2"/>
  <c r="D1151" i="2"/>
  <c r="B1152" i="2" a="1"/>
  <c r="B1152" i="2" s="1"/>
  <c r="C1152" i="2" l="1"/>
  <c r="H1152" i="2"/>
  <c r="F1152" i="2"/>
  <c r="E1152" i="2"/>
  <c r="D1152" i="2"/>
  <c r="G1152" i="2"/>
  <c r="B1153" i="2" a="1"/>
  <c r="B1153" i="2" s="1"/>
  <c r="G1153" i="2" l="1"/>
  <c r="F1153" i="2"/>
  <c r="H1153" i="2"/>
  <c r="E1153" i="2"/>
  <c r="D1153" i="2"/>
  <c r="C1153" i="2"/>
  <c r="B1154" i="2" a="1"/>
  <c r="B1154" i="2" s="1"/>
  <c r="H1154" i="2" l="1"/>
  <c r="G1154" i="2"/>
  <c r="E1154" i="2"/>
  <c r="F1154" i="2"/>
  <c r="D1154" i="2"/>
  <c r="C1154" i="2"/>
  <c r="B1155" i="2" a="1"/>
  <c r="B1155" i="2" s="1"/>
  <c r="C1155" i="2" l="1"/>
  <c r="D1155" i="2"/>
  <c r="H1155" i="2"/>
  <c r="G1155" i="2"/>
  <c r="F1155" i="2"/>
  <c r="E1155" i="2"/>
  <c r="B1156" i="2" a="1"/>
  <c r="B1156" i="2" s="1"/>
  <c r="G1156" i="2" l="1"/>
  <c r="E1156" i="2"/>
  <c r="D1156" i="2"/>
  <c r="C1156" i="2"/>
  <c r="H1156" i="2"/>
  <c r="F1156" i="2"/>
  <c r="B1157" i="2" a="1"/>
  <c r="B1157" i="2" s="1"/>
  <c r="F1157" i="2" l="1"/>
  <c r="E1157" i="2"/>
  <c r="D1157" i="2"/>
  <c r="G1157" i="2"/>
  <c r="H1157" i="2"/>
  <c r="C1157" i="2"/>
  <c r="B1158" i="2" a="1"/>
  <c r="B1158" i="2" s="1"/>
  <c r="C1158" i="2" l="1"/>
  <c r="G1158" i="2"/>
  <c r="F1158" i="2"/>
  <c r="E1158" i="2"/>
  <c r="D1158" i="2"/>
  <c r="H1158" i="2"/>
  <c r="B1159" i="2" a="1"/>
  <c r="B1159" i="2" s="1"/>
  <c r="G1159" i="2" l="1"/>
  <c r="D1159" i="2"/>
  <c r="H1159" i="2"/>
  <c r="F1159" i="2"/>
  <c r="E1159" i="2"/>
  <c r="C1159" i="2"/>
  <c r="B1160" i="2" a="1"/>
  <c r="B1160" i="2" s="1"/>
  <c r="C1160" i="2" l="1"/>
  <c r="G1160" i="2"/>
  <c r="F1160" i="2"/>
  <c r="E1160" i="2"/>
  <c r="D1160" i="2"/>
  <c r="H1160" i="2"/>
  <c r="B1161" i="2" a="1"/>
  <c r="B1161" i="2" s="1"/>
  <c r="C1161" i="2" l="1"/>
  <c r="H1161" i="2"/>
  <c r="G1161" i="2"/>
  <c r="F1161" i="2"/>
  <c r="E1161" i="2"/>
  <c r="D1161" i="2"/>
  <c r="B1162" i="2" a="1"/>
  <c r="B1162" i="2" s="1"/>
  <c r="G1162" i="2" l="1"/>
  <c r="E1162" i="2"/>
  <c r="C1162" i="2"/>
  <c r="F1162" i="2"/>
  <c r="D1162" i="2"/>
  <c r="H1162" i="2"/>
  <c r="B1163" i="2" a="1"/>
  <c r="B1163" i="2" s="1"/>
  <c r="E1163" i="2" l="1"/>
  <c r="H1163" i="2"/>
  <c r="G1163" i="2"/>
  <c r="F1163" i="2"/>
  <c r="D1163" i="2"/>
  <c r="C1163" i="2"/>
  <c r="B1164" i="2" a="1"/>
  <c r="B1164" i="2" s="1"/>
  <c r="G1164" i="2" l="1"/>
  <c r="E1164" i="2"/>
  <c r="C1164" i="2"/>
  <c r="D1164" i="2"/>
  <c r="H1164" i="2"/>
  <c r="F1164" i="2"/>
  <c r="B1165" i="2" a="1"/>
  <c r="B1165" i="2" s="1"/>
  <c r="D1165" i="2" l="1"/>
  <c r="C1165" i="2"/>
  <c r="G1165" i="2"/>
  <c r="F1165" i="2"/>
  <c r="H1165" i="2"/>
  <c r="E1165" i="2"/>
  <c r="B1166" i="2" a="1"/>
  <c r="B1166" i="2" s="1"/>
  <c r="G1166" i="2" l="1"/>
  <c r="C1166" i="2"/>
  <c r="H1166" i="2"/>
  <c r="F1166" i="2"/>
  <c r="D1166" i="2"/>
  <c r="E1166" i="2"/>
  <c r="B1167" i="2" a="1"/>
  <c r="B1167" i="2" s="1"/>
  <c r="C1167" i="2" l="1"/>
  <c r="F1167" i="2"/>
  <c r="D1167" i="2"/>
  <c r="H1167" i="2"/>
  <c r="G1167" i="2"/>
  <c r="E1167" i="2"/>
  <c r="B1168" i="2" a="1"/>
  <c r="B1168" i="2" s="1"/>
  <c r="H1168" i="2" l="1"/>
  <c r="F1168" i="2"/>
  <c r="E1168" i="2"/>
  <c r="C1168" i="2"/>
  <c r="G1168" i="2"/>
  <c r="D1168" i="2"/>
  <c r="B1169" i="2" a="1"/>
  <c r="B1169" i="2" s="1"/>
  <c r="E1169" i="2" l="1"/>
  <c r="D1169" i="2"/>
  <c r="H1169" i="2"/>
  <c r="G1169" i="2"/>
  <c r="C1169" i="2"/>
  <c r="F1169" i="2"/>
  <c r="B1170" i="2" a="1"/>
  <c r="B1170" i="2" s="1"/>
  <c r="C1170" i="2" l="1"/>
  <c r="H1170" i="2"/>
  <c r="F1170" i="2"/>
  <c r="G1170" i="2"/>
  <c r="E1170" i="2"/>
  <c r="D1170" i="2"/>
  <c r="B1171" i="2" a="1"/>
  <c r="B1171" i="2" s="1"/>
  <c r="H1171" i="2" l="1"/>
  <c r="E1171" i="2"/>
  <c r="C1171" i="2"/>
  <c r="G1171" i="2"/>
  <c r="F1171" i="2"/>
  <c r="D1171" i="2"/>
  <c r="B1172" i="2" a="1"/>
  <c r="B1172" i="2" s="1"/>
  <c r="E1172" i="2" l="1"/>
  <c r="C1172" i="2"/>
  <c r="H1172" i="2"/>
  <c r="G1172" i="2"/>
  <c r="F1172" i="2"/>
  <c r="D1172" i="2"/>
  <c r="B1173" i="2" a="1"/>
  <c r="B1173" i="2" s="1"/>
  <c r="F1173" i="2" l="1"/>
  <c r="E1173" i="2"/>
  <c r="C1173" i="2"/>
  <c r="D1173" i="2"/>
  <c r="H1173" i="2"/>
  <c r="G1173" i="2"/>
  <c r="B1174" i="2" a="1"/>
  <c r="B1174" i="2" s="1"/>
  <c r="G1174" i="2" l="1"/>
  <c r="F1174" i="2"/>
  <c r="E1174" i="2"/>
  <c r="D1174" i="2"/>
  <c r="C1174" i="2"/>
  <c r="H1174" i="2"/>
  <c r="B1175" i="2" a="1"/>
  <c r="B1175" i="2" s="1"/>
  <c r="G1175" i="2" l="1"/>
  <c r="E1175" i="2"/>
  <c r="H1175" i="2"/>
  <c r="F1175" i="2"/>
  <c r="D1175" i="2"/>
  <c r="C1175" i="2"/>
  <c r="B1176" i="2" a="1"/>
  <c r="B1176" i="2" s="1"/>
  <c r="C1176" i="2" l="1"/>
  <c r="F1176" i="2"/>
  <c r="D1176" i="2"/>
  <c r="H1176" i="2"/>
  <c r="G1176" i="2"/>
  <c r="E1176" i="2"/>
  <c r="B1177" i="2" a="1"/>
  <c r="B1177" i="2" s="1"/>
  <c r="E1177" i="2" l="1"/>
  <c r="G1177" i="2"/>
  <c r="D1177" i="2"/>
  <c r="H1177" i="2"/>
  <c r="F1177" i="2"/>
  <c r="C1177" i="2"/>
  <c r="B1178" i="2" a="1"/>
  <c r="B1178" i="2" s="1"/>
  <c r="C1178" i="2" l="1"/>
  <c r="G1178" i="2"/>
  <c r="H1178" i="2"/>
  <c r="F1178" i="2"/>
  <c r="E1178" i="2"/>
  <c r="D1178" i="2"/>
  <c r="B1179" i="2" a="1"/>
  <c r="B1179" i="2" s="1"/>
  <c r="H1179" i="2" l="1"/>
  <c r="F1179" i="2"/>
  <c r="E1179" i="2"/>
  <c r="D1179" i="2"/>
  <c r="G1179" i="2"/>
  <c r="C1179" i="2"/>
  <c r="B1180" i="2" a="1"/>
  <c r="B1180" i="2" s="1"/>
  <c r="F1180" i="2" l="1"/>
  <c r="D1180" i="2"/>
  <c r="H1180" i="2"/>
  <c r="E1180" i="2"/>
  <c r="C1180" i="2"/>
  <c r="G1180" i="2"/>
  <c r="B1181" i="2" a="1"/>
  <c r="B1181" i="2" s="1"/>
  <c r="H1181" i="2" l="1"/>
  <c r="G1181" i="2"/>
  <c r="F1181" i="2"/>
  <c r="E1181" i="2"/>
  <c r="C1181" i="2"/>
  <c r="D1181" i="2"/>
  <c r="B1182" i="2" a="1"/>
  <c r="B1182" i="2" s="1"/>
  <c r="C1182" i="2" l="1"/>
  <c r="H1182" i="2"/>
  <c r="D1182" i="2"/>
  <c r="G1182" i="2"/>
  <c r="F1182" i="2"/>
  <c r="E1182" i="2"/>
  <c r="B1183" i="2" a="1"/>
  <c r="B1183" i="2" s="1"/>
  <c r="D1183" i="2" l="1"/>
  <c r="C1183" i="2"/>
  <c r="G1183" i="2"/>
  <c r="H1183" i="2"/>
  <c r="E1183" i="2"/>
  <c r="F1183" i="2"/>
  <c r="B1184" i="2" a="1"/>
  <c r="B1184" i="2" s="1"/>
  <c r="E1184" i="2" l="1"/>
  <c r="D1184" i="2"/>
  <c r="C1184" i="2"/>
  <c r="H1184" i="2"/>
  <c r="F1184" i="2"/>
  <c r="G1184" i="2"/>
  <c r="B1185" i="2" a="1"/>
  <c r="B1185" i="2" s="1"/>
  <c r="E1185" i="2" l="1"/>
  <c r="C1185" i="2"/>
  <c r="F1185" i="2"/>
  <c r="D1185" i="2"/>
  <c r="H1185" i="2"/>
  <c r="G1185" i="2"/>
  <c r="B1186" i="2" a="1"/>
  <c r="B1186" i="2" s="1"/>
  <c r="G1186" i="2" l="1"/>
  <c r="D1186" i="2"/>
  <c r="H1186" i="2"/>
  <c r="F1186" i="2"/>
  <c r="E1186" i="2"/>
  <c r="C1186" i="2"/>
  <c r="B1187" i="2" a="1"/>
  <c r="B1187" i="2" s="1"/>
  <c r="D1187" i="2" l="1"/>
  <c r="G1187" i="2"/>
  <c r="C1187" i="2"/>
  <c r="H1187" i="2"/>
  <c r="F1187" i="2"/>
  <c r="E1187" i="2"/>
  <c r="B1188" i="2" a="1"/>
  <c r="B1188" i="2" s="1"/>
  <c r="C1188" i="2" l="1"/>
  <c r="D1188" i="2"/>
  <c r="H1188" i="2"/>
  <c r="F1188" i="2"/>
  <c r="G1188" i="2"/>
  <c r="E1188" i="2"/>
  <c r="B1189" i="2" a="1"/>
  <c r="B1189" i="2" s="1"/>
  <c r="F1189" i="2" l="1"/>
  <c r="D1189" i="2"/>
  <c r="E1189" i="2"/>
  <c r="C1189" i="2"/>
  <c r="H1189" i="2"/>
  <c r="G1189" i="2"/>
  <c r="B1190" i="2" a="1"/>
  <c r="B1190" i="2" s="1"/>
  <c r="E1190" i="2" l="1"/>
  <c r="C1190" i="2"/>
  <c r="H1190" i="2"/>
  <c r="G1190" i="2"/>
  <c r="F1190" i="2"/>
  <c r="D1190" i="2"/>
  <c r="B1191" i="2" a="1"/>
  <c r="B1191" i="2" s="1"/>
  <c r="C1191" i="2" l="1"/>
  <c r="F1191" i="2"/>
  <c r="D1191" i="2"/>
  <c r="H1191" i="2"/>
  <c r="G1191" i="2"/>
  <c r="E1191" i="2"/>
  <c r="B1192" i="2" a="1"/>
  <c r="B1192" i="2" s="1"/>
  <c r="C1192" i="2" l="1"/>
  <c r="D1192" i="2"/>
  <c r="H1192" i="2"/>
  <c r="E1192" i="2"/>
  <c r="G1192" i="2"/>
  <c r="F1192" i="2"/>
  <c r="B1193" i="2" a="1"/>
  <c r="B1193" i="2" s="1"/>
  <c r="D1193" i="2" l="1"/>
  <c r="C1193" i="2"/>
  <c r="G1193" i="2"/>
  <c r="E1193" i="2"/>
  <c r="H1193" i="2"/>
  <c r="F1193" i="2"/>
  <c r="B1194" i="2" a="1"/>
  <c r="B1194" i="2" s="1"/>
  <c r="E1194" i="2" l="1"/>
  <c r="C1194" i="2"/>
  <c r="H1194" i="2"/>
  <c r="G1194" i="2"/>
  <c r="F1194" i="2"/>
  <c r="D1194" i="2"/>
  <c r="B1195" i="2" a="1"/>
  <c r="B1195" i="2" s="1"/>
  <c r="H1195" i="2" l="1"/>
  <c r="G1195" i="2"/>
  <c r="D1195" i="2"/>
  <c r="F1195" i="2"/>
  <c r="C1195" i="2"/>
  <c r="E1195" i="2"/>
  <c r="B1196" i="2" a="1"/>
  <c r="B1196" i="2" s="1"/>
  <c r="D1196" i="2" l="1"/>
  <c r="C1196" i="2"/>
  <c r="G1196" i="2"/>
  <c r="F1196" i="2"/>
  <c r="E1196" i="2"/>
  <c r="H1196" i="2"/>
  <c r="B1197" i="2" a="1"/>
  <c r="B1197" i="2" s="1"/>
  <c r="C1197" i="2" l="1"/>
  <c r="H1197" i="2"/>
  <c r="F1197" i="2"/>
  <c r="G1197" i="2"/>
  <c r="E1197" i="2"/>
  <c r="D1197" i="2"/>
  <c r="B1198" i="2" a="1"/>
  <c r="B1198" i="2" s="1"/>
  <c r="G1198" i="2" l="1"/>
  <c r="F1198" i="2"/>
  <c r="D1198" i="2"/>
  <c r="H1198" i="2"/>
  <c r="E1198" i="2"/>
  <c r="C1198" i="2"/>
  <c r="B1199" i="2" a="1"/>
  <c r="B1199" i="2" s="1"/>
  <c r="G1199" i="2" l="1"/>
  <c r="F1199" i="2"/>
  <c r="E1199" i="2"/>
  <c r="C1199" i="2"/>
  <c r="H1199" i="2"/>
  <c r="D1199" i="2"/>
  <c r="B1200" i="2" a="1"/>
  <c r="B1200" i="2" s="1"/>
  <c r="C1200" i="2" l="1"/>
  <c r="H1200" i="2"/>
  <c r="G1200" i="2"/>
  <c r="D1200" i="2"/>
  <c r="F1200" i="2"/>
  <c r="E1200" i="2"/>
  <c r="B1201" i="2" a="1"/>
  <c r="B1201" i="2" s="1"/>
  <c r="H1201" i="2" l="1"/>
  <c r="G1201" i="2"/>
  <c r="D1201" i="2"/>
  <c r="C1201" i="2"/>
  <c r="F1201" i="2"/>
  <c r="E1201" i="2"/>
  <c r="B1202" i="2" a="1"/>
  <c r="B1202" i="2" s="1"/>
  <c r="D1202" i="2" l="1"/>
  <c r="F1202" i="2"/>
  <c r="C1202" i="2"/>
  <c r="H1202" i="2"/>
  <c r="G1202" i="2"/>
  <c r="E1202" i="2"/>
  <c r="B1203" i="2" a="1"/>
  <c r="B1203" i="2" s="1"/>
  <c r="C1203" i="2" l="1"/>
  <c r="F1203" i="2"/>
  <c r="E1203" i="2"/>
  <c r="D1203" i="2"/>
  <c r="H1203" i="2"/>
  <c r="G1203" i="2"/>
  <c r="B1204" i="2" a="1"/>
  <c r="B1204" i="2" s="1"/>
  <c r="G1204" i="2" l="1"/>
  <c r="F1204" i="2"/>
  <c r="E1204" i="2"/>
  <c r="D1204" i="2"/>
  <c r="H1204" i="2"/>
  <c r="C1204" i="2"/>
  <c r="B1205" i="2" a="1"/>
  <c r="B1205" i="2" s="1"/>
  <c r="G1205" i="2" l="1"/>
  <c r="F1205" i="2"/>
  <c r="C1205" i="2"/>
  <c r="H1205" i="2"/>
  <c r="E1205" i="2"/>
  <c r="D1205" i="2"/>
  <c r="B1206" i="2" a="1"/>
  <c r="B1206" i="2" s="1"/>
  <c r="D1206" i="2" l="1"/>
  <c r="G1206" i="2"/>
  <c r="F1206" i="2"/>
  <c r="E1206" i="2"/>
  <c r="C1206" i="2"/>
  <c r="H1206" i="2"/>
  <c r="B1207" i="2" a="1"/>
  <c r="B1207" i="2" s="1"/>
  <c r="D1207" i="2" l="1"/>
  <c r="C1207" i="2"/>
  <c r="E1207" i="2"/>
  <c r="G1207" i="2"/>
  <c r="H1207" i="2"/>
  <c r="F1207" i="2"/>
  <c r="B1208" i="2" a="1"/>
  <c r="B1208" i="2" s="1"/>
  <c r="H1208" i="2" l="1"/>
  <c r="E1208" i="2"/>
  <c r="D1208" i="2"/>
  <c r="C1208" i="2"/>
  <c r="G1208" i="2"/>
  <c r="F1208" i="2"/>
  <c r="B1209" i="2" a="1"/>
  <c r="B1209" i="2" s="1"/>
  <c r="F1209" i="2" l="1"/>
  <c r="D1209" i="2"/>
  <c r="C1209" i="2"/>
  <c r="E1209" i="2"/>
  <c r="H1209" i="2"/>
  <c r="G1209" i="2"/>
  <c r="B1210" i="2" a="1"/>
  <c r="B1210" i="2" s="1"/>
  <c r="H1210" i="2" l="1"/>
  <c r="D1210" i="2"/>
  <c r="C1210" i="2"/>
  <c r="G1210" i="2"/>
  <c r="F1210" i="2"/>
  <c r="E1210" i="2"/>
  <c r="B1211" i="2" a="1"/>
  <c r="B1211" i="2" s="1"/>
  <c r="E1211" i="2" l="1"/>
  <c r="H1211" i="2"/>
  <c r="D1211" i="2"/>
  <c r="C1211" i="2"/>
  <c r="G1211" i="2"/>
  <c r="F1211" i="2"/>
  <c r="B1212" i="2" a="1"/>
  <c r="B1212" i="2" s="1"/>
  <c r="C1212" i="2" l="1"/>
  <c r="H1212" i="2"/>
  <c r="G1212" i="2"/>
  <c r="F1212" i="2"/>
  <c r="D1212" i="2"/>
  <c r="E1212" i="2"/>
  <c r="B1213" i="2" a="1"/>
  <c r="B1213" i="2" s="1"/>
  <c r="G1213" i="2" l="1"/>
  <c r="H1213" i="2"/>
  <c r="D1213" i="2"/>
  <c r="C1213" i="2"/>
  <c r="F1213" i="2"/>
  <c r="E1213" i="2"/>
  <c r="B1214" i="2" a="1"/>
  <c r="B1214" i="2" s="1"/>
  <c r="H1214" i="2" l="1"/>
  <c r="E1214" i="2"/>
  <c r="D1214" i="2"/>
  <c r="C1214" i="2"/>
  <c r="G1214" i="2"/>
  <c r="F1214" i="2"/>
  <c r="B1215" i="2" a="1"/>
  <c r="B1215" i="2" s="1"/>
  <c r="H1215" i="2" l="1"/>
  <c r="F1215" i="2"/>
  <c r="E1215" i="2"/>
  <c r="G1215" i="2"/>
  <c r="D1215" i="2"/>
  <c r="C1215" i="2"/>
  <c r="B1216" i="2" a="1"/>
  <c r="B1216" i="2" s="1"/>
  <c r="D1216" i="2" l="1"/>
  <c r="G1216" i="2"/>
  <c r="F1216" i="2"/>
  <c r="E1216" i="2"/>
  <c r="H1216" i="2"/>
  <c r="C1216" i="2"/>
  <c r="B1217" i="2" a="1"/>
  <c r="B1217" i="2" s="1"/>
  <c r="G1217" i="2" l="1"/>
  <c r="F1217" i="2"/>
  <c r="E1217" i="2"/>
  <c r="C1217" i="2"/>
  <c r="H1217" i="2"/>
  <c r="D1217" i="2"/>
  <c r="B1218" i="2" a="1"/>
  <c r="B1218" i="2" s="1"/>
  <c r="C1218" i="2" l="1"/>
  <c r="H1218" i="2"/>
  <c r="G1218" i="2"/>
  <c r="D1218" i="2"/>
  <c r="F1218" i="2"/>
  <c r="E1218" i="2"/>
  <c r="B1219" i="2" a="1"/>
  <c r="B1219" i="2" s="1"/>
  <c r="D1219" i="2" l="1"/>
  <c r="G1219" i="2"/>
  <c r="C1219" i="2"/>
  <c r="H1219" i="2"/>
  <c r="F1219" i="2"/>
  <c r="E1219" i="2"/>
  <c r="B1220" i="2" a="1"/>
  <c r="B1220" i="2" s="1"/>
  <c r="H1220" i="2" l="1"/>
  <c r="G1220" i="2"/>
  <c r="E1220" i="2"/>
  <c r="D1220" i="2"/>
  <c r="F1220" i="2"/>
  <c r="C1220" i="2"/>
  <c r="B1221" i="2" a="1"/>
  <c r="B1221" i="2" s="1"/>
  <c r="C1221" i="2" l="1"/>
  <c r="F1221" i="2"/>
  <c r="E1221" i="2"/>
  <c r="D1221" i="2"/>
  <c r="H1221" i="2"/>
  <c r="G1221" i="2"/>
  <c r="B1222" i="2" a="1"/>
  <c r="B1222" i="2" s="1"/>
  <c r="C1222" i="2" l="1"/>
  <c r="H1222" i="2"/>
  <c r="G1222" i="2"/>
  <c r="F1222" i="2"/>
  <c r="D1222" i="2"/>
  <c r="E1222" i="2"/>
  <c r="B1223" i="2" a="1"/>
  <c r="B1223" i="2" s="1"/>
  <c r="H1223" i="2" l="1"/>
  <c r="E1223" i="2"/>
  <c r="D1223" i="2"/>
  <c r="G1223" i="2"/>
  <c r="F1223" i="2"/>
  <c r="C1223" i="2"/>
  <c r="B1224" i="2" a="1"/>
  <c r="B1224" i="2" s="1"/>
  <c r="D1224" i="2" l="1"/>
  <c r="G1224" i="2"/>
  <c r="F1224" i="2"/>
  <c r="E1224" i="2"/>
  <c r="C1224" i="2"/>
  <c r="H1224" i="2"/>
  <c r="B1225" i="2" a="1"/>
  <c r="B1225" i="2" s="1"/>
  <c r="E1225" i="2" l="1"/>
  <c r="G1225" i="2"/>
  <c r="H1225" i="2"/>
  <c r="F1225" i="2"/>
  <c r="D1225" i="2"/>
  <c r="C1225" i="2"/>
  <c r="B1226" i="2" a="1"/>
  <c r="B1226" i="2" s="1"/>
  <c r="H1226" i="2" l="1"/>
  <c r="E1226" i="2"/>
  <c r="D1226" i="2"/>
  <c r="C1226" i="2"/>
  <c r="G1226" i="2"/>
  <c r="F1226" i="2"/>
  <c r="B1227" i="2" a="1"/>
  <c r="B1227" i="2" s="1"/>
  <c r="C1227" i="2" l="1"/>
  <c r="F1227" i="2"/>
  <c r="E1227" i="2"/>
  <c r="D1227" i="2"/>
  <c r="H1227" i="2"/>
  <c r="G1227" i="2"/>
  <c r="B1228" i="2" a="1"/>
  <c r="B1228" i="2" s="1"/>
  <c r="D1228" i="2" l="1"/>
  <c r="C1228" i="2"/>
  <c r="G1228" i="2"/>
  <c r="F1228" i="2"/>
  <c r="E1228" i="2"/>
  <c r="H1228" i="2"/>
  <c r="B1229" i="2" a="1"/>
  <c r="B1229" i="2" s="1"/>
  <c r="G1229" i="2" l="1"/>
  <c r="D1229" i="2"/>
  <c r="C1229" i="2"/>
  <c r="F1229" i="2"/>
  <c r="E1229" i="2"/>
  <c r="H1229" i="2"/>
  <c r="B1230" i="2" a="1"/>
  <c r="B1230" i="2" s="1"/>
  <c r="H1230" i="2" l="1"/>
  <c r="G1230" i="2"/>
  <c r="F1230" i="2"/>
  <c r="D1230" i="2"/>
  <c r="E1230" i="2"/>
  <c r="C1230" i="2"/>
  <c r="B1231" i="2" a="1"/>
  <c r="B1231" i="2" s="1"/>
  <c r="G1231" i="2" l="1"/>
  <c r="H1231" i="2"/>
  <c r="D1231" i="2"/>
  <c r="C1231" i="2"/>
  <c r="E1231" i="2"/>
  <c r="F1231" i="2"/>
  <c r="B1232" i="2" a="1"/>
  <c r="B1232" i="2" s="1"/>
  <c r="E1232" i="2" l="1"/>
  <c r="D1232" i="2"/>
  <c r="C1232" i="2"/>
  <c r="H1232" i="2"/>
  <c r="G1232" i="2"/>
  <c r="F1232" i="2"/>
  <c r="B1233" i="2" a="1"/>
  <c r="B1233" i="2" s="1"/>
  <c r="E1233" i="2" l="1"/>
  <c r="C1233" i="2"/>
  <c r="H1233" i="2"/>
  <c r="F1233" i="2"/>
  <c r="G1233" i="2"/>
  <c r="D1233" i="2"/>
  <c r="B1234" i="2" a="1"/>
  <c r="B1234" i="2" s="1"/>
  <c r="G1234" i="2" l="1"/>
  <c r="F1234" i="2"/>
  <c r="E1234" i="2"/>
  <c r="D1234" i="2"/>
  <c r="C1234" i="2"/>
  <c r="H1234" i="2"/>
  <c r="B1235" i="2" a="1"/>
  <c r="B1235" i="2" s="1"/>
  <c r="G1235" i="2" l="1"/>
  <c r="F1235" i="2"/>
  <c r="E1235" i="2"/>
  <c r="C1235" i="2"/>
  <c r="H1235" i="2"/>
  <c r="D1235" i="2"/>
  <c r="B1236" i="2" a="1"/>
  <c r="B1236" i="2" s="1"/>
  <c r="F1236" i="2" l="1"/>
  <c r="E1236" i="2"/>
  <c r="C1236" i="2"/>
  <c r="H1236" i="2"/>
  <c r="G1236" i="2"/>
  <c r="D1236" i="2"/>
  <c r="B1237" i="2" a="1"/>
  <c r="B1237" i="2" s="1"/>
  <c r="F1237" i="2" l="1"/>
  <c r="G1237" i="2"/>
  <c r="D1237" i="2"/>
  <c r="C1237" i="2"/>
  <c r="H1237" i="2"/>
  <c r="E1237" i="2"/>
  <c r="B1238" i="2" a="1"/>
  <c r="B1238" i="2" s="1"/>
  <c r="D1238" i="2" l="1"/>
  <c r="H1238" i="2"/>
  <c r="G1238" i="2"/>
  <c r="E1238" i="2"/>
  <c r="C1238" i="2"/>
  <c r="F1238" i="2"/>
  <c r="B1239" i="2" a="1"/>
  <c r="B1239" i="2" s="1"/>
  <c r="C1239" i="2" l="1"/>
  <c r="G1239" i="2"/>
  <c r="F1239" i="2"/>
  <c r="E1239" i="2"/>
  <c r="D1239" i="2"/>
  <c r="H1239" i="2"/>
  <c r="B1240" i="2" a="1"/>
  <c r="B1240" i="2" s="1"/>
  <c r="G1240" i="2" l="1"/>
  <c r="F1240" i="2"/>
  <c r="E1240" i="2"/>
  <c r="D1240" i="2"/>
  <c r="H1240" i="2"/>
  <c r="C1240" i="2"/>
  <c r="B1241" i="2" a="1"/>
  <c r="B1241" i="2" s="1"/>
  <c r="G1241" i="2" l="1"/>
  <c r="F1241" i="2"/>
  <c r="D1241" i="2"/>
  <c r="C1241" i="2"/>
  <c r="H1241" i="2"/>
  <c r="E1241" i="2"/>
  <c r="B1242" i="2" a="1"/>
  <c r="B1242" i="2" s="1"/>
  <c r="G1242" i="2" l="1"/>
  <c r="F1242" i="2"/>
  <c r="E1242" i="2"/>
  <c r="C1242" i="2"/>
  <c r="D1242" i="2"/>
  <c r="H1242" i="2"/>
  <c r="B1243" i="2" a="1"/>
  <c r="B1243" i="2" s="1"/>
  <c r="D1243" i="2" l="1"/>
  <c r="C1243" i="2"/>
  <c r="E1243" i="2"/>
  <c r="G1243" i="2"/>
  <c r="H1243" i="2"/>
  <c r="F1243" i="2"/>
  <c r="B1244" i="2" a="1"/>
  <c r="B1244" i="2" s="1"/>
  <c r="E1244" i="2" l="1"/>
  <c r="H1244" i="2"/>
  <c r="G1244" i="2"/>
  <c r="F1244" i="2"/>
  <c r="D1244" i="2"/>
  <c r="C1244" i="2"/>
  <c r="B1245" i="2" a="1"/>
  <c r="B1245" i="2" s="1"/>
  <c r="C1245" i="2" l="1"/>
  <c r="F1245" i="2"/>
  <c r="E1245" i="2"/>
  <c r="D1245" i="2"/>
  <c r="H1245" i="2"/>
  <c r="G1245" i="2"/>
  <c r="B1246" i="2" a="1"/>
  <c r="B1246" i="2" s="1"/>
  <c r="G1246" i="2" l="1"/>
  <c r="H1246" i="2"/>
  <c r="F1246" i="2"/>
  <c r="E1246" i="2"/>
  <c r="D1246" i="2"/>
  <c r="C1246" i="2"/>
  <c r="B1247" i="2" a="1"/>
  <c r="B1247" i="2" s="1"/>
  <c r="C1247" i="2" l="1"/>
  <c r="H1247" i="2"/>
  <c r="G1247" i="2"/>
  <c r="F1247" i="2"/>
  <c r="E1247" i="2"/>
  <c r="D1247" i="2"/>
  <c r="B1248" i="2" a="1"/>
  <c r="B1248" i="2" s="1"/>
  <c r="H1248" i="2" l="1"/>
  <c r="E1248" i="2"/>
  <c r="C1248" i="2"/>
  <c r="G1248" i="2"/>
  <c r="D1248" i="2"/>
  <c r="F1248" i="2"/>
  <c r="B1249" i="2" a="1"/>
  <c r="B1249" i="2" s="1"/>
  <c r="H1249" i="2" l="1"/>
  <c r="G1249" i="2"/>
  <c r="C1249" i="2"/>
  <c r="F1249" i="2"/>
  <c r="E1249" i="2"/>
  <c r="D1249" i="2"/>
  <c r="B1250" i="2" a="1"/>
  <c r="B1250" i="2" s="1"/>
  <c r="F1250" i="2" l="1"/>
  <c r="E1250" i="2"/>
  <c r="D1250" i="2"/>
  <c r="C1250" i="2"/>
  <c r="H1250" i="2"/>
  <c r="G1250" i="2"/>
  <c r="B1251" i="2" a="1"/>
  <c r="B1251" i="2" s="1"/>
  <c r="H1251" i="2" l="1"/>
  <c r="G1251" i="2"/>
  <c r="F1251" i="2"/>
  <c r="E1251" i="2"/>
  <c r="D1251" i="2"/>
  <c r="C1251" i="2"/>
  <c r="B1252" i="2" a="1"/>
  <c r="B1252" i="2" s="1"/>
  <c r="G1252" i="2" l="1"/>
  <c r="H1252" i="2"/>
  <c r="F1252" i="2"/>
  <c r="E1252" i="2"/>
  <c r="D1252" i="2"/>
  <c r="C1252" i="2"/>
  <c r="B1253" i="2" a="1"/>
  <c r="B1253" i="2" s="1"/>
  <c r="D1253" i="2" l="1"/>
  <c r="G1253" i="2"/>
  <c r="F1253" i="2"/>
  <c r="E1253" i="2"/>
  <c r="C1253" i="2"/>
  <c r="H1253" i="2"/>
  <c r="B1254" i="2" a="1"/>
  <c r="B1254" i="2" s="1"/>
  <c r="C1254" i="2" l="1"/>
  <c r="H1254" i="2"/>
  <c r="G1254" i="2"/>
  <c r="F1254" i="2"/>
  <c r="E1254" i="2"/>
  <c r="D1254" i="2"/>
  <c r="B1255" i="2" a="1"/>
  <c r="B1255" i="2" s="1"/>
  <c r="H1255" i="2" l="1"/>
  <c r="F1255" i="2"/>
  <c r="E1255" i="2"/>
  <c r="G1255" i="2"/>
  <c r="D1255" i="2"/>
  <c r="C1255" i="2"/>
  <c r="B1256" i="2" a="1"/>
  <c r="B1256" i="2" s="1"/>
  <c r="H1256" i="2" l="1"/>
  <c r="G1256" i="2"/>
  <c r="F1256" i="2"/>
  <c r="E1256" i="2"/>
  <c r="D1256" i="2"/>
  <c r="C1256" i="2"/>
  <c r="B1257" i="2" a="1"/>
  <c r="B1257" i="2" s="1"/>
  <c r="C1257" i="2" l="1"/>
  <c r="H1257" i="2"/>
  <c r="G1257" i="2"/>
  <c r="F1257" i="2"/>
  <c r="E1257" i="2"/>
  <c r="D1257" i="2"/>
  <c r="B1258" i="2" a="1"/>
  <c r="B1258" i="2" s="1"/>
  <c r="F1258" i="2" l="1"/>
  <c r="D1258" i="2"/>
  <c r="C1258" i="2"/>
  <c r="E1258" i="2"/>
  <c r="H1258" i="2"/>
  <c r="G1258" i="2"/>
  <c r="B1259" i="2" a="1"/>
  <c r="B1259" i="2" s="1"/>
  <c r="H1259" i="2" l="1"/>
  <c r="G1259" i="2"/>
  <c r="F1259" i="2"/>
  <c r="E1259" i="2"/>
  <c r="D1259" i="2"/>
  <c r="C1259" i="2"/>
  <c r="B1260" i="2" a="1"/>
  <c r="B1260" i="2" s="1"/>
  <c r="E1260" i="2" l="1"/>
  <c r="F1260" i="2"/>
  <c r="D1260" i="2"/>
  <c r="C1260" i="2"/>
  <c r="H1260" i="2"/>
  <c r="G1260" i="2"/>
  <c r="B1261" i="2" a="1"/>
  <c r="B1261" i="2" s="1"/>
  <c r="F1261" i="2" l="1"/>
  <c r="D1261" i="2"/>
  <c r="C1261" i="2"/>
  <c r="E1261" i="2"/>
  <c r="H1261" i="2"/>
  <c r="G1261" i="2"/>
  <c r="B1262" i="2" a="1"/>
  <c r="B1262" i="2" s="1"/>
  <c r="G1262" i="2" l="1"/>
  <c r="F1262" i="2"/>
  <c r="E1262" i="2"/>
  <c r="D1262" i="2"/>
  <c r="C1262" i="2"/>
  <c r="H1262" i="2"/>
  <c r="B1263" i="2" a="1"/>
  <c r="B1263" i="2" s="1"/>
  <c r="G1263" i="2" l="1"/>
  <c r="D1263" i="2"/>
  <c r="C1263" i="2"/>
  <c r="H1263" i="2"/>
  <c r="F1263" i="2"/>
  <c r="E1263" i="2"/>
  <c r="B1264" i="2" a="1"/>
  <c r="B1264" i="2" s="1"/>
  <c r="E1264" i="2" l="1"/>
  <c r="H1264" i="2"/>
  <c r="G1264" i="2"/>
  <c r="F1264" i="2"/>
  <c r="D1264" i="2"/>
  <c r="C1264" i="2"/>
  <c r="B1265" i="2" a="1"/>
  <c r="B1265" i="2" s="1"/>
  <c r="F1265" i="2" l="1"/>
  <c r="E1265" i="2"/>
  <c r="C1265" i="2"/>
  <c r="D1265" i="2"/>
  <c r="H1265" i="2"/>
  <c r="G1265" i="2"/>
  <c r="B1266" i="2" a="1"/>
  <c r="B1266" i="2" s="1"/>
  <c r="G1266" i="2" l="1"/>
  <c r="F1266" i="2"/>
  <c r="E1266" i="2"/>
  <c r="D1266" i="2"/>
  <c r="C1266" i="2"/>
  <c r="H1266" i="2"/>
  <c r="B1267" i="2" a="1"/>
  <c r="B1267" i="2" s="1"/>
  <c r="E1267" i="2" l="1"/>
  <c r="G1267" i="2"/>
  <c r="F1267" i="2"/>
  <c r="D1267" i="2"/>
  <c r="C1267" i="2"/>
  <c r="H1267" i="2"/>
  <c r="B1268" i="2" a="1"/>
  <c r="B1268" i="2" s="1"/>
  <c r="E1268" i="2" l="1"/>
  <c r="F1268" i="2"/>
  <c r="H1268" i="2"/>
  <c r="G1268" i="2"/>
  <c r="D1268" i="2"/>
  <c r="C1268" i="2"/>
  <c r="B1269" i="2" a="1"/>
  <c r="B1269" i="2" s="1"/>
  <c r="E1269" i="2" l="1"/>
  <c r="D1269" i="2"/>
  <c r="C1269" i="2"/>
  <c r="H1269" i="2"/>
  <c r="G1269" i="2"/>
  <c r="F1269" i="2"/>
  <c r="B1270" i="2" a="1"/>
  <c r="B1270" i="2" s="1"/>
  <c r="E1270" i="2" l="1"/>
  <c r="C1270" i="2"/>
  <c r="H1270" i="2"/>
  <c r="G1270" i="2"/>
  <c r="F1270" i="2"/>
  <c r="D1270" i="2"/>
  <c r="B1271" i="2" a="1"/>
  <c r="B1271" i="2" s="1"/>
  <c r="F1271" i="2" l="1"/>
  <c r="D1271" i="2"/>
  <c r="H1271" i="2"/>
  <c r="C1271" i="2"/>
  <c r="G1271" i="2"/>
  <c r="E1271" i="2"/>
  <c r="B1272" i="2" a="1"/>
  <c r="B1272" i="2" s="1"/>
  <c r="H1272" i="2" l="1"/>
  <c r="G1272" i="2"/>
  <c r="F1272" i="2"/>
  <c r="E1272" i="2"/>
  <c r="D1272" i="2"/>
  <c r="C1272" i="2"/>
  <c r="B1273" i="2" a="1"/>
  <c r="B1273" i="2" s="1"/>
  <c r="G1273" i="2" l="1"/>
  <c r="D1273" i="2"/>
  <c r="C1273" i="2"/>
  <c r="E1273" i="2"/>
  <c r="F1273" i="2"/>
  <c r="H1273" i="2"/>
  <c r="B1274" i="2" a="1"/>
  <c r="B1274" i="2" s="1"/>
  <c r="C1274" i="2" l="1"/>
  <c r="H1274" i="2"/>
  <c r="G1274" i="2"/>
  <c r="F1274" i="2"/>
  <c r="E1274" i="2"/>
  <c r="D1274" i="2"/>
  <c r="B1275" i="2" a="1"/>
  <c r="B1275" i="2" s="1"/>
  <c r="D1275" i="2" l="1"/>
  <c r="C1275" i="2"/>
  <c r="H1275" i="2"/>
  <c r="G1275" i="2"/>
  <c r="F1275" i="2"/>
  <c r="E1275" i="2"/>
  <c r="B1276" i="2" a="1"/>
  <c r="B1276" i="2" s="1"/>
  <c r="E1276" i="2" l="1"/>
  <c r="G1276" i="2"/>
  <c r="F1276" i="2"/>
  <c r="D1276" i="2"/>
  <c r="C1276" i="2"/>
  <c r="H1276" i="2"/>
  <c r="B1277" i="2" a="1"/>
  <c r="B1277" i="2" s="1"/>
  <c r="E1277" i="2" l="1"/>
  <c r="D1277" i="2"/>
  <c r="C1277" i="2"/>
  <c r="H1277" i="2"/>
  <c r="G1277" i="2"/>
  <c r="F1277" i="2"/>
  <c r="B1278" i="2" a="1"/>
  <c r="B1278" i="2" s="1"/>
  <c r="F1278" i="2" l="1"/>
  <c r="E1278" i="2"/>
  <c r="D1278" i="2"/>
  <c r="C1278" i="2"/>
  <c r="H1278" i="2"/>
  <c r="G1278" i="2"/>
  <c r="B1279" i="2" a="1"/>
  <c r="B1279" i="2" s="1"/>
  <c r="E1279" i="2" l="1"/>
  <c r="H1279" i="2"/>
  <c r="G1279" i="2"/>
  <c r="F1279" i="2"/>
  <c r="D1279" i="2"/>
  <c r="C1279" i="2"/>
  <c r="B1280" i="2" a="1"/>
  <c r="B1280" i="2" s="1"/>
  <c r="H1280" i="2" l="1"/>
  <c r="G1280" i="2"/>
  <c r="F1280" i="2"/>
  <c r="E1280" i="2"/>
  <c r="D1280" i="2"/>
  <c r="C1280" i="2"/>
  <c r="B1281" i="2" a="1"/>
  <c r="B1281" i="2" s="1"/>
  <c r="G1281" i="2" l="1"/>
  <c r="C1281" i="2"/>
  <c r="D1281" i="2"/>
  <c r="H1281" i="2"/>
  <c r="F1281" i="2"/>
  <c r="E1281" i="2"/>
  <c r="B1282" i="2" a="1"/>
  <c r="B1282" i="2" s="1"/>
  <c r="E1282" i="2" l="1"/>
  <c r="H1282" i="2"/>
  <c r="G1282" i="2"/>
  <c r="F1282" i="2"/>
  <c r="D1282" i="2"/>
  <c r="C1282" i="2"/>
  <c r="B1283" i="2" a="1"/>
  <c r="B1283" i="2" s="1"/>
  <c r="E1283" i="2" l="1"/>
  <c r="G1283" i="2"/>
  <c r="F1283" i="2"/>
  <c r="C1283" i="2"/>
  <c r="H1283" i="2"/>
  <c r="D1283" i="2"/>
  <c r="B1284" i="2" a="1"/>
  <c r="B1284" i="2" s="1"/>
  <c r="H1284" i="2" l="1"/>
  <c r="G1284" i="2"/>
  <c r="F1284" i="2"/>
  <c r="E1284" i="2"/>
  <c r="D1284" i="2"/>
  <c r="C1284" i="2"/>
  <c r="B1285" i="2" a="1"/>
  <c r="B1285" i="2" s="1"/>
  <c r="E1285" i="2" l="1"/>
  <c r="F1285" i="2"/>
  <c r="D1285" i="2"/>
  <c r="C1285" i="2"/>
  <c r="H1285" i="2"/>
  <c r="G1285" i="2"/>
  <c r="B1286" i="2" a="1"/>
  <c r="B1286" i="2" s="1"/>
  <c r="E1286" i="2" l="1"/>
  <c r="D1286" i="2"/>
  <c r="C1286" i="2"/>
  <c r="F1286" i="2"/>
  <c r="H1286" i="2"/>
  <c r="G1286" i="2"/>
  <c r="B1287" i="2" a="1"/>
  <c r="B1287" i="2" s="1"/>
  <c r="D1287" i="2" l="1"/>
  <c r="C1287" i="2"/>
  <c r="H1287" i="2"/>
  <c r="G1287" i="2"/>
  <c r="F1287" i="2"/>
  <c r="E1287" i="2"/>
  <c r="B1288" i="2" a="1"/>
  <c r="B1288" i="2" s="1"/>
  <c r="E1288" i="2" l="1"/>
  <c r="C1288" i="2"/>
  <c r="G1288" i="2"/>
  <c r="F1288" i="2"/>
  <c r="D1288" i="2"/>
  <c r="H1288" i="2"/>
  <c r="B1289" i="2" a="1"/>
  <c r="B1289" i="2" s="1"/>
  <c r="H1289" i="2" l="1"/>
  <c r="C1289" i="2"/>
  <c r="G1289" i="2"/>
  <c r="F1289" i="2"/>
  <c r="E1289" i="2"/>
  <c r="D1289" i="2"/>
  <c r="B1290" i="2" a="1"/>
  <c r="B1290" i="2" s="1"/>
  <c r="E1290" i="2" l="1"/>
  <c r="H1290" i="2"/>
  <c r="F1290" i="2"/>
  <c r="D1290" i="2"/>
  <c r="C1290" i="2"/>
  <c r="G1290" i="2"/>
  <c r="B1291" i="2" a="1"/>
  <c r="B1291" i="2" s="1"/>
  <c r="E1291" i="2" l="1"/>
  <c r="F1291" i="2"/>
  <c r="H1291" i="2"/>
  <c r="G1291" i="2"/>
  <c r="D1291" i="2"/>
  <c r="C1291" i="2"/>
  <c r="B1292" i="2" a="1"/>
  <c r="B1292" i="2" s="1"/>
  <c r="F1292" i="2" l="1"/>
  <c r="E1292" i="2"/>
  <c r="C1292" i="2"/>
  <c r="D1292" i="2"/>
  <c r="H1292" i="2"/>
  <c r="G1292" i="2"/>
  <c r="B1293" i="2" a="1"/>
  <c r="B1293" i="2" s="1"/>
  <c r="D1293" i="2" l="1"/>
  <c r="C1293" i="2"/>
  <c r="H1293" i="2"/>
  <c r="G1293" i="2"/>
  <c r="F1293" i="2"/>
  <c r="E1293" i="2"/>
  <c r="B1294" i="2" a="1"/>
  <c r="B1294" i="2" s="1"/>
  <c r="H1294" i="2" l="1"/>
  <c r="E1294" i="2"/>
  <c r="G1294" i="2"/>
  <c r="F1294" i="2"/>
  <c r="D1294" i="2"/>
  <c r="C1294" i="2"/>
  <c r="B1295" i="2" a="1"/>
  <c r="B1295" i="2" s="1"/>
  <c r="H1295" i="2" l="1"/>
  <c r="G1295" i="2"/>
  <c r="E1295" i="2"/>
  <c r="D1295" i="2"/>
  <c r="F1295" i="2"/>
  <c r="C1295" i="2"/>
  <c r="B1296" i="2" a="1"/>
  <c r="B1296" i="2" s="1"/>
  <c r="E1296" i="2" l="1"/>
  <c r="H1296" i="2"/>
  <c r="G1296" i="2"/>
  <c r="F1296" i="2"/>
  <c r="D1296" i="2"/>
  <c r="C1296" i="2"/>
  <c r="B1297" i="2" a="1"/>
  <c r="B1297" i="2" s="1"/>
  <c r="E1297" i="2" l="1"/>
  <c r="C1297" i="2"/>
  <c r="H1297" i="2"/>
  <c r="G1297" i="2"/>
  <c r="F1297" i="2"/>
  <c r="D1297" i="2"/>
  <c r="B1298" i="2" a="1"/>
  <c r="B1298" i="2" s="1"/>
  <c r="E1298" i="2" l="1"/>
  <c r="D1298" i="2"/>
  <c r="C1298" i="2"/>
  <c r="H1298" i="2"/>
  <c r="G1298" i="2"/>
  <c r="F1298" i="2"/>
  <c r="B1299" i="2" a="1"/>
  <c r="B1299" i="2" s="1"/>
  <c r="G1299" i="2" l="1"/>
  <c r="H1299" i="2"/>
  <c r="F1299" i="2"/>
  <c r="E1299" i="2"/>
  <c r="D1299" i="2"/>
  <c r="C1299" i="2"/>
  <c r="B1300" i="2" a="1"/>
  <c r="B1300" i="2" s="1"/>
  <c r="G1300" i="2" l="1"/>
  <c r="D1300" i="2"/>
  <c r="C1300" i="2"/>
  <c r="E1300" i="2"/>
  <c r="F1300" i="2"/>
  <c r="H1300" i="2"/>
  <c r="B1301" i="2" a="1"/>
  <c r="B1301" i="2" s="1"/>
  <c r="F1301" i="2" l="1"/>
  <c r="E1301" i="2"/>
  <c r="C1301" i="2"/>
  <c r="D1301" i="2"/>
  <c r="H1301" i="2"/>
  <c r="G1301" i="2"/>
  <c r="B1302" i="2" a="1"/>
  <c r="B1302" i="2" s="1"/>
  <c r="F1302" i="2" l="1"/>
  <c r="E1302" i="2"/>
  <c r="D1302" i="2"/>
  <c r="C1302" i="2"/>
  <c r="G1302" i="2"/>
  <c r="H1302" i="2"/>
  <c r="B1303" i="2" a="1"/>
  <c r="B1303" i="2" s="1"/>
  <c r="F1303" i="2" l="1"/>
  <c r="D1303" i="2"/>
  <c r="E1303" i="2"/>
  <c r="H1303" i="2"/>
  <c r="C1303" i="2"/>
  <c r="G1303" i="2"/>
  <c r="B1304" i="2" a="1"/>
  <c r="B1304" i="2" s="1"/>
  <c r="H1304" i="2" l="1"/>
  <c r="G1304" i="2"/>
  <c r="E1304" i="2"/>
  <c r="F1304" i="2"/>
  <c r="D1304" i="2"/>
  <c r="C1304" i="2"/>
  <c r="B1305" i="2" a="1"/>
  <c r="B1305" i="2" s="1"/>
  <c r="H1305" i="2" l="1"/>
  <c r="D1305" i="2"/>
  <c r="C1305" i="2"/>
  <c r="G1305" i="2"/>
  <c r="F1305" i="2"/>
  <c r="E1305" i="2"/>
  <c r="B1306" i="2" a="1"/>
  <c r="B1306" i="2" s="1"/>
  <c r="E1306" i="2" l="1"/>
  <c r="C1306" i="2"/>
  <c r="H1306" i="2"/>
  <c r="G1306" i="2"/>
  <c r="F1306" i="2"/>
  <c r="D1306" i="2"/>
  <c r="B1307" i="2" a="1"/>
  <c r="B1307" i="2" s="1"/>
  <c r="F1307" i="2" l="1"/>
  <c r="E1307" i="2"/>
  <c r="D1307" i="2"/>
  <c r="C1307" i="2"/>
  <c r="G1307" i="2"/>
  <c r="H1307" i="2"/>
  <c r="B1308" i="2" a="1"/>
  <c r="B1308" i="2" s="1"/>
  <c r="G1308" i="2" l="1"/>
  <c r="H1308" i="2"/>
  <c r="F1308" i="2"/>
  <c r="E1308" i="2"/>
  <c r="D1308" i="2"/>
  <c r="C1308" i="2"/>
  <c r="B1309" i="2" a="1"/>
  <c r="B1309" i="2" s="1"/>
  <c r="E1309" i="2" l="1"/>
  <c r="F1309" i="2"/>
  <c r="C1309" i="2"/>
  <c r="H1309" i="2"/>
  <c r="G1309" i="2"/>
  <c r="D1309" i="2"/>
  <c r="B1310" i="2" a="1"/>
  <c r="B1310" i="2" s="1"/>
  <c r="D1310" i="2" l="1"/>
  <c r="H1310" i="2"/>
  <c r="G1310" i="2"/>
  <c r="F1310" i="2"/>
  <c r="E1310" i="2"/>
  <c r="C1310" i="2"/>
  <c r="B1311" i="2" a="1"/>
  <c r="B1311" i="2" s="1"/>
  <c r="C1311" i="2" l="1"/>
  <c r="H1311" i="2"/>
  <c r="F1311" i="2"/>
  <c r="E1311" i="2"/>
  <c r="D1311" i="2"/>
  <c r="G1311" i="2"/>
  <c r="B1312" i="2" a="1"/>
  <c r="B1312" i="2" s="1"/>
  <c r="E1312" i="2" l="1"/>
  <c r="H1312" i="2"/>
  <c r="F1312" i="2"/>
  <c r="C1312" i="2"/>
  <c r="G1312" i="2"/>
  <c r="D1312" i="2"/>
  <c r="B1313" i="2" a="1"/>
  <c r="B1313" i="2" s="1"/>
  <c r="F1313" i="2" l="1"/>
  <c r="D1313" i="2"/>
  <c r="H1313" i="2"/>
  <c r="G1313" i="2"/>
  <c r="E1313" i="2"/>
  <c r="C1313" i="2"/>
  <c r="B1314" i="2" a="1"/>
  <c r="B1314" i="2" s="1"/>
  <c r="E1314" i="2" l="1"/>
  <c r="C1314" i="2"/>
  <c r="H1314" i="2"/>
  <c r="F1314" i="2"/>
  <c r="D1314" i="2"/>
  <c r="G1314" i="2"/>
  <c r="B1315" i="2" a="1"/>
  <c r="B1315" i="2" s="1"/>
  <c r="G1315" i="2" l="1"/>
  <c r="E1315" i="2"/>
  <c r="C1315" i="2"/>
  <c r="H1315" i="2"/>
  <c r="F1315" i="2"/>
  <c r="D1315" i="2"/>
  <c r="B1316" i="2" a="1"/>
  <c r="B1316" i="2" s="1"/>
  <c r="G1316" i="2" l="1"/>
  <c r="E1316" i="2"/>
  <c r="C1316" i="2"/>
  <c r="H1316" i="2"/>
  <c r="F1316" i="2"/>
  <c r="D1316" i="2"/>
  <c r="B1317" i="2" a="1"/>
  <c r="B1317" i="2" s="1"/>
  <c r="F1317" i="2" l="1"/>
  <c r="D1317" i="2"/>
  <c r="C1317" i="2"/>
  <c r="G1317" i="2"/>
  <c r="E1317" i="2"/>
  <c r="H1317" i="2"/>
  <c r="B1318" i="2" a="1"/>
  <c r="B1318" i="2" s="1"/>
  <c r="D1318" i="2" l="1"/>
  <c r="E1318" i="2"/>
  <c r="F1318" i="2"/>
  <c r="C1318" i="2"/>
  <c r="H1318" i="2"/>
  <c r="G1318" i="2"/>
  <c r="B1319" i="2" a="1"/>
  <c r="B1319" i="2" s="1"/>
  <c r="C1319" i="2" l="1"/>
  <c r="H1319" i="2"/>
  <c r="F1319" i="2"/>
  <c r="D1319" i="2"/>
  <c r="G1319" i="2"/>
  <c r="E1319" i="2"/>
  <c r="B1320" i="2" a="1"/>
  <c r="B1320" i="2" s="1"/>
  <c r="C1320" i="2" l="1"/>
  <c r="G1320" i="2"/>
  <c r="F1320" i="2"/>
  <c r="E1320" i="2"/>
  <c r="D1320" i="2"/>
  <c r="H1320" i="2"/>
  <c r="B1321" i="2" a="1"/>
  <c r="B1321" i="2" s="1"/>
  <c r="G1321" i="2" l="1"/>
  <c r="D1321" i="2"/>
  <c r="E1321" i="2"/>
  <c r="H1321" i="2"/>
  <c r="F1321" i="2"/>
  <c r="C1321" i="2"/>
  <c r="B1322" i="2" a="1"/>
  <c r="B1322" i="2" s="1"/>
  <c r="F1322" i="2" l="1"/>
  <c r="D1322" i="2"/>
  <c r="G1322" i="2"/>
  <c r="E1322" i="2"/>
  <c r="C1322" i="2"/>
  <c r="H1322" i="2"/>
  <c r="B1323" i="2" a="1"/>
  <c r="B1323" i="2" s="1"/>
  <c r="E1323" i="2" l="1"/>
  <c r="C1323" i="2"/>
  <c r="G1323" i="2"/>
  <c r="H1323" i="2"/>
  <c r="F1323" i="2"/>
  <c r="D1323" i="2"/>
  <c r="B1324" i="2" a="1"/>
  <c r="B1324" i="2" s="1"/>
  <c r="G1324" i="2" l="1"/>
  <c r="D1324" i="2"/>
  <c r="E1324" i="2"/>
  <c r="H1324" i="2"/>
  <c r="F1324" i="2"/>
  <c r="C1324" i="2"/>
  <c r="B1325" i="2" a="1"/>
  <c r="B1325" i="2" s="1"/>
  <c r="H1325" i="2" l="1"/>
  <c r="F1325" i="2"/>
  <c r="D1325" i="2"/>
  <c r="G1325" i="2"/>
  <c r="E1325" i="2"/>
  <c r="C1325" i="2"/>
  <c r="B1326" i="2" a="1"/>
  <c r="B1326" i="2" s="1"/>
  <c r="F1326" i="2" l="1"/>
  <c r="D1326" i="2"/>
  <c r="G1326" i="2"/>
  <c r="E1326" i="2"/>
  <c r="C1326" i="2"/>
  <c r="H1326" i="2"/>
  <c r="B1327" i="2" a="1"/>
  <c r="B1327" i="2" s="1"/>
  <c r="D1327" i="2" l="1"/>
  <c r="E1327" i="2"/>
  <c r="H1327" i="2"/>
  <c r="F1327" i="2"/>
  <c r="C1327" i="2"/>
  <c r="G1327" i="2"/>
  <c r="B1328" i="2" a="1"/>
  <c r="B1328" i="2" s="1"/>
  <c r="F1328" i="2" l="1"/>
  <c r="G1328" i="2"/>
  <c r="E1328" i="2"/>
  <c r="C1328" i="2"/>
  <c r="D1328" i="2"/>
  <c r="H1328" i="2"/>
  <c r="B1329" i="2" a="1"/>
  <c r="B1329" i="2" s="1"/>
  <c r="G1329" i="2" l="1"/>
  <c r="F1329" i="2"/>
  <c r="D1329" i="2"/>
  <c r="E1329" i="2"/>
  <c r="C1329" i="2"/>
  <c r="H1329" i="2"/>
  <c r="B1330" i="2" a="1"/>
  <c r="B1330" i="2" s="1"/>
  <c r="F1330" i="2" l="1"/>
  <c r="C1330" i="2"/>
  <c r="D1330" i="2"/>
  <c r="H1330" i="2"/>
  <c r="E1330" i="2"/>
  <c r="G1330" i="2"/>
  <c r="B1331" i="2" a="1"/>
  <c r="B1331" i="2" s="1"/>
  <c r="F1331" i="2" l="1"/>
  <c r="D1331" i="2"/>
  <c r="H1331" i="2"/>
  <c r="G1331" i="2"/>
  <c r="E1331" i="2"/>
  <c r="C1331" i="2"/>
  <c r="B1332" i="2" a="1"/>
  <c r="B1332" i="2" s="1"/>
  <c r="D1332" i="2" l="1"/>
  <c r="G1332" i="2"/>
  <c r="E1332" i="2"/>
  <c r="C1332" i="2"/>
  <c r="H1332" i="2"/>
  <c r="F1332" i="2"/>
  <c r="B1333" i="2" a="1"/>
  <c r="B1333" i="2" s="1"/>
  <c r="D1333" i="2" l="1"/>
  <c r="E1333" i="2"/>
  <c r="C1333" i="2"/>
  <c r="H1333" i="2"/>
  <c r="F1333" i="2"/>
  <c r="G1333" i="2"/>
  <c r="B1334" i="2" a="1"/>
  <c r="B1334" i="2" s="1"/>
  <c r="H1334" i="2" l="1"/>
  <c r="F1334" i="2"/>
  <c r="D1334" i="2"/>
  <c r="G1334" i="2"/>
  <c r="E1334" i="2"/>
  <c r="C1334" i="2"/>
  <c r="B1335" i="2" a="1"/>
  <c r="B1335" i="2" s="1"/>
  <c r="G1335" i="2" l="1"/>
  <c r="E1335" i="2"/>
  <c r="C1335" i="2"/>
  <c r="H1335" i="2"/>
  <c r="F1335" i="2"/>
  <c r="D1335" i="2"/>
  <c r="B1336" i="2" a="1"/>
  <c r="B1336" i="2" s="1"/>
  <c r="D1336" i="2" l="1"/>
  <c r="E1336" i="2"/>
  <c r="F1336" i="2"/>
  <c r="C1336" i="2"/>
  <c r="H1336" i="2"/>
  <c r="G1336" i="2"/>
  <c r="B1337" i="2" a="1"/>
  <c r="B1337" i="2" s="1"/>
  <c r="G1337" i="2" l="1"/>
  <c r="H1337" i="2"/>
  <c r="F1337" i="2"/>
  <c r="D1337" i="2"/>
  <c r="E1337" i="2"/>
  <c r="C1337" i="2"/>
  <c r="B1338" i="2" a="1"/>
  <c r="B1338" i="2" s="1"/>
  <c r="G1338" i="2" l="1"/>
  <c r="E1338" i="2"/>
  <c r="H1338" i="2"/>
  <c r="F1338" i="2"/>
  <c r="D1338" i="2"/>
  <c r="C1338" i="2"/>
  <c r="B1339" i="2" a="1"/>
  <c r="B1339" i="2" s="1"/>
  <c r="E1339" i="2" l="1"/>
  <c r="H1339" i="2"/>
  <c r="F1339" i="2"/>
  <c r="C1339" i="2"/>
  <c r="G1339" i="2"/>
  <c r="D1339" i="2"/>
  <c r="B1340" i="2" a="1"/>
  <c r="B1340" i="2" s="1"/>
  <c r="H1340" i="2" l="1"/>
  <c r="F1340" i="2"/>
  <c r="D1340" i="2"/>
  <c r="C1340" i="2"/>
  <c r="G1340" i="2"/>
  <c r="E1340" i="2"/>
  <c r="B1341" i="2" a="1"/>
  <c r="B1341" i="2" s="1"/>
  <c r="C1341" i="2" l="1"/>
  <c r="G1341" i="2"/>
  <c r="H1341" i="2"/>
  <c r="F1341" i="2"/>
  <c r="E1341" i="2"/>
  <c r="D1341" i="2"/>
  <c r="B1342" i="2" a="1"/>
  <c r="B1342" i="2" s="1"/>
  <c r="E1342" i="2" l="1"/>
  <c r="H1342" i="2"/>
  <c r="F1342" i="2"/>
  <c r="C1342" i="2"/>
  <c r="G1342" i="2"/>
  <c r="D1342" i="2"/>
  <c r="B1343" i="2" a="1"/>
  <c r="B1343" i="2" s="1"/>
  <c r="C1343" i="2" l="1"/>
  <c r="G1343" i="2"/>
  <c r="H1343" i="2"/>
  <c r="F1343" i="2"/>
  <c r="D1343" i="2"/>
  <c r="E1343" i="2"/>
  <c r="B1344" i="2" a="1"/>
  <c r="B1344" i="2" s="1"/>
  <c r="E1344" i="2" l="1"/>
  <c r="C1344" i="2"/>
  <c r="H1344" i="2"/>
  <c r="F1344" i="2"/>
  <c r="D1344" i="2"/>
  <c r="G1344" i="2"/>
  <c r="B1345" i="2" a="1"/>
  <c r="B1345" i="2" s="1"/>
  <c r="C1345" i="2" l="1"/>
  <c r="G1345" i="2"/>
  <c r="D1345" i="2"/>
  <c r="E1345" i="2"/>
  <c r="H1345" i="2"/>
  <c r="F1345" i="2"/>
  <c r="B1346" i="2" a="1"/>
  <c r="B1346" i="2" s="1"/>
  <c r="D1346" i="2" l="1"/>
  <c r="H1346" i="2"/>
  <c r="F1346" i="2"/>
  <c r="G1346" i="2"/>
  <c r="E1346" i="2"/>
  <c r="C1346" i="2"/>
  <c r="B1347" i="2" a="1"/>
  <c r="B1347" i="2" s="1"/>
  <c r="G1347" i="2" l="1"/>
  <c r="E1347" i="2"/>
  <c r="C1347" i="2"/>
  <c r="H1347" i="2"/>
  <c r="F1347" i="2"/>
  <c r="D1347" i="2"/>
  <c r="B1348" i="2" a="1"/>
  <c r="B1348" i="2" s="1"/>
  <c r="E1348" i="2" l="1"/>
  <c r="D1348" i="2"/>
  <c r="G1348" i="2"/>
  <c r="F1348" i="2"/>
  <c r="C1348" i="2"/>
  <c r="H1348" i="2"/>
  <c r="B1349" i="2" a="1"/>
  <c r="B1349" i="2" s="1"/>
  <c r="H1349" i="2" l="1"/>
  <c r="F1349" i="2"/>
  <c r="D1349" i="2"/>
  <c r="G1349" i="2"/>
  <c r="E1349" i="2"/>
  <c r="C1349" i="2"/>
  <c r="B1350" i="2" a="1"/>
  <c r="B1350" i="2" s="1"/>
  <c r="G1350" i="2" l="1"/>
  <c r="E1350" i="2"/>
  <c r="D1350" i="2"/>
  <c r="C1350" i="2"/>
  <c r="H1350" i="2"/>
  <c r="F1350" i="2"/>
  <c r="B1351" i="2" a="1"/>
  <c r="B1351" i="2" s="1"/>
  <c r="E1351" i="2" l="1"/>
  <c r="C1351" i="2"/>
  <c r="H1351" i="2"/>
  <c r="G1351" i="2"/>
  <c r="F1351" i="2"/>
  <c r="D1351" i="2"/>
  <c r="B1352" i="2" a="1"/>
  <c r="B1352" i="2" s="1"/>
  <c r="G1352" i="2" l="1"/>
  <c r="F1352" i="2"/>
  <c r="D1352" i="2"/>
  <c r="E1352" i="2"/>
  <c r="C1352" i="2"/>
  <c r="H1352" i="2"/>
  <c r="B1353" i="2" a="1"/>
  <c r="B1353" i="2" s="1"/>
  <c r="G1353" i="2" l="1"/>
  <c r="F1353" i="2"/>
  <c r="E1353" i="2"/>
  <c r="D1353" i="2"/>
  <c r="C1353" i="2"/>
  <c r="H1353" i="2"/>
  <c r="B1354" i="2" a="1"/>
  <c r="B1354" i="2" s="1"/>
  <c r="C1354" i="2" l="1"/>
  <c r="H1354" i="2"/>
  <c r="G1354" i="2"/>
  <c r="E1354" i="2"/>
  <c r="F1354" i="2"/>
  <c r="D1354" i="2"/>
  <c r="B1355" i="2" a="1"/>
  <c r="B1355" i="2" s="1"/>
  <c r="H1355" i="2" l="1"/>
  <c r="F1355" i="2"/>
  <c r="D1355" i="2"/>
  <c r="C1355" i="2"/>
  <c r="G1355" i="2"/>
  <c r="E1355" i="2"/>
  <c r="B1356" i="2" a="1"/>
  <c r="B1356" i="2" s="1"/>
  <c r="F1356" i="2" l="1"/>
  <c r="C1356" i="2"/>
  <c r="H1356" i="2"/>
  <c r="G1356" i="2"/>
  <c r="E1356" i="2"/>
  <c r="D1356" i="2"/>
  <c r="B1357" i="2" a="1"/>
  <c r="B1357" i="2" s="1"/>
  <c r="H1357" i="2" l="1"/>
  <c r="G1357" i="2"/>
  <c r="F1357" i="2"/>
  <c r="C1357" i="2"/>
  <c r="D1357" i="2"/>
  <c r="E1357" i="2"/>
  <c r="B1358" i="2" a="1"/>
  <c r="B1358" i="2" s="1"/>
  <c r="C1358" i="2" l="1"/>
  <c r="G1358" i="2"/>
  <c r="H1358" i="2"/>
  <c r="D1358" i="2"/>
  <c r="F1358" i="2"/>
  <c r="E1358" i="2"/>
  <c r="B1359" i="2" a="1"/>
  <c r="B1359" i="2" s="1"/>
  <c r="E1359" i="2" l="1"/>
  <c r="D1359" i="2"/>
  <c r="C1359" i="2"/>
  <c r="H1359" i="2"/>
  <c r="G1359" i="2"/>
  <c r="F1359" i="2"/>
  <c r="B1360" i="2" a="1"/>
  <c r="B1360" i="2" s="1"/>
  <c r="E1360" i="2" l="1"/>
  <c r="H1360" i="2"/>
  <c r="G1360" i="2"/>
  <c r="F1360" i="2"/>
  <c r="C1360" i="2"/>
  <c r="D1360" i="2"/>
  <c r="B1361" i="2" a="1"/>
  <c r="B1361" i="2" s="1"/>
  <c r="D1361" i="2" l="1"/>
  <c r="C1361" i="2"/>
  <c r="H1361" i="2"/>
  <c r="G1361" i="2"/>
  <c r="F1361" i="2"/>
  <c r="E1361" i="2"/>
  <c r="B1362" i="2" a="1"/>
  <c r="B1362" i="2" s="1"/>
  <c r="G1362" i="2" l="1"/>
  <c r="F1362" i="2"/>
  <c r="E1362" i="2"/>
  <c r="D1362" i="2"/>
  <c r="C1362" i="2"/>
  <c r="H1362" i="2"/>
  <c r="B1363" i="2" a="1"/>
  <c r="B1363" i="2" s="1"/>
  <c r="E1363" i="2" l="1"/>
  <c r="H1363" i="2"/>
  <c r="G1363" i="2"/>
  <c r="F1363" i="2"/>
  <c r="D1363" i="2"/>
  <c r="C1363" i="2"/>
  <c r="B1364" i="2" a="1"/>
  <c r="B1364" i="2" s="1"/>
  <c r="C1364" i="2" l="1"/>
  <c r="D1364" i="2"/>
  <c r="H1364" i="2"/>
  <c r="G1364" i="2"/>
  <c r="F1364" i="2"/>
  <c r="E1364" i="2"/>
  <c r="B1365" i="2" a="1"/>
  <c r="B1365" i="2" s="1"/>
  <c r="E1365" i="2" l="1"/>
  <c r="H1365" i="2"/>
  <c r="G1365" i="2"/>
  <c r="F1365" i="2"/>
  <c r="D1365" i="2"/>
  <c r="C1365" i="2"/>
  <c r="B1366" i="2" a="1"/>
  <c r="B1366" i="2" s="1"/>
  <c r="F1366" i="2" l="1"/>
  <c r="E1366" i="2"/>
  <c r="H1366" i="2"/>
  <c r="G1366" i="2"/>
  <c r="D1366" i="2"/>
  <c r="C1366" i="2"/>
  <c r="B1367" i="2" a="1"/>
  <c r="B1367" i="2" s="1"/>
  <c r="F1367" i="2" l="1"/>
  <c r="G1367" i="2"/>
  <c r="E1367" i="2"/>
  <c r="D1367" i="2"/>
  <c r="C1367" i="2"/>
  <c r="H1367" i="2"/>
  <c r="B1368" i="2" a="1"/>
  <c r="B1368" i="2" s="1"/>
  <c r="D1368" i="2" l="1"/>
  <c r="C1368" i="2"/>
  <c r="H1368" i="2"/>
  <c r="G1368" i="2"/>
  <c r="F1368" i="2"/>
  <c r="E1368" i="2"/>
  <c r="B1369" i="2" a="1"/>
  <c r="B1369" i="2" s="1"/>
  <c r="E1369" i="2" l="1"/>
  <c r="D1369" i="2"/>
  <c r="C1369" i="2"/>
  <c r="H1369" i="2"/>
  <c r="G1369" i="2"/>
  <c r="F1369" i="2"/>
  <c r="B1370" i="2" a="1"/>
  <c r="B1370" i="2" s="1"/>
  <c r="G1370" i="2" l="1"/>
  <c r="C1370" i="2"/>
  <c r="F1370" i="2"/>
  <c r="E1370" i="2"/>
  <c r="D1370" i="2"/>
  <c r="H1370" i="2"/>
  <c r="B1371" i="2" a="1"/>
  <c r="B1371" i="2" s="1"/>
  <c r="G1371" i="2" l="1"/>
  <c r="F1371" i="2"/>
  <c r="E1371" i="2"/>
  <c r="D1371" i="2"/>
  <c r="C1371" i="2"/>
  <c r="H1371" i="2"/>
  <c r="B1372" i="2" a="1"/>
  <c r="B1372" i="2" s="1"/>
  <c r="H1372" i="2" l="1"/>
  <c r="E1372" i="2"/>
  <c r="G1372" i="2"/>
  <c r="F1372" i="2"/>
  <c r="D1372" i="2"/>
  <c r="C1372" i="2"/>
  <c r="B1373" i="2" a="1"/>
  <c r="B1373" i="2" s="1"/>
  <c r="H1373" i="2" l="1"/>
  <c r="C1373" i="2"/>
  <c r="G1373" i="2"/>
  <c r="F1373" i="2"/>
  <c r="D1373" i="2"/>
  <c r="E1373" i="2"/>
  <c r="B1374" i="2" a="1"/>
  <c r="B1374" i="2" s="1"/>
  <c r="G1374" i="2" l="1"/>
  <c r="F1374" i="2"/>
  <c r="E1374" i="2"/>
  <c r="D1374" i="2"/>
  <c r="C1374" i="2"/>
  <c r="H1374" i="2"/>
  <c r="B1375" i="2" a="1"/>
  <c r="B1375" i="2" s="1"/>
  <c r="E1375" i="2" l="1"/>
  <c r="C1375" i="2"/>
  <c r="F1375" i="2"/>
  <c r="D1375" i="2"/>
  <c r="H1375" i="2"/>
  <c r="G1375" i="2"/>
  <c r="B1376" i="2" a="1"/>
  <c r="B1376" i="2" s="1"/>
  <c r="H1376" i="2" l="1"/>
  <c r="G1376" i="2"/>
  <c r="F1376" i="2"/>
  <c r="E1376" i="2"/>
  <c r="D1376" i="2"/>
  <c r="C1376" i="2"/>
  <c r="B1377" i="2" a="1"/>
  <c r="B1377" i="2" s="1"/>
  <c r="C1377" i="2" l="1"/>
  <c r="F1377" i="2"/>
  <c r="E1377" i="2"/>
  <c r="D1377" i="2"/>
  <c r="H1377" i="2"/>
  <c r="G1377" i="2"/>
  <c r="B1378" i="2" a="1"/>
  <c r="B1378" i="2" s="1"/>
  <c r="D1378" i="2" l="1"/>
  <c r="C1378" i="2"/>
  <c r="E1378" i="2"/>
  <c r="H1378" i="2"/>
  <c r="F1378" i="2"/>
  <c r="G1378" i="2"/>
  <c r="B1379" i="2" a="1"/>
  <c r="B1379" i="2" s="1"/>
  <c r="C1379" i="2" l="1"/>
  <c r="H1379" i="2"/>
  <c r="G1379" i="2"/>
  <c r="F1379" i="2"/>
  <c r="E1379" i="2"/>
  <c r="D1379" i="2"/>
  <c r="B1380" i="2" a="1"/>
  <c r="B1380" i="2" s="1"/>
  <c r="G1380" i="2" l="1"/>
  <c r="F1380" i="2"/>
  <c r="D1380" i="2"/>
  <c r="C1380" i="2"/>
  <c r="E1380" i="2"/>
  <c r="H1380" i="2"/>
  <c r="B1381" i="2" a="1"/>
  <c r="B1381" i="2" s="1"/>
  <c r="G1381" i="2" l="1"/>
  <c r="F1381" i="2"/>
  <c r="D1381" i="2"/>
  <c r="E1381" i="2"/>
  <c r="H1381" i="2"/>
  <c r="C1381" i="2"/>
  <c r="B1382" i="2" a="1"/>
  <c r="B1382" i="2" s="1"/>
  <c r="H1382" i="2" l="1"/>
  <c r="E1382" i="2"/>
  <c r="D1382" i="2"/>
  <c r="C1382" i="2"/>
  <c r="G1382" i="2"/>
  <c r="F1382" i="2"/>
  <c r="B1383" i="2" a="1"/>
  <c r="B1383" i="2" s="1"/>
  <c r="F1383" i="2" l="1"/>
  <c r="E1383" i="2"/>
  <c r="D1383" i="2"/>
  <c r="H1383" i="2"/>
  <c r="G1383" i="2"/>
  <c r="C1383" i="2"/>
  <c r="B1384" i="2" a="1"/>
  <c r="B1384" i="2" s="1"/>
  <c r="G1384" i="2" l="1"/>
  <c r="F1384" i="2"/>
  <c r="D1384" i="2"/>
  <c r="C1384" i="2"/>
  <c r="E1384" i="2"/>
  <c r="H1384" i="2"/>
  <c r="B1385" i="2" a="1"/>
  <c r="B1385" i="2" s="1"/>
  <c r="G1385" i="2" l="1"/>
  <c r="F1385" i="2"/>
  <c r="E1385" i="2"/>
  <c r="D1385" i="2"/>
  <c r="C1385" i="2"/>
  <c r="H1385" i="2"/>
  <c r="B1386" i="2" a="1"/>
  <c r="B1386" i="2" s="1"/>
  <c r="H1386" i="2" l="1"/>
  <c r="G1386" i="2"/>
  <c r="F1386" i="2"/>
  <c r="E1386" i="2"/>
  <c r="D1386" i="2"/>
  <c r="C1386" i="2"/>
  <c r="B1387" i="2" a="1"/>
  <c r="B1387" i="2" s="1"/>
  <c r="H1387" i="2" l="1"/>
  <c r="G1387" i="2"/>
  <c r="F1387" i="2"/>
  <c r="E1387" i="2"/>
  <c r="D1387" i="2"/>
  <c r="C1387" i="2"/>
  <c r="B1388" i="2" a="1"/>
  <c r="B1388" i="2" s="1"/>
  <c r="H1388" i="2" l="1"/>
  <c r="G1388" i="2"/>
  <c r="F1388" i="2"/>
  <c r="E1388" i="2"/>
  <c r="D1388" i="2"/>
  <c r="C1388" i="2"/>
  <c r="B1389" i="2" a="1"/>
  <c r="B1389" i="2" s="1"/>
  <c r="E1389" i="2" l="1"/>
  <c r="D1389" i="2"/>
  <c r="C1389" i="2"/>
  <c r="H1389" i="2"/>
  <c r="G1389" i="2"/>
  <c r="F1389" i="2"/>
  <c r="B1390" i="2" a="1"/>
  <c r="B1390" i="2" s="1"/>
  <c r="D1390" i="2" l="1"/>
  <c r="C1390" i="2"/>
  <c r="H1390" i="2"/>
  <c r="E1390" i="2"/>
  <c r="G1390" i="2"/>
  <c r="F1390" i="2"/>
  <c r="B1391" i="2" a="1"/>
  <c r="B1391" i="2" s="1"/>
  <c r="G1391" i="2" l="1"/>
  <c r="F1391" i="2"/>
  <c r="E1391" i="2"/>
  <c r="D1391" i="2"/>
  <c r="C1391" i="2"/>
  <c r="H1391" i="2"/>
  <c r="B1392" i="2" a="1"/>
  <c r="B1392" i="2" s="1"/>
  <c r="D1392" i="2" l="1"/>
  <c r="C1392" i="2"/>
  <c r="H1392" i="2"/>
  <c r="G1392" i="2"/>
  <c r="F1392" i="2"/>
  <c r="E1392" i="2"/>
  <c r="B1393" i="2" a="1"/>
  <c r="B1393" i="2" s="1"/>
  <c r="E1393" i="2" l="1"/>
  <c r="H1393" i="2"/>
  <c r="G1393" i="2"/>
  <c r="F1393" i="2"/>
  <c r="D1393" i="2"/>
  <c r="C1393" i="2"/>
  <c r="B1394" i="2" a="1"/>
  <c r="B1394" i="2" s="1"/>
  <c r="E1394" i="2" l="1"/>
  <c r="D1394" i="2"/>
  <c r="C1394" i="2"/>
  <c r="H1394" i="2"/>
  <c r="G1394" i="2"/>
  <c r="F1394" i="2"/>
  <c r="B1395" i="2" a="1"/>
  <c r="B1395" i="2" s="1"/>
  <c r="C1395" i="2" l="1"/>
  <c r="H1395" i="2"/>
  <c r="G1395" i="2"/>
  <c r="F1395" i="2"/>
  <c r="E1395" i="2"/>
  <c r="D1395" i="2"/>
  <c r="B1396" i="2" a="1"/>
  <c r="B1396" i="2" s="1"/>
  <c r="F1396" i="2" l="1"/>
  <c r="E1396" i="2"/>
  <c r="H1396" i="2"/>
  <c r="G1396" i="2"/>
  <c r="D1396" i="2"/>
  <c r="C1396" i="2"/>
  <c r="B1397" i="2" a="1"/>
  <c r="B1397" i="2" s="1"/>
  <c r="H1397" i="2" l="1"/>
  <c r="E1397" i="2"/>
  <c r="D1397" i="2"/>
  <c r="C1397" i="2"/>
  <c r="G1397" i="2"/>
  <c r="F1397" i="2"/>
  <c r="B1398" i="2" a="1"/>
  <c r="B1398" i="2" s="1"/>
  <c r="E1398" i="2" l="1"/>
  <c r="D1398" i="2"/>
  <c r="C1398" i="2"/>
  <c r="H1398" i="2"/>
  <c r="G1398" i="2"/>
  <c r="F1398" i="2"/>
  <c r="B1399" i="2" a="1"/>
  <c r="B1399" i="2" s="1"/>
  <c r="H1399" i="2" l="1"/>
  <c r="G1399" i="2"/>
  <c r="F1399" i="2"/>
  <c r="D1399" i="2"/>
  <c r="C1399" i="2"/>
  <c r="E1399" i="2"/>
  <c r="B1400" i="2" a="1"/>
  <c r="B1400" i="2" s="1"/>
  <c r="D1400" i="2" l="1"/>
  <c r="C1400" i="2"/>
  <c r="H1400" i="2"/>
  <c r="G1400" i="2"/>
  <c r="F1400" i="2"/>
  <c r="E1400" i="2"/>
  <c r="B1401" i="2" a="1"/>
  <c r="B1401" i="2" s="1"/>
  <c r="E1401" i="2" l="1"/>
  <c r="H1401" i="2"/>
  <c r="G1401" i="2"/>
  <c r="F1401" i="2"/>
  <c r="D1401" i="2"/>
  <c r="C1401" i="2"/>
  <c r="B1402" i="2" a="1"/>
  <c r="B1402" i="2" s="1"/>
  <c r="F1402" i="2" l="1"/>
  <c r="G1402" i="2"/>
  <c r="D1402" i="2"/>
  <c r="C1402" i="2"/>
  <c r="E1402" i="2"/>
  <c r="H1402" i="2"/>
  <c r="B1403" i="2" a="1"/>
  <c r="B1403" i="2" s="1"/>
  <c r="G1403" i="2" l="1"/>
  <c r="F1403" i="2"/>
  <c r="E1403" i="2"/>
  <c r="D1403" i="2"/>
  <c r="C1403" i="2"/>
  <c r="H1403" i="2"/>
  <c r="B1404" i="2" a="1"/>
  <c r="B1404" i="2" s="1"/>
  <c r="H1404" i="2" l="1"/>
  <c r="G1404" i="2"/>
  <c r="F1404" i="2"/>
  <c r="E1404" i="2"/>
  <c r="D1404" i="2"/>
  <c r="C1404" i="2"/>
  <c r="B1405" i="2" a="1"/>
  <c r="B1405" i="2" s="1"/>
  <c r="H1405" i="2" l="1"/>
  <c r="G1405" i="2"/>
  <c r="F1405" i="2"/>
  <c r="E1405" i="2"/>
  <c r="D1405" i="2"/>
  <c r="C1405" i="2"/>
  <c r="B1406" i="2" a="1"/>
  <c r="B1406" i="2" s="1"/>
  <c r="H1406" i="2" l="1"/>
  <c r="G1406" i="2"/>
  <c r="F1406" i="2"/>
  <c r="E1406" i="2"/>
  <c r="D1406" i="2"/>
  <c r="C1406" i="2"/>
  <c r="B1407" i="2" a="1"/>
  <c r="B1407" i="2" s="1"/>
  <c r="E1407" i="2" l="1"/>
  <c r="G1407" i="2"/>
  <c r="F1407" i="2"/>
  <c r="D1407" i="2"/>
  <c r="C1407" i="2"/>
  <c r="H1407" i="2"/>
  <c r="B1408" i="2" a="1"/>
  <c r="B1408" i="2" s="1"/>
  <c r="G1408" i="2" l="1"/>
  <c r="C1408" i="2"/>
  <c r="F1408" i="2"/>
  <c r="D1408" i="2"/>
  <c r="H1408" i="2"/>
  <c r="E1408" i="2"/>
  <c r="B1409" i="2" a="1"/>
  <c r="B1409" i="2" s="1"/>
  <c r="E1409" i="2" l="1"/>
  <c r="C1409" i="2"/>
  <c r="H1409" i="2"/>
  <c r="G1409" i="2"/>
  <c r="F1409" i="2"/>
  <c r="D1409" i="2"/>
  <c r="B1410" i="2" a="1"/>
  <c r="B1410" i="2" s="1"/>
  <c r="C1410" i="2" l="1"/>
  <c r="E1410" i="2"/>
  <c r="G1410" i="2"/>
  <c r="F1410" i="2"/>
  <c r="D1410" i="2"/>
  <c r="H1410" i="2"/>
  <c r="B1411" i="2" a="1"/>
  <c r="B1411" i="2" s="1"/>
  <c r="E1411" i="2" l="1"/>
  <c r="H1411" i="2"/>
  <c r="G1411" i="2"/>
  <c r="F1411" i="2"/>
  <c r="D1411" i="2"/>
  <c r="C1411" i="2"/>
  <c r="B1412" i="2" a="1"/>
  <c r="B1412" i="2" s="1"/>
  <c r="E1412" i="2" l="1"/>
  <c r="H1412" i="2"/>
  <c r="G1412" i="2"/>
  <c r="F1412" i="2"/>
  <c r="D1412" i="2"/>
  <c r="C1412" i="2"/>
  <c r="B1413" i="2" a="1"/>
  <c r="B1413" i="2" s="1"/>
  <c r="C1413" i="2" l="1"/>
  <c r="H1413" i="2"/>
  <c r="G1413" i="2"/>
  <c r="F1413" i="2"/>
  <c r="E1413" i="2"/>
  <c r="D1413" i="2"/>
  <c r="B1414" i="2" a="1"/>
  <c r="B1414" i="2" s="1"/>
  <c r="G1414" i="2" l="1"/>
  <c r="F1414" i="2"/>
  <c r="D1414" i="2"/>
  <c r="E1414" i="2"/>
  <c r="H1414" i="2"/>
  <c r="C1414" i="2"/>
  <c r="B1415" i="2" a="1"/>
  <c r="B1415" i="2" s="1"/>
  <c r="F1415" i="2" l="1"/>
  <c r="E1415" i="2"/>
  <c r="D1415" i="2"/>
  <c r="C1415" i="2"/>
  <c r="H1415" i="2"/>
  <c r="G1415" i="2"/>
  <c r="B1416" i="2" a="1"/>
  <c r="B1416" i="2" s="1"/>
  <c r="H1416" i="2" l="1"/>
  <c r="G1416" i="2"/>
  <c r="F1416" i="2"/>
  <c r="E1416" i="2"/>
  <c r="D1416" i="2"/>
  <c r="C1416" i="2"/>
  <c r="B1417" i="2" a="1"/>
  <c r="B1417" i="2" s="1"/>
  <c r="E1417" i="2" l="1"/>
  <c r="H1417" i="2"/>
  <c r="G1417" i="2"/>
  <c r="F1417" i="2"/>
  <c r="D1417" i="2"/>
  <c r="C1417" i="2"/>
  <c r="B1418" i="2" a="1"/>
  <c r="B1418" i="2" s="1"/>
  <c r="D1418" i="2" l="1"/>
  <c r="H1418" i="2"/>
  <c r="G1418" i="2"/>
  <c r="F1418" i="2"/>
  <c r="C1418" i="2"/>
  <c r="E1418" i="2"/>
  <c r="B1419" i="2" a="1"/>
  <c r="B1419" i="2" s="1"/>
  <c r="H1419" i="2" l="1"/>
  <c r="G1419" i="2"/>
  <c r="F1419" i="2"/>
  <c r="E1419" i="2"/>
  <c r="D1419" i="2"/>
  <c r="C1419" i="2"/>
  <c r="B1420" i="2" a="1"/>
  <c r="B1420" i="2" s="1"/>
  <c r="D1420" i="2" l="1"/>
  <c r="C1420" i="2"/>
  <c r="E1420" i="2"/>
  <c r="H1420" i="2"/>
  <c r="G1420" i="2"/>
  <c r="F1420" i="2"/>
  <c r="B1421" i="2" a="1"/>
  <c r="B1421" i="2" s="1"/>
  <c r="F1421" i="2" l="1"/>
  <c r="G1421" i="2"/>
  <c r="E1421" i="2"/>
  <c r="D1421" i="2"/>
  <c r="C1421" i="2"/>
  <c r="H1421" i="2"/>
  <c r="B1422" i="2" a="1"/>
  <c r="B1422" i="2" s="1"/>
  <c r="E1422" i="2" l="1"/>
  <c r="D1422" i="2"/>
  <c r="C1422" i="2"/>
  <c r="H1422" i="2"/>
  <c r="G1422" i="2"/>
  <c r="F1422" i="2"/>
  <c r="B1423" i="2" a="1"/>
  <c r="B1423" i="2" s="1"/>
  <c r="H1423" i="2" l="1"/>
  <c r="F1423" i="2"/>
  <c r="E1423" i="2"/>
  <c r="D1423" i="2"/>
  <c r="C1423" i="2"/>
  <c r="G1423" i="2"/>
  <c r="B1424" i="2" a="1"/>
  <c r="B1424" i="2" s="1"/>
  <c r="E1424" i="2" l="1"/>
  <c r="D1424" i="2"/>
  <c r="C1424" i="2"/>
  <c r="H1424" i="2"/>
  <c r="G1424" i="2"/>
  <c r="F1424" i="2"/>
  <c r="B1425" i="2" a="1"/>
  <c r="B1425" i="2" s="1"/>
  <c r="C1425" i="2" l="1"/>
  <c r="E1425" i="2"/>
  <c r="G1425" i="2"/>
  <c r="D1425" i="2"/>
  <c r="F1425" i="2"/>
  <c r="H1425" i="2"/>
  <c r="B1426" i="2" a="1"/>
  <c r="B1426" i="2" s="1"/>
  <c r="E1426" i="2" l="1"/>
  <c r="H1426" i="2"/>
  <c r="G1426" i="2"/>
  <c r="F1426" i="2"/>
  <c r="D1426" i="2"/>
  <c r="C1426" i="2"/>
  <c r="B1427" i="2" a="1"/>
  <c r="B1427" i="2" s="1"/>
  <c r="D1427" i="2" l="1"/>
  <c r="C1427" i="2"/>
  <c r="H1427" i="2"/>
  <c r="G1427" i="2"/>
  <c r="F1427" i="2"/>
  <c r="E1427" i="2"/>
  <c r="B1428" i="2" a="1"/>
  <c r="B1428" i="2" s="1"/>
  <c r="H1428" i="2" l="1"/>
  <c r="G1428" i="2"/>
  <c r="E1428" i="2"/>
  <c r="D1428" i="2"/>
  <c r="C1428" i="2"/>
  <c r="F1428" i="2"/>
  <c r="B1429" i="2" a="1"/>
  <c r="B1429" i="2" s="1"/>
  <c r="E1429" i="2" l="1"/>
  <c r="H1429" i="2"/>
  <c r="G1429" i="2"/>
  <c r="D1429" i="2"/>
  <c r="C1429" i="2"/>
  <c r="F1429" i="2"/>
  <c r="B1430" i="2" a="1"/>
  <c r="B1430" i="2" s="1"/>
  <c r="E1430" i="2" l="1"/>
  <c r="H1430" i="2"/>
  <c r="G1430" i="2"/>
  <c r="F1430" i="2"/>
  <c r="D1430" i="2"/>
  <c r="C1430" i="2"/>
  <c r="B1431" i="2" a="1"/>
  <c r="B1431" i="2" s="1"/>
  <c r="F1431" i="2" l="1"/>
  <c r="H1431" i="2"/>
  <c r="G1431" i="2"/>
  <c r="E1431" i="2"/>
  <c r="D1431" i="2"/>
  <c r="C1431" i="2"/>
  <c r="B1432" i="2" a="1"/>
  <c r="B1432" i="2" s="1"/>
  <c r="G1432" i="2" l="1"/>
  <c r="F1432" i="2"/>
  <c r="E1432" i="2"/>
  <c r="H1432" i="2"/>
  <c r="D1432" i="2"/>
  <c r="C1432" i="2"/>
  <c r="B1433" i="2" a="1"/>
  <c r="B1433" i="2" s="1"/>
  <c r="E1433" i="2" l="1"/>
  <c r="D1433" i="2"/>
  <c r="C1433" i="2"/>
  <c r="H1433" i="2"/>
  <c r="G1433" i="2"/>
  <c r="F1433" i="2"/>
  <c r="B1434" i="2" a="1"/>
  <c r="B1434" i="2" s="1"/>
  <c r="C1434" i="2" l="1"/>
  <c r="H1434" i="2"/>
  <c r="D1434" i="2"/>
  <c r="G1434" i="2"/>
  <c r="F1434" i="2"/>
  <c r="E1434" i="2"/>
  <c r="B1435" i="2" a="1"/>
  <c r="B1435" i="2" s="1"/>
  <c r="G1435" i="2" l="1"/>
  <c r="H1435" i="2"/>
  <c r="D1435" i="2"/>
  <c r="C1435" i="2"/>
  <c r="F1435" i="2"/>
  <c r="E1435" i="2"/>
  <c r="B1436" i="2" a="1"/>
  <c r="B1436" i="2" s="1"/>
  <c r="G1436" i="2" l="1"/>
  <c r="E1436" i="2"/>
  <c r="H1436" i="2"/>
  <c r="F1436" i="2"/>
  <c r="D1436" i="2"/>
  <c r="C1436" i="2"/>
  <c r="B1437" i="2" a="1"/>
  <c r="B1437" i="2" s="1"/>
  <c r="C1437" i="2" l="1"/>
  <c r="F1437" i="2"/>
  <c r="E1437" i="2"/>
  <c r="H1437" i="2"/>
  <c r="G1437" i="2"/>
  <c r="D1437" i="2"/>
  <c r="B1438" i="2" a="1"/>
  <c r="B1438" i="2" s="1"/>
  <c r="G1438" i="2" l="1"/>
  <c r="D1438" i="2"/>
  <c r="H1438" i="2"/>
  <c r="F1438" i="2"/>
  <c r="E1438" i="2"/>
  <c r="C1438" i="2"/>
  <c r="B1439" i="2" a="1"/>
  <c r="B1439" i="2" s="1"/>
  <c r="C1439" i="2" l="1"/>
  <c r="H1439" i="2"/>
  <c r="F1439" i="2"/>
  <c r="D1439" i="2"/>
  <c r="G1439" i="2"/>
  <c r="E1439" i="2"/>
  <c r="B1440" i="2" a="1"/>
  <c r="B1440" i="2" s="1"/>
  <c r="D1440" i="2" l="1"/>
  <c r="F1440" i="2"/>
  <c r="C1440" i="2"/>
  <c r="H1440" i="2"/>
  <c r="G1440" i="2"/>
  <c r="E1440" i="2"/>
  <c r="B1441" i="2" a="1"/>
  <c r="B1441" i="2" s="1"/>
  <c r="G1441" i="2" l="1"/>
  <c r="H1441" i="2"/>
  <c r="F1441" i="2"/>
  <c r="D1441" i="2"/>
  <c r="E1441" i="2"/>
  <c r="C1441" i="2"/>
  <c r="B1442" i="2" a="1"/>
  <c r="B1442" i="2" s="1"/>
  <c r="E1442" i="2" l="1"/>
  <c r="D1442" i="2"/>
  <c r="H1442" i="2"/>
  <c r="G1442" i="2"/>
  <c r="F1442" i="2"/>
  <c r="C1442" i="2"/>
  <c r="B1443" i="2" a="1"/>
  <c r="B1443" i="2" s="1"/>
  <c r="E1443" i="2" l="1"/>
  <c r="D1443" i="2"/>
  <c r="H1443" i="2"/>
  <c r="G1443" i="2"/>
  <c r="C1443" i="2"/>
  <c r="F1443" i="2"/>
  <c r="B1444" i="2" a="1"/>
  <c r="B1444" i="2" s="1"/>
  <c r="G1444" i="2" l="1"/>
  <c r="F1444" i="2"/>
  <c r="H1444" i="2"/>
  <c r="E1444" i="2"/>
  <c r="D1444" i="2"/>
  <c r="C1444" i="2"/>
  <c r="B1445" i="2" a="1"/>
  <c r="B1445" i="2" s="1"/>
  <c r="F1445" i="2" l="1"/>
  <c r="H1445" i="2"/>
  <c r="E1445" i="2"/>
  <c r="D1445" i="2"/>
  <c r="C1445" i="2"/>
  <c r="G1445" i="2"/>
  <c r="B1446" i="2" a="1"/>
  <c r="B1446" i="2" s="1"/>
  <c r="G1446" i="2" l="1"/>
  <c r="C1446" i="2"/>
  <c r="F1446" i="2"/>
  <c r="D1446" i="2"/>
  <c r="H1446" i="2"/>
  <c r="E1446" i="2"/>
  <c r="B1447" i="2" a="1"/>
  <c r="B1447" i="2" s="1"/>
  <c r="G1447" i="2" l="1"/>
  <c r="D1447" i="2"/>
  <c r="C1447" i="2"/>
  <c r="H1447" i="2"/>
  <c r="F1447" i="2"/>
  <c r="E1447" i="2"/>
  <c r="B1448" i="2" a="1"/>
  <c r="B1448" i="2" s="1"/>
  <c r="D1448" i="2" l="1"/>
  <c r="C1448" i="2"/>
  <c r="H1448" i="2"/>
  <c r="G1448" i="2"/>
  <c r="F1448" i="2"/>
  <c r="E1448" i="2"/>
  <c r="B1449" i="2" a="1"/>
  <c r="B1449" i="2" s="1"/>
  <c r="H1449" i="2" l="1"/>
  <c r="G1449" i="2"/>
  <c r="F1449" i="2"/>
  <c r="E1449" i="2"/>
  <c r="D1449" i="2"/>
  <c r="C1449" i="2"/>
  <c r="B1450" i="2" a="1"/>
  <c r="B1450" i="2" s="1"/>
  <c r="H1450" i="2" l="1"/>
  <c r="G1450" i="2"/>
  <c r="F1450" i="2"/>
  <c r="E1450" i="2"/>
  <c r="D1450" i="2"/>
  <c r="C1450" i="2"/>
  <c r="B1451" i="2" a="1"/>
  <c r="B1451" i="2" s="1"/>
  <c r="F1451" i="2" l="1"/>
  <c r="E1451" i="2"/>
  <c r="D1451" i="2"/>
  <c r="C1451" i="2"/>
  <c r="G1451" i="2"/>
  <c r="H1451" i="2"/>
  <c r="B1452" i="2" a="1"/>
  <c r="B1452" i="2" s="1"/>
  <c r="H1452" i="2" l="1"/>
  <c r="G1452" i="2"/>
  <c r="E1452" i="2"/>
  <c r="D1452" i="2"/>
  <c r="F1452" i="2"/>
  <c r="C1452" i="2"/>
  <c r="B1453" i="2" a="1"/>
  <c r="B1453" i="2" s="1"/>
  <c r="H1453" i="2" l="1"/>
  <c r="F1453" i="2"/>
  <c r="D1453" i="2"/>
  <c r="C1453" i="2"/>
  <c r="G1453" i="2"/>
  <c r="E1453" i="2"/>
  <c r="B1454" i="2" a="1"/>
  <c r="B1454" i="2" s="1"/>
  <c r="E1454" i="2" l="1"/>
  <c r="D1454" i="2"/>
  <c r="C1454" i="2"/>
  <c r="H1454" i="2"/>
  <c r="G1454" i="2"/>
  <c r="F1454" i="2"/>
  <c r="B1455" i="2" a="1"/>
  <c r="B1455" i="2" s="1"/>
  <c r="C1455" i="2" l="1"/>
  <c r="G1455" i="2"/>
  <c r="F1455" i="2"/>
  <c r="E1455" i="2"/>
  <c r="D1455" i="2"/>
  <c r="H1455" i="2"/>
  <c r="B1456" i="2" a="1"/>
  <c r="B1456" i="2" s="1"/>
  <c r="E1456" i="2" l="1"/>
  <c r="G1456" i="2"/>
  <c r="D1456" i="2"/>
  <c r="C1456" i="2"/>
  <c r="H1456" i="2"/>
  <c r="F1456" i="2"/>
  <c r="B1457" i="2" a="1"/>
  <c r="B1457" i="2" s="1"/>
  <c r="D1457" i="2" l="1"/>
  <c r="C1457" i="2"/>
  <c r="E1457" i="2"/>
  <c r="H1457" i="2"/>
  <c r="G1457" i="2"/>
  <c r="F1457" i="2"/>
  <c r="B1458" i="2" a="1"/>
  <c r="B1458" i="2" s="1"/>
  <c r="H1458" i="2" l="1"/>
  <c r="G1458" i="2"/>
  <c r="F1458" i="2"/>
  <c r="E1458" i="2"/>
  <c r="D1458" i="2"/>
  <c r="C1458" i="2"/>
  <c r="B1459" i="2" a="1"/>
  <c r="B1459" i="2" s="1"/>
  <c r="H1459" i="2" l="1"/>
  <c r="G1459" i="2"/>
  <c r="F1459" i="2"/>
  <c r="E1459" i="2"/>
  <c r="D1459" i="2"/>
  <c r="C1459" i="2"/>
  <c r="B1460" i="2" a="1"/>
  <c r="B1460" i="2" s="1"/>
  <c r="H1460" i="2" l="1"/>
  <c r="F1460" i="2"/>
  <c r="E1460" i="2"/>
  <c r="D1460" i="2"/>
  <c r="C1460" i="2"/>
  <c r="G1460" i="2"/>
  <c r="B1461" i="2" a="1"/>
  <c r="B1461" i="2" s="1"/>
  <c r="C1461" i="2" l="1"/>
  <c r="E1461" i="2"/>
  <c r="D1461" i="2"/>
  <c r="H1461" i="2"/>
  <c r="G1461" i="2"/>
  <c r="F1461" i="2"/>
  <c r="B1462" i="2" a="1"/>
  <c r="B1462" i="2" s="1"/>
  <c r="G1462" i="2" l="1"/>
  <c r="H1462" i="2"/>
  <c r="F1462" i="2"/>
  <c r="E1462" i="2"/>
  <c r="C1462" i="2"/>
  <c r="D1462" i="2"/>
  <c r="B1463" i="2" a="1"/>
  <c r="B1463" i="2" s="1"/>
  <c r="H1463" i="2" l="1"/>
  <c r="G1463" i="2"/>
  <c r="F1463" i="2"/>
  <c r="E1463" i="2"/>
  <c r="D1463" i="2"/>
  <c r="C1463" i="2"/>
  <c r="B1464" i="2" a="1"/>
  <c r="B1464" i="2" s="1"/>
  <c r="C1464" i="2" l="1"/>
  <c r="G1464" i="2"/>
  <c r="F1464" i="2"/>
  <c r="E1464" i="2"/>
  <c r="D1464" i="2"/>
  <c r="H1464" i="2"/>
  <c r="B1465" i="2" a="1"/>
  <c r="B1465" i="2" s="1"/>
  <c r="H1465" i="2" l="1"/>
  <c r="E1465" i="2"/>
  <c r="D1465" i="2"/>
  <c r="C1465" i="2"/>
  <c r="F1465" i="2"/>
  <c r="G1465" i="2"/>
  <c r="B1466" i="2" a="1"/>
  <c r="B1466" i="2" s="1"/>
  <c r="E1466" i="2" l="1"/>
  <c r="G1466" i="2"/>
  <c r="D1466" i="2"/>
  <c r="C1466" i="2"/>
  <c r="H1466" i="2"/>
  <c r="F1466" i="2"/>
  <c r="B1467" i="2" a="1"/>
  <c r="B1467" i="2" s="1"/>
  <c r="H1467" i="2" l="1"/>
  <c r="G1467" i="2"/>
  <c r="F1467" i="2"/>
  <c r="D1467" i="2"/>
  <c r="E1467" i="2"/>
  <c r="C1467" i="2"/>
  <c r="B1468" i="2" a="1"/>
  <c r="B1468" i="2" s="1"/>
  <c r="F1468" i="2" l="1"/>
  <c r="E1468" i="2"/>
  <c r="C1468" i="2"/>
  <c r="G1468" i="2"/>
  <c r="D1468" i="2"/>
  <c r="H1468" i="2"/>
  <c r="B1469" i="2" a="1"/>
  <c r="B1469" i="2" s="1"/>
  <c r="D1469" i="2" l="1"/>
  <c r="C1469" i="2"/>
  <c r="H1469" i="2"/>
  <c r="G1469" i="2"/>
  <c r="F1469" i="2"/>
  <c r="E1469" i="2"/>
  <c r="B1470" i="2" a="1"/>
  <c r="B1470" i="2" s="1"/>
  <c r="D1470" i="2" l="1"/>
  <c r="C1470" i="2"/>
  <c r="H1470" i="2"/>
  <c r="G1470" i="2"/>
  <c r="F1470" i="2"/>
  <c r="E1470" i="2"/>
  <c r="B1471" i="2" a="1"/>
  <c r="B1471" i="2" s="1"/>
  <c r="F1471" i="2" l="1"/>
  <c r="G1471" i="2"/>
  <c r="H1471" i="2"/>
  <c r="E1471" i="2"/>
  <c r="D1471" i="2"/>
  <c r="C1471" i="2"/>
  <c r="B1472" i="2" a="1"/>
  <c r="B1472" i="2" s="1"/>
  <c r="F1472" i="2" l="1"/>
  <c r="H1472" i="2"/>
  <c r="E1472" i="2"/>
  <c r="D1472" i="2"/>
  <c r="C1472" i="2"/>
  <c r="G1472" i="2"/>
  <c r="B1473" i="2" a="1"/>
  <c r="B1473" i="2" s="1"/>
  <c r="C1473" i="2" l="1"/>
  <c r="D1473" i="2"/>
  <c r="F1473" i="2"/>
  <c r="E1473" i="2"/>
  <c r="H1473" i="2"/>
  <c r="G1473" i="2"/>
  <c r="B1474" i="2" a="1"/>
  <c r="B1474" i="2" s="1"/>
  <c r="G1474" i="2" l="1"/>
  <c r="H1474" i="2"/>
  <c r="F1474" i="2"/>
  <c r="D1474" i="2"/>
  <c r="C1474" i="2"/>
  <c r="E1474" i="2"/>
  <c r="B1475" i="2" a="1"/>
  <c r="B1475" i="2" s="1"/>
  <c r="E1475" i="2" l="1"/>
  <c r="H1475" i="2"/>
  <c r="G1475" i="2"/>
  <c r="F1475" i="2"/>
  <c r="D1475" i="2"/>
  <c r="C1475" i="2"/>
  <c r="B1476" i="2" a="1"/>
  <c r="B1476" i="2" s="1"/>
  <c r="C1476" i="2" l="1"/>
  <c r="G1476" i="2"/>
  <c r="E1476" i="2"/>
  <c r="D1476" i="2"/>
  <c r="F1476" i="2"/>
  <c r="H1476" i="2"/>
  <c r="B1477" i="2" a="1"/>
  <c r="B1477" i="2" s="1"/>
  <c r="E1477" i="2" l="1"/>
  <c r="D1477" i="2"/>
  <c r="C1477" i="2"/>
  <c r="G1477" i="2"/>
  <c r="H1477" i="2"/>
  <c r="F1477" i="2"/>
  <c r="B1478" i="2" a="1"/>
  <c r="B1478" i="2" s="1"/>
  <c r="G1478" i="2" l="1"/>
  <c r="F1478" i="2"/>
  <c r="E1478" i="2"/>
  <c r="C1478" i="2"/>
  <c r="H1478" i="2"/>
  <c r="D1478" i="2"/>
  <c r="B1479" i="2" a="1"/>
  <c r="B1479" i="2" s="1"/>
  <c r="C1479" i="2" l="1"/>
  <c r="H1479" i="2"/>
  <c r="G1479" i="2"/>
  <c r="F1479" i="2"/>
  <c r="E1479" i="2"/>
  <c r="D1479" i="2"/>
  <c r="B1480" i="2" a="1"/>
  <c r="B1480" i="2" s="1"/>
  <c r="C1480" i="2" l="1"/>
  <c r="H1480" i="2"/>
  <c r="G1480" i="2"/>
  <c r="F1480" i="2"/>
  <c r="E1480" i="2"/>
  <c r="D1480" i="2"/>
  <c r="B1481" i="2" a="1"/>
  <c r="B1481" i="2" s="1"/>
  <c r="E1481" i="2" l="1"/>
  <c r="H1481" i="2"/>
  <c r="G1481" i="2"/>
  <c r="F1481" i="2"/>
  <c r="D1481" i="2"/>
  <c r="C1481" i="2"/>
  <c r="B1482" i="2" a="1"/>
  <c r="B1482" i="2" s="1"/>
  <c r="E1482" i="2" l="1"/>
  <c r="D1482" i="2"/>
  <c r="H1482" i="2"/>
  <c r="G1482" i="2"/>
  <c r="F1482" i="2"/>
  <c r="C1482" i="2"/>
  <c r="B1483" i="2" a="1"/>
  <c r="B1483" i="2" s="1"/>
  <c r="F1483" i="2" l="1"/>
  <c r="E1483" i="2"/>
  <c r="D1483" i="2"/>
  <c r="G1483" i="2"/>
  <c r="H1483" i="2"/>
  <c r="C1483" i="2"/>
  <c r="B1484" i="2" a="1"/>
  <c r="B1484" i="2" s="1"/>
  <c r="E1484" i="2" l="1"/>
  <c r="D1484" i="2"/>
  <c r="G1484" i="2"/>
  <c r="C1484" i="2"/>
  <c r="H1484" i="2"/>
  <c r="F1484" i="2"/>
  <c r="B1485" i="2" a="1"/>
  <c r="B1485" i="2" s="1"/>
  <c r="C1485" i="2" l="1"/>
  <c r="H1485" i="2"/>
  <c r="G1485" i="2"/>
  <c r="F1485" i="2"/>
  <c r="E1485" i="2"/>
  <c r="D1485" i="2"/>
  <c r="B1486" i="2" a="1"/>
  <c r="B1486" i="2" s="1"/>
  <c r="G1486" i="2" l="1"/>
  <c r="D1486" i="2"/>
  <c r="H1486" i="2"/>
  <c r="F1486" i="2"/>
  <c r="E1486" i="2"/>
  <c r="C1486" i="2"/>
  <c r="B1487" i="2" a="1"/>
  <c r="B1487" i="2" s="1"/>
  <c r="G1487" i="2" l="1"/>
  <c r="F1487" i="2"/>
  <c r="E1487" i="2"/>
  <c r="D1487" i="2"/>
  <c r="C1487" i="2"/>
  <c r="H1487" i="2"/>
  <c r="B1488" i="2" a="1"/>
  <c r="B1488" i="2" s="1"/>
  <c r="F1488" i="2" l="1"/>
  <c r="C1488" i="2"/>
  <c r="H1488" i="2"/>
  <c r="G1488" i="2"/>
  <c r="E1488" i="2"/>
  <c r="D1488" i="2"/>
  <c r="B1489" i="2" a="1"/>
  <c r="B1489" i="2" s="1"/>
  <c r="G1489" i="2" l="1"/>
  <c r="F1489" i="2"/>
  <c r="E1489" i="2"/>
  <c r="D1489" i="2"/>
  <c r="C1489" i="2"/>
  <c r="H1489" i="2"/>
  <c r="B1490" i="2" a="1"/>
  <c r="B1490" i="2" s="1"/>
  <c r="H1490" i="2" l="1"/>
  <c r="G1490" i="2"/>
  <c r="F1490" i="2"/>
  <c r="E1490" i="2"/>
  <c r="D1490" i="2"/>
  <c r="C1490" i="2"/>
  <c r="B1491" i="2" a="1"/>
  <c r="B1491" i="2" s="1"/>
  <c r="G1491" i="2" l="1"/>
  <c r="F1491" i="2"/>
  <c r="C1491" i="2"/>
  <c r="D1491" i="2"/>
  <c r="E1491" i="2"/>
  <c r="H1491" i="2"/>
  <c r="B1492" i="2" a="1"/>
  <c r="B1492" i="2" s="1"/>
  <c r="H1492" i="2" l="1"/>
  <c r="G1492" i="2"/>
  <c r="F1492" i="2"/>
  <c r="E1492" i="2"/>
  <c r="D1492" i="2"/>
  <c r="C1492" i="2"/>
  <c r="B1493" i="2" a="1"/>
  <c r="B1493" i="2" s="1"/>
  <c r="H1493" i="2" l="1"/>
  <c r="G1493" i="2"/>
  <c r="F1493" i="2"/>
  <c r="E1493" i="2"/>
  <c r="D1493" i="2"/>
  <c r="C1493" i="2"/>
  <c r="B1494" i="2" a="1"/>
  <c r="B1494" i="2" s="1"/>
  <c r="C1494" i="2" l="1"/>
  <c r="F1494" i="2"/>
  <c r="H1494" i="2"/>
  <c r="G1494" i="2"/>
  <c r="E1494" i="2"/>
  <c r="D1494" i="2"/>
  <c r="B1495" i="2" a="1"/>
  <c r="B1495" i="2" s="1"/>
  <c r="H1495" i="2" l="1"/>
  <c r="G1495" i="2"/>
  <c r="C1495" i="2"/>
  <c r="F1495" i="2"/>
  <c r="D1495" i="2"/>
  <c r="E1495" i="2"/>
  <c r="B1496" i="2" a="1"/>
  <c r="B1496" i="2" s="1"/>
  <c r="C1496" i="2" l="1"/>
  <c r="G1496" i="2"/>
  <c r="H1496" i="2"/>
  <c r="F1496" i="2"/>
  <c r="E1496" i="2"/>
  <c r="D1496" i="2"/>
  <c r="B1497" i="2" a="1"/>
  <c r="B1497" i="2" s="1"/>
  <c r="H1497" i="2" l="1"/>
  <c r="G1497" i="2"/>
  <c r="F1497" i="2"/>
  <c r="E1497" i="2"/>
  <c r="D1497" i="2"/>
  <c r="C1497" i="2"/>
  <c r="B1498" i="2" a="1"/>
  <c r="B1498" i="2" s="1"/>
  <c r="E1498" i="2" l="1"/>
  <c r="G1498" i="2"/>
  <c r="D1498" i="2"/>
  <c r="H1498" i="2"/>
  <c r="F1498" i="2"/>
  <c r="C1498" i="2"/>
  <c r="B1499" i="2" a="1"/>
  <c r="B1499" i="2" s="1"/>
  <c r="F1499" i="2" l="1"/>
  <c r="E1499" i="2"/>
  <c r="H1499" i="2"/>
  <c r="G1499" i="2"/>
  <c r="D1499" i="2"/>
  <c r="C1499" i="2"/>
  <c r="B1500" i="2" a="1"/>
  <c r="B1500" i="2" s="1"/>
  <c r="C1500" i="2" l="1"/>
  <c r="H1500" i="2"/>
  <c r="G1500" i="2"/>
  <c r="F1500" i="2"/>
  <c r="E1500" i="2"/>
  <c r="D1500" i="2"/>
  <c r="B1501" i="2" a="1"/>
  <c r="B1501" i="2" s="1"/>
  <c r="G1501" i="2" l="1"/>
  <c r="F1501" i="2"/>
  <c r="H1501" i="2"/>
  <c r="E1501" i="2"/>
  <c r="D1501" i="2"/>
  <c r="C1501" i="2"/>
  <c r="B1502" i="2" a="1"/>
  <c r="B1502" i="2" s="1"/>
  <c r="G1502" i="2" l="1"/>
  <c r="H1502" i="2"/>
  <c r="F1502" i="2"/>
  <c r="E1502" i="2"/>
  <c r="D1502" i="2"/>
  <c r="C1502" i="2"/>
  <c r="B1503" i="2" a="1"/>
  <c r="B1503" i="2" s="1"/>
  <c r="H1503" i="2" l="1"/>
  <c r="F1503" i="2"/>
  <c r="E1503" i="2"/>
  <c r="C1503" i="2"/>
  <c r="G1503" i="2"/>
  <c r="D1503" i="2"/>
  <c r="B1504" i="2" a="1"/>
  <c r="B1504" i="2" s="1"/>
  <c r="F1504" i="2" l="1"/>
  <c r="E1504" i="2"/>
  <c r="C1504" i="2"/>
  <c r="G1504" i="2"/>
  <c r="D1504" i="2"/>
  <c r="H1504" i="2"/>
  <c r="B1505" i="2" a="1"/>
  <c r="B1505" i="2" s="1"/>
  <c r="D1505" i="2" l="1"/>
  <c r="E1505" i="2"/>
  <c r="C1505" i="2"/>
  <c r="H1505" i="2"/>
  <c r="F1505" i="2"/>
  <c r="G1505" i="2"/>
  <c r="B1506" i="2" a="1"/>
  <c r="B1506" i="2" s="1"/>
  <c r="G1506" i="2" l="1"/>
  <c r="C1506" i="2"/>
  <c r="F1506" i="2"/>
  <c r="H1506" i="2"/>
  <c r="E1506" i="2"/>
  <c r="D1506" i="2"/>
  <c r="B1507" i="2" a="1"/>
  <c r="B1507" i="2" s="1"/>
  <c r="E1507" i="2" l="1"/>
  <c r="G1507" i="2"/>
  <c r="F1507" i="2"/>
  <c r="D1507" i="2"/>
  <c r="H1507" i="2"/>
  <c r="C1507" i="2"/>
  <c r="B1508" i="2" a="1"/>
  <c r="B1508" i="2" s="1"/>
  <c r="G1508" i="2" l="1"/>
  <c r="E1508" i="2"/>
  <c r="D1508" i="2"/>
  <c r="F1508" i="2"/>
  <c r="C1508" i="2"/>
  <c r="H1508" i="2"/>
  <c r="B1509" i="2" a="1"/>
  <c r="B1509" i="2" s="1"/>
  <c r="F1509" i="2" l="1"/>
  <c r="E1509" i="2"/>
  <c r="C1509" i="2"/>
  <c r="D1509" i="2"/>
  <c r="H1509" i="2"/>
  <c r="G1509" i="2"/>
  <c r="B1510" i="2" a="1"/>
  <c r="B1510" i="2" s="1"/>
  <c r="G1510" i="2" l="1"/>
  <c r="F1510" i="2"/>
  <c r="C1510" i="2"/>
  <c r="E1510" i="2"/>
  <c r="D1510" i="2"/>
  <c r="H1510" i="2"/>
  <c r="B1511" i="2" a="1"/>
  <c r="B1511" i="2" s="1"/>
  <c r="H1511" i="2" l="1"/>
  <c r="G1511" i="2"/>
  <c r="E1511" i="2"/>
  <c r="F1511" i="2"/>
  <c r="D1511" i="2"/>
  <c r="C1511" i="2"/>
  <c r="B1512" i="2" a="1"/>
  <c r="B1512" i="2" s="1"/>
  <c r="C1512" i="2" l="1"/>
  <c r="F1512" i="2"/>
  <c r="D1512" i="2"/>
  <c r="H1512" i="2"/>
  <c r="G1512" i="2"/>
  <c r="E1512" i="2"/>
  <c r="B1513" i="2" a="1"/>
  <c r="B1513" i="2" s="1"/>
  <c r="C1513" i="2" l="1"/>
  <c r="H1513" i="2"/>
  <c r="F1513" i="2"/>
  <c r="G1513" i="2"/>
  <c r="E1513" i="2"/>
  <c r="D1513" i="2"/>
  <c r="B1514" i="2" a="1"/>
  <c r="B1514" i="2" s="1"/>
  <c r="C1514" i="2" l="1"/>
  <c r="G1514" i="2"/>
  <c r="H1514" i="2"/>
  <c r="F1514" i="2"/>
  <c r="E1514" i="2"/>
  <c r="D1514" i="2"/>
  <c r="B1515" i="2" a="1"/>
  <c r="B1515" i="2" s="1"/>
  <c r="C1515" i="2" l="1"/>
  <c r="H1515" i="2"/>
  <c r="F1515" i="2"/>
  <c r="G1515" i="2"/>
  <c r="E1515" i="2"/>
  <c r="D1515" i="2"/>
  <c r="B1516" i="2" a="1"/>
  <c r="B1516" i="2" s="1"/>
  <c r="D1516" i="2" l="1"/>
  <c r="E1516" i="2"/>
  <c r="C1516" i="2"/>
  <c r="G1516" i="2"/>
  <c r="H1516" i="2"/>
  <c r="F1516" i="2"/>
  <c r="B1517" i="2" a="1"/>
  <c r="B1517" i="2" s="1"/>
  <c r="G1517" i="2" l="1"/>
  <c r="C1517" i="2"/>
  <c r="H1517" i="2"/>
  <c r="F1517" i="2"/>
  <c r="D1517" i="2"/>
  <c r="E1517" i="2"/>
  <c r="B1518" i="2" a="1"/>
  <c r="B1518" i="2" s="1"/>
  <c r="F1518" i="2" l="1"/>
  <c r="C1518" i="2"/>
  <c r="H1518" i="2"/>
  <c r="E1518" i="2"/>
  <c r="D1518" i="2"/>
  <c r="G1518" i="2"/>
  <c r="B1519" i="2" a="1"/>
  <c r="B1519" i="2" s="1"/>
  <c r="G1519" i="2" l="1"/>
  <c r="F1519" i="2"/>
  <c r="H1519" i="2"/>
  <c r="E1519" i="2"/>
  <c r="D1519" i="2"/>
  <c r="C1519" i="2"/>
  <c r="B1520" i="2" a="1"/>
  <c r="B1520" i="2" s="1"/>
  <c r="G1520" i="2" l="1"/>
  <c r="E1520" i="2"/>
  <c r="H1520" i="2"/>
  <c r="F1520" i="2"/>
  <c r="D1520" i="2"/>
  <c r="C1520" i="2"/>
  <c r="B1521" i="2" a="1"/>
  <c r="B1521" i="2" s="1"/>
  <c r="H1521" i="2" l="1"/>
  <c r="E1521" i="2"/>
  <c r="C1521" i="2"/>
  <c r="G1521" i="2"/>
  <c r="F1521" i="2"/>
  <c r="D1521" i="2"/>
  <c r="B1522" i="2" a="1"/>
  <c r="B1522" i="2" s="1"/>
  <c r="G1522" i="2" l="1"/>
  <c r="D1522" i="2"/>
  <c r="H1522" i="2"/>
  <c r="F1522" i="2"/>
  <c r="E1522" i="2"/>
  <c r="C1522" i="2"/>
  <c r="B1523" i="2" a="1"/>
  <c r="B1523" i="2" s="1"/>
  <c r="H1523" i="2" l="1"/>
  <c r="F1523" i="2"/>
  <c r="E1523" i="2"/>
  <c r="G1523" i="2"/>
  <c r="D1523" i="2"/>
  <c r="C1523" i="2"/>
  <c r="B1524" i="2" a="1"/>
  <c r="B1524" i="2" s="1"/>
  <c r="G1524" i="2" l="1"/>
  <c r="D1524" i="2"/>
  <c r="C1524" i="2"/>
  <c r="H1524" i="2"/>
  <c r="F1524" i="2"/>
  <c r="E1524" i="2"/>
  <c r="B1525" i="2" a="1"/>
  <c r="B1525" i="2" s="1"/>
  <c r="D1525" i="2" l="1"/>
  <c r="E1525" i="2"/>
  <c r="C1525" i="2"/>
  <c r="G1525" i="2"/>
  <c r="F1525" i="2"/>
  <c r="H1525" i="2"/>
  <c r="B1526" i="2" a="1"/>
  <c r="B1526" i="2" s="1"/>
  <c r="G1526" i="2" l="1"/>
  <c r="F1526" i="2"/>
  <c r="E1526" i="2"/>
  <c r="C1526" i="2"/>
  <c r="H1526" i="2"/>
  <c r="D1526" i="2"/>
  <c r="B1527" i="2" a="1"/>
  <c r="B1527" i="2" s="1"/>
  <c r="G1527" i="2" l="1"/>
  <c r="F1527" i="2"/>
  <c r="E1527" i="2"/>
  <c r="C1527" i="2"/>
  <c r="D1527" i="2"/>
  <c r="H1527" i="2"/>
  <c r="B1528" i="2" a="1"/>
  <c r="B1528" i="2" s="1"/>
  <c r="G1528" i="2" l="1"/>
  <c r="F1528" i="2"/>
  <c r="D1528" i="2"/>
  <c r="C1528" i="2"/>
  <c r="H1528" i="2"/>
  <c r="E1528" i="2"/>
  <c r="B1529" i="2" a="1"/>
  <c r="B1529" i="2" s="1"/>
  <c r="H1529" i="2" l="1"/>
  <c r="G1529" i="2"/>
  <c r="E1529" i="2"/>
  <c r="D1529" i="2"/>
  <c r="C1529" i="2"/>
  <c r="F1529" i="2"/>
  <c r="B1530" i="2" a="1"/>
  <c r="B1530" i="2" s="1"/>
  <c r="F1530" i="2" l="1"/>
  <c r="D1530" i="2"/>
  <c r="H1530" i="2"/>
  <c r="G1530" i="2"/>
  <c r="E1530" i="2"/>
  <c r="C1530" i="2"/>
  <c r="B1531" i="2" a="1"/>
  <c r="B1531" i="2" s="1"/>
  <c r="D1531" i="2" l="1"/>
  <c r="G1531" i="2"/>
  <c r="F1531" i="2"/>
  <c r="E1531" i="2"/>
  <c r="H1531" i="2"/>
  <c r="C1531" i="2"/>
  <c r="B1532" i="2" a="1"/>
  <c r="B1532" i="2" s="1"/>
  <c r="G1532" i="2" l="1"/>
  <c r="H1532" i="2"/>
  <c r="E1532" i="2"/>
  <c r="D1532" i="2"/>
  <c r="F1532" i="2"/>
  <c r="C1532" i="2"/>
  <c r="B1533" i="2" a="1"/>
  <c r="B1533" i="2" s="1"/>
  <c r="H1533" i="2" l="1"/>
  <c r="D1533" i="2"/>
  <c r="E1533" i="2"/>
  <c r="G1533" i="2"/>
  <c r="C1533" i="2"/>
  <c r="F1533" i="2"/>
  <c r="B1534" i="2" a="1"/>
  <c r="B1534" i="2" s="1"/>
  <c r="C1534" i="2" l="1"/>
  <c r="E1534" i="2"/>
  <c r="G1534" i="2"/>
  <c r="H1534" i="2"/>
  <c r="F1534" i="2"/>
  <c r="D1534" i="2"/>
  <c r="B1535" i="2" a="1"/>
  <c r="B1535" i="2" s="1"/>
  <c r="H1535" i="2" l="1"/>
  <c r="G1535" i="2"/>
  <c r="F1535" i="2"/>
  <c r="E1535" i="2"/>
  <c r="C1535" i="2"/>
  <c r="D1535" i="2"/>
  <c r="B1536" i="2" a="1"/>
  <c r="B1536" i="2" s="1"/>
  <c r="H1536" i="2" l="1"/>
  <c r="G1536" i="2"/>
  <c r="F1536" i="2"/>
  <c r="E1536" i="2"/>
  <c r="D1536" i="2"/>
  <c r="C1536" i="2"/>
  <c r="B1537" i="2" a="1"/>
  <c r="B1537" i="2" s="1"/>
  <c r="G1537" i="2" l="1"/>
  <c r="H1537" i="2"/>
  <c r="F1537" i="2"/>
  <c r="E1537" i="2"/>
  <c r="D1537" i="2"/>
  <c r="C1537" i="2"/>
  <c r="B1538" i="2" a="1"/>
  <c r="B1538" i="2" s="1"/>
  <c r="G1538" i="2" l="1"/>
  <c r="E1538" i="2"/>
  <c r="D1538" i="2"/>
  <c r="C1538" i="2"/>
  <c r="H1538" i="2"/>
  <c r="F1538" i="2"/>
  <c r="B1539" i="2" a="1"/>
  <c r="B1539" i="2" s="1"/>
  <c r="C1539" i="2" l="1"/>
  <c r="H1539" i="2"/>
  <c r="G1539" i="2"/>
  <c r="F1539" i="2"/>
  <c r="E1539" i="2"/>
  <c r="D1539" i="2"/>
  <c r="B1540" i="2" a="1"/>
  <c r="B1540" i="2" s="1"/>
  <c r="F1540" i="2" l="1"/>
  <c r="E1540" i="2"/>
  <c r="C1540" i="2"/>
  <c r="G1540" i="2"/>
  <c r="D1540" i="2"/>
  <c r="H1540" i="2"/>
  <c r="B1541" i="2" a="1"/>
  <c r="B1541" i="2" s="1"/>
  <c r="D1541" i="2" l="1"/>
  <c r="E1541" i="2"/>
  <c r="C1541" i="2"/>
  <c r="H1541" i="2"/>
  <c r="G1541" i="2"/>
  <c r="F1541" i="2"/>
  <c r="B1542" i="2" a="1"/>
  <c r="B1542" i="2" s="1"/>
  <c r="F1542" i="2" l="1"/>
  <c r="E1542" i="2"/>
  <c r="D1542" i="2"/>
  <c r="C1542" i="2"/>
  <c r="H1542" i="2"/>
  <c r="G1542" i="2"/>
  <c r="B1543" i="2" a="1"/>
  <c r="B1543" i="2" s="1"/>
  <c r="G1543" i="2" l="1"/>
  <c r="F1543" i="2"/>
  <c r="D1543" i="2"/>
  <c r="C1543" i="2"/>
  <c r="H1543" i="2"/>
  <c r="E1543" i="2"/>
  <c r="B1544" i="2" a="1"/>
  <c r="B1544" i="2" s="1"/>
  <c r="H1544" i="2" l="1"/>
  <c r="G1544" i="2"/>
  <c r="F1544" i="2"/>
  <c r="E1544" i="2"/>
  <c r="D1544" i="2"/>
  <c r="C1544" i="2"/>
  <c r="B1545" i="2" a="1"/>
  <c r="B1545" i="2" s="1"/>
  <c r="C1545" i="2" l="1"/>
  <c r="D1545" i="2"/>
  <c r="H1545" i="2"/>
  <c r="G1545" i="2"/>
  <c r="E1545" i="2"/>
  <c r="F1545" i="2"/>
  <c r="B1546" i="2" a="1"/>
  <c r="B1546" i="2" s="1"/>
  <c r="C1546" i="2" l="1"/>
  <c r="H1546" i="2"/>
  <c r="G1546" i="2"/>
  <c r="F1546" i="2"/>
  <c r="E1546" i="2"/>
  <c r="D1546" i="2"/>
  <c r="B1547" i="2" a="1"/>
  <c r="B1547" i="2" s="1"/>
  <c r="H1547" i="2" l="1"/>
  <c r="G1547" i="2"/>
  <c r="F1547" i="2"/>
  <c r="E1547" i="2"/>
  <c r="D1547" i="2"/>
  <c r="C1547" i="2"/>
  <c r="B1548" i="2" a="1"/>
  <c r="B1548" i="2" s="1"/>
  <c r="D1548" i="2" l="1"/>
  <c r="H1548" i="2"/>
  <c r="E1548" i="2"/>
  <c r="C1548" i="2"/>
  <c r="G1548" i="2"/>
  <c r="F1548" i="2"/>
  <c r="B1549" i="2" a="1"/>
  <c r="B1549" i="2" s="1"/>
  <c r="E1549" i="2" l="1"/>
  <c r="D1549" i="2"/>
  <c r="C1549" i="2"/>
  <c r="G1549" i="2"/>
  <c r="H1549" i="2"/>
  <c r="F1549" i="2"/>
  <c r="B1550" i="2" a="1"/>
  <c r="B1550" i="2" s="1"/>
  <c r="D1550" i="2" l="1"/>
  <c r="C1550" i="2"/>
  <c r="H1550" i="2"/>
  <c r="G1550" i="2"/>
  <c r="F1550" i="2"/>
  <c r="E1550" i="2"/>
  <c r="B1551" i="2" a="1"/>
  <c r="B1551" i="2" s="1"/>
  <c r="F1551" i="2" l="1"/>
  <c r="E1551" i="2"/>
  <c r="D1551" i="2"/>
  <c r="C1551" i="2"/>
  <c r="H1551" i="2"/>
  <c r="G1551" i="2"/>
  <c r="B1552" i="2" a="1"/>
  <c r="B1552" i="2" s="1"/>
  <c r="G1552" i="2" l="1"/>
  <c r="H1552" i="2"/>
  <c r="F1552" i="2"/>
  <c r="E1552" i="2"/>
  <c r="D1552" i="2"/>
  <c r="C1552" i="2"/>
  <c r="B1553" i="2" a="1"/>
  <c r="B1553" i="2" s="1"/>
  <c r="F1553" i="2" l="1"/>
  <c r="H1553" i="2"/>
  <c r="G1553" i="2"/>
  <c r="E1553" i="2"/>
  <c r="C1553" i="2"/>
  <c r="D1553" i="2"/>
  <c r="B1554" i="2" a="1"/>
  <c r="B1554" i="2" s="1"/>
  <c r="C1554" i="2" l="1"/>
  <c r="H1554" i="2"/>
  <c r="G1554" i="2"/>
  <c r="F1554" i="2"/>
  <c r="E1554" i="2"/>
  <c r="D1554" i="2"/>
  <c r="B1555" i="2" a="1"/>
  <c r="B1555" i="2" s="1"/>
  <c r="H1555" i="2" l="1"/>
  <c r="G1555" i="2"/>
  <c r="D1555" i="2"/>
  <c r="C1555" i="2"/>
  <c r="F1555" i="2"/>
  <c r="E1555" i="2"/>
  <c r="B1556" i="2" a="1"/>
  <c r="B1556" i="2" s="1"/>
  <c r="H1556" i="2" l="1"/>
  <c r="G1556" i="2"/>
  <c r="F1556" i="2"/>
  <c r="E1556" i="2"/>
  <c r="D1556" i="2"/>
  <c r="C1556" i="2"/>
  <c r="B1557" i="2" a="1"/>
  <c r="B1557" i="2" s="1"/>
  <c r="C1557" i="2" l="1"/>
  <c r="H1557" i="2"/>
  <c r="G1557" i="2"/>
  <c r="F1557" i="2"/>
  <c r="E1557" i="2"/>
  <c r="D1557" i="2"/>
  <c r="B1558" i="2" a="1"/>
  <c r="B1558" i="2" s="1"/>
  <c r="F1558" i="2" l="1"/>
  <c r="E1558" i="2"/>
  <c r="D1558" i="2"/>
  <c r="C1558" i="2"/>
  <c r="H1558" i="2"/>
  <c r="G1558" i="2"/>
  <c r="B1559" i="2" a="1"/>
  <c r="B1559" i="2" s="1"/>
  <c r="H1559" i="2" l="1"/>
  <c r="G1559" i="2"/>
  <c r="F1559" i="2"/>
  <c r="E1559" i="2"/>
  <c r="D1559" i="2"/>
  <c r="C1559" i="2"/>
  <c r="B1560" i="2" a="1"/>
  <c r="B1560" i="2" s="1"/>
  <c r="C1560" i="2" l="1"/>
  <c r="D1560" i="2"/>
  <c r="H1560" i="2"/>
  <c r="G1560" i="2"/>
  <c r="F1560" i="2"/>
  <c r="E1560" i="2"/>
  <c r="B1561" i="2" a="1"/>
  <c r="B1561" i="2" s="1"/>
  <c r="G1561" i="2" l="1"/>
  <c r="H1561" i="2"/>
  <c r="F1561" i="2"/>
  <c r="E1561" i="2"/>
  <c r="D1561" i="2"/>
  <c r="C1561" i="2"/>
  <c r="B1562" i="2" a="1"/>
  <c r="B1562" i="2" s="1"/>
  <c r="D1562" i="2" l="1"/>
  <c r="C1562" i="2"/>
  <c r="H1562" i="2"/>
  <c r="G1562" i="2"/>
  <c r="F1562" i="2"/>
  <c r="E1562" i="2"/>
  <c r="B1563" i="2" a="1"/>
  <c r="B1563" i="2" s="1"/>
  <c r="D1563" i="2" l="1"/>
  <c r="H1563" i="2"/>
  <c r="G1563" i="2"/>
  <c r="C1563" i="2"/>
  <c r="F1563" i="2"/>
  <c r="E1563" i="2"/>
  <c r="B1564" i="2" a="1"/>
  <c r="B1564" i="2" s="1"/>
  <c r="E1564" i="2" l="1"/>
  <c r="D1564" i="2"/>
  <c r="C1564" i="2"/>
  <c r="G1564" i="2"/>
  <c r="H1564" i="2"/>
  <c r="F1564" i="2"/>
  <c r="B1565" i="2" a="1"/>
  <c r="B1565" i="2" s="1"/>
  <c r="F1565" i="2" l="1"/>
  <c r="C1565" i="2"/>
  <c r="H1565" i="2"/>
  <c r="G1565" i="2"/>
  <c r="E1565" i="2"/>
  <c r="D1565" i="2"/>
  <c r="B1566" i="2" a="1"/>
  <c r="B1566" i="2" s="1"/>
  <c r="C1566" i="2" l="1"/>
  <c r="H1566" i="2"/>
  <c r="G1566" i="2"/>
  <c r="F1566" i="2"/>
  <c r="E1566" i="2"/>
  <c r="D1566" i="2"/>
  <c r="B1567" i="2" a="1"/>
  <c r="B1567" i="2" s="1"/>
  <c r="G1567" i="2" l="1"/>
  <c r="H1567" i="2"/>
  <c r="F1567" i="2"/>
  <c r="E1567" i="2"/>
  <c r="D1567" i="2"/>
  <c r="C1567" i="2"/>
  <c r="B1568" i="2" a="1"/>
  <c r="B1568" i="2" s="1"/>
  <c r="F1568" i="2" l="1"/>
  <c r="G1568" i="2"/>
  <c r="E1568" i="2"/>
  <c r="D1568" i="2"/>
  <c r="C1568" i="2"/>
  <c r="H1568" i="2"/>
  <c r="B1569" i="2" a="1"/>
  <c r="B1569" i="2" s="1"/>
  <c r="C1569" i="2" l="1"/>
  <c r="H1569" i="2"/>
  <c r="G1569" i="2"/>
  <c r="F1569" i="2"/>
  <c r="E1569" i="2"/>
  <c r="D1569" i="2"/>
  <c r="B1570" i="2" a="1"/>
  <c r="B1570" i="2" s="1"/>
  <c r="G1570" i="2" l="1"/>
  <c r="E1570" i="2"/>
  <c r="D1570" i="2"/>
  <c r="C1570" i="2"/>
  <c r="H1570" i="2"/>
  <c r="F1570" i="2"/>
  <c r="B1571" i="2" a="1"/>
  <c r="B1571" i="2" s="1"/>
  <c r="F1571" i="2" l="1"/>
  <c r="H1571" i="2"/>
  <c r="G1571" i="2"/>
  <c r="E1571" i="2"/>
  <c r="D1571" i="2"/>
  <c r="C1571" i="2"/>
  <c r="B1572" i="2" a="1"/>
  <c r="B1572" i="2" s="1"/>
  <c r="C1572" i="2" l="1"/>
  <c r="D1572" i="2"/>
  <c r="H1572" i="2"/>
  <c r="G1572" i="2"/>
  <c r="F1572" i="2"/>
  <c r="E1572" i="2"/>
  <c r="B1573" i="2" a="1"/>
  <c r="B1573" i="2" s="1"/>
  <c r="E1573" i="2" l="1"/>
  <c r="G1573" i="2"/>
  <c r="H1573" i="2"/>
  <c r="F1573" i="2"/>
  <c r="D1573" i="2"/>
  <c r="C1573" i="2"/>
  <c r="B1574" i="2" a="1"/>
  <c r="B1574" i="2" s="1"/>
  <c r="C1574" i="2" l="1"/>
  <c r="F1574" i="2"/>
  <c r="H1574" i="2"/>
  <c r="G1574" i="2"/>
  <c r="E1574" i="2"/>
  <c r="D1574" i="2"/>
  <c r="B1575" i="2" a="1"/>
  <c r="B1575" i="2" s="1"/>
  <c r="C1575" i="2" l="1"/>
  <c r="H1575" i="2"/>
  <c r="G1575" i="2"/>
  <c r="F1575" i="2"/>
  <c r="E1575" i="2"/>
  <c r="D1575" i="2"/>
  <c r="B1576" i="2" a="1"/>
  <c r="B1576" i="2" s="1"/>
  <c r="E1576" i="2" l="1"/>
  <c r="D1576" i="2"/>
  <c r="C1576" i="2"/>
  <c r="G1576" i="2"/>
  <c r="F1576" i="2"/>
  <c r="H1576" i="2"/>
  <c r="B1577" i="2" a="1"/>
  <c r="B1577" i="2" s="1"/>
  <c r="F1577" i="2" l="1"/>
  <c r="H1577" i="2"/>
  <c r="D1577" i="2"/>
  <c r="C1577" i="2"/>
  <c r="E1577" i="2"/>
  <c r="G1577" i="2"/>
  <c r="B1578" i="2" a="1"/>
  <c r="B1578" i="2" s="1"/>
  <c r="F1578" i="2" l="1"/>
  <c r="C1578" i="2"/>
  <c r="H1578" i="2"/>
  <c r="G1578" i="2"/>
  <c r="E1578" i="2"/>
  <c r="D1578" i="2"/>
  <c r="B1579" i="2" a="1"/>
  <c r="B1579" i="2" s="1"/>
  <c r="H1579" i="2" l="1"/>
  <c r="G1579" i="2"/>
  <c r="E1579" i="2"/>
  <c r="D1579" i="2"/>
  <c r="C1579" i="2"/>
  <c r="F1579" i="2"/>
  <c r="B1580" i="2" a="1"/>
  <c r="B1580" i="2" s="1"/>
  <c r="E1580" i="2" l="1"/>
  <c r="D1580" i="2"/>
  <c r="C1580" i="2"/>
  <c r="G1580" i="2"/>
  <c r="H1580" i="2"/>
  <c r="F1580" i="2"/>
  <c r="B1581" i="2" a="1"/>
  <c r="B1581" i="2" s="1"/>
  <c r="H1581" i="2" l="1"/>
  <c r="C1581" i="2"/>
  <c r="D1581" i="2"/>
  <c r="G1581" i="2"/>
  <c r="E1581" i="2"/>
  <c r="F1581" i="2"/>
  <c r="B1582" i="2" a="1"/>
  <c r="B1582" i="2" s="1"/>
  <c r="H1582" i="2" l="1"/>
  <c r="D1582" i="2"/>
  <c r="G1582" i="2"/>
  <c r="F1582" i="2"/>
  <c r="E1582" i="2"/>
  <c r="C1582" i="2"/>
  <c r="B1583" i="2" a="1"/>
  <c r="B1583" i="2" s="1"/>
  <c r="D1583" i="2" l="1"/>
  <c r="H1583" i="2"/>
  <c r="G1583" i="2"/>
  <c r="F1583" i="2"/>
  <c r="E1583" i="2"/>
  <c r="C1583" i="2"/>
  <c r="B1584" i="2" a="1"/>
  <c r="B1584" i="2" s="1"/>
  <c r="F1584" i="2" l="1"/>
  <c r="D1584" i="2"/>
  <c r="G1584" i="2"/>
  <c r="H1584" i="2"/>
  <c r="E1584" i="2"/>
  <c r="C1584" i="2"/>
  <c r="B1585" i="2" a="1"/>
  <c r="B1585" i="2" s="1"/>
  <c r="E1585" i="2" l="1"/>
  <c r="D1585" i="2"/>
  <c r="C1585" i="2"/>
  <c r="H1585" i="2"/>
  <c r="F1585" i="2"/>
  <c r="G1585" i="2"/>
  <c r="B1586" i="2" a="1"/>
  <c r="B1586" i="2" s="1"/>
  <c r="E1586" i="2" l="1"/>
  <c r="C1586" i="2"/>
  <c r="F1586" i="2"/>
  <c r="D1586" i="2"/>
  <c r="H1586" i="2"/>
  <c r="G1586" i="2"/>
  <c r="B1587" i="2" a="1"/>
  <c r="B1587" i="2" s="1"/>
  <c r="D1587" i="2" l="1"/>
  <c r="C1587" i="2"/>
  <c r="H1587" i="2"/>
  <c r="G1587" i="2"/>
  <c r="F1587" i="2"/>
  <c r="E1587" i="2"/>
  <c r="B1588" i="2" a="1"/>
  <c r="B1588" i="2" s="1"/>
  <c r="E1588" i="2" l="1"/>
  <c r="H1588" i="2"/>
  <c r="C1588" i="2"/>
  <c r="D1588" i="2"/>
  <c r="G1588" i="2"/>
  <c r="F1588" i="2"/>
  <c r="B1589" i="2" a="1"/>
  <c r="B1589" i="2" s="1"/>
  <c r="E1589" i="2" l="1"/>
  <c r="D1589" i="2"/>
  <c r="C1589" i="2"/>
  <c r="H1589" i="2"/>
  <c r="F1589" i="2"/>
  <c r="G1589" i="2"/>
  <c r="B1590" i="2" a="1"/>
  <c r="B1590" i="2" s="1"/>
  <c r="C1590" i="2" l="1"/>
  <c r="G1590" i="2"/>
  <c r="D1590" i="2"/>
  <c r="F1590" i="2"/>
  <c r="E1590" i="2"/>
  <c r="H1590" i="2"/>
  <c r="B1591" i="2" a="1"/>
  <c r="B1591" i="2" s="1"/>
  <c r="G1591" i="2" l="1"/>
  <c r="H1591" i="2"/>
  <c r="E1591" i="2"/>
  <c r="C1591" i="2"/>
  <c r="F1591" i="2"/>
  <c r="D1591" i="2"/>
  <c r="B1592" i="2" a="1"/>
  <c r="B1592" i="2" s="1"/>
  <c r="C1592" i="2" l="1"/>
  <c r="H1592" i="2"/>
  <c r="G1592" i="2"/>
  <c r="F1592" i="2"/>
  <c r="E1592" i="2"/>
  <c r="D1592" i="2"/>
  <c r="B1593" i="2" a="1"/>
  <c r="B1593" i="2" s="1"/>
  <c r="D1593" i="2" l="1"/>
  <c r="H1593" i="2"/>
  <c r="G1593" i="2"/>
  <c r="F1593" i="2"/>
  <c r="E1593" i="2"/>
  <c r="C1593" i="2"/>
  <c r="B1594" i="2" a="1"/>
  <c r="B1594" i="2" s="1"/>
  <c r="C1594" i="2" l="1"/>
  <c r="H1594" i="2"/>
  <c r="G1594" i="2"/>
  <c r="E1594" i="2"/>
  <c r="F1594" i="2"/>
  <c r="D1594" i="2"/>
  <c r="B1595" i="2" a="1"/>
  <c r="B1595" i="2" s="1"/>
  <c r="F1595" i="2" l="1"/>
  <c r="E1595" i="2"/>
  <c r="D1595" i="2"/>
  <c r="C1595" i="2"/>
  <c r="H1595" i="2"/>
  <c r="G1595" i="2"/>
  <c r="B1596" i="2" a="1"/>
  <c r="B1596" i="2" s="1"/>
  <c r="G1596" i="2" l="1"/>
  <c r="F1596" i="2"/>
  <c r="C1596" i="2"/>
  <c r="D1596" i="2"/>
  <c r="E1596" i="2"/>
  <c r="H1596" i="2"/>
  <c r="B1597" i="2" a="1"/>
  <c r="B1597" i="2" s="1"/>
  <c r="H1597" i="2" l="1"/>
  <c r="G1597" i="2"/>
  <c r="F1597" i="2"/>
  <c r="E1597" i="2"/>
  <c r="D1597" i="2"/>
  <c r="C1597" i="2"/>
  <c r="B1598" i="2" a="1"/>
  <c r="B1598" i="2" s="1"/>
  <c r="G1598" i="2" l="1"/>
  <c r="F1598" i="2"/>
  <c r="H1598" i="2"/>
  <c r="E1598" i="2"/>
  <c r="D1598" i="2"/>
  <c r="C1598" i="2"/>
  <c r="B1599" i="2" a="1"/>
  <c r="B1599" i="2" s="1"/>
  <c r="D1599" i="2" l="1"/>
  <c r="G1599" i="2"/>
  <c r="E1599" i="2"/>
  <c r="H1599" i="2"/>
  <c r="F1599" i="2"/>
  <c r="C1599" i="2"/>
  <c r="B1600" i="2" a="1"/>
  <c r="B1600" i="2" s="1"/>
  <c r="H1600" i="2" l="1"/>
  <c r="G1600" i="2"/>
  <c r="F1600" i="2"/>
  <c r="E1600" i="2"/>
  <c r="D1600" i="2"/>
  <c r="C1600" i="2"/>
  <c r="B1601" i="2" a="1"/>
  <c r="B1601" i="2" s="1"/>
  <c r="H1601" i="2" l="1"/>
  <c r="D1601" i="2"/>
  <c r="G1601" i="2"/>
  <c r="F1601" i="2"/>
  <c r="E1601" i="2"/>
  <c r="C1601" i="2"/>
  <c r="B1602" i="2" a="1"/>
  <c r="B1602" i="2" s="1"/>
  <c r="D1602" i="2" l="1"/>
  <c r="G1602" i="2"/>
  <c r="F1602" i="2"/>
  <c r="E1602" i="2"/>
  <c r="C1602" i="2"/>
  <c r="H1602" i="2"/>
  <c r="B1603" i="2" a="1"/>
  <c r="B1603" i="2" s="1"/>
  <c r="H1603" i="2" l="1"/>
  <c r="F1603" i="2"/>
  <c r="E1603" i="2"/>
  <c r="G1603" i="2"/>
  <c r="D1603" i="2"/>
  <c r="C1603" i="2"/>
  <c r="B1604" i="2" a="1"/>
  <c r="B1604" i="2" s="1"/>
  <c r="F1604" i="2" l="1"/>
  <c r="D1604" i="2"/>
  <c r="H1604" i="2"/>
  <c r="G1604" i="2"/>
  <c r="E1604" i="2"/>
  <c r="C1604" i="2"/>
  <c r="B1605" i="2" a="1"/>
  <c r="B1605" i="2" s="1"/>
  <c r="D1605" i="2" l="1"/>
  <c r="C1605" i="2"/>
  <c r="G1605" i="2"/>
  <c r="E1605" i="2"/>
  <c r="H1605" i="2"/>
  <c r="F1605" i="2"/>
  <c r="B1606" i="2" a="1"/>
  <c r="B1606" i="2" s="1"/>
  <c r="F1606" i="2" l="1"/>
  <c r="H1606" i="2"/>
  <c r="G1606" i="2"/>
  <c r="C1606" i="2"/>
  <c r="E1606" i="2"/>
  <c r="D1606" i="2"/>
  <c r="B1607" i="2" a="1"/>
  <c r="B1607" i="2" s="1"/>
  <c r="H1607" i="2" l="1"/>
  <c r="G1607" i="2"/>
  <c r="F1607" i="2"/>
  <c r="D1607" i="2"/>
  <c r="E1607" i="2"/>
  <c r="C1607" i="2"/>
  <c r="B1608" i="2" a="1"/>
  <c r="B1608" i="2" s="1"/>
  <c r="D1608" i="2" l="1"/>
  <c r="F1608" i="2"/>
  <c r="E1608" i="2"/>
  <c r="G1608" i="2"/>
  <c r="H1608" i="2"/>
  <c r="C1608" i="2"/>
  <c r="B1609" i="2" a="1"/>
  <c r="B1609" i="2" s="1"/>
  <c r="H1609" i="2" l="1"/>
  <c r="D1609" i="2"/>
  <c r="C1609" i="2"/>
  <c r="F1609" i="2"/>
  <c r="E1609" i="2"/>
  <c r="G1609" i="2"/>
  <c r="B1610" i="2" a="1"/>
  <c r="B1610" i="2" s="1"/>
  <c r="C1610" i="2" l="1"/>
  <c r="H1610" i="2"/>
  <c r="F1610" i="2"/>
  <c r="D1610" i="2"/>
  <c r="G1610" i="2"/>
  <c r="E1610" i="2"/>
  <c r="B1611" i="2" a="1"/>
  <c r="B1611" i="2" s="1"/>
  <c r="F1611" i="2" l="1"/>
  <c r="D1611" i="2"/>
  <c r="H1611" i="2"/>
  <c r="G1611" i="2"/>
  <c r="E1611" i="2"/>
  <c r="C1611" i="2"/>
  <c r="B1612" i="2" a="1"/>
  <c r="B1612" i="2" s="1"/>
  <c r="G1612" i="2" l="1"/>
  <c r="F1612" i="2"/>
  <c r="E1612" i="2"/>
  <c r="C1612" i="2"/>
  <c r="D1612" i="2"/>
  <c r="H1612" i="2"/>
  <c r="B1613" i="2" a="1"/>
  <c r="B1613" i="2" s="1"/>
  <c r="F1613" i="2" l="1"/>
  <c r="C1613" i="2"/>
  <c r="G1613" i="2"/>
  <c r="E1613" i="2"/>
  <c r="D1613" i="2"/>
  <c r="H1613" i="2"/>
  <c r="B1614" i="2" a="1"/>
  <c r="B1614" i="2" s="1"/>
  <c r="D1614" i="2" l="1"/>
  <c r="F1614" i="2"/>
  <c r="G1614" i="2"/>
  <c r="E1614" i="2"/>
  <c r="C1614" i="2"/>
  <c r="H1614" i="2"/>
  <c r="B1615" i="2" a="1"/>
  <c r="B1615" i="2" s="1"/>
  <c r="H1615" i="2" l="1"/>
  <c r="D1615" i="2"/>
  <c r="G1615" i="2"/>
  <c r="E1615" i="2"/>
  <c r="F1615" i="2"/>
  <c r="C1615" i="2"/>
  <c r="B1616" i="2" a="1"/>
  <c r="B1616" i="2" s="1"/>
  <c r="G1616" i="2" l="1"/>
  <c r="F1616" i="2"/>
  <c r="D1616" i="2"/>
  <c r="H1616" i="2"/>
  <c r="E1616" i="2"/>
  <c r="C1616" i="2"/>
  <c r="B1617" i="2" a="1"/>
  <c r="B1617" i="2" s="1"/>
  <c r="D1617" i="2" l="1"/>
  <c r="G1617" i="2"/>
  <c r="F1617" i="2"/>
  <c r="E1617" i="2"/>
  <c r="H1617" i="2"/>
  <c r="C1617" i="2"/>
  <c r="B1618" i="2" a="1"/>
  <c r="B1618" i="2" s="1"/>
  <c r="G1618" i="2" l="1"/>
  <c r="E1618" i="2"/>
  <c r="F1618" i="2"/>
  <c r="H1618" i="2"/>
  <c r="D1618" i="2"/>
  <c r="C1618" i="2"/>
  <c r="B1619" i="2" a="1"/>
  <c r="B1619" i="2" s="1"/>
  <c r="H1619" i="2" l="1"/>
  <c r="F1619" i="2"/>
  <c r="D1619" i="2"/>
  <c r="C1619" i="2"/>
  <c r="G1619" i="2"/>
  <c r="E1619" i="2"/>
  <c r="B1620" i="2" a="1"/>
  <c r="B1620" i="2" s="1"/>
  <c r="D1620" i="2" l="1"/>
  <c r="H1620" i="2"/>
  <c r="G1620" i="2"/>
  <c r="E1620" i="2"/>
  <c r="F1620" i="2"/>
  <c r="C1620" i="2"/>
  <c r="B1621" i="2" a="1"/>
  <c r="B1621" i="2" s="1"/>
  <c r="D1621" i="2" l="1"/>
  <c r="E1621" i="2"/>
  <c r="C1621" i="2"/>
  <c r="G1621" i="2"/>
  <c r="F1621" i="2"/>
  <c r="H1621" i="2"/>
  <c r="B1622" i="2" a="1"/>
  <c r="B1622" i="2" s="1"/>
  <c r="H1622" i="2" l="1"/>
  <c r="G1622" i="2"/>
  <c r="F1622" i="2"/>
  <c r="E1622" i="2"/>
  <c r="D1622" i="2"/>
  <c r="C1622" i="2"/>
  <c r="B1623" i="2" a="1"/>
  <c r="B1623" i="2" s="1"/>
  <c r="D1623" i="2" l="1"/>
  <c r="C1623" i="2"/>
  <c r="G1623" i="2"/>
  <c r="E1623" i="2"/>
  <c r="H1623" i="2"/>
  <c r="F1623" i="2"/>
  <c r="B1624" i="2" a="1"/>
  <c r="B1624" i="2" s="1"/>
  <c r="H1624" i="2" l="1"/>
  <c r="G1624" i="2"/>
  <c r="E1624" i="2"/>
  <c r="D1624" i="2"/>
  <c r="C1624" i="2"/>
  <c r="F1624" i="2"/>
  <c r="B1625" i="2" a="1"/>
  <c r="B1625" i="2" s="1"/>
  <c r="H1625" i="2" l="1"/>
  <c r="G1625" i="2"/>
  <c r="F1625" i="2"/>
  <c r="D1625" i="2"/>
  <c r="E1625" i="2"/>
  <c r="C1625" i="2"/>
  <c r="B1626" i="2" a="1"/>
  <c r="B1626" i="2" s="1"/>
  <c r="C1626" i="2" l="1"/>
  <c r="D1626" i="2"/>
  <c r="F1626" i="2"/>
  <c r="E1626" i="2"/>
  <c r="G1626" i="2"/>
  <c r="H1626" i="2"/>
  <c r="B1627" i="2" a="1"/>
  <c r="B1627" i="2" s="1"/>
  <c r="E1627" i="2" l="1"/>
  <c r="H1627" i="2"/>
  <c r="G1627" i="2"/>
  <c r="F1627" i="2"/>
  <c r="D1627" i="2"/>
  <c r="C1627" i="2"/>
  <c r="B1628" i="2" a="1"/>
  <c r="B1628" i="2" s="1"/>
  <c r="F1628" i="2" l="1"/>
  <c r="D1628" i="2"/>
  <c r="E1628" i="2"/>
  <c r="C1628" i="2"/>
  <c r="H1628" i="2"/>
  <c r="G1628" i="2"/>
  <c r="B1629" i="2" a="1"/>
  <c r="B1629" i="2" s="1"/>
  <c r="D1629" i="2" l="1"/>
  <c r="H1629" i="2"/>
  <c r="G1629" i="2"/>
  <c r="E1629" i="2"/>
  <c r="C1629" i="2"/>
  <c r="F1629" i="2"/>
  <c r="B1630" i="2" a="1"/>
  <c r="B1630" i="2" s="1"/>
  <c r="E1630" i="2" l="1"/>
  <c r="G1630" i="2"/>
  <c r="F1630" i="2"/>
  <c r="D1630" i="2"/>
  <c r="C1630" i="2"/>
  <c r="H1630" i="2"/>
  <c r="B1631" i="2" a="1"/>
  <c r="B1631" i="2" s="1"/>
  <c r="G1631" i="2" l="1"/>
  <c r="H1631" i="2"/>
  <c r="F1631" i="2"/>
  <c r="D1631" i="2"/>
  <c r="C1631" i="2"/>
  <c r="E1631" i="2"/>
  <c r="B1632" i="2" a="1"/>
  <c r="B1632" i="2" s="1"/>
  <c r="D1632" i="2" l="1"/>
  <c r="F1632" i="2"/>
  <c r="H1632" i="2"/>
  <c r="G1632" i="2"/>
  <c r="E1632" i="2"/>
  <c r="C1632" i="2"/>
  <c r="B1633" i="2" a="1"/>
  <c r="B1633" i="2" s="1"/>
  <c r="H1633" i="2" l="1"/>
  <c r="D1633" i="2"/>
  <c r="G1633" i="2"/>
  <c r="F1633" i="2"/>
  <c r="C1633" i="2"/>
  <c r="E1633" i="2"/>
  <c r="B1634" i="2" a="1"/>
  <c r="B1634" i="2" s="1"/>
  <c r="C1634" i="2" l="1"/>
  <c r="H1634" i="2"/>
  <c r="G1634" i="2"/>
  <c r="F1634" i="2"/>
  <c r="E1634" i="2"/>
  <c r="D1634" i="2"/>
  <c r="B1635" i="2" a="1"/>
  <c r="B1635" i="2" s="1"/>
  <c r="F1635" i="2" l="1"/>
  <c r="D1635" i="2"/>
  <c r="H1635" i="2"/>
  <c r="G1635" i="2"/>
  <c r="C1635" i="2"/>
  <c r="E1635" i="2"/>
  <c r="B1636" i="2" a="1"/>
  <c r="B1636" i="2" s="1"/>
  <c r="H1636" i="2" l="1"/>
  <c r="F1636" i="2"/>
  <c r="G1636" i="2"/>
  <c r="E1636" i="2"/>
  <c r="D1636" i="2"/>
  <c r="C1636" i="2"/>
  <c r="B1637" i="2" a="1"/>
  <c r="B1637" i="2" s="1"/>
  <c r="E1637" i="2" l="1"/>
  <c r="G1637" i="2"/>
  <c r="F1637" i="2"/>
  <c r="C1637" i="2"/>
  <c r="H1637" i="2"/>
  <c r="D1637" i="2"/>
  <c r="B1638" i="2" a="1"/>
  <c r="B1638" i="2" s="1"/>
  <c r="C1638" i="2" l="1"/>
  <c r="H1638" i="2"/>
  <c r="G1638" i="2"/>
  <c r="F1638" i="2"/>
  <c r="E1638" i="2"/>
  <c r="D1638" i="2"/>
  <c r="B1639" i="2" a="1"/>
  <c r="B1639" i="2" s="1"/>
  <c r="F1639" i="2" l="1"/>
  <c r="G1639" i="2"/>
  <c r="E1639" i="2"/>
  <c r="C1639" i="2"/>
  <c r="D1639" i="2"/>
  <c r="H1639" i="2"/>
  <c r="B1640" i="2" a="1"/>
  <c r="B1640" i="2" s="1"/>
  <c r="E1640" i="2" l="1"/>
  <c r="D1640" i="2"/>
  <c r="C1640" i="2"/>
  <c r="G1640" i="2"/>
  <c r="H1640" i="2"/>
  <c r="F1640" i="2"/>
  <c r="B1641" i="2" a="1"/>
  <c r="B1641" i="2" s="1"/>
  <c r="D1641" i="2" l="1"/>
  <c r="F1641" i="2"/>
  <c r="G1641" i="2"/>
  <c r="E1641" i="2"/>
  <c r="H1641" i="2"/>
  <c r="C1641" i="2"/>
  <c r="B1642" i="2" a="1"/>
  <c r="B1642" i="2" s="1"/>
  <c r="H1642" i="2" l="1"/>
  <c r="D1642" i="2"/>
  <c r="G1642" i="2"/>
  <c r="F1642" i="2"/>
  <c r="E1642" i="2"/>
  <c r="C1642" i="2"/>
  <c r="B1643" i="2" a="1"/>
  <c r="B1643" i="2" s="1"/>
  <c r="D1643" i="2" l="1"/>
  <c r="C1643" i="2"/>
  <c r="F1643" i="2"/>
  <c r="E1643" i="2"/>
  <c r="H1643" i="2"/>
  <c r="G1643" i="2"/>
  <c r="B1644" i="2" a="1"/>
  <c r="B1644" i="2" s="1"/>
  <c r="D1644" i="2" l="1"/>
  <c r="H1644" i="2"/>
  <c r="G1644" i="2"/>
  <c r="F1644" i="2"/>
  <c r="E1644" i="2"/>
  <c r="C1644" i="2"/>
  <c r="B1645" i="2" a="1"/>
  <c r="B1645" i="2" s="1"/>
  <c r="H1645" i="2" l="1"/>
  <c r="F1645" i="2"/>
  <c r="E1645" i="2"/>
  <c r="D1645" i="2"/>
  <c r="G1645" i="2"/>
  <c r="C1645" i="2"/>
  <c r="B1646" i="2" a="1"/>
  <c r="B1646" i="2" s="1"/>
  <c r="E1646" i="2" l="1"/>
  <c r="G1646" i="2"/>
  <c r="F1646" i="2"/>
  <c r="D1646" i="2"/>
  <c r="H1646" i="2"/>
  <c r="C1646" i="2"/>
  <c r="B1647" i="2" a="1"/>
  <c r="B1647" i="2" s="1"/>
  <c r="C1647" i="2" l="1"/>
  <c r="F1647" i="2"/>
  <c r="E1647" i="2"/>
  <c r="H1647" i="2"/>
  <c r="G1647" i="2"/>
  <c r="D1647" i="2"/>
  <c r="B1648" i="2" a="1"/>
  <c r="B1648" i="2" s="1"/>
  <c r="D1648" i="2" l="1"/>
  <c r="C1648" i="2"/>
  <c r="H1648" i="2"/>
  <c r="G1648" i="2"/>
  <c r="F1648" i="2"/>
  <c r="E1648" i="2"/>
  <c r="B1649" i="2" a="1"/>
  <c r="B1649" i="2" s="1"/>
  <c r="G1649" i="2" l="1"/>
  <c r="E1649" i="2"/>
  <c r="D1649" i="2"/>
  <c r="C1649" i="2"/>
  <c r="H1649" i="2"/>
  <c r="F1649" i="2"/>
  <c r="B1650" i="2" a="1"/>
  <c r="B1650" i="2" s="1"/>
  <c r="F1650" i="2" l="1"/>
  <c r="H1650" i="2"/>
  <c r="G1650" i="2"/>
  <c r="D1650" i="2"/>
  <c r="E1650" i="2"/>
  <c r="C1650" i="2"/>
  <c r="B1651" i="2" a="1"/>
  <c r="B1651" i="2" s="1"/>
  <c r="H1651" i="2" l="1"/>
  <c r="D1651" i="2"/>
  <c r="E1651" i="2"/>
  <c r="C1651" i="2"/>
  <c r="G1651" i="2"/>
  <c r="F1651" i="2"/>
  <c r="B1652" i="2" a="1"/>
  <c r="B1652" i="2" s="1"/>
  <c r="F1652" i="2" l="1"/>
  <c r="H1652" i="2"/>
  <c r="G1652" i="2"/>
  <c r="E1652" i="2"/>
  <c r="D1652" i="2"/>
  <c r="C1652" i="2"/>
  <c r="B1653" i="2" a="1"/>
  <c r="B1653" i="2" s="1"/>
  <c r="C1653" i="2" l="1"/>
  <c r="G1653" i="2"/>
  <c r="F1653" i="2"/>
  <c r="D1653" i="2"/>
  <c r="H1653" i="2"/>
  <c r="E1653" i="2"/>
  <c r="B1654" i="2" a="1"/>
  <c r="B1654" i="2" s="1"/>
  <c r="H1654" i="2" l="1"/>
  <c r="F1654" i="2"/>
  <c r="G1654" i="2"/>
  <c r="E1654" i="2"/>
  <c r="D1654" i="2"/>
  <c r="C1654" i="2"/>
  <c r="B1655" i="2" a="1"/>
  <c r="B1655" i="2" s="1"/>
  <c r="E1655" i="2" l="1"/>
  <c r="D1655" i="2"/>
  <c r="C1655" i="2"/>
  <c r="H1655" i="2"/>
  <c r="G1655" i="2"/>
  <c r="F1655" i="2"/>
  <c r="B1656" i="2" a="1"/>
  <c r="B1656" i="2" s="1"/>
  <c r="G1656" i="2" l="1"/>
  <c r="F1656" i="2"/>
  <c r="E1656" i="2"/>
  <c r="D1656" i="2"/>
  <c r="C1656" i="2"/>
  <c r="H1656" i="2"/>
  <c r="B1657" i="2" a="1"/>
  <c r="B1657" i="2" s="1"/>
  <c r="H1657" i="2" l="1"/>
  <c r="D1657" i="2"/>
  <c r="C1657" i="2"/>
  <c r="G1657" i="2"/>
  <c r="F1657" i="2"/>
  <c r="E1657" i="2"/>
  <c r="B1658" i="2" a="1"/>
  <c r="B1658" i="2" s="1"/>
  <c r="G1658" i="2" l="1"/>
  <c r="H1658" i="2"/>
  <c r="F1658" i="2"/>
  <c r="E1658" i="2"/>
  <c r="D1658" i="2"/>
  <c r="C1658" i="2"/>
  <c r="B1659" i="2" a="1"/>
  <c r="B1659" i="2" s="1"/>
  <c r="C1659" i="2" l="1"/>
  <c r="H1659" i="2"/>
  <c r="G1659" i="2"/>
  <c r="D1659" i="2"/>
  <c r="F1659" i="2"/>
  <c r="E1659" i="2"/>
  <c r="B1660" i="2" a="1"/>
  <c r="B1660" i="2" s="1"/>
  <c r="D1660" i="2" l="1"/>
  <c r="G1660" i="2"/>
  <c r="F1660" i="2"/>
  <c r="E1660" i="2"/>
  <c r="C1660" i="2"/>
  <c r="H1660" i="2"/>
  <c r="B1661" i="2" a="1"/>
  <c r="B1661" i="2" s="1"/>
  <c r="C1661" i="2" l="1"/>
  <c r="E1661" i="2"/>
  <c r="D1661" i="2"/>
  <c r="H1661" i="2"/>
  <c r="F1661" i="2"/>
  <c r="G1661" i="2"/>
  <c r="B1662" i="2" a="1"/>
  <c r="B1662" i="2" s="1"/>
  <c r="D1662" i="2" l="1"/>
  <c r="H1662" i="2"/>
  <c r="G1662" i="2"/>
  <c r="F1662" i="2"/>
  <c r="E1662" i="2"/>
  <c r="C1662" i="2"/>
  <c r="B1663" i="2" a="1"/>
  <c r="B1663" i="2" s="1"/>
  <c r="H1663" i="2" l="1"/>
  <c r="F1663" i="2"/>
  <c r="D1663" i="2"/>
  <c r="G1663" i="2"/>
  <c r="E1663" i="2"/>
  <c r="C1663" i="2"/>
  <c r="B1664" i="2" a="1"/>
  <c r="B1664" i="2" s="1"/>
  <c r="F1664" i="2" l="1"/>
  <c r="D1664" i="2"/>
  <c r="C1664" i="2"/>
  <c r="E1664" i="2"/>
  <c r="H1664" i="2"/>
  <c r="G1664" i="2"/>
  <c r="B1665" i="2" a="1"/>
  <c r="B1665" i="2" s="1"/>
  <c r="C1665" i="2" l="1"/>
  <c r="G1665" i="2"/>
  <c r="D1665" i="2"/>
  <c r="H1665" i="2"/>
  <c r="E1665" i="2"/>
  <c r="F1665" i="2"/>
  <c r="B1666" i="2" a="1"/>
  <c r="B1666" i="2" s="1"/>
  <c r="H1666" i="2" l="1"/>
  <c r="F1666" i="2"/>
  <c r="G1666" i="2"/>
  <c r="E1666" i="2"/>
  <c r="D1666" i="2"/>
  <c r="C1666" i="2"/>
  <c r="B1667" i="2" a="1"/>
  <c r="B1667" i="2" s="1"/>
  <c r="G1667" i="2" l="1"/>
  <c r="H1667" i="2"/>
  <c r="F1667" i="2"/>
  <c r="E1667" i="2"/>
  <c r="D1667" i="2"/>
  <c r="C1667" i="2"/>
  <c r="B1668" i="2" a="1"/>
  <c r="B1668" i="2" s="1"/>
  <c r="D1668" i="2" l="1"/>
  <c r="F1668" i="2"/>
  <c r="C1668" i="2"/>
  <c r="H1668" i="2"/>
  <c r="G1668" i="2"/>
  <c r="E1668" i="2"/>
  <c r="B1669" i="2" a="1"/>
  <c r="B1669" i="2" s="1"/>
  <c r="F1669" i="2" l="1"/>
  <c r="H1669" i="2"/>
  <c r="D1669" i="2"/>
  <c r="G1669" i="2"/>
  <c r="E1669" i="2"/>
  <c r="C1669" i="2"/>
  <c r="B1670" i="2" a="1"/>
  <c r="B1670" i="2" s="1"/>
  <c r="C1670" i="2" l="1"/>
  <c r="D1670" i="2"/>
  <c r="H1670" i="2"/>
  <c r="G1670" i="2"/>
  <c r="F1670" i="2"/>
  <c r="E1670" i="2"/>
  <c r="B1671" i="2" a="1"/>
  <c r="B1671" i="2" s="1"/>
  <c r="D1671" i="2" l="1"/>
  <c r="H1671" i="2"/>
  <c r="F1671" i="2"/>
  <c r="G1671" i="2"/>
  <c r="E1671" i="2"/>
  <c r="C1671" i="2"/>
  <c r="B1672" i="2" a="1"/>
  <c r="B1672" i="2" s="1"/>
  <c r="H1672" i="2" l="1"/>
  <c r="F1672" i="2"/>
  <c r="D1672" i="2"/>
  <c r="C1672" i="2"/>
  <c r="G1672" i="2"/>
  <c r="E1672" i="2"/>
  <c r="B1673" i="2" a="1"/>
  <c r="B1673" i="2" s="1"/>
  <c r="E1673" i="2" l="1"/>
  <c r="C1673" i="2"/>
  <c r="H1673" i="2"/>
  <c r="G1673" i="2"/>
  <c r="F1673" i="2"/>
  <c r="D1673" i="2"/>
  <c r="B1674" i="2" a="1"/>
  <c r="B1674" i="2" s="1"/>
  <c r="F1674" i="2" l="1"/>
  <c r="E1674" i="2"/>
  <c r="G1674" i="2"/>
  <c r="D1674" i="2"/>
  <c r="H1674" i="2"/>
  <c r="C1674" i="2"/>
  <c r="B1675" i="2" a="1"/>
  <c r="B1675" i="2" s="1"/>
  <c r="H1675" i="2" l="1"/>
  <c r="G1675" i="2"/>
  <c r="F1675" i="2"/>
  <c r="E1675" i="2"/>
  <c r="D1675" i="2"/>
  <c r="C1675" i="2"/>
  <c r="B1676" i="2" a="1"/>
  <c r="B1676" i="2" s="1"/>
  <c r="F1676" i="2" l="1"/>
  <c r="D1676" i="2"/>
  <c r="C1676" i="2"/>
  <c r="G1676" i="2"/>
  <c r="E1676" i="2"/>
  <c r="H1676" i="2"/>
  <c r="B1677" i="2" a="1"/>
  <c r="B1677" i="2" s="1"/>
  <c r="E1677" i="2" l="1"/>
  <c r="C1677" i="2"/>
  <c r="D1677" i="2"/>
  <c r="F1677" i="2"/>
  <c r="H1677" i="2"/>
  <c r="G1677" i="2"/>
  <c r="B1678" i="2" a="1"/>
  <c r="B1678" i="2" s="1"/>
  <c r="F1678" i="2" l="1"/>
  <c r="D1678" i="2"/>
  <c r="H1678" i="2"/>
  <c r="G1678" i="2"/>
  <c r="E1678" i="2"/>
  <c r="C1678" i="2"/>
  <c r="B1679" i="2" a="1"/>
  <c r="B1679" i="2" s="1"/>
  <c r="F1679" i="2" l="1"/>
  <c r="E1679" i="2"/>
  <c r="D1679" i="2"/>
  <c r="G1679" i="2"/>
  <c r="C1679" i="2"/>
  <c r="H1679" i="2"/>
  <c r="B1680" i="2" a="1"/>
  <c r="B1680" i="2" s="1"/>
  <c r="F1680" i="2" l="1"/>
  <c r="D1680" i="2"/>
  <c r="H1680" i="2"/>
  <c r="G1680" i="2"/>
  <c r="E1680" i="2"/>
  <c r="C1680" i="2"/>
  <c r="B1681" i="2" a="1"/>
  <c r="B1681" i="2" s="1"/>
  <c r="G1681" i="2" l="1"/>
  <c r="E1681" i="2"/>
  <c r="C1681" i="2"/>
  <c r="H1681" i="2"/>
  <c r="F1681" i="2"/>
  <c r="D1681" i="2"/>
  <c r="B1682" i="2" a="1"/>
  <c r="B1682" i="2" s="1"/>
  <c r="F1682" i="2" l="1"/>
  <c r="D1682" i="2"/>
  <c r="C1682" i="2"/>
  <c r="E1682" i="2"/>
  <c r="H1682" i="2"/>
  <c r="G1682" i="2"/>
  <c r="B1683" i="2" a="1"/>
  <c r="B1683" i="2" s="1"/>
  <c r="H1683" i="2" l="1"/>
  <c r="G1683" i="2"/>
  <c r="F1683" i="2"/>
  <c r="D1683" i="2"/>
  <c r="C1683" i="2"/>
  <c r="E1683" i="2"/>
  <c r="B1684" i="2" a="1"/>
  <c r="B1684" i="2" s="1"/>
  <c r="H1684" i="2" l="1"/>
  <c r="F1684" i="2"/>
  <c r="G1684" i="2"/>
  <c r="E1684" i="2"/>
  <c r="D1684" i="2"/>
  <c r="C1684" i="2"/>
  <c r="B1685" i="2" a="1"/>
  <c r="B1685" i="2" s="1"/>
  <c r="C1685" i="2" l="1"/>
  <c r="H1685" i="2"/>
  <c r="F1685" i="2"/>
  <c r="G1685" i="2"/>
  <c r="E1685" i="2"/>
  <c r="D1685" i="2"/>
  <c r="B1686" i="2" a="1"/>
  <c r="B1686" i="2" s="1"/>
  <c r="C1686" i="2" l="1"/>
  <c r="H1686" i="2"/>
  <c r="G1686" i="2"/>
  <c r="E1686" i="2"/>
  <c r="D1686" i="2"/>
  <c r="F1686" i="2"/>
  <c r="B1687" i="2" a="1"/>
  <c r="B1687" i="2" s="1"/>
  <c r="E1687" i="2" l="1"/>
  <c r="H1687" i="2"/>
  <c r="D1687" i="2"/>
  <c r="F1687" i="2"/>
  <c r="C1687" i="2"/>
  <c r="G1687" i="2"/>
  <c r="B1688" i="2" a="1"/>
  <c r="B1688" i="2" s="1"/>
  <c r="D1688" i="2" l="1"/>
  <c r="C1688" i="2"/>
  <c r="H1688" i="2"/>
  <c r="G1688" i="2"/>
  <c r="F1688" i="2"/>
  <c r="E1688" i="2"/>
  <c r="B1689" i="2" a="1"/>
  <c r="B1689" i="2" s="1"/>
  <c r="D1689" i="2" l="1"/>
  <c r="H1689" i="2"/>
  <c r="F1689" i="2"/>
  <c r="G1689" i="2"/>
  <c r="E1689" i="2"/>
  <c r="C1689" i="2"/>
  <c r="B1690" i="2" a="1"/>
  <c r="B1690" i="2" s="1"/>
  <c r="E1690" i="2" l="1"/>
  <c r="D1690" i="2"/>
  <c r="C1690" i="2"/>
  <c r="H1690" i="2"/>
  <c r="F1690" i="2"/>
  <c r="G1690" i="2"/>
  <c r="B1691" i="2" a="1"/>
  <c r="B1691" i="2" s="1"/>
  <c r="G1691" i="2" l="1"/>
  <c r="E1691" i="2"/>
  <c r="C1691" i="2"/>
  <c r="H1691" i="2"/>
  <c r="F1691" i="2"/>
  <c r="D1691" i="2"/>
  <c r="B1692" i="2" a="1"/>
  <c r="B1692" i="2" s="1"/>
  <c r="D1692" i="2" l="1"/>
  <c r="H1692" i="2"/>
  <c r="C1692" i="2"/>
  <c r="G1692" i="2"/>
  <c r="F1692" i="2"/>
  <c r="E1692" i="2"/>
  <c r="B1693" i="2" a="1"/>
  <c r="B1693" i="2" s="1"/>
  <c r="C1693" i="2" l="1"/>
  <c r="G1693" i="2"/>
  <c r="F1693" i="2"/>
  <c r="E1693" i="2"/>
  <c r="H1693" i="2"/>
  <c r="D1693" i="2"/>
  <c r="B1694" i="2" a="1"/>
  <c r="B1694" i="2" s="1"/>
  <c r="G1694" i="2" l="1"/>
  <c r="E1694" i="2"/>
  <c r="C1694" i="2"/>
  <c r="H1694" i="2"/>
  <c r="F1694" i="2"/>
  <c r="D1694" i="2"/>
  <c r="B1695" i="2" a="1"/>
  <c r="B1695" i="2" s="1"/>
  <c r="F1695" i="2" l="1"/>
  <c r="D1695" i="2"/>
  <c r="H1695" i="2"/>
  <c r="C1695" i="2"/>
  <c r="G1695" i="2"/>
  <c r="E1695" i="2"/>
  <c r="B1696" i="2" a="1"/>
  <c r="B1696" i="2" s="1"/>
  <c r="H1696" i="2" l="1"/>
  <c r="G1696" i="2"/>
  <c r="D1696" i="2"/>
  <c r="F1696" i="2"/>
  <c r="E1696" i="2"/>
  <c r="C1696" i="2"/>
  <c r="B1697" i="2" a="1"/>
  <c r="B1697" i="2" s="1"/>
  <c r="C1697" i="2" l="1"/>
  <c r="H1697" i="2"/>
  <c r="F1697" i="2"/>
  <c r="E1697" i="2"/>
  <c r="D1697" i="2"/>
  <c r="G1697" i="2"/>
  <c r="B1698" i="2" a="1"/>
  <c r="B1698" i="2" s="1"/>
  <c r="G1698" i="2" l="1"/>
  <c r="F1698" i="2"/>
  <c r="C1698" i="2"/>
  <c r="D1698" i="2"/>
  <c r="E1698" i="2"/>
  <c r="H1698" i="2"/>
  <c r="B1699" i="2" a="1"/>
  <c r="B1699" i="2" s="1"/>
  <c r="H1699" i="2" l="1"/>
  <c r="F1699" i="2"/>
  <c r="D1699" i="2"/>
  <c r="C1699" i="2"/>
  <c r="G1699" i="2"/>
  <c r="E1699" i="2"/>
  <c r="B1700" i="2" a="1"/>
  <c r="B1700" i="2" s="1"/>
  <c r="G1700" i="2" l="1"/>
  <c r="E1700" i="2"/>
  <c r="H1700" i="2"/>
  <c r="F1700" i="2"/>
  <c r="D1700" i="2"/>
  <c r="C1700" i="2"/>
  <c r="B1701" i="2" a="1"/>
  <c r="B1701" i="2" s="1"/>
  <c r="F1701" i="2" l="1"/>
  <c r="E1701" i="2"/>
  <c r="D1701" i="2"/>
  <c r="G1701" i="2"/>
  <c r="C1701" i="2"/>
  <c r="H1701" i="2"/>
  <c r="B1702" i="2" a="1"/>
  <c r="B1702" i="2" s="1"/>
  <c r="H1702" i="2" l="1"/>
  <c r="F1702" i="2"/>
  <c r="D1702" i="2"/>
  <c r="G1702" i="2"/>
  <c r="E1702" i="2"/>
  <c r="C1702" i="2"/>
  <c r="B1703" i="2" a="1"/>
  <c r="B1703" i="2" s="1"/>
  <c r="D1703" i="2" l="1"/>
  <c r="G1703" i="2"/>
  <c r="H1703" i="2"/>
  <c r="F1703" i="2"/>
  <c r="E1703" i="2"/>
  <c r="C1703" i="2"/>
  <c r="B1704" i="2" a="1"/>
  <c r="B1704" i="2" s="1"/>
  <c r="D1704" i="2" l="1"/>
  <c r="F1704" i="2"/>
  <c r="C1704" i="2"/>
  <c r="H1704" i="2"/>
  <c r="G1704" i="2"/>
  <c r="E1704" i="2"/>
  <c r="B1705" i="2" a="1"/>
  <c r="B1705" i="2" s="1"/>
  <c r="H1705" i="2" l="1"/>
  <c r="G1705" i="2"/>
  <c r="F1705" i="2"/>
  <c r="D1705" i="2"/>
  <c r="C1705" i="2"/>
  <c r="E1705" i="2"/>
  <c r="B1706" i="2" a="1"/>
  <c r="B1706" i="2" s="1"/>
  <c r="H1706" i="2" l="1"/>
  <c r="E1706" i="2"/>
  <c r="D1706" i="2"/>
  <c r="G1706" i="2"/>
  <c r="F1706" i="2"/>
  <c r="C1706" i="2"/>
  <c r="B1707" i="2" a="1"/>
  <c r="B1707" i="2" s="1"/>
  <c r="D1707" i="2" l="1"/>
  <c r="H1707" i="2"/>
  <c r="F1707" i="2"/>
  <c r="E1707" i="2"/>
  <c r="C1707" i="2"/>
  <c r="G1707" i="2"/>
  <c r="B1708" i="2" a="1"/>
  <c r="B1708" i="2" s="1"/>
  <c r="H1708" i="2" l="1"/>
  <c r="D1708" i="2"/>
  <c r="C1708" i="2"/>
  <c r="F1708" i="2"/>
  <c r="G1708" i="2"/>
  <c r="E1708" i="2"/>
  <c r="B1709" i="2" a="1"/>
  <c r="B1709" i="2" s="1"/>
  <c r="C1709" i="2" l="1"/>
  <c r="F1709" i="2"/>
  <c r="D1709" i="2"/>
  <c r="H1709" i="2"/>
  <c r="G1709" i="2"/>
  <c r="E1709" i="2"/>
  <c r="B1710" i="2" a="1"/>
  <c r="B1710" i="2" s="1"/>
  <c r="H1710" i="2" l="1"/>
  <c r="D1710" i="2"/>
  <c r="E1710" i="2"/>
  <c r="G1710" i="2"/>
  <c r="C1710" i="2"/>
  <c r="F1710" i="2"/>
  <c r="B1711" i="2" a="1"/>
  <c r="B1711" i="2" s="1"/>
  <c r="D1711" i="2" l="1"/>
  <c r="G1711" i="2"/>
  <c r="C1711" i="2"/>
  <c r="H1711" i="2"/>
  <c r="F1711" i="2"/>
  <c r="E1711" i="2"/>
  <c r="B1712" i="2" a="1"/>
  <c r="B1712" i="2" s="1"/>
  <c r="E1712" i="2" l="1"/>
  <c r="D1712" i="2"/>
  <c r="C1712" i="2"/>
  <c r="H1712" i="2"/>
  <c r="F1712" i="2"/>
  <c r="G1712" i="2"/>
  <c r="B1713" i="2" a="1"/>
  <c r="B1713" i="2" s="1"/>
  <c r="D1713" i="2" l="1"/>
  <c r="C1713" i="2"/>
  <c r="H1713" i="2"/>
  <c r="F1713" i="2"/>
  <c r="G1713" i="2"/>
  <c r="E1713" i="2"/>
  <c r="B1714" i="2" a="1"/>
  <c r="B1714" i="2" s="1"/>
  <c r="H1714" i="2" l="1"/>
  <c r="G1714" i="2"/>
  <c r="F1714" i="2"/>
  <c r="D1714" i="2"/>
  <c r="E1714" i="2"/>
  <c r="C1714" i="2"/>
  <c r="B1715" i="2" a="1"/>
  <c r="B1715" i="2" s="1"/>
  <c r="G1715" i="2" l="1"/>
  <c r="F1715" i="2"/>
  <c r="E1715" i="2"/>
  <c r="C1715" i="2"/>
  <c r="H1715" i="2"/>
  <c r="D1715" i="2"/>
  <c r="B1716" i="2" a="1"/>
  <c r="B1716" i="2" s="1"/>
  <c r="F1716" i="2" l="1"/>
  <c r="E1716" i="2"/>
  <c r="C1716" i="2"/>
  <c r="H1716" i="2"/>
  <c r="G1716" i="2"/>
  <c r="D1716" i="2"/>
  <c r="B1717" i="2" a="1"/>
  <c r="B1717" i="2" s="1"/>
  <c r="H1717" i="2" l="1"/>
  <c r="C1717" i="2"/>
  <c r="G1717" i="2"/>
  <c r="E1717" i="2"/>
  <c r="D1717" i="2"/>
  <c r="F1717" i="2"/>
  <c r="B1718" i="2" a="1"/>
  <c r="B1718" i="2" s="1"/>
  <c r="C1718" i="2" l="1"/>
  <c r="H1718" i="2"/>
  <c r="G1718" i="2"/>
  <c r="E1718" i="2"/>
  <c r="F1718" i="2"/>
  <c r="D1718" i="2"/>
  <c r="B1719" i="2" a="1"/>
  <c r="B1719" i="2" s="1"/>
  <c r="D1719" i="2" l="1"/>
  <c r="H1719" i="2"/>
  <c r="G1719" i="2"/>
  <c r="F1719" i="2"/>
  <c r="C1719" i="2"/>
  <c r="E1719" i="2"/>
  <c r="B1720" i="2" a="1"/>
  <c r="B1720" i="2" s="1"/>
  <c r="G1720" i="2" l="1"/>
  <c r="H1720" i="2"/>
  <c r="C1720" i="2"/>
  <c r="F1720" i="2"/>
  <c r="D1720" i="2"/>
  <c r="E1720" i="2"/>
  <c r="B1721" i="2" a="1"/>
  <c r="B1721" i="2" s="1"/>
  <c r="E1721" i="2" l="1"/>
  <c r="D1721" i="2"/>
  <c r="C1721" i="2"/>
  <c r="G1721" i="2"/>
  <c r="H1721" i="2"/>
  <c r="F1721" i="2"/>
  <c r="B1722" i="2" a="1"/>
  <c r="B1722" i="2" s="1"/>
  <c r="D1722" i="2" l="1"/>
  <c r="H1722" i="2"/>
  <c r="F1722" i="2"/>
  <c r="E1722" i="2"/>
  <c r="C1722" i="2"/>
  <c r="G1722" i="2"/>
  <c r="B1723" i="2" a="1"/>
  <c r="B1723" i="2" s="1"/>
  <c r="H1723" i="2" l="1"/>
  <c r="G1723" i="2"/>
  <c r="F1723" i="2"/>
  <c r="D1723" i="2"/>
  <c r="E1723" i="2"/>
  <c r="C1723" i="2"/>
  <c r="B1724" i="2" a="1"/>
  <c r="B1724" i="2" s="1"/>
  <c r="G1724" i="2" l="1"/>
  <c r="F1724" i="2"/>
  <c r="E1724" i="2"/>
  <c r="C1724" i="2"/>
  <c r="H1724" i="2"/>
  <c r="D1724" i="2"/>
  <c r="B1725" i="2" a="1"/>
  <c r="B1725" i="2" s="1"/>
  <c r="F1725" i="2" l="1"/>
  <c r="G1725" i="2"/>
  <c r="D1725" i="2"/>
  <c r="H1725" i="2"/>
  <c r="E1725" i="2"/>
  <c r="C1725" i="2"/>
  <c r="B1726" i="2" a="1"/>
  <c r="B1726" i="2" s="1"/>
  <c r="D1726" i="2" l="1"/>
  <c r="C1726" i="2"/>
  <c r="H1726" i="2"/>
  <c r="F1726" i="2"/>
  <c r="E1726" i="2"/>
  <c r="G1726" i="2"/>
  <c r="B1727" i="2" a="1"/>
  <c r="B1727" i="2" s="1"/>
  <c r="C1727" i="2" l="1"/>
  <c r="G1727" i="2"/>
  <c r="F1727" i="2"/>
  <c r="E1727" i="2"/>
  <c r="D1727" i="2"/>
  <c r="H1727" i="2"/>
  <c r="B1728" i="2" a="1"/>
  <c r="B1728" i="2" s="1"/>
  <c r="D1728" i="2" l="1"/>
  <c r="G1728" i="2"/>
  <c r="F1728" i="2"/>
  <c r="C1728" i="2"/>
  <c r="H1728" i="2"/>
  <c r="E1728" i="2"/>
  <c r="B1729" i="2" a="1"/>
  <c r="B1729" i="2" s="1"/>
  <c r="D1729" i="2" l="1"/>
  <c r="H1729" i="2"/>
  <c r="G1729" i="2"/>
  <c r="E1729" i="2"/>
  <c r="C1729" i="2"/>
  <c r="F1729" i="2"/>
  <c r="B1730" i="2" a="1"/>
  <c r="B1730" i="2" s="1"/>
  <c r="C1730" i="2" l="1"/>
  <c r="D1730" i="2"/>
  <c r="H1730" i="2"/>
  <c r="G1730" i="2"/>
  <c r="F1730" i="2"/>
  <c r="E1730" i="2"/>
  <c r="B1731" i="2" a="1"/>
  <c r="B1731" i="2" s="1"/>
  <c r="G1731" i="2" l="1"/>
  <c r="H1731" i="2"/>
  <c r="F1731" i="2"/>
  <c r="E1731" i="2"/>
  <c r="C1731" i="2"/>
  <c r="D1731" i="2"/>
  <c r="B1732" i="2" a="1"/>
  <c r="B1732" i="2" s="1"/>
  <c r="H1732" i="2" l="1"/>
  <c r="G1732" i="2"/>
  <c r="F1732" i="2"/>
  <c r="E1732" i="2"/>
  <c r="D1732" i="2"/>
  <c r="C1732" i="2"/>
  <c r="B1733" i="2" a="1"/>
  <c r="B1733" i="2" s="1"/>
  <c r="F1733" i="2" l="1"/>
  <c r="G1733" i="2"/>
  <c r="E1733" i="2"/>
  <c r="D1733" i="2"/>
  <c r="H1733" i="2"/>
  <c r="C1733" i="2"/>
  <c r="B1734" i="2" a="1"/>
  <c r="B1734" i="2" s="1"/>
  <c r="G1734" i="2" l="1"/>
  <c r="H1734" i="2"/>
  <c r="F1734" i="2"/>
  <c r="E1734" i="2"/>
  <c r="D1734" i="2"/>
  <c r="C1734" i="2"/>
  <c r="B1735" i="2" a="1"/>
  <c r="B1735" i="2" s="1"/>
  <c r="G1735" i="2" l="1"/>
  <c r="C1735" i="2"/>
  <c r="F1735" i="2"/>
  <c r="E1735" i="2"/>
  <c r="D1735" i="2"/>
  <c r="H1735" i="2"/>
  <c r="B1736" i="2" a="1"/>
  <c r="B1736" i="2" s="1"/>
  <c r="F1736" i="2" l="1"/>
  <c r="E1736" i="2"/>
  <c r="D1736" i="2"/>
  <c r="C1736" i="2"/>
  <c r="H1736" i="2"/>
  <c r="G1736" i="2"/>
  <c r="B1737" i="2" a="1"/>
  <c r="B1737" i="2" s="1"/>
  <c r="G1737" i="2" l="1"/>
  <c r="D1737" i="2"/>
  <c r="F1737" i="2"/>
  <c r="E1737" i="2"/>
  <c r="C1737" i="2"/>
  <c r="H1737" i="2"/>
  <c r="B1738" i="2" a="1"/>
  <c r="B1738" i="2" s="1"/>
  <c r="H1738" i="2" l="1"/>
  <c r="G1738" i="2"/>
  <c r="F1738" i="2"/>
  <c r="D1738" i="2"/>
  <c r="C1738" i="2"/>
  <c r="E1738" i="2"/>
  <c r="B1739" i="2" a="1"/>
  <c r="B1739" i="2" s="1"/>
  <c r="C1739" i="2" l="1"/>
  <c r="F1739" i="2"/>
  <c r="E1739" i="2"/>
  <c r="D1739" i="2"/>
  <c r="H1739" i="2"/>
  <c r="G1739" i="2"/>
  <c r="B1740" i="2" a="1"/>
  <c r="B1740" i="2" s="1"/>
  <c r="C1740" i="2" l="1"/>
  <c r="G1740" i="2"/>
  <c r="F1740" i="2"/>
  <c r="H1740" i="2"/>
  <c r="E1740" i="2"/>
  <c r="D1740" i="2"/>
  <c r="B1741" i="2" a="1"/>
  <c r="B1741" i="2" s="1"/>
  <c r="E1741" i="2" l="1"/>
  <c r="D1741" i="2"/>
  <c r="C1741" i="2"/>
  <c r="H1741" i="2"/>
  <c r="F1741" i="2"/>
  <c r="G1741" i="2"/>
  <c r="B1742" i="2" a="1"/>
  <c r="B1742" i="2" s="1"/>
  <c r="E1742" i="2" l="1"/>
  <c r="C1742" i="2"/>
  <c r="D1742" i="2"/>
  <c r="H1742" i="2"/>
  <c r="G1742" i="2"/>
  <c r="F1742" i="2"/>
  <c r="B1743" i="2" a="1"/>
  <c r="B1743" i="2" s="1"/>
  <c r="F1743" i="2" l="1"/>
  <c r="G1743" i="2"/>
  <c r="D1743" i="2"/>
  <c r="E1743" i="2"/>
  <c r="C1743" i="2"/>
  <c r="H1743" i="2"/>
  <c r="B1744" i="2" a="1"/>
  <c r="B1744" i="2" s="1"/>
  <c r="G1744" i="2" l="1"/>
  <c r="E1744" i="2"/>
  <c r="D1744" i="2"/>
  <c r="C1744" i="2"/>
  <c r="H1744" i="2"/>
  <c r="F1744" i="2"/>
  <c r="B1745" i="2" a="1"/>
  <c r="B1745" i="2" s="1"/>
  <c r="C1745" i="2" l="1"/>
  <c r="F1745" i="2"/>
  <c r="E1745" i="2"/>
  <c r="D1745" i="2"/>
  <c r="H1745" i="2"/>
  <c r="G1745" i="2"/>
  <c r="B1746" i="2" a="1"/>
  <c r="B1746" i="2" s="1"/>
  <c r="F1746" i="2" l="1"/>
  <c r="C1746" i="2"/>
  <c r="G1746" i="2"/>
  <c r="H1746" i="2"/>
  <c r="E1746" i="2"/>
  <c r="D1746" i="2"/>
  <c r="B1747" i="2" a="1"/>
  <c r="B1747" i="2" s="1"/>
  <c r="C1747" i="2" l="1"/>
  <c r="E1747" i="2"/>
  <c r="D1747" i="2"/>
  <c r="H1747" i="2"/>
  <c r="G1747" i="2"/>
  <c r="F1747" i="2"/>
  <c r="B1748" i="2" a="1"/>
  <c r="B1748" i="2" s="1"/>
  <c r="C1748" i="2" l="1"/>
  <c r="H1748" i="2"/>
  <c r="D1748" i="2"/>
  <c r="G1748" i="2"/>
  <c r="F1748" i="2"/>
  <c r="E1748" i="2"/>
  <c r="B1749" i="2" a="1"/>
  <c r="B1749" i="2" s="1"/>
  <c r="G1749" i="2" l="1"/>
  <c r="E1749" i="2"/>
  <c r="D1749" i="2"/>
  <c r="C1749" i="2"/>
  <c r="H1749" i="2"/>
  <c r="F1749" i="2"/>
  <c r="B1750" i="2" a="1"/>
  <c r="B1750" i="2" s="1"/>
  <c r="E1750" i="2" l="1"/>
  <c r="G1750" i="2"/>
  <c r="H1750" i="2"/>
  <c r="F1750" i="2"/>
  <c r="D1750" i="2"/>
  <c r="C1750" i="2"/>
  <c r="B1751" i="2" a="1"/>
  <c r="B1751" i="2" s="1"/>
  <c r="E1751" i="2" l="1"/>
  <c r="D1751" i="2"/>
  <c r="H1751" i="2"/>
  <c r="C1751" i="2"/>
  <c r="F1751" i="2"/>
  <c r="G1751" i="2"/>
  <c r="B1752" i="2" a="1"/>
  <c r="B1752" i="2" s="1"/>
  <c r="G1752" i="2" l="1"/>
  <c r="D1752" i="2"/>
  <c r="H1752" i="2"/>
  <c r="F1752" i="2"/>
  <c r="E1752" i="2"/>
  <c r="C1752" i="2"/>
  <c r="B1753" i="2" a="1"/>
  <c r="B1753" i="2" s="1"/>
  <c r="F1753" i="2" l="1"/>
  <c r="E1753" i="2"/>
  <c r="D1753" i="2"/>
  <c r="G1753" i="2"/>
  <c r="C1753" i="2"/>
  <c r="H1753" i="2"/>
  <c r="B1754" i="2" a="1"/>
  <c r="B1754" i="2" s="1"/>
  <c r="C1754" i="2" l="1"/>
  <c r="H1754" i="2"/>
  <c r="G1754" i="2"/>
  <c r="F1754" i="2"/>
  <c r="E1754" i="2"/>
  <c r="D1754" i="2"/>
  <c r="B1755" i="2" a="1"/>
  <c r="B1755" i="2" s="1"/>
  <c r="E1755" i="2" l="1"/>
  <c r="C1755" i="2"/>
  <c r="G1755" i="2"/>
  <c r="D1755" i="2"/>
  <c r="F1755" i="2"/>
  <c r="H1755" i="2"/>
  <c r="B1756" i="2" a="1"/>
  <c r="B1756" i="2" s="1"/>
  <c r="G1756" i="2" l="1"/>
  <c r="E1756" i="2"/>
  <c r="C1756" i="2"/>
  <c r="H1756" i="2"/>
  <c r="F1756" i="2"/>
  <c r="D1756" i="2"/>
  <c r="B1757" i="2" a="1"/>
  <c r="B1757" i="2" s="1"/>
  <c r="C1757" i="2" l="1"/>
  <c r="D1757" i="2"/>
  <c r="H1757" i="2"/>
  <c r="G1757" i="2"/>
  <c r="F1757" i="2"/>
  <c r="E1757" i="2"/>
  <c r="B1758" i="2" a="1"/>
  <c r="B1758" i="2" s="1"/>
  <c r="H1758" i="2" l="1"/>
  <c r="G1758" i="2"/>
  <c r="F1758" i="2"/>
  <c r="D1758" i="2"/>
  <c r="E1758" i="2"/>
  <c r="C1758" i="2"/>
  <c r="B1759" i="2" a="1"/>
  <c r="B1759" i="2" s="1"/>
  <c r="F1759" i="2" l="1"/>
  <c r="E1759" i="2"/>
  <c r="D1759" i="2"/>
  <c r="G1759" i="2"/>
  <c r="H1759" i="2"/>
  <c r="C1759" i="2"/>
  <c r="B1760" i="2" a="1"/>
  <c r="B1760" i="2" s="1"/>
  <c r="H1760" i="2" l="1"/>
  <c r="G1760" i="2"/>
  <c r="E1760" i="2"/>
  <c r="C1760" i="2"/>
  <c r="D1760" i="2"/>
  <c r="F1760" i="2"/>
  <c r="B1761" i="2" a="1"/>
  <c r="B1761" i="2" s="1"/>
  <c r="F1761" i="2" l="1"/>
  <c r="D1761" i="2"/>
  <c r="G1761" i="2"/>
  <c r="H1761" i="2"/>
  <c r="E1761" i="2"/>
  <c r="C1761" i="2"/>
  <c r="B1762" i="2" a="1"/>
  <c r="B1762" i="2" s="1"/>
  <c r="H1762" i="2" l="1"/>
  <c r="G1762" i="2"/>
  <c r="C1762" i="2"/>
  <c r="F1762" i="2"/>
  <c r="E1762" i="2"/>
  <c r="D1762" i="2"/>
  <c r="B1763" i="2" a="1"/>
  <c r="B1763" i="2" s="1"/>
  <c r="C1763" i="2" l="1"/>
  <c r="G1763" i="2"/>
  <c r="F1763" i="2"/>
  <c r="D1763" i="2"/>
  <c r="H1763" i="2"/>
  <c r="E1763" i="2"/>
  <c r="B1764" i="2" a="1"/>
  <c r="B1764" i="2" s="1"/>
  <c r="G1764" i="2" l="1"/>
  <c r="F1764" i="2"/>
  <c r="H1764" i="2"/>
  <c r="E1764" i="2"/>
  <c r="D1764" i="2"/>
  <c r="C1764" i="2"/>
  <c r="B1765" i="2" a="1"/>
  <c r="B1765" i="2" s="1"/>
  <c r="G1765" i="2" l="1"/>
  <c r="F1765" i="2"/>
  <c r="D1765" i="2"/>
  <c r="C1765" i="2"/>
  <c r="E1765" i="2"/>
  <c r="H1765" i="2"/>
  <c r="B1766" i="2" a="1"/>
  <c r="B1766" i="2" s="1"/>
  <c r="D1766" i="2" l="1"/>
  <c r="C1766" i="2"/>
  <c r="H1766" i="2"/>
  <c r="F1766" i="2"/>
  <c r="G1766" i="2"/>
  <c r="E1766" i="2"/>
  <c r="B1767" i="2" a="1"/>
  <c r="B1767" i="2" s="1"/>
  <c r="E1767" i="2" l="1"/>
  <c r="H1767" i="2"/>
  <c r="F1767" i="2"/>
  <c r="D1767" i="2"/>
  <c r="C1767" i="2"/>
  <c r="G1767" i="2"/>
  <c r="B1768" i="2" a="1"/>
  <c r="B1768" i="2" s="1"/>
  <c r="F1768" i="2" l="1"/>
  <c r="E1768" i="2"/>
  <c r="C1768" i="2"/>
  <c r="G1768" i="2"/>
  <c r="H1768" i="2"/>
  <c r="D1768" i="2"/>
  <c r="B1769" i="2" a="1"/>
  <c r="B1769" i="2" s="1"/>
  <c r="G1769" i="2" l="1"/>
  <c r="F1769" i="2"/>
  <c r="E1769" i="2"/>
  <c r="C1769" i="2"/>
  <c r="H1769" i="2"/>
  <c r="D1769" i="2"/>
  <c r="B1770" i="2" a="1"/>
  <c r="B1770" i="2" s="1"/>
  <c r="G1770" i="2" l="1"/>
  <c r="C1770" i="2"/>
  <c r="D1770" i="2"/>
  <c r="H1770" i="2"/>
  <c r="F1770" i="2"/>
  <c r="E1770" i="2"/>
  <c r="B1771" i="2" a="1"/>
  <c r="B1771" i="2" s="1"/>
  <c r="H1771" i="2" l="1"/>
  <c r="G1771" i="2"/>
  <c r="E1771" i="2"/>
  <c r="D1771" i="2"/>
  <c r="C1771" i="2"/>
  <c r="F1771" i="2"/>
  <c r="B1772" i="2" a="1"/>
  <c r="B1772" i="2" s="1"/>
  <c r="C1772" i="2" l="1"/>
  <c r="H1772" i="2"/>
  <c r="G1772" i="2"/>
  <c r="F1772" i="2"/>
  <c r="E1772" i="2"/>
  <c r="D1772" i="2"/>
  <c r="B1773" i="2" a="1"/>
  <c r="B1773" i="2" s="1"/>
  <c r="F1773" i="2" l="1"/>
  <c r="H1773" i="2"/>
  <c r="C1773" i="2"/>
  <c r="G1773" i="2"/>
  <c r="E1773" i="2"/>
  <c r="D1773" i="2"/>
  <c r="B1774" i="2" a="1"/>
  <c r="B1774" i="2" s="1"/>
  <c r="G1774" i="2" l="1"/>
  <c r="F1774" i="2"/>
  <c r="E1774" i="2"/>
  <c r="D1774" i="2"/>
  <c r="H1774" i="2"/>
  <c r="C1774" i="2"/>
  <c r="B1775" i="2" a="1"/>
  <c r="B1775" i="2" s="1"/>
  <c r="G1775" i="2" l="1"/>
  <c r="F1775" i="2"/>
  <c r="E1775" i="2"/>
  <c r="C1775" i="2"/>
  <c r="D1775" i="2"/>
  <c r="H1775" i="2"/>
  <c r="B1776" i="2" a="1"/>
  <c r="B1776" i="2" s="1"/>
  <c r="D1776" i="2" l="1"/>
  <c r="C1776" i="2"/>
  <c r="E1776" i="2"/>
  <c r="G1776" i="2"/>
  <c r="H1776" i="2"/>
  <c r="F1776" i="2"/>
  <c r="B1777" i="2" a="1"/>
  <c r="B1777" i="2" s="1"/>
  <c r="G1777" i="2" l="1"/>
  <c r="H1777" i="2"/>
  <c r="F1777" i="2"/>
  <c r="E1777" i="2"/>
  <c r="D1777" i="2"/>
  <c r="C1777" i="2"/>
  <c r="B1778" i="2" a="1"/>
  <c r="B1778" i="2" s="1"/>
  <c r="E1778" i="2" l="1"/>
  <c r="C1778" i="2"/>
  <c r="H1778" i="2"/>
  <c r="D1778" i="2"/>
  <c r="G1778" i="2"/>
  <c r="F1778" i="2"/>
  <c r="B1779" i="2" a="1"/>
  <c r="B1779" i="2" s="1"/>
  <c r="D1779" i="2" l="1"/>
  <c r="C1779" i="2"/>
  <c r="H1779" i="2"/>
  <c r="G1779" i="2"/>
  <c r="F1779" i="2"/>
  <c r="E1779" i="2"/>
  <c r="B1780" i="2" a="1"/>
  <c r="B1780" i="2" s="1"/>
  <c r="F1780" i="2" l="1"/>
  <c r="E1780" i="2"/>
  <c r="H1780" i="2"/>
  <c r="D1780" i="2"/>
  <c r="C1780" i="2"/>
  <c r="G1780" i="2"/>
  <c r="B1781" i="2" a="1"/>
  <c r="B1781" i="2" s="1"/>
  <c r="D1781" i="2" l="1"/>
  <c r="H1781" i="2"/>
  <c r="E1781" i="2"/>
  <c r="C1781" i="2"/>
  <c r="G1781" i="2"/>
  <c r="F1781" i="2"/>
  <c r="B1782" i="2" a="1"/>
  <c r="B1782" i="2" s="1"/>
  <c r="E1782" i="2" l="1"/>
  <c r="H1782" i="2"/>
  <c r="F1782" i="2"/>
  <c r="D1782" i="2"/>
  <c r="C1782" i="2"/>
  <c r="G1782" i="2"/>
  <c r="B1783" i="2" a="1"/>
  <c r="B1783" i="2" s="1"/>
  <c r="D1783" i="2" l="1"/>
  <c r="C1783" i="2"/>
  <c r="F1783" i="2"/>
  <c r="E1783" i="2"/>
  <c r="G1783" i="2"/>
  <c r="H1783" i="2"/>
  <c r="B1784" i="2" a="1"/>
  <c r="B1784" i="2" s="1"/>
  <c r="C1784" i="2" l="1"/>
  <c r="H1784" i="2"/>
  <c r="G1784" i="2"/>
  <c r="F1784" i="2"/>
  <c r="E1784" i="2"/>
  <c r="D1784" i="2"/>
  <c r="B1785" i="2" a="1"/>
  <c r="B1785" i="2" s="1"/>
  <c r="F1785" i="2" l="1"/>
  <c r="G1785" i="2"/>
  <c r="H1785" i="2"/>
  <c r="C1785" i="2"/>
  <c r="E1785" i="2"/>
  <c r="D1785" i="2"/>
  <c r="B1786" i="2" a="1"/>
  <c r="B1786" i="2" s="1"/>
  <c r="H1786" i="2" l="1"/>
  <c r="G1786" i="2"/>
  <c r="F1786" i="2"/>
  <c r="E1786" i="2"/>
  <c r="C1786" i="2"/>
  <c r="D1786" i="2"/>
  <c r="B1787" i="2" a="1"/>
  <c r="B1787" i="2" s="1"/>
  <c r="D1787" i="2" l="1"/>
  <c r="C1787" i="2"/>
  <c r="H1787" i="2"/>
  <c r="G1787" i="2"/>
  <c r="F1787" i="2"/>
  <c r="E1787" i="2"/>
  <c r="B1788" i="2" a="1"/>
  <c r="B1788" i="2" s="1"/>
  <c r="G1788" i="2" l="1"/>
  <c r="C1788" i="2"/>
  <c r="E1788" i="2"/>
  <c r="D1788" i="2"/>
  <c r="H1788" i="2"/>
  <c r="F1788" i="2"/>
  <c r="B1789" i="2" a="1"/>
  <c r="B1789" i="2" s="1"/>
  <c r="E1789" i="2" l="1"/>
  <c r="H1789" i="2"/>
  <c r="G1789" i="2"/>
  <c r="F1789" i="2"/>
  <c r="D1789" i="2"/>
  <c r="C1789" i="2"/>
  <c r="B1790" i="2" a="1"/>
  <c r="B1790" i="2" s="1"/>
  <c r="D1790" i="2" l="1"/>
  <c r="F1790" i="2"/>
  <c r="E1790" i="2"/>
  <c r="C1790" i="2"/>
  <c r="H1790" i="2"/>
  <c r="G1790" i="2"/>
  <c r="B1791" i="2" a="1"/>
  <c r="B1791" i="2" s="1"/>
  <c r="G1791" i="2" l="1"/>
  <c r="E1791" i="2"/>
  <c r="D1791" i="2"/>
  <c r="C1791" i="2"/>
  <c r="H1791" i="2"/>
  <c r="F1791" i="2"/>
  <c r="B1792" i="2" a="1"/>
  <c r="B1792" i="2" s="1"/>
  <c r="H1792" i="2" l="1"/>
  <c r="G1792" i="2"/>
  <c r="F1792" i="2"/>
  <c r="E1792" i="2"/>
  <c r="D1792" i="2"/>
  <c r="C1792" i="2"/>
  <c r="B1793" i="2" a="1"/>
  <c r="B1793" i="2" s="1"/>
  <c r="C1793" i="2" l="1"/>
  <c r="G1793" i="2"/>
  <c r="E1793" i="2"/>
  <c r="D1793" i="2"/>
  <c r="H1793" i="2"/>
  <c r="F1793" i="2"/>
  <c r="B1794" i="2" a="1"/>
  <c r="B1794" i="2" s="1"/>
  <c r="G1794" i="2" l="1"/>
  <c r="H1794" i="2"/>
  <c r="F1794" i="2"/>
  <c r="E1794" i="2"/>
  <c r="D1794" i="2"/>
  <c r="C1794" i="2"/>
  <c r="B1795" i="2" a="1"/>
  <c r="B1795" i="2" s="1"/>
  <c r="G1795" i="2" l="1"/>
  <c r="D1795" i="2"/>
  <c r="E1795" i="2"/>
  <c r="C1795" i="2"/>
  <c r="H1795" i="2"/>
  <c r="F1795" i="2"/>
  <c r="B1796" i="2" a="1"/>
  <c r="B1796" i="2" s="1"/>
  <c r="E1796" i="2" l="1"/>
  <c r="H1796" i="2"/>
  <c r="C1796" i="2"/>
  <c r="D1796" i="2"/>
  <c r="G1796" i="2"/>
  <c r="F1796" i="2"/>
  <c r="B1797" i="2" a="1"/>
  <c r="B1797" i="2" s="1"/>
  <c r="G1797" i="2" l="1"/>
  <c r="H1797" i="2"/>
  <c r="F1797" i="2"/>
  <c r="E1797" i="2"/>
  <c r="D1797" i="2"/>
  <c r="C1797" i="2"/>
  <c r="B1798" i="2" a="1"/>
  <c r="B1798" i="2" s="1"/>
  <c r="C1798" i="2" l="1"/>
  <c r="H1798" i="2"/>
  <c r="F1798" i="2"/>
  <c r="D1798" i="2"/>
  <c r="G1798" i="2"/>
  <c r="E1798" i="2"/>
  <c r="B1799" i="2" a="1"/>
  <c r="B1799" i="2" s="1"/>
  <c r="E1799" i="2" l="1"/>
  <c r="D1799" i="2"/>
  <c r="H1799" i="2"/>
  <c r="C1799" i="2"/>
  <c r="G1799" i="2"/>
  <c r="F1799" i="2"/>
  <c r="B1800" i="2" a="1"/>
  <c r="B1800" i="2" s="1"/>
  <c r="G1800" i="2" l="1"/>
  <c r="H1800" i="2"/>
  <c r="F1800" i="2"/>
  <c r="E1800" i="2"/>
  <c r="C1800" i="2"/>
  <c r="D1800" i="2"/>
  <c r="B1801" i="2" a="1"/>
  <c r="B1801" i="2" s="1"/>
  <c r="C1801" i="2" l="1"/>
  <c r="D1801" i="2"/>
  <c r="H1801" i="2"/>
  <c r="F1801" i="2"/>
  <c r="E1801" i="2"/>
  <c r="G1801" i="2"/>
  <c r="B1802" i="2" a="1"/>
  <c r="B1802" i="2" s="1"/>
  <c r="C1802" i="2" l="1"/>
  <c r="H1802" i="2"/>
  <c r="G1802" i="2"/>
  <c r="F1802" i="2"/>
  <c r="E1802" i="2"/>
  <c r="D1802" i="2"/>
  <c r="B1803" i="2" a="1"/>
  <c r="B1803" i="2" s="1"/>
  <c r="E1803" i="2" l="1"/>
  <c r="C1803" i="2"/>
  <c r="F1803" i="2"/>
  <c r="D1803" i="2"/>
  <c r="G1803" i="2"/>
  <c r="H1803" i="2"/>
  <c r="B1804" i="2" a="1"/>
  <c r="B1804" i="2" s="1"/>
  <c r="D1804" i="2" l="1"/>
  <c r="C1804" i="2"/>
  <c r="H1804" i="2"/>
  <c r="G1804" i="2"/>
  <c r="F1804" i="2"/>
  <c r="E1804" i="2"/>
  <c r="B1805" i="2" a="1"/>
  <c r="B1805" i="2" s="1"/>
  <c r="C1805" i="2" l="1"/>
  <c r="H1805" i="2"/>
  <c r="G1805" i="2"/>
  <c r="F1805" i="2"/>
  <c r="E1805" i="2"/>
  <c r="D1805" i="2"/>
  <c r="B1806" i="2" a="1"/>
  <c r="B1806" i="2" s="1"/>
  <c r="C1806" i="2" l="1"/>
  <c r="D1806" i="2"/>
  <c r="F1806" i="2"/>
  <c r="G1806" i="2"/>
  <c r="H1806" i="2"/>
  <c r="E1806" i="2"/>
  <c r="B1807" i="2" a="1"/>
  <c r="B1807" i="2" s="1"/>
  <c r="E1807" i="2" l="1"/>
  <c r="D1807" i="2"/>
  <c r="C1807" i="2"/>
  <c r="H1807" i="2"/>
  <c r="G1807" i="2"/>
  <c r="F1807" i="2"/>
  <c r="B1808" i="2" a="1"/>
  <c r="B1808" i="2" s="1"/>
  <c r="E1808" i="2" l="1"/>
  <c r="D1808" i="2"/>
  <c r="C1808" i="2"/>
  <c r="H1808" i="2"/>
  <c r="G1808" i="2"/>
  <c r="F1808" i="2"/>
  <c r="B1809" i="2" a="1"/>
  <c r="B1809" i="2" s="1"/>
  <c r="D1809" i="2" l="1"/>
  <c r="G1809" i="2"/>
  <c r="F1809" i="2"/>
  <c r="E1809" i="2"/>
  <c r="C1809" i="2"/>
  <c r="H1809" i="2"/>
  <c r="B1810" i="2" a="1"/>
  <c r="B1810" i="2" s="1"/>
  <c r="H1810" i="2" l="1"/>
  <c r="F1810" i="2"/>
  <c r="E1810" i="2"/>
  <c r="C1810" i="2"/>
  <c r="D1810" i="2"/>
  <c r="G1810" i="2"/>
  <c r="B1811" i="2" a="1"/>
  <c r="B1811" i="2" s="1"/>
  <c r="H1811" i="2" l="1"/>
  <c r="C1811" i="2"/>
  <c r="E1811" i="2"/>
  <c r="D1811" i="2"/>
  <c r="G1811" i="2"/>
  <c r="F1811" i="2"/>
  <c r="B1812" i="2" a="1"/>
  <c r="B1812" i="2" s="1"/>
  <c r="D1812" i="2" l="1"/>
  <c r="H1812" i="2"/>
  <c r="F1812" i="2"/>
  <c r="E1812" i="2"/>
  <c r="C1812" i="2"/>
  <c r="G1812" i="2"/>
  <c r="B1813" i="2" a="1"/>
  <c r="B1813" i="2" s="1"/>
  <c r="H1813" i="2" l="1"/>
  <c r="C1813" i="2"/>
  <c r="G1813" i="2"/>
  <c r="E1813" i="2"/>
  <c r="F1813" i="2"/>
  <c r="D1813" i="2"/>
  <c r="B1814" i="2" a="1"/>
  <c r="B1814" i="2" s="1"/>
  <c r="C1814" i="2" l="1"/>
  <c r="H1814" i="2"/>
  <c r="G1814" i="2"/>
  <c r="F1814" i="2"/>
  <c r="E1814" i="2"/>
  <c r="D1814" i="2"/>
  <c r="B1815" i="2" a="1"/>
  <c r="B1815" i="2" s="1"/>
  <c r="F1815" i="2" l="1"/>
  <c r="H1815" i="2"/>
  <c r="E1815" i="2"/>
  <c r="C1815" i="2"/>
  <c r="D1815" i="2"/>
  <c r="G1815" i="2"/>
  <c r="B1816" i="2" a="1"/>
  <c r="B1816" i="2" s="1"/>
  <c r="G1816" i="2" l="1"/>
  <c r="F1816" i="2"/>
  <c r="E1816" i="2"/>
  <c r="D1816" i="2"/>
  <c r="C1816" i="2"/>
  <c r="H1816" i="2"/>
  <c r="B1817" i="2" a="1"/>
  <c r="B1817" i="2" s="1"/>
  <c r="C1817" i="2" l="1"/>
  <c r="D1817" i="2"/>
  <c r="H1817" i="2"/>
  <c r="G1817" i="2"/>
  <c r="F1817" i="2"/>
  <c r="E1817" i="2"/>
  <c r="B1818" i="2" a="1"/>
  <c r="B1818" i="2" s="1"/>
  <c r="G1818" i="2" l="1"/>
  <c r="E1818" i="2"/>
  <c r="D1818" i="2"/>
  <c r="C1818" i="2"/>
  <c r="H1818" i="2"/>
  <c r="F1818" i="2"/>
  <c r="B1819" i="2" a="1"/>
  <c r="B1819" i="2" s="1"/>
  <c r="G1819" i="2" l="1"/>
  <c r="H1819" i="2"/>
  <c r="F1819" i="2"/>
  <c r="E1819" i="2"/>
  <c r="D1819" i="2"/>
  <c r="C1819" i="2"/>
  <c r="B1820" i="2" a="1"/>
  <c r="B1820" i="2" s="1"/>
  <c r="D1820" i="2" l="1"/>
  <c r="H1820" i="2"/>
  <c r="G1820" i="2"/>
  <c r="C1820" i="2"/>
  <c r="F1820" i="2"/>
  <c r="E1820" i="2"/>
  <c r="B1821" i="2" a="1"/>
  <c r="B1821" i="2" s="1"/>
  <c r="F1821" i="2" l="1"/>
  <c r="G1821" i="2"/>
  <c r="C1821" i="2"/>
  <c r="D1821" i="2"/>
  <c r="H1821" i="2"/>
  <c r="E1821" i="2"/>
  <c r="B1822" i="2" a="1"/>
  <c r="B1822" i="2" s="1"/>
  <c r="C1822" i="2" l="1"/>
  <c r="F1822" i="2"/>
  <c r="E1822" i="2"/>
  <c r="D1822" i="2"/>
  <c r="H1822" i="2"/>
  <c r="G1822" i="2"/>
  <c r="B1823" i="2" a="1"/>
  <c r="B1823" i="2" s="1"/>
  <c r="C1823" i="2" l="1"/>
  <c r="D1823" i="2"/>
  <c r="H1823" i="2"/>
  <c r="G1823" i="2"/>
  <c r="F1823" i="2"/>
  <c r="E1823" i="2"/>
  <c r="B1824" i="2" a="1"/>
  <c r="B1824" i="2" s="1"/>
  <c r="G1824" i="2" l="1"/>
  <c r="D1824" i="2"/>
  <c r="H1824" i="2"/>
  <c r="F1824" i="2"/>
  <c r="E1824" i="2"/>
  <c r="C1824" i="2"/>
  <c r="B1825" i="2" a="1"/>
  <c r="B1825" i="2" s="1"/>
  <c r="G1825" i="2" l="1"/>
  <c r="E1825" i="2"/>
  <c r="H1825" i="2"/>
  <c r="F1825" i="2"/>
  <c r="D1825" i="2"/>
  <c r="C1825" i="2"/>
  <c r="B1826" i="2" a="1"/>
  <c r="B1826" i="2" s="1"/>
  <c r="D1826" i="2" l="1"/>
  <c r="C1826" i="2"/>
  <c r="F1826" i="2"/>
  <c r="H1826" i="2"/>
  <c r="G1826" i="2"/>
  <c r="E1826" i="2"/>
  <c r="B1827" i="2" a="1"/>
  <c r="B1827" i="2" s="1"/>
  <c r="F1827" i="2" l="1"/>
  <c r="G1827" i="2"/>
  <c r="D1827" i="2"/>
  <c r="E1827" i="2"/>
  <c r="C1827" i="2"/>
  <c r="H1827" i="2"/>
  <c r="B1828" i="2" a="1"/>
  <c r="B1828" i="2" s="1"/>
  <c r="F1828" i="2" l="1"/>
  <c r="E1828" i="2"/>
  <c r="D1828" i="2"/>
  <c r="C1828" i="2"/>
  <c r="G1828" i="2"/>
  <c r="H1828" i="2"/>
  <c r="B1829" i="2" a="1"/>
  <c r="B1829" i="2" s="1"/>
  <c r="E1829" i="2" l="1"/>
  <c r="C1829" i="2"/>
  <c r="H1829" i="2"/>
  <c r="D1829" i="2"/>
  <c r="G1829" i="2"/>
  <c r="F1829" i="2"/>
  <c r="B1830" i="2" a="1"/>
  <c r="B1830" i="2" s="1"/>
  <c r="E1830" i="2" l="1"/>
  <c r="G1830" i="2"/>
  <c r="F1830" i="2"/>
  <c r="D1830" i="2"/>
  <c r="H1830" i="2"/>
  <c r="C1830" i="2"/>
  <c r="B1831" i="2" a="1"/>
  <c r="B1831" i="2" s="1"/>
  <c r="G1831" i="2" l="1"/>
  <c r="E1831" i="2"/>
  <c r="H1831" i="2"/>
  <c r="F1831" i="2"/>
  <c r="D1831" i="2"/>
  <c r="C1831" i="2"/>
  <c r="B1832" i="2" a="1"/>
  <c r="B1832" i="2" s="1"/>
  <c r="C1832" i="2" l="1"/>
  <c r="F1832" i="2"/>
  <c r="D1832" i="2"/>
  <c r="H1832" i="2"/>
  <c r="G1832" i="2"/>
  <c r="E1832" i="2"/>
  <c r="B1833" i="2" a="1"/>
  <c r="B1833" i="2" s="1"/>
  <c r="G1833" i="2" l="1"/>
  <c r="D1833" i="2"/>
  <c r="F1833" i="2"/>
  <c r="H1833" i="2"/>
  <c r="E1833" i="2"/>
  <c r="C1833" i="2"/>
  <c r="B1834" i="2" a="1"/>
  <c r="B1834" i="2" s="1"/>
  <c r="G1834" i="2" l="1"/>
  <c r="C1834" i="2"/>
  <c r="H1834" i="2"/>
  <c r="F1834" i="2"/>
  <c r="E1834" i="2"/>
  <c r="D1834" i="2"/>
  <c r="B1835" i="2" a="1"/>
  <c r="B1835" i="2" s="1"/>
  <c r="C1835" i="2" l="1"/>
  <c r="H1835" i="2"/>
  <c r="F1835" i="2"/>
  <c r="D1835" i="2"/>
  <c r="G1835" i="2"/>
  <c r="E1835" i="2"/>
  <c r="B1836" i="2" a="1"/>
  <c r="B1836" i="2" s="1"/>
  <c r="G1836" i="2" l="1"/>
  <c r="F1836" i="2"/>
  <c r="D1836" i="2"/>
  <c r="H1836" i="2"/>
  <c r="E1836" i="2"/>
  <c r="C1836" i="2"/>
  <c r="B1837" i="2" a="1"/>
  <c r="B1837" i="2" s="1"/>
  <c r="G1837" i="2" l="1"/>
  <c r="E1837" i="2"/>
  <c r="C1837" i="2"/>
  <c r="H1837" i="2"/>
  <c r="F1837" i="2"/>
  <c r="D1837" i="2"/>
  <c r="B1838" i="2" a="1"/>
  <c r="B1838" i="2" s="1"/>
  <c r="C1838" i="2" l="1"/>
  <c r="D1838" i="2"/>
  <c r="H1838" i="2"/>
  <c r="F1838" i="2"/>
  <c r="G1838" i="2"/>
  <c r="E1838" i="2"/>
  <c r="B1839" i="2" a="1"/>
  <c r="B1839" i="2" s="1"/>
  <c r="H1839" i="2" l="1"/>
  <c r="G1839" i="2"/>
  <c r="F1839" i="2"/>
  <c r="D1839" i="2"/>
  <c r="E1839" i="2"/>
  <c r="C1839" i="2"/>
  <c r="B1840" i="2" a="1"/>
  <c r="B1840" i="2" s="1"/>
  <c r="H1840" i="2" l="1"/>
  <c r="D1840" i="2"/>
  <c r="G1840" i="2"/>
  <c r="E1840" i="2"/>
  <c r="C1840" i="2"/>
  <c r="F1840" i="2"/>
  <c r="B1841" i="2" a="1"/>
  <c r="B1841" i="2" s="1"/>
  <c r="E1841" i="2" l="1"/>
  <c r="C1841" i="2"/>
  <c r="F1841" i="2"/>
  <c r="D1841" i="2"/>
  <c r="H1841" i="2"/>
  <c r="G1841" i="2"/>
  <c r="B1842" i="2" a="1"/>
  <c r="B1842" i="2" s="1"/>
  <c r="H1842" i="2" l="1"/>
  <c r="E1842" i="2"/>
  <c r="G1842" i="2"/>
  <c r="F1842" i="2"/>
  <c r="D1842" i="2"/>
  <c r="C1842" i="2"/>
  <c r="B1843" i="2" a="1"/>
  <c r="B1843" i="2" s="1"/>
  <c r="F1843" i="2" l="1"/>
  <c r="D1843" i="2"/>
  <c r="C1843" i="2"/>
  <c r="G1843" i="2"/>
  <c r="E1843" i="2"/>
  <c r="H1843" i="2"/>
  <c r="B1844" i="2" a="1"/>
  <c r="B1844" i="2" s="1"/>
  <c r="E1844" i="2" l="1"/>
  <c r="C1844" i="2"/>
  <c r="H1844" i="2"/>
  <c r="F1844" i="2"/>
  <c r="D1844" i="2"/>
  <c r="G1844" i="2"/>
  <c r="B1845" i="2" a="1"/>
  <c r="B1845" i="2" s="1"/>
  <c r="G1845" i="2" l="1"/>
  <c r="F1845" i="2"/>
  <c r="D1845" i="2"/>
  <c r="E1845" i="2"/>
  <c r="C1845" i="2"/>
  <c r="H1845" i="2"/>
  <c r="B1846" i="2" a="1"/>
  <c r="B1846" i="2" s="1"/>
  <c r="E1846" i="2" l="1"/>
  <c r="C1846" i="2"/>
  <c r="G1846" i="2"/>
  <c r="H1846" i="2"/>
  <c r="F1846" i="2"/>
  <c r="D1846" i="2"/>
  <c r="B1847" i="2" a="1"/>
  <c r="B1847" i="2" s="1"/>
  <c r="C1847" i="2" l="1"/>
  <c r="H1847" i="2"/>
  <c r="F1847" i="2"/>
  <c r="D1847" i="2"/>
  <c r="G1847" i="2"/>
  <c r="E1847" i="2"/>
  <c r="B1848" i="2" a="1"/>
  <c r="B1848" i="2" s="1"/>
  <c r="G1848" i="2" l="1"/>
  <c r="F1848" i="2"/>
  <c r="D1848" i="2"/>
  <c r="H1848" i="2"/>
  <c r="E1848" i="2"/>
  <c r="C1848" i="2"/>
  <c r="B1849" i="2" a="1"/>
  <c r="B1849" i="2" s="1"/>
  <c r="G1849" i="2" l="1"/>
  <c r="E1849" i="2"/>
  <c r="C1849" i="2"/>
  <c r="H1849" i="2"/>
  <c r="F1849" i="2"/>
  <c r="D1849" i="2"/>
  <c r="B1850" i="2" a="1"/>
  <c r="B1850" i="2" s="1"/>
  <c r="G1850" i="2" l="1"/>
  <c r="E1850" i="2"/>
  <c r="C1850" i="2"/>
  <c r="H1850" i="2"/>
  <c r="F1850" i="2"/>
  <c r="D1850" i="2"/>
  <c r="B1851" i="2" a="1"/>
  <c r="B1851" i="2" s="1"/>
  <c r="G1851" i="2" l="1"/>
  <c r="F1851" i="2"/>
  <c r="H1851" i="2"/>
  <c r="E1851" i="2"/>
  <c r="C1851" i="2"/>
  <c r="D1851" i="2"/>
  <c r="B1852" i="2" a="1"/>
  <c r="B1852" i="2" s="1"/>
  <c r="H1852" i="2" l="1"/>
  <c r="F1852" i="2"/>
  <c r="D1852" i="2"/>
  <c r="G1852" i="2"/>
  <c r="E1852" i="2"/>
  <c r="C1852" i="2"/>
  <c r="B1853" i="2" a="1"/>
  <c r="B1853" i="2" s="1"/>
  <c r="F1853" i="2" l="1"/>
  <c r="D1853" i="2"/>
  <c r="G1853" i="2"/>
  <c r="C1853" i="2"/>
  <c r="H1853" i="2"/>
  <c r="E1853" i="2"/>
  <c r="B1854" i="2" a="1"/>
  <c r="B1854" i="2" s="1"/>
  <c r="G1854" i="2" l="1"/>
  <c r="F1854" i="2"/>
  <c r="D1854" i="2"/>
  <c r="H1854" i="2"/>
  <c r="E1854" i="2"/>
  <c r="C1854" i="2"/>
  <c r="B1855" i="2" a="1"/>
  <c r="B1855" i="2" s="1"/>
  <c r="G1855" i="2" l="1"/>
  <c r="E1855" i="2"/>
  <c r="C1855" i="2"/>
  <c r="F1855" i="2"/>
  <c r="D1855" i="2"/>
  <c r="H1855" i="2"/>
  <c r="B1856" i="2" a="1"/>
  <c r="B1856" i="2" s="1"/>
  <c r="C1856" i="2" l="1"/>
  <c r="D1856" i="2"/>
  <c r="H1856" i="2"/>
  <c r="G1856" i="2"/>
  <c r="F1856" i="2"/>
  <c r="E1856" i="2"/>
  <c r="B1857" i="2" a="1"/>
  <c r="B1857" i="2" s="1"/>
  <c r="G1857" i="2" l="1"/>
  <c r="F1857" i="2"/>
  <c r="D1857" i="2"/>
  <c r="H1857" i="2"/>
  <c r="E1857" i="2"/>
  <c r="C1857" i="2"/>
  <c r="B1858" i="2" a="1"/>
  <c r="B1858" i="2" s="1"/>
  <c r="C1858" i="2" l="1"/>
  <c r="H1858" i="2"/>
  <c r="F1858" i="2"/>
  <c r="G1858" i="2"/>
  <c r="E1858" i="2"/>
  <c r="D1858" i="2"/>
  <c r="B1859" i="2" a="1"/>
  <c r="B1859" i="2" s="1"/>
  <c r="H1859" i="2" l="1"/>
  <c r="E1859" i="2"/>
  <c r="C1859" i="2"/>
  <c r="G1859" i="2"/>
  <c r="F1859" i="2"/>
  <c r="D1859" i="2"/>
  <c r="B1860" i="2" a="1"/>
  <c r="B1860" i="2" s="1"/>
  <c r="C1860" i="2" l="1"/>
  <c r="H1860" i="2"/>
  <c r="E1860" i="2"/>
  <c r="G1860" i="2"/>
  <c r="F1860" i="2"/>
  <c r="D1860" i="2"/>
  <c r="B1861" i="2" a="1"/>
  <c r="B1861" i="2" s="1"/>
  <c r="D1861" i="2" l="1"/>
  <c r="C1861" i="2"/>
  <c r="G1861" i="2"/>
  <c r="F1861" i="2"/>
  <c r="E1861" i="2"/>
  <c r="H1861" i="2"/>
  <c r="B1862" i="2" a="1"/>
  <c r="B1862" i="2" s="1"/>
  <c r="C1862" i="2" l="1"/>
  <c r="H1862" i="2"/>
  <c r="F1862" i="2"/>
  <c r="D1862" i="2"/>
  <c r="G1862" i="2"/>
  <c r="E1862" i="2"/>
  <c r="B1863" i="2" a="1"/>
  <c r="B1863" i="2" s="1"/>
  <c r="G1863" i="2" l="1"/>
  <c r="F1863" i="2"/>
  <c r="D1863" i="2"/>
  <c r="C1863" i="2"/>
  <c r="H1863" i="2"/>
  <c r="E1863" i="2"/>
  <c r="B1864" i="2" a="1"/>
  <c r="B1864" i="2" s="1"/>
  <c r="F1864" i="2" l="1"/>
  <c r="E1864" i="2"/>
  <c r="C1864" i="2"/>
  <c r="H1864" i="2"/>
  <c r="G1864" i="2"/>
  <c r="D1864" i="2"/>
  <c r="B1865" i="2" a="1"/>
  <c r="B1865" i="2" s="1"/>
  <c r="C1865" i="2" l="1"/>
  <c r="H1865" i="2"/>
  <c r="G1865" i="2"/>
  <c r="F1865" i="2"/>
  <c r="D1865" i="2"/>
  <c r="E1865" i="2"/>
  <c r="B1866" i="2" a="1"/>
  <c r="B1866" i="2" s="1"/>
  <c r="G1866" i="2" l="1"/>
  <c r="C1866" i="2"/>
  <c r="F1866" i="2"/>
  <c r="E1866" i="2"/>
  <c r="D1866" i="2"/>
  <c r="H1866" i="2"/>
  <c r="B1867" i="2" a="1"/>
  <c r="B1867" i="2" s="1"/>
  <c r="G1867" i="2" l="1"/>
  <c r="C1867" i="2"/>
  <c r="F1867" i="2"/>
  <c r="H1867" i="2"/>
  <c r="E1867" i="2"/>
  <c r="D1867" i="2"/>
  <c r="B1868" i="2" a="1"/>
  <c r="B1868" i="2" s="1"/>
  <c r="C1868" i="2" l="1"/>
  <c r="H1868" i="2"/>
  <c r="F1868" i="2"/>
  <c r="D1868" i="2"/>
  <c r="G1868" i="2"/>
  <c r="E1868" i="2"/>
  <c r="B1869" i="2" a="1"/>
  <c r="B1869" i="2" s="1"/>
  <c r="G1869" i="2" l="1"/>
  <c r="E1869" i="2"/>
  <c r="D1869" i="2"/>
  <c r="H1869" i="2"/>
  <c r="F1869" i="2"/>
  <c r="C1869" i="2"/>
  <c r="B1870" i="2" a="1"/>
  <c r="B1870" i="2" s="1"/>
  <c r="G1870" i="2" l="1"/>
  <c r="F1870" i="2"/>
  <c r="E1870" i="2"/>
  <c r="C1870" i="2"/>
  <c r="H1870" i="2"/>
  <c r="D1870" i="2"/>
  <c r="B1871" i="2" a="1"/>
  <c r="B1871" i="2" s="1"/>
  <c r="C1871" i="2" l="1"/>
  <c r="H1871" i="2"/>
  <c r="G1871" i="2"/>
  <c r="F1871" i="2"/>
  <c r="E1871" i="2"/>
  <c r="D1871" i="2"/>
  <c r="B1872" i="2" a="1"/>
  <c r="B1872" i="2" s="1"/>
  <c r="F1872" i="2" l="1"/>
  <c r="D1872" i="2"/>
  <c r="C1872" i="2"/>
  <c r="H1872" i="2"/>
  <c r="G1872" i="2"/>
  <c r="E1872" i="2"/>
  <c r="B1873" i="2" a="1"/>
  <c r="B1873" i="2" s="1"/>
  <c r="D1873" i="2" l="1"/>
  <c r="C1873" i="2"/>
  <c r="F1873" i="2"/>
  <c r="H1873" i="2"/>
  <c r="G1873" i="2"/>
  <c r="E1873" i="2"/>
  <c r="B1874" i="2" a="1"/>
  <c r="B1874" i="2" s="1"/>
  <c r="D1874" i="2" l="1"/>
  <c r="H1874" i="2"/>
  <c r="G1874" i="2"/>
  <c r="C1874" i="2"/>
  <c r="E1874" i="2"/>
  <c r="F1874" i="2"/>
  <c r="B1875" i="2" a="1"/>
  <c r="B1875" i="2" s="1"/>
  <c r="G1875" i="2" l="1"/>
  <c r="H1875" i="2"/>
  <c r="F1875" i="2"/>
  <c r="E1875" i="2"/>
  <c r="D1875" i="2"/>
  <c r="C1875" i="2"/>
  <c r="B1876" i="2" a="1"/>
  <c r="B1876" i="2" s="1"/>
  <c r="C1876" i="2" l="1"/>
  <c r="H1876" i="2"/>
  <c r="G1876" i="2"/>
  <c r="F1876" i="2"/>
  <c r="E1876" i="2"/>
  <c r="D1876" i="2"/>
  <c r="B1877" i="2" a="1"/>
  <c r="B1877" i="2" s="1"/>
  <c r="E1877" i="2" l="1"/>
  <c r="D1877" i="2"/>
  <c r="H1877" i="2"/>
  <c r="C1877" i="2"/>
  <c r="G1877" i="2"/>
  <c r="F1877" i="2"/>
  <c r="B1878" i="2" a="1"/>
  <c r="B1878" i="2" s="1"/>
  <c r="D1878" i="2" l="1"/>
  <c r="C1878" i="2"/>
  <c r="E1878" i="2"/>
  <c r="G1878" i="2"/>
  <c r="H1878" i="2"/>
  <c r="F1878" i="2"/>
  <c r="B1879" i="2" a="1"/>
  <c r="B1879" i="2" s="1"/>
  <c r="D1879" i="2" l="1"/>
  <c r="C1879" i="2"/>
  <c r="H1879" i="2"/>
  <c r="G1879" i="2"/>
  <c r="F1879" i="2"/>
  <c r="E1879" i="2"/>
  <c r="B1880" i="2" a="1"/>
  <c r="B1880" i="2" s="1"/>
  <c r="C1880" i="2" l="1"/>
  <c r="H1880" i="2"/>
  <c r="G1880" i="2"/>
  <c r="F1880" i="2"/>
  <c r="E1880" i="2"/>
  <c r="D1880" i="2"/>
  <c r="B1881" i="2" a="1"/>
  <c r="B1881" i="2" s="1"/>
  <c r="H1881" i="2" l="1"/>
  <c r="G1881" i="2"/>
  <c r="F1881" i="2"/>
  <c r="E1881" i="2"/>
  <c r="D1881" i="2"/>
  <c r="C1881" i="2"/>
  <c r="B1882" i="2" a="1"/>
  <c r="B1882" i="2" s="1"/>
  <c r="C1882" i="2" l="1"/>
  <c r="F1882" i="2"/>
  <c r="E1882" i="2"/>
  <c r="D1882" i="2"/>
  <c r="H1882" i="2"/>
  <c r="G1882" i="2"/>
  <c r="B1883" i="2" a="1"/>
  <c r="B1883" i="2" s="1"/>
  <c r="F1883" i="2" l="1"/>
  <c r="D1883" i="2"/>
  <c r="E1883" i="2"/>
  <c r="C1883" i="2"/>
  <c r="H1883" i="2"/>
  <c r="G1883" i="2"/>
  <c r="B1884" i="2" a="1"/>
  <c r="B1884" i="2" s="1"/>
  <c r="C1884" i="2" l="1"/>
  <c r="H1884" i="2"/>
  <c r="F1884" i="2"/>
  <c r="E1884" i="2"/>
  <c r="D1884" i="2"/>
  <c r="G1884" i="2"/>
  <c r="B1885" i="2" a="1"/>
  <c r="B1885" i="2" s="1"/>
  <c r="G1885" i="2" l="1"/>
  <c r="E1885" i="2"/>
  <c r="C1885" i="2"/>
  <c r="H1885" i="2"/>
  <c r="D1885" i="2"/>
  <c r="F1885" i="2"/>
  <c r="B1886" i="2" a="1"/>
  <c r="B1886" i="2" s="1"/>
  <c r="H1886" i="2" l="1"/>
  <c r="C1886" i="2"/>
  <c r="G1886" i="2"/>
  <c r="F1886" i="2"/>
  <c r="E1886" i="2"/>
  <c r="D1886" i="2"/>
  <c r="B1887" i="2" a="1"/>
  <c r="B1887" i="2" s="1"/>
  <c r="H1887" i="2" l="1"/>
  <c r="F1887" i="2"/>
  <c r="G1887" i="2"/>
  <c r="E1887" i="2"/>
  <c r="D1887" i="2"/>
  <c r="C1887" i="2"/>
  <c r="B1888" i="2" a="1"/>
  <c r="B1888" i="2" s="1"/>
  <c r="H1888" i="2" l="1"/>
  <c r="G1888" i="2"/>
  <c r="F1888" i="2"/>
  <c r="E1888" i="2"/>
  <c r="D1888" i="2"/>
  <c r="C1888" i="2"/>
  <c r="B1889" i="2" a="1"/>
  <c r="B1889" i="2" s="1"/>
  <c r="C1889" i="2" l="1"/>
  <c r="H1889" i="2"/>
  <c r="G1889" i="2"/>
  <c r="F1889" i="2"/>
  <c r="E1889" i="2"/>
  <c r="D1889" i="2"/>
  <c r="B1890" i="2" a="1"/>
  <c r="B1890" i="2" s="1"/>
  <c r="G1890" i="2" l="1"/>
  <c r="H1890" i="2"/>
  <c r="F1890" i="2"/>
  <c r="E1890" i="2"/>
  <c r="D1890" i="2"/>
  <c r="C1890" i="2"/>
  <c r="B1891" i="2" a="1"/>
  <c r="B1891" i="2" s="1"/>
  <c r="G1891" i="2" l="1"/>
  <c r="C1891" i="2"/>
  <c r="E1891" i="2"/>
  <c r="D1891" i="2"/>
  <c r="H1891" i="2"/>
  <c r="F1891" i="2"/>
  <c r="B1892" i="2" a="1"/>
  <c r="B1892" i="2" s="1"/>
  <c r="C1892" i="2" l="1"/>
  <c r="E1892" i="2"/>
  <c r="D1892" i="2"/>
  <c r="H1892" i="2"/>
  <c r="G1892" i="2"/>
  <c r="F1892" i="2"/>
  <c r="B1893" i="2" a="1"/>
  <c r="B1893" i="2" s="1"/>
  <c r="G1893" i="2" l="1"/>
  <c r="F1893" i="2"/>
  <c r="E1893" i="2"/>
  <c r="C1893" i="2"/>
  <c r="H1893" i="2"/>
  <c r="D1893" i="2"/>
  <c r="B1894" i="2" a="1"/>
  <c r="B1894" i="2" s="1"/>
  <c r="H1894" i="2" l="1"/>
  <c r="G1894" i="2"/>
  <c r="F1894" i="2"/>
  <c r="E1894" i="2"/>
  <c r="D1894" i="2"/>
  <c r="C1894" i="2"/>
  <c r="B1895" i="2" a="1"/>
  <c r="B1895" i="2" s="1"/>
  <c r="C1895" i="2" l="1"/>
  <c r="G1895" i="2"/>
  <c r="F1895" i="2"/>
  <c r="E1895" i="2"/>
  <c r="D1895" i="2"/>
  <c r="H1895" i="2"/>
  <c r="B1896" i="2" a="1"/>
  <c r="B1896" i="2" s="1"/>
  <c r="E1896" i="2" l="1"/>
  <c r="G1896" i="2"/>
  <c r="H1896" i="2"/>
  <c r="F1896" i="2"/>
  <c r="D1896" i="2"/>
  <c r="C1896" i="2"/>
  <c r="B1897" i="2" a="1"/>
  <c r="B1897" i="2" s="1"/>
  <c r="C1897" i="2" l="1"/>
  <c r="D1897" i="2"/>
  <c r="H1897" i="2"/>
  <c r="G1897" i="2"/>
  <c r="F1897" i="2"/>
  <c r="E1897" i="2"/>
  <c r="B1898" i="2" a="1"/>
  <c r="B1898" i="2" s="1"/>
  <c r="C1898" i="2" l="1"/>
  <c r="H1898" i="2"/>
  <c r="G1898" i="2"/>
  <c r="F1898" i="2"/>
  <c r="E1898" i="2"/>
  <c r="D1898" i="2"/>
  <c r="B1899" i="2" a="1"/>
  <c r="B1899" i="2" s="1"/>
  <c r="H1899" i="2" l="1"/>
  <c r="F1899" i="2"/>
  <c r="E1899" i="2"/>
  <c r="D1899" i="2"/>
  <c r="C1899" i="2"/>
  <c r="G1899" i="2"/>
  <c r="B1900" i="2" a="1"/>
  <c r="B1900" i="2" s="1"/>
  <c r="F1900" i="2" l="1"/>
  <c r="E1900" i="2"/>
  <c r="D1900" i="2"/>
  <c r="C1900" i="2"/>
  <c r="H1900" i="2"/>
  <c r="G1900" i="2"/>
  <c r="B1901" i="2" a="1"/>
  <c r="B1901" i="2" s="1"/>
  <c r="C1901" i="2" l="1"/>
  <c r="H1901" i="2"/>
  <c r="G1901" i="2"/>
  <c r="F1901" i="2"/>
  <c r="E1901" i="2"/>
  <c r="D1901" i="2"/>
  <c r="B1902" i="2" a="1"/>
  <c r="B1902" i="2" s="1"/>
  <c r="E1902" i="2" l="1"/>
  <c r="D1902" i="2"/>
  <c r="G1902" i="2"/>
  <c r="C1902" i="2"/>
  <c r="H1902" i="2"/>
  <c r="F1902" i="2"/>
  <c r="B1903" i="2" a="1"/>
  <c r="B1903" i="2" s="1"/>
  <c r="F1903" i="2" l="1"/>
  <c r="D1903" i="2"/>
  <c r="C1903" i="2"/>
  <c r="H1903" i="2"/>
  <c r="G1903" i="2"/>
  <c r="E1903" i="2"/>
  <c r="B1904" i="2" a="1"/>
  <c r="B1904" i="2" s="1"/>
  <c r="C1904" i="2" l="1"/>
  <c r="H1904" i="2"/>
  <c r="G1904" i="2"/>
  <c r="F1904" i="2"/>
  <c r="E1904" i="2"/>
  <c r="D1904" i="2"/>
  <c r="B1905" i="2" a="1"/>
  <c r="B1905" i="2" s="1"/>
  <c r="H1905" i="2" l="1"/>
  <c r="F1905" i="2"/>
  <c r="G1905" i="2"/>
  <c r="E1905" i="2"/>
  <c r="D1905" i="2"/>
  <c r="C1905" i="2"/>
  <c r="B1906" i="2" a="1"/>
  <c r="B1906" i="2" s="1"/>
  <c r="E1906" i="2" l="1"/>
  <c r="D1906" i="2"/>
  <c r="C1906" i="2"/>
  <c r="H1906" i="2"/>
  <c r="G1906" i="2"/>
  <c r="F1906" i="2"/>
  <c r="B1907" i="2" a="1"/>
  <c r="B1907" i="2" s="1"/>
  <c r="F1907" i="2" l="1"/>
  <c r="C1907" i="2"/>
  <c r="H1907" i="2"/>
  <c r="G1907" i="2"/>
  <c r="E1907" i="2"/>
  <c r="D1907" i="2"/>
  <c r="B1908" i="2" a="1"/>
  <c r="B1908" i="2" s="1"/>
  <c r="G1908" i="2" l="1"/>
  <c r="H1908" i="2"/>
  <c r="F1908" i="2"/>
  <c r="E1908" i="2"/>
  <c r="D1908" i="2"/>
  <c r="C1908" i="2"/>
  <c r="B1909" i="2" a="1"/>
  <c r="B1909" i="2" s="1"/>
  <c r="E1909" i="2" l="1"/>
  <c r="D1909" i="2"/>
  <c r="C1909" i="2"/>
  <c r="H1909" i="2"/>
  <c r="G1909" i="2"/>
  <c r="F1909" i="2"/>
  <c r="B1910" i="2" a="1"/>
  <c r="B1910" i="2" s="1"/>
  <c r="D1910" i="2" l="1"/>
  <c r="H1910" i="2"/>
  <c r="G1910" i="2"/>
  <c r="F1910" i="2"/>
  <c r="C1910" i="2"/>
  <c r="E1910" i="2"/>
  <c r="B1911" i="2" a="1"/>
  <c r="B1911" i="2" s="1"/>
  <c r="G1911" i="2" l="1"/>
  <c r="H1911" i="2"/>
  <c r="F1911" i="2"/>
  <c r="E1911" i="2"/>
  <c r="D1911" i="2"/>
  <c r="C1911" i="2"/>
  <c r="B1912" i="2" a="1"/>
  <c r="B1912" i="2" s="1"/>
  <c r="H1912" i="2" l="1"/>
  <c r="G1912" i="2"/>
  <c r="F1912" i="2"/>
  <c r="E1912" i="2"/>
  <c r="D1912" i="2"/>
  <c r="C1912" i="2"/>
  <c r="B1913" i="2" a="1"/>
  <c r="B1913" i="2" s="1"/>
  <c r="G1913" i="2" l="1"/>
  <c r="C1913" i="2"/>
  <c r="F1913" i="2"/>
  <c r="E1913" i="2"/>
  <c r="D1913" i="2"/>
  <c r="H1913" i="2"/>
  <c r="B1914" i="2" a="1"/>
  <c r="B1914" i="2" s="1"/>
  <c r="C1914" i="2" l="1"/>
  <c r="G1914" i="2"/>
  <c r="H1914" i="2"/>
  <c r="F1914" i="2"/>
  <c r="E1914" i="2"/>
  <c r="D1914" i="2"/>
  <c r="B1915" i="2" a="1"/>
  <c r="B1915" i="2" s="1"/>
  <c r="G1915" i="2" l="1"/>
  <c r="H1915" i="2"/>
  <c r="F1915" i="2"/>
  <c r="E1915" i="2"/>
  <c r="D1915" i="2"/>
  <c r="C1915" i="2"/>
  <c r="B1916" i="2" a="1"/>
  <c r="B1916" i="2" s="1"/>
  <c r="H1916" i="2" l="1"/>
  <c r="C1916" i="2"/>
  <c r="G1916" i="2"/>
  <c r="F1916" i="2"/>
  <c r="E1916" i="2"/>
  <c r="D1916" i="2"/>
  <c r="B1917" i="2" a="1"/>
  <c r="B1917" i="2" s="1"/>
  <c r="G1917" i="2" l="1"/>
  <c r="H1917" i="2"/>
  <c r="F1917" i="2"/>
  <c r="E1917" i="2"/>
  <c r="D1917" i="2"/>
  <c r="C1917" i="2"/>
  <c r="B1918" i="2" a="1"/>
  <c r="B1918" i="2" s="1"/>
  <c r="E1918" i="2" l="1"/>
  <c r="G1918" i="2"/>
  <c r="F1918" i="2"/>
  <c r="D1918" i="2"/>
  <c r="C1918" i="2"/>
  <c r="H1918" i="2"/>
  <c r="B1919" i="2" a="1"/>
  <c r="B1919" i="2" s="1"/>
  <c r="E1919" i="2" l="1"/>
  <c r="D1919" i="2"/>
  <c r="C1919" i="2"/>
  <c r="H1919" i="2"/>
  <c r="G1919" i="2"/>
  <c r="F1919" i="2"/>
  <c r="B1920" i="2" a="1"/>
  <c r="B1920" i="2" s="1"/>
  <c r="G1920" i="2" l="1"/>
  <c r="D1920" i="2"/>
  <c r="C1920" i="2"/>
  <c r="H1920" i="2"/>
  <c r="F1920" i="2"/>
  <c r="E1920" i="2"/>
  <c r="B1921" i="2" a="1"/>
  <c r="B1921" i="2" s="1"/>
  <c r="E1921" i="2" l="1"/>
  <c r="H1921" i="2"/>
  <c r="G1921" i="2"/>
  <c r="F1921" i="2"/>
  <c r="D1921" i="2"/>
  <c r="C1921" i="2"/>
  <c r="B1922" i="2" a="1"/>
  <c r="B1922" i="2" s="1"/>
  <c r="C1922" i="2" l="1"/>
  <c r="H1922" i="2"/>
  <c r="G1922" i="2"/>
  <c r="F1922" i="2"/>
  <c r="E1922" i="2"/>
  <c r="D1922" i="2"/>
  <c r="B1923" i="2" a="1"/>
  <c r="B1923" i="2" s="1"/>
  <c r="G1923" i="2" l="1"/>
  <c r="E1923" i="2"/>
  <c r="D1923" i="2"/>
  <c r="C1923" i="2"/>
  <c r="H1923" i="2"/>
  <c r="F1923" i="2"/>
  <c r="B1924" i="2" a="1"/>
  <c r="B1924" i="2" s="1"/>
  <c r="H1924" i="2" l="1"/>
  <c r="G1924" i="2"/>
  <c r="F1924" i="2"/>
  <c r="E1924" i="2"/>
  <c r="D1924" i="2"/>
  <c r="C1924" i="2"/>
  <c r="B1925" i="2" a="1"/>
  <c r="B1925" i="2" s="1"/>
  <c r="C1925" i="2" l="1"/>
  <c r="H1925" i="2"/>
  <c r="G1925" i="2"/>
  <c r="F1925" i="2"/>
  <c r="E1925" i="2"/>
  <c r="D1925" i="2"/>
  <c r="B1926" i="2" a="1"/>
  <c r="B1926" i="2" s="1"/>
  <c r="G1926" i="2" l="1"/>
  <c r="H1926" i="2"/>
  <c r="F1926" i="2"/>
  <c r="E1926" i="2"/>
  <c r="D1926" i="2"/>
  <c r="C1926" i="2"/>
  <c r="B1927" i="2" a="1"/>
  <c r="B1927" i="2" s="1"/>
  <c r="G1927" i="2" l="1"/>
  <c r="F1927" i="2"/>
  <c r="E1927" i="2"/>
  <c r="D1927" i="2"/>
  <c r="C1927" i="2"/>
  <c r="H1927" i="2"/>
  <c r="B1928" i="2" a="1"/>
  <c r="B1928" i="2" s="1"/>
  <c r="H1928" i="2" l="1"/>
  <c r="G1928" i="2"/>
  <c r="F1928" i="2"/>
  <c r="C1928" i="2"/>
  <c r="E1928" i="2"/>
  <c r="D1928" i="2"/>
  <c r="B1929" i="2" a="1"/>
  <c r="B1929" i="2" s="1"/>
  <c r="G1929" i="2" l="1"/>
  <c r="H1929" i="2"/>
  <c r="F1929" i="2"/>
  <c r="E1929" i="2"/>
  <c r="D1929" i="2"/>
  <c r="C1929" i="2"/>
  <c r="B1930" i="2" a="1"/>
  <c r="B1930" i="2" s="1"/>
  <c r="H1930" i="2" l="1"/>
  <c r="G1930" i="2"/>
  <c r="F1930" i="2"/>
  <c r="E1930" i="2"/>
  <c r="D1930" i="2"/>
  <c r="C1930" i="2"/>
  <c r="B1931" i="2" a="1"/>
  <c r="B1931" i="2" s="1"/>
  <c r="E1931" i="2" l="1"/>
  <c r="F1931" i="2"/>
  <c r="D1931" i="2"/>
  <c r="H1931" i="2"/>
  <c r="C1931" i="2"/>
  <c r="G1931" i="2"/>
  <c r="B1932" i="2" a="1"/>
  <c r="B1932" i="2" s="1"/>
  <c r="G1932" i="2" l="1"/>
  <c r="H1932" i="2"/>
  <c r="F1932" i="2"/>
  <c r="E1932" i="2"/>
  <c r="D1932" i="2"/>
  <c r="C1932" i="2"/>
  <c r="B1933" i="2" a="1"/>
  <c r="B1933" i="2" s="1"/>
  <c r="G1933" i="2" l="1"/>
  <c r="D1933" i="2"/>
  <c r="C1933" i="2"/>
  <c r="H1933" i="2"/>
  <c r="F1933" i="2"/>
  <c r="E1933" i="2"/>
  <c r="B1934" i="2" a="1"/>
  <c r="B1934" i="2" s="1"/>
  <c r="H1934" i="2" l="1"/>
  <c r="C1934" i="2"/>
  <c r="G1934" i="2"/>
  <c r="F1934" i="2"/>
  <c r="E1934" i="2"/>
  <c r="D1934" i="2"/>
  <c r="B1935" i="2" a="1"/>
  <c r="B1935" i="2" s="1"/>
  <c r="G1935" i="2" l="1"/>
  <c r="H1935" i="2"/>
  <c r="F1935" i="2"/>
  <c r="E1935" i="2"/>
  <c r="D1935" i="2"/>
  <c r="C1935" i="2"/>
  <c r="B1936" i="2" a="1"/>
  <c r="B1936" i="2" s="1"/>
  <c r="E1936" i="2" l="1"/>
  <c r="D1936" i="2"/>
  <c r="C1936" i="2"/>
  <c r="G1936" i="2"/>
  <c r="H1936" i="2"/>
  <c r="F1936" i="2"/>
  <c r="B1937" i="2" a="1"/>
  <c r="B1937" i="2" s="1"/>
  <c r="C1937" i="2" l="1"/>
  <c r="H1937" i="2"/>
  <c r="G1937" i="2"/>
  <c r="F1937" i="2"/>
  <c r="E1937" i="2"/>
  <c r="D1937" i="2"/>
  <c r="B1938" i="2" a="1"/>
  <c r="B1938" i="2" s="1"/>
  <c r="F1938" i="2" l="1"/>
  <c r="E1938" i="2"/>
  <c r="G1938" i="2"/>
  <c r="C1938" i="2"/>
  <c r="H1938" i="2"/>
  <c r="D1938" i="2"/>
  <c r="B1939" i="2" a="1"/>
  <c r="B1939" i="2" s="1"/>
  <c r="H1939" i="2" l="1"/>
  <c r="G1939" i="2"/>
  <c r="F1939" i="2"/>
  <c r="E1939" i="2"/>
  <c r="D1939" i="2"/>
  <c r="C1939" i="2"/>
  <c r="B1940" i="2" a="1"/>
  <c r="B1940" i="2" s="1"/>
  <c r="E1940" i="2" l="1"/>
  <c r="D1940" i="2"/>
  <c r="H1940" i="2"/>
  <c r="G1940" i="2"/>
  <c r="F1940" i="2"/>
  <c r="C1940" i="2"/>
  <c r="B1941" i="2" a="1"/>
  <c r="B1941" i="2" s="1"/>
  <c r="G1941" i="2" l="1"/>
  <c r="F1941" i="2"/>
  <c r="E1941" i="2"/>
  <c r="D1941" i="2"/>
  <c r="C1941" i="2"/>
  <c r="H1941" i="2"/>
  <c r="B1942" i="2" a="1"/>
  <c r="B1942" i="2" s="1"/>
  <c r="H1942" i="2" l="1"/>
  <c r="G1942" i="2"/>
  <c r="F1942" i="2"/>
  <c r="E1942" i="2"/>
  <c r="D1942" i="2"/>
  <c r="C1942" i="2"/>
  <c r="B1943" i="2" a="1"/>
  <c r="B1943" i="2" s="1"/>
  <c r="H1943" i="2" l="1"/>
  <c r="E1943" i="2"/>
  <c r="G1943" i="2"/>
  <c r="F1943" i="2"/>
  <c r="D1943" i="2"/>
  <c r="C1943" i="2"/>
  <c r="B1944" i="2" a="1"/>
  <c r="B1944" i="2" s="1"/>
  <c r="H1944" i="2" l="1"/>
  <c r="G1944" i="2"/>
  <c r="F1944" i="2"/>
  <c r="E1944" i="2"/>
  <c r="D1944" i="2"/>
  <c r="C1944" i="2"/>
  <c r="B1945" i="2" a="1"/>
  <c r="B1945" i="2" s="1"/>
  <c r="D1945" i="2" l="1"/>
  <c r="E1945" i="2"/>
  <c r="C1945" i="2"/>
  <c r="H1945" i="2"/>
  <c r="G1945" i="2"/>
  <c r="F1945" i="2"/>
  <c r="B1946" i="2" a="1"/>
  <c r="B1946" i="2" s="1"/>
  <c r="E1946" i="2" l="1"/>
  <c r="H1946" i="2"/>
  <c r="G1946" i="2"/>
  <c r="F1946" i="2"/>
  <c r="D1946" i="2"/>
  <c r="C1946" i="2"/>
  <c r="B1947" i="2" a="1"/>
  <c r="B1947" i="2" s="1"/>
  <c r="E1947" i="2" l="1"/>
  <c r="D1947" i="2"/>
  <c r="C1947" i="2"/>
  <c r="H1947" i="2"/>
  <c r="G1947" i="2"/>
  <c r="F1947" i="2"/>
  <c r="B1948" i="2" a="1"/>
  <c r="B1948" i="2" s="1"/>
  <c r="F1948" i="2" l="1"/>
  <c r="H1948" i="2"/>
  <c r="G1948" i="2"/>
  <c r="E1948" i="2"/>
  <c r="D1948" i="2"/>
  <c r="C1948" i="2"/>
  <c r="B1949" i="2" a="1"/>
  <c r="B1949" i="2" s="1"/>
  <c r="E1949" i="2" l="1"/>
  <c r="H1949" i="2"/>
  <c r="G1949" i="2"/>
  <c r="F1949" i="2"/>
  <c r="D1949" i="2"/>
  <c r="C1949" i="2"/>
  <c r="B1950" i="2" a="1"/>
  <c r="B1950" i="2" s="1"/>
  <c r="F1950" i="2" l="1"/>
  <c r="C1950" i="2"/>
  <c r="G1950" i="2"/>
  <c r="E1950" i="2"/>
  <c r="D1950" i="2"/>
  <c r="H1950" i="2"/>
  <c r="B1951" i="2" a="1"/>
  <c r="B1951" i="2" s="1"/>
  <c r="C1951" i="2" l="1"/>
  <c r="H1951" i="2"/>
  <c r="G1951" i="2"/>
  <c r="F1951" i="2"/>
  <c r="E1951" i="2"/>
  <c r="D1951" i="2"/>
  <c r="B1952" i="2" a="1"/>
  <c r="B1952" i="2" s="1"/>
  <c r="G1952" i="2" l="1"/>
  <c r="H1952" i="2"/>
  <c r="D1952" i="2"/>
  <c r="E1952" i="2"/>
  <c r="F1952" i="2"/>
  <c r="C1952" i="2"/>
  <c r="B1953" i="2" a="1"/>
  <c r="B1953" i="2" s="1"/>
  <c r="D1953" i="2" l="1"/>
  <c r="C1953" i="2"/>
  <c r="H1953" i="2"/>
  <c r="F1953" i="2"/>
  <c r="E1953" i="2"/>
  <c r="G1953" i="2"/>
  <c r="B1954" i="2" a="1"/>
  <c r="B1954" i="2" s="1"/>
  <c r="F1954" i="2" l="1"/>
  <c r="D1954" i="2"/>
  <c r="C1954" i="2"/>
  <c r="H1954" i="2"/>
  <c r="E1954" i="2"/>
  <c r="G1954" i="2"/>
  <c r="B1955" i="2" a="1"/>
  <c r="B1955" i="2" s="1"/>
  <c r="E1955" i="2" l="1"/>
  <c r="H1955" i="2"/>
  <c r="F1955" i="2"/>
  <c r="G1955" i="2"/>
  <c r="D1955" i="2"/>
  <c r="C1955" i="2"/>
  <c r="B1956" i="2" a="1"/>
  <c r="B1956" i="2" s="1"/>
  <c r="C1956" i="2" l="1"/>
  <c r="H1956" i="2"/>
  <c r="G1956" i="2"/>
  <c r="E1956" i="2"/>
  <c r="D1956" i="2"/>
  <c r="F1956" i="2"/>
  <c r="B1957" i="2" a="1"/>
  <c r="B1957" i="2" s="1"/>
  <c r="G1957" i="2" l="1"/>
  <c r="F1957" i="2"/>
  <c r="C1957" i="2"/>
  <c r="E1957" i="2"/>
  <c r="D1957" i="2"/>
  <c r="H1957" i="2"/>
  <c r="B1958" i="2" a="1"/>
  <c r="B1958" i="2" s="1"/>
  <c r="H1958" i="2" l="1"/>
  <c r="E1958" i="2"/>
  <c r="D1958" i="2"/>
  <c r="G1958" i="2"/>
  <c r="F1958" i="2"/>
  <c r="C1958" i="2"/>
  <c r="B1959" i="2" a="1"/>
  <c r="B1959" i="2" s="1"/>
  <c r="C1959" i="2" l="1"/>
  <c r="H1959" i="2"/>
  <c r="G1959" i="2"/>
  <c r="F1959" i="2"/>
  <c r="E1959" i="2"/>
  <c r="D1959" i="2"/>
  <c r="B1960" i="2" a="1"/>
  <c r="B1960" i="2" s="1"/>
  <c r="G1960" i="2" l="1"/>
  <c r="F1960" i="2"/>
  <c r="C1960" i="2"/>
  <c r="H1960" i="2"/>
  <c r="E1960" i="2"/>
  <c r="D1960" i="2"/>
  <c r="B1961" i="2" a="1"/>
  <c r="B1961" i="2" s="1"/>
  <c r="E1961" i="2" l="1"/>
  <c r="G1961" i="2"/>
  <c r="F1961" i="2"/>
  <c r="D1961" i="2"/>
  <c r="H1961" i="2"/>
  <c r="C1961" i="2"/>
  <c r="B1962" i="2" a="1"/>
  <c r="B1962" i="2" s="1"/>
  <c r="F1962" i="2" l="1"/>
  <c r="C1962" i="2"/>
  <c r="D1962" i="2"/>
  <c r="G1962" i="2"/>
  <c r="E1962" i="2"/>
  <c r="H1962" i="2"/>
  <c r="B1963" i="2" a="1"/>
  <c r="B1963" i="2" s="1"/>
  <c r="D1963" i="2" l="1"/>
  <c r="C1963" i="2"/>
  <c r="F1963" i="2"/>
  <c r="H1963" i="2"/>
  <c r="G1963" i="2"/>
  <c r="E1963" i="2"/>
  <c r="B1964" i="2" a="1"/>
  <c r="B1964" i="2" s="1"/>
  <c r="E1964" i="2" l="1"/>
  <c r="F1964" i="2"/>
  <c r="C1964" i="2"/>
  <c r="H1964" i="2"/>
  <c r="G1964" i="2"/>
  <c r="D1964" i="2"/>
  <c r="B1965" i="2" a="1"/>
  <c r="B1965" i="2" s="1"/>
  <c r="F1965" i="2" l="1"/>
  <c r="H1965" i="2"/>
  <c r="G1965" i="2"/>
  <c r="E1965" i="2"/>
  <c r="C1965" i="2"/>
  <c r="D1965" i="2"/>
  <c r="B1966" i="2" a="1"/>
  <c r="B1966" i="2" s="1"/>
  <c r="D1966" i="2" l="1"/>
  <c r="E1966" i="2"/>
  <c r="C1966" i="2"/>
  <c r="H1966" i="2"/>
  <c r="F1966" i="2"/>
  <c r="G1966" i="2"/>
  <c r="B1967" i="2" a="1"/>
  <c r="B1967" i="2" s="1"/>
  <c r="C1967" i="2" l="1"/>
  <c r="E1967" i="2"/>
  <c r="H1967" i="2"/>
  <c r="G1967" i="2"/>
  <c r="F1967" i="2"/>
  <c r="D1967" i="2"/>
  <c r="B1968" i="2" a="1"/>
  <c r="B1968" i="2" s="1"/>
  <c r="D1968" i="2" l="1"/>
  <c r="C1968" i="2"/>
  <c r="H1968" i="2"/>
  <c r="G1968" i="2"/>
  <c r="F1968" i="2"/>
  <c r="E1968" i="2"/>
  <c r="B1969" i="2" a="1"/>
  <c r="B1969" i="2" s="1"/>
  <c r="F1969" i="2" l="1"/>
  <c r="H1969" i="2"/>
  <c r="E1969" i="2"/>
  <c r="D1969" i="2"/>
  <c r="C1969" i="2"/>
  <c r="G1969" i="2"/>
  <c r="B1970" i="2" a="1"/>
  <c r="B1970" i="2" s="1"/>
  <c r="G1970" i="2" l="1"/>
  <c r="D1970" i="2"/>
  <c r="C1970" i="2"/>
  <c r="E1970" i="2"/>
  <c r="F1970" i="2"/>
  <c r="H1970" i="2"/>
  <c r="B1971" i="2" a="1"/>
  <c r="B1971" i="2" s="1"/>
  <c r="G1971" i="2" l="1"/>
  <c r="E1971" i="2"/>
  <c r="F1971" i="2"/>
  <c r="D1971" i="2"/>
  <c r="C1971" i="2"/>
  <c r="H1971" i="2"/>
  <c r="B1972" i="2" a="1"/>
  <c r="B1972" i="2" s="1"/>
  <c r="C1972" i="2" l="1"/>
  <c r="H1972" i="2"/>
  <c r="G1972" i="2"/>
  <c r="F1972" i="2"/>
  <c r="E1972" i="2"/>
  <c r="D1972" i="2"/>
  <c r="B1973" i="2" a="1"/>
  <c r="B1973" i="2" s="1"/>
  <c r="D1973" i="2" l="1"/>
  <c r="E1973" i="2"/>
  <c r="H1973" i="2"/>
  <c r="F1973" i="2"/>
  <c r="C1973" i="2"/>
  <c r="G1973" i="2"/>
  <c r="B1974" i="2" a="1"/>
  <c r="B1974" i="2" s="1"/>
  <c r="D1974" i="2" l="1"/>
  <c r="C1974" i="2"/>
  <c r="G1974" i="2"/>
  <c r="H1974" i="2"/>
  <c r="F1974" i="2"/>
  <c r="E1974" i="2"/>
  <c r="B1975" i="2" a="1"/>
  <c r="B1975" i="2" s="1"/>
  <c r="G1975" i="2" l="1"/>
  <c r="E1975" i="2"/>
  <c r="F1975" i="2"/>
  <c r="D1975" i="2"/>
  <c r="C1975" i="2"/>
  <c r="H1975" i="2"/>
  <c r="B1976" i="2" a="1"/>
  <c r="B1976" i="2" s="1"/>
  <c r="H1976" i="2" l="1"/>
  <c r="E1976" i="2"/>
  <c r="G1976" i="2"/>
  <c r="D1976" i="2"/>
  <c r="F1976" i="2"/>
  <c r="C1976" i="2"/>
  <c r="B1977" i="2" a="1"/>
  <c r="B1977" i="2" s="1"/>
  <c r="G1977" i="2" l="1"/>
  <c r="D1977" i="2"/>
  <c r="H1977" i="2"/>
  <c r="F1977" i="2"/>
  <c r="E1977" i="2"/>
  <c r="C1977" i="2"/>
  <c r="B1978" i="2" a="1"/>
  <c r="B1978" i="2" s="1"/>
  <c r="D1978" i="2" l="1"/>
  <c r="G1978" i="2"/>
  <c r="H1978" i="2"/>
  <c r="E1978" i="2"/>
  <c r="C1978" i="2"/>
  <c r="F1978" i="2"/>
  <c r="B1979" i="2" a="1"/>
  <c r="B1979" i="2" s="1"/>
  <c r="E1979" i="2" l="1"/>
  <c r="G1979" i="2"/>
  <c r="D1979" i="2"/>
  <c r="H1979" i="2"/>
  <c r="F1979" i="2"/>
  <c r="C1979" i="2"/>
  <c r="B1980" i="2" a="1"/>
  <c r="B1980" i="2" s="1"/>
  <c r="E1980" i="2" l="1"/>
  <c r="C1980" i="2"/>
  <c r="F1980" i="2"/>
  <c r="D1980" i="2"/>
  <c r="H1980" i="2"/>
  <c r="G1980" i="2"/>
  <c r="B1981" i="2" a="1"/>
  <c r="B1981" i="2" s="1"/>
  <c r="F1981" i="2" l="1"/>
  <c r="D1981" i="2"/>
  <c r="H1981" i="2"/>
  <c r="G1981" i="2"/>
  <c r="C1981" i="2"/>
  <c r="E1981" i="2"/>
  <c r="B1982" i="2" a="1"/>
  <c r="B1982" i="2" s="1"/>
  <c r="H1982" i="2" l="1"/>
  <c r="E1982" i="2"/>
  <c r="G1982" i="2"/>
  <c r="C1982" i="2"/>
  <c r="F1982" i="2"/>
  <c r="D1982" i="2"/>
  <c r="B1983" i="2" a="1"/>
  <c r="B1983" i="2" s="1"/>
  <c r="C1983" i="2" l="1"/>
  <c r="H1983" i="2"/>
  <c r="G1983" i="2"/>
  <c r="F1983" i="2"/>
  <c r="E1983" i="2"/>
  <c r="D1983" i="2"/>
  <c r="B1984" i="2" a="1"/>
  <c r="B1984" i="2" s="1"/>
  <c r="E1984" i="2" l="1"/>
  <c r="C1984" i="2"/>
  <c r="H1984" i="2"/>
  <c r="G1984" i="2"/>
  <c r="F1984" i="2"/>
  <c r="D1984" i="2"/>
  <c r="B1985" i="2" a="1"/>
  <c r="B1985" i="2" s="1"/>
  <c r="C1985" i="2" l="1"/>
  <c r="H1985" i="2"/>
  <c r="G1985" i="2"/>
  <c r="E1985" i="2"/>
  <c r="F1985" i="2"/>
  <c r="D1985" i="2"/>
  <c r="B1986" i="2" a="1"/>
  <c r="B1986" i="2" s="1"/>
  <c r="E1986" i="2" l="1"/>
  <c r="D1986" i="2"/>
  <c r="C1986" i="2"/>
  <c r="H1986" i="2"/>
  <c r="G1986" i="2"/>
  <c r="F1986" i="2"/>
  <c r="B1987" i="2" a="1"/>
  <c r="B1987" i="2" s="1"/>
  <c r="H1987" i="2" l="1"/>
  <c r="G1987" i="2"/>
  <c r="F1987" i="2"/>
  <c r="C1987" i="2"/>
  <c r="E1987" i="2"/>
  <c r="D1987" i="2"/>
  <c r="B1988" i="2" a="1"/>
  <c r="B1988" i="2" s="1"/>
  <c r="F1988" i="2" l="1"/>
  <c r="D1988" i="2"/>
  <c r="C1988" i="2"/>
  <c r="E1988" i="2"/>
  <c r="G1988" i="2"/>
  <c r="H1988" i="2"/>
  <c r="B1989" i="2" a="1"/>
  <c r="B1989" i="2" s="1"/>
  <c r="G1989" i="2" l="1"/>
  <c r="F1989" i="2"/>
  <c r="E1989" i="2"/>
  <c r="D1989" i="2"/>
  <c r="C1989" i="2"/>
  <c r="H1989" i="2"/>
  <c r="B1990" i="2" a="1"/>
  <c r="B1990" i="2" s="1"/>
  <c r="G1990" i="2" l="1"/>
  <c r="F1990" i="2"/>
  <c r="H1990" i="2"/>
  <c r="E1990" i="2"/>
  <c r="D1990" i="2"/>
  <c r="C1990" i="2"/>
  <c r="B1991" i="2" a="1"/>
  <c r="B1991" i="2" s="1"/>
  <c r="H1991" i="2" l="1"/>
  <c r="E1991" i="2"/>
  <c r="D1991" i="2"/>
  <c r="C1991" i="2"/>
  <c r="G1991" i="2"/>
  <c r="F1991" i="2"/>
  <c r="B1992" i="2" a="1"/>
  <c r="B1992" i="2" s="1"/>
  <c r="G1992" i="2" l="1"/>
  <c r="F1992" i="2"/>
  <c r="E1992" i="2"/>
  <c r="D1992" i="2"/>
  <c r="C1992" i="2"/>
  <c r="H1992" i="2"/>
  <c r="B1993" i="2" a="1"/>
  <c r="B1993" i="2" s="1"/>
  <c r="D1993" i="2" l="1"/>
  <c r="C1993" i="2"/>
  <c r="G1993" i="2"/>
  <c r="F1993" i="2"/>
  <c r="E1993" i="2"/>
  <c r="H1993" i="2"/>
  <c r="B1994" i="2" a="1"/>
  <c r="B1994" i="2" s="1"/>
  <c r="E1994" i="2" l="1"/>
  <c r="D1994" i="2"/>
  <c r="C1994" i="2"/>
  <c r="H1994" i="2"/>
  <c r="F1994" i="2"/>
  <c r="G1994" i="2"/>
  <c r="B1995" i="2" a="1"/>
  <c r="B1995" i="2" s="1"/>
  <c r="C1995" i="2" l="1"/>
  <c r="F1995" i="2"/>
  <c r="E1995" i="2"/>
  <c r="H1995" i="2"/>
  <c r="G1995" i="2"/>
  <c r="D1995" i="2"/>
  <c r="B1996" i="2" a="1"/>
  <c r="B1996" i="2" s="1"/>
  <c r="D1996" i="2" l="1"/>
  <c r="C1996" i="2"/>
  <c r="H1996" i="2"/>
  <c r="G1996" i="2"/>
  <c r="F1996" i="2"/>
  <c r="E1996" i="2"/>
  <c r="B1997" i="2" a="1"/>
  <c r="B1997" i="2" s="1"/>
  <c r="H1997" i="2" l="1"/>
  <c r="G1997" i="2"/>
  <c r="F1997" i="2"/>
  <c r="D1997" i="2"/>
  <c r="C1997" i="2"/>
  <c r="E1997" i="2"/>
  <c r="B1998" i="2" a="1"/>
  <c r="B1998" i="2" s="1"/>
  <c r="D1998" i="2" l="1"/>
  <c r="H1998" i="2"/>
  <c r="C1998" i="2"/>
  <c r="G1998" i="2"/>
  <c r="F1998" i="2"/>
  <c r="E1998" i="2"/>
  <c r="B1999" i="2" a="1"/>
  <c r="B1999" i="2" s="1"/>
  <c r="F1999" i="2" l="1"/>
  <c r="G1999" i="2"/>
  <c r="H1999" i="2"/>
  <c r="E1999" i="2"/>
  <c r="D1999" i="2"/>
  <c r="C1999" i="2"/>
  <c r="B2000" i="2" a="1"/>
  <c r="B2000" i="2" s="1"/>
  <c r="F2000" i="2" l="1"/>
  <c r="E2000" i="2"/>
  <c r="H2000" i="2"/>
  <c r="G2000" i="2"/>
  <c r="D2000" i="2"/>
  <c r="C2000" i="2"/>
  <c r="B2001" i="2" a="1"/>
  <c r="B2001" i="2" s="1"/>
  <c r="G2001" i="2" l="1"/>
  <c r="F2001" i="2"/>
  <c r="E2001" i="2"/>
  <c r="D2001" i="2"/>
  <c r="H2001" i="2"/>
  <c r="C2001" i="2"/>
  <c r="B2002" i="2" a="1"/>
  <c r="B2002" i="2" s="1"/>
  <c r="E2002" i="2" l="1"/>
  <c r="D2002" i="2"/>
  <c r="C2002" i="2"/>
  <c r="H2002" i="2"/>
  <c r="G2002" i="2"/>
  <c r="F2002" i="2"/>
  <c r="B2003" i="2" a="1"/>
  <c r="B2003" i="2" s="1"/>
  <c r="E2003" i="2" l="1"/>
  <c r="G2003" i="2"/>
  <c r="F2003" i="2"/>
  <c r="D2003" i="2"/>
  <c r="C2003" i="2"/>
  <c r="H2003" i="2"/>
  <c r="B2004" i="2" a="1"/>
  <c r="B2004" i="2" s="1"/>
  <c r="H2004" i="2" l="1"/>
  <c r="G2004" i="2"/>
  <c r="F2004" i="2"/>
  <c r="E2004" i="2"/>
  <c r="D2004" i="2"/>
  <c r="C2004" i="2"/>
  <c r="B2005" i="2" a="1"/>
  <c r="B2005" i="2" s="1"/>
  <c r="H2005" i="2" l="1"/>
  <c r="C2005" i="2"/>
  <c r="E2005" i="2"/>
  <c r="G2005" i="2"/>
  <c r="F2005" i="2"/>
  <c r="D2005" i="2"/>
  <c r="B2006" i="2" a="1"/>
  <c r="B2006" i="2" s="1"/>
  <c r="D2006" i="2" l="1"/>
  <c r="E2006" i="2"/>
  <c r="C2006" i="2"/>
  <c r="H2006" i="2"/>
  <c r="G2006" i="2"/>
  <c r="F2006" i="2"/>
  <c r="B2007" i="2" a="1"/>
  <c r="B2007" i="2" s="1"/>
  <c r="H2007" i="2" l="1"/>
  <c r="G2007" i="2"/>
  <c r="F2007" i="2"/>
  <c r="E2007" i="2"/>
  <c r="D2007" i="2"/>
  <c r="C2007" i="2"/>
  <c r="B2008" i="2" a="1"/>
  <c r="B2008" i="2" s="1"/>
  <c r="H2008" i="2" l="1"/>
  <c r="F2008" i="2"/>
  <c r="E2008" i="2"/>
  <c r="D2008" i="2"/>
  <c r="C2008" i="2"/>
  <c r="G2008" i="2"/>
  <c r="B2009" i="2" a="1"/>
  <c r="B2009" i="2" s="1"/>
  <c r="G2009" i="2" l="1"/>
  <c r="E2009" i="2"/>
  <c r="F2009" i="2"/>
  <c r="D2009" i="2"/>
  <c r="C2009" i="2"/>
  <c r="H2009" i="2"/>
  <c r="B2010" i="2" a="1"/>
  <c r="B2010" i="2" s="1"/>
  <c r="H2010" i="2" l="1"/>
  <c r="G2010" i="2"/>
  <c r="F2010" i="2"/>
  <c r="E2010" i="2"/>
  <c r="C2010" i="2"/>
  <c r="D2010" i="2"/>
  <c r="B2011" i="2" a="1"/>
  <c r="B2011" i="2" s="1"/>
  <c r="F2011" i="2" l="1"/>
  <c r="E2011" i="2"/>
  <c r="D2011" i="2"/>
  <c r="C2011" i="2"/>
  <c r="H2011" i="2"/>
  <c r="G2011" i="2"/>
  <c r="B2012" i="2" a="1"/>
  <c r="B2012" i="2" s="1"/>
  <c r="D2012" i="2" l="1"/>
  <c r="C2012" i="2"/>
  <c r="E2012" i="2"/>
  <c r="H2012" i="2"/>
  <c r="F2012" i="2"/>
  <c r="G2012" i="2"/>
  <c r="B2013" i="2" a="1"/>
  <c r="B2013" i="2" s="1"/>
  <c r="E2013" i="2" l="1"/>
  <c r="C2013" i="2"/>
  <c r="G2013" i="2"/>
  <c r="D2013" i="2"/>
  <c r="H2013" i="2"/>
  <c r="F2013" i="2"/>
  <c r="B2014" i="2" a="1"/>
  <c r="B2014" i="2" s="1"/>
  <c r="F2014" i="2" l="1"/>
  <c r="E2014" i="2"/>
  <c r="D2014" i="2"/>
  <c r="C2014" i="2"/>
  <c r="H2014" i="2"/>
  <c r="G2014" i="2"/>
  <c r="B2015" i="2" a="1"/>
  <c r="B2015" i="2" s="1"/>
  <c r="E2015" i="2" l="1"/>
  <c r="H2015" i="2"/>
  <c r="G2015" i="2"/>
  <c r="D2015" i="2"/>
  <c r="C2015" i="2"/>
  <c r="F2015" i="2"/>
  <c r="B2016" i="2" a="1"/>
  <c r="B2016" i="2" s="1"/>
  <c r="H2016" i="2" l="1"/>
  <c r="G2016" i="2"/>
  <c r="E2016" i="2"/>
  <c r="F2016" i="2"/>
  <c r="D2016" i="2"/>
  <c r="C2016" i="2"/>
  <c r="B2017" i="2" a="1"/>
  <c r="B2017" i="2" s="1"/>
  <c r="H2017" i="2" l="1"/>
  <c r="G2017" i="2"/>
  <c r="F2017" i="2"/>
  <c r="E2017" i="2"/>
  <c r="C2017" i="2"/>
  <c r="D2017" i="2"/>
  <c r="B2018" i="2" a="1"/>
  <c r="B2018" i="2" s="1"/>
  <c r="E2018" i="2" l="1"/>
  <c r="C2018" i="2"/>
  <c r="H2018" i="2"/>
  <c r="G2018" i="2"/>
  <c r="F2018" i="2"/>
  <c r="D2018" i="2"/>
  <c r="B2019" i="2" a="1"/>
  <c r="B2019" i="2" s="1"/>
  <c r="H2019" i="2" l="1"/>
  <c r="G2019" i="2"/>
  <c r="F2019" i="2"/>
  <c r="E2019" i="2"/>
  <c r="D2019" i="2"/>
  <c r="C2019" i="2"/>
  <c r="B2020" i="2" a="1"/>
  <c r="B2020" i="2" s="1"/>
  <c r="E2020" i="2" l="1"/>
  <c r="G2020" i="2"/>
  <c r="D2020" i="2"/>
  <c r="H2020" i="2"/>
  <c r="F2020" i="2"/>
  <c r="C2020" i="2"/>
  <c r="B2021" i="2" a="1"/>
  <c r="B2021" i="2" s="1"/>
  <c r="G2021" i="2" l="1"/>
  <c r="D2021" i="2"/>
  <c r="C2021" i="2"/>
  <c r="E2021" i="2"/>
  <c r="F2021" i="2"/>
  <c r="H2021" i="2"/>
  <c r="B2022" i="2" a="1"/>
  <c r="B2022" i="2" s="1"/>
  <c r="E2022" i="2" l="1"/>
  <c r="D2022" i="2"/>
  <c r="C2022" i="2"/>
  <c r="H2022" i="2"/>
  <c r="G2022" i="2"/>
  <c r="F2022" i="2"/>
  <c r="B2023" i="2" a="1"/>
  <c r="B2023" i="2" s="1"/>
  <c r="C2023" i="2" l="1"/>
  <c r="F2023" i="2"/>
  <c r="E2023" i="2"/>
  <c r="D2023" i="2"/>
  <c r="H2023" i="2"/>
  <c r="G2023" i="2"/>
  <c r="B2024" i="2" a="1"/>
  <c r="B2024" i="2" s="1"/>
  <c r="E2024" i="2" l="1"/>
  <c r="H2024" i="2"/>
  <c r="G2024" i="2"/>
  <c r="F2024" i="2"/>
  <c r="D2024" i="2"/>
  <c r="C2024" i="2"/>
  <c r="B2025" i="2" a="1"/>
  <c r="B2025" i="2" s="1"/>
  <c r="D2025" i="2" l="1"/>
  <c r="C2025" i="2"/>
  <c r="H2025" i="2"/>
  <c r="G2025" i="2"/>
  <c r="F2025" i="2"/>
  <c r="E2025" i="2"/>
  <c r="B2026" i="2" a="1"/>
  <c r="B2026" i="2" s="1"/>
  <c r="H2026" i="2" l="1"/>
  <c r="D2026" i="2"/>
  <c r="E2026" i="2"/>
  <c r="G2026" i="2"/>
  <c r="F2026" i="2"/>
  <c r="C2026" i="2"/>
  <c r="B2027" i="2" a="1"/>
  <c r="B2027" i="2" s="1"/>
  <c r="F2027" i="2" l="1"/>
  <c r="E2027" i="2"/>
  <c r="H2027" i="2"/>
  <c r="G2027" i="2"/>
  <c r="D2027" i="2"/>
  <c r="C2027" i="2"/>
  <c r="B2028" i="2" a="1"/>
  <c r="B2028" i="2" s="1"/>
  <c r="E2028" i="2" l="1"/>
  <c r="H2028" i="2"/>
  <c r="G2028" i="2"/>
  <c r="F2028" i="2"/>
  <c r="D2028" i="2"/>
  <c r="C2028" i="2"/>
  <c r="B2029" i="2" a="1"/>
  <c r="B2029" i="2" s="1"/>
  <c r="E2029" i="2" l="1"/>
  <c r="D2029" i="2"/>
  <c r="C2029" i="2"/>
  <c r="G2029" i="2"/>
  <c r="H2029" i="2"/>
  <c r="F2029" i="2"/>
  <c r="B2030" i="2" a="1"/>
  <c r="B2030" i="2" s="1"/>
  <c r="G2030" i="2" l="1"/>
  <c r="E2030" i="2"/>
  <c r="F2030" i="2"/>
  <c r="D2030" i="2"/>
  <c r="C2030" i="2"/>
  <c r="H2030" i="2"/>
  <c r="B2031" i="2" a="1"/>
  <c r="B2031" i="2" s="1"/>
  <c r="H2031" i="2" l="1"/>
  <c r="E2031" i="2"/>
  <c r="D2031" i="2"/>
  <c r="G2031" i="2"/>
  <c r="F2031" i="2"/>
  <c r="C2031" i="2"/>
  <c r="B2032" i="2" a="1"/>
  <c r="B2032" i="2" s="1"/>
  <c r="E2032" i="2" l="1"/>
  <c r="D2032" i="2"/>
  <c r="C2032" i="2"/>
  <c r="H2032" i="2"/>
  <c r="G2032" i="2"/>
  <c r="F2032" i="2"/>
  <c r="B2033" i="2" a="1"/>
  <c r="B2033" i="2" s="1"/>
  <c r="E2033" i="2" l="1"/>
  <c r="H2033" i="2"/>
  <c r="G2033" i="2"/>
  <c r="F2033" i="2"/>
  <c r="D2033" i="2"/>
  <c r="C2033" i="2"/>
  <c r="B2034" i="2" a="1"/>
  <c r="B2034" i="2" s="1"/>
  <c r="G2034" i="2" l="1"/>
  <c r="F2034" i="2"/>
  <c r="C2034" i="2"/>
  <c r="H2034" i="2"/>
  <c r="E2034" i="2"/>
  <c r="D2034" i="2"/>
  <c r="B2035" i="2" a="1"/>
  <c r="B2035" i="2" s="1"/>
  <c r="H2035" i="2" l="1"/>
  <c r="G2035" i="2"/>
  <c r="F2035" i="2"/>
  <c r="E2035" i="2"/>
  <c r="D2035" i="2"/>
  <c r="C2035" i="2"/>
  <c r="B2036" i="2" a="1"/>
  <c r="B2036" i="2" s="1"/>
  <c r="G2036" i="2" l="1"/>
  <c r="F2036" i="2"/>
  <c r="D2036" i="2"/>
  <c r="E2036" i="2"/>
  <c r="C2036" i="2"/>
  <c r="H2036" i="2"/>
  <c r="B2037" i="2" a="1"/>
  <c r="B2037" i="2" s="1"/>
  <c r="E2037" i="2" l="1"/>
  <c r="D2037" i="2"/>
  <c r="C2037" i="2"/>
  <c r="H2037" i="2"/>
  <c r="G2037" i="2"/>
  <c r="F2037" i="2"/>
  <c r="B2038" i="2" a="1"/>
  <c r="B2038" i="2" s="1"/>
  <c r="H2038" i="2" l="1"/>
  <c r="G2038" i="2"/>
  <c r="F2038" i="2"/>
  <c r="C2038" i="2"/>
  <c r="E2038" i="2"/>
  <c r="D2038" i="2"/>
  <c r="B2039" i="2" a="1"/>
  <c r="B2039" i="2" s="1"/>
  <c r="D2039" i="2" l="1"/>
  <c r="C2039" i="2"/>
  <c r="H2039" i="2"/>
  <c r="E2039" i="2"/>
  <c r="F2039" i="2"/>
  <c r="G2039" i="2"/>
  <c r="B2040" i="2" a="1"/>
  <c r="B2040" i="2" s="1"/>
  <c r="H2040" i="2" l="1"/>
  <c r="G2040" i="2"/>
  <c r="F2040" i="2"/>
  <c r="E2040" i="2"/>
  <c r="D2040" i="2"/>
  <c r="C2040" i="2"/>
  <c r="B2041" i="2" a="1"/>
  <c r="B2041" i="2" s="1"/>
  <c r="G2041" i="2" l="1"/>
  <c r="F2041" i="2"/>
  <c r="C2041" i="2"/>
  <c r="E2041" i="2"/>
  <c r="D2041" i="2"/>
  <c r="H2041" i="2"/>
  <c r="B2042" i="2" a="1"/>
  <c r="B2042" i="2" s="1"/>
  <c r="F2042" i="2" l="1"/>
  <c r="E2042" i="2"/>
  <c r="H2042" i="2"/>
  <c r="G2042" i="2"/>
  <c r="D2042" i="2"/>
  <c r="C2042" i="2"/>
  <c r="B2043" i="2" a="1"/>
  <c r="B2043" i="2" s="1"/>
  <c r="C2043" i="2" l="1"/>
  <c r="H2043" i="2"/>
  <c r="G2043" i="2"/>
  <c r="F2043" i="2"/>
  <c r="E2043" i="2"/>
  <c r="D2043" i="2"/>
  <c r="B2044" i="2" a="1"/>
  <c r="B2044" i="2" s="1"/>
  <c r="G2044" i="2" l="1"/>
  <c r="C2044" i="2"/>
  <c r="E2044" i="2"/>
  <c r="H2044" i="2"/>
  <c r="F2044" i="2"/>
  <c r="D2044" i="2"/>
  <c r="B2045" i="2" a="1"/>
  <c r="B2045" i="2" s="1"/>
  <c r="E2045" i="2" l="1"/>
  <c r="H2045" i="2"/>
  <c r="G2045" i="2"/>
  <c r="F2045" i="2"/>
  <c r="D2045" i="2"/>
  <c r="C2045" i="2"/>
  <c r="B2046" i="2" a="1"/>
  <c r="B2046" i="2" s="1"/>
  <c r="C2046" i="2" l="1"/>
  <c r="H2046" i="2"/>
  <c r="G2046" i="2"/>
  <c r="F2046" i="2"/>
  <c r="E2046" i="2"/>
  <c r="D2046" i="2"/>
  <c r="B2047" i="2" a="1"/>
  <c r="B2047" i="2" s="1"/>
  <c r="G2047" i="2" l="1"/>
  <c r="H2047" i="2"/>
  <c r="F2047" i="2"/>
  <c r="E2047" i="2"/>
  <c r="D2047" i="2"/>
  <c r="C2047" i="2"/>
  <c r="B2048" i="2" a="1"/>
  <c r="B2048" i="2" s="1"/>
  <c r="E2048" i="2" l="1"/>
  <c r="F2048" i="2"/>
  <c r="D2048" i="2"/>
  <c r="C2048" i="2"/>
  <c r="H2048" i="2"/>
  <c r="G2048" i="2"/>
  <c r="B2049" i="2" a="1"/>
  <c r="B2049" i="2" s="1"/>
  <c r="D2049" i="2" l="1"/>
  <c r="H2049" i="2"/>
  <c r="G2049" i="2"/>
  <c r="F2049" i="2"/>
  <c r="E2049" i="2"/>
  <c r="C2049" i="2"/>
  <c r="B2050" i="2" a="1"/>
  <c r="B2050" i="2" s="1"/>
  <c r="D2050" i="2" l="1"/>
  <c r="C2050" i="2"/>
  <c r="H2050" i="2"/>
  <c r="G2050" i="2"/>
  <c r="F2050" i="2"/>
  <c r="E2050" i="2"/>
  <c r="B2051" i="2" a="1"/>
  <c r="B2051" i="2" s="1"/>
  <c r="E2051" i="2" l="1"/>
  <c r="H2051" i="2"/>
  <c r="G2051" i="2"/>
  <c r="F2051" i="2"/>
  <c r="D2051" i="2"/>
  <c r="C2051" i="2"/>
  <c r="B2052" i="2" a="1"/>
  <c r="B2052" i="2" s="1"/>
  <c r="F2052" i="2" l="1"/>
  <c r="C2052" i="2"/>
  <c r="H2052" i="2"/>
  <c r="G2052" i="2"/>
  <c r="E2052" i="2"/>
  <c r="D2052" i="2"/>
  <c r="B2053" i="2" a="1"/>
  <c r="B2053" i="2" s="1"/>
  <c r="G2053" i="2" l="1"/>
  <c r="H2053" i="2"/>
  <c r="F2053" i="2"/>
  <c r="E2053" i="2"/>
  <c r="D2053" i="2"/>
  <c r="C2053" i="2"/>
  <c r="B2054" i="2" a="1"/>
  <c r="B2054" i="2" s="1"/>
  <c r="G2054" i="2" l="1"/>
  <c r="D2054" i="2"/>
  <c r="E2054" i="2"/>
  <c r="C2054" i="2"/>
  <c r="H2054" i="2"/>
  <c r="F2054" i="2"/>
  <c r="B2055" i="2" a="1"/>
  <c r="B2055" i="2" s="1"/>
  <c r="F2055" i="2" l="1"/>
  <c r="H2055" i="2"/>
  <c r="D2055" i="2"/>
  <c r="G2055" i="2"/>
  <c r="E2055" i="2"/>
  <c r="C2055" i="2"/>
  <c r="B2056" i="2" a="1"/>
  <c r="B2056" i="2" s="1"/>
  <c r="H2056" i="2" l="1"/>
  <c r="G2056" i="2"/>
  <c r="F2056" i="2"/>
  <c r="E2056" i="2"/>
  <c r="D2056" i="2"/>
  <c r="C2056" i="2"/>
  <c r="B2057" i="2" a="1"/>
  <c r="B2057" i="2" s="1"/>
  <c r="G2057" i="2" l="1"/>
  <c r="D2057" i="2"/>
  <c r="C2057" i="2"/>
  <c r="E2057" i="2"/>
  <c r="F2057" i="2"/>
  <c r="H2057" i="2"/>
  <c r="B2058" i="2" a="1"/>
  <c r="B2058" i="2" s="1"/>
  <c r="F2058" i="2" l="1"/>
  <c r="H2058" i="2"/>
  <c r="G2058" i="2"/>
  <c r="E2058" i="2"/>
  <c r="D2058" i="2"/>
  <c r="C2058" i="2"/>
  <c r="B2059" i="2" a="1"/>
  <c r="B2059" i="2" s="1"/>
  <c r="G2059" i="2" l="1"/>
  <c r="F2059" i="2"/>
  <c r="E2059" i="2"/>
  <c r="C2059" i="2"/>
  <c r="H2059" i="2"/>
  <c r="D2059" i="2"/>
  <c r="B2060" i="2" a="1"/>
  <c r="B2060" i="2" s="1"/>
  <c r="E2060" i="2" l="1"/>
  <c r="H2060" i="2"/>
  <c r="C2060" i="2"/>
  <c r="G2060" i="2"/>
  <c r="F2060" i="2"/>
  <c r="D2060" i="2"/>
  <c r="B2061" i="2" a="1"/>
  <c r="B2061" i="2" s="1"/>
  <c r="H2061" i="2" l="1"/>
  <c r="G2061" i="2"/>
  <c r="F2061" i="2"/>
  <c r="E2061" i="2"/>
  <c r="D2061" i="2"/>
  <c r="C2061" i="2"/>
  <c r="B2062" i="2" a="1"/>
  <c r="B2062" i="2" s="1"/>
  <c r="H2062" i="2" l="1"/>
  <c r="G2062" i="2"/>
  <c r="F2062" i="2"/>
  <c r="D2062" i="2"/>
  <c r="C2062" i="2"/>
  <c r="E2062" i="2"/>
  <c r="B2063" i="2" a="1"/>
  <c r="B2063" i="2" s="1"/>
  <c r="G2063" i="2" l="1"/>
  <c r="D2063" i="2"/>
  <c r="C2063" i="2"/>
  <c r="E2063" i="2"/>
  <c r="F2063" i="2"/>
  <c r="H2063" i="2"/>
  <c r="B2064" i="2" a="1"/>
  <c r="B2064" i="2" s="1"/>
  <c r="H2064" i="2" l="1"/>
  <c r="G2064" i="2"/>
  <c r="F2064" i="2"/>
  <c r="E2064" i="2"/>
  <c r="D2064" i="2"/>
  <c r="C2064" i="2"/>
  <c r="B2065" i="2" a="1"/>
  <c r="B2065" i="2" s="1"/>
  <c r="G2065" i="2" l="1"/>
  <c r="C2065" i="2"/>
  <c r="H2065" i="2"/>
  <c r="F2065" i="2"/>
  <c r="E2065" i="2"/>
  <c r="D2065" i="2"/>
  <c r="B2066" i="2" a="1"/>
  <c r="B2066" i="2" s="1"/>
  <c r="F2066" i="2" l="1"/>
  <c r="D2066" i="2"/>
  <c r="C2066" i="2"/>
  <c r="E2066" i="2"/>
  <c r="H2066" i="2"/>
  <c r="G2066" i="2"/>
  <c r="B2067" i="2" a="1"/>
  <c r="B2067" i="2" s="1"/>
  <c r="E2067" i="2" l="1"/>
  <c r="C2067" i="2"/>
  <c r="D2067" i="2"/>
  <c r="H2067" i="2"/>
  <c r="G2067" i="2"/>
  <c r="F2067" i="2"/>
  <c r="B2068" i="2" a="1"/>
  <c r="B2068" i="2" s="1"/>
  <c r="E2068" i="2" l="1"/>
  <c r="D2068" i="2"/>
  <c r="C2068" i="2"/>
  <c r="G2068" i="2"/>
  <c r="F2068" i="2"/>
  <c r="H2068" i="2"/>
  <c r="B2069" i="2" a="1"/>
  <c r="B2069" i="2" s="1"/>
  <c r="H2069" i="2" l="1"/>
  <c r="G2069" i="2"/>
  <c r="F2069" i="2"/>
  <c r="D2069" i="2"/>
  <c r="C2069" i="2"/>
  <c r="E2069" i="2"/>
  <c r="B2070" i="2" a="1"/>
  <c r="B2070" i="2" s="1"/>
  <c r="F2070" i="2" l="1"/>
  <c r="D2070" i="2"/>
  <c r="C2070" i="2"/>
  <c r="H2070" i="2"/>
  <c r="G2070" i="2"/>
  <c r="E2070" i="2"/>
  <c r="B2071" i="2" a="1"/>
  <c r="B2071" i="2" s="1"/>
  <c r="G2071" i="2" l="1"/>
  <c r="H2071" i="2"/>
  <c r="F2071" i="2"/>
  <c r="E2071" i="2"/>
  <c r="D2071" i="2"/>
  <c r="C2071" i="2"/>
  <c r="B2072" i="2" a="1"/>
  <c r="B2072" i="2" s="1"/>
  <c r="E2072" i="2" l="1"/>
  <c r="F2072" i="2"/>
  <c r="D2072" i="2"/>
  <c r="G2072" i="2"/>
  <c r="C2072" i="2"/>
  <c r="H2072" i="2"/>
  <c r="B2073" i="2" a="1"/>
  <c r="B2073" i="2" s="1"/>
  <c r="C2073" i="2" l="1"/>
  <c r="H2073" i="2"/>
  <c r="F2073" i="2"/>
  <c r="D2073" i="2"/>
  <c r="G2073" i="2"/>
  <c r="E2073" i="2"/>
  <c r="B2074" i="2" a="1"/>
  <c r="B2074" i="2" s="1"/>
  <c r="G2074" i="2" l="1"/>
  <c r="F2074" i="2"/>
  <c r="E2074" i="2"/>
  <c r="D2074" i="2"/>
  <c r="C2074" i="2"/>
  <c r="H2074" i="2"/>
  <c r="B2075" i="2" a="1"/>
  <c r="B2075" i="2" s="1"/>
  <c r="H2075" i="2" l="1"/>
  <c r="E2075" i="2"/>
  <c r="F2075" i="2"/>
  <c r="C2075" i="2"/>
  <c r="G2075" i="2"/>
  <c r="D2075" i="2"/>
  <c r="B2076" i="2" a="1"/>
  <c r="B2076" i="2" s="1"/>
  <c r="E2076" i="2" l="1"/>
  <c r="H2076" i="2"/>
  <c r="F2076" i="2"/>
  <c r="G2076" i="2"/>
  <c r="D2076" i="2"/>
  <c r="C2076" i="2"/>
  <c r="B2077" i="2" a="1"/>
  <c r="B2077" i="2" s="1"/>
  <c r="C2077" i="2" l="1"/>
  <c r="H2077" i="2"/>
  <c r="G2077" i="2"/>
  <c r="F2077" i="2"/>
  <c r="E2077" i="2"/>
  <c r="D2077" i="2"/>
  <c r="B2078" i="2" a="1"/>
  <c r="B2078" i="2" s="1"/>
  <c r="F2078" i="2" l="1"/>
  <c r="C2078" i="2"/>
  <c r="G2078" i="2"/>
  <c r="D2078" i="2"/>
  <c r="E2078" i="2"/>
  <c r="H2078" i="2"/>
  <c r="B2079" i="2" a="1"/>
  <c r="B2079" i="2" s="1"/>
  <c r="H2079" i="2" l="1"/>
  <c r="G2079" i="2"/>
  <c r="F2079" i="2"/>
  <c r="E2079" i="2"/>
  <c r="D2079" i="2"/>
  <c r="C2079" i="2"/>
  <c r="B2080" i="2" a="1"/>
  <c r="B2080" i="2" s="1"/>
  <c r="E2080" i="2" l="1"/>
  <c r="C2080" i="2"/>
  <c r="H2080" i="2"/>
  <c r="G2080" i="2"/>
  <c r="F2080" i="2"/>
  <c r="D2080" i="2"/>
  <c r="B2081" i="2" a="1"/>
  <c r="B2081" i="2" s="1"/>
  <c r="E2081" i="2" l="1"/>
  <c r="H2081" i="2"/>
  <c r="F2081" i="2"/>
  <c r="G2081" i="2"/>
  <c r="D2081" i="2"/>
  <c r="C2081" i="2"/>
  <c r="B2082" i="2" a="1"/>
  <c r="B2082" i="2" s="1"/>
  <c r="E2082" i="2" l="1"/>
  <c r="H2082" i="2"/>
  <c r="G2082" i="2"/>
  <c r="F2082" i="2"/>
  <c r="D2082" i="2"/>
  <c r="C2082" i="2"/>
  <c r="B2083" i="2" a="1"/>
  <c r="B2083" i="2" s="1"/>
  <c r="E2083" i="2" l="1"/>
  <c r="G2083" i="2"/>
  <c r="C2083" i="2"/>
  <c r="D2083" i="2"/>
  <c r="H2083" i="2"/>
  <c r="F2083" i="2"/>
  <c r="B2084" i="2" a="1"/>
  <c r="B2084" i="2" s="1"/>
  <c r="E2084" i="2" l="1"/>
  <c r="H2084" i="2"/>
  <c r="G2084" i="2"/>
  <c r="F2084" i="2"/>
  <c r="D2084" i="2"/>
  <c r="C2084" i="2"/>
  <c r="B2085" i="2" a="1"/>
  <c r="B2085" i="2" s="1"/>
  <c r="G2085" i="2" l="1"/>
  <c r="H2085" i="2"/>
  <c r="F2085" i="2"/>
  <c r="E2085" i="2"/>
  <c r="C2085" i="2"/>
  <c r="D2085" i="2"/>
  <c r="B2086" i="2" a="1"/>
  <c r="B2086" i="2" s="1"/>
  <c r="G2086" i="2" l="1"/>
  <c r="E2086" i="2"/>
  <c r="H2086" i="2"/>
  <c r="F2086" i="2"/>
  <c r="D2086" i="2"/>
  <c r="C2086" i="2"/>
  <c r="B2087" i="2" a="1"/>
  <c r="B2087" i="2" s="1"/>
  <c r="E2087" i="2" l="1"/>
  <c r="G2087" i="2"/>
  <c r="D2087" i="2"/>
  <c r="H2087" i="2"/>
  <c r="F2087" i="2"/>
  <c r="C2087" i="2"/>
  <c r="B2088" i="2" a="1"/>
  <c r="B2088" i="2" s="1"/>
  <c r="E2088" i="2" l="1"/>
  <c r="C2088" i="2"/>
  <c r="H2088" i="2"/>
  <c r="F2088" i="2"/>
  <c r="D2088" i="2"/>
  <c r="G2088" i="2"/>
  <c r="B2089" i="2" a="1"/>
  <c r="B2089" i="2" s="1"/>
  <c r="C2089" i="2" l="1"/>
  <c r="G2089" i="2"/>
  <c r="D2089" i="2"/>
  <c r="H2089" i="2"/>
  <c r="F2089" i="2"/>
  <c r="E2089" i="2"/>
  <c r="B2090" i="2" a="1"/>
  <c r="B2090" i="2" s="1"/>
  <c r="E2090" i="2" l="1"/>
  <c r="C2090" i="2"/>
  <c r="G2090" i="2"/>
  <c r="H2090" i="2"/>
  <c r="F2090" i="2"/>
  <c r="D2090" i="2"/>
  <c r="B2091" i="2" a="1"/>
  <c r="B2091" i="2" s="1"/>
  <c r="H2091" i="2" l="1"/>
  <c r="F2091" i="2"/>
  <c r="D2091" i="2"/>
  <c r="E2091" i="2"/>
  <c r="C2091" i="2"/>
  <c r="G2091" i="2"/>
  <c r="B2092" i="2" a="1"/>
  <c r="B2092" i="2" s="1"/>
  <c r="H2092" i="2" l="1"/>
  <c r="D2092" i="2"/>
  <c r="G2092" i="2"/>
  <c r="E2092" i="2"/>
  <c r="C2092" i="2"/>
  <c r="F2092" i="2"/>
  <c r="B2093" i="2" a="1"/>
  <c r="B2093" i="2" s="1"/>
  <c r="E2093" i="2" l="1"/>
  <c r="F2093" i="2"/>
  <c r="C2093" i="2"/>
  <c r="H2093" i="2"/>
  <c r="G2093" i="2"/>
  <c r="D2093" i="2"/>
  <c r="B2094" i="2" a="1"/>
  <c r="B2094" i="2" s="1"/>
  <c r="G2094" i="2" l="1"/>
  <c r="E2094" i="2"/>
  <c r="H2094" i="2"/>
  <c r="F2094" i="2"/>
  <c r="C2094" i="2"/>
  <c r="D2094" i="2"/>
  <c r="B2095" i="2" a="1"/>
  <c r="B2095" i="2" s="1"/>
  <c r="C2095" i="2" l="1"/>
  <c r="H2095" i="2"/>
  <c r="F2095" i="2"/>
  <c r="G2095" i="2"/>
  <c r="E2095" i="2"/>
  <c r="D2095" i="2"/>
  <c r="B2096" i="2" a="1"/>
  <c r="B2096" i="2" s="1"/>
  <c r="E2096" i="2" l="1"/>
  <c r="H2096" i="2"/>
  <c r="G2096" i="2"/>
  <c r="F2096" i="2"/>
  <c r="C2096" i="2"/>
  <c r="D2096" i="2"/>
  <c r="B2097" i="2" a="1"/>
  <c r="B2097" i="2" s="1"/>
  <c r="H2097" i="2" l="1"/>
  <c r="E2097" i="2"/>
  <c r="C2097" i="2"/>
  <c r="F2097" i="2"/>
  <c r="D2097" i="2"/>
  <c r="G2097" i="2"/>
  <c r="B2098" i="2" a="1"/>
  <c r="B2098" i="2" s="1"/>
  <c r="E2098" i="2" l="1"/>
  <c r="D2098" i="2"/>
  <c r="C2098" i="2"/>
  <c r="H2098" i="2"/>
  <c r="G2098" i="2"/>
  <c r="F2098" i="2"/>
  <c r="B2099" i="2" a="1"/>
  <c r="B2099" i="2" s="1"/>
  <c r="G2099" i="2" l="1"/>
  <c r="E2099" i="2"/>
  <c r="H2099" i="2"/>
  <c r="F2099" i="2"/>
  <c r="D2099" i="2"/>
  <c r="C2099" i="2"/>
  <c r="B2100" i="2" a="1"/>
  <c r="B2100" i="2" s="1"/>
  <c r="D2100" i="2" l="1"/>
  <c r="C2100" i="2"/>
  <c r="G2100" i="2"/>
  <c r="E2100" i="2"/>
  <c r="H2100" i="2"/>
  <c r="F2100" i="2"/>
  <c r="B2101" i="2" a="1"/>
  <c r="B2101" i="2" s="1"/>
  <c r="F2101" i="2" l="1"/>
  <c r="E2101" i="2"/>
  <c r="C2101" i="2"/>
  <c r="H2101" i="2"/>
  <c r="D2101" i="2"/>
  <c r="G2101" i="2"/>
  <c r="B2102" i="2" a="1"/>
  <c r="B2102" i="2" s="1"/>
  <c r="E2102" i="2" l="1"/>
  <c r="H2102" i="2"/>
  <c r="D2102" i="2"/>
  <c r="G2102" i="2"/>
  <c r="F2102" i="2"/>
  <c r="C2102" i="2"/>
  <c r="B2103" i="2" a="1"/>
  <c r="B2103" i="2" s="1"/>
  <c r="H2103" i="2" l="1"/>
  <c r="G2103" i="2"/>
  <c r="F2103" i="2"/>
  <c r="E2103" i="2"/>
  <c r="D2103" i="2"/>
  <c r="C2103" i="2"/>
  <c r="B2104" i="2" a="1"/>
  <c r="B2104" i="2" s="1"/>
  <c r="H2104" i="2" l="1"/>
  <c r="G2104" i="2"/>
  <c r="E2104" i="2"/>
  <c r="C2104" i="2"/>
  <c r="F2104" i="2"/>
  <c r="D2104" i="2"/>
  <c r="B2105" i="2" a="1"/>
  <c r="B2105" i="2" s="1"/>
  <c r="C2105" i="2" l="1"/>
  <c r="E2105" i="2"/>
  <c r="G2105" i="2"/>
  <c r="D2105" i="2"/>
  <c r="H2105" i="2"/>
  <c r="F2105" i="2"/>
  <c r="B2106" i="2" a="1"/>
  <c r="B2106" i="2" s="1"/>
  <c r="G2106" i="2" l="1"/>
  <c r="F2106" i="2"/>
  <c r="E2106" i="2"/>
  <c r="D2106" i="2"/>
  <c r="H2106" i="2"/>
  <c r="C2106" i="2"/>
  <c r="B2107" i="2" a="1"/>
  <c r="B2107" i="2" s="1"/>
  <c r="E2107" i="2" l="1"/>
  <c r="G2107" i="2"/>
  <c r="D2107" i="2"/>
  <c r="H2107" i="2"/>
  <c r="F2107" i="2"/>
  <c r="C2107" i="2"/>
  <c r="B2108" i="2" a="1"/>
  <c r="B2108" i="2" s="1"/>
  <c r="G2108" i="2" l="1"/>
  <c r="H2108" i="2"/>
  <c r="F2108" i="2"/>
  <c r="E2108" i="2"/>
  <c r="D2108" i="2"/>
  <c r="C2108" i="2"/>
  <c r="B2109" i="2" a="1"/>
  <c r="B2109" i="2" s="1"/>
  <c r="G2109" i="2" l="1"/>
  <c r="F2109" i="2"/>
  <c r="D2109" i="2"/>
  <c r="E2109" i="2"/>
  <c r="C2109" i="2"/>
  <c r="H2109" i="2"/>
  <c r="B2110" i="2" a="1"/>
  <c r="B2110" i="2" s="1"/>
  <c r="G2110" i="2" l="1"/>
  <c r="F2110" i="2"/>
  <c r="D2110" i="2"/>
  <c r="H2110" i="2"/>
  <c r="E2110" i="2"/>
  <c r="C2110" i="2"/>
  <c r="B2111" i="2" a="1"/>
  <c r="B2111" i="2" s="1"/>
  <c r="H2111" i="2" l="1"/>
  <c r="E2111" i="2"/>
  <c r="G2111" i="2"/>
  <c r="F2111" i="2"/>
  <c r="D2111" i="2"/>
  <c r="C2111" i="2"/>
  <c r="B2112" i="2" a="1"/>
  <c r="B2112" i="2" s="1"/>
  <c r="H2112" i="2" l="1"/>
  <c r="F2112" i="2"/>
  <c r="D2112" i="2"/>
  <c r="C2112" i="2"/>
  <c r="G2112" i="2"/>
  <c r="E2112" i="2"/>
  <c r="B2113" i="2" a="1"/>
  <c r="B2113" i="2" s="1"/>
  <c r="D2113" i="2" l="1"/>
  <c r="C2113" i="2"/>
  <c r="H2113" i="2"/>
  <c r="G2113" i="2"/>
  <c r="F2113" i="2"/>
  <c r="E2113" i="2"/>
  <c r="B2114" i="2" a="1"/>
  <c r="B2114" i="2" s="1"/>
  <c r="E2114" i="2" l="1"/>
  <c r="H2114" i="2"/>
  <c r="G2114" i="2"/>
  <c r="F2114" i="2"/>
  <c r="C2114" i="2"/>
  <c r="D2114" i="2"/>
  <c r="B2115" i="2" a="1"/>
  <c r="B2115" i="2" s="1"/>
  <c r="F2115" i="2" l="1"/>
  <c r="E2115" i="2"/>
  <c r="D2115" i="2"/>
  <c r="C2115" i="2"/>
  <c r="H2115" i="2"/>
  <c r="G2115" i="2"/>
  <c r="B2116" i="2" a="1"/>
  <c r="B2116" i="2" s="1"/>
  <c r="E2116" i="2" l="1"/>
  <c r="C2116" i="2"/>
  <c r="H2116" i="2"/>
  <c r="D2116" i="2"/>
  <c r="G2116" i="2"/>
  <c r="F2116" i="2"/>
  <c r="B2117" i="2" a="1"/>
  <c r="B2117" i="2" s="1"/>
  <c r="E2117" i="2" l="1"/>
  <c r="D2117" i="2"/>
  <c r="C2117" i="2"/>
  <c r="H2117" i="2"/>
  <c r="F2117" i="2"/>
  <c r="G2117" i="2"/>
  <c r="B2118" i="2" a="1"/>
  <c r="B2118" i="2" s="1"/>
  <c r="D2118" i="2" l="1"/>
  <c r="C2118" i="2"/>
  <c r="H2118" i="2"/>
  <c r="G2118" i="2"/>
  <c r="F2118" i="2"/>
  <c r="E2118" i="2"/>
  <c r="B2119" i="2" a="1"/>
  <c r="B2119" i="2" s="1"/>
  <c r="D2119" i="2" l="1"/>
  <c r="C2119" i="2"/>
  <c r="H2119" i="2"/>
  <c r="G2119" i="2"/>
  <c r="F2119" i="2"/>
  <c r="E2119" i="2"/>
  <c r="B2120" i="2" a="1"/>
  <c r="B2120" i="2" s="1"/>
  <c r="F2120" i="2" l="1"/>
  <c r="E2120" i="2"/>
  <c r="C2120" i="2"/>
  <c r="H2120" i="2"/>
  <c r="D2120" i="2"/>
  <c r="G2120" i="2"/>
  <c r="B2121" i="2" a="1"/>
  <c r="B2121" i="2" s="1"/>
  <c r="F2121" i="2" l="1"/>
  <c r="E2121" i="2"/>
  <c r="D2121" i="2"/>
  <c r="C2121" i="2"/>
  <c r="G2121" i="2"/>
  <c r="H2121" i="2"/>
  <c r="B2122" i="2" a="1"/>
  <c r="B2122" i="2" s="1"/>
  <c r="D2122" i="2" l="1"/>
  <c r="F2122" i="2"/>
  <c r="H2122" i="2"/>
  <c r="G2122" i="2"/>
  <c r="E2122" i="2"/>
  <c r="C2122" i="2"/>
  <c r="B2123" i="2" a="1"/>
  <c r="B2123" i="2" s="1"/>
  <c r="F2123" i="2" l="1"/>
  <c r="H2123" i="2"/>
  <c r="C2123" i="2"/>
  <c r="D2123" i="2"/>
  <c r="G2123" i="2"/>
  <c r="E2123" i="2"/>
  <c r="B2124" i="2" a="1"/>
  <c r="B2124" i="2" s="1"/>
  <c r="F2124" i="2" l="1"/>
  <c r="E2124" i="2"/>
  <c r="D2124" i="2"/>
  <c r="C2124" i="2"/>
  <c r="H2124" i="2"/>
  <c r="G2124" i="2"/>
  <c r="B2125" i="2" a="1"/>
  <c r="B2125" i="2" s="1"/>
  <c r="C2125" i="2" l="1"/>
  <c r="F2125" i="2"/>
  <c r="E2125" i="2"/>
  <c r="D2125" i="2"/>
  <c r="H2125" i="2"/>
  <c r="G2125" i="2"/>
  <c r="B2126" i="2" a="1"/>
  <c r="B2126" i="2" s="1"/>
  <c r="H2126" i="2" l="1"/>
  <c r="F2126" i="2"/>
  <c r="G2126" i="2"/>
  <c r="E2126" i="2"/>
  <c r="D2126" i="2"/>
  <c r="C2126" i="2"/>
  <c r="B2127" i="2" a="1"/>
  <c r="B2127" i="2" s="1"/>
  <c r="D2127" i="2" l="1"/>
  <c r="C2127" i="2"/>
  <c r="E2127" i="2"/>
  <c r="H2127" i="2"/>
  <c r="G2127" i="2"/>
  <c r="F2127" i="2"/>
  <c r="B2128" i="2" a="1"/>
  <c r="B2128" i="2" s="1"/>
  <c r="D2128" i="2" l="1"/>
  <c r="F2128" i="2"/>
  <c r="C2128" i="2"/>
  <c r="H2128" i="2"/>
  <c r="G2128" i="2"/>
  <c r="E2128" i="2"/>
  <c r="B2129" i="2" a="1"/>
  <c r="B2129" i="2" s="1"/>
  <c r="C2129" i="2" l="1"/>
  <c r="G2129" i="2"/>
  <c r="F2129" i="2"/>
  <c r="H2129" i="2"/>
  <c r="E2129" i="2"/>
  <c r="D2129" i="2"/>
  <c r="B2130" i="2" a="1"/>
  <c r="B2130" i="2" s="1"/>
  <c r="G2130" i="2" l="1"/>
  <c r="H2130" i="2"/>
  <c r="F2130" i="2"/>
  <c r="E2130" i="2"/>
  <c r="D2130" i="2"/>
  <c r="C2130" i="2"/>
  <c r="B2131" i="2" a="1"/>
  <c r="B2131" i="2" s="1"/>
  <c r="D2131" i="2" l="1"/>
  <c r="H2131" i="2"/>
  <c r="F2131" i="2"/>
  <c r="G2131" i="2"/>
  <c r="E2131" i="2"/>
  <c r="C2131" i="2"/>
  <c r="B2132" i="2" a="1"/>
  <c r="B2132" i="2" s="1"/>
  <c r="H2132" i="2" l="1"/>
  <c r="D2132" i="2"/>
  <c r="G2132" i="2"/>
  <c r="F2132" i="2"/>
  <c r="E2132" i="2"/>
  <c r="C2132" i="2"/>
  <c r="B2133" i="2" a="1"/>
  <c r="B2133" i="2" s="1"/>
  <c r="C2133" i="2" l="1"/>
  <c r="E2133" i="2"/>
  <c r="H2133" i="2"/>
  <c r="G2133" i="2"/>
  <c r="F2133" i="2"/>
  <c r="D2133" i="2"/>
  <c r="B2134" i="2" a="1"/>
  <c r="B2134" i="2" s="1"/>
  <c r="H2134" i="2" l="1"/>
  <c r="G2134" i="2"/>
  <c r="F2134" i="2"/>
  <c r="E2134" i="2"/>
  <c r="D2134" i="2"/>
  <c r="C2134" i="2"/>
  <c r="B2135" i="2" a="1"/>
  <c r="B2135" i="2" s="1"/>
  <c r="H2135" i="2" l="1"/>
  <c r="F2135" i="2"/>
  <c r="G2135" i="2"/>
  <c r="E2135" i="2"/>
  <c r="D2135" i="2"/>
  <c r="C2135" i="2"/>
  <c r="B2136" i="2" a="1"/>
  <c r="B2136" i="2" s="1"/>
  <c r="G2136" i="2" l="1"/>
  <c r="E2136" i="2"/>
  <c r="H2136" i="2"/>
  <c r="F2136" i="2"/>
  <c r="D2136" i="2"/>
  <c r="C2136" i="2"/>
  <c r="B2137" i="2" a="1"/>
  <c r="B2137" i="2" s="1"/>
  <c r="C2137" i="2" l="1"/>
  <c r="H2137" i="2"/>
  <c r="D2137" i="2"/>
  <c r="G2137" i="2"/>
  <c r="F2137" i="2"/>
  <c r="E2137" i="2"/>
  <c r="B2138" i="2" a="1"/>
  <c r="B2138" i="2" s="1"/>
  <c r="H2138" i="2" l="1"/>
  <c r="D2138" i="2"/>
  <c r="C2138" i="2"/>
  <c r="G2138" i="2"/>
  <c r="F2138" i="2"/>
  <c r="E2138" i="2"/>
  <c r="B2139" i="2" a="1"/>
  <c r="B2139" i="2" s="1"/>
  <c r="G2139" i="2" l="1"/>
  <c r="H2139" i="2"/>
  <c r="F2139" i="2"/>
  <c r="E2139" i="2"/>
  <c r="D2139" i="2"/>
  <c r="C2139" i="2"/>
  <c r="B2140" i="2" a="1"/>
  <c r="B2140" i="2" s="1"/>
  <c r="E2140" i="2" l="1"/>
  <c r="C2140" i="2"/>
  <c r="H2140" i="2"/>
  <c r="F2140" i="2"/>
  <c r="D2140" i="2"/>
  <c r="G2140" i="2"/>
  <c r="B2141" i="2" a="1"/>
  <c r="B2141" i="2" s="1"/>
  <c r="H2141" i="2" l="1"/>
  <c r="F2141" i="2"/>
  <c r="D2141" i="2"/>
  <c r="G2141" i="2"/>
  <c r="E2141" i="2"/>
  <c r="C2141" i="2"/>
  <c r="B2142" i="2" a="1"/>
  <c r="B2142" i="2" s="1"/>
  <c r="D2142" i="2" l="1"/>
  <c r="C2142" i="2"/>
  <c r="F2142" i="2"/>
  <c r="E2142" i="2"/>
  <c r="H2142" i="2"/>
  <c r="G2142" i="2"/>
  <c r="B2143" i="2" a="1"/>
  <c r="B2143" i="2" s="1"/>
  <c r="G2143" i="2" l="1"/>
  <c r="F2143" i="2"/>
  <c r="E2143" i="2"/>
  <c r="D2143" i="2"/>
  <c r="C2143" i="2"/>
  <c r="H2143" i="2"/>
  <c r="B2144" i="2" a="1"/>
  <c r="B2144" i="2" s="1"/>
  <c r="H2144" i="2" l="1"/>
  <c r="F2144" i="2"/>
  <c r="G2144" i="2"/>
  <c r="E2144" i="2"/>
  <c r="D2144" i="2"/>
  <c r="C2144" i="2"/>
  <c r="B2145" i="2" a="1"/>
  <c r="B2145" i="2" s="1"/>
  <c r="E2145" i="2" l="1"/>
  <c r="H2145" i="2"/>
  <c r="G2145" i="2"/>
  <c r="F2145" i="2"/>
  <c r="D2145" i="2"/>
  <c r="C2145" i="2"/>
  <c r="B2146" i="2" a="1"/>
  <c r="B2146" i="2" s="1"/>
  <c r="C2146" i="2" l="1"/>
  <c r="H2146" i="2"/>
  <c r="G2146" i="2"/>
  <c r="E2146" i="2"/>
  <c r="D2146" i="2"/>
  <c r="F2146" i="2"/>
  <c r="B2147" i="2" a="1"/>
  <c r="B2147" i="2" s="1"/>
  <c r="E2147" i="2" l="1"/>
  <c r="H2147" i="2"/>
  <c r="G2147" i="2"/>
  <c r="F2147" i="2"/>
  <c r="D2147" i="2"/>
  <c r="C2147" i="2"/>
  <c r="B2148" i="2" a="1"/>
  <c r="B2148" i="2" s="1"/>
  <c r="F2148" i="2" l="1"/>
  <c r="C2148" i="2"/>
  <c r="G2148" i="2"/>
  <c r="H2148" i="2"/>
  <c r="E2148" i="2"/>
  <c r="D2148" i="2"/>
  <c r="B2149" i="2" a="1"/>
  <c r="B2149" i="2" s="1"/>
  <c r="D2149" i="2" l="1"/>
  <c r="H2149" i="2"/>
  <c r="F2149" i="2"/>
  <c r="G2149" i="2"/>
  <c r="E2149" i="2"/>
  <c r="C2149" i="2"/>
  <c r="B2150" i="2" a="1"/>
  <c r="B2150" i="2" s="1"/>
  <c r="D2150" i="2" l="1"/>
  <c r="G2150" i="2"/>
  <c r="F2150" i="2"/>
  <c r="E2150" i="2"/>
  <c r="C2150" i="2"/>
  <c r="H2150" i="2"/>
  <c r="B2151" i="2" a="1"/>
  <c r="B2151" i="2" s="1"/>
  <c r="G2151" i="2" l="1"/>
  <c r="E2151" i="2"/>
  <c r="C2151" i="2"/>
  <c r="F2151" i="2"/>
  <c r="D2151" i="2"/>
  <c r="H2151" i="2"/>
  <c r="B2152" i="2" a="1"/>
  <c r="B2152" i="2" s="1"/>
  <c r="E2152" i="2" l="1"/>
  <c r="D2152" i="2"/>
  <c r="H2152" i="2"/>
  <c r="G2152" i="2"/>
  <c r="F2152" i="2"/>
  <c r="C2152" i="2"/>
  <c r="B2153" i="2" a="1"/>
  <c r="B2153" i="2" s="1"/>
  <c r="H2153" i="2" l="1"/>
  <c r="F2153" i="2"/>
  <c r="G2153" i="2"/>
  <c r="E2153" i="2"/>
  <c r="D2153" i="2"/>
  <c r="C2153" i="2"/>
  <c r="B2154" i="2" a="1"/>
  <c r="B2154" i="2" s="1"/>
  <c r="H2154" i="2" l="1"/>
  <c r="F2154" i="2"/>
  <c r="C2154" i="2"/>
  <c r="G2154" i="2"/>
  <c r="E2154" i="2"/>
  <c r="D2154" i="2"/>
  <c r="B2155" i="2" a="1"/>
  <c r="B2155" i="2" s="1"/>
  <c r="G2155" i="2" l="1"/>
  <c r="D2155" i="2"/>
  <c r="C2155" i="2"/>
  <c r="H2155" i="2"/>
  <c r="F2155" i="2"/>
  <c r="E2155" i="2"/>
  <c r="B2156" i="2" a="1"/>
  <c r="B2156" i="2" s="1"/>
  <c r="H2156" i="2" l="1"/>
  <c r="D2156" i="2"/>
  <c r="G2156" i="2"/>
  <c r="F2156" i="2"/>
  <c r="E2156" i="2"/>
  <c r="C2156" i="2"/>
  <c r="B2157" i="2" a="1"/>
  <c r="B2157" i="2" s="1"/>
  <c r="G2157" i="2" l="1"/>
  <c r="F2157" i="2"/>
  <c r="H2157" i="2"/>
  <c r="E2157" i="2"/>
  <c r="D2157" i="2"/>
  <c r="C2157" i="2"/>
  <c r="B2158" i="2" a="1"/>
  <c r="B2158" i="2" s="1"/>
  <c r="D2158" i="2" l="1"/>
  <c r="F2158" i="2"/>
  <c r="E2158" i="2"/>
  <c r="H2158" i="2"/>
  <c r="G2158" i="2"/>
  <c r="C2158" i="2"/>
  <c r="B2159" i="2" a="1"/>
  <c r="B2159" i="2" s="1"/>
  <c r="H2159" i="2" l="1"/>
  <c r="F2159" i="2"/>
  <c r="D2159" i="2"/>
  <c r="C2159" i="2"/>
  <c r="G2159" i="2"/>
  <c r="E2159" i="2"/>
  <c r="B2160" i="2" a="1"/>
  <c r="B2160" i="2" s="1"/>
  <c r="D2160" i="2" l="1"/>
  <c r="H2160" i="2"/>
  <c r="G2160" i="2"/>
  <c r="C2160" i="2"/>
  <c r="F2160" i="2"/>
  <c r="E2160" i="2"/>
  <c r="B2161" i="2" a="1"/>
  <c r="B2161" i="2" s="1"/>
  <c r="D2161" i="2" l="1"/>
  <c r="C2161" i="2"/>
  <c r="H2161" i="2"/>
  <c r="G2161" i="2"/>
  <c r="F2161" i="2"/>
  <c r="E2161" i="2"/>
  <c r="B2162" i="2" a="1"/>
  <c r="B2162" i="2" s="1"/>
  <c r="H2162" i="2" l="1"/>
  <c r="F2162" i="2"/>
  <c r="E2162" i="2"/>
  <c r="D2162" i="2"/>
  <c r="G2162" i="2"/>
  <c r="C2162" i="2"/>
  <c r="B2163" i="2" a="1"/>
  <c r="B2163" i="2" s="1"/>
  <c r="G2163" i="2" l="1"/>
  <c r="H2163" i="2"/>
  <c r="E2163" i="2"/>
  <c r="C2163" i="2"/>
  <c r="D2163" i="2"/>
  <c r="F2163" i="2"/>
  <c r="B2164" i="2" a="1"/>
  <c r="B2164" i="2" s="1"/>
  <c r="D2164" i="2" l="1"/>
  <c r="G2164" i="2"/>
  <c r="F2164" i="2"/>
  <c r="C2164" i="2"/>
  <c r="H2164" i="2"/>
  <c r="E2164" i="2"/>
  <c r="B2165" i="2" a="1"/>
  <c r="B2165" i="2" s="1"/>
  <c r="H2165" i="2" l="1"/>
  <c r="G2165" i="2"/>
  <c r="F2165" i="2"/>
  <c r="D2165" i="2"/>
  <c r="E2165" i="2"/>
  <c r="C2165" i="2"/>
  <c r="B2166" i="2" a="1"/>
  <c r="B2166" i="2" s="1"/>
  <c r="F2166" i="2" l="1"/>
  <c r="H2166" i="2"/>
  <c r="E2166" i="2"/>
  <c r="D2166" i="2"/>
  <c r="C2166" i="2"/>
  <c r="G2166" i="2"/>
  <c r="B2167" i="2" a="1"/>
  <c r="B2167" i="2" s="1"/>
  <c r="D2167" i="2" l="1"/>
  <c r="H2167" i="2"/>
  <c r="G2167" i="2"/>
  <c r="F2167" i="2"/>
  <c r="E2167" i="2"/>
  <c r="C2167" i="2"/>
  <c r="B2168" i="2" a="1"/>
  <c r="B2168" i="2" s="1"/>
  <c r="G2168" i="2" l="1"/>
  <c r="H2168" i="2"/>
  <c r="F2168" i="2"/>
  <c r="D2168" i="2"/>
  <c r="C2168" i="2"/>
  <c r="E2168" i="2"/>
  <c r="B2169" i="2" a="1"/>
  <c r="B2169" i="2" s="1"/>
  <c r="F2169" i="2" l="1"/>
  <c r="E2169" i="2"/>
  <c r="D2169" i="2"/>
  <c r="C2169" i="2"/>
  <c r="H2169" i="2"/>
  <c r="G2169" i="2"/>
  <c r="B2170" i="2" a="1"/>
  <c r="B2170" i="2" s="1"/>
  <c r="D2170" i="2" l="1"/>
  <c r="H2170" i="2"/>
  <c r="G2170" i="2"/>
  <c r="F2170" i="2"/>
  <c r="E2170" i="2"/>
  <c r="C2170" i="2"/>
  <c r="B2171" i="2" a="1"/>
  <c r="B2171" i="2" s="1"/>
  <c r="H2171" i="2" l="1"/>
  <c r="D2171" i="2"/>
  <c r="C2171" i="2"/>
  <c r="G2171" i="2"/>
  <c r="F2171" i="2"/>
  <c r="E2171" i="2"/>
  <c r="B2172" i="2" a="1"/>
  <c r="B2172" i="2" s="1"/>
  <c r="F2172" i="2" l="1"/>
  <c r="H2172" i="2"/>
  <c r="E2172" i="2"/>
  <c r="D2172" i="2"/>
  <c r="C2172" i="2"/>
  <c r="G2172" i="2"/>
  <c r="B2173" i="2" a="1"/>
  <c r="B2173" i="2" s="1"/>
  <c r="E2173" i="2" l="1"/>
  <c r="C2173" i="2"/>
  <c r="H2173" i="2"/>
  <c r="G2173" i="2"/>
  <c r="F2173" i="2"/>
  <c r="D2173" i="2"/>
  <c r="B2174" i="2" a="1"/>
  <c r="B2174" i="2" s="1"/>
  <c r="C2174" i="2" l="1"/>
  <c r="D2174" i="2"/>
  <c r="H2174" i="2"/>
  <c r="G2174" i="2"/>
  <c r="F2174" i="2"/>
  <c r="E2174" i="2"/>
  <c r="B2175" i="2" a="1"/>
  <c r="B2175" i="2" s="1"/>
  <c r="E2175" i="2" l="1"/>
  <c r="D2175" i="2"/>
  <c r="G2175" i="2"/>
  <c r="C2175" i="2"/>
  <c r="H2175" i="2"/>
  <c r="F2175" i="2"/>
  <c r="B2176" i="2" a="1"/>
  <c r="B2176" i="2" s="1"/>
  <c r="G2176" i="2" l="1"/>
  <c r="H2176" i="2"/>
  <c r="F2176" i="2"/>
  <c r="E2176" i="2"/>
  <c r="D2176" i="2"/>
  <c r="C2176" i="2"/>
  <c r="B2177" i="2" a="1"/>
  <c r="B2177" i="2" s="1"/>
  <c r="C2177" i="2" l="1"/>
  <c r="F2177" i="2"/>
  <c r="H2177" i="2"/>
  <c r="G2177" i="2"/>
  <c r="E2177" i="2"/>
  <c r="D2177" i="2"/>
  <c r="B2178" i="2" a="1"/>
  <c r="B2178" i="2" s="1"/>
  <c r="G2178" i="2" l="1"/>
  <c r="D2178" i="2"/>
  <c r="H2178" i="2"/>
  <c r="F2178" i="2"/>
  <c r="E2178" i="2"/>
  <c r="C2178" i="2"/>
  <c r="B2179" i="2" a="1"/>
  <c r="B2179" i="2" s="1"/>
  <c r="C2179" i="2" l="1"/>
  <c r="H2179" i="2"/>
  <c r="G2179" i="2"/>
  <c r="F2179" i="2"/>
  <c r="E2179" i="2"/>
  <c r="D2179" i="2"/>
  <c r="B2180" i="2" a="1"/>
  <c r="B2180" i="2" s="1"/>
  <c r="H2180" i="2" l="1"/>
  <c r="G2180" i="2"/>
  <c r="F2180" i="2"/>
  <c r="E2180" i="2"/>
  <c r="D2180" i="2"/>
  <c r="C2180" i="2"/>
  <c r="B2181" i="2" a="1"/>
  <c r="B2181" i="2" s="1"/>
  <c r="G2181" i="2" l="1"/>
  <c r="F2181" i="2"/>
  <c r="C2181" i="2"/>
  <c r="H2181" i="2"/>
  <c r="E2181" i="2"/>
  <c r="D2181" i="2"/>
  <c r="B2182" i="2" a="1"/>
  <c r="B2182" i="2" s="1"/>
  <c r="E2182" i="2" l="1"/>
  <c r="C2182" i="2"/>
  <c r="G2182" i="2"/>
  <c r="H2182" i="2"/>
  <c r="F2182" i="2"/>
  <c r="D2182" i="2"/>
  <c r="B2183" i="2" a="1"/>
  <c r="B2183" i="2" s="1"/>
  <c r="E2183" i="2" l="1"/>
  <c r="H2183" i="2"/>
  <c r="G2183" i="2"/>
  <c r="C2183" i="2"/>
  <c r="D2183" i="2"/>
  <c r="F2183" i="2"/>
  <c r="B2184" i="2" a="1"/>
  <c r="B2184" i="2" s="1"/>
  <c r="F2184" i="2" l="1"/>
  <c r="E2184" i="2"/>
  <c r="C2184" i="2"/>
  <c r="G2184" i="2"/>
  <c r="D2184" i="2"/>
  <c r="H2184" i="2"/>
  <c r="B2185" i="2" a="1"/>
  <c r="B2185" i="2" s="1"/>
  <c r="G2185" i="2" l="1"/>
  <c r="H2185" i="2"/>
  <c r="F2185" i="2"/>
  <c r="E2185" i="2"/>
  <c r="D2185" i="2"/>
  <c r="C2185" i="2"/>
  <c r="B2186" i="2" a="1"/>
  <c r="B2186" i="2" s="1"/>
  <c r="C2186" i="2" l="1"/>
  <c r="G2186" i="2"/>
  <c r="F2186" i="2"/>
  <c r="E2186" i="2"/>
  <c r="H2186" i="2"/>
  <c r="D2186" i="2"/>
  <c r="B2187" i="2" a="1"/>
  <c r="B2187" i="2" s="1"/>
  <c r="C2187" i="2" l="1"/>
  <c r="G2187" i="2"/>
  <c r="F2187" i="2"/>
  <c r="D2187" i="2"/>
  <c r="H2187" i="2"/>
  <c r="E2187" i="2"/>
  <c r="B2188" i="2" a="1"/>
  <c r="B2188" i="2" s="1"/>
  <c r="C2188" i="2" l="1"/>
  <c r="D2188" i="2"/>
  <c r="H2188" i="2"/>
  <c r="G2188" i="2"/>
  <c r="F2188" i="2"/>
  <c r="E2188" i="2"/>
  <c r="B2189" i="2" a="1"/>
  <c r="B2189" i="2" s="1"/>
  <c r="D2189" i="2" l="1"/>
  <c r="H2189" i="2"/>
  <c r="G2189" i="2"/>
  <c r="F2189" i="2"/>
  <c r="E2189" i="2"/>
  <c r="C2189" i="2"/>
  <c r="B2190" i="2" a="1"/>
  <c r="B2190" i="2" s="1"/>
  <c r="G2190" i="2" l="1"/>
  <c r="F2190" i="2"/>
  <c r="H2190" i="2"/>
  <c r="E2190" i="2"/>
  <c r="D2190" i="2"/>
  <c r="C2190" i="2"/>
  <c r="B2191" i="2" a="1"/>
  <c r="B2191" i="2" s="1"/>
  <c r="F2191" i="2" l="1"/>
  <c r="E2191" i="2"/>
  <c r="D2191" i="2"/>
  <c r="H2191" i="2"/>
  <c r="G2191" i="2"/>
  <c r="C2191" i="2"/>
  <c r="B2192" i="2" a="1"/>
  <c r="B2192" i="2" s="1"/>
  <c r="H2192" i="2" l="1"/>
  <c r="F2192" i="2"/>
  <c r="D2192" i="2"/>
  <c r="G2192" i="2"/>
  <c r="E2192" i="2"/>
  <c r="C2192" i="2"/>
  <c r="B2193" i="2" a="1"/>
  <c r="B2193" i="2" s="1"/>
  <c r="G2193" i="2" l="1"/>
  <c r="C2193" i="2"/>
  <c r="H2193" i="2"/>
  <c r="F2193" i="2"/>
  <c r="E2193" i="2"/>
  <c r="D2193" i="2"/>
  <c r="B2194" i="2" a="1"/>
  <c r="B2194" i="2" s="1"/>
  <c r="C2194" i="2" l="1"/>
  <c r="H2194" i="2"/>
  <c r="G2194" i="2"/>
  <c r="F2194" i="2"/>
  <c r="E2194" i="2"/>
  <c r="D2194" i="2"/>
  <c r="B2195" i="2" a="1"/>
  <c r="B2195" i="2" s="1"/>
  <c r="E2195" i="2" l="1"/>
  <c r="D2195" i="2"/>
  <c r="C2195" i="2"/>
  <c r="H2195" i="2"/>
  <c r="F2195" i="2"/>
  <c r="G2195" i="2"/>
  <c r="B2196" i="2" a="1"/>
  <c r="B2196" i="2" s="1"/>
  <c r="G2196" i="2" l="1"/>
  <c r="E2196" i="2"/>
  <c r="D2196" i="2"/>
  <c r="C2196" i="2"/>
  <c r="H2196" i="2"/>
  <c r="F2196" i="2"/>
  <c r="B2197" i="2" a="1"/>
  <c r="B2197" i="2" s="1"/>
  <c r="E2197" i="2" l="1"/>
  <c r="C2197" i="2"/>
  <c r="H2197" i="2"/>
  <c r="D2197" i="2"/>
  <c r="G2197" i="2"/>
  <c r="F2197" i="2"/>
  <c r="B2198" i="2" a="1"/>
  <c r="B2198" i="2" s="1"/>
  <c r="D2198" i="2" l="1"/>
  <c r="C2198" i="2"/>
  <c r="H2198" i="2"/>
  <c r="G2198" i="2"/>
  <c r="F2198" i="2"/>
  <c r="E2198" i="2"/>
  <c r="B2199" i="2" a="1"/>
  <c r="B2199" i="2" s="1"/>
  <c r="F2199" i="2" l="1"/>
  <c r="H2199" i="2"/>
  <c r="C2199" i="2"/>
  <c r="G2199" i="2"/>
  <c r="E2199" i="2"/>
  <c r="D2199" i="2"/>
  <c r="B2200" i="2" a="1"/>
  <c r="B2200" i="2" s="1"/>
  <c r="E2200" i="2" l="1"/>
  <c r="D2200" i="2"/>
  <c r="C2200" i="2"/>
  <c r="H2200" i="2"/>
  <c r="F2200" i="2"/>
  <c r="G2200" i="2"/>
  <c r="B2201" i="2" a="1"/>
  <c r="B2201" i="2" s="1"/>
  <c r="G2201" i="2" l="1"/>
  <c r="E2201" i="2"/>
  <c r="C2201" i="2"/>
  <c r="D2201" i="2"/>
  <c r="F2201" i="2"/>
  <c r="H2201" i="2"/>
  <c r="B2202" i="2" a="1"/>
  <c r="B2202" i="2" s="1"/>
  <c r="F2202" i="2" l="1"/>
  <c r="D2202" i="2"/>
  <c r="C2202" i="2"/>
  <c r="H2202" i="2"/>
  <c r="G2202" i="2"/>
  <c r="E2202" i="2"/>
  <c r="B2203" i="2" a="1"/>
  <c r="B2203" i="2" s="1"/>
  <c r="C2203" i="2" l="1"/>
  <c r="H2203" i="2"/>
  <c r="F2203" i="2"/>
  <c r="E2203" i="2"/>
  <c r="D2203" i="2"/>
  <c r="G2203" i="2"/>
  <c r="B2204" i="2" a="1"/>
  <c r="B2204" i="2" s="1"/>
  <c r="H2204" i="2" l="1"/>
  <c r="F2204" i="2"/>
  <c r="C2204" i="2"/>
  <c r="G2204" i="2"/>
  <c r="E2204" i="2"/>
  <c r="D2204" i="2"/>
  <c r="B2205" i="2" a="1"/>
  <c r="B2205" i="2" s="1"/>
  <c r="H2205" i="2" l="1"/>
  <c r="F2205" i="2"/>
  <c r="D2205" i="2"/>
  <c r="C2205" i="2"/>
  <c r="G2205" i="2"/>
  <c r="E2205" i="2"/>
  <c r="B2206" i="2" a="1"/>
  <c r="B2206" i="2" s="1"/>
  <c r="E2206" i="2" l="1"/>
  <c r="D2206" i="2"/>
  <c r="H2206" i="2"/>
  <c r="G2206" i="2"/>
  <c r="F2206" i="2"/>
  <c r="C2206" i="2"/>
  <c r="B2207" i="2" a="1"/>
  <c r="B2207" i="2" s="1"/>
  <c r="F2207" i="2" l="1"/>
  <c r="D2207" i="2"/>
  <c r="H2207" i="2"/>
  <c r="E2207" i="2"/>
  <c r="C2207" i="2"/>
  <c r="G2207" i="2"/>
  <c r="B2208" i="2" a="1"/>
  <c r="B2208" i="2" s="1"/>
  <c r="C2208" i="2" l="1"/>
  <c r="G2208" i="2"/>
  <c r="F2208" i="2"/>
  <c r="E2208" i="2"/>
  <c r="D2208" i="2"/>
  <c r="H2208" i="2"/>
  <c r="B2209" i="2" a="1"/>
  <c r="B2209" i="2" s="1"/>
  <c r="G2209" i="2" l="1"/>
  <c r="F2209" i="2"/>
  <c r="C2209" i="2"/>
  <c r="H2209" i="2"/>
  <c r="E2209" i="2"/>
  <c r="D2209" i="2"/>
  <c r="B2210" i="2" a="1"/>
  <c r="B2210" i="2" s="1"/>
  <c r="D2210" i="2" l="1"/>
  <c r="H2210" i="2"/>
  <c r="G2210" i="2"/>
  <c r="F2210" i="2"/>
  <c r="E2210" i="2"/>
  <c r="C2210" i="2"/>
  <c r="B2211" i="2" a="1"/>
  <c r="B2211" i="2" s="1"/>
  <c r="H2211" i="2" l="1"/>
  <c r="D2211" i="2"/>
  <c r="G2211" i="2"/>
  <c r="E2211" i="2"/>
  <c r="F2211" i="2"/>
  <c r="C2211" i="2"/>
  <c r="B2212" i="2" a="1"/>
  <c r="B2212" i="2" s="1"/>
  <c r="H2212" i="2" l="1"/>
  <c r="G2212" i="2"/>
  <c r="F2212" i="2"/>
  <c r="E2212" i="2"/>
  <c r="D2212" i="2"/>
  <c r="C2212" i="2"/>
  <c r="B2213" i="2" a="1"/>
  <c r="B2213" i="2" s="1"/>
  <c r="D2213" i="2" l="1"/>
  <c r="F2213" i="2"/>
  <c r="C2213" i="2"/>
  <c r="H2213" i="2"/>
  <c r="G2213" i="2"/>
  <c r="E2213" i="2"/>
  <c r="B2214" i="2" a="1"/>
  <c r="B2214" i="2" s="1"/>
  <c r="H2214" i="2" l="1"/>
  <c r="C2214" i="2"/>
  <c r="G2214" i="2"/>
  <c r="E2214" i="2"/>
  <c r="D2214" i="2"/>
  <c r="F2214" i="2"/>
  <c r="B2215" i="2" a="1"/>
  <c r="B2215" i="2" s="1"/>
  <c r="D2215" i="2" l="1"/>
  <c r="G2215" i="2"/>
  <c r="F2215" i="2"/>
  <c r="E2215" i="2"/>
  <c r="H2215" i="2"/>
  <c r="C2215" i="2"/>
  <c r="B2216" i="2" a="1"/>
  <c r="B2216" i="2" s="1"/>
  <c r="G2216" i="2" l="1"/>
  <c r="D2216" i="2"/>
  <c r="C2216" i="2"/>
  <c r="H2216" i="2"/>
  <c r="F2216" i="2"/>
  <c r="E2216" i="2"/>
  <c r="B2217" i="2" a="1"/>
  <c r="B2217" i="2" s="1"/>
  <c r="H2217" i="2" l="1"/>
  <c r="G2217" i="2"/>
  <c r="F2217" i="2"/>
  <c r="E2217" i="2"/>
  <c r="D2217" i="2"/>
  <c r="C2217" i="2"/>
  <c r="B2218" i="2" a="1"/>
  <c r="B2218" i="2" s="1"/>
  <c r="F2218" i="2" l="1"/>
  <c r="E2218" i="2"/>
  <c r="D2218" i="2"/>
  <c r="C2218" i="2"/>
  <c r="G2218" i="2"/>
  <c r="H2218" i="2"/>
  <c r="B2219" i="2" a="1"/>
  <c r="B2219" i="2" s="1"/>
  <c r="D2219" i="2" l="1"/>
  <c r="F2219" i="2"/>
  <c r="H2219" i="2"/>
  <c r="G2219" i="2"/>
  <c r="E2219" i="2"/>
  <c r="C2219" i="2"/>
  <c r="B2220" i="2" a="1"/>
  <c r="B2220" i="2" s="1"/>
  <c r="H2220" i="2" l="1"/>
  <c r="G2220" i="2"/>
  <c r="E2220" i="2"/>
  <c r="D2220" i="2"/>
  <c r="C2220" i="2"/>
  <c r="F2220" i="2"/>
  <c r="B2221" i="2" a="1"/>
  <c r="B2221" i="2" s="1"/>
  <c r="G2221" i="2" l="1"/>
  <c r="C2221" i="2"/>
  <c r="H2221" i="2"/>
  <c r="F2221" i="2"/>
  <c r="E2221" i="2"/>
  <c r="D2221" i="2"/>
  <c r="B2222" i="2" a="1"/>
  <c r="B2222" i="2" s="1"/>
  <c r="E2222" i="2" l="1"/>
  <c r="D2222" i="2"/>
  <c r="H2222" i="2"/>
  <c r="G2222" i="2"/>
  <c r="C2222" i="2"/>
  <c r="F2222" i="2"/>
  <c r="B2223" i="2" a="1"/>
  <c r="B2223" i="2" s="1"/>
  <c r="F2223" i="2" l="1"/>
  <c r="E2223" i="2"/>
  <c r="C2223" i="2"/>
  <c r="H2223" i="2"/>
  <c r="D2223" i="2"/>
  <c r="G2223" i="2"/>
  <c r="B2224" i="2" a="1"/>
  <c r="B2224" i="2" s="1"/>
  <c r="E2224" i="2" l="1"/>
  <c r="G2224" i="2"/>
  <c r="D2224" i="2"/>
  <c r="C2224" i="2"/>
  <c r="H2224" i="2"/>
  <c r="F2224" i="2"/>
  <c r="B2225" i="2" a="1"/>
  <c r="B2225" i="2" s="1"/>
  <c r="D2225" i="2" l="1"/>
  <c r="H2225" i="2"/>
  <c r="G2225" i="2"/>
  <c r="F2225" i="2"/>
  <c r="E2225" i="2"/>
  <c r="C2225" i="2"/>
  <c r="B2226" i="2" a="1"/>
  <c r="B2226" i="2" s="1"/>
  <c r="H2226" i="2" l="1"/>
  <c r="F2226" i="2"/>
  <c r="G2226" i="2"/>
  <c r="D2226" i="2"/>
  <c r="C2226" i="2"/>
  <c r="E2226" i="2"/>
  <c r="B2227" i="2" a="1"/>
  <c r="B2227" i="2" s="1"/>
  <c r="E2227" i="2" l="1"/>
  <c r="G2227" i="2"/>
  <c r="H2227" i="2"/>
  <c r="F2227" i="2"/>
  <c r="D2227" i="2"/>
  <c r="C2227" i="2"/>
  <c r="B2228" i="2" a="1"/>
  <c r="B2228" i="2" s="1"/>
  <c r="D2228" i="2" l="1"/>
  <c r="C2228" i="2"/>
  <c r="G2228" i="2"/>
  <c r="E2228" i="2"/>
  <c r="H2228" i="2"/>
  <c r="F2228" i="2"/>
  <c r="B2229" i="2" a="1"/>
  <c r="B2229" i="2" s="1"/>
  <c r="H2229" i="2" l="1"/>
  <c r="D2229" i="2"/>
  <c r="G2229" i="2"/>
  <c r="F2229" i="2"/>
  <c r="E2229" i="2"/>
  <c r="C2229" i="2"/>
  <c r="B2230" i="2" a="1"/>
  <c r="B2230" i="2" s="1"/>
  <c r="G2230" i="2" l="1"/>
  <c r="H2230" i="2"/>
  <c r="E2230" i="2"/>
  <c r="D2230" i="2"/>
  <c r="C2230" i="2"/>
  <c r="F2230" i="2"/>
  <c r="B2231" i="2" a="1"/>
  <c r="B2231" i="2" s="1"/>
  <c r="G2231" i="2" l="1"/>
  <c r="E2231" i="2"/>
  <c r="C2231" i="2"/>
  <c r="D2231" i="2"/>
  <c r="F2231" i="2"/>
  <c r="H2231" i="2"/>
  <c r="B2232" i="2" a="1"/>
  <c r="B2232" i="2" s="1"/>
  <c r="F2232" i="2" l="1"/>
  <c r="D2232" i="2"/>
  <c r="G2232" i="2"/>
  <c r="E2232" i="2"/>
  <c r="C2232" i="2"/>
  <c r="H2232" i="2"/>
  <c r="B2233" i="2" a="1"/>
  <c r="B2233" i="2" s="1"/>
  <c r="F2233" i="2" l="1"/>
  <c r="C2233" i="2"/>
  <c r="H2233" i="2"/>
  <c r="G2233" i="2"/>
  <c r="E2233" i="2"/>
  <c r="D2233" i="2"/>
  <c r="B2234" i="2" a="1"/>
  <c r="B2234" i="2" s="1"/>
  <c r="D2234" i="2" l="1"/>
  <c r="H2234" i="2"/>
  <c r="C2234" i="2"/>
  <c r="G2234" i="2"/>
  <c r="F2234" i="2"/>
  <c r="E2234" i="2"/>
  <c r="B2235" i="2" a="1"/>
  <c r="B2235" i="2" s="1"/>
  <c r="H2235" i="2" l="1"/>
  <c r="F2235" i="2"/>
  <c r="D2235" i="2"/>
  <c r="G2235" i="2"/>
  <c r="E2235" i="2"/>
  <c r="C2235" i="2"/>
  <c r="B2236" i="2" a="1"/>
  <c r="B2236" i="2" s="1"/>
  <c r="G2236" i="2" l="1"/>
  <c r="E2236" i="2"/>
  <c r="H2236" i="2"/>
  <c r="F2236" i="2"/>
  <c r="D2236" i="2"/>
  <c r="C2236" i="2"/>
  <c r="B2237" i="2" a="1"/>
  <c r="B2237" i="2" s="1"/>
  <c r="G2237" i="2" l="1"/>
  <c r="D2237" i="2"/>
  <c r="F2237" i="2"/>
  <c r="C2237" i="2"/>
  <c r="E2237" i="2"/>
  <c r="H2237" i="2"/>
  <c r="B2238" i="2" a="1"/>
  <c r="B2238" i="2" s="1"/>
  <c r="H2238" i="2" l="1"/>
  <c r="G2238" i="2"/>
  <c r="D2238" i="2"/>
  <c r="F2238" i="2"/>
  <c r="E2238" i="2"/>
  <c r="C2238" i="2"/>
  <c r="B2239" i="2" a="1"/>
  <c r="B2239" i="2" s="1"/>
  <c r="G2239" i="2" l="1"/>
  <c r="C2239" i="2"/>
  <c r="H2239" i="2"/>
  <c r="F2239" i="2"/>
  <c r="E2239" i="2"/>
  <c r="D2239" i="2"/>
  <c r="B2240" i="2" a="1"/>
  <c r="B2240" i="2" s="1"/>
  <c r="H2240" i="2" l="1"/>
  <c r="G2240" i="2"/>
  <c r="F2240" i="2"/>
  <c r="D2240" i="2"/>
  <c r="E2240" i="2"/>
  <c r="C2240" i="2"/>
  <c r="B2241" i="2" a="1"/>
  <c r="B2241" i="2" s="1"/>
  <c r="C2241" i="2" l="1"/>
  <c r="G2241" i="2"/>
  <c r="E2241" i="2"/>
  <c r="H2241" i="2"/>
  <c r="F2241" i="2"/>
  <c r="D2241" i="2"/>
  <c r="B2242" i="2" a="1"/>
  <c r="B2242" i="2" s="1"/>
  <c r="E2242" i="2" l="1"/>
  <c r="D2242" i="2"/>
  <c r="C2242" i="2"/>
  <c r="H2242" i="2"/>
  <c r="G2242" i="2"/>
  <c r="F2242" i="2"/>
  <c r="B2243" i="2" a="1"/>
  <c r="B2243" i="2" s="1"/>
  <c r="D2243" i="2" l="1"/>
  <c r="G2243" i="2"/>
  <c r="C2243" i="2"/>
  <c r="H2243" i="2"/>
  <c r="F2243" i="2"/>
  <c r="E2243" i="2"/>
  <c r="B2244" i="2" a="1"/>
  <c r="B2244" i="2" s="1"/>
  <c r="H2244" i="2" l="1"/>
  <c r="F2244" i="2"/>
  <c r="E2244" i="2"/>
  <c r="D2244" i="2"/>
  <c r="C2244" i="2"/>
  <c r="G2244" i="2"/>
  <c r="B2245" i="2" a="1"/>
  <c r="B2245" i="2" s="1"/>
  <c r="D2245" i="2" l="1"/>
  <c r="G2245" i="2"/>
  <c r="F2245" i="2"/>
  <c r="E2245" i="2"/>
  <c r="H2245" i="2"/>
  <c r="C2245" i="2"/>
  <c r="B2246" i="2" a="1"/>
  <c r="B2246" i="2" s="1"/>
  <c r="F2246" i="2" l="1"/>
  <c r="D2246" i="2"/>
  <c r="C2246" i="2"/>
  <c r="H2246" i="2"/>
  <c r="G2246" i="2"/>
  <c r="E2246" i="2"/>
  <c r="B2247" i="2" a="1"/>
  <c r="B2247" i="2" s="1"/>
  <c r="H2247" i="2" l="1"/>
  <c r="G2247" i="2"/>
  <c r="D2247" i="2"/>
  <c r="C2247" i="2"/>
  <c r="F2247" i="2"/>
  <c r="E2247" i="2"/>
  <c r="B2248" i="2" a="1"/>
  <c r="B2248" i="2" s="1"/>
  <c r="C2248" i="2" l="1"/>
  <c r="H2248" i="2"/>
  <c r="G2248" i="2"/>
  <c r="E2248" i="2"/>
  <c r="D2248" i="2"/>
  <c r="F2248" i="2"/>
  <c r="B2249" i="2" a="1"/>
  <c r="B2249" i="2" s="1"/>
  <c r="H2249" i="2" l="1"/>
  <c r="G2249" i="2"/>
  <c r="F2249" i="2"/>
  <c r="E2249" i="2"/>
  <c r="C2249" i="2"/>
  <c r="D2249" i="2"/>
  <c r="B2250" i="2" a="1"/>
  <c r="B2250" i="2" s="1"/>
  <c r="E2250" i="2" l="1"/>
  <c r="D2250" i="2"/>
  <c r="G2250" i="2"/>
  <c r="H2250" i="2"/>
  <c r="C2250" i="2"/>
  <c r="F2250" i="2"/>
  <c r="B2251" i="2" a="1"/>
  <c r="B2251" i="2" s="1"/>
  <c r="C2251" i="2" l="1"/>
  <c r="D2251" i="2"/>
  <c r="G2251" i="2"/>
  <c r="F2251" i="2"/>
  <c r="H2251" i="2"/>
  <c r="E2251" i="2"/>
  <c r="B2252" i="2" a="1"/>
  <c r="B2252" i="2" s="1"/>
  <c r="H2252" i="2" l="1"/>
  <c r="E2252" i="2"/>
  <c r="G2252" i="2"/>
  <c r="C2252" i="2"/>
  <c r="F2252" i="2"/>
  <c r="D2252" i="2"/>
  <c r="B2253" i="2" a="1"/>
  <c r="B2253" i="2" s="1"/>
  <c r="H2253" i="2" l="1"/>
  <c r="E2253" i="2"/>
  <c r="G2253" i="2"/>
  <c r="F2253" i="2"/>
  <c r="D2253" i="2"/>
  <c r="C2253" i="2"/>
  <c r="B2254" i="2" a="1"/>
  <c r="B2254" i="2" s="1"/>
  <c r="D2254" i="2" l="1"/>
  <c r="H2254" i="2"/>
  <c r="C2254" i="2"/>
  <c r="G2254" i="2"/>
  <c r="F2254" i="2"/>
  <c r="E2254" i="2"/>
  <c r="B2255" i="2" a="1"/>
  <c r="B2255" i="2" s="1"/>
  <c r="D2255" i="2" l="1"/>
  <c r="G2255" i="2"/>
  <c r="F2255" i="2"/>
  <c r="E2255" i="2"/>
  <c r="C2255" i="2"/>
  <c r="H2255" i="2"/>
  <c r="B2256" i="2" a="1"/>
  <c r="B2256" i="2" s="1"/>
  <c r="H2256" i="2" l="1"/>
  <c r="G2256" i="2"/>
  <c r="D2256" i="2"/>
  <c r="C2256" i="2"/>
  <c r="F2256" i="2"/>
  <c r="E2256" i="2"/>
  <c r="B2257" i="2" a="1"/>
  <c r="B2257" i="2" s="1"/>
  <c r="E2257" i="2" l="1"/>
  <c r="D2257" i="2"/>
  <c r="H2257" i="2"/>
  <c r="G2257" i="2"/>
  <c r="F2257" i="2"/>
  <c r="C2257" i="2"/>
  <c r="B2258" i="2" a="1"/>
  <c r="B2258" i="2" s="1"/>
  <c r="F2258" i="2" l="1"/>
  <c r="C2258" i="2"/>
  <c r="D2258" i="2"/>
  <c r="E2258" i="2"/>
  <c r="H2258" i="2"/>
  <c r="G2258" i="2"/>
  <c r="B2259" i="2" a="1"/>
  <c r="B2259" i="2" s="1"/>
  <c r="D2259" i="2" l="1"/>
  <c r="H2259" i="2"/>
  <c r="F2259" i="2"/>
  <c r="E2259" i="2"/>
  <c r="C2259" i="2"/>
  <c r="G2259" i="2"/>
  <c r="B2260" i="2" a="1"/>
  <c r="B2260" i="2" s="1"/>
  <c r="C2260" i="2" l="1"/>
  <c r="G2260" i="2"/>
  <c r="F2260" i="2"/>
  <c r="H2260" i="2"/>
  <c r="E2260" i="2"/>
  <c r="D2260" i="2"/>
  <c r="B2261" i="2" a="1"/>
  <c r="B2261" i="2" s="1"/>
  <c r="D2261" i="2" l="1"/>
  <c r="G2261" i="2"/>
  <c r="C2261" i="2"/>
  <c r="H2261" i="2"/>
  <c r="F2261" i="2"/>
  <c r="E2261" i="2"/>
  <c r="B2262" i="2" a="1"/>
  <c r="B2262" i="2" s="1"/>
  <c r="H2262" i="2" l="1"/>
  <c r="G2262" i="2"/>
  <c r="F2262" i="2"/>
  <c r="E2262" i="2"/>
  <c r="D2262" i="2"/>
  <c r="C2262" i="2"/>
  <c r="B2263" i="2" a="1"/>
  <c r="B2263" i="2" s="1"/>
  <c r="C2263" i="2" l="1"/>
  <c r="H2263" i="2"/>
  <c r="D2263" i="2"/>
  <c r="G2263" i="2"/>
  <c r="F2263" i="2"/>
  <c r="E2263" i="2"/>
  <c r="B2264" i="2" a="1"/>
  <c r="B2264" i="2" s="1"/>
  <c r="D2264" i="2" l="1"/>
  <c r="F2264" i="2"/>
  <c r="E2264" i="2"/>
  <c r="C2264" i="2"/>
  <c r="H2264" i="2"/>
  <c r="G2264" i="2"/>
  <c r="B2265" i="2" a="1"/>
  <c r="B2265" i="2" s="1"/>
  <c r="G2265" i="2" l="1"/>
  <c r="F2265" i="2"/>
  <c r="E2265" i="2"/>
  <c r="H2265" i="2"/>
  <c r="D2265" i="2"/>
  <c r="C2265" i="2"/>
  <c r="B2266" i="2" a="1"/>
  <c r="B2266" i="2" s="1"/>
  <c r="F2266" i="2" l="1"/>
  <c r="C2266" i="2"/>
  <c r="H2266" i="2"/>
  <c r="G2266" i="2"/>
  <c r="E2266" i="2"/>
  <c r="D2266" i="2"/>
  <c r="B2267" i="2" a="1"/>
  <c r="B2267" i="2" s="1"/>
  <c r="F2267" i="2" l="1"/>
  <c r="D2267" i="2"/>
  <c r="H2267" i="2"/>
  <c r="G2267" i="2"/>
  <c r="E2267" i="2"/>
  <c r="C2267" i="2"/>
  <c r="B2268" i="2" a="1"/>
  <c r="B2268" i="2" s="1"/>
  <c r="H2268" i="2" l="1"/>
  <c r="C2268" i="2"/>
  <c r="F2268" i="2"/>
  <c r="E2268" i="2"/>
  <c r="D2268" i="2"/>
  <c r="G2268" i="2"/>
  <c r="B2269" i="2" a="1"/>
  <c r="B2269" i="2" s="1"/>
  <c r="D2269" i="2" l="1"/>
  <c r="C2269" i="2"/>
  <c r="G2269" i="2"/>
  <c r="F2269" i="2"/>
  <c r="H2269" i="2"/>
  <c r="E2269" i="2"/>
  <c r="B2270" i="2" a="1"/>
  <c r="B2270" i="2" s="1"/>
  <c r="D2270" i="2" l="1"/>
  <c r="H2270" i="2"/>
  <c r="G2270" i="2"/>
  <c r="C2270" i="2"/>
  <c r="F2270" i="2"/>
  <c r="E2270" i="2"/>
  <c r="B2271" i="2" a="1"/>
  <c r="B2271" i="2" s="1"/>
  <c r="H2271" i="2" l="1"/>
  <c r="E2271" i="2"/>
  <c r="G2271" i="2"/>
  <c r="F2271" i="2"/>
  <c r="D2271" i="2"/>
  <c r="C2271" i="2"/>
  <c r="B2272" i="2" a="1"/>
  <c r="B2272" i="2" s="1"/>
  <c r="F2272" i="2" l="1"/>
  <c r="H2272" i="2"/>
  <c r="D2272" i="2"/>
  <c r="C2272" i="2"/>
  <c r="G2272" i="2"/>
  <c r="E2272" i="2"/>
  <c r="B2273" i="2" a="1"/>
  <c r="B2273" i="2" s="1"/>
  <c r="C2273" i="2" l="1"/>
  <c r="H2273" i="2"/>
  <c r="G2273" i="2"/>
  <c r="D2273" i="2"/>
  <c r="F2273" i="2"/>
  <c r="E2273" i="2"/>
  <c r="B2274" i="2" a="1"/>
  <c r="B2274" i="2" s="1"/>
  <c r="F2274" i="2" l="1"/>
  <c r="E2274" i="2"/>
  <c r="G2274" i="2"/>
  <c r="H2274" i="2"/>
  <c r="D2274" i="2"/>
  <c r="C2274" i="2"/>
  <c r="B2275" i="2" a="1"/>
  <c r="B2275" i="2" s="1"/>
  <c r="H2275" i="2" l="1"/>
  <c r="G2275" i="2"/>
  <c r="D2275" i="2"/>
  <c r="C2275" i="2"/>
  <c r="F2275" i="2"/>
  <c r="E2275" i="2"/>
  <c r="B2276" i="2" a="1"/>
  <c r="B2276" i="2" s="1"/>
  <c r="H2276" i="2" l="1"/>
  <c r="E2276" i="2"/>
  <c r="D2276" i="2"/>
  <c r="C2276" i="2"/>
  <c r="F2276" i="2"/>
  <c r="G2276" i="2"/>
  <c r="B2277" i="2" a="1"/>
  <c r="B2277" i="2" s="1"/>
  <c r="E2277" i="2" l="1"/>
  <c r="D2277" i="2"/>
  <c r="C2277" i="2"/>
  <c r="G2277" i="2"/>
  <c r="H2277" i="2"/>
  <c r="F2277" i="2"/>
  <c r="B2278" i="2" a="1"/>
  <c r="B2278" i="2" s="1"/>
  <c r="C2278" i="2" l="1"/>
  <c r="E2278" i="2"/>
  <c r="H2278" i="2"/>
  <c r="G2278" i="2"/>
  <c r="F2278" i="2"/>
  <c r="D2278" i="2"/>
  <c r="B2279" i="2" a="1"/>
  <c r="B2279" i="2" s="1"/>
  <c r="C2279" i="2" l="1"/>
  <c r="H2279" i="2"/>
  <c r="G2279" i="2"/>
  <c r="F2279" i="2"/>
  <c r="E2279" i="2"/>
  <c r="D2279" i="2"/>
  <c r="B2280" i="2" a="1"/>
  <c r="B2280" i="2" s="1"/>
  <c r="E2280" i="2" l="1"/>
  <c r="G2280" i="2"/>
  <c r="C2280" i="2"/>
  <c r="F2280" i="2"/>
  <c r="D2280" i="2"/>
  <c r="H2280" i="2"/>
  <c r="B2281" i="2" a="1"/>
  <c r="B2281" i="2" s="1"/>
  <c r="H2281" i="2" l="1"/>
  <c r="E2281" i="2"/>
  <c r="G2281" i="2"/>
  <c r="D2281" i="2"/>
  <c r="F2281" i="2"/>
  <c r="C2281" i="2"/>
  <c r="B2282" i="2" a="1"/>
  <c r="B2282" i="2" s="1"/>
  <c r="D2282" i="2" l="1"/>
  <c r="G2282" i="2"/>
  <c r="F2282" i="2"/>
  <c r="C2282" i="2"/>
  <c r="H2282" i="2"/>
  <c r="E2282" i="2"/>
  <c r="B2283" i="2" a="1"/>
  <c r="B2283" i="2" s="1"/>
  <c r="D2283" i="2" l="1"/>
  <c r="G2283" i="2"/>
  <c r="H2283" i="2"/>
  <c r="F2283" i="2"/>
  <c r="C2283" i="2"/>
  <c r="E2283" i="2"/>
  <c r="B2284" i="2" a="1"/>
  <c r="B2284" i="2" s="1"/>
  <c r="G2284" i="2" l="1"/>
  <c r="D2284" i="2"/>
  <c r="H2284" i="2"/>
  <c r="F2284" i="2"/>
  <c r="E2284" i="2"/>
  <c r="C2284" i="2"/>
  <c r="B2285" i="2" a="1"/>
  <c r="B2285" i="2" s="1"/>
  <c r="C2285" i="2" l="1"/>
  <c r="F2285" i="2"/>
  <c r="E2285" i="2"/>
  <c r="H2285" i="2"/>
  <c r="G2285" i="2"/>
  <c r="D2285" i="2"/>
  <c r="B2286" i="2" a="1"/>
  <c r="B2286" i="2" s="1"/>
  <c r="G2286" i="2" l="1"/>
  <c r="D2286" i="2"/>
  <c r="H2286" i="2"/>
  <c r="F2286" i="2"/>
  <c r="E2286" i="2"/>
  <c r="C2286" i="2"/>
  <c r="B2287" i="2" a="1"/>
  <c r="B2287" i="2" s="1"/>
  <c r="E2287" i="2" l="1"/>
  <c r="D2287" i="2"/>
  <c r="H2287" i="2"/>
  <c r="G2287" i="2"/>
  <c r="F2287" i="2"/>
  <c r="C2287" i="2"/>
  <c r="B2288" i="2" a="1"/>
  <c r="B2288" i="2" s="1"/>
  <c r="C2288" i="2" l="1"/>
  <c r="G2288" i="2"/>
  <c r="H2288" i="2"/>
  <c r="F2288" i="2"/>
  <c r="E2288" i="2"/>
  <c r="D2288" i="2"/>
  <c r="B2289" i="2" a="1"/>
  <c r="B2289" i="2" s="1"/>
  <c r="F2289" i="2" l="1"/>
  <c r="D2289" i="2"/>
  <c r="C2289" i="2"/>
  <c r="H2289" i="2"/>
  <c r="E2289" i="2"/>
  <c r="G2289" i="2"/>
  <c r="B2290" i="2" a="1"/>
  <c r="B2290" i="2" s="1"/>
  <c r="F2290" i="2" l="1"/>
  <c r="D2290" i="2"/>
  <c r="H2290" i="2"/>
  <c r="G2290" i="2"/>
  <c r="E2290" i="2"/>
  <c r="C2290" i="2"/>
  <c r="B2291" i="2" a="1"/>
  <c r="B2291" i="2" s="1"/>
  <c r="C2291" i="2" l="1"/>
  <c r="D2291" i="2"/>
  <c r="E2291" i="2"/>
  <c r="H2291" i="2"/>
  <c r="G2291" i="2"/>
  <c r="F2291" i="2"/>
  <c r="B2292" i="2" a="1"/>
  <c r="B2292" i="2" s="1"/>
  <c r="G2292" i="2" l="1"/>
  <c r="H2292" i="2"/>
  <c r="F2292" i="2"/>
  <c r="E2292" i="2"/>
  <c r="D2292" i="2"/>
  <c r="C2292" i="2"/>
  <c r="B2293" i="2" a="1"/>
  <c r="B2293" i="2" s="1"/>
  <c r="H2293" i="2" l="1"/>
  <c r="G2293" i="2"/>
  <c r="E2293" i="2"/>
  <c r="F2293" i="2"/>
  <c r="D2293" i="2"/>
  <c r="C2293" i="2"/>
  <c r="B2294" i="2" a="1"/>
  <c r="B2294" i="2" s="1"/>
  <c r="C2294" i="2" l="1"/>
  <c r="F2294" i="2"/>
  <c r="H2294" i="2"/>
  <c r="G2294" i="2"/>
  <c r="E2294" i="2"/>
  <c r="D2294" i="2"/>
  <c r="B2295" i="2" a="1"/>
  <c r="B2295" i="2" s="1"/>
  <c r="G2295" i="2" l="1"/>
  <c r="C2295" i="2"/>
  <c r="D2295" i="2"/>
  <c r="H2295" i="2"/>
  <c r="F2295" i="2"/>
  <c r="E2295" i="2"/>
  <c r="B2296" i="2" a="1"/>
  <c r="B2296" i="2" s="1"/>
  <c r="H2296" i="2" l="1"/>
  <c r="C2296" i="2"/>
  <c r="G2296" i="2"/>
  <c r="F2296" i="2"/>
  <c r="E2296" i="2"/>
  <c r="D2296" i="2"/>
  <c r="B2297" i="2" a="1"/>
  <c r="B2297" i="2" s="1"/>
  <c r="E2297" i="2" l="1"/>
  <c r="C2297" i="2"/>
  <c r="H2297" i="2"/>
  <c r="D2297" i="2"/>
  <c r="G2297" i="2"/>
  <c r="F2297" i="2"/>
  <c r="B2298" i="2" a="1"/>
  <c r="B2298" i="2" s="1"/>
  <c r="C2298" i="2" l="1"/>
  <c r="H2298" i="2"/>
  <c r="F2298" i="2"/>
  <c r="G2298" i="2"/>
  <c r="E2298" i="2"/>
  <c r="D2298" i="2"/>
  <c r="B2299" i="2" a="1"/>
  <c r="B2299" i="2" s="1"/>
  <c r="H2299" i="2" l="1"/>
  <c r="E2299" i="2"/>
  <c r="G2299" i="2"/>
  <c r="F2299" i="2"/>
  <c r="D2299" i="2"/>
  <c r="C2299" i="2"/>
  <c r="B2300" i="2" a="1"/>
  <c r="B2300" i="2" s="1"/>
  <c r="E2300" i="2" l="1"/>
  <c r="D2300" i="2"/>
  <c r="H2300" i="2"/>
  <c r="G2300" i="2"/>
  <c r="F2300" i="2"/>
  <c r="C2300" i="2"/>
  <c r="B2301" i="2" a="1"/>
  <c r="B2301" i="2" s="1"/>
  <c r="C2301" i="2" l="1"/>
  <c r="G2301" i="2"/>
  <c r="E2301" i="2"/>
  <c r="F2301" i="2"/>
  <c r="D2301" i="2"/>
  <c r="H2301" i="2"/>
  <c r="B2302" i="2" a="1"/>
  <c r="B2302" i="2" s="1"/>
  <c r="G2302" i="2" l="1"/>
  <c r="C2302" i="2"/>
  <c r="H2302" i="2"/>
  <c r="F2302" i="2"/>
  <c r="E2302" i="2"/>
  <c r="D2302" i="2"/>
  <c r="B2303" i="2" a="1"/>
  <c r="B2303" i="2" s="1"/>
  <c r="H2303" i="2" l="1"/>
  <c r="G2303" i="2"/>
  <c r="E2303" i="2"/>
  <c r="C2303" i="2"/>
  <c r="F2303" i="2"/>
  <c r="D2303" i="2"/>
  <c r="B2304" i="2" a="1"/>
  <c r="B2304" i="2" s="1"/>
  <c r="C2304" i="2" l="1"/>
  <c r="D2304" i="2"/>
  <c r="H2304" i="2"/>
  <c r="G2304" i="2"/>
  <c r="F2304" i="2"/>
  <c r="E2304" i="2"/>
  <c r="B2305" i="2" a="1"/>
  <c r="B2305" i="2" s="1"/>
  <c r="G2305" i="2" l="1"/>
  <c r="D2305" i="2"/>
  <c r="H2305" i="2"/>
  <c r="C2305" i="2"/>
  <c r="F2305" i="2"/>
  <c r="E2305" i="2"/>
  <c r="B2306" i="2" a="1"/>
  <c r="B2306" i="2" s="1"/>
  <c r="G2306" i="2" l="1"/>
  <c r="H2306" i="2"/>
  <c r="F2306" i="2"/>
  <c r="E2306" i="2"/>
  <c r="D2306" i="2"/>
  <c r="C2306" i="2"/>
  <c r="B2307" i="2" a="1"/>
  <c r="B2307" i="2" s="1"/>
  <c r="F2307" i="2" l="1"/>
  <c r="C2307" i="2"/>
  <c r="H2307" i="2"/>
  <c r="G2307" i="2"/>
  <c r="E2307" i="2"/>
  <c r="D2307" i="2"/>
  <c r="B2308" i="2" a="1"/>
  <c r="B2308" i="2" s="1"/>
  <c r="H2308" i="2" l="1"/>
  <c r="D2308" i="2"/>
  <c r="C2308" i="2"/>
  <c r="G2308" i="2"/>
  <c r="F2308" i="2"/>
  <c r="E2308" i="2"/>
  <c r="B2309" i="2" a="1"/>
  <c r="B2309" i="2" s="1"/>
  <c r="C2309" i="2" l="1"/>
  <c r="E2309" i="2"/>
  <c r="D2309" i="2"/>
  <c r="H2309" i="2"/>
  <c r="G2309" i="2"/>
  <c r="F2309" i="2"/>
  <c r="B2310" i="2" a="1"/>
  <c r="B2310" i="2" s="1"/>
  <c r="C2310" i="2" l="1"/>
  <c r="D2310" i="2"/>
  <c r="H2310" i="2"/>
  <c r="F2310" i="2"/>
  <c r="G2310" i="2"/>
  <c r="E2310" i="2"/>
  <c r="B2311" i="2" a="1"/>
  <c r="B2311" i="2" s="1"/>
  <c r="C2311" i="2" l="1"/>
  <c r="G2311" i="2"/>
  <c r="H2311" i="2"/>
  <c r="F2311" i="2"/>
  <c r="E2311" i="2"/>
  <c r="D2311" i="2"/>
  <c r="B2312" i="2" a="1"/>
  <c r="B2312" i="2" s="1"/>
  <c r="E2312" i="2" l="1"/>
  <c r="D2312" i="2"/>
  <c r="C2312" i="2"/>
  <c r="G2312" i="2"/>
  <c r="F2312" i="2"/>
  <c r="H2312" i="2"/>
  <c r="B2313" i="2" a="1"/>
  <c r="B2313" i="2" s="1"/>
  <c r="C2313" i="2" l="1"/>
  <c r="F2313" i="2"/>
  <c r="E2313" i="2"/>
  <c r="H2313" i="2"/>
  <c r="G2313" i="2"/>
  <c r="D2313" i="2"/>
  <c r="B2314" i="2" a="1"/>
  <c r="B2314" i="2" s="1"/>
  <c r="H2314" i="2" l="1"/>
  <c r="F2314" i="2"/>
  <c r="E2314" i="2"/>
  <c r="G2314" i="2"/>
  <c r="D2314" i="2"/>
  <c r="C2314" i="2"/>
  <c r="B2315" i="2" a="1"/>
  <c r="B2315" i="2" s="1"/>
  <c r="H2315" i="2" l="1"/>
  <c r="F2315" i="2"/>
  <c r="D2315" i="2"/>
  <c r="G2315" i="2"/>
  <c r="C2315" i="2"/>
  <c r="E2315" i="2"/>
  <c r="B2316" i="2" a="1"/>
  <c r="B2316" i="2" s="1"/>
  <c r="C2316" i="2" l="1"/>
  <c r="H2316" i="2"/>
  <c r="G2316" i="2"/>
  <c r="E2316" i="2"/>
  <c r="D2316" i="2"/>
  <c r="F2316" i="2"/>
  <c r="B2317" i="2" a="1"/>
  <c r="B2317" i="2" s="1"/>
  <c r="G2317" i="2" l="1"/>
  <c r="F2317" i="2"/>
  <c r="D2317" i="2"/>
  <c r="E2317" i="2"/>
  <c r="H2317" i="2"/>
  <c r="C2317" i="2"/>
  <c r="B2318" i="2" a="1"/>
  <c r="B2318" i="2" s="1"/>
  <c r="E2318" i="2" l="1"/>
  <c r="D2318" i="2"/>
  <c r="H2318" i="2"/>
  <c r="G2318" i="2"/>
  <c r="F2318" i="2"/>
  <c r="C2318" i="2"/>
  <c r="B2319" i="2" a="1"/>
  <c r="B2319" i="2" s="1"/>
  <c r="C2319" i="2" l="1"/>
  <c r="D2319" i="2"/>
  <c r="G2319" i="2"/>
  <c r="E2319" i="2"/>
  <c r="H2319" i="2"/>
  <c r="F2319" i="2"/>
  <c r="B2320" i="2" a="1"/>
  <c r="B2320" i="2" s="1"/>
  <c r="G2320" i="2" l="1"/>
  <c r="H2320" i="2"/>
  <c r="F2320" i="2"/>
  <c r="E2320" i="2"/>
  <c r="C2320" i="2"/>
  <c r="D2320" i="2"/>
  <c r="B2321" i="2" a="1"/>
  <c r="B2321" i="2" s="1"/>
  <c r="G2321" i="2" l="1"/>
  <c r="F2321" i="2"/>
  <c r="H2321" i="2"/>
  <c r="E2321" i="2"/>
  <c r="D2321" i="2"/>
  <c r="C2321" i="2"/>
  <c r="B2322" i="2" a="1"/>
  <c r="B2322" i="2" s="1"/>
  <c r="C2322" i="2" l="1"/>
  <c r="F2322" i="2"/>
  <c r="E2322" i="2"/>
  <c r="D2322" i="2"/>
  <c r="G2322" i="2"/>
  <c r="H2322" i="2"/>
  <c r="B2323" i="2" a="1"/>
  <c r="B2323" i="2" s="1"/>
  <c r="G2323" i="2" l="1"/>
  <c r="D2323" i="2"/>
  <c r="C2323" i="2"/>
  <c r="F2323" i="2"/>
  <c r="E2323" i="2"/>
  <c r="H2323" i="2"/>
  <c r="B2324" i="2" a="1"/>
  <c r="B2324" i="2" s="1"/>
  <c r="C2324" i="2" l="1"/>
  <c r="H2324" i="2"/>
  <c r="F2324" i="2"/>
  <c r="E2324" i="2"/>
  <c r="D2324" i="2"/>
  <c r="G2324" i="2"/>
  <c r="B2325" i="2" a="1"/>
  <c r="B2325" i="2" s="1"/>
  <c r="C2325" i="2" l="1"/>
  <c r="H2325" i="2"/>
  <c r="G2325" i="2"/>
  <c r="F2325" i="2"/>
  <c r="D2325" i="2"/>
  <c r="E2325" i="2"/>
  <c r="B2326" i="2" a="1"/>
  <c r="B2326" i="2" s="1"/>
  <c r="G2326" i="2" l="1"/>
  <c r="F2326" i="2"/>
  <c r="E2326" i="2"/>
  <c r="D2326" i="2"/>
  <c r="C2326" i="2"/>
  <c r="H2326" i="2"/>
  <c r="B2327" i="2" a="1"/>
  <c r="B2327" i="2" s="1"/>
  <c r="E2327" i="2" l="1"/>
  <c r="D2327" i="2"/>
  <c r="C2327" i="2"/>
  <c r="G2327" i="2"/>
  <c r="F2327" i="2"/>
  <c r="H2327" i="2"/>
  <c r="B2328" i="2" a="1"/>
  <c r="B2328" i="2" s="1"/>
  <c r="E2328" i="2" l="1"/>
  <c r="F2328" i="2"/>
  <c r="C2328" i="2"/>
  <c r="H2328" i="2"/>
  <c r="G2328" i="2"/>
  <c r="D2328" i="2"/>
  <c r="B2329" i="2" a="1"/>
  <c r="B2329" i="2" s="1"/>
  <c r="E2329" i="2" l="1"/>
  <c r="C2329" i="2"/>
  <c r="D2329" i="2"/>
  <c r="G2329" i="2"/>
  <c r="H2329" i="2"/>
  <c r="F2329" i="2"/>
  <c r="B2330" i="2" a="1"/>
  <c r="B2330" i="2" s="1"/>
  <c r="G2330" i="2" l="1"/>
  <c r="F2330" i="2"/>
  <c r="E2330" i="2"/>
  <c r="D2330" i="2"/>
  <c r="H2330" i="2"/>
  <c r="C2330" i="2"/>
  <c r="B2331" i="2" a="1"/>
  <c r="B2331" i="2" s="1"/>
  <c r="F2331" i="2" l="1"/>
  <c r="E2331" i="2"/>
  <c r="G2331" i="2"/>
  <c r="D2331" i="2"/>
  <c r="H2331" i="2"/>
  <c r="C2331" i="2"/>
  <c r="B2332" i="2" a="1"/>
  <c r="B2332" i="2" s="1"/>
  <c r="E2332" i="2" l="1"/>
  <c r="F2332" i="2"/>
  <c r="G2332" i="2"/>
  <c r="D2332" i="2"/>
  <c r="C2332" i="2"/>
  <c r="H2332" i="2"/>
  <c r="B2333" i="2" a="1"/>
  <c r="B2333" i="2" s="1"/>
  <c r="G2333" i="2" l="1"/>
  <c r="F2333" i="2"/>
  <c r="C2333" i="2"/>
  <c r="E2333" i="2"/>
  <c r="D2333" i="2"/>
  <c r="H2333" i="2"/>
  <c r="B2334" i="2" a="1"/>
  <c r="B2334" i="2" s="1"/>
  <c r="C2334" i="2" l="1"/>
  <c r="H2334" i="2"/>
  <c r="G2334" i="2"/>
  <c r="F2334" i="2"/>
  <c r="E2334" i="2"/>
  <c r="D2334" i="2"/>
  <c r="B2335" i="2" a="1"/>
  <c r="B2335" i="2" s="1"/>
  <c r="G2335" i="2" l="1"/>
  <c r="H2335" i="2"/>
  <c r="F2335" i="2"/>
  <c r="E2335" i="2"/>
  <c r="D2335" i="2"/>
  <c r="C2335" i="2"/>
  <c r="B2336" i="2" a="1"/>
  <c r="B2336" i="2" s="1"/>
  <c r="E2336" i="2" l="1"/>
  <c r="D2336" i="2"/>
  <c r="G2336" i="2"/>
  <c r="C2336" i="2"/>
  <c r="H2336" i="2"/>
  <c r="F2336" i="2"/>
  <c r="B2337" i="2" a="1"/>
  <c r="B2337" i="2" s="1"/>
  <c r="E2337" i="2" l="1"/>
  <c r="C2337" i="2"/>
  <c r="H2337" i="2"/>
  <c r="F2337" i="2"/>
  <c r="D2337" i="2"/>
  <c r="G2337" i="2"/>
  <c r="B2338" i="2" a="1"/>
  <c r="B2338" i="2" s="1"/>
  <c r="G2338" i="2" l="1"/>
  <c r="H2338" i="2"/>
  <c r="F2338" i="2"/>
  <c r="D2338" i="2"/>
  <c r="C2338" i="2"/>
  <c r="E2338" i="2"/>
  <c r="B2339" i="2" a="1"/>
  <c r="B2339" i="2" s="1"/>
  <c r="D2339" i="2" l="1"/>
  <c r="C2339" i="2"/>
  <c r="H2339" i="2"/>
  <c r="G2339" i="2"/>
  <c r="F2339" i="2"/>
  <c r="E2339" i="2"/>
  <c r="B2340" i="2" a="1"/>
  <c r="B2340" i="2" s="1"/>
  <c r="H2340" i="2" l="1"/>
  <c r="G2340" i="2"/>
  <c r="F2340" i="2"/>
  <c r="E2340" i="2"/>
  <c r="D2340" i="2"/>
  <c r="C2340" i="2"/>
  <c r="B2341" i="2" a="1"/>
  <c r="B2341" i="2" s="1"/>
  <c r="C2341" i="2" l="1"/>
  <c r="H2341" i="2"/>
  <c r="F2341" i="2"/>
  <c r="E2341" i="2"/>
  <c r="D2341" i="2"/>
  <c r="G2341" i="2"/>
  <c r="B2342" i="2" a="1"/>
  <c r="B2342" i="2" s="1"/>
  <c r="H2342" i="2" l="1"/>
  <c r="F2342" i="2"/>
  <c r="E2342" i="2"/>
  <c r="D2342" i="2"/>
  <c r="C2342" i="2"/>
  <c r="G2342" i="2"/>
  <c r="B2343" i="2" a="1"/>
  <c r="B2343" i="2" s="1"/>
  <c r="C2343" i="2" l="1"/>
  <c r="G2343" i="2"/>
  <c r="F2343" i="2"/>
  <c r="E2343" i="2"/>
  <c r="D2343" i="2"/>
  <c r="H2343" i="2"/>
  <c r="B2344" i="2" a="1"/>
  <c r="B2344" i="2" s="1"/>
  <c r="D2344" i="2" l="1"/>
  <c r="H2344" i="2"/>
  <c r="F2344" i="2"/>
  <c r="E2344" i="2"/>
  <c r="C2344" i="2"/>
  <c r="G2344" i="2"/>
  <c r="B2345" i="2" a="1"/>
  <c r="B2345" i="2" s="1"/>
  <c r="E2345" i="2" l="1"/>
  <c r="D2345" i="2"/>
  <c r="F2345" i="2"/>
  <c r="H2345" i="2"/>
  <c r="G2345" i="2"/>
  <c r="C2345" i="2"/>
  <c r="B2346" i="2" a="1"/>
  <c r="B2346" i="2" s="1"/>
  <c r="F2346" i="2" l="1"/>
  <c r="E2346" i="2"/>
  <c r="C2346" i="2"/>
  <c r="D2346" i="2"/>
  <c r="G2346" i="2"/>
  <c r="H2346" i="2"/>
  <c r="B2347" i="2" a="1"/>
  <c r="B2347" i="2" s="1"/>
  <c r="G2347" i="2" l="1"/>
  <c r="F2347" i="2"/>
  <c r="H2347" i="2"/>
  <c r="E2347" i="2"/>
  <c r="C2347" i="2"/>
  <c r="D2347" i="2"/>
  <c r="B2348" i="2" a="1"/>
  <c r="B2348" i="2" s="1"/>
  <c r="G2348" i="2" l="1"/>
  <c r="E2348" i="2"/>
  <c r="F2348" i="2"/>
  <c r="D2348" i="2"/>
  <c r="C2348" i="2"/>
  <c r="H2348" i="2"/>
  <c r="B2349" i="2" a="1"/>
  <c r="B2349" i="2" s="1"/>
  <c r="E2349" i="2" l="1"/>
  <c r="C2349" i="2"/>
  <c r="D2349" i="2"/>
  <c r="H2349" i="2"/>
  <c r="G2349" i="2"/>
  <c r="F2349" i="2"/>
  <c r="B2350" i="2" a="1"/>
  <c r="B2350" i="2" s="1"/>
  <c r="G2350" i="2" l="1"/>
  <c r="H2350" i="2"/>
  <c r="F2350" i="2"/>
  <c r="E2350" i="2"/>
  <c r="C2350" i="2"/>
  <c r="D2350" i="2"/>
  <c r="B2351" i="2" a="1"/>
  <c r="B2351" i="2" s="1"/>
  <c r="H2351" i="2" l="1"/>
  <c r="G2351" i="2"/>
  <c r="F2351" i="2"/>
  <c r="E2351" i="2"/>
  <c r="D2351" i="2"/>
  <c r="C2351" i="2"/>
  <c r="B2352" i="2" a="1"/>
  <c r="B2352" i="2" s="1"/>
  <c r="G2352" i="2" l="1"/>
  <c r="E2352" i="2"/>
  <c r="D2352" i="2"/>
  <c r="C2352" i="2"/>
  <c r="F2352" i="2"/>
  <c r="H2352" i="2"/>
  <c r="B2353" i="2" a="1"/>
  <c r="B2353" i="2" s="1"/>
  <c r="D2353" i="2" l="1"/>
  <c r="C2353" i="2"/>
  <c r="H2353" i="2"/>
  <c r="G2353" i="2"/>
  <c r="F2353" i="2"/>
  <c r="E2353" i="2"/>
  <c r="B2354" i="2" a="1"/>
  <c r="B2354" i="2" s="1"/>
  <c r="H2354" i="2" l="1"/>
  <c r="G2354" i="2"/>
  <c r="F2354" i="2"/>
  <c r="E2354" i="2"/>
  <c r="D2354" i="2"/>
  <c r="C2354" i="2"/>
  <c r="B2355" i="2" a="1"/>
  <c r="B2355" i="2" s="1"/>
  <c r="D2355" i="2" l="1"/>
  <c r="F2355" i="2"/>
  <c r="G2355" i="2"/>
  <c r="C2355" i="2"/>
  <c r="H2355" i="2"/>
  <c r="E2355" i="2"/>
  <c r="B2356" i="2" a="1"/>
  <c r="B2356" i="2" s="1"/>
  <c r="H2356" i="2" l="1"/>
  <c r="F2356" i="2"/>
  <c r="E2356" i="2"/>
  <c r="D2356" i="2"/>
  <c r="C2356" i="2"/>
  <c r="G2356" i="2"/>
  <c r="B2357" i="2" a="1"/>
  <c r="B2357" i="2" s="1"/>
  <c r="E2357" i="2" l="1"/>
  <c r="C2357" i="2"/>
  <c r="H2357" i="2"/>
  <c r="G2357" i="2"/>
  <c r="D2357" i="2"/>
  <c r="F2357" i="2"/>
  <c r="B2358" i="2" a="1"/>
  <c r="B2358" i="2" s="1"/>
  <c r="C2358" i="2" l="1"/>
  <c r="H2358" i="2"/>
  <c r="G2358" i="2"/>
  <c r="F2358" i="2"/>
  <c r="E2358" i="2"/>
  <c r="D2358" i="2"/>
  <c r="B2359" i="2" a="1"/>
  <c r="B2359" i="2" s="1"/>
  <c r="E2359" i="2" l="1"/>
  <c r="C2359" i="2"/>
  <c r="D2359" i="2"/>
  <c r="G2359" i="2"/>
  <c r="H2359" i="2"/>
  <c r="F2359" i="2"/>
  <c r="B2360" i="2" a="1"/>
  <c r="B2360" i="2" s="1"/>
  <c r="G2360" i="2" l="1"/>
  <c r="H2360" i="2"/>
  <c r="F2360" i="2"/>
  <c r="E2360" i="2"/>
  <c r="D2360" i="2"/>
  <c r="C2360" i="2"/>
  <c r="B2361" i="2" a="1"/>
  <c r="B2361" i="2" s="1"/>
  <c r="C2361" i="2" l="1"/>
  <c r="H2361" i="2"/>
  <c r="G2361" i="2"/>
  <c r="F2361" i="2"/>
  <c r="E2361" i="2"/>
  <c r="D2361" i="2"/>
  <c r="B2362" i="2" a="1"/>
  <c r="B2362" i="2" s="1"/>
  <c r="D2362" i="2" l="1"/>
  <c r="G2362" i="2"/>
  <c r="F2362" i="2"/>
  <c r="E2362" i="2"/>
  <c r="C2362" i="2"/>
  <c r="H2362" i="2"/>
  <c r="B2363" i="2" a="1"/>
  <c r="B2363" i="2" s="1"/>
  <c r="E2363" i="2" l="1"/>
  <c r="D2363" i="2"/>
  <c r="C2363" i="2"/>
  <c r="H2363" i="2"/>
  <c r="G2363" i="2"/>
  <c r="F2363" i="2"/>
  <c r="B2364" i="2" a="1"/>
  <c r="B2364" i="2" s="1"/>
  <c r="E2364" i="2" l="1"/>
  <c r="C2364" i="2"/>
  <c r="D2364" i="2"/>
  <c r="H2364" i="2"/>
  <c r="F2364" i="2"/>
  <c r="G2364" i="2"/>
  <c r="B2365" i="2" a="1"/>
  <c r="B2365" i="2" s="1"/>
  <c r="G2365" i="2" l="1"/>
  <c r="F2365" i="2"/>
  <c r="H2365" i="2"/>
  <c r="E2365" i="2"/>
  <c r="D2365" i="2"/>
  <c r="C2365" i="2"/>
  <c r="B2366" i="2" a="1"/>
  <c r="B2366" i="2" s="1"/>
  <c r="G2366" i="2" l="1"/>
  <c r="D2366" i="2"/>
  <c r="C2366" i="2"/>
  <c r="H2366" i="2"/>
  <c r="E2366" i="2"/>
  <c r="F2366" i="2"/>
  <c r="B2367" i="2" a="1"/>
  <c r="B2367" i="2" s="1"/>
  <c r="C2367" i="2" l="1"/>
  <c r="H2367" i="2"/>
  <c r="G2367" i="2"/>
  <c r="F2367" i="2"/>
  <c r="D2367" i="2"/>
  <c r="E2367" i="2"/>
  <c r="B2368" i="2" a="1"/>
  <c r="B2368" i="2" s="1"/>
  <c r="G2368" i="2" l="1"/>
  <c r="D2368" i="2"/>
  <c r="C2368" i="2"/>
  <c r="H2368" i="2"/>
  <c r="E2368" i="2"/>
  <c r="F2368" i="2"/>
  <c r="B2369" i="2" a="1"/>
  <c r="B2369" i="2" s="1"/>
  <c r="H2369" i="2" l="1"/>
  <c r="G2369" i="2"/>
  <c r="F2369" i="2"/>
  <c r="E2369" i="2"/>
  <c r="D2369" i="2"/>
  <c r="C2369" i="2"/>
  <c r="B2370" i="2" a="1"/>
  <c r="B2370" i="2" s="1"/>
  <c r="C2370" i="2" l="1"/>
  <c r="F2370" i="2"/>
  <c r="D2370" i="2"/>
  <c r="H2370" i="2"/>
  <c r="E2370" i="2"/>
  <c r="G2370" i="2"/>
  <c r="B2371" i="2" a="1"/>
  <c r="B2371" i="2" s="1"/>
  <c r="G2371" i="2" l="1"/>
  <c r="F2371" i="2"/>
  <c r="H2371" i="2"/>
  <c r="E2371" i="2"/>
  <c r="D2371" i="2"/>
  <c r="C2371" i="2"/>
  <c r="B2372" i="2" a="1"/>
  <c r="B2372" i="2" s="1"/>
  <c r="E2372" i="2" l="1"/>
  <c r="F2372" i="2"/>
  <c r="C2372" i="2"/>
  <c r="D2372" i="2"/>
  <c r="H2372" i="2"/>
  <c r="G2372" i="2"/>
  <c r="B2373" i="2" a="1"/>
  <c r="B2373" i="2" s="1"/>
  <c r="E2373" i="2" l="1"/>
  <c r="C2373" i="2"/>
  <c r="H2373" i="2"/>
  <c r="D2373" i="2"/>
  <c r="G2373" i="2"/>
  <c r="F2373" i="2"/>
  <c r="B2374" i="2" a="1"/>
  <c r="B2374" i="2" s="1"/>
  <c r="G2374" i="2" l="1"/>
  <c r="C2374" i="2"/>
  <c r="H2374" i="2"/>
  <c r="F2374" i="2"/>
  <c r="D2374" i="2"/>
  <c r="E2374" i="2"/>
  <c r="B2375" i="2" a="1"/>
  <c r="B2375" i="2" s="1"/>
  <c r="E2375" i="2" l="1"/>
  <c r="H2375" i="2"/>
  <c r="G2375" i="2"/>
  <c r="F2375" i="2"/>
  <c r="D2375" i="2"/>
  <c r="C2375" i="2"/>
  <c r="B2376" i="2" a="1"/>
  <c r="B2376" i="2" s="1"/>
  <c r="C2376" i="2" l="1"/>
  <c r="F2376" i="2"/>
  <c r="H2376" i="2"/>
  <c r="G2376" i="2"/>
  <c r="D2376" i="2"/>
  <c r="E2376" i="2"/>
  <c r="B2377" i="2" a="1"/>
  <c r="B2377" i="2" s="1"/>
  <c r="D2377" i="2" l="1"/>
  <c r="C2377" i="2"/>
  <c r="G2377" i="2"/>
  <c r="H2377" i="2"/>
  <c r="F2377" i="2"/>
  <c r="E2377" i="2"/>
  <c r="B2378" i="2" a="1"/>
  <c r="B2378" i="2" s="1"/>
  <c r="C2378" i="2" l="1"/>
  <c r="H2378" i="2"/>
  <c r="F2378" i="2"/>
  <c r="D2378" i="2"/>
  <c r="E2378" i="2"/>
  <c r="G2378" i="2"/>
  <c r="B2379" i="2" a="1"/>
  <c r="B2379" i="2" s="1"/>
  <c r="D2379" i="2" l="1"/>
  <c r="C2379" i="2"/>
  <c r="H2379" i="2"/>
  <c r="G2379" i="2"/>
  <c r="F2379" i="2"/>
  <c r="E2379" i="2"/>
  <c r="B2380" i="2" a="1"/>
  <c r="B2380" i="2" s="1"/>
  <c r="C2380" i="2" l="1"/>
  <c r="E2380" i="2"/>
  <c r="G2380" i="2"/>
  <c r="D2380" i="2"/>
  <c r="H2380" i="2"/>
  <c r="F2380" i="2"/>
  <c r="B2381" i="2" a="1"/>
  <c r="B2381" i="2" s="1"/>
  <c r="F2381" i="2" l="1"/>
  <c r="E2381" i="2"/>
  <c r="H2381" i="2"/>
  <c r="G2381" i="2"/>
  <c r="D2381" i="2"/>
  <c r="C2381" i="2"/>
  <c r="B2382" i="2" a="1"/>
  <c r="B2382" i="2" s="1"/>
  <c r="C2382" i="2" l="1"/>
  <c r="H2382" i="2"/>
  <c r="G2382" i="2"/>
  <c r="F2382" i="2"/>
  <c r="D2382" i="2"/>
  <c r="E2382" i="2"/>
  <c r="B2383" i="2" a="1"/>
  <c r="B2383" i="2" s="1"/>
  <c r="D2383" i="2" l="1"/>
  <c r="C2383" i="2"/>
  <c r="G2383" i="2"/>
  <c r="F2383" i="2"/>
  <c r="H2383" i="2"/>
  <c r="E2383" i="2"/>
  <c r="B2384" i="2" a="1"/>
  <c r="B2384" i="2" s="1"/>
  <c r="G2384" i="2" l="1"/>
  <c r="H2384" i="2"/>
  <c r="F2384" i="2"/>
  <c r="E2384" i="2"/>
  <c r="C2384" i="2"/>
  <c r="D2384" i="2"/>
  <c r="B2385" i="2" a="1"/>
  <c r="B2385" i="2" s="1"/>
  <c r="F2385" i="2" l="1"/>
  <c r="C2385" i="2"/>
  <c r="D2385" i="2"/>
  <c r="H2385" i="2"/>
  <c r="G2385" i="2"/>
  <c r="E2385" i="2"/>
  <c r="B2386" i="2" a="1"/>
  <c r="B2386" i="2" s="1"/>
  <c r="G2386" i="2" l="1"/>
  <c r="D2386" i="2"/>
  <c r="H2386" i="2"/>
  <c r="F2386" i="2"/>
  <c r="E2386" i="2"/>
  <c r="C2386" i="2"/>
  <c r="B2387" i="2" a="1"/>
  <c r="B2387" i="2" s="1"/>
  <c r="E2387" i="2" l="1"/>
  <c r="G2387" i="2"/>
  <c r="F2387" i="2"/>
  <c r="D2387" i="2"/>
  <c r="C2387" i="2"/>
  <c r="H2387" i="2"/>
  <c r="B2388" i="2" a="1"/>
  <c r="B2388" i="2" s="1"/>
  <c r="G2388" i="2" l="1"/>
  <c r="E2388" i="2"/>
  <c r="D2388" i="2"/>
  <c r="C2388" i="2"/>
  <c r="F2388" i="2"/>
  <c r="H2388" i="2"/>
  <c r="B2389" i="2" a="1"/>
  <c r="B2389" i="2" s="1"/>
  <c r="D2389" i="2" l="1"/>
  <c r="C2389" i="2"/>
  <c r="G2389" i="2"/>
  <c r="E2389" i="2"/>
  <c r="H2389" i="2"/>
  <c r="F2389" i="2"/>
  <c r="B2390" i="2" a="1"/>
  <c r="B2390" i="2" s="1"/>
  <c r="C2390" i="2" l="1"/>
  <c r="H2390" i="2"/>
  <c r="G2390" i="2"/>
  <c r="F2390" i="2"/>
  <c r="E2390" i="2"/>
  <c r="D2390" i="2"/>
  <c r="B2391" i="2" a="1"/>
  <c r="B2391" i="2" s="1"/>
  <c r="C2391" i="2" l="1"/>
  <c r="H2391" i="2"/>
  <c r="D2391" i="2"/>
  <c r="G2391" i="2"/>
  <c r="F2391" i="2"/>
  <c r="E2391" i="2"/>
  <c r="B2392" i="2" a="1"/>
  <c r="B2392" i="2" s="1"/>
  <c r="E2392" i="2" l="1"/>
  <c r="D2392" i="2"/>
  <c r="C2392" i="2"/>
  <c r="G2392" i="2"/>
  <c r="H2392" i="2"/>
  <c r="F2392" i="2"/>
  <c r="B2393" i="2" a="1"/>
  <c r="B2393" i="2" s="1"/>
  <c r="E2393" i="2" l="1"/>
  <c r="H2393" i="2"/>
  <c r="G2393" i="2"/>
  <c r="F2393" i="2"/>
  <c r="D2393" i="2"/>
  <c r="C2393" i="2"/>
  <c r="B2394" i="2" a="1"/>
  <c r="B2394" i="2" s="1"/>
  <c r="C2394" i="2" l="1"/>
  <c r="F2394" i="2"/>
  <c r="H2394" i="2"/>
  <c r="G2394" i="2"/>
  <c r="E2394" i="2"/>
  <c r="D2394" i="2"/>
  <c r="B2395" i="2" a="1"/>
  <c r="B2395" i="2" s="1"/>
  <c r="G2395" i="2" l="1"/>
  <c r="H2395" i="2"/>
  <c r="F2395" i="2"/>
  <c r="E2395" i="2"/>
  <c r="D2395" i="2"/>
  <c r="C2395" i="2"/>
  <c r="B2396" i="2" a="1"/>
  <c r="B2396" i="2" s="1"/>
  <c r="G2396" i="2" l="1"/>
  <c r="C2396" i="2"/>
  <c r="H2396" i="2"/>
  <c r="F2396" i="2"/>
  <c r="E2396" i="2"/>
  <c r="D2396" i="2"/>
  <c r="B2397" i="2" a="1"/>
  <c r="B2397" i="2" s="1"/>
  <c r="C2397" i="2" l="1"/>
  <c r="H2397" i="2"/>
  <c r="G2397" i="2"/>
  <c r="F2397" i="2"/>
  <c r="E2397" i="2"/>
  <c r="D2397" i="2"/>
  <c r="B2398" i="2" a="1"/>
  <c r="B2398" i="2" s="1"/>
  <c r="G2398" i="2" l="1"/>
  <c r="D2398" i="2"/>
  <c r="H2398" i="2"/>
  <c r="F2398" i="2"/>
  <c r="E2398" i="2"/>
  <c r="C2398" i="2"/>
  <c r="B2399" i="2" a="1"/>
  <c r="B2399" i="2" s="1"/>
  <c r="G2399" i="2" l="1"/>
  <c r="E2399" i="2"/>
  <c r="H2399" i="2"/>
  <c r="F2399" i="2"/>
  <c r="C2399" i="2"/>
  <c r="D2399" i="2"/>
  <c r="B2400" i="2" a="1"/>
  <c r="B2400" i="2" s="1"/>
  <c r="G2400" i="2" l="1"/>
  <c r="F2400" i="2"/>
  <c r="E2400" i="2"/>
  <c r="C2400" i="2"/>
  <c r="H2400" i="2"/>
  <c r="D2400" i="2"/>
  <c r="B2401" i="2" a="1"/>
  <c r="B2401" i="2" s="1"/>
  <c r="G2401" i="2" l="1"/>
  <c r="F2401" i="2"/>
  <c r="H2401" i="2"/>
  <c r="E2401" i="2"/>
  <c r="D2401" i="2"/>
  <c r="C2401" i="2"/>
  <c r="B2402" i="2" a="1"/>
  <c r="B2402" i="2" s="1"/>
  <c r="G2402" i="2" l="1"/>
  <c r="H2402" i="2"/>
  <c r="F2402" i="2"/>
  <c r="E2402" i="2"/>
  <c r="D2402" i="2"/>
  <c r="C2402" i="2"/>
  <c r="B2403" i="2" a="1"/>
  <c r="B2403" i="2" s="1"/>
  <c r="C2403" i="2" l="1"/>
  <c r="D2403" i="2"/>
  <c r="G2403" i="2"/>
  <c r="F2403" i="2"/>
  <c r="E2403" i="2"/>
  <c r="H2403" i="2"/>
  <c r="B2404" i="2" a="1"/>
  <c r="B2404" i="2" s="1"/>
  <c r="C2404" i="2" l="1"/>
  <c r="G2404" i="2"/>
  <c r="D2404" i="2"/>
  <c r="H2404" i="2"/>
  <c r="F2404" i="2"/>
  <c r="E2404" i="2"/>
  <c r="B2405" i="2" a="1"/>
  <c r="B2405" i="2" s="1"/>
  <c r="F2405" i="2" l="1"/>
  <c r="E2405" i="2"/>
  <c r="D2405" i="2"/>
  <c r="C2405" i="2"/>
  <c r="H2405" i="2"/>
  <c r="G2405" i="2"/>
  <c r="B2406" i="2" a="1"/>
  <c r="B2406" i="2" s="1"/>
  <c r="G2406" i="2" l="1"/>
  <c r="C2406" i="2"/>
  <c r="F2406" i="2"/>
  <c r="H2406" i="2"/>
  <c r="E2406" i="2"/>
  <c r="D2406" i="2"/>
  <c r="B2407" i="2" a="1"/>
  <c r="B2407" i="2" s="1"/>
  <c r="D2407" i="2" l="1"/>
  <c r="C2407" i="2"/>
  <c r="H2407" i="2"/>
  <c r="G2407" i="2"/>
  <c r="F2407" i="2"/>
  <c r="E2407" i="2"/>
  <c r="B2408" i="2" a="1"/>
  <c r="B2408" i="2" s="1"/>
  <c r="F2408" i="2" l="1"/>
  <c r="E2408" i="2"/>
  <c r="D2408" i="2"/>
  <c r="C2408" i="2"/>
  <c r="H2408" i="2"/>
  <c r="G2408" i="2"/>
  <c r="B2409" i="2" a="1"/>
  <c r="B2409" i="2" s="1"/>
  <c r="C2409" i="2" l="1"/>
  <c r="H2409" i="2"/>
  <c r="D2409" i="2"/>
  <c r="G2409" i="2"/>
  <c r="F2409" i="2"/>
  <c r="E2409" i="2"/>
  <c r="B2410" i="2" a="1"/>
  <c r="B2410" i="2" s="1"/>
  <c r="H2410" i="2" l="1"/>
  <c r="F2410" i="2"/>
  <c r="E2410" i="2"/>
  <c r="D2410" i="2"/>
  <c r="C2410" i="2"/>
  <c r="G2410" i="2"/>
  <c r="B2411" i="2" a="1"/>
  <c r="B2411" i="2" s="1"/>
  <c r="D2411" i="2" l="1"/>
  <c r="E2411" i="2"/>
  <c r="H2411" i="2"/>
  <c r="G2411" i="2"/>
  <c r="F2411" i="2"/>
  <c r="C2411" i="2"/>
  <c r="B2412" i="2" a="1"/>
  <c r="B2412" i="2" s="1"/>
  <c r="G2412" i="2" l="1"/>
  <c r="F2412" i="2"/>
  <c r="H2412" i="2"/>
  <c r="E2412" i="2"/>
  <c r="C2412" i="2"/>
  <c r="D2412" i="2"/>
  <c r="B2413" i="2" a="1"/>
  <c r="B2413" i="2" s="1"/>
  <c r="G2413" i="2" l="1"/>
  <c r="C2413" i="2"/>
  <c r="H2413" i="2"/>
  <c r="F2413" i="2"/>
  <c r="E2413" i="2"/>
  <c r="D2413" i="2"/>
  <c r="B2414" i="2" a="1"/>
  <c r="B2414" i="2" s="1"/>
  <c r="E2414" i="2" l="1"/>
  <c r="D2414" i="2"/>
  <c r="F2414" i="2"/>
  <c r="C2414" i="2"/>
  <c r="H2414" i="2"/>
  <c r="G2414" i="2"/>
  <c r="B2415" i="2" a="1"/>
  <c r="B2415" i="2" s="1"/>
  <c r="G2415" i="2" l="1"/>
  <c r="E2415" i="2"/>
  <c r="D2415" i="2"/>
  <c r="C2415" i="2"/>
  <c r="F2415" i="2"/>
  <c r="H2415" i="2"/>
  <c r="B2416" i="2" a="1"/>
  <c r="B2416" i="2" s="1"/>
  <c r="F2416" i="2" l="1"/>
  <c r="E2416" i="2"/>
  <c r="D2416" i="2"/>
  <c r="G2416" i="2"/>
  <c r="H2416" i="2"/>
  <c r="C2416" i="2"/>
  <c r="B2417" i="2" a="1"/>
  <c r="B2417" i="2" s="1"/>
  <c r="G2417" i="2" l="1"/>
  <c r="E2417" i="2"/>
  <c r="D2417" i="2"/>
  <c r="C2417" i="2"/>
  <c r="F2417" i="2"/>
  <c r="H2417" i="2"/>
  <c r="B2418" i="2" a="1"/>
  <c r="B2418" i="2" s="1"/>
  <c r="G2418" i="2" l="1"/>
  <c r="F2418" i="2"/>
  <c r="E2418" i="2"/>
  <c r="D2418" i="2"/>
  <c r="H2418" i="2"/>
  <c r="C2418" i="2"/>
  <c r="B2419" i="2" a="1"/>
  <c r="B2419" i="2" s="1"/>
  <c r="G2419" i="2" l="1"/>
  <c r="D2419" i="2"/>
  <c r="H2419" i="2"/>
  <c r="F2419" i="2"/>
  <c r="E2419" i="2"/>
  <c r="C2419" i="2"/>
  <c r="B2420" i="2" a="1"/>
  <c r="B2420" i="2" s="1"/>
  <c r="E2420" i="2" l="1"/>
  <c r="H2420" i="2"/>
  <c r="G2420" i="2"/>
  <c r="F2420" i="2"/>
  <c r="D2420" i="2"/>
  <c r="C2420" i="2"/>
  <c r="B2421" i="2" a="1"/>
  <c r="B2421" i="2" s="1"/>
  <c r="H2421" i="2" l="1"/>
  <c r="C2421" i="2"/>
  <c r="F2421" i="2"/>
  <c r="E2421" i="2"/>
  <c r="G2421" i="2"/>
  <c r="D2421" i="2"/>
  <c r="B2422" i="2" a="1"/>
  <c r="B2422" i="2" s="1"/>
  <c r="G2422" i="2" l="1"/>
  <c r="F2422" i="2"/>
  <c r="E2422" i="2"/>
  <c r="D2422" i="2"/>
  <c r="C2422" i="2"/>
  <c r="H2422" i="2"/>
  <c r="B2423" i="2" a="1"/>
  <c r="B2423" i="2" s="1"/>
  <c r="G2423" i="2" l="1"/>
  <c r="D2423" i="2"/>
  <c r="C2423" i="2"/>
  <c r="H2423" i="2"/>
  <c r="F2423" i="2"/>
  <c r="E2423" i="2"/>
  <c r="B2424" i="2" a="1"/>
  <c r="B2424" i="2" s="1"/>
  <c r="G2424" i="2" l="1"/>
  <c r="E2424" i="2"/>
  <c r="D2424" i="2"/>
  <c r="H2424" i="2"/>
  <c r="F2424" i="2"/>
  <c r="C2424" i="2"/>
  <c r="B2425" i="2" a="1"/>
  <c r="B2425" i="2" s="1"/>
  <c r="D2425" i="2" l="1"/>
  <c r="G2425" i="2"/>
  <c r="H2425" i="2"/>
  <c r="F2425" i="2"/>
  <c r="E2425" i="2"/>
  <c r="C2425" i="2"/>
  <c r="B2426" i="2" a="1"/>
  <c r="B2426" i="2" s="1"/>
  <c r="F2426" i="2" l="1"/>
  <c r="E2426" i="2"/>
  <c r="C2426" i="2"/>
  <c r="H2426" i="2"/>
  <c r="G2426" i="2"/>
  <c r="D2426" i="2"/>
  <c r="B2427" i="2" a="1"/>
  <c r="B2427" i="2" s="1"/>
  <c r="C2427" i="2" l="1"/>
  <c r="H2427" i="2"/>
  <c r="G2427" i="2"/>
  <c r="F2427" i="2"/>
  <c r="E2427" i="2"/>
  <c r="D2427" i="2"/>
  <c r="B2428" i="2" a="1"/>
  <c r="B2428" i="2" s="1"/>
  <c r="C2428" i="2" l="1"/>
  <c r="H2428" i="2"/>
  <c r="E2428" i="2"/>
  <c r="D2428" i="2"/>
  <c r="F2428" i="2"/>
  <c r="G2428" i="2"/>
  <c r="B2429" i="2" a="1"/>
  <c r="B2429" i="2" s="1"/>
  <c r="G2429" i="2" l="1"/>
  <c r="F2429" i="2"/>
  <c r="H2429" i="2"/>
  <c r="E2429" i="2"/>
  <c r="D2429" i="2"/>
  <c r="C2429" i="2"/>
  <c r="B2430" i="2" a="1"/>
  <c r="B2430" i="2" s="1"/>
  <c r="G2430" i="2" l="1"/>
  <c r="F2430" i="2"/>
  <c r="E2430" i="2"/>
  <c r="H2430" i="2"/>
  <c r="C2430" i="2"/>
  <c r="D2430" i="2"/>
  <c r="B2431" i="2" a="1"/>
  <c r="B2431" i="2" s="1"/>
  <c r="H2431" i="2" l="1"/>
  <c r="F2431" i="2"/>
  <c r="E2431" i="2"/>
  <c r="D2431" i="2"/>
  <c r="C2431" i="2"/>
  <c r="G2431" i="2"/>
  <c r="B2432" i="2" a="1"/>
  <c r="B2432" i="2" s="1"/>
  <c r="H2432" i="2" l="1"/>
  <c r="E2432" i="2"/>
  <c r="D2432" i="2"/>
  <c r="C2432" i="2"/>
  <c r="G2432" i="2"/>
  <c r="F2432" i="2"/>
  <c r="B2433" i="2" a="1"/>
  <c r="B2433" i="2" s="1"/>
  <c r="E2433" i="2" l="1"/>
  <c r="G2433" i="2"/>
  <c r="D2433" i="2"/>
  <c r="H2433" i="2"/>
  <c r="C2433" i="2"/>
  <c r="F2433" i="2"/>
  <c r="B2434" i="2" a="1"/>
  <c r="B2434" i="2" s="1"/>
  <c r="G2434" i="2" l="1"/>
  <c r="H2434" i="2"/>
  <c r="F2434" i="2"/>
  <c r="C2434" i="2"/>
  <c r="E2434" i="2"/>
  <c r="D2434" i="2"/>
  <c r="B2435" i="2" a="1"/>
  <c r="B2435" i="2" s="1"/>
  <c r="H2435" i="2" l="1"/>
  <c r="C2435" i="2"/>
  <c r="E2435" i="2"/>
  <c r="D2435" i="2"/>
  <c r="G2435" i="2"/>
  <c r="F2435" i="2"/>
  <c r="B2436" i="2" a="1"/>
  <c r="B2436" i="2" s="1"/>
  <c r="G2436" i="2" l="1"/>
  <c r="F2436" i="2"/>
  <c r="E2436" i="2"/>
  <c r="D2436" i="2"/>
  <c r="C2436" i="2"/>
  <c r="H2436" i="2"/>
  <c r="B2437" i="2" a="1"/>
  <c r="B2437" i="2" s="1"/>
  <c r="G2437" i="2" l="1"/>
  <c r="C2437" i="2"/>
  <c r="H2437" i="2"/>
  <c r="F2437" i="2"/>
  <c r="E2437" i="2"/>
  <c r="D2437" i="2"/>
  <c r="B2438" i="2" a="1"/>
  <c r="B2438" i="2" s="1"/>
  <c r="E2438" i="2" l="1"/>
  <c r="H2438" i="2"/>
  <c r="G2438" i="2"/>
  <c r="F2438" i="2"/>
  <c r="D2438" i="2"/>
  <c r="C2438" i="2"/>
  <c r="B2439" i="2" a="1"/>
  <c r="B2439" i="2" s="1"/>
  <c r="D2439" i="2" l="1"/>
  <c r="G2439" i="2"/>
  <c r="C2439" i="2"/>
  <c r="H2439" i="2"/>
  <c r="E2439" i="2"/>
  <c r="F2439" i="2"/>
  <c r="B2440" i="2" a="1"/>
  <c r="B2440" i="2" s="1"/>
  <c r="E2440" i="2" l="1"/>
  <c r="D2440" i="2"/>
  <c r="C2440" i="2"/>
  <c r="G2440" i="2"/>
  <c r="H2440" i="2"/>
  <c r="F2440" i="2"/>
  <c r="B2441" i="2" a="1"/>
  <c r="B2441" i="2" s="1"/>
  <c r="E2441" i="2" l="1"/>
  <c r="G2441" i="2"/>
  <c r="H2441" i="2"/>
  <c r="F2441" i="2"/>
  <c r="D2441" i="2"/>
  <c r="C2441" i="2"/>
  <c r="B2442" i="2" a="1"/>
  <c r="B2442" i="2" s="1"/>
  <c r="D2442" i="2" l="1"/>
  <c r="H2442" i="2"/>
  <c r="G2442" i="2"/>
  <c r="C2442" i="2"/>
  <c r="F2442" i="2"/>
  <c r="E2442" i="2"/>
  <c r="B2443" i="2" a="1"/>
  <c r="B2443" i="2" s="1"/>
  <c r="G2443" i="2" l="1"/>
  <c r="E2443" i="2"/>
  <c r="C2443" i="2"/>
  <c r="D2443" i="2"/>
  <c r="H2443" i="2"/>
  <c r="F2443" i="2"/>
  <c r="B2444" i="2" a="1"/>
  <c r="B2444" i="2" s="1"/>
  <c r="D2444" i="2" l="1"/>
  <c r="C2444" i="2"/>
  <c r="H2444" i="2"/>
  <c r="G2444" i="2"/>
  <c r="F2444" i="2"/>
  <c r="E2444" i="2"/>
  <c r="B2445" i="2" a="1"/>
  <c r="B2445" i="2" s="1"/>
  <c r="C2445" i="2" l="1"/>
  <c r="H2445" i="2"/>
  <c r="G2445" i="2"/>
  <c r="F2445" i="2"/>
  <c r="E2445" i="2"/>
  <c r="D2445" i="2"/>
  <c r="B2446" i="2" a="1"/>
  <c r="B2446" i="2" s="1"/>
  <c r="H2446" i="2" l="1"/>
  <c r="E2446" i="2"/>
  <c r="D2446" i="2"/>
  <c r="C2446" i="2"/>
  <c r="F2446" i="2"/>
  <c r="G2446" i="2"/>
  <c r="B2447" i="2" a="1"/>
  <c r="B2447" i="2" s="1"/>
  <c r="F2447" i="2" l="1"/>
  <c r="H2447" i="2"/>
  <c r="G2447" i="2"/>
  <c r="E2447" i="2"/>
  <c r="D2447" i="2"/>
  <c r="C2447" i="2"/>
  <c r="B2448" i="2" a="1"/>
  <c r="B2448" i="2" s="1"/>
  <c r="E2448" i="2" l="1"/>
  <c r="D2448" i="2"/>
  <c r="C2448" i="2"/>
  <c r="H2448" i="2"/>
  <c r="G2448" i="2"/>
  <c r="F2448" i="2"/>
  <c r="B2449" i="2" a="1"/>
  <c r="B2449" i="2" s="1"/>
  <c r="F2449" i="2" l="1"/>
  <c r="G2449" i="2"/>
  <c r="H2449" i="2"/>
  <c r="E2449" i="2"/>
  <c r="D2449" i="2"/>
  <c r="C2449" i="2"/>
  <c r="B2450" i="2" a="1"/>
  <c r="B2450" i="2" s="1"/>
  <c r="E2450" i="2" l="1"/>
  <c r="D2450" i="2"/>
  <c r="C2450" i="2"/>
  <c r="H2450" i="2"/>
  <c r="G2450" i="2"/>
  <c r="F2450" i="2"/>
  <c r="B2451" i="2" a="1"/>
  <c r="B2451" i="2" s="1"/>
  <c r="E2451" i="2" l="1"/>
  <c r="D2451" i="2"/>
  <c r="H2451" i="2"/>
  <c r="G2451" i="2"/>
  <c r="C2451" i="2"/>
  <c r="F2451" i="2"/>
  <c r="B2452" i="2" a="1"/>
  <c r="B2452" i="2" s="1"/>
  <c r="E2452" i="2" l="1"/>
  <c r="D2452" i="2"/>
  <c r="C2452" i="2"/>
  <c r="G2452" i="2"/>
  <c r="H2452" i="2"/>
  <c r="F2452" i="2"/>
  <c r="B2453" i="2" a="1"/>
  <c r="B2453" i="2" s="1"/>
  <c r="H2453" i="2" l="1"/>
  <c r="G2453" i="2"/>
  <c r="F2453" i="2"/>
  <c r="C2453" i="2"/>
  <c r="D2453" i="2"/>
  <c r="E2453" i="2"/>
  <c r="B2454" i="2" a="1"/>
  <c r="B2454" i="2" s="1"/>
  <c r="G2454" i="2" l="1"/>
  <c r="F2454" i="2"/>
  <c r="E2454" i="2"/>
  <c r="D2454" i="2"/>
  <c r="C2454" i="2"/>
  <c r="H2454" i="2"/>
  <c r="B2455" i="2" a="1"/>
  <c r="B2455" i="2" s="1"/>
  <c r="G2455" i="2" l="1"/>
  <c r="C2455" i="2"/>
  <c r="H2455" i="2"/>
  <c r="F2455" i="2"/>
  <c r="E2455" i="2"/>
  <c r="D2455" i="2"/>
  <c r="B2456" i="2" a="1"/>
  <c r="B2456" i="2" s="1"/>
  <c r="C2456" i="2" l="1"/>
  <c r="G2456" i="2"/>
  <c r="E2456" i="2"/>
  <c r="H2456" i="2"/>
  <c r="F2456" i="2"/>
  <c r="D2456" i="2"/>
  <c r="B2457" i="2" a="1"/>
  <c r="B2457" i="2" s="1"/>
  <c r="D2457" i="2" l="1"/>
  <c r="C2457" i="2"/>
  <c r="H2457" i="2"/>
  <c r="G2457" i="2"/>
  <c r="F2457" i="2"/>
  <c r="E2457" i="2"/>
  <c r="B2458" i="2" a="1"/>
  <c r="B2458" i="2" s="1"/>
  <c r="F2458" i="2" l="1"/>
  <c r="E2458" i="2"/>
  <c r="C2458" i="2"/>
  <c r="D2458" i="2"/>
  <c r="G2458" i="2"/>
  <c r="H2458" i="2"/>
  <c r="B2459" i="2" a="1"/>
  <c r="B2459" i="2" s="1"/>
  <c r="G2459" i="2" l="1"/>
  <c r="C2459" i="2"/>
  <c r="H2459" i="2"/>
  <c r="F2459" i="2"/>
  <c r="E2459" i="2"/>
  <c r="D2459" i="2"/>
  <c r="B2460" i="2" a="1"/>
  <c r="B2460" i="2" s="1"/>
  <c r="D2460" i="2" l="1"/>
  <c r="H2460" i="2"/>
  <c r="F2460" i="2"/>
  <c r="E2460" i="2"/>
  <c r="G2460" i="2"/>
  <c r="C2460" i="2"/>
  <c r="B2461" i="2" a="1"/>
  <c r="B2461" i="2" s="1"/>
  <c r="C2461" i="2" l="1"/>
  <c r="H2461" i="2"/>
  <c r="E2461" i="2"/>
  <c r="F2461" i="2"/>
  <c r="D2461" i="2"/>
  <c r="G2461" i="2"/>
  <c r="B2462" i="2" a="1"/>
  <c r="B2462" i="2" s="1"/>
  <c r="D2462" i="2" l="1"/>
  <c r="H2462" i="2"/>
  <c r="G2462" i="2"/>
  <c r="F2462" i="2"/>
  <c r="E2462" i="2"/>
  <c r="C2462" i="2"/>
  <c r="B2463" i="2" a="1"/>
  <c r="B2463" i="2" s="1"/>
  <c r="F2463" i="2" l="1"/>
  <c r="E2463" i="2"/>
  <c r="H2463" i="2"/>
  <c r="G2463" i="2"/>
  <c r="C2463" i="2"/>
  <c r="D2463" i="2"/>
  <c r="B2464" i="2" a="1"/>
  <c r="B2464" i="2" s="1"/>
  <c r="H2464" i="2" l="1"/>
  <c r="E2464" i="2"/>
  <c r="D2464" i="2"/>
  <c r="C2464" i="2"/>
  <c r="G2464" i="2"/>
  <c r="F2464" i="2"/>
  <c r="B2465" i="2" a="1"/>
  <c r="B2465" i="2" s="1"/>
  <c r="E2465" i="2" l="1"/>
  <c r="D2465" i="2"/>
  <c r="C2465" i="2"/>
  <c r="G2465" i="2"/>
  <c r="F2465" i="2"/>
  <c r="H2465" i="2"/>
  <c r="B2466" i="2" a="1"/>
  <c r="B2466" i="2" s="1"/>
  <c r="H2466" i="2" l="1"/>
  <c r="E2466" i="2"/>
  <c r="C2466" i="2"/>
  <c r="G2466" i="2"/>
  <c r="F2466" i="2"/>
  <c r="D2466" i="2"/>
  <c r="B2467" i="2" a="1"/>
  <c r="B2467" i="2" s="1"/>
  <c r="E2467" i="2" l="1"/>
  <c r="D2467" i="2"/>
  <c r="G2467" i="2"/>
  <c r="C2467" i="2"/>
  <c r="H2467" i="2"/>
  <c r="F2467" i="2"/>
  <c r="B2468" i="2" a="1"/>
  <c r="B2468" i="2" s="1"/>
  <c r="G2468" i="2" l="1"/>
  <c r="F2468" i="2"/>
  <c r="E2468" i="2"/>
  <c r="D2468" i="2"/>
  <c r="C2468" i="2"/>
  <c r="H2468" i="2"/>
  <c r="B2469" i="2" a="1"/>
  <c r="B2469" i="2" s="1"/>
  <c r="G2469" i="2" l="1"/>
  <c r="F2469" i="2"/>
  <c r="H2469" i="2"/>
  <c r="E2469" i="2"/>
  <c r="D2469" i="2"/>
  <c r="C2469" i="2"/>
  <c r="B2470" i="2" a="1"/>
  <c r="B2470" i="2" s="1"/>
  <c r="F2470" i="2" l="1"/>
  <c r="G2470" i="2"/>
  <c r="D2470" i="2"/>
  <c r="C2470" i="2"/>
  <c r="E2470" i="2"/>
  <c r="H2470" i="2"/>
  <c r="B2471" i="2" a="1"/>
  <c r="B2471" i="2" s="1"/>
  <c r="G2471" i="2" l="1"/>
  <c r="F2471" i="2"/>
  <c r="E2471" i="2"/>
  <c r="D2471" i="2"/>
  <c r="C2471" i="2"/>
  <c r="H2471" i="2"/>
  <c r="B2472" i="2" a="1"/>
  <c r="B2472" i="2" s="1"/>
  <c r="E2472" i="2" l="1"/>
  <c r="C2472" i="2"/>
  <c r="G2472" i="2"/>
  <c r="F2472" i="2"/>
  <c r="D2472" i="2"/>
  <c r="H2472" i="2"/>
  <c r="B2473" i="2" a="1"/>
  <c r="B2473" i="2" s="1"/>
  <c r="E2473" i="2" l="1"/>
  <c r="D2473" i="2"/>
  <c r="F2473" i="2"/>
  <c r="H2473" i="2"/>
  <c r="C2473" i="2"/>
  <c r="G2473" i="2"/>
  <c r="B2474" i="2" a="1"/>
  <c r="B2474" i="2" s="1"/>
  <c r="C2474" i="2" l="1"/>
  <c r="G2474" i="2"/>
  <c r="F2474" i="2"/>
  <c r="H2474" i="2"/>
  <c r="E2474" i="2"/>
  <c r="D2474" i="2"/>
  <c r="B2475" i="2" a="1"/>
  <c r="B2475" i="2" s="1"/>
  <c r="G2475" i="2" l="1"/>
  <c r="H2475" i="2"/>
  <c r="D2475" i="2"/>
  <c r="E2475" i="2"/>
  <c r="F2475" i="2"/>
  <c r="C2475" i="2"/>
  <c r="B2476" i="2" a="1"/>
  <c r="B2476" i="2" s="1"/>
  <c r="H2476" i="2" l="1"/>
  <c r="F2476" i="2"/>
  <c r="G2476" i="2"/>
  <c r="E2476" i="2"/>
  <c r="D2476" i="2"/>
  <c r="C2476" i="2"/>
  <c r="B2477" i="2" a="1"/>
  <c r="B2477" i="2" s="1"/>
  <c r="F2477" i="2" l="1"/>
  <c r="C2477" i="2"/>
  <c r="G2477" i="2"/>
  <c r="D2477" i="2"/>
  <c r="H2477" i="2"/>
  <c r="E2477" i="2"/>
  <c r="B2478" i="2" a="1"/>
  <c r="B2478" i="2" s="1"/>
  <c r="C2478" i="2" l="1"/>
  <c r="H2478" i="2"/>
  <c r="G2478" i="2"/>
  <c r="F2478" i="2"/>
  <c r="E2478" i="2"/>
  <c r="D2478" i="2"/>
  <c r="B2479" i="2" a="1"/>
  <c r="B2479" i="2" s="1"/>
  <c r="C2479" i="2" l="1"/>
  <c r="H2479" i="2"/>
  <c r="F2479" i="2"/>
  <c r="E2479" i="2"/>
  <c r="D2479" i="2"/>
  <c r="G2479" i="2"/>
  <c r="B2480" i="2" a="1"/>
  <c r="B2480" i="2" s="1"/>
  <c r="D2480" i="2" l="1"/>
  <c r="F2480" i="2"/>
  <c r="E2480" i="2"/>
  <c r="H2480" i="2"/>
  <c r="C2480" i="2"/>
  <c r="G2480" i="2"/>
  <c r="B2481" i="2" a="1"/>
  <c r="B2481" i="2" s="1"/>
  <c r="H2481" i="2" l="1"/>
  <c r="G2481" i="2"/>
  <c r="E2481" i="2"/>
  <c r="D2481" i="2"/>
  <c r="C2481" i="2"/>
  <c r="F2481" i="2"/>
  <c r="B2482" i="2" a="1"/>
  <c r="B2482" i="2" s="1"/>
  <c r="H2482" i="2" l="1"/>
  <c r="C2482" i="2"/>
  <c r="F2482" i="2"/>
  <c r="E2482" i="2"/>
  <c r="D2482" i="2"/>
  <c r="G2482" i="2"/>
  <c r="B2483" i="2" a="1"/>
  <c r="B2483" i="2" s="1"/>
  <c r="E2483" i="2" l="1"/>
  <c r="D2483" i="2"/>
  <c r="C2483" i="2"/>
  <c r="F2483" i="2"/>
  <c r="G2483" i="2"/>
  <c r="H2483" i="2"/>
  <c r="B2484" i="2" a="1"/>
  <c r="B2484" i="2" s="1"/>
  <c r="E2484" i="2" l="1"/>
  <c r="H2484" i="2"/>
  <c r="G2484" i="2"/>
  <c r="F2484" i="2"/>
  <c r="D2484" i="2"/>
  <c r="C2484" i="2"/>
  <c r="B2485" i="2" a="1"/>
  <c r="B2485" i="2" s="1"/>
  <c r="H2485" i="2" l="1"/>
  <c r="G2485" i="2"/>
  <c r="C2485" i="2"/>
  <c r="E2485" i="2"/>
  <c r="D2485" i="2"/>
  <c r="F2485" i="2"/>
  <c r="B2486" i="2" a="1"/>
  <c r="B2486" i="2" s="1"/>
  <c r="C2486" i="2" l="1"/>
  <c r="F2486" i="2"/>
  <c r="E2486" i="2"/>
  <c r="G2486" i="2"/>
  <c r="D2486" i="2"/>
  <c r="H2486" i="2"/>
  <c r="B2487" i="2" a="1"/>
  <c r="B2487" i="2" s="1"/>
  <c r="D2487" i="2" l="1"/>
  <c r="F2487" i="2"/>
  <c r="C2487" i="2"/>
  <c r="H2487" i="2"/>
  <c r="G2487" i="2"/>
  <c r="E2487" i="2"/>
  <c r="B2488" i="2" a="1"/>
  <c r="B2488" i="2" s="1"/>
  <c r="D2488" i="2" l="1"/>
  <c r="C2488" i="2"/>
  <c r="E2488" i="2"/>
  <c r="H2488" i="2"/>
  <c r="F2488" i="2"/>
  <c r="G2488" i="2"/>
  <c r="B2489" i="2" a="1"/>
  <c r="B2489" i="2" s="1"/>
  <c r="C2489" i="2" l="1"/>
  <c r="D2489" i="2"/>
  <c r="G2489" i="2"/>
  <c r="H2489" i="2"/>
  <c r="F2489" i="2"/>
  <c r="E2489" i="2"/>
  <c r="B2490" i="2" a="1"/>
  <c r="B2490" i="2" s="1"/>
  <c r="H2490" i="2" l="1"/>
  <c r="E2490" i="2"/>
  <c r="C2490" i="2"/>
  <c r="G2490" i="2"/>
  <c r="F2490" i="2"/>
  <c r="D2490" i="2"/>
  <c r="B2491" i="2" a="1"/>
  <c r="B2491" i="2" s="1"/>
  <c r="D2491" i="2" l="1"/>
  <c r="F2491" i="2"/>
  <c r="E2491" i="2"/>
  <c r="H2491" i="2"/>
  <c r="G2491" i="2"/>
  <c r="C2491" i="2"/>
  <c r="B2492" i="2" a="1"/>
  <c r="B2492" i="2" s="1"/>
  <c r="F2492" i="2" l="1"/>
  <c r="D2492" i="2"/>
  <c r="H2492" i="2"/>
  <c r="E2492" i="2"/>
  <c r="C2492" i="2"/>
  <c r="G2492" i="2"/>
  <c r="B2493" i="2" a="1"/>
  <c r="B2493" i="2" s="1"/>
  <c r="G2493" i="2" l="1"/>
  <c r="F2493" i="2"/>
  <c r="C2493" i="2"/>
  <c r="H2493" i="2"/>
  <c r="D2493" i="2"/>
  <c r="E2493" i="2"/>
  <c r="B2494" i="2" a="1"/>
  <c r="B2494" i="2" s="1"/>
  <c r="E2494" i="2" l="1"/>
  <c r="D2494" i="2"/>
  <c r="G2494" i="2"/>
  <c r="H2494" i="2"/>
  <c r="F2494" i="2"/>
  <c r="C2494" i="2"/>
  <c r="B2495" i="2" a="1"/>
  <c r="B2495" i="2" s="1"/>
  <c r="E2495" i="2" l="1"/>
  <c r="D2495" i="2"/>
  <c r="F2495" i="2"/>
  <c r="G2495" i="2"/>
  <c r="C2495" i="2"/>
  <c r="H2495" i="2"/>
  <c r="B2496" i="2" a="1"/>
  <c r="B2496" i="2" s="1"/>
  <c r="E2496" i="2" l="1"/>
  <c r="H2496" i="2"/>
  <c r="G2496" i="2"/>
  <c r="D2496" i="2"/>
  <c r="C2496" i="2"/>
  <c r="F2496" i="2"/>
  <c r="B2497" i="2" a="1"/>
  <c r="B2497" i="2" s="1"/>
  <c r="C2497" i="2" l="1"/>
  <c r="E2497" i="2"/>
  <c r="D2497" i="2"/>
  <c r="H2497" i="2"/>
  <c r="F2497" i="2"/>
  <c r="G2497" i="2"/>
  <c r="B2498" i="2" a="1"/>
  <c r="B2498" i="2" s="1"/>
  <c r="H2498" i="2" l="1"/>
  <c r="C2498" i="2"/>
  <c r="G2498" i="2"/>
  <c r="F2498" i="2"/>
  <c r="D2498" i="2"/>
  <c r="E2498" i="2"/>
  <c r="B2499" i="2" a="1"/>
  <c r="B2499" i="2" s="1"/>
  <c r="E2499" i="2" l="1"/>
  <c r="C2499" i="2"/>
  <c r="F2499" i="2"/>
  <c r="D2499" i="2"/>
  <c r="H2499" i="2"/>
  <c r="G2499" i="2"/>
  <c r="B2500" i="2" a="1"/>
  <c r="B2500" i="2" s="1"/>
  <c r="C2500" i="2" l="1"/>
  <c r="E2500" i="2"/>
  <c r="H2500" i="2"/>
  <c r="F2500" i="2"/>
  <c r="G2500" i="2"/>
  <c r="D2500" i="2"/>
  <c r="B2501" i="2" a="1"/>
  <c r="B2501" i="2" s="1"/>
  <c r="H2501" i="2" l="1"/>
  <c r="D2501" i="2"/>
  <c r="E2501" i="2"/>
  <c r="C2501" i="2"/>
  <c r="F2501" i="2"/>
  <c r="G2501" i="2"/>
  <c r="B2502" i="2" a="1"/>
  <c r="B2502" i="2" s="1"/>
  <c r="E2502" i="2" l="1"/>
  <c r="D2502" i="2"/>
  <c r="F2502" i="2"/>
  <c r="C2502" i="2"/>
  <c r="H2502" i="2"/>
  <c r="G2502" i="2"/>
  <c r="B2503" i="2" a="1"/>
  <c r="B2503" i="2" s="1"/>
  <c r="E2503" i="2" l="1"/>
  <c r="C2503" i="2"/>
  <c r="H2503" i="2"/>
  <c r="F2503" i="2"/>
  <c r="G2503" i="2"/>
  <c r="D2503" i="2"/>
  <c r="B2504" i="2" a="1"/>
  <c r="B2504" i="2" s="1"/>
  <c r="D2504" i="2" l="1"/>
  <c r="C2504" i="2"/>
  <c r="F2504" i="2"/>
  <c r="H2504" i="2"/>
  <c r="G2504" i="2"/>
  <c r="E2504" i="2"/>
  <c r="B2505" i="2" a="1"/>
  <c r="B2505" i="2" s="1"/>
  <c r="H2505" i="2" l="1"/>
  <c r="F2505" i="2"/>
  <c r="E2505" i="2"/>
  <c r="D2505" i="2"/>
  <c r="C2505" i="2"/>
  <c r="G2505" i="2"/>
  <c r="B2506" i="2" a="1"/>
  <c r="B2506" i="2" s="1"/>
  <c r="C2506" i="2" l="1"/>
  <c r="G2506" i="2"/>
  <c r="E2506" i="2"/>
  <c r="D2506" i="2"/>
  <c r="H2506" i="2"/>
  <c r="F2506" i="2"/>
  <c r="B2507" i="2" a="1"/>
  <c r="B2507" i="2" s="1"/>
  <c r="D2507" i="2" l="1"/>
  <c r="F2507" i="2"/>
  <c r="E2507" i="2"/>
  <c r="C2507" i="2"/>
  <c r="H2507" i="2"/>
  <c r="G2507" i="2"/>
  <c r="B2508" i="2" a="1"/>
  <c r="B2508" i="2" s="1"/>
  <c r="G2508" i="2" l="1"/>
  <c r="D2508" i="2"/>
  <c r="H2508" i="2"/>
  <c r="E2508" i="2"/>
  <c r="F2508" i="2"/>
  <c r="C2508" i="2"/>
  <c r="B2509" i="2" a="1"/>
  <c r="B2509" i="2" s="1"/>
  <c r="H2509" i="2" l="1"/>
  <c r="F2509" i="2"/>
  <c r="G2509" i="2"/>
  <c r="E2509" i="2"/>
  <c r="D2509" i="2"/>
  <c r="C2509" i="2"/>
  <c r="B2510" i="2" a="1"/>
  <c r="B2510" i="2" s="1"/>
  <c r="F2510" i="2" l="1"/>
  <c r="E2510" i="2"/>
  <c r="C2510" i="2"/>
  <c r="H2510" i="2"/>
  <c r="G2510" i="2"/>
  <c r="D2510" i="2"/>
  <c r="B2511" i="2" a="1"/>
  <c r="B2511" i="2" s="1"/>
  <c r="G2511" i="2" l="1"/>
  <c r="D2511" i="2"/>
  <c r="H2511" i="2"/>
  <c r="F2511" i="2"/>
  <c r="E2511" i="2"/>
  <c r="C2511" i="2"/>
  <c r="B2512" i="2" a="1"/>
  <c r="B2512" i="2" s="1"/>
  <c r="G2512" i="2" l="1"/>
  <c r="H2512" i="2"/>
  <c r="E2512" i="2"/>
  <c r="C2512" i="2"/>
  <c r="F2512" i="2"/>
  <c r="D2512" i="2"/>
  <c r="B2513" i="2" a="1"/>
  <c r="B2513" i="2" s="1"/>
  <c r="C2513" i="2" l="1"/>
  <c r="D2513" i="2"/>
  <c r="F2513" i="2"/>
  <c r="E2513" i="2"/>
  <c r="G2513" i="2"/>
  <c r="H2513" i="2"/>
  <c r="B2514" i="2" a="1"/>
  <c r="B2514" i="2" s="1"/>
  <c r="D2514" i="2" l="1"/>
  <c r="H2514" i="2"/>
  <c r="E2514" i="2"/>
  <c r="G2514" i="2"/>
  <c r="F2514" i="2"/>
  <c r="C2514" i="2"/>
  <c r="B2515" i="2" a="1"/>
  <c r="B2515" i="2" s="1"/>
  <c r="C2515" i="2" l="1"/>
  <c r="E2515" i="2"/>
  <c r="H2515" i="2"/>
  <c r="G2515" i="2"/>
  <c r="D2515" i="2"/>
  <c r="F2515" i="2"/>
  <c r="B2516" i="2" a="1"/>
  <c r="B2516" i="2" s="1"/>
  <c r="C2516" i="2" l="1"/>
  <c r="F2516" i="2"/>
  <c r="E2516" i="2"/>
  <c r="D2516" i="2"/>
  <c r="H2516" i="2"/>
  <c r="G2516" i="2"/>
  <c r="B2517" i="2" a="1"/>
  <c r="B2517" i="2" s="1"/>
  <c r="D2517" i="2" l="1"/>
  <c r="F2517" i="2"/>
  <c r="G2517" i="2"/>
  <c r="H2517" i="2"/>
  <c r="C2517" i="2"/>
  <c r="E2517" i="2"/>
  <c r="B2518" i="2" a="1"/>
  <c r="B2518" i="2" s="1"/>
  <c r="G2518" i="2" l="1"/>
  <c r="F2518" i="2"/>
  <c r="E2518" i="2"/>
  <c r="H2518" i="2"/>
  <c r="D2518" i="2"/>
  <c r="C2518" i="2"/>
  <c r="B2519" i="2" a="1"/>
  <c r="B2519" i="2" s="1"/>
  <c r="D2519" i="2" l="1"/>
  <c r="E2519" i="2"/>
  <c r="H2519" i="2"/>
  <c r="F2519" i="2"/>
  <c r="C2519" i="2"/>
  <c r="G2519" i="2"/>
  <c r="B2520" i="2" a="1"/>
  <c r="B2520" i="2" s="1"/>
  <c r="E2520" i="2" l="1"/>
  <c r="H2520" i="2"/>
  <c r="D2520" i="2"/>
  <c r="C2520" i="2"/>
  <c r="G2520" i="2"/>
  <c r="F2520" i="2"/>
  <c r="B2521" i="2" a="1"/>
  <c r="B2521" i="2" s="1"/>
  <c r="C2521" i="2" l="1"/>
  <c r="G2521" i="2"/>
  <c r="E2521" i="2"/>
  <c r="H2521" i="2"/>
  <c r="F2521" i="2"/>
  <c r="D2521" i="2"/>
  <c r="B2522" i="2" a="1"/>
  <c r="B2522" i="2" s="1"/>
  <c r="H2522" i="2" l="1"/>
  <c r="G2522" i="2"/>
  <c r="C2522" i="2"/>
  <c r="F2522" i="2"/>
  <c r="D2522" i="2"/>
  <c r="E2522" i="2"/>
  <c r="B2523" i="2" a="1"/>
  <c r="B2523" i="2" s="1"/>
  <c r="D2523" i="2" l="1"/>
  <c r="H2523" i="2"/>
  <c r="G2523" i="2"/>
  <c r="C2523" i="2"/>
  <c r="F2523" i="2"/>
  <c r="E2523" i="2"/>
  <c r="B2524" i="2" a="1"/>
  <c r="B2524" i="2" s="1"/>
  <c r="F2524" i="2" l="1"/>
  <c r="D2524" i="2"/>
  <c r="G2524" i="2"/>
  <c r="C2524" i="2"/>
  <c r="E2524" i="2"/>
  <c r="H2524" i="2"/>
  <c r="B2525" i="2" a="1"/>
  <c r="B2525" i="2" s="1"/>
  <c r="H2525" i="2" l="1"/>
  <c r="F2525" i="2"/>
  <c r="E2525" i="2"/>
  <c r="D2525" i="2"/>
  <c r="G2525" i="2"/>
  <c r="C2525" i="2"/>
  <c r="B2526" i="2" a="1"/>
  <c r="B2526" i="2" s="1"/>
  <c r="G2526" i="2" l="1"/>
  <c r="E2526" i="2"/>
  <c r="C2526" i="2"/>
  <c r="F2526" i="2"/>
  <c r="D2526" i="2"/>
  <c r="H2526" i="2"/>
  <c r="B2527" i="2" a="1"/>
  <c r="B2527" i="2" s="1"/>
  <c r="F2527" i="2" l="1"/>
  <c r="G2527" i="2"/>
  <c r="C2527" i="2"/>
  <c r="D2527" i="2"/>
  <c r="E2527" i="2"/>
  <c r="H2527" i="2"/>
  <c r="B2528" i="2" a="1"/>
  <c r="B2528" i="2" s="1"/>
  <c r="G2528" i="2" l="1"/>
  <c r="E2528" i="2"/>
  <c r="F2528" i="2"/>
  <c r="D2528" i="2"/>
  <c r="C2528" i="2"/>
  <c r="H2528" i="2"/>
  <c r="B2529" i="2" a="1"/>
  <c r="B2529" i="2" s="1"/>
  <c r="H2529" i="2" l="1"/>
  <c r="E2529" i="2"/>
  <c r="G2529" i="2"/>
  <c r="F2529" i="2"/>
  <c r="C2529" i="2"/>
  <c r="D2529" i="2"/>
  <c r="B2530" i="2" a="1"/>
  <c r="B2530" i="2" s="1"/>
  <c r="F2530" i="2" l="1"/>
  <c r="G2530" i="2"/>
  <c r="D2530" i="2"/>
  <c r="H2530" i="2"/>
  <c r="C2530" i="2"/>
  <c r="E2530" i="2"/>
  <c r="B2531" i="2" a="1"/>
  <c r="B2531" i="2" s="1"/>
  <c r="D2531" i="2" l="1"/>
  <c r="C2531" i="2"/>
  <c r="F2531" i="2"/>
  <c r="E2531" i="2"/>
  <c r="G2531" i="2"/>
  <c r="H2531" i="2"/>
  <c r="B2532" i="2" a="1"/>
  <c r="B2532" i="2" s="1"/>
  <c r="D2532" i="2" l="1"/>
  <c r="H2532" i="2"/>
  <c r="F2532" i="2"/>
  <c r="E2532" i="2"/>
  <c r="C2532" i="2"/>
  <c r="G2532" i="2"/>
  <c r="B2533" i="2" a="1"/>
  <c r="B2533" i="2" s="1"/>
  <c r="G2533" i="2" l="1"/>
  <c r="C2533" i="2"/>
  <c r="H2533" i="2"/>
  <c r="D2533" i="2"/>
  <c r="F2533" i="2"/>
  <c r="E2533" i="2"/>
  <c r="B2534" i="2" a="1"/>
  <c r="B2534" i="2" s="1"/>
  <c r="H2534" i="2" l="1"/>
  <c r="E2534" i="2"/>
  <c r="C2534" i="2"/>
  <c r="G2534" i="2"/>
  <c r="F2534" i="2"/>
  <c r="D2534" i="2"/>
  <c r="B2535" i="2" a="1"/>
  <c r="B2535" i="2" s="1"/>
  <c r="D2535" i="2" l="1"/>
  <c r="G2535" i="2"/>
  <c r="E2535" i="2"/>
  <c r="C2535" i="2"/>
  <c r="H2535" i="2"/>
  <c r="F2535" i="2"/>
  <c r="B2536" i="2" a="1"/>
  <c r="B2536" i="2" s="1"/>
  <c r="F2536" i="2" l="1"/>
  <c r="H2536" i="2"/>
  <c r="D2536" i="2"/>
  <c r="G2536" i="2"/>
  <c r="E2536" i="2"/>
  <c r="C2536" i="2"/>
  <c r="B2537" i="2" a="1"/>
  <c r="B2537" i="2" s="1"/>
  <c r="C2537" i="2" l="1"/>
  <c r="H2537" i="2"/>
  <c r="F2537" i="2"/>
  <c r="E2537" i="2"/>
  <c r="G2537" i="2"/>
  <c r="D2537" i="2"/>
  <c r="B2538" i="2" a="1"/>
  <c r="B2538" i="2" s="1"/>
  <c r="F2538" i="2" l="1"/>
  <c r="E2538" i="2"/>
  <c r="H2538" i="2"/>
  <c r="D2538" i="2"/>
  <c r="C2538" i="2"/>
  <c r="G2538" i="2"/>
  <c r="B2539" i="2" a="1"/>
  <c r="B2539" i="2" s="1"/>
  <c r="D2539" i="2" l="1"/>
  <c r="C2539" i="2"/>
  <c r="H2539" i="2"/>
  <c r="G2539" i="2"/>
  <c r="F2539" i="2"/>
  <c r="E2539" i="2"/>
  <c r="B2540" i="2" a="1"/>
  <c r="B2540" i="2" s="1"/>
  <c r="C2540" i="2" l="1"/>
  <c r="H2540" i="2"/>
  <c r="D2540" i="2"/>
  <c r="E2540" i="2"/>
  <c r="G2540" i="2"/>
  <c r="F2540" i="2"/>
  <c r="B2541" i="2" a="1"/>
  <c r="B2541" i="2" s="1"/>
  <c r="C2541" i="2" l="1"/>
  <c r="F2541" i="2"/>
  <c r="G2541" i="2"/>
  <c r="H2541" i="2"/>
  <c r="D2541" i="2"/>
  <c r="E2541" i="2"/>
  <c r="B2542" i="2" a="1"/>
  <c r="B2542" i="2" s="1"/>
  <c r="D2542" i="2" l="1"/>
  <c r="C2542" i="2"/>
  <c r="F2542" i="2"/>
  <c r="G2542" i="2"/>
  <c r="E2542" i="2"/>
  <c r="H2542" i="2"/>
  <c r="B2543" i="2" a="1"/>
  <c r="B2543" i="2" s="1"/>
  <c r="C2543" i="2" l="1"/>
  <c r="E2543" i="2"/>
  <c r="D2543" i="2"/>
  <c r="G2543" i="2"/>
  <c r="H2543" i="2"/>
  <c r="F2543" i="2"/>
  <c r="B2544" i="2" a="1"/>
  <c r="B2544" i="2" s="1"/>
  <c r="F2544" i="2" l="1"/>
  <c r="C2544" i="2"/>
  <c r="H2544" i="2"/>
  <c r="G2544" i="2"/>
  <c r="E2544" i="2"/>
  <c r="D2544" i="2"/>
  <c r="B2545" i="2" a="1"/>
  <c r="B2545" i="2" s="1"/>
  <c r="H2545" i="2" l="1"/>
  <c r="F2545" i="2"/>
  <c r="G2545" i="2"/>
  <c r="E2545" i="2"/>
  <c r="C2545" i="2"/>
  <c r="D2545" i="2"/>
  <c r="B2546" i="2" a="1"/>
  <c r="B2546" i="2" s="1"/>
  <c r="C2546" i="2" l="1"/>
  <c r="F2546" i="2"/>
  <c r="D2546" i="2"/>
  <c r="E2546" i="2"/>
  <c r="H2546" i="2"/>
  <c r="G2546" i="2"/>
  <c r="B2547" i="2" a="1"/>
  <c r="B2547" i="2" s="1"/>
  <c r="H2547" i="2" l="1"/>
  <c r="F2547" i="2"/>
  <c r="C2547" i="2"/>
  <c r="G2547" i="2"/>
  <c r="E2547" i="2"/>
  <c r="D2547" i="2"/>
  <c r="B2548" i="2" a="1"/>
  <c r="B2548" i="2" s="1"/>
  <c r="G2548" i="2" l="1"/>
  <c r="D2548" i="2"/>
  <c r="E2548" i="2"/>
  <c r="F2548" i="2"/>
  <c r="C2548" i="2"/>
  <c r="H2548" i="2"/>
  <c r="B2549" i="2" a="1"/>
  <c r="B2549" i="2" s="1"/>
  <c r="H2549" i="2" l="1"/>
  <c r="D2549" i="2"/>
  <c r="G2549" i="2"/>
  <c r="E2549" i="2"/>
  <c r="C2549" i="2"/>
  <c r="F2549" i="2"/>
  <c r="B2550" i="2" a="1"/>
  <c r="B2550" i="2" s="1"/>
  <c r="E2550" i="2" l="1"/>
  <c r="G2550" i="2"/>
  <c r="C2550" i="2"/>
  <c r="F2550" i="2"/>
  <c r="H2550" i="2"/>
  <c r="D2550" i="2"/>
  <c r="B2551" i="2" a="1"/>
  <c r="B2551" i="2" s="1"/>
  <c r="H2551" i="2" l="1"/>
  <c r="F2551" i="2"/>
  <c r="C2551" i="2"/>
  <c r="G2551" i="2"/>
  <c r="E2551" i="2"/>
  <c r="D2551" i="2"/>
  <c r="B2552" i="2" a="1"/>
  <c r="B2552" i="2" s="1"/>
  <c r="H2552" i="2" l="1"/>
  <c r="D2552" i="2"/>
  <c r="C2552" i="2"/>
  <c r="E2552" i="2"/>
  <c r="F2552" i="2"/>
  <c r="G2552" i="2"/>
  <c r="B2553" i="2" a="1"/>
  <c r="B2553" i="2" s="1"/>
  <c r="F2553" i="2" l="1"/>
  <c r="E2553" i="2"/>
  <c r="G2553" i="2"/>
  <c r="C2553" i="2"/>
  <c r="H2553" i="2"/>
  <c r="D2553" i="2"/>
  <c r="B2554" i="2" a="1"/>
  <c r="B2554" i="2" s="1"/>
  <c r="E2554" i="2" l="1"/>
  <c r="C2554" i="2"/>
  <c r="F2554" i="2"/>
  <c r="G2554" i="2"/>
  <c r="H2554" i="2"/>
  <c r="D2554" i="2"/>
  <c r="B2555" i="2" a="1"/>
  <c r="B2555" i="2" s="1"/>
  <c r="G2555" i="2" l="1"/>
  <c r="E2555" i="2"/>
  <c r="D2555" i="2"/>
  <c r="C2555" i="2"/>
  <c r="H2555" i="2"/>
  <c r="F2555" i="2"/>
  <c r="B2556" i="2" a="1"/>
  <c r="B2556" i="2" s="1"/>
  <c r="D2556" i="2" l="1"/>
  <c r="C2556" i="2"/>
  <c r="H2556" i="2"/>
  <c r="G2556" i="2"/>
  <c r="E2556" i="2"/>
  <c r="F2556" i="2"/>
  <c r="B2557" i="2" a="1"/>
  <c r="B2557" i="2" s="1"/>
  <c r="H2557" i="2" l="1"/>
  <c r="E2557" i="2"/>
  <c r="G2557" i="2"/>
  <c r="D2557" i="2"/>
  <c r="F2557" i="2"/>
  <c r="C2557" i="2"/>
  <c r="B2558" i="2" a="1"/>
  <c r="B2558" i="2" s="1"/>
  <c r="F2558" i="2" l="1"/>
  <c r="C2558" i="2"/>
  <c r="E2558" i="2"/>
  <c r="H2558" i="2"/>
  <c r="D2558" i="2"/>
  <c r="G2558" i="2"/>
  <c r="B2559" i="2" a="1"/>
  <c r="B2559" i="2" s="1"/>
  <c r="F2559" i="2" l="1"/>
  <c r="D2559" i="2"/>
  <c r="G2559" i="2"/>
  <c r="C2559" i="2"/>
  <c r="E2559" i="2"/>
  <c r="H2559" i="2"/>
  <c r="B2560" i="2" a="1"/>
  <c r="B2560" i="2" s="1"/>
  <c r="F2560" i="2" l="1"/>
  <c r="D2560" i="2"/>
  <c r="H2560" i="2"/>
  <c r="G2560" i="2"/>
  <c r="C2560" i="2"/>
  <c r="E2560" i="2"/>
  <c r="B2561" i="2" a="1"/>
  <c r="B2561" i="2" s="1"/>
  <c r="C2561" i="2" l="1"/>
  <c r="H2561" i="2"/>
  <c r="D2561" i="2"/>
  <c r="F2561" i="2"/>
  <c r="E2561" i="2"/>
  <c r="G2561" i="2"/>
  <c r="B2562" i="2" a="1"/>
  <c r="B2562" i="2" s="1"/>
  <c r="D2562" i="2" l="1"/>
  <c r="H2562" i="2"/>
  <c r="G2562" i="2"/>
  <c r="E2562" i="2"/>
  <c r="C2562" i="2"/>
  <c r="F2562" i="2"/>
  <c r="B2563" i="2" a="1"/>
  <c r="B2563" i="2" s="1"/>
  <c r="H2563" i="2" l="1"/>
  <c r="F2563" i="2"/>
  <c r="G2563" i="2"/>
  <c r="D2563" i="2"/>
  <c r="E2563" i="2"/>
  <c r="C2563" i="2"/>
  <c r="B2564" i="2" a="1"/>
  <c r="B2564" i="2" s="1"/>
  <c r="F2564" i="2" l="1"/>
  <c r="D2564" i="2"/>
  <c r="C2564" i="2"/>
  <c r="H2564" i="2"/>
  <c r="G2564" i="2"/>
  <c r="E2564" i="2"/>
  <c r="B2565" i="2" a="1"/>
  <c r="B2565" i="2" s="1"/>
  <c r="H2565" i="2" l="1"/>
  <c r="D2565" i="2"/>
  <c r="F2565" i="2"/>
  <c r="G2565" i="2"/>
  <c r="E2565" i="2"/>
  <c r="C2565" i="2"/>
  <c r="B2566" i="2" a="1"/>
  <c r="B2566" i="2" s="1"/>
  <c r="H2566" i="2" l="1"/>
  <c r="E2566" i="2"/>
  <c r="C2566" i="2"/>
  <c r="G2566" i="2"/>
  <c r="F2566" i="2"/>
  <c r="D2566" i="2"/>
  <c r="B2567" i="2" a="1"/>
  <c r="B2567" i="2" s="1"/>
  <c r="G2567" i="2" l="1"/>
  <c r="E2567" i="2"/>
  <c r="F2567" i="2"/>
  <c r="C2567" i="2"/>
  <c r="H2567" i="2"/>
  <c r="D2567" i="2"/>
  <c r="B2568" i="2" a="1"/>
  <c r="B2568" i="2" s="1"/>
  <c r="C2568" i="2" l="1"/>
  <c r="G2568" i="2"/>
  <c r="D2568" i="2"/>
  <c r="E2568" i="2"/>
  <c r="F2568" i="2"/>
  <c r="H2568" i="2"/>
  <c r="B2569" i="2" a="1"/>
  <c r="B2569" i="2" s="1"/>
  <c r="G2569" i="2" l="1"/>
  <c r="H2569" i="2"/>
  <c r="C2569" i="2"/>
  <c r="D2569" i="2"/>
  <c r="E2569" i="2"/>
  <c r="F2569" i="2"/>
  <c r="B2570" i="2" a="1"/>
  <c r="B2570" i="2" s="1"/>
  <c r="F2570" i="2" l="1"/>
  <c r="C2570" i="2"/>
  <c r="G2570" i="2"/>
  <c r="H2570" i="2"/>
  <c r="E2570" i="2"/>
  <c r="D2570" i="2"/>
  <c r="B2571" i="2" a="1"/>
  <c r="B2571" i="2" s="1"/>
  <c r="C2571" i="2" l="1"/>
  <c r="F2571" i="2"/>
  <c r="E2571" i="2"/>
  <c r="D2571" i="2"/>
  <c r="H2571" i="2"/>
  <c r="G2571" i="2"/>
  <c r="B2572" i="2" a="1"/>
  <c r="B2572" i="2" s="1"/>
  <c r="F2572" i="2" l="1"/>
  <c r="D2572" i="2"/>
  <c r="E2572" i="2"/>
  <c r="G2572" i="2"/>
  <c r="H2572" i="2"/>
  <c r="C2572" i="2"/>
  <c r="B2573" i="2" a="1"/>
  <c r="B2573" i="2" s="1"/>
  <c r="G2573" i="2" l="1"/>
  <c r="F2573" i="2"/>
  <c r="C2573" i="2"/>
  <c r="D2573" i="2"/>
  <c r="H2573" i="2"/>
  <c r="E2573" i="2"/>
  <c r="B2574" i="2" a="1"/>
  <c r="B2574" i="2" s="1"/>
  <c r="E2574" i="2" l="1"/>
  <c r="D2574" i="2"/>
  <c r="G2574" i="2"/>
  <c r="C2574" i="2"/>
  <c r="F2574" i="2"/>
  <c r="H2574" i="2"/>
  <c r="B2575" i="2" a="1"/>
  <c r="B2575" i="2" s="1"/>
  <c r="C2575" i="2" l="1"/>
  <c r="F2575" i="2"/>
  <c r="D2575" i="2"/>
  <c r="H2575" i="2"/>
  <c r="E2575" i="2"/>
  <c r="G2575" i="2"/>
  <c r="B2576" i="2" a="1"/>
  <c r="B2576" i="2" s="1"/>
  <c r="H2576" i="2" l="1"/>
  <c r="F2576" i="2"/>
  <c r="G2576" i="2"/>
  <c r="E2576" i="2"/>
  <c r="C2576" i="2"/>
  <c r="D2576" i="2"/>
  <c r="B2577" i="2" a="1"/>
  <c r="B2577" i="2" s="1"/>
  <c r="C2577" i="2" l="1"/>
  <c r="F2577" i="2"/>
  <c r="D2577" i="2"/>
  <c r="E2577" i="2"/>
  <c r="G2577" i="2"/>
  <c r="H2577" i="2"/>
  <c r="B2578" i="2" a="1"/>
  <c r="B2578" i="2" s="1"/>
  <c r="C2578" i="2" l="1"/>
  <c r="F2578" i="2"/>
  <c r="G2578" i="2"/>
  <c r="E2578" i="2"/>
  <c r="H2578" i="2"/>
  <c r="D2578" i="2"/>
  <c r="B2579" i="2" a="1"/>
  <c r="B2579" i="2" s="1"/>
  <c r="C2579" i="2" l="1"/>
  <c r="F2579" i="2"/>
  <c r="E2579" i="2"/>
  <c r="H2579" i="2"/>
  <c r="G2579" i="2"/>
  <c r="D2579" i="2"/>
  <c r="B2580" i="2" a="1"/>
  <c r="B2580" i="2" s="1"/>
  <c r="G2580" i="2" l="1"/>
  <c r="E2580" i="2"/>
  <c r="D2580" i="2"/>
  <c r="C2580" i="2"/>
  <c r="F2580" i="2"/>
  <c r="H2580" i="2"/>
  <c r="B2581" i="2" a="1"/>
  <c r="B2581" i="2" s="1"/>
  <c r="E2581" i="2" l="1"/>
  <c r="C2581" i="2"/>
  <c r="H2581" i="2"/>
  <c r="D2581" i="2"/>
  <c r="F2581" i="2"/>
  <c r="G2581" i="2"/>
  <c r="B2582" i="2" a="1"/>
  <c r="B2582" i="2" s="1"/>
  <c r="D2582" i="2" l="1"/>
  <c r="F2582" i="2"/>
  <c r="E2582" i="2"/>
  <c r="H2582" i="2"/>
  <c r="C2582" i="2"/>
  <c r="G2582" i="2"/>
  <c r="B2583" i="2" a="1"/>
  <c r="B2583" i="2" s="1"/>
  <c r="H2583" i="2" l="1"/>
  <c r="F2583" i="2"/>
  <c r="G2583" i="2"/>
  <c r="C2583" i="2"/>
  <c r="E2583" i="2"/>
  <c r="D2583" i="2"/>
  <c r="B2584" i="2" a="1"/>
  <c r="B2584" i="2" s="1"/>
  <c r="G2584" i="2" l="1"/>
  <c r="C2584" i="2"/>
  <c r="D2584" i="2"/>
  <c r="F2584" i="2"/>
  <c r="H2584" i="2"/>
  <c r="E2584" i="2"/>
  <c r="B2585" i="2" a="1"/>
  <c r="B2585" i="2" s="1"/>
  <c r="G2585" i="2" l="1"/>
  <c r="F2585" i="2"/>
  <c r="C2585" i="2"/>
  <c r="E2585" i="2"/>
  <c r="D2585" i="2"/>
  <c r="H2585" i="2"/>
  <c r="B2586" i="2" a="1"/>
  <c r="B2586" i="2" s="1"/>
  <c r="D2586" i="2" l="1"/>
  <c r="G2586" i="2"/>
  <c r="E2586" i="2"/>
  <c r="F2586" i="2"/>
  <c r="C2586" i="2"/>
  <c r="H2586" i="2"/>
  <c r="B2587" i="2" a="1"/>
  <c r="B2587" i="2" s="1"/>
  <c r="E2587" i="2" l="1"/>
  <c r="D2587" i="2"/>
  <c r="C2587" i="2"/>
  <c r="G2587" i="2"/>
  <c r="F2587" i="2"/>
  <c r="H2587" i="2"/>
  <c r="B2588" i="2" a="1"/>
  <c r="B2588" i="2" s="1"/>
  <c r="D2588" i="2" l="1"/>
  <c r="G2588" i="2"/>
  <c r="F2588" i="2"/>
  <c r="E2588" i="2"/>
  <c r="H2588" i="2"/>
  <c r="C2588" i="2"/>
  <c r="B2589" i="2" a="1"/>
  <c r="B2589" i="2" s="1"/>
  <c r="F2589" i="2" l="1"/>
  <c r="E2589" i="2"/>
  <c r="D2589" i="2"/>
  <c r="C2589" i="2"/>
  <c r="G2589" i="2"/>
  <c r="H2589" i="2"/>
  <c r="B2590" i="2" a="1"/>
  <c r="B2590" i="2" s="1"/>
  <c r="E2590" i="2" l="1"/>
  <c r="C2590" i="2"/>
  <c r="H2590" i="2"/>
  <c r="D2590" i="2"/>
  <c r="G2590" i="2"/>
  <c r="F2590" i="2"/>
  <c r="B2591" i="2" a="1"/>
  <c r="B2591" i="2" s="1"/>
  <c r="E2591" i="2" l="1"/>
  <c r="C2591" i="2"/>
  <c r="G2591" i="2"/>
  <c r="D2591" i="2"/>
  <c r="H2591" i="2"/>
  <c r="F2591" i="2"/>
  <c r="B2592" i="2" a="1"/>
  <c r="B2592" i="2" s="1"/>
  <c r="C2592" i="2" l="1"/>
  <c r="G2592" i="2"/>
  <c r="F2592" i="2"/>
  <c r="E2592" i="2"/>
  <c r="D2592" i="2"/>
  <c r="H2592" i="2"/>
  <c r="B2593" i="2" a="1"/>
  <c r="B2593" i="2" s="1"/>
  <c r="E2593" i="2" l="1"/>
  <c r="D2593" i="2"/>
  <c r="G2593" i="2"/>
  <c r="H2593" i="2"/>
  <c r="C2593" i="2"/>
  <c r="F2593" i="2"/>
  <c r="B2594" i="2" a="1"/>
  <c r="B2594" i="2" s="1"/>
  <c r="E2594" i="2" l="1"/>
  <c r="D2594" i="2"/>
  <c r="H2594" i="2"/>
  <c r="F2594" i="2"/>
  <c r="C2594" i="2"/>
  <c r="G2594" i="2"/>
  <c r="B2595" i="2" a="1"/>
  <c r="B2595" i="2" s="1"/>
  <c r="G2595" i="2" l="1"/>
  <c r="F2595" i="2"/>
  <c r="D2595" i="2"/>
  <c r="C2595" i="2"/>
  <c r="E2595" i="2"/>
  <c r="H2595" i="2"/>
  <c r="B2596" i="2" a="1"/>
  <c r="B2596" i="2" s="1"/>
  <c r="G2596" i="2" l="1"/>
  <c r="E2596" i="2"/>
  <c r="C2596" i="2"/>
  <c r="H2596" i="2"/>
  <c r="F2596" i="2"/>
  <c r="D2596" i="2"/>
  <c r="B2597" i="2" a="1"/>
  <c r="B2597" i="2" s="1"/>
  <c r="F2597" i="2" l="1"/>
  <c r="D2597" i="2"/>
  <c r="E2597" i="2"/>
  <c r="H2597" i="2"/>
  <c r="G2597" i="2"/>
  <c r="C2597" i="2"/>
  <c r="B2598" i="2" a="1"/>
  <c r="B2598" i="2" s="1"/>
  <c r="F2598" i="2" l="1"/>
  <c r="E2598" i="2"/>
  <c r="H2598" i="2"/>
  <c r="C2598" i="2"/>
  <c r="D2598" i="2"/>
  <c r="G2598" i="2"/>
  <c r="B2599" i="2" a="1"/>
  <c r="B2599" i="2" s="1"/>
  <c r="H2599" i="2" l="1"/>
  <c r="D2599" i="2"/>
  <c r="E2599" i="2"/>
  <c r="G2599" i="2"/>
  <c r="F2599" i="2"/>
  <c r="C2599" i="2"/>
  <c r="B2600" i="2" a="1"/>
  <c r="B2600" i="2" s="1"/>
  <c r="C2600" i="2" l="1"/>
  <c r="G2600" i="2"/>
  <c r="H2600" i="2"/>
  <c r="E2600" i="2"/>
  <c r="D2600" i="2"/>
  <c r="F2600" i="2"/>
  <c r="B2601" i="2" a="1"/>
  <c r="B2601" i="2" s="1"/>
  <c r="D2601" i="2" l="1"/>
  <c r="H2601" i="2"/>
  <c r="G2601" i="2"/>
  <c r="E2601" i="2"/>
  <c r="C2601" i="2"/>
  <c r="F2601" i="2"/>
  <c r="B2602" i="2" a="1"/>
  <c r="B2602" i="2" s="1"/>
  <c r="E2602" i="2" l="1"/>
  <c r="G2602" i="2"/>
  <c r="H2602" i="2"/>
  <c r="D2602" i="2"/>
  <c r="F2602" i="2"/>
  <c r="C2602" i="2"/>
  <c r="B2603" i="2" a="1"/>
  <c r="B2603" i="2" s="1"/>
  <c r="D2603" i="2" l="1"/>
  <c r="G2603" i="2"/>
  <c r="E2603" i="2"/>
  <c r="C2603" i="2"/>
  <c r="H2603" i="2"/>
  <c r="F2603" i="2"/>
  <c r="B2604" i="2" a="1"/>
  <c r="B2604" i="2" s="1"/>
  <c r="G2604" i="2" l="1"/>
  <c r="F2604" i="2"/>
  <c r="D2604" i="2"/>
  <c r="H2604" i="2"/>
  <c r="E2604" i="2"/>
  <c r="C2604" i="2"/>
  <c r="B2605" i="2" a="1"/>
  <c r="B2605" i="2" s="1"/>
  <c r="G2605" i="2" l="1"/>
  <c r="F2605" i="2"/>
  <c r="C2605" i="2"/>
  <c r="H2605" i="2"/>
  <c r="E2605" i="2"/>
  <c r="D2605" i="2"/>
  <c r="B2606" i="2" a="1"/>
  <c r="B2606" i="2" s="1"/>
  <c r="D2606" i="2" l="1"/>
  <c r="H2606" i="2"/>
  <c r="F2606" i="2"/>
  <c r="C2606" i="2"/>
  <c r="G2606" i="2"/>
  <c r="E2606" i="2"/>
  <c r="B2607" i="2" a="1"/>
  <c r="B2607" i="2" s="1"/>
  <c r="D2607" i="2" l="1"/>
  <c r="G2607" i="2"/>
  <c r="F2607" i="2"/>
  <c r="C2607" i="2"/>
  <c r="E2607" i="2"/>
  <c r="H2607" i="2"/>
  <c r="B2608" i="2" a="1"/>
  <c r="B2608" i="2" s="1"/>
  <c r="G2608" i="2" l="1"/>
  <c r="F2608" i="2"/>
  <c r="D2608" i="2"/>
  <c r="C2608" i="2"/>
  <c r="H2608" i="2"/>
  <c r="E2608" i="2"/>
  <c r="B2609" i="2" a="1"/>
  <c r="B2609" i="2" s="1"/>
  <c r="H2609" i="2" l="1"/>
  <c r="F2609" i="2"/>
  <c r="C2609" i="2"/>
  <c r="G2609" i="2"/>
  <c r="E2609" i="2"/>
  <c r="D2609" i="2"/>
  <c r="B2610" i="2" a="1"/>
  <c r="B2610" i="2" s="1"/>
  <c r="C2610" i="2" l="1"/>
  <c r="G2610" i="2"/>
  <c r="D2610" i="2"/>
  <c r="H2610" i="2"/>
  <c r="F2610" i="2"/>
  <c r="E2610" i="2"/>
  <c r="B2611" i="2" a="1"/>
  <c r="B2611" i="2" s="1"/>
  <c r="D2611" i="2" l="1"/>
  <c r="H2611" i="2"/>
  <c r="G2611" i="2"/>
  <c r="C2611" i="2"/>
  <c r="F2611" i="2"/>
  <c r="E2611" i="2"/>
  <c r="B2612" i="2" a="1"/>
  <c r="B2612" i="2" s="1"/>
  <c r="H2612" i="2" l="1"/>
  <c r="F2612" i="2"/>
  <c r="C2612" i="2"/>
  <c r="G2612" i="2"/>
  <c r="D2612" i="2"/>
  <c r="E2612" i="2"/>
  <c r="B2613" i="2" a="1"/>
  <c r="B2613" i="2" s="1"/>
  <c r="F2613" i="2" l="1"/>
  <c r="D2613" i="2"/>
  <c r="H2613" i="2"/>
  <c r="G2613" i="2"/>
  <c r="E2613" i="2"/>
  <c r="C2613" i="2"/>
  <c r="B2614" i="2" a="1"/>
  <c r="B2614" i="2" s="1"/>
  <c r="D2614" i="2" l="1"/>
  <c r="C2614" i="2"/>
  <c r="H2614" i="2"/>
  <c r="G2614" i="2"/>
  <c r="E2614" i="2"/>
  <c r="F2614" i="2"/>
  <c r="B2615" i="2" a="1"/>
  <c r="B2615" i="2" s="1"/>
  <c r="E2615" i="2" l="1"/>
  <c r="C2615" i="2"/>
  <c r="H2615" i="2"/>
  <c r="G2615" i="2"/>
  <c r="D2615" i="2"/>
  <c r="F2615" i="2"/>
  <c r="B2616" i="2" a="1"/>
  <c r="B2616" i="2" s="1"/>
  <c r="F2616" i="2" l="1"/>
  <c r="H2616" i="2"/>
  <c r="D2616" i="2"/>
  <c r="G2616" i="2"/>
  <c r="E2616" i="2"/>
  <c r="C2616" i="2"/>
  <c r="B2617" i="2" a="1"/>
  <c r="B2617" i="2" s="1"/>
  <c r="H2617" i="2" l="1"/>
  <c r="D2617" i="2"/>
  <c r="G2617" i="2"/>
  <c r="F2617" i="2"/>
  <c r="E2617" i="2"/>
  <c r="C2617" i="2"/>
  <c r="B2618" i="2" a="1"/>
  <c r="B2618" i="2" s="1"/>
  <c r="E2618" i="2" l="1"/>
  <c r="D2618" i="2"/>
  <c r="C2618" i="2"/>
  <c r="G2618" i="2"/>
  <c r="H2618" i="2"/>
  <c r="F2618" i="2"/>
  <c r="B2619" i="2" a="1"/>
  <c r="B2619" i="2" s="1"/>
  <c r="F2619" i="2" l="1"/>
  <c r="E2619" i="2"/>
  <c r="D2619" i="2"/>
  <c r="C2619" i="2"/>
  <c r="G2619" i="2"/>
  <c r="H2619" i="2"/>
  <c r="B2620" i="2" a="1"/>
  <c r="B2620" i="2" s="1"/>
  <c r="G2620" i="2" l="1"/>
  <c r="F2620" i="2"/>
  <c r="C2620" i="2"/>
  <c r="E2620" i="2"/>
  <c r="H2620" i="2"/>
  <c r="D2620" i="2"/>
  <c r="B2621" i="2" a="1"/>
  <c r="B2621" i="2" s="1"/>
  <c r="D2621" i="2" l="1"/>
  <c r="H2621" i="2"/>
  <c r="E2621" i="2"/>
  <c r="F2621" i="2"/>
  <c r="C2621" i="2"/>
  <c r="G2621" i="2"/>
  <c r="B2622" i="2" a="1"/>
  <c r="B2622" i="2" s="1"/>
  <c r="D2622" i="2" l="1"/>
  <c r="E2622" i="2"/>
  <c r="C2622" i="2"/>
  <c r="H2622" i="2"/>
  <c r="G2622" i="2"/>
  <c r="F2622" i="2"/>
  <c r="B2623" i="2" a="1"/>
  <c r="B2623" i="2" s="1"/>
  <c r="D2623" i="2" l="1"/>
  <c r="C2623" i="2"/>
  <c r="F2623" i="2"/>
  <c r="G2623" i="2"/>
  <c r="H2623" i="2"/>
  <c r="E2623" i="2"/>
  <c r="B2624" i="2" a="1"/>
  <c r="B2624" i="2" s="1"/>
  <c r="F2624" i="2" l="1"/>
  <c r="E2624" i="2"/>
  <c r="C2624" i="2"/>
  <c r="G2624" i="2"/>
  <c r="D2624" i="2"/>
  <c r="H2624" i="2"/>
  <c r="B2625" i="2" a="1"/>
  <c r="B2625" i="2" s="1"/>
  <c r="H2625" i="2" l="1"/>
  <c r="G2625" i="2"/>
  <c r="E2625" i="2"/>
  <c r="D2625" i="2"/>
  <c r="C2625" i="2"/>
  <c r="F2625" i="2"/>
  <c r="B2626" i="2" a="1"/>
  <c r="B2626" i="2" s="1"/>
  <c r="H2626" i="2" l="1"/>
  <c r="G2626" i="2"/>
  <c r="F2626" i="2"/>
  <c r="E2626" i="2"/>
  <c r="C2626" i="2"/>
  <c r="D2626" i="2"/>
  <c r="B2627" i="2" a="1"/>
  <c r="B2627" i="2" s="1"/>
  <c r="G2627" i="2" l="1"/>
  <c r="F2627" i="2"/>
  <c r="C2627" i="2"/>
  <c r="E2627" i="2"/>
  <c r="H2627" i="2"/>
  <c r="D2627" i="2"/>
  <c r="B2628" i="2" a="1"/>
  <c r="B2628" i="2" s="1"/>
  <c r="H2628" i="2" l="1"/>
  <c r="G2628" i="2"/>
  <c r="E2628" i="2"/>
  <c r="C2628" i="2"/>
  <c r="F2628" i="2"/>
  <c r="D2628" i="2"/>
  <c r="B2629" i="2" a="1"/>
  <c r="B2629" i="2" s="1"/>
  <c r="C2629" i="2" l="1"/>
  <c r="E2629" i="2"/>
  <c r="F2629" i="2"/>
  <c r="D2629" i="2"/>
  <c r="H2629" i="2"/>
  <c r="G2629" i="2"/>
  <c r="B2630" i="2" a="1"/>
  <c r="B2630" i="2" s="1"/>
  <c r="H2630" i="2" l="1"/>
  <c r="F2630" i="2"/>
  <c r="E2630" i="2"/>
  <c r="G2630" i="2"/>
  <c r="D2630" i="2"/>
  <c r="C2630" i="2"/>
  <c r="B2631" i="2" a="1"/>
  <c r="B2631" i="2" s="1"/>
  <c r="C2631" i="2" l="1"/>
  <c r="G2631" i="2"/>
  <c r="D2631" i="2"/>
  <c r="H2631" i="2"/>
  <c r="F2631" i="2"/>
  <c r="E2631" i="2"/>
  <c r="B2632" i="2" a="1"/>
  <c r="B2632" i="2" s="1"/>
  <c r="F2632" i="2" l="1"/>
  <c r="E2632" i="2"/>
  <c r="D2632" i="2"/>
  <c r="G2632" i="2"/>
  <c r="H2632" i="2"/>
  <c r="C2632" i="2"/>
  <c r="B2633" i="2" a="1"/>
  <c r="B2633" i="2" s="1"/>
  <c r="D2633" i="2" l="1"/>
  <c r="G2633" i="2"/>
  <c r="H2633" i="2"/>
  <c r="F2633" i="2"/>
  <c r="E2633" i="2"/>
  <c r="C2633" i="2"/>
  <c r="B2634" i="2" a="1"/>
  <c r="B2634" i="2" s="1"/>
  <c r="E2634" i="2" l="1"/>
  <c r="D2634" i="2"/>
  <c r="H2634" i="2"/>
  <c r="C2634" i="2"/>
  <c r="F2634" i="2"/>
  <c r="G2634" i="2"/>
  <c r="B2635" i="2" a="1"/>
  <c r="B2635" i="2" s="1"/>
  <c r="H2635" i="2" l="1"/>
  <c r="E2635" i="2"/>
  <c r="G2635" i="2"/>
  <c r="F2635" i="2"/>
  <c r="C2635" i="2"/>
  <c r="D2635" i="2"/>
  <c r="B2636" i="2" a="1"/>
  <c r="B2636" i="2" s="1"/>
  <c r="H2636" i="2" l="1"/>
  <c r="F2636" i="2"/>
  <c r="E2636" i="2"/>
  <c r="D2636" i="2"/>
  <c r="G2636" i="2"/>
  <c r="C2636" i="2"/>
  <c r="B2637" i="2" a="1"/>
  <c r="B2637" i="2" s="1"/>
  <c r="G2637" i="2" l="1"/>
  <c r="D2637" i="2"/>
  <c r="E2637" i="2"/>
  <c r="C2637" i="2"/>
  <c r="H2637" i="2"/>
  <c r="F2637" i="2"/>
  <c r="B2638" i="2" a="1"/>
  <c r="B2638" i="2" s="1"/>
  <c r="F2638" i="2" l="1"/>
  <c r="H2638" i="2"/>
  <c r="D2638" i="2"/>
  <c r="G2638" i="2"/>
  <c r="E2638" i="2"/>
  <c r="C2638" i="2"/>
  <c r="B2639" i="2" a="1"/>
  <c r="B2639" i="2" s="1"/>
  <c r="D2639" i="2" l="1"/>
  <c r="C2639" i="2"/>
  <c r="H2639" i="2"/>
  <c r="F2639" i="2"/>
  <c r="G2639" i="2"/>
  <c r="E2639" i="2"/>
  <c r="B2640" i="2" a="1"/>
  <c r="B2640" i="2" s="1"/>
  <c r="C2640" i="2" l="1"/>
  <c r="H2640" i="2"/>
  <c r="E2640" i="2"/>
  <c r="D2640" i="2"/>
  <c r="F2640" i="2"/>
  <c r="G2640" i="2"/>
  <c r="B2641" i="2" a="1"/>
  <c r="B2641" i="2" s="1"/>
  <c r="H2641" i="2" l="1"/>
  <c r="F2641" i="2"/>
  <c r="G2641" i="2"/>
  <c r="E2641" i="2"/>
  <c r="C2641" i="2"/>
  <c r="D2641" i="2"/>
  <c r="B2642" i="2" a="1"/>
  <c r="B2642" i="2" s="1"/>
  <c r="G2642" i="2" l="1"/>
  <c r="F2642" i="2"/>
  <c r="D2642" i="2"/>
  <c r="H2642" i="2"/>
  <c r="E2642" i="2"/>
  <c r="C2642" i="2"/>
  <c r="B2643" i="2" a="1"/>
  <c r="B2643" i="2" s="1"/>
  <c r="H2643" i="2" l="1"/>
  <c r="E2643" i="2"/>
  <c r="D2643" i="2"/>
  <c r="F2643" i="2"/>
  <c r="G2643" i="2"/>
  <c r="C2643" i="2"/>
  <c r="B2644" i="2" a="1"/>
  <c r="B2644" i="2" s="1"/>
  <c r="D2644" i="2" l="1"/>
  <c r="C2644" i="2"/>
  <c r="F2644" i="2"/>
  <c r="G2644" i="2"/>
  <c r="E2644" i="2"/>
  <c r="H2644" i="2"/>
  <c r="B2645" i="2" a="1"/>
  <c r="B2645" i="2" s="1"/>
  <c r="E2645" i="2" l="1"/>
  <c r="D2645" i="2"/>
  <c r="H2645" i="2"/>
  <c r="F2645" i="2"/>
  <c r="G2645" i="2"/>
  <c r="C2645" i="2"/>
  <c r="B2646" i="2" a="1"/>
  <c r="B2646" i="2" s="1"/>
  <c r="C2646" i="2" l="1"/>
  <c r="H2646" i="2"/>
  <c r="E2646" i="2"/>
  <c r="D2646" i="2"/>
  <c r="F2646" i="2"/>
  <c r="G2646" i="2"/>
  <c r="B2647" i="2" a="1"/>
  <c r="B2647" i="2" s="1"/>
  <c r="C2647" i="2" l="1"/>
  <c r="F2647" i="2"/>
  <c r="D2647" i="2"/>
  <c r="E2647" i="2"/>
  <c r="G2647" i="2"/>
  <c r="H2647" i="2"/>
  <c r="B2648" i="2" a="1"/>
  <c r="B2648" i="2" s="1"/>
  <c r="C2648" i="2" l="1"/>
  <c r="E2648" i="2"/>
  <c r="D2648" i="2"/>
  <c r="H2648" i="2"/>
  <c r="G2648" i="2"/>
  <c r="F2648" i="2"/>
  <c r="B2649" i="2" a="1"/>
  <c r="B2649" i="2" s="1"/>
  <c r="F2649" i="2" l="1"/>
  <c r="H2649" i="2"/>
  <c r="C2649" i="2"/>
  <c r="G2649" i="2"/>
  <c r="D2649" i="2"/>
  <c r="E2649" i="2"/>
  <c r="B2650" i="2" a="1"/>
  <c r="B2650" i="2" s="1"/>
  <c r="H2650" i="2" l="1"/>
  <c r="F2650" i="2"/>
  <c r="D2650" i="2"/>
  <c r="G2650" i="2"/>
  <c r="E2650" i="2"/>
  <c r="C2650" i="2"/>
  <c r="B2651" i="2" a="1"/>
  <c r="B2651" i="2" s="1"/>
  <c r="C2651" i="2" l="1"/>
  <c r="F2651" i="2"/>
  <c r="D2651" i="2"/>
  <c r="E2651" i="2"/>
  <c r="G2651" i="2"/>
  <c r="H2651" i="2"/>
  <c r="B2652" i="2" a="1"/>
  <c r="B2652" i="2" s="1"/>
  <c r="C2652" i="2" l="1"/>
  <c r="G2652" i="2"/>
  <c r="D2652" i="2"/>
  <c r="H2652" i="2"/>
  <c r="F2652" i="2"/>
  <c r="E2652" i="2"/>
  <c r="B2653" i="2" a="1"/>
  <c r="B2653" i="2" s="1"/>
  <c r="H2653" i="2" l="1"/>
  <c r="E2653" i="2"/>
  <c r="D2653" i="2"/>
  <c r="G2653" i="2"/>
  <c r="F2653" i="2"/>
  <c r="C2653" i="2"/>
  <c r="B2654" i="2" a="1"/>
  <c r="B2654" i="2" s="1"/>
  <c r="C2654" i="2" l="1"/>
  <c r="G2654" i="2"/>
  <c r="E2654" i="2"/>
  <c r="H2654" i="2"/>
  <c r="F2654" i="2"/>
  <c r="D2654" i="2"/>
  <c r="B2655" i="2" a="1"/>
  <c r="B2655" i="2" s="1"/>
  <c r="C2655" i="2" l="1"/>
  <c r="D2655" i="2"/>
  <c r="E2655" i="2"/>
  <c r="F2655" i="2"/>
  <c r="H2655" i="2"/>
  <c r="G2655" i="2"/>
  <c r="B2656" i="2" a="1"/>
  <c r="B2656" i="2" s="1"/>
  <c r="G2656" i="2" l="1"/>
  <c r="H2656" i="2"/>
  <c r="E2656" i="2"/>
  <c r="D2656" i="2"/>
  <c r="C2656" i="2"/>
  <c r="F2656" i="2"/>
  <c r="B2657" i="2" a="1"/>
  <c r="B2657" i="2" s="1"/>
  <c r="F2657" i="2" l="1"/>
  <c r="D2657" i="2"/>
  <c r="E2657" i="2"/>
  <c r="G2657" i="2"/>
  <c r="H2657" i="2"/>
  <c r="C2657" i="2"/>
  <c r="B2658" i="2" a="1"/>
  <c r="B2658" i="2" s="1"/>
  <c r="H2658" i="2" l="1"/>
  <c r="C2658" i="2"/>
  <c r="F2658" i="2"/>
  <c r="D2658" i="2"/>
  <c r="G2658" i="2"/>
  <c r="E2658" i="2"/>
  <c r="B2659" i="2" a="1"/>
  <c r="B2659" i="2" s="1"/>
  <c r="G2659" i="2" l="1"/>
  <c r="C2659" i="2"/>
  <c r="E2659" i="2"/>
  <c r="D2659" i="2"/>
  <c r="F2659" i="2"/>
  <c r="H2659" i="2"/>
  <c r="B2660" i="2" a="1"/>
  <c r="B2660" i="2" s="1"/>
  <c r="D2660" i="2" l="1"/>
  <c r="E2660" i="2"/>
  <c r="C2660" i="2"/>
  <c r="G2660" i="2"/>
  <c r="H2660" i="2"/>
  <c r="F2660" i="2"/>
  <c r="B2661" i="2" a="1"/>
  <c r="B2661" i="2" s="1"/>
  <c r="H2661" i="2" l="1"/>
  <c r="D2661" i="2"/>
  <c r="C2661" i="2"/>
  <c r="E2661" i="2"/>
  <c r="G2661" i="2"/>
  <c r="F2661" i="2"/>
  <c r="B2662" i="2" a="1"/>
  <c r="B2662" i="2" s="1"/>
  <c r="D2662" i="2" l="1"/>
  <c r="H2662" i="2"/>
  <c r="E2662" i="2"/>
  <c r="C2662" i="2"/>
  <c r="F2662" i="2"/>
  <c r="G2662" i="2"/>
  <c r="B2663" i="2" a="1"/>
  <c r="B2663" i="2" s="1"/>
  <c r="F2663" i="2" l="1"/>
  <c r="E2663" i="2"/>
  <c r="C2663" i="2"/>
  <c r="G2663" i="2"/>
  <c r="D2663" i="2"/>
  <c r="H2663" i="2"/>
  <c r="B2664" i="2" a="1"/>
  <c r="B2664" i="2" s="1"/>
  <c r="H2664" i="2" l="1"/>
  <c r="D2664" i="2"/>
  <c r="F2664" i="2"/>
  <c r="C2664" i="2"/>
  <c r="G2664" i="2"/>
  <c r="E2664" i="2"/>
  <c r="B2665" i="2" a="1"/>
  <c r="B2665" i="2" s="1"/>
  <c r="H2665" i="2" l="1"/>
  <c r="F2665" i="2"/>
  <c r="D2665" i="2"/>
  <c r="G2665" i="2"/>
  <c r="E2665" i="2"/>
  <c r="C2665" i="2"/>
  <c r="B2666" i="2" a="1"/>
  <c r="B2666" i="2" s="1"/>
  <c r="C2666" i="2" l="1"/>
  <c r="F2666" i="2"/>
  <c r="E2666" i="2"/>
  <c r="D2666" i="2"/>
  <c r="G2666" i="2"/>
  <c r="H2666" i="2"/>
  <c r="B2667" i="2" a="1"/>
  <c r="B2667" i="2" s="1"/>
  <c r="C2667" i="2" l="1"/>
  <c r="E2667" i="2"/>
  <c r="D2667" i="2"/>
  <c r="G2667" i="2"/>
  <c r="H2667" i="2"/>
  <c r="F2667" i="2"/>
  <c r="B2668" i="2" a="1"/>
  <c r="B2668" i="2" s="1"/>
  <c r="H2668" i="2" l="1"/>
  <c r="F2668" i="2"/>
  <c r="D2668" i="2"/>
  <c r="G2668" i="2"/>
  <c r="C2668" i="2"/>
  <c r="E2668" i="2"/>
  <c r="B2669" i="2" a="1"/>
  <c r="B2669" i="2" s="1"/>
  <c r="E2669" i="2" l="1"/>
  <c r="H2669" i="2"/>
  <c r="G2669" i="2"/>
  <c r="C2669" i="2"/>
  <c r="D2669" i="2"/>
  <c r="F2669" i="2"/>
  <c r="B2670" i="2" a="1"/>
  <c r="B2670" i="2" s="1"/>
  <c r="C2670" i="2" l="1"/>
  <c r="F2670" i="2"/>
  <c r="D2670" i="2"/>
  <c r="H2670" i="2"/>
  <c r="G2670" i="2"/>
  <c r="E2670" i="2"/>
  <c r="B2671" i="2" a="1"/>
  <c r="B2671" i="2" s="1"/>
  <c r="G2671" i="2" l="1"/>
  <c r="D2671" i="2"/>
  <c r="C2671" i="2"/>
  <c r="H2671" i="2"/>
  <c r="F2671" i="2"/>
  <c r="E2671" i="2"/>
  <c r="B2672" i="2" a="1"/>
  <c r="B2672" i="2" s="1"/>
  <c r="E2672" i="2" l="1"/>
  <c r="H2672" i="2"/>
  <c r="G2672" i="2"/>
  <c r="D2672" i="2"/>
  <c r="C2672" i="2"/>
  <c r="F2672" i="2"/>
  <c r="B2673" i="2" a="1"/>
  <c r="B2673" i="2" s="1"/>
  <c r="E2673" i="2" l="1"/>
  <c r="G2673" i="2"/>
  <c r="C2673" i="2"/>
  <c r="D2673" i="2"/>
  <c r="F2673" i="2"/>
  <c r="H2673" i="2"/>
  <c r="B2674" i="2" a="1"/>
  <c r="B2674" i="2" s="1"/>
  <c r="H2674" i="2" l="1"/>
  <c r="C2674" i="2"/>
  <c r="G2674" i="2"/>
  <c r="E2674" i="2"/>
  <c r="D2674" i="2"/>
  <c r="F2674" i="2"/>
  <c r="B2675" i="2" a="1"/>
  <c r="B2675" i="2" s="1"/>
  <c r="D2675" i="2" l="1"/>
  <c r="C2675" i="2"/>
  <c r="F2675" i="2"/>
  <c r="G2675" i="2"/>
  <c r="E2675" i="2"/>
  <c r="H2675" i="2"/>
  <c r="B2676" i="2" a="1"/>
  <c r="B2676" i="2" s="1"/>
  <c r="F2676" i="2" l="1"/>
  <c r="H2676" i="2"/>
  <c r="C2676" i="2"/>
  <c r="D2676" i="2"/>
  <c r="E2676" i="2"/>
  <c r="G2676" i="2"/>
  <c r="B2677" i="2" a="1"/>
  <c r="B2677" i="2" s="1"/>
  <c r="F2677" i="2" l="1"/>
  <c r="D2677" i="2"/>
  <c r="H2677" i="2"/>
  <c r="G2677" i="2"/>
  <c r="C2677" i="2"/>
  <c r="E2677" i="2"/>
  <c r="B2678" i="2" a="1"/>
  <c r="B2678" i="2" s="1"/>
  <c r="D2678" i="2" l="1"/>
  <c r="E2678" i="2"/>
  <c r="G2678" i="2"/>
  <c r="C2678" i="2"/>
  <c r="F2678" i="2"/>
  <c r="H2678" i="2"/>
  <c r="B2679" i="2" a="1"/>
  <c r="B2679" i="2" s="1"/>
  <c r="F2679" i="2" l="1"/>
  <c r="E2679" i="2"/>
  <c r="D2679" i="2"/>
  <c r="C2679" i="2"/>
  <c r="H2679" i="2"/>
  <c r="G2679" i="2"/>
  <c r="B2680" i="2" a="1"/>
  <c r="B2680" i="2" s="1"/>
  <c r="G2680" i="2" l="1"/>
  <c r="D2680" i="2"/>
  <c r="E2680" i="2"/>
  <c r="H2680" i="2"/>
  <c r="C2680" i="2"/>
  <c r="F2680" i="2"/>
  <c r="B2681" i="2" a="1"/>
  <c r="B2681" i="2" s="1"/>
  <c r="H2681" i="2" l="1"/>
  <c r="D2681" i="2"/>
  <c r="F2681" i="2"/>
  <c r="C2681" i="2"/>
  <c r="G2681" i="2"/>
  <c r="E2681" i="2"/>
  <c r="B2682" i="2" a="1"/>
  <c r="B2682" i="2" s="1"/>
  <c r="D2682" i="2" l="1"/>
  <c r="H2682" i="2"/>
  <c r="E2682" i="2"/>
  <c r="C2682" i="2"/>
  <c r="G2682" i="2"/>
  <c r="F2682" i="2"/>
  <c r="B2683" i="2" a="1"/>
  <c r="B2683" i="2" s="1"/>
  <c r="C2683" i="2" l="1"/>
  <c r="E2683" i="2"/>
  <c r="H2683" i="2"/>
  <c r="G2683" i="2"/>
  <c r="D2683" i="2"/>
  <c r="F2683" i="2"/>
  <c r="B2684" i="2" a="1"/>
  <c r="B2684" i="2" s="1"/>
  <c r="H2684" i="2" l="1"/>
  <c r="D2684" i="2"/>
  <c r="E2684" i="2"/>
  <c r="F2684" i="2"/>
  <c r="C2684" i="2"/>
  <c r="G2684" i="2"/>
  <c r="B2685" i="2" a="1"/>
  <c r="B2685" i="2" s="1"/>
  <c r="F2685" i="2" l="1"/>
  <c r="E2685" i="2"/>
  <c r="H2685" i="2"/>
  <c r="C2685" i="2"/>
  <c r="D2685" i="2"/>
  <c r="G2685" i="2"/>
  <c r="B2686" i="2" a="1"/>
  <c r="B2686" i="2" s="1"/>
  <c r="G2686" i="2" l="1"/>
  <c r="D2686" i="2"/>
  <c r="C2686" i="2"/>
  <c r="F2686" i="2"/>
  <c r="E2686" i="2"/>
  <c r="H2686" i="2"/>
  <c r="B2687" i="2" a="1"/>
  <c r="B2687" i="2" s="1"/>
  <c r="D2687" i="2" l="1"/>
  <c r="E2687" i="2"/>
  <c r="G2687" i="2"/>
  <c r="H2687" i="2"/>
  <c r="C2687" i="2"/>
  <c r="F2687" i="2"/>
  <c r="B2688" i="2" a="1"/>
  <c r="B2688" i="2" s="1"/>
  <c r="C2688" i="2" l="1"/>
  <c r="F2688" i="2"/>
  <c r="E2688" i="2"/>
  <c r="H2688" i="2"/>
  <c r="G2688" i="2"/>
  <c r="D2688" i="2"/>
  <c r="B2689" i="2" a="1"/>
  <c r="B2689" i="2" s="1"/>
  <c r="C2689" i="2" l="1"/>
  <c r="E2689" i="2"/>
  <c r="H2689" i="2"/>
  <c r="G2689" i="2"/>
  <c r="F2689" i="2"/>
  <c r="D2689" i="2"/>
  <c r="B2690" i="2" a="1"/>
  <c r="B2690" i="2" s="1"/>
  <c r="D2690" i="2" l="1"/>
  <c r="H2690" i="2"/>
  <c r="G2690" i="2"/>
  <c r="C2690" i="2"/>
  <c r="F2690" i="2"/>
  <c r="E2690" i="2"/>
  <c r="B2691" i="2" a="1"/>
  <c r="B2691" i="2" s="1"/>
  <c r="H2691" i="2" l="1"/>
  <c r="G2691" i="2"/>
  <c r="E2691" i="2"/>
  <c r="C2691" i="2"/>
  <c r="F2691" i="2"/>
  <c r="D2691" i="2"/>
  <c r="B2692" i="2" a="1"/>
  <c r="B2692" i="2" s="1"/>
  <c r="E2692" i="2" l="1"/>
  <c r="C2692" i="2"/>
  <c r="D2692" i="2"/>
  <c r="G2692" i="2"/>
  <c r="F2692" i="2"/>
  <c r="H2692" i="2"/>
  <c r="B2693" i="2" a="1"/>
  <c r="B2693" i="2" s="1"/>
  <c r="H2693" i="2" l="1"/>
  <c r="F2693" i="2"/>
  <c r="G2693" i="2"/>
  <c r="D2693" i="2"/>
  <c r="E2693" i="2"/>
  <c r="C2693" i="2"/>
  <c r="B2694" i="2" a="1"/>
  <c r="B2694" i="2" s="1"/>
  <c r="H2694" i="2" l="1"/>
  <c r="G2694" i="2"/>
  <c r="E2694" i="2"/>
  <c r="C2694" i="2"/>
  <c r="F2694" i="2"/>
  <c r="D2694" i="2"/>
  <c r="B2695" i="2" a="1"/>
  <c r="B2695" i="2" s="1"/>
  <c r="F2695" i="2" l="1"/>
  <c r="D2695" i="2"/>
  <c r="H2695" i="2"/>
  <c r="G2695" i="2"/>
  <c r="C2695" i="2"/>
  <c r="E2695" i="2"/>
  <c r="B2696" i="2" a="1"/>
  <c r="B2696" i="2" s="1"/>
  <c r="F2696" i="2" l="1"/>
  <c r="E2696" i="2"/>
  <c r="D2696" i="2"/>
  <c r="C2696" i="2"/>
  <c r="G2696" i="2"/>
  <c r="H2696" i="2"/>
  <c r="B2697" i="2" a="1"/>
  <c r="B2697" i="2" s="1"/>
  <c r="D2697" i="2" l="1"/>
  <c r="H2697" i="2"/>
  <c r="F2697" i="2"/>
  <c r="C2697" i="2"/>
  <c r="G2697" i="2"/>
  <c r="E2697" i="2"/>
  <c r="B2698" i="2" a="1"/>
  <c r="B2698" i="2" s="1"/>
  <c r="G2698" i="2" l="1"/>
  <c r="F2698" i="2"/>
  <c r="E2698" i="2"/>
  <c r="C2698" i="2"/>
  <c r="D2698" i="2"/>
  <c r="H2698" i="2"/>
  <c r="B2699" i="2" a="1"/>
  <c r="B2699" i="2" s="1"/>
  <c r="D2699" i="2" l="1"/>
  <c r="C2699" i="2"/>
  <c r="G2699" i="2"/>
  <c r="H2699" i="2"/>
  <c r="E2699" i="2"/>
  <c r="F2699" i="2"/>
  <c r="B2700" i="2" a="1"/>
  <c r="B2700" i="2" s="1"/>
  <c r="F2700" i="2" l="1"/>
  <c r="D2700" i="2"/>
  <c r="G2700" i="2"/>
  <c r="C2700" i="2"/>
  <c r="H2700" i="2"/>
  <c r="E2700" i="2"/>
  <c r="B2701" i="2" a="1"/>
  <c r="B2701" i="2" s="1"/>
  <c r="D2701" i="2" l="1"/>
  <c r="G2701" i="2"/>
  <c r="E2701" i="2"/>
  <c r="H2701" i="2"/>
  <c r="F2701" i="2"/>
  <c r="C2701" i="2"/>
  <c r="B2702" i="2" a="1"/>
  <c r="B2702" i="2" s="1"/>
  <c r="F2702" i="2" l="1"/>
  <c r="E2702" i="2"/>
  <c r="D2702" i="2"/>
  <c r="C2702" i="2"/>
  <c r="G2702" i="2"/>
  <c r="H2702" i="2"/>
  <c r="B2703" i="2" a="1"/>
  <c r="B2703" i="2" s="1"/>
  <c r="E2703" i="2" l="1"/>
  <c r="D2703" i="2"/>
  <c r="H2703" i="2"/>
  <c r="C2703" i="2"/>
  <c r="G2703" i="2"/>
  <c r="F2703" i="2"/>
  <c r="B2704" i="2" a="1"/>
  <c r="B2704" i="2" s="1"/>
  <c r="F2704" i="2" l="1"/>
  <c r="D2704" i="2"/>
  <c r="G2704" i="2"/>
  <c r="E2704" i="2"/>
  <c r="C2704" i="2"/>
  <c r="H2704" i="2"/>
  <c r="B2705" i="2" a="1"/>
  <c r="B2705" i="2" s="1"/>
  <c r="D2705" i="2" l="1"/>
  <c r="F2705" i="2"/>
  <c r="C2705" i="2"/>
  <c r="G2705" i="2"/>
  <c r="H2705" i="2"/>
  <c r="E2705" i="2"/>
  <c r="B2706" i="2" a="1"/>
  <c r="B2706" i="2" s="1"/>
  <c r="D2706" i="2" l="1"/>
  <c r="H2706" i="2"/>
  <c r="F2706" i="2"/>
  <c r="C2706" i="2"/>
  <c r="G2706" i="2"/>
  <c r="E2706" i="2"/>
  <c r="B2707" i="2" a="1"/>
  <c r="B2707" i="2" s="1"/>
  <c r="G2707" i="2" l="1"/>
  <c r="C2707" i="2"/>
  <c r="D2707" i="2"/>
  <c r="H2707" i="2"/>
  <c r="E2707" i="2"/>
  <c r="F2707" i="2"/>
  <c r="B2708" i="2" a="1"/>
  <c r="B2708" i="2" s="1"/>
  <c r="H2708" i="2" l="1"/>
  <c r="F2708" i="2"/>
  <c r="D2708" i="2"/>
  <c r="G2708" i="2"/>
  <c r="E2708" i="2"/>
  <c r="C2708" i="2"/>
  <c r="B2709" i="2" a="1"/>
  <c r="B2709" i="2" s="1"/>
  <c r="C2709" i="2" l="1"/>
  <c r="G2709" i="2"/>
  <c r="D2709" i="2"/>
  <c r="E2709" i="2"/>
  <c r="H2709" i="2"/>
  <c r="F2709" i="2"/>
  <c r="B2710" i="2" a="1"/>
  <c r="B2710" i="2" s="1"/>
  <c r="E2710" i="2" l="1"/>
  <c r="G2710" i="2"/>
  <c r="F2710" i="2"/>
  <c r="D2710" i="2"/>
  <c r="H2710" i="2"/>
  <c r="C2710" i="2"/>
  <c r="B2711" i="2" a="1"/>
  <c r="B2711" i="2" s="1"/>
  <c r="C2711" i="2" l="1"/>
  <c r="F2711" i="2"/>
  <c r="G2711" i="2"/>
  <c r="E2711" i="2"/>
  <c r="D2711" i="2"/>
  <c r="H2711" i="2"/>
  <c r="B2712" i="2" a="1"/>
  <c r="B2712" i="2" s="1"/>
  <c r="C2712" i="2" l="1"/>
  <c r="F2712" i="2"/>
  <c r="D2712" i="2"/>
  <c r="H2712" i="2"/>
  <c r="G2712" i="2"/>
  <c r="E2712" i="2"/>
  <c r="B2713" i="2" a="1"/>
  <c r="B2713" i="2" s="1"/>
  <c r="C2713" i="2" l="1"/>
  <c r="F2713" i="2"/>
  <c r="G2713" i="2"/>
  <c r="E2713" i="2"/>
  <c r="H2713" i="2"/>
  <c r="D2713" i="2"/>
  <c r="B2714" i="2" a="1"/>
  <c r="B2714" i="2" s="1"/>
  <c r="C2714" i="2" l="1"/>
  <c r="H2714" i="2"/>
  <c r="G2714" i="2"/>
  <c r="E2714" i="2"/>
  <c r="F2714" i="2"/>
  <c r="D2714" i="2"/>
  <c r="B2715" i="2" a="1"/>
  <c r="B2715" i="2" s="1"/>
  <c r="D2715" i="2" l="1"/>
  <c r="H2715" i="2"/>
  <c r="F2715" i="2"/>
  <c r="C2715" i="2"/>
  <c r="G2715" i="2"/>
  <c r="E2715" i="2"/>
  <c r="B2716" i="2" a="1"/>
  <c r="B2716" i="2" s="1"/>
  <c r="E2716" i="2" l="1"/>
  <c r="C2716" i="2"/>
  <c r="D2716" i="2"/>
  <c r="G2716" i="2"/>
  <c r="F2716" i="2"/>
  <c r="H2716" i="2"/>
  <c r="B2717" i="2" a="1"/>
  <c r="B2717" i="2" s="1"/>
  <c r="F2717" i="2" l="1"/>
  <c r="D2717" i="2"/>
  <c r="C2717" i="2"/>
  <c r="H2717" i="2"/>
  <c r="E2717" i="2"/>
  <c r="G2717" i="2"/>
  <c r="B2718" i="2" a="1"/>
  <c r="B2718" i="2" s="1"/>
  <c r="E2718" i="2" l="1"/>
  <c r="D2718" i="2"/>
  <c r="F2718" i="2"/>
  <c r="C2718" i="2"/>
  <c r="H2718" i="2"/>
  <c r="G2718" i="2"/>
  <c r="B2719" i="2" a="1"/>
  <c r="B2719" i="2" s="1"/>
  <c r="H2719" i="2" l="1"/>
  <c r="E2719" i="2"/>
  <c r="F2719" i="2"/>
  <c r="C2719" i="2"/>
  <c r="G2719" i="2"/>
  <c r="D2719" i="2"/>
  <c r="B2720" i="2" a="1"/>
  <c r="B2720" i="2" s="1"/>
  <c r="E2720" i="2" l="1"/>
  <c r="D2720" i="2"/>
  <c r="H2720" i="2"/>
  <c r="F2720" i="2"/>
  <c r="C2720" i="2"/>
  <c r="G2720" i="2"/>
  <c r="B2721" i="2" a="1"/>
  <c r="B2721" i="2" s="1"/>
  <c r="E2721" i="2" l="1"/>
  <c r="G2721" i="2"/>
  <c r="D2721" i="2"/>
  <c r="F2721" i="2"/>
  <c r="C2721" i="2"/>
  <c r="H2721" i="2"/>
  <c r="B2722" i="2" a="1"/>
  <c r="B2722" i="2" s="1"/>
  <c r="E2722" i="2" l="1"/>
  <c r="H2722" i="2"/>
  <c r="D2722" i="2"/>
  <c r="C2722" i="2"/>
  <c r="F2722" i="2"/>
  <c r="G2722" i="2"/>
  <c r="B2723" i="2" a="1"/>
  <c r="B2723" i="2" s="1"/>
  <c r="C2723" i="2" l="1"/>
  <c r="H2723" i="2"/>
  <c r="G2723" i="2"/>
  <c r="E2723" i="2"/>
  <c r="D2723" i="2"/>
  <c r="F2723" i="2"/>
  <c r="B2724" i="2" a="1"/>
  <c r="B2724" i="2" s="1"/>
  <c r="F2724" i="2" l="1"/>
  <c r="D2724" i="2"/>
  <c r="G2724" i="2"/>
  <c r="C2724" i="2"/>
  <c r="H2724" i="2"/>
  <c r="E2724" i="2"/>
  <c r="B2725" i="2" a="1"/>
  <c r="B2725" i="2" s="1"/>
  <c r="H2725" i="2" l="1"/>
  <c r="F2725" i="2"/>
  <c r="D2725" i="2"/>
  <c r="G2725" i="2"/>
  <c r="E2725" i="2"/>
  <c r="C2725" i="2"/>
  <c r="B2726" i="2" a="1"/>
  <c r="B2726" i="2" s="1"/>
  <c r="H2726" i="2" l="1"/>
  <c r="F2726" i="2"/>
  <c r="E2726" i="2"/>
  <c r="D2726" i="2"/>
  <c r="G2726" i="2"/>
  <c r="C2726" i="2"/>
  <c r="B2727" i="2" a="1"/>
  <c r="B2727" i="2" s="1"/>
  <c r="F2727" i="2" l="1"/>
  <c r="E2727" i="2"/>
  <c r="C2727" i="2"/>
  <c r="G2727" i="2"/>
  <c r="D2727" i="2"/>
  <c r="H2727" i="2"/>
  <c r="B2728" i="2" a="1"/>
  <c r="B2728" i="2" s="1"/>
  <c r="G2728" i="2" l="1"/>
  <c r="F2728" i="2"/>
  <c r="H2728" i="2"/>
  <c r="E2728" i="2"/>
  <c r="C2728" i="2"/>
  <c r="D2728" i="2"/>
  <c r="B2729" i="2" a="1"/>
  <c r="B2729" i="2" s="1"/>
  <c r="C2729" i="2" l="1"/>
  <c r="H2729" i="2"/>
  <c r="F2729" i="2"/>
  <c r="E2729" i="2"/>
  <c r="G2729" i="2"/>
  <c r="D2729" i="2"/>
  <c r="B2730" i="2" a="1"/>
  <c r="B2730" i="2" s="1"/>
  <c r="D2730" i="2" l="1"/>
  <c r="F2730" i="2"/>
  <c r="C2730" i="2"/>
  <c r="G2730" i="2"/>
  <c r="E2730" i="2"/>
  <c r="H2730" i="2"/>
  <c r="B2731" i="2" a="1"/>
  <c r="B2731" i="2" s="1"/>
  <c r="F2731" i="2" l="1"/>
  <c r="H2731" i="2"/>
  <c r="D2731" i="2"/>
  <c r="G2731" i="2"/>
  <c r="E2731" i="2"/>
  <c r="C2731" i="2"/>
  <c r="B2732" i="2" a="1"/>
  <c r="B2732" i="2" s="1"/>
  <c r="E2732" i="2" l="1"/>
  <c r="D2732" i="2"/>
  <c r="H2732" i="2"/>
  <c r="G2732" i="2"/>
  <c r="C2732" i="2"/>
  <c r="F2732" i="2"/>
  <c r="B2733" i="2" a="1"/>
  <c r="B2733" i="2" s="1"/>
  <c r="H2733" i="2" l="1"/>
  <c r="F2733" i="2"/>
  <c r="C2733" i="2"/>
  <c r="G2733" i="2"/>
  <c r="E2733" i="2"/>
  <c r="D2733" i="2"/>
  <c r="B2734" i="2" a="1"/>
  <c r="B2734" i="2" s="1"/>
  <c r="G2734" i="2" l="1"/>
  <c r="E2734" i="2"/>
  <c r="H2734" i="2"/>
  <c r="D2734" i="2"/>
  <c r="F2734" i="2"/>
  <c r="C2734" i="2"/>
  <c r="B2735" i="2" a="1"/>
  <c r="B2735" i="2" s="1"/>
  <c r="H2735" i="2" l="1"/>
  <c r="F2735" i="2"/>
  <c r="D2735" i="2"/>
  <c r="G2735" i="2"/>
  <c r="E2735" i="2"/>
  <c r="C2735" i="2"/>
  <c r="B2736" i="2" a="1"/>
  <c r="B2736" i="2" s="1"/>
  <c r="C2736" i="2" l="1"/>
  <c r="D2736" i="2"/>
  <c r="F2736" i="2"/>
  <c r="H2736" i="2"/>
  <c r="E2736" i="2"/>
  <c r="G2736" i="2"/>
  <c r="B2737" i="2" a="1"/>
  <c r="B2737" i="2" s="1"/>
  <c r="C2737" i="2" l="1"/>
  <c r="E2737" i="2"/>
  <c r="F2737" i="2"/>
  <c r="G2737" i="2"/>
  <c r="H2737" i="2"/>
  <c r="D2737" i="2"/>
  <c r="B2738" i="2" a="1"/>
  <c r="B2738" i="2" s="1"/>
  <c r="H2738" i="2" l="1"/>
  <c r="F2738" i="2"/>
  <c r="G2738" i="2"/>
  <c r="E2738" i="2"/>
  <c r="D2738" i="2"/>
  <c r="C2738" i="2"/>
  <c r="B2739" i="2" a="1"/>
  <c r="B2739" i="2" s="1"/>
  <c r="C2739" i="2" l="1"/>
  <c r="E2739" i="2"/>
  <c r="H2739" i="2"/>
  <c r="G2739" i="2"/>
  <c r="F2739" i="2"/>
  <c r="D2739" i="2"/>
  <c r="B2740" i="2" a="1"/>
  <c r="B2740" i="2" s="1"/>
  <c r="F2740" i="2" l="1"/>
  <c r="G2740" i="2"/>
  <c r="H2740" i="2"/>
  <c r="C2740" i="2"/>
  <c r="E2740" i="2"/>
  <c r="D2740" i="2"/>
  <c r="B2741" i="2" a="1"/>
  <c r="B2741" i="2" s="1"/>
  <c r="D2741" i="2" l="1"/>
  <c r="C2741" i="2"/>
  <c r="E2741" i="2"/>
  <c r="G2741" i="2"/>
  <c r="H2741" i="2"/>
  <c r="F2741" i="2"/>
  <c r="B2742" i="2" a="1"/>
  <c r="B2742" i="2" s="1"/>
  <c r="F2742" i="2" l="1"/>
  <c r="D2742" i="2"/>
  <c r="G2742" i="2"/>
  <c r="C2742" i="2"/>
  <c r="H2742" i="2"/>
  <c r="E2742" i="2"/>
  <c r="B2743" i="2" a="1"/>
  <c r="B2743" i="2" s="1"/>
  <c r="E2743" i="2" l="1"/>
  <c r="C2743" i="2"/>
  <c r="F2743" i="2"/>
  <c r="G2743" i="2"/>
  <c r="D2743" i="2"/>
  <c r="H2743" i="2"/>
  <c r="B2744" i="2" a="1"/>
  <c r="B2744" i="2" s="1"/>
  <c r="D2744" i="2" l="1"/>
  <c r="G2744" i="2"/>
  <c r="C2744" i="2"/>
  <c r="H2744" i="2"/>
  <c r="F2744" i="2"/>
  <c r="E2744" i="2"/>
  <c r="B2745" i="2" a="1"/>
  <c r="B2745" i="2" s="1"/>
  <c r="H2745" i="2" l="1"/>
  <c r="F2745" i="2"/>
  <c r="G2745" i="2"/>
  <c r="C2745" i="2"/>
  <c r="D2745" i="2"/>
  <c r="E2745" i="2"/>
  <c r="B2746" i="2" a="1"/>
  <c r="B2746" i="2" s="1"/>
  <c r="E2746" i="2" l="1"/>
  <c r="C2746" i="2"/>
  <c r="F2746" i="2"/>
  <c r="G2746" i="2"/>
  <c r="H2746" i="2"/>
  <c r="D2746" i="2"/>
  <c r="B2747" i="2" a="1"/>
  <c r="B2747" i="2" s="1"/>
  <c r="C2747" i="2" l="1"/>
  <c r="H2747" i="2"/>
  <c r="D2747" i="2"/>
  <c r="E2747" i="2"/>
  <c r="F2747" i="2"/>
  <c r="G2747" i="2"/>
  <c r="B2748" i="2" a="1"/>
  <c r="B2748" i="2" s="1"/>
  <c r="G2748" i="2" l="1"/>
  <c r="E2748" i="2"/>
  <c r="H2748" i="2"/>
  <c r="C2748" i="2"/>
  <c r="D2748" i="2"/>
  <c r="F2748" i="2"/>
  <c r="B2749" i="2" a="1"/>
  <c r="B2749" i="2" s="1"/>
  <c r="C2749" i="2" l="1"/>
  <c r="D2749" i="2"/>
  <c r="G2749" i="2"/>
  <c r="F2749" i="2"/>
  <c r="H2749" i="2"/>
  <c r="E2749" i="2"/>
  <c r="B2750" i="2" a="1"/>
  <c r="B2750" i="2" s="1"/>
  <c r="E2750" i="2" l="1"/>
  <c r="C2750" i="2"/>
  <c r="F2750" i="2"/>
  <c r="G2750" i="2"/>
  <c r="H2750" i="2"/>
  <c r="D2750" i="2"/>
  <c r="B2751" i="2" a="1"/>
  <c r="B2751" i="2" s="1"/>
  <c r="H2751" i="2" l="1"/>
  <c r="F2751" i="2"/>
  <c r="E2751" i="2"/>
  <c r="C2751" i="2"/>
  <c r="D2751" i="2"/>
  <c r="G2751" i="2"/>
  <c r="B2752" i="2" a="1"/>
  <c r="B2752" i="2" s="1"/>
  <c r="E2752" i="2" l="1"/>
  <c r="C2752" i="2"/>
  <c r="F2752" i="2"/>
  <c r="G2752" i="2"/>
  <c r="D2752" i="2"/>
  <c r="H2752" i="2"/>
  <c r="B2753" i="2" a="1"/>
  <c r="B2753" i="2" s="1"/>
  <c r="G2753" i="2" l="1"/>
  <c r="E2753" i="2"/>
  <c r="C2753" i="2"/>
  <c r="F2753" i="2"/>
  <c r="H2753" i="2"/>
  <c r="D2753" i="2"/>
  <c r="B2754" i="2" a="1"/>
  <c r="B2754" i="2" s="1"/>
  <c r="E2754" i="2" l="1"/>
  <c r="D2754" i="2"/>
  <c r="C2754" i="2"/>
  <c r="F2754" i="2"/>
  <c r="H2754" i="2"/>
  <c r="G2754" i="2"/>
  <c r="B2755" i="2" a="1"/>
  <c r="B2755" i="2" s="1"/>
  <c r="C2755" i="2" l="1"/>
  <c r="F2755" i="2"/>
  <c r="D2755" i="2"/>
  <c r="E2755" i="2"/>
  <c r="H2755" i="2"/>
  <c r="G2755" i="2"/>
  <c r="B2756" i="2" a="1"/>
  <c r="B2756" i="2" s="1"/>
  <c r="E2756" i="2" l="1"/>
  <c r="C2756" i="2"/>
  <c r="F2756" i="2"/>
  <c r="G2756" i="2"/>
  <c r="H2756" i="2"/>
  <c r="D2756" i="2"/>
  <c r="B2757" i="2" a="1"/>
  <c r="B2757" i="2" s="1"/>
  <c r="G2757" i="2" l="1"/>
  <c r="E2757" i="2"/>
  <c r="F2757" i="2"/>
  <c r="C2757" i="2"/>
  <c r="H2757" i="2"/>
  <c r="D2757" i="2"/>
  <c r="B2758" i="2" a="1"/>
  <c r="B2758" i="2" s="1"/>
  <c r="D2758" i="2" l="1"/>
  <c r="F2758" i="2"/>
  <c r="C2758" i="2"/>
  <c r="E2758" i="2"/>
  <c r="G2758" i="2"/>
  <c r="H2758" i="2"/>
  <c r="B2759" i="2" a="1"/>
  <c r="B2759" i="2" s="1"/>
  <c r="D2759" i="2" l="1"/>
  <c r="G2759" i="2"/>
  <c r="C2759" i="2"/>
  <c r="H2759" i="2"/>
  <c r="E2759" i="2"/>
  <c r="F2759" i="2"/>
  <c r="B2760" i="2" a="1"/>
  <c r="B2760" i="2" s="1"/>
  <c r="E2760" i="2" l="1"/>
  <c r="H2760" i="2"/>
  <c r="G2760" i="2"/>
  <c r="C2760" i="2"/>
  <c r="D2760" i="2"/>
  <c r="F2760" i="2"/>
  <c r="B2761" i="2" a="1"/>
  <c r="B2761" i="2" s="1"/>
  <c r="H2761" i="2" l="1"/>
  <c r="G2761" i="2"/>
  <c r="C2761" i="2"/>
  <c r="F2761" i="2"/>
  <c r="D2761" i="2"/>
  <c r="E2761" i="2"/>
  <c r="B2762" i="2" a="1"/>
  <c r="B2762" i="2" s="1"/>
  <c r="D2762" i="2" l="1"/>
  <c r="C2762" i="2"/>
  <c r="H2762" i="2"/>
  <c r="E2762" i="2"/>
  <c r="G2762" i="2"/>
  <c r="F2762" i="2"/>
  <c r="B2763" i="2" a="1"/>
  <c r="B2763" i="2" s="1"/>
  <c r="C2763" i="2" l="1"/>
  <c r="F2763" i="2"/>
  <c r="G2763" i="2"/>
  <c r="E2763" i="2"/>
  <c r="H2763" i="2"/>
  <c r="D2763" i="2"/>
  <c r="B2764" i="2" a="1"/>
  <c r="B2764" i="2" s="1"/>
  <c r="F2764" i="2" l="1"/>
  <c r="D2764" i="2"/>
  <c r="C2764" i="2"/>
  <c r="G2764" i="2"/>
  <c r="E2764" i="2"/>
  <c r="H2764" i="2"/>
  <c r="B2765" i="2" a="1"/>
  <c r="B2765" i="2" s="1"/>
  <c r="F2765" i="2" l="1"/>
  <c r="D2765" i="2"/>
  <c r="E2765" i="2"/>
  <c r="G2765" i="2"/>
  <c r="H2765" i="2"/>
  <c r="C2765" i="2"/>
  <c r="B2766" i="2" a="1"/>
  <c r="B2766" i="2" s="1"/>
  <c r="G2766" i="2" l="1"/>
  <c r="E2766" i="2"/>
  <c r="H2766" i="2"/>
  <c r="C2766" i="2"/>
  <c r="D2766" i="2"/>
  <c r="F2766" i="2"/>
  <c r="B2767" i="2" a="1"/>
  <c r="B2767" i="2" s="1"/>
  <c r="F2767" i="2" l="1"/>
  <c r="E2767" i="2"/>
  <c r="G2767" i="2"/>
  <c r="H2767" i="2"/>
  <c r="C2767" i="2"/>
  <c r="D2767" i="2"/>
  <c r="B2768" i="2" a="1"/>
  <c r="B2768" i="2" s="1"/>
  <c r="H2768" i="2" l="1"/>
  <c r="C2768" i="2"/>
  <c r="F2768" i="2"/>
  <c r="D2768" i="2"/>
  <c r="E2768" i="2"/>
  <c r="G2768" i="2"/>
  <c r="B2769" i="2" a="1"/>
  <c r="B2769" i="2" s="1"/>
  <c r="E2769" i="2" l="1"/>
  <c r="H2769" i="2"/>
  <c r="C2769" i="2"/>
  <c r="D2769" i="2"/>
  <c r="F2769" i="2"/>
  <c r="G2769" i="2"/>
  <c r="B2770" i="2" a="1"/>
  <c r="B2770" i="2" s="1"/>
  <c r="D2770" i="2" l="1"/>
  <c r="E2770" i="2"/>
  <c r="G2770" i="2"/>
  <c r="H2770" i="2"/>
  <c r="C2770" i="2"/>
  <c r="F2770" i="2"/>
  <c r="B2771" i="2" a="1"/>
  <c r="B2771" i="2" s="1"/>
  <c r="E2771" i="2" l="1"/>
  <c r="C2771" i="2"/>
  <c r="F2771" i="2"/>
  <c r="G2771" i="2"/>
  <c r="H2771" i="2"/>
  <c r="D2771" i="2"/>
  <c r="B2772" i="2" a="1"/>
  <c r="B2772" i="2" s="1"/>
  <c r="H2772" i="2" l="1"/>
  <c r="G2772" i="2"/>
  <c r="C2772" i="2"/>
  <c r="F2772" i="2"/>
  <c r="E2772" i="2"/>
  <c r="D2772" i="2"/>
  <c r="B2773" i="2" a="1"/>
  <c r="B2773" i="2" s="1"/>
  <c r="G2773" i="2" l="1"/>
  <c r="E2773" i="2"/>
  <c r="C2773" i="2"/>
  <c r="F2773" i="2"/>
  <c r="D2773" i="2"/>
  <c r="H2773" i="2"/>
  <c r="B2774" i="2" a="1"/>
  <c r="B2774" i="2" s="1"/>
  <c r="H2774" i="2" l="1"/>
  <c r="F2774" i="2"/>
  <c r="E2774" i="2"/>
  <c r="D2774" i="2"/>
  <c r="G2774" i="2"/>
  <c r="C2774" i="2"/>
  <c r="B2775" i="2" a="1"/>
  <c r="B2775" i="2" s="1"/>
  <c r="F2775" i="2" l="1"/>
  <c r="D2775" i="2"/>
  <c r="G2775" i="2"/>
  <c r="C2775" i="2"/>
  <c r="H2775" i="2"/>
  <c r="E2775" i="2"/>
  <c r="B2776" i="2" a="1"/>
  <c r="B2776" i="2" s="1"/>
  <c r="E2776" i="2" l="1"/>
  <c r="C2776" i="2"/>
  <c r="F2776" i="2"/>
  <c r="G2776" i="2"/>
  <c r="D2776" i="2"/>
  <c r="H2776" i="2"/>
  <c r="B2777" i="2" a="1"/>
  <c r="B2777" i="2" s="1"/>
  <c r="G2777" i="2" l="1"/>
  <c r="E2777" i="2"/>
  <c r="D2777" i="2"/>
  <c r="C2777" i="2"/>
  <c r="F2777" i="2"/>
  <c r="H2777" i="2"/>
  <c r="B2778" i="2" a="1"/>
  <c r="B2778" i="2" s="1"/>
  <c r="C2778" i="2" l="1"/>
  <c r="D2778" i="2"/>
  <c r="E2778" i="2"/>
  <c r="H2778" i="2"/>
  <c r="F2778" i="2"/>
  <c r="G2778" i="2"/>
  <c r="B2779" i="2" a="1"/>
  <c r="B2779" i="2" s="1"/>
  <c r="C2779" i="2" l="1"/>
  <c r="F2779" i="2"/>
  <c r="G2779" i="2"/>
  <c r="H2779" i="2"/>
  <c r="D2779" i="2"/>
  <c r="E2779" i="2"/>
  <c r="B2780" i="2" a="1"/>
  <c r="B2780" i="2" s="1"/>
  <c r="C2780" i="2" l="1"/>
  <c r="G2780" i="2"/>
  <c r="F2780" i="2"/>
  <c r="E2780" i="2"/>
  <c r="H2780" i="2"/>
  <c r="D2780" i="2"/>
  <c r="B2781" i="2" a="1"/>
  <c r="B2781" i="2" s="1"/>
  <c r="H2781" i="2" l="1"/>
  <c r="F2781" i="2"/>
  <c r="G2781" i="2"/>
  <c r="C2781" i="2"/>
  <c r="D2781" i="2"/>
  <c r="E2781" i="2"/>
  <c r="B2782" i="2" a="1"/>
  <c r="B2782" i="2" s="1"/>
  <c r="E2782" i="2" l="1"/>
  <c r="C2782" i="2"/>
  <c r="F2782" i="2"/>
  <c r="G2782" i="2"/>
  <c r="D2782" i="2"/>
  <c r="H2782" i="2"/>
  <c r="B2783" i="2" a="1"/>
  <c r="B2783" i="2" s="1"/>
  <c r="C2783" i="2" l="1"/>
  <c r="F2783" i="2"/>
  <c r="G2783" i="2"/>
  <c r="H2783" i="2"/>
  <c r="D2783" i="2"/>
  <c r="E2783" i="2"/>
  <c r="B2784" i="2" a="1"/>
  <c r="B2784" i="2" s="1"/>
  <c r="C2784" i="2" l="1"/>
  <c r="D2784" i="2"/>
  <c r="F2784" i="2"/>
  <c r="G2784" i="2"/>
  <c r="E2784" i="2"/>
  <c r="H2784" i="2"/>
  <c r="B2785" i="2" a="1"/>
  <c r="B2785" i="2" s="1"/>
  <c r="E2785" i="2" l="1"/>
  <c r="C2785" i="2"/>
  <c r="D2785" i="2"/>
  <c r="G2785" i="2"/>
  <c r="H2785" i="2"/>
  <c r="F2785" i="2"/>
  <c r="B2786" i="2" a="1"/>
  <c r="B2786" i="2" s="1"/>
  <c r="C2786" i="2" l="1"/>
  <c r="F2786" i="2"/>
  <c r="G2786" i="2"/>
  <c r="H2786" i="2"/>
  <c r="D2786" i="2"/>
  <c r="E2786" i="2"/>
  <c r="B2787" i="2" a="1"/>
  <c r="B2787" i="2" s="1"/>
  <c r="F2787" i="2" l="1"/>
  <c r="E2787" i="2"/>
  <c r="C2787" i="2"/>
  <c r="D2787" i="2"/>
  <c r="G2787" i="2"/>
  <c r="H2787" i="2"/>
  <c r="B2788" i="2" a="1"/>
  <c r="B2788" i="2" s="1"/>
  <c r="G2788" i="2" l="1"/>
  <c r="E2788" i="2"/>
  <c r="C2788" i="2"/>
  <c r="F2788" i="2"/>
  <c r="H2788" i="2"/>
  <c r="D2788" i="2"/>
  <c r="B2789" i="2" a="1"/>
  <c r="B2789" i="2" s="1"/>
  <c r="G2789" i="2" l="1"/>
  <c r="H2789" i="2"/>
  <c r="D2789" i="2"/>
  <c r="E2789" i="2"/>
  <c r="C2789" i="2"/>
  <c r="F2789" i="2"/>
  <c r="B2790" i="2" a="1"/>
  <c r="B2790" i="2" s="1"/>
  <c r="G2790" i="2" l="1"/>
  <c r="E2790" i="2"/>
  <c r="D2790" i="2"/>
  <c r="C2790" i="2"/>
  <c r="H2790" i="2"/>
  <c r="F2790" i="2"/>
  <c r="B2791" i="2" a="1"/>
  <c r="B2791" i="2" s="1"/>
  <c r="D2791" i="2" l="1"/>
  <c r="E2791" i="2"/>
  <c r="G2791" i="2"/>
  <c r="H2791" i="2"/>
  <c r="C2791" i="2"/>
  <c r="F2791" i="2"/>
  <c r="B2792" i="2" a="1"/>
  <c r="B2792" i="2" s="1"/>
  <c r="C2792" i="2" l="1"/>
  <c r="F2792" i="2"/>
  <c r="G2792" i="2"/>
  <c r="D2792" i="2"/>
  <c r="H2792" i="2"/>
  <c r="E2792" i="2"/>
  <c r="B2793" i="2" a="1"/>
  <c r="B2793" i="2" s="1"/>
  <c r="E2793" i="2" l="1"/>
  <c r="F2793" i="2"/>
  <c r="C2793" i="2"/>
  <c r="D2793" i="2"/>
  <c r="H2793" i="2"/>
  <c r="G2793" i="2"/>
  <c r="B2794" i="2" a="1"/>
  <c r="B2794" i="2" s="1"/>
  <c r="G2794" i="2" l="1"/>
  <c r="H2794" i="2"/>
  <c r="C2794" i="2"/>
  <c r="F2794" i="2"/>
  <c r="D2794" i="2"/>
  <c r="E2794" i="2"/>
  <c r="B2795" i="2" a="1"/>
  <c r="B2795" i="2" s="1"/>
  <c r="D2795" i="2" l="1"/>
  <c r="G2795" i="2"/>
  <c r="C2795" i="2"/>
  <c r="E2795" i="2"/>
  <c r="F2795" i="2"/>
  <c r="H2795" i="2"/>
  <c r="B2796" i="2" a="1"/>
  <c r="B2796" i="2" s="1"/>
  <c r="E2796" i="2" l="1"/>
  <c r="D2796" i="2"/>
  <c r="F2796" i="2"/>
  <c r="G2796" i="2"/>
  <c r="C2796" i="2"/>
  <c r="H2796" i="2"/>
  <c r="B2797" i="2" a="1"/>
  <c r="B2797" i="2" s="1"/>
  <c r="D2797" i="2" l="1"/>
  <c r="H2797" i="2"/>
  <c r="G2797" i="2"/>
  <c r="C2797" i="2"/>
  <c r="E2797" i="2"/>
  <c r="F2797" i="2"/>
  <c r="B2798" i="2" a="1"/>
  <c r="B2798" i="2" s="1"/>
  <c r="D2798" i="2" l="1"/>
  <c r="C2798" i="2"/>
  <c r="E2798" i="2"/>
  <c r="H2798" i="2"/>
  <c r="G2798" i="2"/>
  <c r="F2798" i="2"/>
  <c r="B2799" i="2" a="1"/>
  <c r="B2799" i="2" s="1"/>
  <c r="E2799" i="2" l="1"/>
  <c r="G2799" i="2"/>
  <c r="H2799" i="2"/>
  <c r="C2799" i="2"/>
  <c r="D2799" i="2"/>
  <c r="F2799" i="2"/>
  <c r="B2800" i="2" a="1"/>
  <c r="B2800" i="2" s="1"/>
  <c r="F2800" i="2" l="1"/>
  <c r="D2800" i="2"/>
  <c r="C2800" i="2"/>
  <c r="G2800" i="2"/>
  <c r="E2800" i="2"/>
  <c r="H2800" i="2"/>
  <c r="B2801" i="2" a="1"/>
  <c r="B2801" i="2" s="1"/>
  <c r="F2801" i="2" l="1"/>
  <c r="D2801" i="2"/>
  <c r="E2801" i="2"/>
  <c r="G2801" i="2"/>
  <c r="C2801" i="2"/>
  <c r="H2801" i="2"/>
  <c r="B2802" i="2" a="1"/>
  <c r="B2802" i="2" s="1"/>
  <c r="E2802" i="2" l="1"/>
  <c r="H2802" i="2"/>
  <c r="D2802" i="2"/>
  <c r="C2802" i="2"/>
  <c r="F2802" i="2"/>
  <c r="G2802" i="2"/>
  <c r="B2803" i="2" a="1"/>
  <c r="B2803" i="2" s="1"/>
  <c r="D2803" i="2" l="1"/>
  <c r="F2803" i="2"/>
  <c r="E2803" i="2"/>
  <c r="G2803" i="2"/>
  <c r="H2803" i="2"/>
  <c r="C2803" i="2"/>
  <c r="B2804" i="2" a="1"/>
  <c r="B2804" i="2" s="1"/>
  <c r="F2804" i="2" l="1"/>
  <c r="D2804" i="2"/>
  <c r="E2804" i="2"/>
  <c r="G2804" i="2"/>
  <c r="H2804" i="2"/>
  <c r="C2804" i="2"/>
  <c r="B2805" i="2" a="1"/>
  <c r="B2805" i="2" s="1"/>
  <c r="E2805" i="2" l="1"/>
  <c r="H2805" i="2"/>
  <c r="D2805" i="2"/>
  <c r="C2805" i="2"/>
  <c r="F2805" i="2"/>
  <c r="G2805" i="2"/>
  <c r="B2806" i="2" a="1"/>
  <c r="B2806" i="2" s="1"/>
  <c r="F2806" i="2" l="1"/>
  <c r="D2806" i="2"/>
  <c r="E2806" i="2"/>
  <c r="G2806" i="2"/>
  <c r="H2806" i="2"/>
  <c r="C2806" i="2"/>
  <c r="B2807" i="2" a="1"/>
  <c r="B2807" i="2" s="1"/>
  <c r="E2807" i="2" l="1"/>
  <c r="C2807" i="2"/>
  <c r="F2807" i="2"/>
  <c r="G2807" i="2"/>
  <c r="H2807" i="2"/>
  <c r="D2807" i="2"/>
  <c r="B2808" i="2" a="1"/>
  <c r="B2808" i="2" s="1"/>
  <c r="H2808" i="2" l="1"/>
  <c r="G2808" i="2"/>
  <c r="C2808" i="2"/>
  <c r="F2808" i="2"/>
  <c r="E2808" i="2"/>
  <c r="D2808" i="2"/>
  <c r="B2809" i="2" a="1"/>
  <c r="B2809" i="2" s="1"/>
  <c r="C2809" i="2" l="1"/>
  <c r="F2809" i="2"/>
  <c r="G2809" i="2"/>
  <c r="H2809" i="2"/>
  <c r="D2809" i="2"/>
  <c r="E2809" i="2"/>
  <c r="B2810" i="2" a="1"/>
  <c r="B2810" i="2" s="1"/>
  <c r="H2810" i="2" l="1"/>
  <c r="F2810" i="2"/>
  <c r="E2810" i="2"/>
  <c r="G2810" i="2"/>
  <c r="D2810" i="2"/>
  <c r="C2810" i="2"/>
  <c r="B2811" i="2" a="1"/>
  <c r="B2811" i="2" s="1"/>
  <c r="F2811" i="2" l="1"/>
  <c r="D2811" i="2"/>
  <c r="G2811" i="2"/>
  <c r="C2811" i="2"/>
  <c r="H2811" i="2"/>
  <c r="E2811" i="2"/>
  <c r="B2812" i="2" a="1"/>
  <c r="B2812" i="2" s="1"/>
  <c r="G2812" i="2" l="1"/>
  <c r="E2812" i="2"/>
  <c r="C2812" i="2"/>
  <c r="F2812" i="2"/>
  <c r="H2812" i="2"/>
  <c r="D2812" i="2"/>
  <c r="B2813" i="2" a="1"/>
  <c r="B2813" i="2" s="1"/>
  <c r="E2813" i="2" l="1"/>
  <c r="C2813" i="2"/>
  <c r="H2813" i="2"/>
  <c r="D2813" i="2"/>
  <c r="G2813" i="2"/>
  <c r="F2813" i="2"/>
  <c r="B2814" i="2" a="1"/>
  <c r="B2814" i="2" s="1"/>
  <c r="H2814" i="2" l="1"/>
  <c r="G2814" i="2"/>
  <c r="F2814" i="2"/>
  <c r="E2814" i="2"/>
  <c r="D2814" i="2"/>
  <c r="C2814" i="2"/>
  <c r="B2815" i="2" a="1"/>
  <c r="B2815" i="2" s="1"/>
  <c r="E2815" i="2" l="1"/>
  <c r="C2815" i="2"/>
  <c r="G2815" i="2"/>
  <c r="H2815" i="2"/>
  <c r="D2815" i="2"/>
  <c r="F2815" i="2"/>
  <c r="B2816" i="2" a="1"/>
  <c r="B2816" i="2" s="1"/>
  <c r="G2816" i="2" l="1"/>
  <c r="D2816" i="2"/>
  <c r="H2816" i="2"/>
  <c r="C2816" i="2"/>
  <c r="E2816" i="2"/>
  <c r="F2816" i="2"/>
  <c r="B2817" i="2" a="1"/>
  <c r="B2817" i="2" s="1"/>
  <c r="F2817" i="2" l="1"/>
  <c r="H2817" i="2"/>
  <c r="C2817" i="2"/>
  <c r="E2817" i="2"/>
  <c r="D2817" i="2"/>
  <c r="G2817" i="2"/>
  <c r="B2818" i="2" a="1"/>
  <c r="B2818" i="2" s="1"/>
  <c r="H2818" i="2" l="1"/>
  <c r="G2818" i="2"/>
  <c r="F2818" i="2"/>
  <c r="C2818" i="2"/>
  <c r="D2818" i="2"/>
  <c r="E2818" i="2"/>
  <c r="B2819" i="2" a="1"/>
  <c r="B2819" i="2" s="1"/>
  <c r="F2819" i="2" l="1"/>
  <c r="D2819" i="2"/>
  <c r="E2819" i="2"/>
  <c r="G2819" i="2"/>
  <c r="H2819" i="2"/>
  <c r="C2819" i="2"/>
  <c r="B2820" i="2" a="1"/>
  <c r="B2820" i="2" s="1"/>
  <c r="C2820" i="2" l="1"/>
  <c r="G2820" i="2"/>
  <c r="E2820" i="2"/>
  <c r="D2820" i="2"/>
  <c r="F2820" i="2"/>
  <c r="H2820" i="2"/>
  <c r="B2821" i="2" a="1"/>
  <c r="B2821" i="2" s="1"/>
  <c r="G2821" i="2" l="1"/>
  <c r="E2821" i="2"/>
  <c r="H2821" i="2"/>
  <c r="D2821" i="2"/>
  <c r="F2821" i="2"/>
  <c r="C2821" i="2"/>
  <c r="B2822" i="2" a="1"/>
  <c r="B2822" i="2" s="1"/>
  <c r="D2822" i="2" l="1"/>
  <c r="H2822" i="2"/>
  <c r="C2822" i="2"/>
  <c r="G2822" i="2"/>
  <c r="E2822" i="2"/>
  <c r="F2822" i="2"/>
  <c r="B2823" i="2" a="1"/>
  <c r="B2823" i="2" s="1"/>
  <c r="D2823" i="2" l="1"/>
  <c r="F2823" i="2"/>
  <c r="G2823" i="2"/>
  <c r="E2823" i="2"/>
  <c r="H2823" i="2"/>
  <c r="C2823" i="2"/>
  <c r="B2824" i="2" a="1"/>
  <c r="B2824" i="2" s="1"/>
  <c r="D2824" i="2" l="1"/>
  <c r="G2824" i="2"/>
  <c r="F2824" i="2"/>
  <c r="E2824" i="2"/>
  <c r="H2824" i="2"/>
  <c r="C2824" i="2"/>
  <c r="B2825" i="2" a="1"/>
  <c r="B2825" i="2" s="1"/>
  <c r="D2825" i="2" l="1"/>
  <c r="H2825" i="2"/>
  <c r="C2825" i="2"/>
  <c r="G2825" i="2"/>
  <c r="E2825" i="2"/>
  <c r="F2825" i="2"/>
  <c r="B2826" i="2" a="1"/>
  <c r="B2826" i="2" s="1"/>
  <c r="E2826" i="2" l="1"/>
  <c r="D2826" i="2"/>
  <c r="F2826" i="2"/>
  <c r="H2826" i="2"/>
  <c r="C2826" i="2"/>
  <c r="G2826" i="2"/>
  <c r="B2827" i="2" a="1"/>
  <c r="B2827" i="2" s="1"/>
  <c r="E2827" i="2" l="1"/>
  <c r="F2827" i="2"/>
  <c r="H2827" i="2"/>
  <c r="C2827" i="2"/>
  <c r="D2827" i="2"/>
  <c r="G2827" i="2"/>
  <c r="B2828" i="2" a="1"/>
  <c r="B2828" i="2" s="1"/>
  <c r="C2828" i="2" l="1"/>
  <c r="F2828" i="2"/>
  <c r="D2828" i="2"/>
  <c r="G2828" i="2"/>
  <c r="H2828" i="2"/>
  <c r="E2828" i="2"/>
  <c r="B2829" i="2" a="1"/>
  <c r="B2829" i="2" s="1"/>
  <c r="C2829" i="2" l="1"/>
  <c r="H2829" i="2"/>
  <c r="D2829" i="2"/>
  <c r="F2829" i="2"/>
  <c r="G2829" i="2"/>
  <c r="E2829" i="2"/>
  <c r="B2830" i="2" a="1"/>
  <c r="B2830" i="2" s="1"/>
  <c r="H2830" i="2" l="1"/>
  <c r="C2830" i="2"/>
  <c r="D2830" i="2"/>
  <c r="F2830" i="2"/>
  <c r="E2830" i="2"/>
  <c r="G2830" i="2"/>
  <c r="B2831" i="2" a="1"/>
  <c r="B2831" i="2" s="1"/>
  <c r="G2831" i="2" l="1"/>
  <c r="E2831" i="2"/>
  <c r="H2831" i="2"/>
  <c r="C2831" i="2"/>
  <c r="F2831" i="2"/>
  <c r="D2831" i="2"/>
  <c r="B2832" i="2" a="1"/>
  <c r="B2832" i="2" s="1"/>
  <c r="G2832" i="2" l="1"/>
  <c r="F2832" i="2"/>
  <c r="E2832" i="2"/>
  <c r="H2832" i="2"/>
  <c r="C2832" i="2"/>
  <c r="D2832" i="2"/>
  <c r="B2833" i="2" a="1"/>
  <c r="B2833" i="2" s="1"/>
  <c r="F2833" i="2" l="1"/>
  <c r="E2833" i="2"/>
  <c r="H2833" i="2"/>
  <c r="D2833" i="2"/>
  <c r="C2833" i="2"/>
  <c r="G2833" i="2"/>
  <c r="B2834" i="2" a="1"/>
  <c r="B2834" i="2" s="1"/>
  <c r="E2834" i="2" l="1"/>
  <c r="C2834" i="2"/>
  <c r="D2834" i="2"/>
  <c r="G2834" i="2"/>
  <c r="H2834" i="2"/>
  <c r="F2834" i="2"/>
  <c r="B2835" i="2" a="1"/>
  <c r="B2835" i="2" s="1"/>
  <c r="D2835" i="2" l="1"/>
  <c r="C2835" i="2"/>
  <c r="G2835" i="2"/>
  <c r="F2835" i="2"/>
  <c r="E2835" i="2"/>
  <c r="H2835" i="2"/>
  <c r="B2836" i="2" a="1"/>
  <c r="B2836" i="2" s="1"/>
  <c r="D2836" i="2" l="1"/>
  <c r="E2836" i="2"/>
  <c r="H2836" i="2"/>
  <c r="G2836" i="2"/>
  <c r="F2836" i="2"/>
  <c r="C2836" i="2"/>
  <c r="B2837" i="2" a="1"/>
  <c r="B2837" i="2" s="1"/>
  <c r="D2837" i="2" l="1"/>
  <c r="H2837" i="2"/>
  <c r="F2837" i="2"/>
  <c r="G2837" i="2"/>
  <c r="E2837" i="2"/>
  <c r="C2837" i="2"/>
  <c r="B2838" i="2" a="1"/>
  <c r="B2838" i="2" s="1"/>
  <c r="E2838" i="2" l="1"/>
  <c r="D2838" i="2"/>
  <c r="G2838" i="2"/>
  <c r="H2838" i="2"/>
  <c r="C2838" i="2"/>
  <c r="F2838" i="2"/>
  <c r="B2839" i="2" a="1"/>
  <c r="B2839" i="2" s="1"/>
  <c r="H2839" i="2" l="1"/>
  <c r="G2839" i="2"/>
  <c r="F2839" i="2"/>
  <c r="C2839" i="2"/>
  <c r="D2839" i="2"/>
  <c r="E2839" i="2"/>
  <c r="B2840" i="2" a="1"/>
  <c r="B2840" i="2" s="1"/>
  <c r="C2840" i="2" l="1"/>
  <c r="D2840" i="2"/>
  <c r="G2840" i="2"/>
  <c r="E2840" i="2"/>
  <c r="H2840" i="2"/>
  <c r="F2840" i="2"/>
  <c r="B2841" i="2" a="1"/>
  <c r="B2841" i="2" s="1"/>
  <c r="G2841" i="2" l="1"/>
  <c r="F2841" i="2"/>
  <c r="E2841" i="2"/>
  <c r="H2841" i="2"/>
  <c r="C2841" i="2"/>
  <c r="D2841" i="2"/>
  <c r="B2842" i="2" a="1"/>
  <c r="B2842" i="2" s="1"/>
  <c r="G2842" i="2" l="1"/>
  <c r="F2842" i="2"/>
  <c r="C2842" i="2"/>
  <c r="D2842" i="2"/>
  <c r="E2842" i="2"/>
  <c r="H2842" i="2"/>
  <c r="B2843" i="2" a="1"/>
  <c r="B2843" i="2" s="1"/>
  <c r="F2843" i="2" l="1"/>
  <c r="C2843" i="2"/>
  <c r="D2843" i="2"/>
  <c r="G2843" i="2"/>
  <c r="E2843" i="2"/>
  <c r="H2843" i="2"/>
  <c r="B2844" i="2" a="1"/>
  <c r="B2844" i="2" s="1"/>
  <c r="G2844" i="2" l="1"/>
  <c r="F2844" i="2"/>
  <c r="E2844" i="2"/>
  <c r="H2844" i="2"/>
  <c r="C2844" i="2"/>
  <c r="D2844" i="2"/>
  <c r="B2845" i="2" a="1"/>
  <c r="B2845" i="2" s="1"/>
  <c r="F2845" i="2" l="1"/>
  <c r="E2845" i="2"/>
  <c r="H2845" i="2"/>
  <c r="C2845" i="2"/>
  <c r="D2845" i="2"/>
  <c r="G2845" i="2"/>
  <c r="B2846" i="2" a="1"/>
  <c r="B2846" i="2" s="1"/>
  <c r="C2846" i="2" l="1"/>
  <c r="D2846" i="2"/>
  <c r="G2846" i="2"/>
  <c r="E2846" i="2"/>
  <c r="H2846" i="2"/>
  <c r="F2846" i="2"/>
  <c r="B2847" i="2" a="1"/>
  <c r="B2847" i="2" s="1"/>
  <c r="E2847" i="2" l="1"/>
  <c r="D2847" i="2"/>
  <c r="G2847" i="2"/>
  <c r="H2847" i="2"/>
  <c r="F2847" i="2"/>
  <c r="C2847" i="2"/>
  <c r="B2848" i="2" a="1"/>
  <c r="B2848" i="2" s="1"/>
  <c r="G2848" i="2" l="1"/>
  <c r="F2848" i="2"/>
  <c r="C2848" i="2"/>
  <c r="D2848" i="2"/>
  <c r="E2848" i="2"/>
  <c r="H2848" i="2"/>
  <c r="B2849" i="2" a="1"/>
  <c r="B2849" i="2" s="1"/>
  <c r="D2849" i="2" l="1"/>
  <c r="H2849" i="2"/>
  <c r="F2849" i="2"/>
  <c r="G2849" i="2"/>
  <c r="E2849" i="2"/>
  <c r="C2849" i="2"/>
  <c r="B2850" i="2" a="1"/>
  <c r="B2850" i="2" s="1"/>
  <c r="E2850" i="2" l="1"/>
  <c r="D2850" i="2"/>
  <c r="G2850" i="2"/>
  <c r="H2850" i="2"/>
  <c r="C2850" i="2"/>
  <c r="F2850" i="2"/>
  <c r="B2851" i="2" a="1"/>
  <c r="B2851" i="2" s="1"/>
  <c r="H2851" i="2" l="1"/>
  <c r="G2851" i="2"/>
  <c r="F2851" i="2"/>
  <c r="C2851" i="2"/>
  <c r="D2851" i="2"/>
  <c r="E2851" i="2"/>
  <c r="B2852" i="2" a="1"/>
  <c r="B2852" i="2" s="1"/>
  <c r="E2852" i="2" l="1"/>
  <c r="G2852" i="2"/>
  <c r="H2852" i="2"/>
  <c r="F2852" i="2"/>
  <c r="C2852" i="2"/>
  <c r="D2852" i="2"/>
  <c r="B2853" i="2" a="1"/>
  <c r="B2853" i="2" s="1"/>
  <c r="D2853" i="2" l="1"/>
  <c r="G2853" i="2"/>
  <c r="H2853" i="2"/>
  <c r="C2853" i="2"/>
  <c r="F2853" i="2"/>
  <c r="E2853" i="2"/>
  <c r="B2854" i="2" a="1"/>
  <c r="B2854" i="2" s="1"/>
  <c r="F2854" i="2" l="1"/>
  <c r="E2854" i="2"/>
  <c r="H2854" i="2"/>
  <c r="G2854" i="2"/>
  <c r="D2854" i="2"/>
  <c r="C2854" i="2"/>
  <c r="B2855" i="2" a="1"/>
  <c r="B2855" i="2" s="1"/>
  <c r="C2855" i="2" l="1"/>
  <c r="D2855" i="2"/>
  <c r="E2855" i="2"/>
  <c r="H2855" i="2"/>
  <c r="F2855" i="2"/>
  <c r="G2855" i="2"/>
  <c r="B2856" i="2" a="1"/>
  <c r="B2856" i="2" s="1"/>
  <c r="G2856" i="2" l="1"/>
  <c r="F2856" i="2"/>
  <c r="E2856" i="2"/>
  <c r="C2856" i="2"/>
  <c r="H2856" i="2"/>
  <c r="D2856" i="2"/>
  <c r="B2857" i="2" a="1"/>
  <c r="B2857" i="2" s="1"/>
  <c r="D2857" i="2" l="1"/>
  <c r="G2857" i="2"/>
  <c r="C2857" i="2"/>
  <c r="F2857" i="2"/>
  <c r="E2857" i="2"/>
  <c r="H2857" i="2"/>
  <c r="B2858" i="2" a="1"/>
  <c r="B2858" i="2" s="1"/>
  <c r="D2858" i="2" l="1"/>
  <c r="H2858" i="2"/>
  <c r="F2858" i="2"/>
  <c r="G2858" i="2"/>
  <c r="E2858" i="2"/>
  <c r="C2858" i="2"/>
  <c r="B2859" i="2" a="1"/>
  <c r="B2859" i="2" s="1"/>
  <c r="E2859" i="2" l="1"/>
  <c r="D2859" i="2"/>
  <c r="G2859" i="2"/>
  <c r="H2859" i="2"/>
  <c r="C2859" i="2"/>
  <c r="F2859" i="2"/>
  <c r="B2860" i="2" a="1"/>
  <c r="B2860" i="2" s="1"/>
  <c r="D2860" i="2" l="1"/>
  <c r="C2860" i="2"/>
  <c r="G2860" i="2"/>
  <c r="F2860" i="2"/>
  <c r="E2860" i="2"/>
  <c r="H2860" i="2"/>
  <c r="B2861" i="2" a="1"/>
  <c r="B2861" i="2" s="1"/>
  <c r="G2861" i="2" l="1"/>
  <c r="E2861" i="2"/>
  <c r="C2861" i="2"/>
  <c r="D2861" i="2"/>
  <c r="H2861" i="2"/>
  <c r="F2861" i="2"/>
  <c r="B2862" i="2" a="1"/>
  <c r="B2862" i="2" s="1"/>
  <c r="E2862" i="2" l="1"/>
  <c r="D2862" i="2"/>
  <c r="G2862" i="2"/>
  <c r="H2862" i="2"/>
  <c r="C2862" i="2"/>
  <c r="F2862" i="2"/>
  <c r="B2863" i="2" a="1"/>
  <c r="B2863" i="2" s="1"/>
  <c r="G2863" i="2" l="1"/>
  <c r="F2863" i="2"/>
  <c r="C2863" i="2"/>
  <c r="D2863" i="2"/>
  <c r="E2863" i="2"/>
  <c r="H2863" i="2"/>
  <c r="B2864" i="2" a="1"/>
  <c r="B2864" i="2" s="1"/>
  <c r="D2864" i="2" l="1"/>
  <c r="H2864" i="2"/>
  <c r="F2864" i="2"/>
  <c r="G2864" i="2"/>
  <c r="E2864" i="2"/>
  <c r="C2864" i="2"/>
  <c r="B2865" i="2" a="1"/>
  <c r="B2865" i="2" s="1"/>
  <c r="F2865" i="2" l="1"/>
  <c r="G2865" i="2"/>
  <c r="E2865" i="2"/>
  <c r="H2865" i="2"/>
  <c r="C2865" i="2"/>
  <c r="D2865" i="2"/>
  <c r="B2866" i="2" a="1"/>
  <c r="B2866" i="2" s="1"/>
  <c r="G2866" i="2" l="1"/>
  <c r="F2866" i="2"/>
  <c r="C2866" i="2"/>
  <c r="D2866" i="2"/>
  <c r="E2866" i="2"/>
  <c r="H2866" i="2"/>
  <c r="B2867" i="2" a="1"/>
  <c r="B2867" i="2" s="1"/>
  <c r="C2867" i="2" l="1"/>
  <c r="D2867" i="2"/>
  <c r="G2867" i="2"/>
  <c r="E2867" i="2"/>
  <c r="H2867" i="2"/>
  <c r="F2867" i="2"/>
  <c r="B2868" i="2" a="1"/>
  <c r="B2868" i="2" s="1"/>
  <c r="D2868" i="2" l="1"/>
  <c r="G2868" i="2"/>
  <c r="H2868" i="2"/>
  <c r="F2868" i="2"/>
  <c r="C2868" i="2"/>
  <c r="E2868" i="2"/>
  <c r="B2869" i="2" a="1"/>
  <c r="B2869" i="2" s="1"/>
  <c r="G2869" i="2" l="1"/>
  <c r="C2869" i="2"/>
  <c r="H2869" i="2"/>
  <c r="F2869" i="2"/>
  <c r="D2869" i="2"/>
  <c r="E2869" i="2"/>
  <c r="B2870" i="2" a="1"/>
  <c r="B2870" i="2" s="1"/>
  <c r="C2870" i="2" l="1"/>
  <c r="E2870" i="2"/>
  <c r="D2870" i="2"/>
  <c r="G2870" i="2"/>
  <c r="F2870" i="2"/>
  <c r="H2870" i="2"/>
  <c r="B2871" i="2" a="1"/>
  <c r="B2871" i="2" s="1"/>
  <c r="H2871" i="2" l="1"/>
  <c r="D2871" i="2"/>
  <c r="E2871" i="2"/>
  <c r="C2871" i="2"/>
  <c r="G2871" i="2"/>
  <c r="F2871" i="2"/>
  <c r="B2872" i="2" a="1"/>
  <c r="B2872" i="2" s="1"/>
  <c r="G2872" i="2" l="1"/>
  <c r="E2872" i="2"/>
  <c r="D2872" i="2"/>
  <c r="H2872" i="2"/>
  <c r="F2872" i="2"/>
  <c r="C2872" i="2"/>
  <c r="B2873" i="2" a="1"/>
  <c r="B2873" i="2" s="1"/>
  <c r="F2873" i="2" l="1"/>
  <c r="E2873" i="2"/>
  <c r="C2873" i="2"/>
  <c r="D2873" i="2"/>
  <c r="G2873" i="2"/>
  <c r="H2873" i="2"/>
  <c r="B2874" i="2" a="1"/>
  <c r="B2874" i="2" s="1"/>
  <c r="C2874" i="2" l="1"/>
  <c r="F2874" i="2"/>
  <c r="G2874" i="2"/>
  <c r="H2874" i="2"/>
  <c r="D2874" i="2"/>
  <c r="E2874" i="2"/>
  <c r="B2875" i="2" a="1"/>
  <c r="B2875" i="2" s="1"/>
  <c r="G2875" i="2" l="1"/>
  <c r="E2875" i="2"/>
  <c r="D2875" i="2"/>
  <c r="H2875" i="2"/>
  <c r="C2875" i="2"/>
  <c r="F2875" i="2"/>
  <c r="B2876" i="2" a="1"/>
  <c r="B2876" i="2" s="1"/>
  <c r="D2876" i="2" l="1"/>
  <c r="H2876" i="2"/>
  <c r="F2876" i="2"/>
  <c r="G2876" i="2"/>
  <c r="E2876" i="2"/>
  <c r="C2876" i="2"/>
  <c r="B2877" i="2" a="1"/>
  <c r="B2877" i="2" s="1"/>
  <c r="C2877" i="2" l="1"/>
  <c r="F2877" i="2"/>
  <c r="G2877" i="2"/>
  <c r="H2877" i="2"/>
  <c r="D2877" i="2"/>
  <c r="E2877" i="2"/>
  <c r="B2878" i="2" a="1"/>
  <c r="B2878" i="2" s="1"/>
  <c r="D2878" i="2" l="1"/>
  <c r="F2878" i="2"/>
  <c r="G2878" i="2"/>
  <c r="E2878" i="2"/>
  <c r="H2878" i="2"/>
  <c r="C2878" i="2"/>
  <c r="B2879" i="2" a="1"/>
  <c r="B2879" i="2" s="1"/>
  <c r="F2879" i="2" l="1"/>
  <c r="E2879" i="2"/>
  <c r="C2879" i="2"/>
  <c r="H2879" i="2"/>
  <c r="G2879" i="2"/>
  <c r="D2879" i="2"/>
  <c r="B2880" i="2" a="1"/>
  <c r="B2880" i="2" s="1"/>
  <c r="C2880" i="2" l="1"/>
  <c r="F2880" i="2"/>
  <c r="G2880" i="2"/>
  <c r="H2880" i="2"/>
  <c r="D2880" i="2"/>
  <c r="E2880" i="2"/>
  <c r="B2881" i="2" a="1"/>
  <c r="B2881" i="2" s="1"/>
  <c r="H2881" i="2" l="1"/>
  <c r="E2881" i="2"/>
  <c r="D2881" i="2"/>
  <c r="F2881" i="2"/>
  <c r="C2881" i="2"/>
  <c r="G2881" i="2"/>
  <c r="B2882" i="2" a="1"/>
  <c r="B2882" i="2" s="1"/>
  <c r="E2882" i="2" l="1"/>
  <c r="C2882" i="2"/>
  <c r="G2882" i="2"/>
  <c r="D2882" i="2"/>
  <c r="H2882" i="2"/>
  <c r="F2882" i="2"/>
  <c r="B2883" i="2" a="1"/>
  <c r="B2883" i="2" s="1"/>
  <c r="H2883" i="2" l="1"/>
  <c r="D2883" i="2"/>
  <c r="E2883" i="2"/>
  <c r="C2883" i="2"/>
  <c r="F2883" i="2"/>
  <c r="G2883" i="2"/>
  <c r="B2884" i="2" a="1"/>
  <c r="B2884" i="2" s="1"/>
  <c r="H2884" i="2" l="1"/>
  <c r="F2884" i="2"/>
  <c r="C2884" i="2"/>
  <c r="G2884" i="2"/>
  <c r="E2884" i="2"/>
  <c r="D2884" i="2"/>
  <c r="B2885" i="2" a="1"/>
  <c r="B2885" i="2" s="1"/>
  <c r="C2885" i="2" l="1"/>
  <c r="H2885" i="2"/>
  <c r="F2885" i="2"/>
  <c r="D2885" i="2"/>
  <c r="G2885" i="2"/>
  <c r="E2885" i="2"/>
  <c r="B2886" i="2" a="1"/>
  <c r="B2886" i="2" s="1"/>
  <c r="G2886" i="2" l="1"/>
  <c r="E2886" i="2"/>
  <c r="C2886" i="2"/>
  <c r="H2886" i="2"/>
  <c r="D2886" i="2"/>
  <c r="F2886" i="2"/>
  <c r="B2887" i="2" a="1"/>
  <c r="B2887" i="2" s="1"/>
  <c r="F2887" i="2" l="1"/>
  <c r="G2887" i="2"/>
  <c r="E2887" i="2"/>
  <c r="D2887" i="2"/>
  <c r="H2887" i="2"/>
  <c r="C2887" i="2"/>
  <c r="B2888" i="2" a="1"/>
  <c r="B2888" i="2" s="1"/>
  <c r="F2888" i="2" l="1"/>
  <c r="E2888" i="2"/>
  <c r="C2888" i="2"/>
  <c r="G2888" i="2"/>
  <c r="D2888" i="2"/>
  <c r="H2888" i="2"/>
  <c r="B2889" i="2" a="1"/>
  <c r="B2889" i="2" s="1"/>
  <c r="H2889" i="2" l="1"/>
  <c r="D2889" i="2"/>
  <c r="C2889" i="2"/>
  <c r="F2889" i="2"/>
  <c r="G2889" i="2"/>
  <c r="E2889" i="2"/>
  <c r="B2890" i="2" a="1"/>
  <c r="B2890" i="2" s="1"/>
  <c r="G2890" i="2" l="1"/>
  <c r="E2890" i="2"/>
  <c r="D2890" i="2"/>
  <c r="H2890" i="2"/>
  <c r="F2890" i="2"/>
  <c r="C2890" i="2"/>
  <c r="B2891" i="2" a="1"/>
  <c r="B2891" i="2" s="1"/>
  <c r="C2891" i="2" l="1"/>
  <c r="D2891" i="2"/>
  <c r="H2891" i="2"/>
  <c r="F2891" i="2"/>
  <c r="E2891" i="2"/>
  <c r="G2891" i="2"/>
  <c r="B2892" i="2" a="1"/>
  <c r="B2892" i="2" s="1"/>
  <c r="H2892" i="2" l="1"/>
  <c r="D2892" i="2"/>
  <c r="F2892" i="2"/>
  <c r="G2892" i="2"/>
  <c r="E2892" i="2"/>
  <c r="C2892" i="2"/>
  <c r="B2893" i="2" a="1"/>
  <c r="B2893" i="2" s="1"/>
  <c r="F2893" i="2" l="1"/>
  <c r="G2893" i="2"/>
  <c r="C2893" i="2"/>
  <c r="E2893" i="2"/>
  <c r="H2893" i="2"/>
  <c r="D2893" i="2"/>
  <c r="B2894" i="2" a="1"/>
  <c r="B2894" i="2" s="1"/>
  <c r="F2894" i="2" l="1"/>
  <c r="E2894" i="2"/>
  <c r="C2894" i="2"/>
  <c r="D2894" i="2"/>
  <c r="G2894" i="2"/>
  <c r="H2894" i="2"/>
  <c r="B2895" i="2" a="1"/>
  <c r="B2895" i="2" s="1"/>
  <c r="G2895" i="2" l="1"/>
  <c r="E2895" i="2"/>
  <c r="C2895" i="2"/>
  <c r="H2895" i="2"/>
  <c r="D2895" i="2"/>
  <c r="F2895" i="2"/>
  <c r="B2896" i="2" a="1"/>
  <c r="B2896" i="2" s="1"/>
  <c r="E2896" i="2" l="1"/>
  <c r="D2896" i="2"/>
  <c r="H2896" i="2"/>
  <c r="F2896" i="2"/>
  <c r="C2896" i="2"/>
  <c r="G2896" i="2"/>
  <c r="B2897" i="2" a="1"/>
  <c r="B2897" i="2" s="1"/>
  <c r="H2897" i="2" l="1"/>
  <c r="D2897" i="2"/>
  <c r="G2897" i="2"/>
  <c r="F2897" i="2"/>
  <c r="E2897" i="2"/>
  <c r="C2897" i="2"/>
  <c r="B2898" i="2" a="1"/>
  <c r="B2898" i="2" s="1"/>
  <c r="F2898" i="2" l="1"/>
  <c r="G2898" i="2"/>
  <c r="D2898" i="2"/>
  <c r="H2898" i="2"/>
  <c r="E2898" i="2"/>
  <c r="C2898" i="2"/>
  <c r="B2899" i="2" a="1"/>
  <c r="B2899" i="2" s="1"/>
  <c r="E2899" i="2" l="1"/>
  <c r="D2899" i="2"/>
  <c r="F2899" i="2"/>
  <c r="G2899" i="2"/>
  <c r="H2899" i="2"/>
  <c r="C2899" i="2"/>
  <c r="B2900" i="2" a="1"/>
  <c r="B2900" i="2" s="1"/>
  <c r="H2900" i="2" l="1"/>
  <c r="F2900" i="2"/>
  <c r="D2900" i="2"/>
  <c r="G2900" i="2"/>
  <c r="E2900" i="2"/>
  <c r="C2900" i="2"/>
  <c r="B2901" i="2" a="1"/>
  <c r="B2901" i="2" s="1"/>
  <c r="H2901" i="2" l="1"/>
  <c r="D2901" i="2"/>
  <c r="F2901" i="2"/>
  <c r="G2901" i="2"/>
  <c r="E2901" i="2"/>
  <c r="C2901" i="2"/>
  <c r="B2902" i="2" a="1"/>
  <c r="B2902" i="2" s="1"/>
  <c r="D2902" i="2" l="1"/>
  <c r="F2902" i="2"/>
  <c r="G2902" i="2"/>
  <c r="E2902" i="2"/>
  <c r="H2902" i="2"/>
  <c r="C2902" i="2"/>
  <c r="B2903" i="2" a="1"/>
  <c r="B2903" i="2" s="1"/>
  <c r="E2903" i="2" l="1"/>
  <c r="C2903" i="2"/>
  <c r="D2903" i="2"/>
  <c r="H2903" i="2"/>
  <c r="G2903" i="2"/>
  <c r="F2903" i="2"/>
  <c r="B2904" i="2" a="1"/>
  <c r="B2904" i="2" s="1"/>
  <c r="G2904" i="2" l="1"/>
  <c r="E2904" i="2"/>
  <c r="C2904" i="2"/>
  <c r="H2904" i="2"/>
  <c r="D2904" i="2"/>
  <c r="F2904" i="2"/>
  <c r="B2905" i="2" a="1"/>
  <c r="B2905" i="2" s="1"/>
  <c r="G2905" i="2" l="1"/>
  <c r="E2905" i="2"/>
  <c r="D2905" i="2"/>
  <c r="H2905" i="2"/>
  <c r="C2905" i="2"/>
  <c r="F2905" i="2"/>
  <c r="B2906" i="2" a="1"/>
  <c r="B2906" i="2" s="1"/>
  <c r="C2906" i="2" l="1"/>
  <c r="H2906" i="2"/>
  <c r="F2906" i="2"/>
  <c r="D2906" i="2"/>
  <c r="G2906" i="2"/>
  <c r="E2906" i="2"/>
  <c r="B2907" i="2" a="1"/>
  <c r="B2907" i="2" s="1"/>
  <c r="H2907" i="2" l="1"/>
  <c r="E2907" i="2"/>
  <c r="C2907" i="2"/>
  <c r="F2907" i="2"/>
  <c r="G2907" i="2"/>
  <c r="D2907" i="2"/>
  <c r="B2908" i="2" a="1"/>
  <c r="B2908" i="2" s="1"/>
  <c r="H2908" i="2" l="1"/>
  <c r="C2908" i="2"/>
  <c r="E2908" i="2"/>
  <c r="D2908" i="2"/>
  <c r="F2908" i="2"/>
  <c r="G2908" i="2"/>
  <c r="B2909" i="2" a="1"/>
  <c r="B2909" i="2" s="1"/>
  <c r="D2909" i="2" l="1"/>
  <c r="G2909" i="2"/>
  <c r="E2909" i="2"/>
  <c r="C2909" i="2"/>
  <c r="H2909" i="2"/>
  <c r="F2909" i="2"/>
  <c r="B2910" i="2" a="1"/>
  <c r="B2910" i="2" s="1"/>
  <c r="H2910" i="2" l="1"/>
  <c r="D2910" i="2"/>
  <c r="F2910" i="2"/>
  <c r="G2910" i="2"/>
  <c r="E2910" i="2"/>
  <c r="C2910" i="2"/>
  <c r="B2911" i="2" a="1"/>
  <c r="B2911" i="2" s="1"/>
  <c r="F2911" i="2" l="1"/>
  <c r="D2911" i="2"/>
  <c r="G2911" i="2"/>
  <c r="H2911" i="2"/>
  <c r="C2911" i="2"/>
  <c r="E2911" i="2"/>
  <c r="B2912" i="2" a="1"/>
  <c r="B2912" i="2" s="1"/>
  <c r="F2912" i="2" l="1"/>
  <c r="E2912" i="2"/>
  <c r="C2912" i="2"/>
  <c r="H2912" i="2"/>
  <c r="D2912" i="2"/>
  <c r="G2912" i="2"/>
  <c r="B2913" i="2" a="1"/>
  <c r="B2913" i="2" s="1"/>
  <c r="H2913" i="2" l="1"/>
  <c r="D2913" i="2"/>
  <c r="F2913" i="2"/>
  <c r="G2913" i="2"/>
  <c r="C2913" i="2"/>
  <c r="E2913" i="2"/>
  <c r="B2914" i="2" a="1"/>
  <c r="B2914" i="2" s="1"/>
  <c r="E2914" i="2" l="1"/>
  <c r="D2914" i="2"/>
  <c r="H2914" i="2"/>
  <c r="C2914" i="2"/>
  <c r="F2914" i="2"/>
  <c r="G2914" i="2"/>
  <c r="B2915" i="2" a="1"/>
  <c r="B2915" i="2" s="1"/>
  <c r="F2915" i="2" l="1"/>
  <c r="D2915" i="2"/>
  <c r="G2915" i="2"/>
  <c r="E2915" i="2"/>
  <c r="C2915" i="2"/>
  <c r="H2915" i="2"/>
  <c r="B2916" i="2" a="1"/>
  <c r="B2916" i="2" s="1"/>
  <c r="G2916" i="2" l="1"/>
  <c r="E2916" i="2"/>
  <c r="C2916" i="2"/>
  <c r="H2916" i="2"/>
  <c r="D2916" i="2"/>
  <c r="F2916" i="2"/>
  <c r="B2917" i="2" a="1"/>
  <c r="B2917" i="2" s="1"/>
  <c r="H2917" i="2" l="1"/>
  <c r="D2917" i="2"/>
  <c r="F2917" i="2"/>
  <c r="G2917" i="2"/>
  <c r="C2917" i="2"/>
  <c r="E2917" i="2"/>
  <c r="B2918" i="2" a="1"/>
  <c r="B2918" i="2" s="1"/>
  <c r="H2918" i="2" l="1"/>
  <c r="F2918" i="2"/>
  <c r="D2918" i="2"/>
  <c r="E2918" i="2"/>
  <c r="G2918" i="2"/>
  <c r="C2918" i="2"/>
  <c r="B2919" i="2" a="1"/>
  <c r="B2919" i="2" s="1"/>
  <c r="G2919" i="2" l="1"/>
  <c r="E2919" i="2"/>
  <c r="C2919" i="2"/>
  <c r="H2919" i="2"/>
  <c r="D2919" i="2"/>
  <c r="F2919" i="2"/>
  <c r="B2920" i="2" a="1"/>
  <c r="B2920" i="2" s="1"/>
  <c r="E2920" i="2" l="1"/>
  <c r="D2920" i="2"/>
  <c r="F2920" i="2"/>
  <c r="G2920" i="2"/>
  <c r="H2920" i="2"/>
  <c r="C2920" i="2"/>
  <c r="B2921" i="2" a="1"/>
  <c r="B2921" i="2" s="1"/>
  <c r="F2921" i="2" l="1"/>
  <c r="E2921" i="2"/>
  <c r="C2921" i="2"/>
  <c r="D2921" i="2"/>
  <c r="G2921" i="2"/>
  <c r="H2921" i="2"/>
  <c r="B2922" i="2" a="1"/>
  <c r="B2922" i="2" s="1"/>
  <c r="C2922" i="2" l="1"/>
  <c r="F2922" i="2"/>
  <c r="G2922" i="2"/>
  <c r="H2922" i="2"/>
  <c r="D2922" i="2"/>
  <c r="E2922" i="2"/>
  <c r="B2923" i="2" a="1"/>
  <c r="B2923" i="2" s="1"/>
  <c r="H2923" i="2" l="1"/>
  <c r="C2923" i="2"/>
  <c r="E2923" i="2"/>
  <c r="D2923" i="2"/>
  <c r="F2923" i="2"/>
  <c r="G2923" i="2"/>
  <c r="B2924" i="2" a="1"/>
  <c r="B2924" i="2" s="1"/>
  <c r="C2924" i="2" l="1"/>
  <c r="H2924" i="2"/>
  <c r="F2924" i="2"/>
  <c r="D2924" i="2"/>
  <c r="G2924" i="2"/>
  <c r="E2924" i="2"/>
  <c r="B2925" i="2" a="1"/>
  <c r="B2925" i="2" s="1"/>
  <c r="G2925" i="2" l="1"/>
  <c r="E2925" i="2"/>
  <c r="C2925" i="2"/>
  <c r="H2925" i="2"/>
  <c r="D2925" i="2"/>
  <c r="F2925" i="2"/>
  <c r="B2926" i="2" a="1"/>
  <c r="B2926" i="2" s="1"/>
  <c r="F2926" i="2" l="1"/>
  <c r="G2926" i="2"/>
  <c r="H2926" i="2"/>
  <c r="C2926" i="2"/>
  <c r="E2926" i="2"/>
  <c r="D2926" i="2"/>
  <c r="B2927" i="2" a="1"/>
  <c r="B2927" i="2" s="1"/>
  <c r="C2927" i="2" l="1"/>
  <c r="H2927" i="2"/>
  <c r="F2927" i="2"/>
  <c r="D2927" i="2"/>
  <c r="E2927" i="2"/>
  <c r="G2927" i="2"/>
  <c r="B2928" i="2" a="1"/>
  <c r="B2928" i="2" s="1"/>
  <c r="C2928" i="2" l="1"/>
  <c r="F2928" i="2"/>
  <c r="G2928" i="2"/>
  <c r="H2928" i="2"/>
  <c r="D2928" i="2"/>
  <c r="E2928" i="2"/>
  <c r="B2929" i="2" a="1"/>
  <c r="B2929" i="2" s="1"/>
  <c r="H2929" i="2" l="1"/>
  <c r="F2929" i="2"/>
  <c r="G2929" i="2"/>
  <c r="E2929" i="2"/>
  <c r="D2929" i="2"/>
  <c r="C2929" i="2"/>
  <c r="B2930" i="2" a="1"/>
  <c r="B2930" i="2" s="1"/>
  <c r="D2930" i="2" l="1"/>
  <c r="E2930" i="2"/>
  <c r="G2930" i="2"/>
  <c r="C2930" i="2"/>
  <c r="H2930" i="2"/>
  <c r="F2930" i="2"/>
  <c r="B2931" i="2" a="1"/>
  <c r="B2931" i="2" s="1"/>
  <c r="H2931" i="2" l="1"/>
  <c r="F2931" i="2"/>
  <c r="G2931" i="2"/>
  <c r="D2931" i="2"/>
  <c r="E2931" i="2"/>
  <c r="C2931" i="2"/>
  <c r="B2932" i="2" a="1"/>
  <c r="B2932" i="2" s="1"/>
  <c r="F2932" i="2" l="1"/>
  <c r="D2932" i="2"/>
  <c r="E2932" i="2"/>
  <c r="G2932" i="2"/>
  <c r="C2932" i="2"/>
  <c r="H2932" i="2"/>
  <c r="B2933" i="2" a="1"/>
  <c r="B2933" i="2" s="1"/>
  <c r="C2933" i="2" l="1"/>
  <c r="H2933" i="2"/>
  <c r="F2933" i="2"/>
  <c r="D2933" i="2"/>
  <c r="G2933" i="2"/>
  <c r="E2933" i="2"/>
  <c r="B2934" i="2" a="1"/>
  <c r="B2934" i="2" s="1"/>
  <c r="E2934" i="2" l="1"/>
  <c r="C2934" i="2"/>
  <c r="H2934" i="2"/>
  <c r="D2934" i="2"/>
  <c r="F2934" i="2"/>
  <c r="G2934" i="2"/>
  <c r="B2935" i="2" a="1"/>
  <c r="B2935" i="2" s="1"/>
  <c r="G2935" i="2" l="1"/>
  <c r="E2935" i="2"/>
  <c r="D2935" i="2"/>
  <c r="H2935" i="2"/>
  <c r="C2935" i="2"/>
  <c r="F2935" i="2"/>
  <c r="B2936" i="2" a="1"/>
  <c r="B2936" i="2" s="1"/>
  <c r="F2936" i="2" l="1"/>
  <c r="E2936" i="2"/>
  <c r="C2936" i="2"/>
  <c r="D2936" i="2"/>
  <c r="G2936" i="2"/>
  <c r="H2936" i="2"/>
  <c r="B2937" i="2" a="1"/>
  <c r="B2937" i="2" s="1"/>
  <c r="F2937" i="2" l="1"/>
  <c r="G2937" i="2"/>
  <c r="H2937" i="2"/>
  <c r="E2937" i="2"/>
  <c r="D2937" i="2"/>
  <c r="C2937" i="2"/>
  <c r="B2938" i="2" a="1"/>
  <c r="B2938" i="2" s="1"/>
  <c r="G2938" i="2" l="1"/>
  <c r="E2938" i="2"/>
  <c r="D2938" i="2"/>
  <c r="H2938" i="2"/>
  <c r="C2938" i="2"/>
  <c r="F2938" i="2"/>
  <c r="B2939" i="2" a="1"/>
  <c r="B2939" i="2" s="1"/>
  <c r="C2939" i="2" l="1"/>
  <c r="H2939" i="2"/>
  <c r="F2939" i="2"/>
  <c r="D2939" i="2"/>
  <c r="G2939" i="2"/>
  <c r="E2939" i="2"/>
  <c r="B2940" i="2" a="1"/>
  <c r="B2940" i="2" s="1"/>
  <c r="F2940" i="2" l="1"/>
  <c r="G2940" i="2"/>
  <c r="E2940" i="2"/>
  <c r="H2940" i="2"/>
  <c r="C2940" i="2"/>
  <c r="D2940" i="2"/>
  <c r="B2941" i="2" a="1"/>
  <c r="B2941" i="2" s="1"/>
  <c r="D2941" i="2" l="1"/>
  <c r="F2941" i="2"/>
  <c r="G2941" i="2"/>
  <c r="C2941" i="2"/>
  <c r="H2941" i="2"/>
  <c r="E2941" i="2"/>
  <c r="B2942" i="2" a="1"/>
  <c r="B2942" i="2" s="1"/>
  <c r="F2942" i="2" l="1"/>
  <c r="E2942" i="2"/>
  <c r="C2942" i="2"/>
  <c r="D2942" i="2"/>
  <c r="H2942" i="2"/>
  <c r="G2942" i="2"/>
  <c r="B2943" i="2" a="1"/>
  <c r="B2943" i="2" s="1"/>
  <c r="G2943" i="2" l="1"/>
  <c r="E2943" i="2"/>
  <c r="C2943" i="2"/>
  <c r="H2943" i="2"/>
  <c r="D2943" i="2"/>
  <c r="F2943" i="2"/>
  <c r="B2944" i="2" a="1"/>
  <c r="B2944" i="2" s="1"/>
  <c r="G2944" i="2" l="1"/>
  <c r="E2944" i="2"/>
  <c r="D2944" i="2"/>
  <c r="H2944" i="2"/>
  <c r="C2944" i="2"/>
  <c r="F2944" i="2"/>
  <c r="B2945" i="2" a="1"/>
  <c r="B2945" i="2" s="1"/>
  <c r="F2945" i="2" l="1"/>
  <c r="E2945" i="2"/>
  <c r="C2945" i="2"/>
  <c r="D2945" i="2"/>
  <c r="H2945" i="2"/>
  <c r="G2945" i="2"/>
  <c r="B2946" i="2" a="1"/>
  <c r="B2946" i="2" s="1"/>
  <c r="H2946" i="2" l="1"/>
  <c r="E2946" i="2"/>
  <c r="D2946" i="2"/>
  <c r="C2946" i="2"/>
  <c r="F2946" i="2"/>
  <c r="G2946" i="2"/>
  <c r="B2947" i="2" a="1"/>
  <c r="B2947" i="2" s="1"/>
  <c r="E2947" i="2" l="1"/>
  <c r="D2947" i="2"/>
  <c r="C2947" i="2"/>
  <c r="H2947" i="2"/>
  <c r="F2947" i="2"/>
  <c r="G2947" i="2"/>
  <c r="B2948" i="2" a="1"/>
  <c r="B2948" i="2" s="1"/>
  <c r="C2948" i="2" l="1"/>
  <c r="H2948" i="2"/>
  <c r="F2948" i="2"/>
  <c r="D2948" i="2"/>
  <c r="G2948" i="2"/>
  <c r="E2948" i="2"/>
  <c r="B2949" i="2" a="1"/>
  <c r="B2949" i="2" s="1"/>
  <c r="C2949" i="2" l="1"/>
  <c r="F2949" i="2"/>
  <c r="G2949" i="2"/>
  <c r="D2949" i="2"/>
  <c r="E2949" i="2"/>
  <c r="H2949" i="2"/>
  <c r="B2950" i="2" a="1"/>
  <c r="B2950" i="2" s="1"/>
  <c r="D2950" i="2" l="1"/>
  <c r="F2950" i="2"/>
  <c r="G2950" i="2"/>
  <c r="H2950" i="2"/>
  <c r="C2950" i="2"/>
  <c r="E2950" i="2"/>
  <c r="B2951" i="2" a="1"/>
  <c r="B2951" i="2" s="1"/>
  <c r="F2951" i="2" l="1"/>
  <c r="E2951" i="2"/>
  <c r="C2951" i="2"/>
  <c r="D2951" i="2"/>
  <c r="G2951" i="2"/>
  <c r="H2951" i="2"/>
  <c r="B2952" i="2" a="1"/>
  <c r="B2952" i="2" s="1"/>
  <c r="C2952" i="2" l="1"/>
  <c r="F2952" i="2"/>
  <c r="G2952" i="2"/>
  <c r="E2952" i="2"/>
  <c r="H2952" i="2"/>
  <c r="D2952" i="2"/>
  <c r="B2953" i="2" a="1"/>
  <c r="B2953" i="2" s="1"/>
  <c r="H2953" i="2" l="1"/>
  <c r="G2953" i="2"/>
  <c r="E2953" i="2"/>
  <c r="D2953" i="2"/>
  <c r="C2953" i="2"/>
  <c r="F2953" i="2"/>
  <c r="B2954" i="2" a="1"/>
  <c r="B2954" i="2" s="1"/>
  <c r="F2954" i="2" l="1"/>
  <c r="E2954" i="2"/>
  <c r="C2954" i="2"/>
  <c r="D2954" i="2"/>
  <c r="G2954" i="2"/>
  <c r="H2954" i="2"/>
  <c r="B2955" i="2" a="1"/>
  <c r="B2955" i="2" s="1"/>
  <c r="C2955" i="2" l="1"/>
  <c r="F2955" i="2"/>
  <c r="G2955" i="2"/>
  <c r="H2955" i="2"/>
  <c r="E2955" i="2"/>
  <c r="D2955" i="2"/>
  <c r="B2956" i="2" a="1"/>
  <c r="B2956" i="2" s="1"/>
  <c r="C2956" i="2" l="1"/>
  <c r="F2956" i="2"/>
  <c r="G2956" i="2"/>
  <c r="E2956" i="2"/>
  <c r="D2956" i="2"/>
  <c r="H2956" i="2"/>
  <c r="B2957" i="2" a="1"/>
  <c r="B2957" i="2" s="1"/>
  <c r="C2957" i="2" l="1"/>
  <c r="H2957" i="2"/>
  <c r="F2957" i="2"/>
  <c r="D2957" i="2"/>
  <c r="G2957" i="2"/>
  <c r="E2957" i="2"/>
  <c r="B2958" i="2" a="1"/>
  <c r="B2958" i="2" s="1"/>
  <c r="E2958" i="2" l="1"/>
  <c r="C2958" i="2"/>
  <c r="H2958" i="2"/>
  <c r="D2958" i="2"/>
  <c r="F2958" i="2"/>
  <c r="G2958" i="2"/>
  <c r="B2959" i="2" a="1"/>
  <c r="B2959" i="2" s="1"/>
  <c r="H2959" i="2" l="1"/>
  <c r="G2959" i="2"/>
  <c r="E2959" i="2"/>
  <c r="D2959" i="2"/>
  <c r="C2959" i="2"/>
  <c r="F2959" i="2"/>
  <c r="B2960" i="2" a="1"/>
  <c r="B2960" i="2" s="1"/>
  <c r="F2960" i="2" l="1"/>
  <c r="E2960" i="2"/>
  <c r="C2960" i="2"/>
  <c r="D2960" i="2"/>
  <c r="G2960" i="2"/>
  <c r="H2960" i="2"/>
  <c r="B2961" i="2" a="1"/>
  <c r="B2961" i="2" s="1"/>
  <c r="C2961" i="2" l="1"/>
  <c r="E2961" i="2"/>
  <c r="D2961" i="2"/>
  <c r="F2961" i="2"/>
  <c r="H2961" i="2"/>
  <c r="G2961" i="2"/>
  <c r="B2962" i="2" a="1"/>
  <c r="B2962" i="2" s="1"/>
  <c r="G2962" i="2" l="1"/>
  <c r="E2962" i="2"/>
  <c r="D2962" i="2"/>
  <c r="H2962" i="2"/>
  <c r="C2962" i="2"/>
  <c r="F2962" i="2"/>
  <c r="B2963" i="2" a="1"/>
  <c r="B2963" i="2" s="1"/>
  <c r="F2963" i="2" l="1"/>
  <c r="E2963" i="2"/>
  <c r="C2963" i="2"/>
  <c r="D2963" i="2"/>
  <c r="G2963" i="2"/>
  <c r="H2963" i="2"/>
  <c r="B2964" i="2" a="1"/>
  <c r="B2964" i="2" s="1"/>
  <c r="C2964" i="2" l="1"/>
  <c r="H2964" i="2"/>
  <c r="D2964" i="2"/>
  <c r="G2964" i="2"/>
  <c r="E2964" i="2"/>
  <c r="F2964" i="2"/>
  <c r="B2965" i="2" a="1"/>
  <c r="B2965" i="2" s="1"/>
  <c r="F2965" i="2" l="1"/>
  <c r="G2965" i="2"/>
  <c r="H2965" i="2"/>
  <c r="C2965" i="2"/>
  <c r="E2965" i="2"/>
  <c r="D2965" i="2"/>
  <c r="B2966" i="2" a="1"/>
  <c r="B2966" i="2" s="1"/>
  <c r="F2966" i="2" l="1"/>
  <c r="E2966" i="2"/>
  <c r="C2966" i="2"/>
  <c r="D2966" i="2"/>
  <c r="G2966" i="2"/>
  <c r="H2966" i="2"/>
  <c r="B2967" i="2" a="1"/>
  <c r="B2967" i="2" s="1"/>
  <c r="C2967" i="2" l="1"/>
  <c r="H2967" i="2"/>
  <c r="D2967" i="2"/>
  <c r="F2967" i="2"/>
  <c r="G2967" i="2"/>
  <c r="E2967" i="2"/>
  <c r="B2968" i="2" a="1"/>
  <c r="B2968" i="2" s="1"/>
  <c r="H2968" i="2" l="1"/>
  <c r="C2968" i="2"/>
  <c r="F2968" i="2"/>
  <c r="G2968" i="2"/>
  <c r="E2968" i="2"/>
  <c r="D2968" i="2"/>
  <c r="B2969" i="2" a="1"/>
  <c r="B2969" i="2" s="1"/>
  <c r="F2969" i="2" l="1"/>
  <c r="E2969" i="2"/>
  <c r="C2969" i="2"/>
  <c r="D2969" i="2"/>
  <c r="G2969" i="2"/>
  <c r="H2969" i="2"/>
  <c r="B2970" i="2" a="1"/>
  <c r="B2970" i="2" s="1"/>
  <c r="C2970" i="2" l="1"/>
  <c r="F2970" i="2"/>
  <c r="G2970" i="2"/>
  <c r="H2970" i="2"/>
  <c r="D2970" i="2"/>
  <c r="E2970" i="2"/>
  <c r="B2971" i="2" a="1"/>
  <c r="B2971" i="2" s="1"/>
  <c r="D2971" i="2" l="1"/>
  <c r="F2971" i="2"/>
  <c r="G2971" i="2"/>
  <c r="H2971" i="2"/>
  <c r="C2971" i="2"/>
  <c r="E2971" i="2"/>
  <c r="B2972" i="2" a="1"/>
  <c r="B2972" i="2" s="1"/>
  <c r="H2972" i="2" l="1"/>
  <c r="F2972" i="2"/>
  <c r="D2972" i="2"/>
  <c r="G2972" i="2"/>
  <c r="E2972" i="2"/>
  <c r="C2972" i="2"/>
  <c r="B2973" i="2" a="1"/>
  <c r="B2973" i="2" s="1"/>
  <c r="E2973" i="2" l="1"/>
  <c r="C2973" i="2"/>
  <c r="F2973" i="2"/>
  <c r="D2973" i="2"/>
  <c r="G2973" i="2"/>
  <c r="H2973" i="2"/>
  <c r="B2974" i="2" a="1"/>
  <c r="B2974" i="2" s="1"/>
  <c r="D2974" i="2" l="1"/>
  <c r="F2974" i="2"/>
  <c r="G2974" i="2"/>
  <c r="H2974" i="2"/>
  <c r="C2974" i="2"/>
  <c r="E2974" i="2"/>
  <c r="B2975" i="2" a="1"/>
  <c r="B2975" i="2" s="1"/>
  <c r="D2975" i="2" l="1"/>
  <c r="F2975" i="2"/>
  <c r="E2975" i="2"/>
  <c r="C2975" i="2"/>
  <c r="G2975" i="2"/>
  <c r="H2975" i="2"/>
  <c r="B2976" i="2" a="1"/>
  <c r="B2976" i="2" s="1"/>
  <c r="E2976" i="2" l="1"/>
  <c r="C2976" i="2"/>
  <c r="H2976" i="2"/>
  <c r="D2976" i="2"/>
  <c r="F2976" i="2"/>
  <c r="G2976" i="2"/>
  <c r="B2977" i="2" a="1"/>
  <c r="B2977" i="2" s="1"/>
  <c r="E2977" i="2" l="1"/>
  <c r="D2977" i="2"/>
  <c r="H2977" i="2"/>
  <c r="C2977" i="2"/>
  <c r="F2977" i="2"/>
  <c r="G2977" i="2"/>
  <c r="B2978" i="2" a="1"/>
  <c r="B2978" i="2" s="1"/>
  <c r="H2978" i="2" l="1"/>
  <c r="F2978" i="2"/>
  <c r="D2978" i="2"/>
  <c r="G2978" i="2"/>
  <c r="E2978" i="2"/>
  <c r="C2978" i="2"/>
  <c r="B2979" i="2" a="1"/>
  <c r="B2979" i="2" s="1"/>
  <c r="C2979" i="2" l="1"/>
  <c r="F2979" i="2"/>
  <c r="G2979" i="2"/>
  <c r="H2979" i="2"/>
  <c r="E2979" i="2"/>
  <c r="D2979" i="2"/>
  <c r="B2980" i="2" a="1"/>
  <c r="B2980" i="2" s="1"/>
  <c r="F2980" i="2" l="1"/>
  <c r="H2980" i="2"/>
  <c r="D2980" i="2"/>
  <c r="G2980" i="2"/>
  <c r="C2980" i="2"/>
  <c r="E2980" i="2"/>
  <c r="B2981" i="2" a="1"/>
  <c r="B2981" i="2" s="1"/>
  <c r="C2981" i="2" l="1"/>
  <c r="H2981" i="2"/>
  <c r="F2981" i="2"/>
  <c r="D2981" i="2"/>
  <c r="G2981" i="2"/>
  <c r="E2981" i="2"/>
  <c r="B2982" i="2" a="1"/>
  <c r="B2982" i="2" s="1"/>
  <c r="E2982" i="2" l="1"/>
  <c r="C2982" i="2"/>
  <c r="H2982" i="2"/>
  <c r="D2982" i="2"/>
  <c r="F2982" i="2"/>
  <c r="G2982" i="2"/>
  <c r="B2983" i="2" a="1"/>
  <c r="B2983" i="2" s="1"/>
  <c r="F2983" i="2" l="1"/>
  <c r="G2983" i="2"/>
  <c r="H2983" i="2"/>
  <c r="E2983" i="2"/>
  <c r="C2983" i="2"/>
  <c r="D2983" i="2"/>
  <c r="B2984" i="2" a="1"/>
  <c r="B2984" i="2" s="1"/>
  <c r="F2984" i="2" l="1"/>
  <c r="E2984" i="2"/>
  <c r="C2984" i="2"/>
  <c r="G2984" i="2"/>
  <c r="H2984" i="2"/>
  <c r="D2984" i="2"/>
  <c r="B2985" i="2" a="1"/>
  <c r="B2985" i="2" s="1"/>
  <c r="G2985" i="2" l="1"/>
  <c r="E2985" i="2"/>
  <c r="C2985" i="2"/>
  <c r="H2985" i="2"/>
  <c r="F2985" i="2"/>
  <c r="D2985" i="2"/>
  <c r="B2986" i="2" a="1"/>
  <c r="B2986" i="2" s="1"/>
  <c r="G2986" i="2" l="1"/>
  <c r="E2986" i="2"/>
  <c r="D2986" i="2"/>
  <c r="H2986" i="2"/>
  <c r="C2986" i="2"/>
  <c r="F2986" i="2"/>
  <c r="B2987" i="2" a="1"/>
  <c r="B2987" i="2" s="1"/>
  <c r="D2987" i="2" l="1"/>
  <c r="G2987" i="2"/>
  <c r="E2987" i="2"/>
  <c r="C2987" i="2"/>
  <c r="H2987" i="2"/>
  <c r="F2987" i="2"/>
  <c r="B2988" i="2" a="1"/>
  <c r="B2988" i="2" s="1"/>
  <c r="G2988" i="2" l="1"/>
  <c r="E2988" i="2"/>
  <c r="C2988" i="2"/>
  <c r="H2988" i="2"/>
  <c r="D2988" i="2"/>
  <c r="F2988" i="2"/>
  <c r="B2989" i="2" a="1"/>
  <c r="B2989" i="2" s="1"/>
  <c r="D2989" i="2" l="1"/>
  <c r="F2989" i="2"/>
  <c r="G2989" i="2"/>
  <c r="H2989" i="2"/>
  <c r="E2989" i="2"/>
  <c r="C2989" i="2"/>
  <c r="B2990" i="2" a="1"/>
  <c r="B2990" i="2" s="1"/>
  <c r="C2990" i="2" l="1"/>
  <c r="H2990" i="2"/>
  <c r="F2990" i="2"/>
  <c r="D2990" i="2"/>
  <c r="G2990" i="2"/>
  <c r="E2990" i="2"/>
  <c r="B2991" i="2" a="1"/>
  <c r="B2991" i="2" s="1"/>
  <c r="E2991" i="2" l="1"/>
  <c r="C2991" i="2"/>
  <c r="H2991" i="2"/>
  <c r="D2991" i="2"/>
  <c r="F2991" i="2"/>
  <c r="G2991" i="2"/>
  <c r="B2992" i="2" a="1"/>
  <c r="B2992" i="2" s="1"/>
  <c r="D2992" i="2" l="1"/>
  <c r="F2992" i="2"/>
  <c r="G2992" i="2"/>
  <c r="E2992" i="2"/>
  <c r="C2992" i="2"/>
  <c r="H2992" i="2"/>
  <c r="B2993" i="2" a="1"/>
  <c r="B2993" i="2" s="1"/>
  <c r="E2993" i="2" l="1"/>
  <c r="C2993" i="2"/>
  <c r="D2993" i="2"/>
  <c r="G2993" i="2"/>
  <c r="H2993" i="2"/>
  <c r="F2993" i="2"/>
  <c r="B2994" i="2" a="1"/>
  <c r="B2994" i="2" s="1"/>
  <c r="F2994" i="2" l="1"/>
  <c r="G2994" i="2"/>
  <c r="C2994" i="2"/>
  <c r="H2994" i="2"/>
  <c r="D2994" i="2"/>
  <c r="E2994" i="2"/>
  <c r="B2995" i="2" a="1"/>
  <c r="B2995" i="2" s="1"/>
  <c r="D2995" i="2" l="1"/>
  <c r="F2995" i="2"/>
  <c r="G2995" i="2"/>
  <c r="H2995" i="2"/>
  <c r="E2995" i="2"/>
  <c r="C2995" i="2"/>
  <c r="B2996" i="2" a="1"/>
  <c r="B2996" i="2" s="1"/>
  <c r="H2996" i="2" l="1"/>
  <c r="F2996" i="2"/>
  <c r="D2996" i="2"/>
  <c r="E2996" i="2"/>
  <c r="G2996" i="2"/>
  <c r="C2996" i="2"/>
  <c r="B2997" i="2" a="1"/>
  <c r="B2997" i="2" s="1"/>
  <c r="E2997" i="2" l="1"/>
  <c r="C2997" i="2"/>
  <c r="G2997" i="2"/>
  <c r="H2997" i="2"/>
  <c r="F2997" i="2"/>
  <c r="D2997" i="2"/>
  <c r="B2998" i="2" a="1"/>
  <c r="B2998" i="2" s="1"/>
  <c r="D2998" i="2" l="1"/>
  <c r="F2998" i="2"/>
  <c r="G2998" i="2"/>
  <c r="H2998" i="2"/>
  <c r="E2998" i="2"/>
  <c r="C2998" i="2"/>
  <c r="B2999" i="2" a="1"/>
  <c r="B2999" i="2" s="1"/>
  <c r="C2999" i="2" l="1"/>
  <c r="H2999" i="2"/>
  <c r="F2999" i="2"/>
  <c r="D2999" i="2"/>
  <c r="G2999" i="2"/>
  <c r="E2999" i="2"/>
  <c r="B3000" i="2" a="1"/>
  <c r="B3000" i="2" s="1"/>
  <c r="F3000" i="2" l="1"/>
  <c r="G3000" i="2"/>
  <c r="C3000" i="2"/>
  <c r="H3000" i="2"/>
  <c r="E3000" i="2"/>
  <c r="D3000" i="2"/>
  <c r="B3001" i="2" a="1"/>
  <c r="B3001" i="2" s="1"/>
  <c r="E3001" i="2" l="1"/>
  <c r="D3001" i="2"/>
  <c r="H3001" i="2"/>
  <c r="C3001" i="2"/>
  <c r="F3001" i="2"/>
  <c r="G3001" i="2"/>
  <c r="B3002" i="2" a="1"/>
  <c r="B3002" i="2" s="1"/>
  <c r="C3002" i="2" l="1"/>
  <c r="H3002" i="2"/>
  <c r="F3002" i="2"/>
  <c r="D3002" i="2"/>
  <c r="G3002" i="2"/>
  <c r="E3002" i="2"/>
  <c r="B3003" i="2" a="1"/>
  <c r="B3003" i="2" s="1"/>
  <c r="C3003" i="2" l="1"/>
  <c r="F3003" i="2"/>
  <c r="G3003" i="2"/>
  <c r="E3003" i="2"/>
  <c r="H3003" i="2"/>
  <c r="D3003" i="2"/>
  <c r="B3004" i="2" a="1"/>
  <c r="B3004" i="2" s="1"/>
  <c r="D3004" i="2" l="1"/>
  <c r="F3004" i="2"/>
  <c r="G3004" i="2"/>
  <c r="E3004" i="2"/>
  <c r="C3004" i="2"/>
  <c r="H3004" i="2"/>
  <c r="B3005" i="2" a="1"/>
  <c r="B3005" i="2" s="1"/>
  <c r="D3005" i="2" l="1"/>
  <c r="G3005" i="2"/>
  <c r="E3005" i="2"/>
  <c r="C3005" i="2"/>
  <c r="H3005" i="2"/>
  <c r="F3005" i="2"/>
  <c r="B3006" i="2" a="1"/>
  <c r="B3006" i="2" s="1"/>
  <c r="G3006" i="2" l="1"/>
  <c r="E3006" i="2"/>
  <c r="C3006" i="2"/>
  <c r="H3006" i="2"/>
  <c r="D3006" i="2"/>
  <c r="F3006" i="2"/>
  <c r="B3007" i="2" a="1"/>
  <c r="B3007" i="2" s="1"/>
  <c r="G3007" i="2" l="1"/>
  <c r="E3007" i="2"/>
  <c r="D3007" i="2"/>
  <c r="H3007" i="2"/>
  <c r="C3007" i="2"/>
  <c r="F3007" i="2"/>
  <c r="B3008" i="2" a="1"/>
  <c r="B3008" i="2" s="1"/>
  <c r="E3008" i="2" l="1"/>
  <c r="G3008" i="2"/>
  <c r="H3008" i="2"/>
  <c r="F3008" i="2"/>
  <c r="C3008" i="2"/>
  <c r="D3008" i="2"/>
  <c r="B3009" i="2" a="1"/>
  <c r="B3009" i="2" s="1"/>
  <c r="C3009" i="2" l="1"/>
  <c r="E3009" i="2"/>
  <c r="G3009" i="2"/>
  <c r="H3009" i="2"/>
  <c r="D3009" i="2"/>
  <c r="F3009" i="2"/>
  <c r="B3010" i="2" a="1"/>
  <c r="B3010" i="2" s="1"/>
  <c r="E3010" i="2" l="1"/>
  <c r="D3010" i="2"/>
  <c r="H3010" i="2"/>
  <c r="C3010" i="2"/>
  <c r="F3010" i="2"/>
  <c r="G3010" i="2"/>
  <c r="B3011" i="2" a="1"/>
  <c r="B3011" i="2" s="1"/>
  <c r="G3011" i="2" l="1"/>
  <c r="E3011" i="2"/>
  <c r="C3011" i="2"/>
  <c r="H3011" i="2"/>
  <c r="F3011" i="2"/>
  <c r="D3011" i="2"/>
  <c r="B3012" i="2" a="1"/>
  <c r="B3012" i="2" s="1"/>
  <c r="E3012" i="2" l="1"/>
  <c r="C3012" i="2"/>
  <c r="H3012" i="2"/>
  <c r="D3012" i="2"/>
  <c r="F3012" i="2"/>
  <c r="G3012" i="2"/>
  <c r="B3013" i="2" a="1"/>
  <c r="B3013" i="2" s="1"/>
  <c r="G3013" i="2" l="1"/>
  <c r="E3013" i="2"/>
  <c r="D3013" i="2"/>
  <c r="H3013" i="2"/>
  <c r="C3013" i="2"/>
  <c r="F3013" i="2"/>
  <c r="B3014" i="2" a="1"/>
  <c r="B3014" i="2" s="1"/>
  <c r="C3014" i="2" l="1"/>
  <c r="H3014" i="2"/>
  <c r="F3014" i="2"/>
  <c r="D3014" i="2"/>
  <c r="E3014" i="2"/>
  <c r="G3014" i="2"/>
  <c r="B3015" i="2" a="1"/>
  <c r="B3015" i="2" s="1"/>
  <c r="D3015" i="2" l="1"/>
  <c r="C3015" i="2"/>
  <c r="G3015" i="2"/>
  <c r="H3015" i="2"/>
  <c r="H13" i="2" s="1"/>
  <c r="E3015" i="2"/>
  <c r="E13" i="2" s="1"/>
  <c r="F3015" i="2"/>
  <c r="G4" i="2" l="1"/>
  <c r="G13" i="2"/>
  <c r="C13" i="2"/>
  <c r="A4" i="2"/>
  <c r="D13" i="2"/>
  <c r="C4" i="2"/>
  <c r="E4" i="2"/>
  <c r="F13" i="2"/>
</calcChain>
</file>

<file path=xl/sharedStrings.xml><?xml version="1.0" encoding="utf-8"?>
<sst xmlns="http://schemas.openxmlformats.org/spreadsheetml/2006/main" count="261" uniqueCount="234">
  <si>
    <t>PETTY CASH BOOK</t>
  </si>
  <si>
    <t>Month / Year:</t>
  </si>
  <si>
    <t>Project:</t>
  </si>
  <si>
    <t>Discovery Dunes</t>
  </si>
  <si>
    <t>TOTAL CASH-IN (AED)</t>
  </si>
  <si>
    <t>TOTAL ADVANCED (AED)</t>
  </si>
  <si>
    <t>TOTAL RETURNED (AED)</t>
  </si>
  <si>
    <t>CLOSING BALANCE (AED)</t>
  </si>
  <si>
    <t>Opening Balance (Cash in Hand):</t>
  </si>
  <si>
    <t>← Update this when opening balance changes</t>
  </si>
  <si>
    <t>CASH-IN</t>
  </si>
  <si>
    <t>VOUCHER / ADVANCE / EXPENSE / SETTLEMENT</t>
  </si>
  <si>
    <t>Date</t>
  </si>
  <si>
    <t>Description / Ref</t>
  </si>
  <si>
    <t>Cash-In
Amt</t>
  </si>
  <si>
    <t>Ref. No.</t>
  </si>
  <si>
    <t>Voucher
Date</t>
  </si>
  <si>
    <t>Payee /
Worker</t>
  </si>
  <si>
    <t>Purpose</t>
  </si>
  <si>
    <t>Adv.
Amount</t>
  </si>
  <si>
    <t>Fuel</t>
  </si>
  <si>
    <t>Service /
Labour</t>
  </si>
  <si>
    <t>Materials</t>
  </si>
  <si>
    <t>Food
Allowance</t>
  </si>
  <si>
    <t>Others</t>
  </si>
  <si>
    <t>Balance
Returned</t>
  </si>
  <si>
    <t>Actual
Expense</t>
  </si>
  <si>
    <t>Variance
(Adv−Exp)</t>
  </si>
  <si>
    <t>Reimb.
Amount</t>
  </si>
  <si>
    <t>Reimb.
Paid</t>
  </si>
  <si>
    <t>Change
Due Back</t>
  </si>
  <si>
    <t>Balance c/d</t>
  </si>
  <si>
    <t>V-001</t>
  </si>
  <si>
    <t>Advance</t>
  </si>
  <si>
    <t>Received from HO</t>
  </si>
  <si>
    <t>V-002</t>
  </si>
  <si>
    <t>Sam</t>
  </si>
  <si>
    <t>V-003</t>
  </si>
  <si>
    <t>Balance</t>
  </si>
  <si>
    <t>V-004</t>
  </si>
  <si>
    <t>V-005</t>
  </si>
  <si>
    <t>V-006</t>
  </si>
  <si>
    <t>V-007</t>
  </si>
  <si>
    <t>V-008</t>
  </si>
  <si>
    <t>Returned</t>
  </si>
  <si>
    <t>V-009</t>
  </si>
  <si>
    <t>V-010</t>
  </si>
  <si>
    <t>V-011</t>
  </si>
  <si>
    <t xml:space="preserve">Reimbursement </t>
  </si>
  <si>
    <t>V-012</t>
  </si>
  <si>
    <t>V-013</t>
  </si>
  <si>
    <t>V-014</t>
  </si>
  <si>
    <t>V-015</t>
  </si>
  <si>
    <t>V-016</t>
  </si>
  <si>
    <t>V-017</t>
  </si>
  <si>
    <t>V-018</t>
  </si>
  <si>
    <t>V-019</t>
  </si>
  <si>
    <t>V-020</t>
  </si>
  <si>
    <t>V-021</t>
  </si>
  <si>
    <t>Auto-updates from 'Transactions' sheet</t>
  </si>
  <si>
    <t>Month:</t>
  </si>
  <si>
    <t>Today's Date:</t>
  </si>
  <si>
    <t>TOTAL ADVANCED (H)</t>
  </si>
  <si>
    <t>TOTAL ACCOUNTED</t>
  </si>
  <si>
    <t>REIMB PAID (R)</t>
  </si>
  <si>
    <t>NET OUTSTANDING</t>
  </si>
  <si>
    <t xml:space="preserve">  STATUS:   OUTSTANDING = X owes company   |   SETTLED = fully accounted, zero balance   |   OWES = company owes X (bills not fully paid)   |   OVERPAID = company already paid X more than owed</t>
  </si>
  <si>
    <t xml:space="preserve">  ● OUTSTANDING</t>
  </si>
  <si>
    <t xml:space="preserve">  ● SETTLED</t>
  </si>
  <si>
    <t xml:space="preserve">  ● OWES</t>
  </si>
  <si>
    <t xml:space="preserve">  ● OVERPAID</t>
  </si>
  <si>
    <t xml:space="preserve">  HOW IT WORKS: Net = (Advanced + Reimb Paid) − (Cash Returned + Actual Expense + Bills Submitted)
  Example: Advance 500 → spend 200 → submit 500 bill → pay 200 (offset 300 debt) → Settled</t>
  </si>
  <si>
    <t>WORKER</t>
  </si>
  <si>
    <t>FINANCIAL BREAKDOWN</t>
  </si>
  <si>
    <t>NET RESULT</t>
  </si>
  <si>
    <t>#</t>
  </si>
  <si>
    <t>Worker / Payee</t>
  </si>
  <si>
    <t>Total
Advanced</t>
  </si>
  <si>
    <t>Total
Accounted</t>
  </si>
  <si>
    <t>Reimb
Paid</t>
  </si>
  <si>
    <t>Net
Outstanding</t>
  </si>
  <si>
    <t>Status</t>
  </si>
  <si>
    <t>TOTALS</t>
  </si>
  <si>
    <t>PETTY CASH BOOK — REFERENCE GUIDE</t>
  </si>
  <si>
    <t>Discovery Dunes Site  |  Complete guide to using this workbook correctly</t>
  </si>
  <si>
    <t>1.  WHAT IS PETTY CASH?</t>
  </si>
  <si>
    <t>Petty cash is a small reserve of money kept on-site to cover minor day-to-day expenses (fuel, food, materials, small services) without going through the main accounts process. This workbook tracks every dirham in and out.</t>
  </si>
  <si>
    <t>How it flows</t>
  </si>
  <si>
    <t>Company sends cash to site (replenishment) → Site manager advances money to site team members → Site Team Members spend and return receipts or leftover cash → Manager records everything → Outstanding Advances sheet shows who owes what at all times.</t>
  </si>
  <si>
    <t>Two sheets</t>
  </si>
  <si>
    <t>PETTY CASH BOOK = every individual transaction. OUTSTANDING ADVANCES = one summarised line per site team member showing their running balance. The Outstanding sheet updates automatically — do not edit it directly.</t>
  </si>
  <si>
    <t>2.  PETTY CASH BOOK — COLUMN GUIDE</t>
  </si>
  <si>
    <t xml:space="preserve">  CASH-IN (Replenishments) — Columns A, B, C</t>
  </si>
  <si>
    <t>A  —  Date</t>
  </si>
  <si>
    <t>Date the replenishment cash was received from Head Office or management.</t>
  </si>
  <si>
    <t>B  —  Description</t>
  </si>
  <si>
    <t>Brief note on the source of funds. e.g. 'Received from HO', 'Balance c/d from previous month'.</t>
  </si>
  <si>
    <t>C  —  Amount Received</t>
  </si>
  <si>
    <t>The actual cash amount received. This adds to the total cash-in and feeds the Closing Balance KPI.</t>
  </si>
  <si>
    <t xml:space="preserve">  VOUCHER / ADVANCE DETAILS — Columns D, E, F, G, H</t>
  </si>
  <si>
    <t>D  —  Ref. No.</t>
  </si>
  <si>
    <t>Voucher reference number. Use a consistent format e.g. V-001, V-002. Each advance or transaction should have a unique reference for traceability.</t>
  </si>
  <si>
    <t>E  —  Voucher Date</t>
  </si>
  <si>
    <t>The date the advance was given or the transaction occurred. May differ from the Cash-In date in column A.</t>
  </si>
  <si>
    <t>F  —  Payee / Site Team Member</t>
  </si>
  <si>
    <t>Name of the person who received the advance or submitted the bill. This name is used by the Outstanding Advances sheet to group all transactions for that person. Spelling must be consistent — 'Ahmed' and 'AHMED' are treated as two different people.</t>
  </si>
  <si>
    <t>G  —  Purpose</t>
  </si>
  <si>
    <t>Nature of the transaction. Use: Advance / Returned / Reimbursement / Balance.</t>
  </si>
  <si>
    <t>H  —  Amount Advanced</t>
  </si>
  <si>
    <t>Cash given to the site team member as an advance. This increases what the site team member owes the company.</t>
  </si>
  <si>
    <t xml:space="preserve">  EXPENSE BREAKDOWN — Columns I, J, K, L, M</t>
  </si>
  <si>
    <t>I  —  Fuel</t>
  </si>
  <si>
    <t>Amount spent on fuel, verified by receipt or bill.</t>
  </si>
  <si>
    <t>J  —  Service / Labour</t>
  </si>
  <si>
    <t>Amount spent on labour or services, verified by receipt.</t>
  </si>
  <si>
    <t>K  —  Materials</t>
  </si>
  <si>
    <t>Amount spent on materials or supplies, verified by receipt.</t>
  </si>
  <si>
    <t>L  —  Food Allowance</t>
  </si>
  <si>
    <t>Amount spent on food or meal allowances, verified by receipt.</t>
  </si>
  <si>
    <t>M  —  Others</t>
  </si>
  <si>
    <t>Any other miscellaneous expense not covered by the above categories.</t>
  </si>
  <si>
    <t>O  —  Actual Expense (auto)</t>
  </si>
  <si>
    <t>Auto-calculated: sum of columns I+J+K+L+M. Do not edit. Represents total proven spending by the site team member — reduces their outstanding balance.</t>
  </si>
  <si>
    <t xml:space="preserve">  SETTLEMENT — Columns N, P, Q, R, S</t>
  </si>
  <si>
    <t>N  —  Balance Returned</t>
  </si>
  <si>
    <t>Cash physically handed back by the site team member. If X received 500 and spent 200, they return 300 in cash → enter 300 here.</t>
  </si>
  <si>
    <t>P  —  Variance (auto)</t>
  </si>
  <si>
    <t>Auto-calculated: Amount Advanced (H) minus Actual Expense (O). Shows the unaccounted gap. Should be zero when a transaction is fully settled.</t>
  </si>
  <si>
    <t>Q  —  Reimb. Amount</t>
  </si>
  <si>
    <t>The bill amount the site team member is submitting for reimbursement. e.g. Site Team Member paid 500 from their own pocket for materials → enter 500.</t>
  </si>
  <si>
    <t>R  —  Reimb. Paid</t>
  </si>
  <si>
    <t>The actual cash YOU paid out to the site team member for the reimbursement. This may be less than Q if you deduct an outstanding advance. e.g. Site Team Member submits 500 bill but owes 300 advance → you pay 200, enter 200 here.</t>
  </si>
  <si>
    <t>S  —  Change Due Back (auto)</t>
  </si>
  <si>
    <t>Auto-calculated: if Reimb. Paid (R) is more than the bill (Q), the excess is change the site team member must return. e.g. No change available, you pay 1000 for a 500 bill → 500 change is automatically tracked as outstanding on that site team member.</t>
  </si>
  <si>
    <t>3.  OUTSTANDING ADVANCES — COLUMN GUIDE</t>
  </si>
  <si>
    <t>B  —  Site Team Member / Payee</t>
  </si>
  <si>
    <t>Auto-populated from the Petty Cash Book. Every unique name in column F of PCB automatically gets a row here. Do not type names manually in this column.</t>
  </si>
  <si>
    <t>C  —  Total Advanced</t>
  </si>
  <si>
    <t>Sum of all advances (column H) given to this site team member across all entries.</t>
  </si>
  <si>
    <t>D  —  Total Returned</t>
  </si>
  <si>
    <t>Sum of all cash returned (column N) by this site team member.</t>
  </si>
  <si>
    <t>E  —  Actual Expense</t>
  </si>
  <si>
    <t>Sum of all proven expenses (column O) by this site team member, supported by receipts.</t>
  </si>
  <si>
    <t>F  —  Reimb. Paid</t>
  </si>
  <si>
    <t>Sum of all reimbursement payments (column R) made to this site team member.</t>
  </si>
  <si>
    <t>G  —  Net Outstanding</t>
  </si>
  <si>
    <t>The single most important number. Formula: (Advanced + Reimb Paid) − (Returned + Actual Expense + Bills Submitted). Positive = site team member owes company. Negative = company owes site team member.</t>
  </si>
  <si>
    <t>H  —  Status</t>
  </si>
  <si>
    <t>Auto-assigned based on Net Outstanding. See Section 5 for full status definitions.</t>
  </si>
  <si>
    <t>4.  HOW THE BALANCE IS CALCULATED</t>
  </si>
  <si>
    <t>The formula</t>
  </si>
  <si>
    <t>Net Outstanding  =  (Amount Advanced  +  Reimb. Paid)  −  (Cash Returned  +  Actual Expense  +  Bills Submitted)</t>
  </si>
  <si>
    <t>In plain English</t>
  </si>
  <si>
    <t>Everything the company paid out to the site team member (cash advances + reimbursements), minus everything accounted for (cash returned + receipts proven + bills submitted). The difference is what remains unresolved.</t>
  </si>
  <si>
    <t xml:space="preserve">  WORKED EXAMPLES</t>
  </si>
  <si>
    <t>Example 1  —  Simple advance</t>
  </si>
  <si>
    <t>X receives AED 500 advance. Spends 100 fuel + 100 materials = 200. Returns 200 cash.
Net = (500 + 0) − (200 + 200 + 0) = 100 OUTSTANDING (X still owes 100)</t>
  </si>
  <si>
    <t>Example 2  —  Bill offsetting advance</t>
  </si>
  <si>
    <t>X receives AED 500 advance. Spends 200 (expense). Submits AED 500 bill. You pay 200 (deducting 300 old debt).
Net = (500 + 200) − (0 + 200 + 500) = 0 SETTLED</t>
  </si>
  <si>
    <t>Example 3  —  Reimbursement with no change</t>
  </si>
  <si>
    <t>X submits AED 500 bill. You only have 1000, so you pay 1000. Change due back = 500.
Net = (0 + 1000) − (0 + 0 + 500) = 500 OUTSTANDING (X must return 500 change)</t>
  </si>
  <si>
    <t>Example 4  —  Company owes site team member</t>
  </si>
  <si>
    <t>X has no advance. Submits AED 500 bill. You have only paid 200 so far.
Net = (0 + 200) − (0 + 0 + 500) = −300 OWES (company still owes X 300)</t>
  </si>
  <si>
    <t>Example 5  —  Advance + large bill</t>
  </si>
  <si>
    <t>X receives AED 1000 advance. Later submits AED 2000 bill. You pay 2000.
Net = (1000 + 2000) − (0 + 0 + 2000) = 1000 OUTSTANDING (original advance still owed)</t>
  </si>
  <si>
    <t>5.  STATUS DEFINITIONS</t>
  </si>
  <si>
    <t>Site Team Member owes money to the company. Net Outstanding &gt; 0. Action: Follow up with the site team member to recover cash or obtain supporting receipts.</t>
  </si>
  <si>
    <t>All advances and reimbursements are fully accounted for. Net = 0. No further action required for this site team member.</t>
  </si>
  <si>
    <t>Company owes money to the site team member. Bills have been submitted but not fully paid yet. Net &lt; 0 and unpaid bills exist. Action: Process the outstanding reimbursement payment.</t>
  </si>
  <si>
    <t>Company has already paid the site team member more than what was owed. Net &lt; 0 and all bills are settled. This may indicate a data entry error or an unrecorded transaction. Action: Investigate and recover excess.</t>
  </si>
  <si>
    <t>6.  IMPORTANT RULES &amp; THINGS TO OBSERVE</t>
  </si>
  <si>
    <t>⚠  Name consistency</t>
  </si>
  <si>
    <t>The Outstanding Advances sheet groups transactions by the exact name in column F. 'Ahmed', 'AHMED', and 'ahmed' are treated as THREE different people. Always use the same spelling and capitalisation for each site team member.</t>
  </si>
  <si>
    <t>⚠  Never edit the Outstanding sheet directly</t>
  </si>
  <si>
    <t>The Outstanding Advances sheet is fully automatic. All data flows from the Petty Cash Book. If you manually type into the Outstanding sheet, it will break the auto-update formulas.</t>
  </si>
  <si>
    <t>⚠  Always enter Reimb. Paid (col R)</t>
  </si>
  <si>
    <t>When you pay a site team member for a bill (reimbursement), you MUST enter the actual amount you paid in column R (Reimb. Paid), not just the bill amount in Q. If R is left blank, the Net Outstanding will be incorrect.</t>
  </si>
  <si>
    <t>⚠  Update Opening Balance when starting a new month</t>
  </si>
  <si>
    <t>Cell E5 in the Petty Cash Book holds the opening balance. When starting a new month, update this to the closing balance from the previous month. This ensures the Total Cash-In and Closing Balance KPIs are accurate.</t>
  </si>
  <si>
    <t>⚠  Record change due back immediately</t>
  </si>
  <si>
    <t>If you pay more than a bill because you have no change, enter the full amount in R. The system auto-calculates the change in column S. Make sure to recover the change from the site team member and record it when received (via column N).</t>
  </si>
  <si>
    <t>⚠  Variance column (P) should ideally be zero</t>
  </si>
  <si>
    <t>Column P shows Advanced minus Actual Expense. If a site team member spent all their advance on proven expenses and returned the rest, the variance should be 0 when fully settled. A non-zero variance means cash is still unaccounted.</t>
  </si>
  <si>
    <t>⚠  Do not skip Ref. No. (column D)</t>
  </si>
  <si>
    <t>Every voucher must have a unique reference number for audit purposes. Maintain a running sequence (V-001, V-002...) so any transaction can be traced back to a physical voucher or receipt.</t>
  </si>
  <si>
    <t>⚠  Reimbursement vs Advance — key difference</t>
  </si>
  <si>
    <t>An ADVANCE is money given to a site team member before they spend it (they owe it back). A REIMBURSEMENT is money paid back to a site team member after they have already spent their own money. Record these correctly in column G (Purpose) to keep the Outstanding list accurate.</t>
  </si>
  <si>
    <t>7.  PURPOSE CODES — COLUMN G</t>
  </si>
  <si>
    <t xml:space="preserve">  Advance</t>
  </si>
  <si>
    <t>Cash given to a site team member before they spend it. Creates an outstanding balance on the site team member.</t>
  </si>
  <si>
    <t xml:space="preserve">  Returned</t>
  </si>
  <si>
    <t>Site Team Member has returned leftover cash from a previous advance. Reduces their outstanding balance.</t>
  </si>
  <si>
    <t xml:space="preserve">  Reimbursement</t>
  </si>
  <si>
    <t>Site Team Member paid expenses from their own pocket and is submitting a bill for repayment. Enter the bill amount in Q and the actual amount you paid in R.</t>
  </si>
  <si>
    <t xml:space="preserve">  Balance</t>
  </si>
  <si>
    <t>Used to bring forward an outstanding balance from a previous period or entry. e.g. recording an old advance that wasn't in the previous book.</t>
  </si>
  <si>
    <t>8.  KPI DASHBOARD (TOP OF EACH SHEET)</t>
  </si>
  <si>
    <t>Total Cash-In</t>
  </si>
  <si>
    <t>Opening Balance + all replenishments received (column C). This is the total funds available to the site petty cash.</t>
  </si>
  <si>
    <t>Total Advanced</t>
  </si>
  <si>
    <t>Sum of all advances issued (column H). Money currently out with site team members.</t>
  </si>
  <si>
    <t>Total Returned</t>
  </si>
  <si>
    <t>Sum of all cash returned (column N). Money physically back in the box.</t>
  </si>
  <si>
    <t>Closing Balance</t>
  </si>
  <si>
    <t>Total Cash-In − Total Advanced + Total Returned − Total Reimb Paid. This is the expected cash remaining in the petty cash box. Physically count the box and compare — any difference is a discrepancy to investigate.</t>
  </si>
  <si>
    <t>Net Outstanding (OA sheet)</t>
  </si>
  <si>
    <t>Total net balance across all site team members. Positive = site team members collectively owe the company. Negative = company collectively owes site team members. Target: as close to zero as possible.</t>
  </si>
  <si>
    <t>This document is auto-maintained. Do not edit formulas. For issues, contact the Finance team.</t>
  </si>
  <si>
    <t>OUTSTANDING ADVANCES — SITE SUMMARY</t>
  </si>
  <si>
    <t>Ben</t>
  </si>
  <si>
    <t>Cal</t>
  </si>
  <si>
    <t>Dan</t>
  </si>
  <si>
    <t>Eli</t>
  </si>
  <si>
    <t>Ian</t>
  </si>
  <si>
    <t>Jay</t>
  </si>
  <si>
    <t>Kai</t>
  </si>
  <si>
    <t>Leo</t>
  </si>
  <si>
    <t>Max</t>
  </si>
  <si>
    <t>Neo</t>
  </si>
  <si>
    <t>Oli</t>
  </si>
  <si>
    <t>Ray</t>
  </si>
  <si>
    <t>Tom</t>
  </si>
  <si>
    <t>Vic</t>
  </si>
  <si>
    <t>Zac</t>
  </si>
  <si>
    <t>Roy</t>
  </si>
  <si>
    <t>Asa</t>
  </si>
  <si>
    <t>Gil</t>
  </si>
  <si>
    <t>Joe</t>
  </si>
  <si>
    <t>Ken</t>
  </si>
  <si>
    <t>Lou</t>
  </si>
  <si>
    <t>Rex</t>
  </si>
  <si>
    <t>Rey</t>
  </si>
  <si>
    <t>V-022</t>
  </si>
  <si>
    <t>V-023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</si>
</sst>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ss"/>
    <numFmt numFmtId="165" formatCode="#,##0.00;[Red]\(#,##0.00\);&quot;-&quot;"/>
    <numFmt numFmtId="166" formatCode="dd\-mmm\-yy"/>
    <numFmt numFmtId="167" formatCode="dd\-mmm\-yyyy"/>
  </numFmts>
  <fonts count="54" x14ac:knownFonts="1">
    <font>
      <sz val="11"/>
      <color theme="1"/>
      <name val="Calibri"/>
      <family val="2"/>
      <scheme val="minor"/>
    </font>
    <font>
      <b/>
      <sz val="16"/>
      <color rgb="FFFFFFFF"/>
      <name val="Segoe UI"/>
    </font>
    <font>
      <b/>
      <sz val="9"/>
      <color rgb="FFE0F4F4"/>
      <name val="Segoe UI"/>
    </font>
    <font>
      <b/>
      <sz val="10"/>
      <color rgb="FFFFFFFF"/>
      <name val="Segoe UI"/>
    </font>
    <font>
      <b/>
      <sz val="8"/>
      <color rgb="FFFFFFFF"/>
      <name val="Segoe UI"/>
    </font>
    <font>
      <b/>
      <sz val="14"/>
      <color rgb="FF0D7377"/>
      <name val="Segoe UI"/>
    </font>
    <font>
      <b/>
      <sz val="14"/>
      <color rgb="FF2E5090"/>
      <name val="Segoe UI"/>
    </font>
    <font>
      <b/>
      <sz val="14"/>
      <color rgb="FF1A7A4A"/>
      <name val="Segoe UI"/>
    </font>
    <font>
      <b/>
      <sz val="9"/>
      <color rgb="FF5D6D7E"/>
      <name val="Segoe UI"/>
    </font>
    <font>
      <b/>
      <sz val="11"/>
      <color rgb="FF0D7377"/>
      <name val="Segoe UI"/>
    </font>
    <font>
      <b/>
      <sz val="9"/>
      <color rgb="FFFFFFFF"/>
      <name val="Segoe UI"/>
    </font>
    <font>
      <sz val="9"/>
      <color rgb="FF5D6D7E"/>
      <name val="Segoe UI"/>
    </font>
    <font>
      <sz val="9"/>
      <color rgb="FF1A7A4A"/>
      <name val="Segoe UI"/>
    </font>
    <font>
      <b/>
      <sz val="9"/>
      <color rgb="FF1E2A3A"/>
      <name val="Segoe UI"/>
    </font>
    <font>
      <sz val="9"/>
      <color rgb="FF0D7377"/>
      <name val="Segoe UI"/>
    </font>
    <font>
      <sz val="9"/>
      <color rgb="FF6C3483"/>
      <name val="Segoe UI"/>
    </font>
    <font>
      <b/>
      <sz val="14"/>
      <color rgb="FFFFFFFF"/>
      <name val="Segoe UI"/>
    </font>
    <font>
      <i/>
      <sz val="9"/>
      <color rgb="FFE0F4F4"/>
      <name val="Segoe UI"/>
    </font>
    <font>
      <b/>
      <sz val="14"/>
      <color rgb="FFB7770D"/>
      <name val="Segoe UI"/>
    </font>
    <font>
      <i/>
      <sz val="8"/>
      <color rgb="FF5D6D7E"/>
      <name val="Segoe UI"/>
    </font>
    <font>
      <b/>
      <sz val="9"/>
      <color rgb="FFB7770D"/>
      <name val="Segoe UI"/>
    </font>
    <font>
      <b/>
      <sz val="9"/>
      <color rgb="FF1A7A4A"/>
      <name val="Segoe UI"/>
    </font>
    <font>
      <b/>
      <sz val="9"/>
      <color rgb="FF2E5090"/>
      <name val="Segoe UI"/>
    </font>
    <font>
      <b/>
      <sz val="9"/>
      <color rgb="FFC0392B"/>
      <name val="Segoe UI"/>
    </font>
    <font>
      <i/>
      <sz val="8"/>
      <color rgb="FF2E5090"/>
      <name val="Segoe UI"/>
    </font>
    <font>
      <b/>
      <sz val="11"/>
      <color rgb="FF2E5090"/>
      <name val="Segoe UI"/>
    </font>
    <font>
      <b/>
      <sz val="11"/>
      <color rgb="FF1A7A4A"/>
      <name val="Segoe UI"/>
    </font>
    <font>
      <b/>
      <sz val="11"/>
      <color rgb="FF6C3483"/>
      <name val="Segoe UI"/>
    </font>
    <font>
      <b/>
      <sz val="11"/>
      <color rgb="FFB7770D"/>
      <name val="Segoe UI"/>
    </font>
    <font>
      <b/>
      <sz val="10"/>
      <color rgb="FF1E2A3A"/>
      <name val="Segoe UI"/>
    </font>
    <font>
      <sz val="9"/>
      <color rgb="FF2E5090"/>
      <name val="Segoe UI"/>
    </font>
    <font>
      <b/>
      <sz val="10"/>
      <color rgb="FFB7770D"/>
      <name val="Segoe UI"/>
    </font>
    <font>
      <b/>
      <sz val="9"/>
      <color rgb="FFC0581A"/>
      <name val="Segoe UI"/>
    </font>
    <font>
      <b/>
      <sz val="14"/>
      <color rgb="FF6C3483"/>
      <name val="Segoe UI"/>
    </font>
    <font>
      <sz val="11"/>
      <name val="Calibri"/>
    </font>
    <font>
      <b/>
      <sz val="9"/>
      <color rgb="FF1A5276"/>
      <name val="Segoe UI"/>
    </font>
    <font>
      <i/>
      <sz val="10"/>
      <color rgb="FFFFFFFF"/>
      <name val="Segoe UI"/>
    </font>
    <font>
      <b/>
      <sz val="11"/>
      <color rgb="FFFFFFFF"/>
      <name val="Segoe UI"/>
    </font>
    <font>
      <sz val="9"/>
      <color rgb="FF1E2A3A"/>
      <name val="Segoe UI"/>
    </font>
    <font>
      <b/>
      <sz val="9"/>
      <color rgb="FF0D7377"/>
      <name val="Segoe UI"/>
    </font>
    <font>
      <b/>
      <sz val="9"/>
      <color rgb="FF6C3483"/>
      <name val="Segoe UI"/>
    </font>
    <font>
      <b/>
      <sz val="10"/>
      <color rgb="FF1A7A4A"/>
      <name val="Segoe UI"/>
    </font>
    <font>
      <b/>
      <sz val="10"/>
      <color rgb="FF1A5276"/>
      <name val="Segoe UI"/>
    </font>
    <font>
      <b/>
      <sz val="10"/>
      <color rgb="FFC0392B"/>
      <name val="Segoe UI"/>
    </font>
    <font>
      <i/>
      <sz val="9"/>
      <color rgb="FFFFFFFF"/>
      <name val="Segoe UI"/>
    </font>
    <font>
      <sz val="9"/>
      <color rgb="FFC00000"/>
      <name val="Segoe UI"/>
    </font>
    <font>
      <sz val="11"/>
      <color rgb="FFC00000"/>
      <name val="Calibri"/>
      <family val="2"/>
      <scheme val="minor"/>
    </font>
    <font>
      <sz val="9"/>
      <color theme="4" tint="-0.249977111117893"/>
      <name val="Segoe UI"/>
    </font>
    <font>
      <sz val="11"/>
      <color theme="4" tint="-0.249977111117893"/>
      <name val="Calibri"/>
      <family val="2"/>
      <scheme val="minor"/>
    </font>
    <font>
      <sz val="9"/>
      <color rgb="FF5D6D7E"/>
      <name val="Segoe UI"/>
      <family val="2"/>
    </font>
    <font>
      <sz val="9"/>
      <color theme="4" tint="-0.249977111117893"/>
      <name val="Segoe UI"/>
      <family val="2"/>
    </font>
    <font>
      <i/>
      <sz val="8"/>
      <color rgb="FFB7770D"/>
      <name val="Segoe UI"/>
      <family val="2"/>
    </font>
    <font>
      <sz val="9"/>
      <color rgb="FF1E2A3A"/>
      <name val="Segoe UI"/>
      <family val="2"/>
    </font>
    <font>
      <sz val="8"/>
      <name val="Calibri"/>
      <family val="2"/>
      <scheme val="minor"/>
    </font>
  </fonts>
  <fills count="23">
    <fill>
      <patternFill patternType="none"/>
    </fill>
    <fill>
      <patternFill patternType="gray125"/>
    </fill>
    <fill>
      <patternFill patternType="solid">
        <fgColor rgb="FF1E2A3A"/>
      </patternFill>
    </fill>
    <fill>
      <patternFill patternType="solid">
        <fgColor rgb="FF243040"/>
      </patternFill>
    </fill>
    <fill>
      <patternFill patternType="solid">
        <fgColor rgb="FF0D7377"/>
      </patternFill>
    </fill>
    <fill>
      <patternFill patternType="solid">
        <fgColor rgb="FFE0F4F4"/>
      </patternFill>
    </fill>
    <fill>
      <patternFill patternType="solid">
        <fgColor rgb="FF2E5090"/>
      </patternFill>
    </fill>
    <fill>
      <patternFill patternType="solid">
        <fgColor rgb="FFEBF0FA"/>
      </patternFill>
    </fill>
    <fill>
      <patternFill patternType="solid">
        <fgColor rgb="FF1A7A4A"/>
      </patternFill>
    </fill>
    <fill>
      <patternFill patternType="solid">
        <fgColor rgb="FFE6F5ED"/>
      </patternFill>
    </fill>
    <fill>
      <patternFill patternType="solid">
        <fgColor rgb="FFEAECF0"/>
      </patternFill>
    </fill>
    <fill>
      <patternFill patternType="solid">
        <fgColor rgb="FFFFFFFF"/>
      </patternFill>
    </fill>
    <fill>
      <patternFill patternType="solid">
        <fgColor rgb="FFFEF6E4"/>
      </patternFill>
    </fill>
    <fill>
      <patternFill patternType="solid">
        <fgColor rgb="FFF4F6F9"/>
      </patternFill>
    </fill>
    <fill>
      <patternFill patternType="solid">
        <fgColor rgb="FFB7770D"/>
      </patternFill>
    </fill>
    <fill>
      <patternFill patternType="solid">
        <fgColor rgb="FFFDECEA"/>
      </patternFill>
    </fill>
    <fill>
      <patternFill patternType="solid">
        <fgColor rgb="FFC0392B"/>
      </patternFill>
    </fill>
    <fill>
      <patternFill patternType="solid">
        <fgColor rgb="FFC0581A"/>
      </patternFill>
    </fill>
    <fill>
      <patternFill patternType="solid">
        <fgColor rgb="FF6C3483"/>
      </patternFill>
    </fill>
    <fill>
      <patternFill patternType="solid">
        <fgColor rgb="FFF4ECF7"/>
      </patternFill>
    </fill>
    <fill>
      <patternFill patternType="solid">
        <fgColor rgb="FFD6EAF8"/>
      </patternFill>
    </fill>
    <fill>
      <patternFill patternType="solid">
        <fgColor rgb="FF5D6D7E"/>
      </patternFill>
    </fill>
    <fill>
      <patternFill patternType="solid">
        <fgColor rgb="FF1A5276"/>
      </patternFill>
    </fill>
  </fills>
  <borders count="44">
    <border>
      <left/>
      <right/>
      <top/>
      <bottom/>
      <diagonal/>
    </border>
    <border>
      <left style="thin">
        <color rgb="FFFFFFFF"/>
      </left>
      <right style="thin">
        <color rgb="FFFFFFFF"/>
      </right>
      <top style="thin">
        <color rgb="FFFFFFFF"/>
      </top>
      <bottom style="thin">
        <color rgb="FFFFFFFF"/>
      </bottom>
      <diagonal/>
    </border>
    <border>
      <left style="thin">
        <color rgb="FF0D7377"/>
      </left>
      <right style="thin">
        <color rgb="FF0D7377"/>
      </right>
      <top style="thin">
        <color rgb="FF0D7377"/>
      </top>
      <bottom style="thin">
        <color rgb="FF0D7377"/>
      </bottom>
      <diagonal/>
    </border>
    <border>
      <left style="thin">
        <color rgb="FF2E5090"/>
      </left>
      <right style="thin">
        <color rgb="FF2E5090"/>
      </right>
      <top style="thin">
        <color rgb="FF2E5090"/>
      </top>
      <bottom style="thin">
        <color rgb="FF2E5090"/>
      </bottom>
      <diagonal/>
    </border>
    <border>
      <left style="thin">
        <color rgb="FF1A7A4A"/>
      </left>
      <right style="thin">
        <color rgb="FF1A7A4A"/>
      </right>
      <top style="thin">
        <color rgb="FF1A7A4A"/>
      </top>
      <bottom style="thin">
        <color rgb="FF1A7A4A"/>
      </bottom>
      <diagonal/>
    </border>
    <border>
      <left style="thin">
        <color rgb="FFC8D0DC"/>
      </left>
      <right style="thin">
        <color rgb="FFC8D0DC"/>
      </right>
      <top style="thin">
        <color rgb="FFC8D0DC"/>
      </top>
      <bottom style="thin">
        <color rgb="FFC8D0DC"/>
      </bottom>
      <diagonal/>
    </border>
    <border>
      <left style="thin">
        <color rgb="FFB7770D"/>
      </left>
      <right style="thin">
        <color rgb="FFB7770D"/>
      </right>
      <top style="thin">
        <color rgb="FFB7770D"/>
      </top>
      <bottom style="thin">
        <color rgb="FFB7770D"/>
      </bottom>
      <diagonal/>
    </border>
    <border>
      <left style="thin">
        <color rgb="FFC0392B"/>
      </left>
      <right style="thin">
        <color rgb="FFC0392B"/>
      </right>
      <top style="thin">
        <color rgb="FFC0392B"/>
      </top>
      <bottom style="thin">
        <color rgb="FFC0392B"/>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C8D0DC"/>
      </top>
      <bottom style="thin">
        <color rgb="FFC8D0DC"/>
      </bottom>
      <diagonal/>
    </border>
    <border>
      <left/>
      <right style="thin">
        <color rgb="FFC8D0DC"/>
      </right>
      <top style="thin">
        <color rgb="FFC8D0DC"/>
      </top>
      <bottom style="thin">
        <color rgb="FFC8D0DC"/>
      </bottom>
      <diagonal/>
    </border>
    <border>
      <left/>
      <right/>
      <top style="thin">
        <color rgb="FF0D7377"/>
      </top>
      <bottom style="thin">
        <color rgb="FF0D7377"/>
      </bottom>
      <diagonal/>
    </border>
    <border>
      <left/>
      <right style="thin">
        <color rgb="FF0D7377"/>
      </right>
      <top style="thin">
        <color rgb="FF0D7377"/>
      </top>
      <bottom style="thin">
        <color rgb="FF0D7377"/>
      </bottom>
      <diagonal/>
    </border>
    <border>
      <left/>
      <right/>
      <top style="thin">
        <color rgb="FF2E5090"/>
      </top>
      <bottom style="thin">
        <color rgb="FF2E5090"/>
      </bottom>
      <diagonal/>
    </border>
    <border>
      <left/>
      <right style="thin">
        <color rgb="FF2E5090"/>
      </right>
      <top style="thin">
        <color rgb="FF2E5090"/>
      </top>
      <bottom style="thin">
        <color rgb="FF2E5090"/>
      </bottom>
      <diagonal/>
    </border>
    <border>
      <left/>
      <right/>
      <top style="thin">
        <color rgb="FF1A7A4A"/>
      </top>
      <bottom style="thin">
        <color rgb="FF1A7A4A"/>
      </bottom>
      <diagonal/>
    </border>
    <border>
      <left/>
      <right style="thin">
        <color rgb="FF1A7A4A"/>
      </right>
      <top style="thin">
        <color rgb="FF1A7A4A"/>
      </top>
      <bottom style="thin">
        <color rgb="FF1A7A4A"/>
      </bottom>
      <diagonal/>
    </border>
    <border>
      <left/>
      <right style="thin">
        <color rgb="FFB7770D"/>
      </right>
      <top style="thin">
        <color rgb="FFB7770D"/>
      </top>
      <bottom style="thin">
        <color rgb="FFB7770D"/>
      </bottom>
      <diagonal/>
    </border>
    <border>
      <left/>
      <right style="thin">
        <color rgb="FFC0392B"/>
      </right>
      <top style="thin">
        <color rgb="FFC0392B"/>
      </top>
      <bottom style="thin">
        <color rgb="FFC0392B"/>
      </bottom>
      <diagonal/>
    </border>
    <border>
      <left style="thin">
        <color rgb="FFC0581A"/>
      </left>
      <right style="thin">
        <color rgb="FFC0581A"/>
      </right>
      <top style="thin">
        <color rgb="FFC0581A"/>
      </top>
      <bottom style="thin">
        <color rgb="FFC0581A"/>
      </bottom>
      <diagonal/>
    </border>
    <border>
      <left style="thin">
        <color rgb="FF6C3483"/>
      </left>
      <right style="thin">
        <color rgb="FF6C3483"/>
      </right>
      <top style="thin">
        <color rgb="FF6C3483"/>
      </top>
      <bottom style="thin">
        <color rgb="FF6C3483"/>
      </bottom>
      <diagonal/>
    </border>
    <border>
      <left/>
      <right style="thin">
        <color rgb="FF6C3483"/>
      </right>
      <top style="thin">
        <color rgb="FF6C3483"/>
      </top>
      <bottom style="thin">
        <color rgb="FF6C3483"/>
      </bottom>
      <diagonal/>
    </border>
    <border>
      <left/>
      <right/>
      <top/>
      <bottom/>
      <diagonal/>
    </border>
    <border>
      <left style="thin">
        <color rgb="FF1A5276"/>
      </left>
      <right style="thin">
        <color rgb="FF1A5276"/>
      </right>
      <top style="thin">
        <color rgb="FF1A5276"/>
      </top>
      <bottom style="thin">
        <color rgb="FF1A5276"/>
      </bottom>
      <diagonal/>
    </border>
    <border>
      <left style="thin">
        <color rgb="FF1E2A3A"/>
      </left>
      <right style="thin">
        <color rgb="FF1E2A3A"/>
      </right>
      <top style="thin">
        <color rgb="FF1E2A3A"/>
      </top>
      <bottom style="thin">
        <color rgb="FF1E2A3A"/>
      </bottom>
      <diagonal/>
    </border>
    <border>
      <left style="medium">
        <color rgb="FF1E2A3A"/>
      </left>
      <right style="thin">
        <color rgb="FFC8D0DC"/>
      </right>
      <top style="thin">
        <color rgb="FFC8D0DC"/>
      </top>
      <bottom style="thin">
        <color rgb="FFC8D0DC"/>
      </bottom>
      <diagonal/>
    </border>
    <border>
      <left style="medium">
        <color rgb="FF0D7377"/>
      </left>
      <right style="thin">
        <color rgb="FFC8D0DC"/>
      </right>
      <top style="thin">
        <color rgb="FFC8D0DC"/>
      </top>
      <bottom style="thin">
        <color rgb="FFC8D0DC"/>
      </bottom>
      <diagonal/>
    </border>
    <border>
      <left style="medium">
        <color rgb="FF2E5090"/>
      </left>
      <right style="thin">
        <color rgb="FFC8D0DC"/>
      </right>
      <top style="thin">
        <color rgb="FFC8D0DC"/>
      </top>
      <bottom style="thin">
        <color rgb="FFC8D0DC"/>
      </bottom>
      <diagonal/>
    </border>
    <border>
      <left style="medium">
        <color rgb="FF6C3483"/>
      </left>
      <right style="thin">
        <color rgb="FFC8D0DC"/>
      </right>
      <top style="thin">
        <color rgb="FFC8D0DC"/>
      </top>
      <bottom style="thin">
        <color rgb="FFC8D0DC"/>
      </bottom>
      <diagonal/>
    </border>
    <border>
      <left style="medium">
        <color rgb="FF1A7A4A"/>
      </left>
      <right style="thin">
        <color rgb="FFC8D0DC"/>
      </right>
      <top style="thin">
        <color rgb="FFC8D0DC"/>
      </top>
      <bottom style="thin">
        <color rgb="FFC8D0DC"/>
      </bottom>
      <diagonal/>
    </border>
    <border>
      <left style="medium">
        <color rgb="FFB7770D"/>
      </left>
      <right style="thin">
        <color rgb="FFC8D0DC"/>
      </right>
      <top style="thin">
        <color rgb="FFC8D0DC"/>
      </top>
      <bottom style="thin">
        <color rgb="FFC8D0DC"/>
      </bottom>
      <diagonal/>
    </border>
    <border>
      <left style="thin">
        <color rgb="FF5D6D7E"/>
      </left>
      <right style="thin">
        <color rgb="FF5D6D7E"/>
      </right>
      <top style="thin">
        <color rgb="FF5D6D7E"/>
      </top>
      <bottom style="thin">
        <color rgb="FF5D6D7E"/>
      </bottom>
      <diagonal/>
    </border>
    <border>
      <left style="medium">
        <color rgb="FF1A5276"/>
      </left>
      <right style="thin">
        <color rgb="FFC8D0DC"/>
      </right>
      <top style="thin">
        <color rgb="FFC8D0DC"/>
      </top>
      <bottom style="thin">
        <color rgb="FFC8D0DC"/>
      </bottom>
      <diagonal/>
    </border>
    <border>
      <left style="medium">
        <color rgb="FFC0392B"/>
      </left>
      <right style="thin">
        <color rgb="FFC8D0DC"/>
      </right>
      <top style="thin">
        <color rgb="FFC8D0DC"/>
      </top>
      <bottom style="thin">
        <color rgb="FFC8D0DC"/>
      </bottom>
      <diagonal/>
    </border>
    <border>
      <left/>
      <right style="thin">
        <color rgb="FF5D6D7E"/>
      </right>
      <top style="thin">
        <color rgb="FF5D6D7E"/>
      </top>
      <bottom style="thin">
        <color rgb="FF5D6D7E"/>
      </bottom>
      <diagonal/>
    </border>
    <border>
      <left/>
      <right style="thin">
        <color rgb="FF1E2A3A"/>
      </right>
      <top style="thin">
        <color rgb="FF1E2A3A"/>
      </top>
      <bottom style="thin">
        <color rgb="FF1E2A3A"/>
      </bottom>
      <diagonal/>
    </border>
    <border>
      <left style="thin">
        <color rgb="FFF4F6F9"/>
      </left>
      <right style="thin">
        <color rgb="FFF4F6F9"/>
      </right>
      <top style="thin">
        <color rgb="FFF4F6F9"/>
      </top>
      <bottom style="thin">
        <color rgb="FFF4F6F9"/>
      </bottom>
      <diagonal/>
    </border>
    <border>
      <left/>
      <right/>
      <top style="thin">
        <color rgb="FF1E2A3A"/>
      </top>
      <bottom style="thin">
        <color rgb="FF1E2A3A"/>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right/>
      <top style="thin">
        <color rgb="FFFFFFFF"/>
      </top>
      <bottom/>
      <diagonal/>
    </border>
    <border>
      <left style="thin">
        <color rgb="FF0D7377"/>
      </left>
      <right style="thin">
        <color rgb="FF0D7377"/>
      </right>
      <top/>
      <bottom style="thin">
        <color rgb="FF0D7377"/>
      </bottom>
      <diagonal/>
    </border>
  </borders>
  <cellStyleXfs count="1">
    <xf numFmtId="0" fontId="0" fillId="0" borderId="0"/>
  </cellStyleXfs>
  <cellXfs count="175">
    <xf numFmtId="0" fontId="0" fillId="0" borderId="0" xfId="0"/>
    <xf numFmtId="0" fontId="34" fillId="0" borderId="23" xfId="0" applyFont="1" applyBorder="1"/>
    <xf numFmtId="0" fontId="0" fillId="11" borderId="23" xfId="0" applyFill="1" applyBorder="1"/>
    <xf numFmtId="0" fontId="0" fillId="2" borderId="25" xfId="0" applyFill="1" applyBorder="1"/>
    <xf numFmtId="0" fontId="13" fillId="13" borderId="26" xfId="0" applyFont="1" applyFill="1" applyBorder="1" applyAlignment="1">
      <alignment horizontal="left" vertical="center"/>
    </xf>
    <xf numFmtId="0" fontId="38" fillId="11" borderId="5" xfId="0" applyFont="1" applyFill="1" applyBorder="1" applyAlignment="1">
      <alignment horizontal="left" vertical="center" wrapText="1"/>
    </xf>
    <xf numFmtId="0" fontId="13" fillId="11" borderId="26" xfId="0" applyFont="1" applyFill="1" applyBorder="1" applyAlignment="1">
      <alignment horizontal="left" vertical="center"/>
    </xf>
    <xf numFmtId="0" fontId="38" fillId="13" borderId="5" xfId="0" applyFont="1" applyFill="1" applyBorder="1" applyAlignment="1">
      <alignment horizontal="left" vertical="center" wrapText="1"/>
    </xf>
    <xf numFmtId="0" fontId="0" fillId="4" borderId="2" xfId="0" applyFill="1" applyBorder="1"/>
    <xf numFmtId="0" fontId="39" fillId="5" borderId="27" xfId="0" applyFont="1" applyFill="1" applyBorder="1" applyAlignment="1">
      <alignment horizontal="left" vertical="center"/>
    </xf>
    <xf numFmtId="0" fontId="39" fillId="11" borderId="27" xfId="0" applyFont="1" applyFill="1" applyBorder="1" applyAlignment="1">
      <alignment horizontal="left" vertical="center"/>
    </xf>
    <xf numFmtId="0" fontId="0" fillId="10" borderId="23" xfId="0" applyFill="1" applyBorder="1"/>
    <xf numFmtId="0" fontId="0" fillId="6" borderId="3" xfId="0" applyFill="1" applyBorder="1"/>
    <xf numFmtId="0" fontId="22" fillId="7" borderId="28" xfId="0" applyFont="1" applyFill="1" applyBorder="1" applyAlignment="1">
      <alignment horizontal="left" vertical="center"/>
    </xf>
    <xf numFmtId="0" fontId="22" fillId="11" borderId="28" xfId="0" applyFont="1" applyFill="1" applyBorder="1" applyAlignment="1">
      <alignment horizontal="left" vertical="center"/>
    </xf>
    <xf numFmtId="0" fontId="0" fillId="18" borderId="21" xfId="0" applyFill="1" applyBorder="1"/>
    <xf numFmtId="0" fontId="40" fillId="19" borderId="29" xfId="0" applyFont="1" applyFill="1" applyBorder="1" applyAlignment="1">
      <alignment horizontal="left" vertical="center"/>
    </xf>
    <xf numFmtId="0" fontId="40" fillId="11" borderId="29" xfId="0" applyFont="1" applyFill="1" applyBorder="1" applyAlignment="1">
      <alignment horizontal="left" vertical="center"/>
    </xf>
    <xf numFmtId="0" fontId="0" fillId="8" borderId="4" xfId="0" applyFill="1" applyBorder="1"/>
    <xf numFmtId="0" fontId="21" fillId="11" borderId="30" xfId="0" applyFont="1" applyFill="1" applyBorder="1" applyAlignment="1">
      <alignment horizontal="left" vertical="center"/>
    </xf>
    <xf numFmtId="0" fontId="0" fillId="14" borderId="6" xfId="0" applyFill="1" applyBorder="1"/>
    <xf numFmtId="0" fontId="20" fillId="11" borderId="31" xfId="0" applyFont="1" applyFill="1" applyBorder="1" applyAlignment="1">
      <alignment horizontal="left" vertical="center"/>
    </xf>
    <xf numFmtId="0" fontId="22" fillId="7" borderId="28" xfId="0" applyFont="1" applyFill="1" applyBorder="1" applyAlignment="1">
      <alignment horizontal="left" vertical="top" wrapText="1"/>
    </xf>
    <xf numFmtId="0" fontId="38" fillId="13" borderId="5" xfId="0" applyFont="1" applyFill="1" applyBorder="1" applyAlignment="1">
      <alignment horizontal="left" vertical="top" wrapText="1"/>
    </xf>
    <xf numFmtId="0" fontId="0" fillId="21" borderId="32" xfId="0" applyFill="1" applyBorder="1"/>
    <xf numFmtId="0" fontId="31" fillId="12" borderId="31" xfId="0" applyFont="1" applyFill="1" applyBorder="1" applyAlignment="1">
      <alignment horizontal="left" vertical="center"/>
    </xf>
    <xf numFmtId="0" fontId="41" fillId="9" borderId="30" xfId="0" applyFont="1" applyFill="1" applyBorder="1" applyAlignment="1">
      <alignment horizontal="left" vertical="center"/>
    </xf>
    <xf numFmtId="0" fontId="0" fillId="22" borderId="24" xfId="0" applyFill="1" applyBorder="1"/>
    <xf numFmtId="0" fontId="42" fillId="20" borderId="33" xfId="0" applyFont="1" applyFill="1" applyBorder="1" applyAlignment="1">
      <alignment horizontal="left" vertical="center"/>
    </xf>
    <xf numFmtId="0" fontId="0" fillId="16" borderId="7" xfId="0" applyFill="1" applyBorder="1"/>
    <xf numFmtId="0" fontId="43" fillId="15" borderId="34" xfId="0" applyFont="1" applyFill="1" applyBorder="1" applyAlignment="1">
      <alignment horizontal="left" vertical="center"/>
    </xf>
    <xf numFmtId="0" fontId="23" fillId="15" borderId="34" xfId="0" applyFont="1" applyFill="1" applyBorder="1" applyAlignment="1">
      <alignment horizontal="left" vertical="top" wrapText="1"/>
    </xf>
    <xf numFmtId="0" fontId="20" fillId="12" borderId="31" xfId="0" applyFont="1" applyFill="1" applyBorder="1" applyAlignment="1">
      <alignment horizontal="left" vertical="center"/>
    </xf>
    <xf numFmtId="0" fontId="21" fillId="9" borderId="30" xfId="0" applyFont="1" applyFill="1" applyBorder="1" applyAlignment="1">
      <alignment horizontal="left" vertical="center"/>
    </xf>
    <xf numFmtId="0" fontId="0" fillId="13" borderId="37" xfId="0" applyFill="1" applyBorder="1"/>
    <xf numFmtId="165" fontId="25" fillId="2" borderId="2" xfId="0" applyNumberFormat="1" applyFont="1" applyFill="1" applyBorder="1" applyAlignment="1">
      <alignment horizontal="right" vertical="center"/>
    </xf>
    <xf numFmtId="165" fontId="26" fillId="2" borderId="2" xfId="0" applyNumberFormat="1" applyFont="1" applyFill="1" applyBorder="1" applyAlignment="1">
      <alignment horizontal="right" vertical="center"/>
    </xf>
    <xf numFmtId="165" fontId="9" fillId="2" borderId="2" xfId="0" applyNumberFormat="1" applyFont="1" applyFill="1" applyBorder="1" applyAlignment="1">
      <alignment horizontal="right" vertical="center"/>
    </xf>
    <xf numFmtId="165" fontId="27" fillId="2" borderId="2" xfId="0" applyNumberFormat="1" applyFont="1" applyFill="1" applyBorder="1" applyAlignment="1">
      <alignment horizontal="right" vertical="center"/>
    </xf>
    <xf numFmtId="165" fontId="28" fillId="2" borderId="2" xfId="0" applyNumberFormat="1" applyFont="1" applyFill="1" applyBorder="1" applyAlignment="1">
      <alignment horizontal="right" vertical="center"/>
    </xf>
    <xf numFmtId="0" fontId="11" fillId="13" borderId="5" xfId="0" applyFont="1" applyFill="1" applyBorder="1" applyAlignment="1">
      <alignment horizontal="center" vertical="center"/>
    </xf>
    <xf numFmtId="0" fontId="29" fillId="13" borderId="5" xfId="0" applyFont="1" applyFill="1" applyBorder="1" applyAlignment="1">
      <alignment horizontal="left" vertical="center"/>
    </xf>
    <xf numFmtId="165" fontId="30" fillId="13" borderId="5" xfId="0" applyNumberFormat="1" applyFont="1" applyFill="1" applyBorder="1" applyAlignment="1">
      <alignment horizontal="right" vertical="center"/>
    </xf>
    <xf numFmtId="165" fontId="12" fillId="13" borderId="5" xfId="0" applyNumberFormat="1" applyFont="1" applyFill="1" applyBorder="1" applyAlignment="1">
      <alignment horizontal="right" vertical="center"/>
    </xf>
    <xf numFmtId="165" fontId="14" fillId="13" borderId="5" xfId="0" applyNumberFormat="1" applyFont="1" applyFill="1" applyBorder="1" applyAlignment="1">
      <alignment horizontal="right" vertical="center"/>
    </xf>
    <xf numFmtId="165" fontId="15" fillId="13" borderId="5" xfId="0" applyNumberFormat="1" applyFont="1" applyFill="1" applyBorder="1" applyAlignment="1">
      <alignment horizontal="right" vertical="center"/>
    </xf>
    <xf numFmtId="165" fontId="31" fillId="13" borderId="5" xfId="0" applyNumberFormat="1" applyFont="1" applyFill="1" applyBorder="1" applyAlignment="1">
      <alignment horizontal="right" vertical="center"/>
    </xf>
    <xf numFmtId="165" fontId="11" fillId="13" borderId="5" xfId="0" applyNumberFormat="1" applyFont="1" applyFill="1" applyBorder="1" applyAlignment="1">
      <alignment horizontal="center" vertical="center"/>
    </xf>
    <xf numFmtId="0" fontId="11" fillId="11" borderId="5" xfId="0" applyFont="1" applyFill="1" applyBorder="1" applyAlignment="1">
      <alignment horizontal="center" vertical="center"/>
    </xf>
    <xf numFmtId="0" fontId="29" fillId="11" borderId="5" xfId="0" applyFont="1" applyFill="1" applyBorder="1" applyAlignment="1">
      <alignment horizontal="left" vertical="center"/>
    </xf>
    <xf numFmtId="165" fontId="30" fillId="11" borderId="5" xfId="0" applyNumberFormat="1" applyFont="1" applyFill="1" applyBorder="1" applyAlignment="1">
      <alignment horizontal="right" vertical="center"/>
    </xf>
    <xf numFmtId="165" fontId="12" fillId="11" borderId="5" xfId="0" applyNumberFormat="1" applyFont="1" applyFill="1" applyBorder="1" applyAlignment="1">
      <alignment horizontal="right" vertical="center"/>
    </xf>
    <xf numFmtId="165" fontId="14" fillId="11" borderId="5" xfId="0" applyNumberFormat="1" applyFont="1" applyFill="1" applyBorder="1" applyAlignment="1">
      <alignment horizontal="right" vertical="center"/>
    </xf>
    <xf numFmtId="165" fontId="15" fillId="11" borderId="5" xfId="0" applyNumberFormat="1" applyFont="1" applyFill="1" applyBorder="1" applyAlignment="1">
      <alignment horizontal="right" vertical="center"/>
    </xf>
    <xf numFmtId="165" fontId="31" fillId="11" borderId="5" xfId="0" applyNumberFormat="1" applyFont="1" applyFill="1" applyBorder="1" applyAlignment="1">
      <alignment horizontal="right" vertical="center"/>
    </xf>
    <xf numFmtId="165" fontId="11" fillId="11" borderId="5" xfId="0" applyNumberFormat="1" applyFont="1" applyFill="1" applyBorder="1" applyAlignment="1">
      <alignment horizontal="center" vertical="center"/>
    </xf>
    <xf numFmtId="0" fontId="0" fillId="0" borderId="0" xfId="0" applyProtection="1">
      <protection locked="0"/>
    </xf>
    <xf numFmtId="0" fontId="10" fillId="2" borderId="2" xfId="0" applyFont="1" applyFill="1" applyBorder="1" applyAlignment="1" applyProtection="1">
      <alignment horizontal="center" vertical="center" wrapText="1"/>
      <protection locked="0"/>
    </xf>
    <xf numFmtId="0" fontId="10" fillId="17" borderId="20" xfId="0" applyFont="1" applyFill="1" applyBorder="1" applyAlignment="1" applyProtection="1">
      <alignment horizontal="center" vertical="center" wrapText="1"/>
      <protection locked="0"/>
    </xf>
    <xf numFmtId="166" fontId="11" fillId="13" borderId="5" xfId="0" applyNumberFormat="1" applyFont="1" applyFill="1" applyBorder="1" applyAlignment="1" applyProtection="1">
      <alignment horizontal="center" vertical="center"/>
      <protection locked="0"/>
    </xf>
    <xf numFmtId="0" fontId="11" fillId="13" borderId="5" xfId="0" applyFont="1" applyFill="1" applyBorder="1" applyAlignment="1" applyProtection="1">
      <alignment horizontal="left" vertical="center"/>
      <protection locked="0"/>
    </xf>
    <xf numFmtId="165" fontId="12" fillId="13" borderId="5" xfId="0" applyNumberFormat="1" applyFont="1" applyFill="1" applyBorder="1" applyAlignment="1" applyProtection="1">
      <alignment horizontal="right" vertical="center"/>
      <protection locked="0"/>
    </xf>
    <xf numFmtId="0" fontId="13" fillId="13" borderId="5" xfId="0" applyFont="1" applyFill="1" applyBorder="1" applyAlignment="1" applyProtection="1">
      <alignment horizontal="left" vertical="center"/>
      <protection locked="0"/>
    </xf>
    <xf numFmtId="0" fontId="47" fillId="13" borderId="5" xfId="0" applyFont="1" applyFill="1" applyBorder="1" applyAlignment="1" applyProtection="1">
      <alignment horizontal="left" vertical="center"/>
      <protection locked="0"/>
    </xf>
    <xf numFmtId="165" fontId="45" fillId="13" borderId="5" xfId="0" applyNumberFormat="1" applyFont="1" applyFill="1" applyBorder="1" applyAlignment="1" applyProtection="1">
      <alignment horizontal="right" vertical="center"/>
      <protection locked="0"/>
    </xf>
    <xf numFmtId="165" fontId="11" fillId="13" borderId="5" xfId="0" applyNumberFormat="1" applyFont="1" applyFill="1" applyBorder="1" applyAlignment="1" applyProtection="1">
      <alignment horizontal="right" vertical="center"/>
      <protection locked="0"/>
    </xf>
    <xf numFmtId="165" fontId="15" fillId="13" borderId="5" xfId="0" applyNumberFormat="1" applyFont="1" applyFill="1" applyBorder="1" applyAlignment="1" applyProtection="1">
      <alignment horizontal="right" vertical="center"/>
      <protection locked="0"/>
    </xf>
    <xf numFmtId="165" fontId="30" fillId="13" borderId="2" xfId="0" applyNumberFormat="1" applyFont="1" applyFill="1" applyBorder="1" applyAlignment="1" applyProtection="1">
      <alignment horizontal="right" vertical="center"/>
      <protection locked="0"/>
    </xf>
    <xf numFmtId="166" fontId="11" fillId="11" borderId="5" xfId="0" applyNumberFormat="1" applyFont="1" applyFill="1" applyBorder="1" applyAlignment="1" applyProtection="1">
      <alignment horizontal="center" vertical="center"/>
      <protection locked="0"/>
    </xf>
    <xf numFmtId="0" fontId="11" fillId="11" borderId="5" xfId="0" applyFont="1" applyFill="1" applyBorder="1" applyAlignment="1" applyProtection="1">
      <alignment horizontal="left" vertical="center"/>
      <protection locked="0"/>
    </xf>
    <xf numFmtId="165" fontId="12" fillId="11" borderId="5" xfId="0" applyNumberFormat="1" applyFont="1" applyFill="1" applyBorder="1" applyAlignment="1" applyProtection="1">
      <alignment horizontal="right" vertical="center"/>
      <protection locked="0"/>
    </xf>
    <xf numFmtId="0" fontId="13" fillId="11" borderId="5" xfId="0" applyFont="1" applyFill="1" applyBorder="1" applyAlignment="1" applyProtection="1">
      <alignment horizontal="left" vertical="center"/>
      <protection locked="0"/>
    </xf>
    <xf numFmtId="0" fontId="47" fillId="11" borderId="5" xfId="0" applyFont="1" applyFill="1" applyBorder="1" applyAlignment="1" applyProtection="1">
      <alignment horizontal="left" vertical="center"/>
      <protection locked="0"/>
    </xf>
    <xf numFmtId="165" fontId="45" fillId="11" borderId="5" xfId="0" applyNumberFormat="1" applyFont="1" applyFill="1" applyBorder="1" applyAlignment="1" applyProtection="1">
      <alignment horizontal="right" vertical="center"/>
      <protection locked="0"/>
    </xf>
    <xf numFmtId="165" fontId="11" fillId="11" borderId="5" xfId="0" applyNumberFormat="1" applyFont="1" applyFill="1" applyBorder="1" applyAlignment="1" applyProtection="1">
      <alignment horizontal="right" vertical="center"/>
      <protection locked="0"/>
    </xf>
    <xf numFmtId="165" fontId="15" fillId="11" borderId="5" xfId="0" applyNumberFormat="1" applyFont="1" applyFill="1" applyBorder="1" applyAlignment="1" applyProtection="1">
      <alignment horizontal="right" vertical="center"/>
      <protection locked="0"/>
    </xf>
    <xf numFmtId="165" fontId="30" fillId="11" borderId="2" xfId="0" applyNumberFormat="1" applyFont="1" applyFill="1" applyBorder="1" applyAlignment="1" applyProtection="1">
      <alignment horizontal="right" vertical="center"/>
      <protection locked="0"/>
    </xf>
    <xf numFmtId="0" fontId="11" fillId="13" borderId="5" xfId="0" applyFont="1" applyFill="1" applyBorder="1" applyAlignment="1" applyProtection="1">
      <alignment horizontal="center" vertical="center"/>
      <protection locked="0"/>
    </xf>
    <xf numFmtId="0" fontId="11" fillId="11" borderId="5" xfId="0" applyFont="1" applyFill="1" applyBorder="1" applyAlignment="1" applyProtection="1">
      <alignment horizontal="center" vertical="center"/>
      <protection locked="0"/>
    </xf>
    <xf numFmtId="0" fontId="48" fillId="0" borderId="0" xfId="0" applyFont="1" applyProtection="1">
      <protection locked="0"/>
    </xf>
    <xf numFmtId="0" fontId="46" fillId="0" borderId="0" xfId="0" applyFont="1" applyProtection="1">
      <protection locked="0"/>
    </xf>
    <xf numFmtId="165" fontId="11" fillId="13" borderId="5" xfId="0" applyNumberFormat="1" applyFont="1" applyFill="1" applyBorder="1" applyAlignment="1" applyProtection="1">
      <alignment horizontal="right" vertical="center"/>
      <protection hidden="1"/>
    </xf>
    <xf numFmtId="165" fontId="11" fillId="11" borderId="5" xfId="0" applyNumberFormat="1" applyFont="1" applyFill="1" applyBorder="1" applyAlignment="1" applyProtection="1">
      <alignment horizontal="right" vertical="center"/>
      <protection hidden="1"/>
    </xf>
    <xf numFmtId="165" fontId="32" fillId="13" borderId="20" xfId="0" applyNumberFormat="1" applyFont="1" applyFill="1" applyBorder="1" applyAlignment="1" applyProtection="1">
      <alignment horizontal="right" vertical="center"/>
      <protection hidden="1"/>
    </xf>
    <xf numFmtId="165" fontId="32" fillId="11" borderId="20" xfId="0" applyNumberFormat="1" applyFont="1" applyFill="1" applyBorder="1" applyAlignment="1" applyProtection="1">
      <alignment horizontal="right" vertical="center"/>
      <protection hidden="1"/>
    </xf>
    <xf numFmtId="0" fontId="49" fillId="11" borderId="5" xfId="0" applyFont="1" applyFill="1" applyBorder="1" applyAlignment="1" applyProtection="1">
      <alignment horizontal="left" vertical="center"/>
      <protection locked="0"/>
    </xf>
    <xf numFmtId="0" fontId="50" fillId="11" borderId="5" xfId="0" applyFont="1" applyFill="1" applyBorder="1" applyAlignment="1" applyProtection="1">
      <alignment horizontal="left" vertical="center"/>
      <protection locked="0"/>
    </xf>
    <xf numFmtId="0" fontId="1" fillId="2" borderId="5" xfId="0" applyFont="1" applyFill="1" applyBorder="1" applyAlignment="1" applyProtection="1">
      <alignment horizontal="center" vertical="center"/>
      <protection locked="0"/>
    </xf>
    <xf numFmtId="0" fontId="0" fillId="0" borderId="10" xfId="0" applyBorder="1" applyProtection="1">
      <protection locked="0"/>
    </xf>
    <xf numFmtId="0" fontId="0" fillId="0" borderId="11" xfId="0" applyBorder="1" applyProtection="1">
      <protection locked="0"/>
    </xf>
    <xf numFmtId="165" fontId="7" fillId="9" borderId="4" xfId="0" applyNumberFormat="1" applyFont="1" applyFill="1" applyBorder="1" applyAlignment="1" applyProtection="1">
      <alignment horizontal="center" vertical="center"/>
      <protection hidden="1"/>
    </xf>
    <xf numFmtId="0" fontId="0" fillId="0" borderId="16" xfId="0" applyBorder="1" applyProtection="1">
      <protection hidden="1"/>
    </xf>
    <xf numFmtId="0" fontId="0" fillId="0" borderId="17" xfId="0" applyBorder="1" applyProtection="1">
      <protection hidden="1"/>
    </xf>
    <xf numFmtId="0" fontId="4" fillId="8" borderId="1" xfId="0" applyFont="1" applyFill="1" applyBorder="1" applyAlignment="1" applyProtection="1">
      <alignment horizontal="center" vertical="center"/>
      <protection locked="0"/>
    </xf>
    <xf numFmtId="0" fontId="0" fillId="0" borderId="8" xfId="0" applyBorder="1" applyProtection="1">
      <protection locked="0"/>
    </xf>
    <xf numFmtId="0" fontId="0" fillId="0" borderId="9" xfId="0" applyBorder="1" applyProtection="1">
      <protection locked="0"/>
    </xf>
    <xf numFmtId="0" fontId="4" fillId="4" borderId="1" xfId="0" applyFont="1" applyFill="1" applyBorder="1" applyAlignment="1" applyProtection="1">
      <alignment horizontal="center" vertical="center"/>
      <protection locked="0"/>
    </xf>
    <xf numFmtId="0" fontId="10" fillId="4" borderId="1" xfId="0" applyFont="1" applyFill="1" applyBorder="1" applyAlignment="1" applyProtection="1">
      <alignment horizontal="center" vertical="center"/>
      <protection locked="0"/>
    </xf>
    <xf numFmtId="165" fontId="9" fillId="11" borderId="5" xfId="0" applyNumberFormat="1"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protection locked="0"/>
    </xf>
    <xf numFmtId="0" fontId="2" fillId="3" borderId="0" xfId="0" applyFont="1" applyFill="1" applyAlignment="1" applyProtection="1">
      <alignment horizontal="right" vertical="center"/>
      <protection locked="0"/>
    </xf>
    <xf numFmtId="0" fontId="0" fillId="0" borderId="0" xfId="0" applyProtection="1">
      <protection locked="0"/>
    </xf>
    <xf numFmtId="164" fontId="3" fillId="3" borderId="0" xfId="0" applyNumberFormat="1" applyFont="1" applyFill="1" applyAlignment="1" applyProtection="1">
      <alignment horizontal="center" vertical="center"/>
      <protection locked="0"/>
    </xf>
    <xf numFmtId="0" fontId="8" fillId="10" borderId="5" xfId="0" applyFont="1" applyFill="1" applyBorder="1" applyAlignment="1" applyProtection="1">
      <alignment horizontal="right" vertical="center"/>
      <protection locked="0"/>
    </xf>
    <xf numFmtId="0" fontId="3" fillId="3" borderId="0" xfId="0" applyFont="1" applyFill="1" applyAlignment="1" applyProtection="1">
      <alignment horizontal="left" vertical="center"/>
      <protection locked="0"/>
    </xf>
    <xf numFmtId="0" fontId="4" fillId="6" borderId="1" xfId="0" applyFont="1" applyFill="1" applyBorder="1" applyAlignment="1" applyProtection="1">
      <alignment horizontal="center" vertical="center"/>
      <protection locked="0"/>
    </xf>
    <xf numFmtId="165" fontId="5" fillId="5" borderId="2" xfId="0" applyNumberFormat="1" applyFont="1" applyFill="1" applyBorder="1" applyAlignment="1" applyProtection="1">
      <alignment horizontal="center" vertical="center"/>
      <protection hidden="1"/>
    </xf>
    <xf numFmtId="0" fontId="0" fillId="0" borderId="12" xfId="0" applyBorder="1" applyProtection="1">
      <protection hidden="1"/>
    </xf>
    <xf numFmtId="0" fontId="0" fillId="0" borderId="13" xfId="0" applyBorder="1" applyProtection="1">
      <protection hidden="1"/>
    </xf>
    <xf numFmtId="165" fontId="6" fillId="7" borderId="3" xfId="0" applyNumberFormat="1" applyFont="1" applyFill="1" applyBorder="1" applyAlignment="1" applyProtection="1">
      <alignment horizontal="center" vertical="center"/>
      <protection hidden="1"/>
    </xf>
    <xf numFmtId="0" fontId="0" fillId="0" borderId="14" xfId="0" applyBorder="1" applyProtection="1">
      <protection hidden="1"/>
    </xf>
    <xf numFmtId="0" fontId="0" fillId="0" borderId="15" xfId="0" applyBorder="1" applyProtection="1">
      <protection hidden="1"/>
    </xf>
    <xf numFmtId="167" fontId="3" fillId="2" borderId="1" xfId="0" applyNumberFormat="1" applyFont="1" applyFill="1" applyBorder="1" applyAlignment="1">
      <alignment horizontal="center" vertical="center"/>
    </xf>
    <xf numFmtId="0" fontId="0" fillId="0" borderId="9" xfId="0" applyBorder="1"/>
    <xf numFmtId="0" fontId="16" fillId="2" borderId="1" xfId="0" applyFont="1" applyFill="1" applyBorder="1" applyAlignment="1">
      <alignment horizontal="center" vertical="center"/>
    </xf>
    <xf numFmtId="0" fontId="0" fillId="0" borderId="8" xfId="0" applyBorder="1"/>
    <xf numFmtId="0" fontId="20" fillId="12" borderId="31" xfId="0" applyFont="1" applyFill="1" applyBorder="1" applyAlignment="1">
      <alignment horizontal="left" vertical="center"/>
    </xf>
    <xf numFmtId="0" fontId="0" fillId="0" borderId="11" xfId="0" applyBorder="1"/>
    <xf numFmtId="0" fontId="17" fillId="2" borderId="5" xfId="0" applyFont="1" applyFill="1" applyBorder="1" applyAlignment="1">
      <alignment horizontal="left" vertical="center"/>
    </xf>
    <xf numFmtId="0" fontId="0" fillId="0" borderId="10" xfId="0" applyBorder="1"/>
    <xf numFmtId="165" fontId="7" fillId="9" borderId="4" xfId="0" applyNumberFormat="1" applyFont="1" applyFill="1" applyBorder="1" applyAlignment="1">
      <alignment horizontal="center" vertical="center"/>
    </xf>
    <xf numFmtId="0" fontId="0" fillId="0" borderId="17" xfId="0" applyBorder="1"/>
    <xf numFmtId="165" fontId="33" fillId="19" borderId="21" xfId="0" applyNumberFormat="1" applyFont="1" applyFill="1" applyBorder="1" applyAlignment="1">
      <alignment horizontal="center" vertical="center"/>
    </xf>
    <xf numFmtId="0" fontId="0" fillId="0" borderId="22" xfId="0" applyBorder="1"/>
    <xf numFmtId="0" fontId="2" fillId="2" borderId="5" xfId="0" applyFont="1" applyFill="1" applyBorder="1" applyAlignment="1">
      <alignment horizontal="right" vertical="center"/>
    </xf>
    <xf numFmtId="164" fontId="2" fillId="2" borderId="5" xfId="0" applyNumberFormat="1" applyFont="1" applyFill="1" applyBorder="1" applyAlignment="1">
      <alignment horizontal="right" vertical="center"/>
    </xf>
    <xf numFmtId="0" fontId="3" fillId="2" borderId="2" xfId="0" applyFont="1" applyFill="1" applyBorder="1" applyAlignment="1">
      <alignment horizontal="center" vertical="center"/>
    </xf>
    <xf numFmtId="0" fontId="0" fillId="0" borderId="13" xfId="0" applyBorder="1"/>
    <xf numFmtId="0" fontId="4" fillId="8" borderId="1" xfId="0" applyFont="1" applyFill="1" applyBorder="1" applyAlignment="1">
      <alignment horizontal="center" vertical="center"/>
    </xf>
    <xf numFmtId="0" fontId="4" fillId="18" borderId="1" xfId="0" applyFont="1" applyFill="1" applyBorder="1" applyAlignment="1">
      <alignment horizontal="center" vertical="center"/>
    </xf>
    <xf numFmtId="0" fontId="0" fillId="2" borderId="25" xfId="0" applyFill="1" applyBorder="1"/>
    <xf numFmtId="0" fontId="0" fillId="0" borderId="38" xfId="0" applyBorder="1"/>
    <xf numFmtId="0" fontId="0" fillId="0" borderId="36" xfId="0" applyBorder="1"/>
    <xf numFmtId="0" fontId="4" fillId="14" borderId="1" xfId="0" applyFont="1" applyFill="1" applyBorder="1" applyAlignment="1">
      <alignment horizontal="center" vertical="center"/>
    </xf>
    <xf numFmtId="0" fontId="23" fillId="15" borderId="34" xfId="0" applyFont="1" applyFill="1" applyBorder="1" applyAlignment="1">
      <alignment horizontal="left" vertical="center"/>
    </xf>
    <xf numFmtId="0" fontId="4" fillId="6" borderId="1" xfId="0" applyFont="1" applyFill="1" applyBorder="1" applyAlignment="1">
      <alignment horizontal="center" vertical="center"/>
    </xf>
    <xf numFmtId="0" fontId="35" fillId="20" borderId="33" xfId="0" applyFont="1" applyFill="1" applyBorder="1" applyAlignment="1">
      <alignment horizontal="left" vertical="center"/>
    </xf>
    <xf numFmtId="0" fontId="19" fillId="10" borderId="5" xfId="0" applyFont="1" applyFill="1" applyBorder="1" applyAlignment="1">
      <alignment horizontal="left" vertical="center" wrapText="1"/>
    </xf>
    <xf numFmtId="0" fontId="24" fillId="7" borderId="28" xfId="0" applyFont="1" applyFill="1" applyBorder="1" applyAlignment="1">
      <alignment horizontal="left" vertical="center" wrapText="1"/>
    </xf>
    <xf numFmtId="165" fontId="6" fillId="7" borderId="3" xfId="0" applyNumberFormat="1" applyFont="1" applyFill="1" applyBorder="1" applyAlignment="1">
      <alignment horizontal="center" vertical="center"/>
    </xf>
    <xf numFmtId="0" fontId="0" fillId="0" borderId="15" xfId="0" applyBorder="1"/>
    <xf numFmtId="165" fontId="18" fillId="12" borderId="6" xfId="0" applyNumberFormat="1" applyFont="1" applyFill="1" applyBorder="1" applyAlignment="1">
      <alignment horizontal="center" vertical="center"/>
    </xf>
    <xf numFmtId="0" fontId="0" fillId="0" borderId="18" xfId="0" applyBorder="1"/>
    <xf numFmtId="0" fontId="21" fillId="9" borderId="30" xfId="0" applyFont="1" applyFill="1" applyBorder="1" applyAlignment="1">
      <alignment horizontal="left" vertical="center"/>
    </xf>
    <xf numFmtId="0" fontId="37" fillId="4" borderId="2" xfId="0" applyFont="1" applyFill="1" applyBorder="1" applyAlignment="1">
      <alignment horizontal="left" vertical="center"/>
    </xf>
    <xf numFmtId="0" fontId="22" fillId="7" borderId="28" xfId="0" applyFont="1" applyFill="1" applyBorder="1" applyAlignment="1">
      <alignment horizontal="left" vertical="center"/>
    </xf>
    <xf numFmtId="0" fontId="1" fillId="2" borderId="1" xfId="0" applyFont="1" applyFill="1" applyBorder="1" applyAlignment="1">
      <alignment horizontal="center" vertical="center"/>
    </xf>
    <xf numFmtId="0" fontId="44" fillId="2" borderId="1" xfId="0" applyFont="1" applyFill="1" applyBorder="1" applyAlignment="1">
      <alignment horizontal="center" vertical="center"/>
    </xf>
    <xf numFmtId="0" fontId="37" fillId="14" borderId="6" xfId="0" applyFont="1" applyFill="1" applyBorder="1" applyAlignment="1">
      <alignment horizontal="left" vertical="center"/>
    </xf>
    <xf numFmtId="0" fontId="37" fillId="18" borderId="21" xfId="0" applyFont="1" applyFill="1" applyBorder="1" applyAlignment="1">
      <alignment horizontal="left" vertical="center"/>
    </xf>
    <xf numFmtId="0" fontId="39" fillId="5" borderId="27" xfId="0" applyFont="1" applyFill="1" applyBorder="1" applyAlignment="1">
      <alignment horizontal="left" vertical="center"/>
    </xf>
    <xf numFmtId="0" fontId="37" fillId="6" borderId="3" xfId="0" applyFont="1" applyFill="1" applyBorder="1" applyAlignment="1">
      <alignment horizontal="left" vertical="center"/>
    </xf>
    <xf numFmtId="0" fontId="40" fillId="19" borderId="29" xfId="0" applyFont="1" applyFill="1" applyBorder="1" applyAlignment="1">
      <alignment horizontal="left" vertical="center"/>
    </xf>
    <xf numFmtId="0" fontId="37" fillId="16" borderId="7" xfId="0" applyFont="1" applyFill="1" applyBorder="1" applyAlignment="1">
      <alignment horizontal="left" vertical="center"/>
    </xf>
    <xf numFmtId="0" fontId="0" fillId="0" borderId="19" xfId="0" applyBorder="1"/>
    <xf numFmtId="0" fontId="37" fillId="21" borderId="32" xfId="0" applyFont="1" applyFill="1" applyBorder="1" applyAlignment="1">
      <alignment horizontal="left" vertical="center"/>
    </xf>
    <xf numFmtId="0" fontId="0" fillId="0" borderId="35" xfId="0" applyBorder="1"/>
    <xf numFmtId="0" fontId="37" fillId="2" borderId="25" xfId="0" applyFont="1" applyFill="1" applyBorder="1" applyAlignment="1">
      <alignment horizontal="left" vertical="center"/>
    </xf>
    <xf numFmtId="0" fontId="36" fillId="4" borderId="1" xfId="0" applyFont="1" applyFill="1" applyBorder="1" applyAlignment="1">
      <alignment horizontal="center" vertical="center"/>
    </xf>
    <xf numFmtId="0" fontId="51" fillId="12" borderId="5" xfId="0" applyFont="1" applyFill="1" applyBorder="1" applyAlignment="1" applyProtection="1">
      <alignment horizontal="left" vertical="center"/>
      <protection locked="0"/>
    </xf>
    <xf numFmtId="0" fontId="0" fillId="13" borderId="5" xfId="0" applyFont="1" applyFill="1" applyBorder="1" applyAlignment="1" applyProtection="1">
      <alignment horizontal="left" vertical="center"/>
      <protection locked="0"/>
    </xf>
    <xf numFmtId="0" fontId="0" fillId="11" borderId="5" xfId="0" applyFont="1" applyFill="1" applyBorder="1" applyAlignment="1" applyProtection="1">
      <alignment horizontal="left" vertical="center"/>
      <protection locked="0"/>
    </xf>
    <xf numFmtId="0" fontId="4" fillId="2" borderId="40" xfId="0" applyFont="1" applyFill="1" applyBorder="1" applyAlignment="1">
      <alignment horizontal="center" vertical="center"/>
    </xf>
    <xf numFmtId="0" fontId="0" fillId="0" borderId="41" xfId="0" applyBorder="1"/>
    <xf numFmtId="0" fontId="4" fillId="4" borderId="40" xfId="0" applyFont="1" applyFill="1" applyBorder="1" applyAlignment="1">
      <alignment horizontal="center" vertical="center"/>
    </xf>
    <xf numFmtId="0" fontId="0" fillId="0" borderId="42" xfId="0" applyBorder="1"/>
    <xf numFmtId="0" fontId="4" fillId="14" borderId="40" xfId="0" applyFont="1" applyFill="1" applyBorder="1" applyAlignment="1">
      <alignment horizontal="center" vertical="center"/>
    </xf>
    <xf numFmtId="0" fontId="0" fillId="4" borderId="43" xfId="0" applyFill="1" applyBorder="1"/>
    <xf numFmtId="0" fontId="10" fillId="2" borderId="39" xfId="0" applyFont="1" applyFill="1" applyBorder="1" applyAlignment="1">
      <alignment horizontal="center" vertical="center" wrapText="1"/>
    </xf>
    <xf numFmtId="0" fontId="10" fillId="6" borderId="39" xfId="0" applyFont="1" applyFill="1" applyBorder="1" applyAlignment="1">
      <alignment horizontal="center" vertical="center" wrapText="1"/>
    </xf>
    <xf numFmtId="0" fontId="10" fillId="8" borderId="39"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18" borderId="39" xfId="0" applyFont="1" applyFill="1" applyBorder="1" applyAlignment="1">
      <alignment horizontal="center" vertical="center" wrapText="1"/>
    </xf>
    <xf numFmtId="0" fontId="10" fillId="14" borderId="39" xfId="0" applyFont="1" applyFill="1" applyBorder="1" applyAlignment="1">
      <alignment horizontal="center" vertical="center" wrapText="1"/>
    </xf>
    <xf numFmtId="0" fontId="52" fillId="13"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06"/>
  <sheetViews>
    <sheetView showGridLines="0" tabSelected="1" zoomScale="85" zoomScaleNormal="85" workbookViewId="0">
      <pane ySplit="7" topLeftCell="A8" activePane="bottomLeft" state="frozen"/>
      <selection pane="bottomLeft" activeCell="H37" sqref="H37"/>
    </sheetView>
  </sheetViews>
  <sheetFormatPr defaultRowHeight="15" x14ac:dyDescent="0.25"/>
  <cols>
    <col min="1" max="1" width="10" style="56" customWidth="1"/>
    <col min="2" max="2" width="18" style="56" customWidth="1"/>
    <col min="3" max="3" width="12" style="56" customWidth="1"/>
    <col min="4" max="4" width="10" style="56" customWidth="1"/>
    <col min="5" max="5" width="12" style="56" customWidth="1"/>
    <col min="6" max="6" width="18" style="56" customWidth="1"/>
    <col min="7" max="7" width="14" style="79" customWidth="1"/>
    <col min="8" max="8" width="13" style="80" customWidth="1"/>
    <col min="9" max="9" width="10" style="56" customWidth="1"/>
    <col min="10" max="10" width="14" style="56" customWidth="1"/>
    <col min="11" max="11" width="12" style="56" customWidth="1"/>
    <col min="12" max="12" width="13" style="56" customWidth="1"/>
    <col min="13" max="13" width="10" style="56" customWidth="1"/>
    <col min="14" max="18" width="13" style="56" customWidth="1"/>
    <col min="19" max="19" width="14" style="56" customWidth="1"/>
    <col min="20" max="16384" width="9.140625" style="56"/>
  </cols>
  <sheetData>
    <row r="1" spans="1:19" ht="36" customHeight="1" x14ac:dyDescent="0.25">
      <c r="A1" s="87" t="s">
        <v>0</v>
      </c>
      <c r="B1" s="88"/>
      <c r="C1" s="88"/>
      <c r="D1" s="88"/>
      <c r="E1" s="88"/>
      <c r="F1" s="88"/>
      <c r="G1" s="88"/>
      <c r="H1" s="88"/>
      <c r="I1" s="88"/>
      <c r="J1" s="88"/>
      <c r="K1" s="88"/>
      <c r="L1" s="88"/>
      <c r="M1" s="88"/>
      <c r="N1" s="88"/>
      <c r="O1" s="88"/>
      <c r="P1" s="88"/>
      <c r="Q1" s="88"/>
      <c r="R1" s="88"/>
      <c r="S1" s="89"/>
    </row>
    <row r="2" spans="1:19" ht="21.95" customHeight="1" x14ac:dyDescent="0.25">
      <c r="A2" s="100" t="s">
        <v>1</v>
      </c>
      <c r="B2" s="101"/>
      <c r="C2" s="101"/>
      <c r="D2" s="101"/>
      <c r="E2" s="102">
        <v>46113</v>
      </c>
      <c r="F2" s="101"/>
      <c r="G2" s="101"/>
      <c r="H2" s="101"/>
      <c r="I2" s="100" t="s">
        <v>2</v>
      </c>
      <c r="J2" s="101"/>
      <c r="K2" s="104" t="s">
        <v>3</v>
      </c>
      <c r="L2" s="101"/>
      <c r="M2" s="101"/>
      <c r="N2" s="101"/>
      <c r="O2" s="101"/>
      <c r="P2" s="101"/>
      <c r="Q2" s="101"/>
      <c r="R2" s="101"/>
      <c r="S2" s="101"/>
    </row>
    <row r="3" spans="1:19" ht="14.1" customHeight="1" x14ac:dyDescent="0.25">
      <c r="A3" s="96" t="s">
        <v>4</v>
      </c>
      <c r="B3" s="94"/>
      <c r="C3" s="94"/>
      <c r="D3" s="95"/>
      <c r="E3" s="105" t="s">
        <v>5</v>
      </c>
      <c r="F3" s="94"/>
      <c r="G3" s="94"/>
      <c r="H3" s="95"/>
      <c r="I3" s="93" t="s">
        <v>6</v>
      </c>
      <c r="J3" s="94"/>
      <c r="K3" s="94"/>
      <c r="L3" s="95"/>
      <c r="M3" s="93" t="s">
        <v>7</v>
      </c>
      <c r="N3" s="94"/>
      <c r="O3" s="94"/>
      <c r="P3" s="94"/>
      <c r="Q3" s="94"/>
      <c r="R3" s="94"/>
      <c r="S3" s="95"/>
    </row>
    <row r="4" spans="1:19" ht="27.95" customHeight="1" x14ac:dyDescent="0.25">
      <c r="A4" s="106">
        <f>E5+SUM(C8:C3006)</f>
        <v>13656.81</v>
      </c>
      <c r="B4" s="107"/>
      <c r="C4" s="107"/>
      <c r="D4" s="108"/>
      <c r="E4" s="109">
        <f>SUM(H8:H3006)</f>
        <v>9187</v>
      </c>
      <c r="F4" s="110"/>
      <c r="G4" s="110"/>
      <c r="H4" s="111"/>
      <c r="I4" s="90">
        <f>SUM(N8:N3006)</f>
        <v>3900</v>
      </c>
      <c r="J4" s="91"/>
      <c r="K4" s="91"/>
      <c r="L4" s="92"/>
      <c r="M4" s="90">
        <f>E5+SUM(C8:C3006)-SUM(H8:H3006)+SUM(N8:N3006)-SUM(R8:R3006)</f>
        <v>8269.81</v>
      </c>
      <c r="N4" s="91"/>
      <c r="O4" s="91"/>
      <c r="P4" s="91"/>
      <c r="Q4" s="91"/>
      <c r="R4" s="91"/>
      <c r="S4" s="92"/>
    </row>
    <row r="5" spans="1:19" ht="20.100000000000001" customHeight="1" x14ac:dyDescent="0.25">
      <c r="A5" s="103" t="s">
        <v>8</v>
      </c>
      <c r="B5" s="88"/>
      <c r="C5" s="88"/>
      <c r="D5" s="89"/>
      <c r="E5" s="98">
        <v>5524</v>
      </c>
      <c r="F5" s="88"/>
      <c r="G5" s="88"/>
      <c r="H5" s="89"/>
      <c r="I5" s="159" t="s">
        <v>9</v>
      </c>
      <c r="J5" s="88"/>
      <c r="K5" s="88"/>
      <c r="L5" s="88"/>
      <c r="M5" s="88"/>
      <c r="N5" s="88"/>
      <c r="O5" s="88"/>
      <c r="P5" s="88"/>
      <c r="Q5" s="88"/>
      <c r="R5" s="88"/>
      <c r="S5" s="89"/>
    </row>
    <row r="6" spans="1:19" ht="18" customHeight="1" x14ac:dyDescent="0.25">
      <c r="A6" s="97" t="s">
        <v>10</v>
      </c>
      <c r="B6" s="94"/>
      <c r="C6" s="95"/>
      <c r="D6" s="99" t="s">
        <v>11</v>
      </c>
      <c r="E6" s="94"/>
      <c r="F6" s="94"/>
      <c r="G6" s="94"/>
      <c r="H6" s="94"/>
      <c r="I6" s="94"/>
      <c r="J6" s="94"/>
      <c r="K6" s="94"/>
      <c r="L6" s="94"/>
      <c r="M6" s="94"/>
      <c r="N6" s="94"/>
      <c r="O6" s="94"/>
      <c r="P6" s="94"/>
      <c r="Q6" s="94"/>
      <c r="R6" s="94"/>
      <c r="S6" s="95"/>
    </row>
    <row r="7" spans="1:19" ht="30" customHeight="1" x14ac:dyDescent="0.25">
      <c r="A7" s="57" t="s">
        <v>12</v>
      </c>
      <c r="B7" s="57" t="s">
        <v>13</v>
      </c>
      <c r="C7" s="57" t="s">
        <v>14</v>
      </c>
      <c r="D7" s="57" t="s">
        <v>15</v>
      </c>
      <c r="E7" s="57" t="s">
        <v>16</v>
      </c>
      <c r="F7" s="57" t="s">
        <v>17</v>
      </c>
      <c r="G7" s="57" t="s">
        <v>18</v>
      </c>
      <c r="H7" s="57" t="s">
        <v>19</v>
      </c>
      <c r="I7" s="57" t="s">
        <v>20</v>
      </c>
      <c r="J7" s="57" t="s">
        <v>21</v>
      </c>
      <c r="K7" s="57" t="s">
        <v>22</v>
      </c>
      <c r="L7" s="57" t="s">
        <v>23</v>
      </c>
      <c r="M7" s="57" t="s">
        <v>24</v>
      </c>
      <c r="N7" s="57" t="s">
        <v>25</v>
      </c>
      <c r="O7" s="57" t="s">
        <v>26</v>
      </c>
      <c r="P7" s="57" t="s">
        <v>27</v>
      </c>
      <c r="Q7" s="57" t="s">
        <v>28</v>
      </c>
      <c r="R7" s="57" t="s">
        <v>29</v>
      </c>
      <c r="S7" s="58" t="s">
        <v>30</v>
      </c>
    </row>
    <row r="8" spans="1:19" ht="18" customHeight="1" x14ac:dyDescent="0.25">
      <c r="A8" s="59">
        <v>46114</v>
      </c>
      <c r="B8" s="60" t="s">
        <v>31</v>
      </c>
      <c r="C8" s="61">
        <v>2132.81</v>
      </c>
      <c r="D8" s="60" t="s">
        <v>32</v>
      </c>
      <c r="E8" s="59">
        <v>46041</v>
      </c>
      <c r="F8" s="160" t="s">
        <v>231</v>
      </c>
      <c r="G8" s="63" t="s">
        <v>33</v>
      </c>
      <c r="H8" s="64">
        <v>410</v>
      </c>
      <c r="I8" s="65"/>
      <c r="J8" s="65"/>
      <c r="K8" s="65"/>
      <c r="L8" s="65"/>
      <c r="M8" s="65"/>
      <c r="N8" s="61">
        <v>0</v>
      </c>
      <c r="O8" s="81">
        <f t="shared" ref="O8:O70" si="0">IF(G8="Reimbursement ","",I8+J8+K8+L8+M8)</f>
        <v>0</v>
      </c>
      <c r="P8" s="81">
        <f t="shared" ref="P8:P70" si="1">IF(G8="Reimbursement ","",H8-O8)</f>
        <v>410</v>
      </c>
      <c r="Q8" s="66"/>
      <c r="R8" s="67"/>
      <c r="S8" s="83">
        <f t="shared" ref="S8:S70" si="2">IF(OR(R8="",Q8=""),0,IF(R8&gt;Q8,R8-Q8,0))</f>
        <v>0</v>
      </c>
    </row>
    <row r="9" spans="1:19" ht="18" customHeight="1" x14ac:dyDescent="0.25">
      <c r="A9" s="68">
        <v>46114</v>
      </c>
      <c r="B9" s="69" t="s">
        <v>34</v>
      </c>
      <c r="C9" s="70">
        <v>5000</v>
      </c>
      <c r="D9" s="69" t="s">
        <v>35</v>
      </c>
      <c r="E9" s="68">
        <v>46042</v>
      </c>
      <c r="F9" s="161" t="s">
        <v>209</v>
      </c>
      <c r="G9" s="72" t="s">
        <v>33</v>
      </c>
      <c r="H9" s="73">
        <v>18</v>
      </c>
      <c r="I9" s="74"/>
      <c r="J9" s="74"/>
      <c r="K9" s="74"/>
      <c r="L9" s="74"/>
      <c r="M9" s="74"/>
      <c r="N9" s="70">
        <v>0</v>
      </c>
      <c r="O9" s="82">
        <f t="shared" si="0"/>
        <v>0</v>
      </c>
      <c r="P9" s="82">
        <f t="shared" si="1"/>
        <v>18</v>
      </c>
      <c r="Q9" s="75"/>
      <c r="R9" s="76"/>
      <c r="S9" s="84">
        <f t="shared" si="2"/>
        <v>0</v>
      </c>
    </row>
    <row r="10" spans="1:19" ht="18" customHeight="1" x14ac:dyDescent="0.25">
      <c r="A10" s="77"/>
      <c r="B10" s="60"/>
      <c r="C10" s="61">
        <v>1000</v>
      </c>
      <c r="D10" s="60" t="s">
        <v>37</v>
      </c>
      <c r="E10" s="59">
        <v>46109</v>
      </c>
      <c r="F10" s="160" t="s">
        <v>210</v>
      </c>
      <c r="G10" s="63" t="s">
        <v>38</v>
      </c>
      <c r="H10" s="64">
        <v>2</v>
      </c>
      <c r="I10" s="65"/>
      <c r="J10" s="65"/>
      <c r="K10" s="65"/>
      <c r="L10" s="65"/>
      <c r="M10" s="65"/>
      <c r="N10" s="61">
        <v>0</v>
      </c>
      <c r="O10" s="81">
        <f t="shared" si="0"/>
        <v>0</v>
      </c>
      <c r="P10" s="81">
        <f t="shared" si="1"/>
        <v>2</v>
      </c>
      <c r="Q10" s="66"/>
      <c r="R10" s="67"/>
      <c r="S10" s="83">
        <f t="shared" si="2"/>
        <v>0</v>
      </c>
    </row>
    <row r="11" spans="1:19" ht="18" customHeight="1" x14ac:dyDescent="0.25">
      <c r="A11" s="78"/>
      <c r="B11" s="69"/>
      <c r="C11" s="70"/>
      <c r="D11" s="69" t="s">
        <v>39</v>
      </c>
      <c r="E11" s="68">
        <v>46107</v>
      </c>
      <c r="F11" s="161" t="s">
        <v>211</v>
      </c>
      <c r="G11" s="72" t="s">
        <v>38</v>
      </c>
      <c r="H11" s="73">
        <v>10</v>
      </c>
      <c r="I11" s="74"/>
      <c r="J11" s="74"/>
      <c r="K11" s="74"/>
      <c r="L11" s="74"/>
      <c r="M11" s="74"/>
      <c r="N11" s="70">
        <v>0</v>
      </c>
      <c r="O11" s="82">
        <f t="shared" si="0"/>
        <v>0</v>
      </c>
      <c r="P11" s="82">
        <f t="shared" si="1"/>
        <v>10</v>
      </c>
      <c r="Q11" s="75"/>
      <c r="R11" s="76"/>
      <c r="S11" s="84">
        <f t="shared" si="2"/>
        <v>0</v>
      </c>
    </row>
    <row r="12" spans="1:19" ht="18" customHeight="1" x14ac:dyDescent="0.25">
      <c r="A12" s="77"/>
      <c r="B12" s="60"/>
      <c r="C12" s="61"/>
      <c r="D12" s="60" t="s">
        <v>40</v>
      </c>
      <c r="E12" s="59">
        <v>46082</v>
      </c>
      <c r="F12" s="160" t="s">
        <v>212</v>
      </c>
      <c r="G12" s="63" t="s">
        <v>33</v>
      </c>
      <c r="H12" s="64">
        <v>500</v>
      </c>
      <c r="I12" s="65"/>
      <c r="J12" s="65"/>
      <c r="K12" s="65"/>
      <c r="L12" s="65"/>
      <c r="M12" s="65"/>
      <c r="N12" s="61">
        <v>0</v>
      </c>
      <c r="O12" s="81">
        <f t="shared" si="0"/>
        <v>0</v>
      </c>
      <c r="P12" s="81">
        <f t="shared" si="1"/>
        <v>500</v>
      </c>
      <c r="Q12" s="66"/>
      <c r="R12" s="67"/>
      <c r="S12" s="83">
        <f t="shared" si="2"/>
        <v>0</v>
      </c>
    </row>
    <row r="13" spans="1:19" ht="18" customHeight="1" x14ac:dyDescent="0.25">
      <c r="A13" s="78"/>
      <c r="B13" s="69"/>
      <c r="C13" s="70"/>
      <c r="D13" s="69" t="s">
        <v>41</v>
      </c>
      <c r="E13" s="68">
        <v>46083</v>
      </c>
      <c r="F13" s="161" t="s">
        <v>213</v>
      </c>
      <c r="G13" s="72" t="s">
        <v>33</v>
      </c>
      <c r="H13" s="73">
        <v>500</v>
      </c>
      <c r="I13" s="74"/>
      <c r="J13" s="74"/>
      <c r="K13" s="74"/>
      <c r="L13" s="74"/>
      <c r="M13" s="74"/>
      <c r="N13" s="70">
        <v>0</v>
      </c>
      <c r="O13" s="82">
        <f t="shared" si="0"/>
        <v>0</v>
      </c>
      <c r="P13" s="82">
        <f t="shared" si="1"/>
        <v>500</v>
      </c>
      <c r="Q13" s="75"/>
      <c r="R13" s="76"/>
      <c r="S13" s="84">
        <f t="shared" si="2"/>
        <v>0</v>
      </c>
    </row>
    <row r="14" spans="1:19" ht="18" customHeight="1" x14ac:dyDescent="0.25">
      <c r="A14" s="77"/>
      <c r="B14" s="60"/>
      <c r="C14" s="61"/>
      <c r="D14" s="60" t="s">
        <v>42</v>
      </c>
      <c r="E14" s="59">
        <v>46084</v>
      </c>
      <c r="F14" s="160" t="s">
        <v>214</v>
      </c>
      <c r="G14" s="63" t="s">
        <v>33</v>
      </c>
      <c r="H14" s="64">
        <v>1000</v>
      </c>
      <c r="I14" s="65"/>
      <c r="J14" s="65"/>
      <c r="K14" s="65"/>
      <c r="L14" s="65"/>
      <c r="M14" s="65"/>
      <c r="N14" s="61">
        <v>0</v>
      </c>
      <c r="O14" s="81">
        <f t="shared" si="0"/>
        <v>0</v>
      </c>
      <c r="P14" s="81">
        <f t="shared" si="1"/>
        <v>1000</v>
      </c>
      <c r="Q14" s="66"/>
      <c r="R14" s="67"/>
      <c r="S14" s="83">
        <f t="shared" si="2"/>
        <v>0</v>
      </c>
    </row>
    <row r="15" spans="1:19" ht="18" customHeight="1" x14ac:dyDescent="0.25">
      <c r="A15" s="78"/>
      <c r="B15" s="69"/>
      <c r="C15" s="70"/>
      <c r="D15" s="69" t="s">
        <v>43</v>
      </c>
      <c r="E15" s="68">
        <v>46085</v>
      </c>
      <c r="F15" s="161" t="s">
        <v>215</v>
      </c>
      <c r="G15" s="72" t="s">
        <v>44</v>
      </c>
      <c r="H15" s="73"/>
      <c r="I15" s="74"/>
      <c r="J15" s="74"/>
      <c r="K15" s="74"/>
      <c r="L15" s="74"/>
      <c r="M15" s="74"/>
      <c r="N15" s="70">
        <v>200</v>
      </c>
      <c r="O15" s="82">
        <f t="shared" si="0"/>
        <v>0</v>
      </c>
      <c r="P15" s="82">
        <f t="shared" si="1"/>
        <v>0</v>
      </c>
      <c r="Q15" s="75"/>
      <c r="R15" s="76"/>
      <c r="S15" s="84">
        <f t="shared" si="2"/>
        <v>0</v>
      </c>
    </row>
    <row r="16" spans="1:19" ht="18" customHeight="1" x14ac:dyDescent="0.25">
      <c r="A16" s="77"/>
      <c r="B16" s="60"/>
      <c r="C16" s="61"/>
      <c r="D16" s="60" t="s">
        <v>45</v>
      </c>
      <c r="E16" s="59">
        <v>46086</v>
      </c>
      <c r="F16" s="160" t="s">
        <v>216</v>
      </c>
      <c r="G16" s="63" t="s">
        <v>33</v>
      </c>
      <c r="H16" s="64">
        <v>1000</v>
      </c>
      <c r="I16" s="65"/>
      <c r="J16" s="65"/>
      <c r="K16" s="65"/>
      <c r="L16" s="65"/>
      <c r="M16" s="65"/>
      <c r="N16" s="61">
        <v>500</v>
      </c>
      <c r="O16" s="81">
        <f t="shared" si="0"/>
        <v>0</v>
      </c>
      <c r="P16" s="81">
        <f t="shared" si="1"/>
        <v>1000</v>
      </c>
      <c r="Q16" s="66"/>
      <c r="R16" s="67"/>
      <c r="S16" s="83">
        <f t="shared" si="2"/>
        <v>0</v>
      </c>
    </row>
    <row r="17" spans="1:19" ht="18" customHeight="1" x14ac:dyDescent="0.25">
      <c r="A17" s="78"/>
      <c r="B17" s="69"/>
      <c r="C17" s="70"/>
      <c r="D17" s="69" t="s">
        <v>46</v>
      </c>
      <c r="E17" s="68">
        <v>46087</v>
      </c>
      <c r="F17" s="161" t="s">
        <v>217</v>
      </c>
      <c r="G17" s="72" t="s">
        <v>44</v>
      </c>
      <c r="H17" s="73"/>
      <c r="I17" s="74"/>
      <c r="J17" s="74"/>
      <c r="K17" s="74"/>
      <c r="L17" s="74"/>
      <c r="M17" s="74"/>
      <c r="N17" s="70">
        <v>300</v>
      </c>
      <c r="O17" s="82">
        <f t="shared" si="0"/>
        <v>0</v>
      </c>
      <c r="P17" s="82">
        <f t="shared" si="1"/>
        <v>0</v>
      </c>
      <c r="Q17" s="75"/>
      <c r="R17" s="76"/>
      <c r="S17" s="84">
        <f t="shared" si="2"/>
        <v>0</v>
      </c>
    </row>
    <row r="18" spans="1:19" ht="18" customHeight="1" x14ac:dyDescent="0.25">
      <c r="A18" s="77"/>
      <c r="B18" s="60"/>
      <c r="C18" s="61"/>
      <c r="D18" s="60" t="s">
        <v>47</v>
      </c>
      <c r="E18" s="59">
        <v>46088</v>
      </c>
      <c r="F18" s="160" t="s">
        <v>218</v>
      </c>
      <c r="G18" s="63" t="s">
        <v>48</v>
      </c>
      <c r="H18" s="64"/>
      <c r="I18" s="65"/>
      <c r="J18" s="65"/>
      <c r="K18" s="65"/>
      <c r="L18" s="65"/>
      <c r="M18" s="65"/>
      <c r="N18" s="61">
        <v>0</v>
      </c>
      <c r="O18" s="81" t="str">
        <f t="shared" si="0"/>
        <v/>
      </c>
      <c r="P18" s="81" t="str">
        <f t="shared" si="1"/>
        <v/>
      </c>
      <c r="Q18" s="66">
        <v>600</v>
      </c>
      <c r="R18" s="67"/>
      <c r="S18" s="83">
        <f t="shared" si="2"/>
        <v>0</v>
      </c>
    </row>
    <row r="19" spans="1:19" ht="18" customHeight="1" x14ac:dyDescent="0.25">
      <c r="A19" s="78"/>
      <c r="B19" s="69"/>
      <c r="C19" s="70"/>
      <c r="D19" s="69" t="s">
        <v>49</v>
      </c>
      <c r="E19" s="68">
        <v>46089</v>
      </c>
      <c r="F19" s="161" t="s">
        <v>219</v>
      </c>
      <c r="G19" s="72" t="s">
        <v>33</v>
      </c>
      <c r="H19" s="73">
        <v>1000</v>
      </c>
      <c r="I19" s="74"/>
      <c r="J19" s="74"/>
      <c r="K19" s="74"/>
      <c r="L19" s="74"/>
      <c r="M19" s="74"/>
      <c r="N19" s="70">
        <v>0</v>
      </c>
      <c r="O19" s="82">
        <f t="shared" si="0"/>
        <v>0</v>
      </c>
      <c r="P19" s="82">
        <f t="shared" si="1"/>
        <v>1000</v>
      </c>
      <c r="Q19" s="75"/>
      <c r="R19" s="76"/>
      <c r="S19" s="84">
        <f t="shared" si="2"/>
        <v>0</v>
      </c>
    </row>
    <row r="20" spans="1:19" ht="18" customHeight="1" x14ac:dyDescent="0.25">
      <c r="A20" s="77"/>
      <c r="B20" s="60"/>
      <c r="C20" s="61"/>
      <c r="D20" s="60" t="s">
        <v>50</v>
      </c>
      <c r="E20" s="59">
        <v>46090</v>
      </c>
      <c r="F20" s="160" t="s">
        <v>220</v>
      </c>
      <c r="G20" s="63" t="s">
        <v>44</v>
      </c>
      <c r="H20" s="64">
        <v>1000</v>
      </c>
      <c r="I20" s="65"/>
      <c r="J20" s="65">
        <v>100</v>
      </c>
      <c r="K20" s="65"/>
      <c r="L20" s="65"/>
      <c r="M20" s="65"/>
      <c r="N20" s="61">
        <v>400</v>
      </c>
      <c r="O20" s="81">
        <f t="shared" si="0"/>
        <v>100</v>
      </c>
      <c r="P20" s="81">
        <f t="shared" si="1"/>
        <v>900</v>
      </c>
      <c r="Q20" s="66"/>
      <c r="R20" s="67"/>
      <c r="S20" s="83">
        <f t="shared" si="2"/>
        <v>0</v>
      </c>
    </row>
    <row r="21" spans="1:19" ht="18" customHeight="1" x14ac:dyDescent="0.25">
      <c r="A21" s="78"/>
      <c r="B21" s="69"/>
      <c r="C21" s="70"/>
      <c r="D21" s="85" t="s">
        <v>51</v>
      </c>
      <c r="E21" s="68">
        <v>46091</v>
      </c>
      <c r="F21" s="161" t="s">
        <v>36</v>
      </c>
      <c r="G21" s="86" t="s">
        <v>33</v>
      </c>
      <c r="H21" s="73">
        <v>1500</v>
      </c>
      <c r="I21" s="74">
        <v>300</v>
      </c>
      <c r="J21" s="74"/>
      <c r="K21" s="74"/>
      <c r="L21" s="74"/>
      <c r="M21" s="74"/>
      <c r="N21" s="70">
        <v>1000</v>
      </c>
      <c r="O21" s="82">
        <f t="shared" si="0"/>
        <v>300</v>
      </c>
      <c r="P21" s="82">
        <f t="shared" si="1"/>
        <v>1200</v>
      </c>
      <c r="Q21" s="75"/>
      <c r="R21" s="76"/>
      <c r="S21" s="84">
        <f t="shared" si="2"/>
        <v>0</v>
      </c>
    </row>
    <row r="22" spans="1:19" ht="18" customHeight="1" x14ac:dyDescent="0.25">
      <c r="A22" s="77"/>
      <c r="B22" s="60"/>
      <c r="C22" s="61"/>
      <c r="D22" s="60" t="s">
        <v>52</v>
      </c>
      <c r="E22" s="59">
        <v>46092</v>
      </c>
      <c r="F22" s="160" t="s">
        <v>221</v>
      </c>
      <c r="G22" s="63" t="s">
        <v>48</v>
      </c>
      <c r="H22" s="64"/>
      <c r="I22" s="65"/>
      <c r="J22" s="65"/>
      <c r="K22" s="65"/>
      <c r="L22" s="65"/>
      <c r="M22" s="65"/>
      <c r="N22" s="61">
        <v>0</v>
      </c>
      <c r="O22" s="81" t="str">
        <f t="shared" si="0"/>
        <v/>
      </c>
      <c r="P22" s="81" t="str">
        <f t="shared" si="1"/>
        <v/>
      </c>
      <c r="Q22" s="66">
        <v>2000</v>
      </c>
      <c r="R22" s="67"/>
      <c r="S22" s="83">
        <f t="shared" si="2"/>
        <v>0</v>
      </c>
    </row>
    <row r="23" spans="1:19" ht="18" customHeight="1" x14ac:dyDescent="0.25">
      <c r="A23" s="78"/>
      <c r="B23" s="69"/>
      <c r="C23" s="70"/>
      <c r="D23" s="69" t="s">
        <v>53</v>
      </c>
      <c r="E23" s="68">
        <v>46093</v>
      </c>
      <c r="F23" s="161" t="s">
        <v>222</v>
      </c>
      <c r="G23" s="72" t="s">
        <v>33</v>
      </c>
      <c r="H23" s="73">
        <v>500</v>
      </c>
      <c r="I23" s="74"/>
      <c r="J23" s="74"/>
      <c r="K23" s="74"/>
      <c r="L23" s="74"/>
      <c r="M23" s="74"/>
      <c r="N23" s="70">
        <v>0</v>
      </c>
      <c r="O23" s="82">
        <f t="shared" si="0"/>
        <v>0</v>
      </c>
      <c r="P23" s="82">
        <f t="shared" si="1"/>
        <v>500</v>
      </c>
      <c r="Q23" s="75"/>
      <c r="R23" s="76"/>
      <c r="S23" s="84">
        <f t="shared" si="2"/>
        <v>0</v>
      </c>
    </row>
    <row r="24" spans="1:19" ht="18" customHeight="1" x14ac:dyDescent="0.25">
      <c r="A24" s="77"/>
      <c r="B24" s="60"/>
      <c r="C24" s="61"/>
      <c r="D24" s="60" t="s">
        <v>54</v>
      </c>
      <c r="E24" s="59">
        <v>46094</v>
      </c>
      <c r="F24" s="160" t="s">
        <v>223</v>
      </c>
      <c r="G24" s="63" t="s">
        <v>33</v>
      </c>
      <c r="H24" s="64">
        <v>122</v>
      </c>
      <c r="I24" s="65"/>
      <c r="J24" s="65"/>
      <c r="K24" s="65"/>
      <c r="L24" s="65"/>
      <c r="M24" s="65"/>
      <c r="N24" s="61">
        <v>0</v>
      </c>
      <c r="O24" s="81">
        <f t="shared" si="0"/>
        <v>0</v>
      </c>
      <c r="P24" s="81">
        <f t="shared" si="1"/>
        <v>122</v>
      </c>
      <c r="Q24" s="66"/>
      <c r="R24" s="67"/>
      <c r="S24" s="83">
        <f t="shared" si="2"/>
        <v>0</v>
      </c>
    </row>
    <row r="25" spans="1:19" ht="18" customHeight="1" x14ac:dyDescent="0.25">
      <c r="A25" s="78"/>
      <c r="B25" s="69"/>
      <c r="C25" s="70"/>
      <c r="D25" s="69" t="s">
        <v>54</v>
      </c>
      <c r="E25" s="68">
        <v>46094</v>
      </c>
      <c r="F25" s="161" t="s">
        <v>224</v>
      </c>
      <c r="G25" s="72" t="s">
        <v>33</v>
      </c>
      <c r="H25" s="73">
        <v>123</v>
      </c>
      <c r="I25" s="74"/>
      <c r="J25" s="74"/>
      <c r="K25" s="74"/>
      <c r="L25" s="74"/>
      <c r="M25" s="74"/>
      <c r="N25" s="70"/>
      <c r="O25" s="82">
        <f t="shared" si="0"/>
        <v>0</v>
      </c>
      <c r="P25" s="82">
        <f t="shared" si="1"/>
        <v>123</v>
      </c>
      <c r="Q25" s="75"/>
      <c r="R25" s="76"/>
      <c r="S25" s="84">
        <f t="shared" si="2"/>
        <v>0</v>
      </c>
    </row>
    <row r="26" spans="1:19" ht="18" customHeight="1" x14ac:dyDescent="0.25">
      <c r="A26" s="77"/>
      <c r="B26" s="60"/>
      <c r="C26" s="61"/>
      <c r="D26" s="60" t="s">
        <v>55</v>
      </c>
      <c r="E26" s="59">
        <v>46095</v>
      </c>
      <c r="F26" s="160" t="s">
        <v>225</v>
      </c>
      <c r="G26" s="63" t="s">
        <v>33</v>
      </c>
      <c r="H26" s="64">
        <v>124</v>
      </c>
      <c r="I26" s="65"/>
      <c r="J26" s="65"/>
      <c r="K26" s="65"/>
      <c r="L26" s="65"/>
      <c r="M26" s="65"/>
      <c r="N26" s="61"/>
      <c r="O26" s="81">
        <f t="shared" si="0"/>
        <v>0</v>
      </c>
      <c r="P26" s="81">
        <f t="shared" si="1"/>
        <v>124</v>
      </c>
      <c r="Q26" s="66"/>
      <c r="R26" s="67"/>
      <c r="S26" s="83">
        <f t="shared" si="2"/>
        <v>0</v>
      </c>
    </row>
    <row r="27" spans="1:19" ht="18" customHeight="1" x14ac:dyDescent="0.25">
      <c r="A27" s="78"/>
      <c r="B27" s="69"/>
      <c r="C27" s="70"/>
      <c r="D27" s="69" t="s">
        <v>56</v>
      </c>
      <c r="E27" s="68">
        <v>46096</v>
      </c>
      <c r="F27" s="161" t="s">
        <v>226</v>
      </c>
      <c r="G27" s="72" t="s">
        <v>33</v>
      </c>
      <c r="H27" s="73">
        <v>125</v>
      </c>
      <c r="I27" s="74"/>
      <c r="J27" s="74"/>
      <c r="K27" s="74"/>
      <c r="L27" s="74"/>
      <c r="M27" s="74"/>
      <c r="N27" s="70"/>
      <c r="O27" s="82">
        <f t="shared" si="0"/>
        <v>0</v>
      </c>
      <c r="P27" s="82">
        <f t="shared" si="1"/>
        <v>125</v>
      </c>
      <c r="Q27" s="75"/>
      <c r="R27" s="76"/>
      <c r="S27" s="84">
        <f t="shared" si="2"/>
        <v>0</v>
      </c>
    </row>
    <row r="28" spans="1:19" ht="18" customHeight="1" x14ac:dyDescent="0.25">
      <c r="A28" s="77"/>
      <c r="B28" s="60"/>
      <c r="C28" s="61"/>
      <c r="D28" s="60" t="s">
        <v>57</v>
      </c>
      <c r="E28" s="59">
        <v>46097</v>
      </c>
      <c r="F28" s="160" t="s">
        <v>227</v>
      </c>
      <c r="G28" s="63" t="s">
        <v>33</v>
      </c>
      <c r="H28" s="64">
        <v>126</v>
      </c>
      <c r="I28" s="65"/>
      <c r="J28" s="65"/>
      <c r="K28" s="65"/>
      <c r="L28" s="65"/>
      <c r="M28" s="65"/>
      <c r="N28" s="61">
        <v>0</v>
      </c>
      <c r="O28" s="81">
        <f t="shared" si="0"/>
        <v>0</v>
      </c>
      <c r="P28" s="81">
        <f t="shared" si="1"/>
        <v>126</v>
      </c>
      <c r="Q28" s="66"/>
      <c r="R28" s="67"/>
      <c r="S28" s="83">
        <f t="shared" si="2"/>
        <v>0</v>
      </c>
    </row>
    <row r="29" spans="1:19" ht="18" customHeight="1" x14ac:dyDescent="0.25">
      <c r="A29" s="78"/>
      <c r="B29" s="69"/>
      <c r="C29" s="70"/>
      <c r="D29" s="69" t="s">
        <v>58</v>
      </c>
      <c r="E29" s="68">
        <v>46098</v>
      </c>
      <c r="F29" s="161" t="s">
        <v>228</v>
      </c>
      <c r="G29" s="72" t="s">
        <v>33</v>
      </c>
      <c r="H29" s="73">
        <v>127</v>
      </c>
      <c r="I29" s="74"/>
      <c r="J29" s="74"/>
      <c r="K29" s="74"/>
      <c r="L29" s="74"/>
      <c r="M29" s="74"/>
      <c r="N29" s="70"/>
      <c r="O29" s="82">
        <f t="shared" si="0"/>
        <v>0</v>
      </c>
      <c r="P29" s="82">
        <f t="shared" si="1"/>
        <v>127</v>
      </c>
      <c r="Q29" s="75"/>
      <c r="R29" s="76"/>
      <c r="S29" s="84">
        <f t="shared" si="2"/>
        <v>0</v>
      </c>
    </row>
    <row r="30" spans="1:19" ht="18" customHeight="1" x14ac:dyDescent="0.25">
      <c r="A30" s="59"/>
      <c r="B30" s="60"/>
      <c r="D30" s="60" t="s">
        <v>232</v>
      </c>
      <c r="E30" s="59">
        <v>46099</v>
      </c>
      <c r="F30" s="160" t="s">
        <v>229</v>
      </c>
      <c r="G30" s="63" t="s">
        <v>33</v>
      </c>
      <c r="H30" s="64">
        <v>1000</v>
      </c>
      <c r="I30" s="65">
        <v>100</v>
      </c>
      <c r="J30" s="65">
        <v>100</v>
      </c>
      <c r="K30" s="65">
        <v>100</v>
      </c>
      <c r="L30" s="65"/>
      <c r="M30" s="65"/>
      <c r="N30" s="65">
        <v>1000</v>
      </c>
      <c r="O30" s="81">
        <f t="shared" si="0"/>
        <v>300</v>
      </c>
      <c r="P30" s="81">
        <f t="shared" si="1"/>
        <v>700</v>
      </c>
      <c r="Q30" s="65"/>
      <c r="R30" s="67"/>
      <c r="S30" s="83">
        <f t="shared" si="2"/>
        <v>0</v>
      </c>
    </row>
    <row r="31" spans="1:19" ht="18" customHeight="1" x14ac:dyDescent="0.25">
      <c r="A31" s="68"/>
      <c r="B31" s="69"/>
      <c r="C31" s="65"/>
      <c r="D31" s="60" t="s">
        <v>233</v>
      </c>
      <c r="E31" s="59">
        <v>46100</v>
      </c>
      <c r="F31" s="161" t="s">
        <v>230</v>
      </c>
      <c r="G31" s="72" t="s">
        <v>48</v>
      </c>
      <c r="H31" s="73"/>
      <c r="I31" s="74">
        <v>10</v>
      </c>
      <c r="J31" s="74">
        <v>20</v>
      </c>
      <c r="K31" s="74">
        <v>30</v>
      </c>
      <c r="L31" s="74">
        <v>15</v>
      </c>
      <c r="M31" s="74">
        <v>40</v>
      </c>
      <c r="N31" s="74">
        <v>500</v>
      </c>
      <c r="O31" s="82" t="str">
        <f t="shared" si="0"/>
        <v/>
      </c>
      <c r="P31" s="82" t="str">
        <f t="shared" si="1"/>
        <v/>
      </c>
      <c r="Q31" s="74">
        <v>1000</v>
      </c>
      <c r="R31" s="76">
        <v>100</v>
      </c>
      <c r="S31" s="84">
        <f t="shared" si="2"/>
        <v>0</v>
      </c>
    </row>
    <row r="32" spans="1:19" ht="18" customHeight="1" x14ac:dyDescent="0.25">
      <c r="A32" s="59"/>
      <c r="B32" s="60"/>
      <c r="C32" s="65"/>
      <c r="D32" s="60"/>
      <c r="E32" s="59"/>
      <c r="F32" s="160"/>
      <c r="G32" s="63"/>
      <c r="H32" s="64"/>
      <c r="I32" s="65"/>
      <c r="J32" s="65"/>
      <c r="K32" s="65"/>
      <c r="L32" s="65"/>
      <c r="M32" s="65"/>
      <c r="N32" s="65"/>
      <c r="O32" s="81">
        <f t="shared" si="0"/>
        <v>0</v>
      </c>
      <c r="P32" s="81">
        <f t="shared" si="1"/>
        <v>0</v>
      </c>
      <c r="Q32" s="65"/>
      <c r="R32" s="67"/>
      <c r="S32" s="83">
        <f t="shared" si="2"/>
        <v>0</v>
      </c>
    </row>
    <row r="33" spans="1:19" ht="18" customHeight="1" x14ac:dyDescent="0.25">
      <c r="A33" s="59"/>
      <c r="B33" s="60"/>
      <c r="C33" s="65"/>
      <c r="D33" s="60"/>
      <c r="E33" s="59"/>
      <c r="F33" s="160"/>
      <c r="G33" s="63"/>
      <c r="H33" s="64"/>
      <c r="I33" s="65"/>
      <c r="J33" s="65"/>
      <c r="K33" s="65"/>
      <c r="L33" s="65"/>
      <c r="M33" s="65"/>
      <c r="N33" s="65"/>
      <c r="O33" s="81">
        <f t="shared" si="0"/>
        <v>0</v>
      </c>
      <c r="P33" s="81">
        <f t="shared" si="1"/>
        <v>0</v>
      </c>
      <c r="Q33" s="65"/>
      <c r="R33" s="67"/>
      <c r="S33" s="83">
        <f t="shared" si="2"/>
        <v>0</v>
      </c>
    </row>
    <row r="34" spans="1:19" ht="18" customHeight="1" x14ac:dyDescent="0.25">
      <c r="A34" s="68"/>
      <c r="B34" s="69"/>
      <c r="C34" s="74"/>
      <c r="D34" s="69"/>
      <c r="E34" s="68"/>
      <c r="F34" s="161"/>
      <c r="G34" s="72"/>
      <c r="H34" s="73"/>
      <c r="I34" s="74"/>
      <c r="J34" s="74"/>
      <c r="K34" s="74"/>
      <c r="L34" s="74"/>
      <c r="M34" s="74"/>
      <c r="N34" s="74"/>
      <c r="O34" s="82">
        <f t="shared" si="0"/>
        <v>0</v>
      </c>
      <c r="P34" s="82">
        <f t="shared" si="1"/>
        <v>0</v>
      </c>
      <c r="Q34" s="74"/>
      <c r="R34" s="76"/>
      <c r="S34" s="84">
        <f t="shared" si="2"/>
        <v>0</v>
      </c>
    </row>
    <row r="35" spans="1:19" ht="18" customHeight="1" x14ac:dyDescent="0.25">
      <c r="A35" s="59"/>
      <c r="B35" s="60"/>
      <c r="C35" s="65"/>
      <c r="D35" s="60"/>
      <c r="E35" s="59"/>
      <c r="F35" s="160"/>
      <c r="G35" s="63"/>
      <c r="H35" s="64"/>
      <c r="I35" s="65"/>
      <c r="J35" s="65"/>
      <c r="K35" s="65"/>
      <c r="L35" s="65"/>
      <c r="M35" s="65"/>
      <c r="N35" s="65"/>
      <c r="O35" s="81">
        <f t="shared" si="0"/>
        <v>0</v>
      </c>
      <c r="P35" s="81">
        <f t="shared" si="1"/>
        <v>0</v>
      </c>
      <c r="Q35" s="65"/>
      <c r="R35" s="67"/>
      <c r="S35" s="83">
        <f t="shared" si="2"/>
        <v>0</v>
      </c>
    </row>
    <row r="36" spans="1:19" ht="18" customHeight="1" x14ac:dyDescent="0.25">
      <c r="A36" s="68"/>
      <c r="B36" s="69"/>
      <c r="C36" s="74"/>
      <c r="D36" s="69"/>
      <c r="E36" s="68"/>
      <c r="F36" s="161"/>
      <c r="G36" s="72"/>
      <c r="H36" s="73"/>
      <c r="I36" s="74"/>
      <c r="J36" s="74"/>
      <c r="K36" s="74"/>
      <c r="L36" s="74"/>
      <c r="M36" s="74"/>
      <c r="N36" s="74"/>
      <c r="O36" s="82">
        <f t="shared" si="0"/>
        <v>0</v>
      </c>
      <c r="P36" s="82">
        <f t="shared" si="1"/>
        <v>0</v>
      </c>
      <c r="Q36" s="74"/>
      <c r="R36" s="76"/>
      <c r="S36" s="84">
        <f t="shared" si="2"/>
        <v>0</v>
      </c>
    </row>
    <row r="37" spans="1:19" ht="18" customHeight="1" x14ac:dyDescent="0.25">
      <c r="A37" s="59"/>
      <c r="B37" s="60"/>
      <c r="C37" s="65"/>
      <c r="D37" s="60"/>
      <c r="E37" s="59"/>
      <c r="F37" s="160"/>
      <c r="G37" s="63"/>
      <c r="H37" s="64"/>
      <c r="I37" s="65"/>
      <c r="J37" s="65"/>
      <c r="K37" s="65"/>
      <c r="L37" s="65"/>
      <c r="M37" s="65"/>
      <c r="N37" s="65"/>
      <c r="O37" s="81">
        <f t="shared" si="0"/>
        <v>0</v>
      </c>
      <c r="P37" s="81">
        <f t="shared" si="1"/>
        <v>0</v>
      </c>
      <c r="Q37" s="65"/>
      <c r="R37" s="67"/>
      <c r="S37" s="83">
        <f t="shared" si="2"/>
        <v>0</v>
      </c>
    </row>
    <row r="38" spans="1:19" ht="18" customHeight="1" x14ac:dyDescent="0.25">
      <c r="A38" s="68"/>
      <c r="B38" s="69"/>
      <c r="C38" s="74"/>
      <c r="D38" s="69"/>
      <c r="E38" s="68"/>
      <c r="F38" s="71"/>
      <c r="G38" s="72"/>
      <c r="H38" s="73"/>
      <c r="I38" s="74"/>
      <c r="J38" s="74"/>
      <c r="K38" s="74"/>
      <c r="L38" s="74"/>
      <c r="M38" s="74"/>
      <c r="N38" s="74"/>
      <c r="O38" s="82">
        <f t="shared" si="0"/>
        <v>0</v>
      </c>
      <c r="P38" s="82">
        <f t="shared" si="1"/>
        <v>0</v>
      </c>
      <c r="Q38" s="74"/>
      <c r="R38" s="76"/>
      <c r="S38" s="84">
        <f t="shared" si="2"/>
        <v>0</v>
      </c>
    </row>
    <row r="39" spans="1:19" ht="18" customHeight="1" x14ac:dyDescent="0.25">
      <c r="A39" s="59"/>
      <c r="B39" s="60"/>
      <c r="C39" s="65"/>
      <c r="D39" s="60"/>
      <c r="E39" s="59"/>
      <c r="F39" s="62"/>
      <c r="G39" s="63"/>
      <c r="H39" s="64"/>
      <c r="I39" s="65"/>
      <c r="J39" s="65"/>
      <c r="K39" s="65"/>
      <c r="L39" s="65"/>
      <c r="M39" s="65"/>
      <c r="N39" s="65"/>
      <c r="O39" s="81">
        <f t="shared" si="0"/>
        <v>0</v>
      </c>
      <c r="P39" s="81">
        <f t="shared" si="1"/>
        <v>0</v>
      </c>
      <c r="Q39" s="65"/>
      <c r="R39" s="67"/>
      <c r="S39" s="83">
        <f t="shared" si="2"/>
        <v>0</v>
      </c>
    </row>
    <row r="40" spans="1:19" ht="18" customHeight="1" x14ac:dyDescent="0.25">
      <c r="A40" s="68"/>
      <c r="B40" s="69"/>
      <c r="C40" s="74"/>
      <c r="D40" s="69"/>
      <c r="E40" s="68"/>
      <c r="F40" s="71"/>
      <c r="G40" s="72"/>
      <c r="H40" s="73"/>
      <c r="I40" s="74"/>
      <c r="J40" s="74"/>
      <c r="K40" s="74"/>
      <c r="L40" s="74"/>
      <c r="M40" s="74"/>
      <c r="N40" s="74"/>
      <c r="O40" s="82">
        <f t="shared" si="0"/>
        <v>0</v>
      </c>
      <c r="P40" s="82">
        <f t="shared" si="1"/>
        <v>0</v>
      </c>
      <c r="Q40" s="74"/>
      <c r="R40" s="76"/>
      <c r="S40" s="84">
        <f t="shared" si="2"/>
        <v>0</v>
      </c>
    </row>
    <row r="41" spans="1:19" ht="18" customHeight="1" x14ac:dyDescent="0.25">
      <c r="A41" s="59"/>
      <c r="B41" s="60"/>
      <c r="C41" s="65"/>
      <c r="D41" s="60"/>
      <c r="E41" s="59"/>
      <c r="F41" s="62"/>
      <c r="G41" s="63"/>
      <c r="H41" s="64"/>
      <c r="I41" s="65"/>
      <c r="J41" s="65"/>
      <c r="K41" s="65"/>
      <c r="L41" s="65"/>
      <c r="M41" s="65"/>
      <c r="N41" s="65"/>
      <c r="O41" s="81">
        <f t="shared" si="0"/>
        <v>0</v>
      </c>
      <c r="P41" s="81">
        <f t="shared" si="1"/>
        <v>0</v>
      </c>
      <c r="Q41" s="65"/>
      <c r="R41" s="67"/>
      <c r="S41" s="83">
        <f t="shared" si="2"/>
        <v>0</v>
      </c>
    </row>
    <row r="42" spans="1:19" ht="18" customHeight="1" x14ac:dyDescent="0.25">
      <c r="A42" s="68"/>
      <c r="B42" s="69"/>
      <c r="C42" s="74"/>
      <c r="D42" s="69"/>
      <c r="E42" s="68"/>
      <c r="F42" s="71"/>
      <c r="G42" s="72"/>
      <c r="H42" s="73"/>
      <c r="I42" s="74"/>
      <c r="J42" s="74"/>
      <c r="K42" s="74"/>
      <c r="L42" s="74"/>
      <c r="M42" s="74"/>
      <c r="N42" s="74"/>
      <c r="O42" s="82">
        <f t="shared" si="0"/>
        <v>0</v>
      </c>
      <c r="P42" s="82">
        <f t="shared" si="1"/>
        <v>0</v>
      </c>
      <c r="Q42" s="74"/>
      <c r="R42" s="76"/>
      <c r="S42" s="84">
        <f t="shared" si="2"/>
        <v>0</v>
      </c>
    </row>
    <row r="43" spans="1:19" ht="18" customHeight="1" x14ac:dyDescent="0.25">
      <c r="A43" s="59"/>
      <c r="B43" s="60"/>
      <c r="C43" s="65"/>
      <c r="D43" s="60"/>
      <c r="E43" s="59"/>
      <c r="F43" s="62"/>
      <c r="G43" s="63"/>
      <c r="H43" s="64"/>
      <c r="I43" s="65"/>
      <c r="J43" s="65"/>
      <c r="K43" s="65"/>
      <c r="L43" s="65"/>
      <c r="M43" s="65"/>
      <c r="N43" s="65"/>
      <c r="O43" s="81">
        <f t="shared" si="0"/>
        <v>0</v>
      </c>
      <c r="P43" s="81">
        <f t="shared" si="1"/>
        <v>0</v>
      </c>
      <c r="Q43" s="65"/>
      <c r="R43" s="67"/>
      <c r="S43" s="83">
        <f t="shared" si="2"/>
        <v>0</v>
      </c>
    </row>
    <row r="44" spans="1:19" ht="18" customHeight="1" x14ac:dyDescent="0.25">
      <c r="A44" s="68"/>
      <c r="B44" s="69"/>
      <c r="C44" s="74"/>
      <c r="D44" s="69"/>
      <c r="E44" s="68"/>
      <c r="F44" s="71"/>
      <c r="G44" s="72"/>
      <c r="H44" s="73"/>
      <c r="I44" s="74"/>
      <c r="J44" s="74"/>
      <c r="K44" s="74"/>
      <c r="L44" s="74"/>
      <c r="M44" s="74"/>
      <c r="N44" s="74"/>
      <c r="O44" s="82">
        <f t="shared" si="0"/>
        <v>0</v>
      </c>
      <c r="P44" s="82">
        <f t="shared" si="1"/>
        <v>0</v>
      </c>
      <c r="Q44" s="74"/>
      <c r="R44" s="76"/>
      <c r="S44" s="84">
        <f t="shared" si="2"/>
        <v>0</v>
      </c>
    </row>
    <row r="45" spans="1:19" ht="18" customHeight="1" x14ac:dyDescent="0.25">
      <c r="A45" s="59"/>
      <c r="B45" s="60"/>
      <c r="C45" s="65"/>
      <c r="D45" s="60"/>
      <c r="E45" s="59"/>
      <c r="F45" s="62"/>
      <c r="G45" s="63"/>
      <c r="H45" s="64"/>
      <c r="I45" s="65"/>
      <c r="J45" s="65"/>
      <c r="K45" s="65"/>
      <c r="L45" s="65"/>
      <c r="M45" s="65"/>
      <c r="N45" s="65"/>
      <c r="O45" s="81">
        <f t="shared" si="0"/>
        <v>0</v>
      </c>
      <c r="P45" s="81">
        <f t="shared" si="1"/>
        <v>0</v>
      </c>
      <c r="Q45" s="65"/>
      <c r="R45" s="67"/>
      <c r="S45" s="83">
        <f t="shared" si="2"/>
        <v>0</v>
      </c>
    </row>
    <row r="46" spans="1:19" ht="18" customHeight="1" x14ac:dyDescent="0.25">
      <c r="A46" s="68"/>
      <c r="B46" s="69"/>
      <c r="C46" s="74"/>
      <c r="D46" s="69"/>
      <c r="E46" s="68"/>
      <c r="F46" s="71"/>
      <c r="G46" s="72"/>
      <c r="H46" s="73"/>
      <c r="I46" s="74"/>
      <c r="J46" s="74"/>
      <c r="K46" s="74"/>
      <c r="L46" s="74"/>
      <c r="M46" s="74"/>
      <c r="N46" s="74"/>
      <c r="O46" s="82">
        <f t="shared" si="0"/>
        <v>0</v>
      </c>
      <c r="P46" s="82">
        <f t="shared" si="1"/>
        <v>0</v>
      </c>
      <c r="Q46" s="74"/>
      <c r="R46" s="76"/>
      <c r="S46" s="84">
        <f t="shared" si="2"/>
        <v>0</v>
      </c>
    </row>
    <row r="47" spans="1:19" ht="18" customHeight="1" x14ac:dyDescent="0.25">
      <c r="A47" s="59"/>
      <c r="B47" s="60"/>
      <c r="C47" s="65"/>
      <c r="D47" s="60"/>
      <c r="E47" s="59"/>
      <c r="F47" s="62"/>
      <c r="G47" s="63"/>
      <c r="H47" s="64"/>
      <c r="I47" s="65"/>
      <c r="J47" s="65"/>
      <c r="K47" s="65"/>
      <c r="L47" s="65"/>
      <c r="M47" s="65"/>
      <c r="N47" s="65"/>
      <c r="O47" s="81">
        <f t="shared" si="0"/>
        <v>0</v>
      </c>
      <c r="P47" s="81">
        <f t="shared" si="1"/>
        <v>0</v>
      </c>
      <c r="Q47" s="65"/>
      <c r="R47" s="67"/>
      <c r="S47" s="83">
        <f t="shared" si="2"/>
        <v>0</v>
      </c>
    </row>
    <row r="48" spans="1:19" ht="18" customHeight="1" x14ac:dyDescent="0.25">
      <c r="A48" s="68"/>
      <c r="B48" s="69"/>
      <c r="C48" s="74"/>
      <c r="D48" s="69"/>
      <c r="E48" s="68"/>
      <c r="F48" s="71"/>
      <c r="G48" s="72"/>
      <c r="H48" s="73"/>
      <c r="I48" s="74"/>
      <c r="J48" s="74"/>
      <c r="K48" s="74"/>
      <c r="L48" s="74"/>
      <c r="M48" s="74"/>
      <c r="N48" s="74"/>
      <c r="O48" s="82">
        <f t="shared" si="0"/>
        <v>0</v>
      </c>
      <c r="P48" s="82">
        <f t="shared" si="1"/>
        <v>0</v>
      </c>
      <c r="Q48" s="74"/>
      <c r="R48" s="76"/>
      <c r="S48" s="84">
        <f t="shared" si="2"/>
        <v>0</v>
      </c>
    </row>
    <row r="49" spans="1:19" ht="18" customHeight="1" x14ac:dyDescent="0.25">
      <c r="A49" s="59"/>
      <c r="B49" s="60"/>
      <c r="C49" s="65"/>
      <c r="D49" s="60"/>
      <c r="E49" s="59"/>
      <c r="F49" s="62"/>
      <c r="G49" s="63"/>
      <c r="H49" s="64"/>
      <c r="I49" s="65"/>
      <c r="J49" s="65"/>
      <c r="K49" s="65"/>
      <c r="L49" s="65"/>
      <c r="M49" s="65"/>
      <c r="N49" s="65"/>
      <c r="O49" s="81">
        <f t="shared" si="0"/>
        <v>0</v>
      </c>
      <c r="P49" s="81">
        <f t="shared" si="1"/>
        <v>0</v>
      </c>
      <c r="Q49" s="65"/>
      <c r="R49" s="67"/>
      <c r="S49" s="83">
        <f t="shared" si="2"/>
        <v>0</v>
      </c>
    </row>
    <row r="50" spans="1:19" ht="18" customHeight="1" x14ac:dyDescent="0.25">
      <c r="A50" s="68"/>
      <c r="B50" s="69"/>
      <c r="C50" s="74"/>
      <c r="D50" s="69"/>
      <c r="E50" s="68"/>
      <c r="F50" s="71"/>
      <c r="G50" s="72"/>
      <c r="H50" s="73"/>
      <c r="I50" s="74"/>
      <c r="J50" s="74"/>
      <c r="K50" s="74"/>
      <c r="L50" s="74"/>
      <c r="M50" s="74"/>
      <c r="N50" s="74"/>
      <c r="O50" s="82">
        <f t="shared" si="0"/>
        <v>0</v>
      </c>
      <c r="P50" s="82">
        <f t="shared" si="1"/>
        <v>0</v>
      </c>
      <c r="Q50" s="74"/>
      <c r="R50" s="76"/>
      <c r="S50" s="84">
        <f t="shared" si="2"/>
        <v>0</v>
      </c>
    </row>
    <row r="51" spans="1:19" ht="18" customHeight="1" x14ac:dyDescent="0.25">
      <c r="A51" s="59"/>
      <c r="B51" s="60"/>
      <c r="C51" s="65"/>
      <c r="D51" s="60"/>
      <c r="E51" s="59"/>
      <c r="F51" s="62"/>
      <c r="G51" s="63"/>
      <c r="H51" s="64"/>
      <c r="I51" s="65"/>
      <c r="J51" s="65"/>
      <c r="K51" s="65"/>
      <c r="L51" s="65"/>
      <c r="M51" s="65"/>
      <c r="N51" s="65"/>
      <c r="O51" s="81">
        <f t="shared" si="0"/>
        <v>0</v>
      </c>
      <c r="P51" s="81">
        <f t="shared" si="1"/>
        <v>0</v>
      </c>
      <c r="Q51" s="65"/>
      <c r="R51" s="67"/>
      <c r="S51" s="83">
        <f t="shared" si="2"/>
        <v>0</v>
      </c>
    </row>
    <row r="52" spans="1:19" ht="18" customHeight="1" x14ac:dyDescent="0.25">
      <c r="A52" s="68"/>
      <c r="B52" s="69"/>
      <c r="C52" s="74"/>
      <c r="D52" s="69"/>
      <c r="E52" s="68"/>
      <c r="F52" s="71"/>
      <c r="G52" s="72"/>
      <c r="H52" s="73"/>
      <c r="I52" s="74"/>
      <c r="J52" s="74"/>
      <c r="K52" s="74"/>
      <c r="L52" s="74"/>
      <c r="M52" s="74"/>
      <c r="N52" s="74"/>
      <c r="O52" s="82">
        <f t="shared" si="0"/>
        <v>0</v>
      </c>
      <c r="P52" s="82">
        <f t="shared" si="1"/>
        <v>0</v>
      </c>
      <c r="Q52" s="74"/>
      <c r="R52" s="76"/>
      <c r="S52" s="84">
        <f t="shared" si="2"/>
        <v>0</v>
      </c>
    </row>
    <row r="53" spans="1:19" ht="18" customHeight="1" x14ac:dyDescent="0.25">
      <c r="A53" s="59"/>
      <c r="B53" s="60"/>
      <c r="C53" s="65"/>
      <c r="D53" s="60"/>
      <c r="E53" s="59"/>
      <c r="F53" s="62"/>
      <c r="G53" s="63"/>
      <c r="H53" s="64"/>
      <c r="I53" s="65"/>
      <c r="J53" s="65"/>
      <c r="K53" s="65"/>
      <c r="L53" s="65"/>
      <c r="M53" s="65"/>
      <c r="N53" s="65"/>
      <c r="O53" s="81">
        <f t="shared" si="0"/>
        <v>0</v>
      </c>
      <c r="P53" s="81">
        <f t="shared" si="1"/>
        <v>0</v>
      </c>
      <c r="Q53" s="65"/>
      <c r="R53" s="67"/>
      <c r="S53" s="83">
        <f t="shared" si="2"/>
        <v>0</v>
      </c>
    </row>
    <row r="54" spans="1:19" ht="18" customHeight="1" x14ac:dyDescent="0.25">
      <c r="A54" s="68"/>
      <c r="B54" s="69"/>
      <c r="C54" s="74"/>
      <c r="D54" s="69"/>
      <c r="E54" s="68"/>
      <c r="F54" s="71"/>
      <c r="G54" s="72"/>
      <c r="H54" s="73"/>
      <c r="I54" s="74"/>
      <c r="J54" s="74"/>
      <c r="K54" s="74"/>
      <c r="L54" s="74"/>
      <c r="M54" s="74"/>
      <c r="N54" s="74"/>
      <c r="O54" s="82">
        <f t="shared" si="0"/>
        <v>0</v>
      </c>
      <c r="P54" s="82">
        <f t="shared" si="1"/>
        <v>0</v>
      </c>
      <c r="Q54" s="74"/>
      <c r="R54" s="76"/>
      <c r="S54" s="84">
        <f t="shared" si="2"/>
        <v>0</v>
      </c>
    </row>
    <row r="55" spans="1:19" ht="18" customHeight="1" x14ac:dyDescent="0.25">
      <c r="A55" s="59"/>
      <c r="B55" s="60"/>
      <c r="C55" s="65"/>
      <c r="D55" s="60"/>
      <c r="E55" s="59"/>
      <c r="F55" s="62"/>
      <c r="G55" s="63"/>
      <c r="H55" s="64"/>
      <c r="I55" s="65"/>
      <c r="J55" s="65"/>
      <c r="K55" s="65"/>
      <c r="L55" s="65"/>
      <c r="M55" s="65"/>
      <c r="N55" s="65"/>
      <c r="O55" s="81">
        <f t="shared" si="0"/>
        <v>0</v>
      </c>
      <c r="P55" s="81">
        <f t="shared" si="1"/>
        <v>0</v>
      </c>
      <c r="Q55" s="65"/>
      <c r="R55" s="67"/>
      <c r="S55" s="83">
        <f t="shared" si="2"/>
        <v>0</v>
      </c>
    </row>
    <row r="56" spans="1:19" ht="18" customHeight="1" x14ac:dyDescent="0.25">
      <c r="A56" s="68"/>
      <c r="B56" s="69"/>
      <c r="C56" s="74"/>
      <c r="D56" s="69"/>
      <c r="E56" s="68"/>
      <c r="F56" s="71"/>
      <c r="G56" s="72"/>
      <c r="H56" s="73"/>
      <c r="I56" s="74"/>
      <c r="J56" s="74"/>
      <c r="K56" s="74"/>
      <c r="L56" s="74"/>
      <c r="M56" s="74"/>
      <c r="N56" s="74"/>
      <c r="O56" s="82">
        <f t="shared" si="0"/>
        <v>0</v>
      </c>
      <c r="P56" s="82">
        <f t="shared" si="1"/>
        <v>0</v>
      </c>
      <c r="Q56" s="74"/>
      <c r="R56" s="76"/>
      <c r="S56" s="84">
        <f t="shared" si="2"/>
        <v>0</v>
      </c>
    </row>
    <row r="57" spans="1:19" ht="18" customHeight="1" x14ac:dyDescent="0.25">
      <c r="A57" s="59"/>
      <c r="B57" s="60"/>
      <c r="C57" s="65"/>
      <c r="D57" s="60"/>
      <c r="E57" s="59"/>
      <c r="F57" s="62"/>
      <c r="G57" s="63"/>
      <c r="H57" s="64"/>
      <c r="I57" s="65"/>
      <c r="J57" s="65"/>
      <c r="K57" s="65"/>
      <c r="L57" s="65"/>
      <c r="M57" s="65"/>
      <c r="N57" s="65"/>
      <c r="O57" s="81">
        <f t="shared" si="0"/>
        <v>0</v>
      </c>
      <c r="P57" s="81">
        <f t="shared" si="1"/>
        <v>0</v>
      </c>
      <c r="Q57" s="65"/>
      <c r="R57" s="67"/>
      <c r="S57" s="83">
        <f t="shared" si="2"/>
        <v>0</v>
      </c>
    </row>
    <row r="58" spans="1:19" ht="18" customHeight="1" x14ac:dyDescent="0.25">
      <c r="A58" s="68"/>
      <c r="B58" s="69"/>
      <c r="C58" s="74"/>
      <c r="D58" s="69"/>
      <c r="E58" s="68"/>
      <c r="F58" s="71"/>
      <c r="G58" s="72"/>
      <c r="H58" s="73"/>
      <c r="I58" s="74"/>
      <c r="J58" s="74"/>
      <c r="K58" s="74"/>
      <c r="L58" s="74"/>
      <c r="M58" s="74"/>
      <c r="N58" s="74"/>
      <c r="O58" s="82">
        <f t="shared" si="0"/>
        <v>0</v>
      </c>
      <c r="P58" s="82">
        <f t="shared" si="1"/>
        <v>0</v>
      </c>
      <c r="Q58" s="74"/>
      <c r="R58" s="76"/>
      <c r="S58" s="84">
        <f t="shared" si="2"/>
        <v>0</v>
      </c>
    </row>
    <row r="59" spans="1:19" ht="18" customHeight="1" x14ac:dyDescent="0.25">
      <c r="A59" s="59"/>
      <c r="B59" s="60"/>
      <c r="C59" s="65"/>
      <c r="D59" s="60"/>
      <c r="E59" s="59"/>
      <c r="F59" s="62"/>
      <c r="G59" s="63"/>
      <c r="H59" s="64"/>
      <c r="I59" s="65"/>
      <c r="J59" s="65"/>
      <c r="K59" s="65"/>
      <c r="L59" s="65"/>
      <c r="M59" s="65"/>
      <c r="N59" s="65"/>
      <c r="O59" s="81">
        <f t="shared" si="0"/>
        <v>0</v>
      </c>
      <c r="P59" s="81">
        <f t="shared" si="1"/>
        <v>0</v>
      </c>
      <c r="Q59" s="65"/>
      <c r="R59" s="67"/>
      <c r="S59" s="83">
        <f t="shared" si="2"/>
        <v>0</v>
      </c>
    </row>
    <row r="60" spans="1:19" ht="18" customHeight="1" x14ac:dyDescent="0.25">
      <c r="A60" s="68"/>
      <c r="B60" s="69"/>
      <c r="C60" s="74"/>
      <c r="D60" s="69"/>
      <c r="E60" s="68"/>
      <c r="F60" s="71"/>
      <c r="G60" s="72"/>
      <c r="H60" s="73"/>
      <c r="I60" s="74"/>
      <c r="J60" s="74"/>
      <c r="K60" s="74"/>
      <c r="L60" s="74"/>
      <c r="M60" s="74"/>
      <c r="N60" s="74"/>
      <c r="O60" s="82">
        <f t="shared" si="0"/>
        <v>0</v>
      </c>
      <c r="P60" s="82">
        <f t="shared" si="1"/>
        <v>0</v>
      </c>
      <c r="Q60" s="74"/>
      <c r="R60" s="76"/>
      <c r="S60" s="84">
        <f t="shared" si="2"/>
        <v>0</v>
      </c>
    </row>
    <row r="61" spans="1:19" ht="18" customHeight="1" x14ac:dyDescent="0.25">
      <c r="A61" s="59"/>
      <c r="B61" s="60"/>
      <c r="C61" s="65"/>
      <c r="D61" s="60"/>
      <c r="E61" s="59"/>
      <c r="F61" s="62"/>
      <c r="G61" s="63"/>
      <c r="H61" s="64"/>
      <c r="I61" s="65"/>
      <c r="J61" s="65"/>
      <c r="K61" s="65"/>
      <c r="L61" s="65"/>
      <c r="M61" s="65"/>
      <c r="N61" s="65"/>
      <c r="O61" s="81">
        <f t="shared" si="0"/>
        <v>0</v>
      </c>
      <c r="P61" s="81">
        <f t="shared" si="1"/>
        <v>0</v>
      </c>
      <c r="Q61" s="65"/>
      <c r="R61" s="67"/>
      <c r="S61" s="83">
        <f t="shared" si="2"/>
        <v>0</v>
      </c>
    </row>
    <row r="62" spans="1:19" ht="18" customHeight="1" x14ac:dyDescent="0.25">
      <c r="A62" s="68"/>
      <c r="B62" s="69"/>
      <c r="C62" s="74"/>
      <c r="D62" s="69"/>
      <c r="E62" s="68"/>
      <c r="F62" s="71"/>
      <c r="G62" s="72"/>
      <c r="H62" s="73"/>
      <c r="I62" s="74"/>
      <c r="J62" s="74"/>
      <c r="K62" s="74"/>
      <c r="L62" s="74"/>
      <c r="M62" s="74"/>
      <c r="N62" s="74"/>
      <c r="O62" s="82">
        <f t="shared" si="0"/>
        <v>0</v>
      </c>
      <c r="P62" s="82">
        <f t="shared" si="1"/>
        <v>0</v>
      </c>
      <c r="Q62" s="74"/>
      <c r="R62" s="76"/>
      <c r="S62" s="84">
        <f t="shared" si="2"/>
        <v>0</v>
      </c>
    </row>
    <row r="63" spans="1:19" ht="18" customHeight="1" x14ac:dyDescent="0.25">
      <c r="A63" s="59"/>
      <c r="B63" s="60"/>
      <c r="C63" s="65"/>
      <c r="D63" s="60"/>
      <c r="E63" s="59"/>
      <c r="F63" s="62"/>
      <c r="G63" s="63"/>
      <c r="H63" s="64"/>
      <c r="I63" s="65"/>
      <c r="J63" s="65"/>
      <c r="K63" s="65"/>
      <c r="L63" s="65"/>
      <c r="M63" s="65"/>
      <c r="N63" s="65"/>
      <c r="O63" s="81">
        <f t="shared" si="0"/>
        <v>0</v>
      </c>
      <c r="P63" s="81">
        <f t="shared" si="1"/>
        <v>0</v>
      </c>
      <c r="Q63" s="65"/>
      <c r="R63" s="67"/>
      <c r="S63" s="83">
        <f t="shared" si="2"/>
        <v>0</v>
      </c>
    </row>
    <row r="64" spans="1:19" ht="18" customHeight="1" x14ac:dyDescent="0.25">
      <c r="A64" s="68"/>
      <c r="B64" s="69"/>
      <c r="C64" s="74"/>
      <c r="D64" s="69"/>
      <c r="E64" s="68"/>
      <c r="F64" s="71"/>
      <c r="G64" s="72"/>
      <c r="H64" s="73"/>
      <c r="I64" s="74"/>
      <c r="J64" s="74"/>
      <c r="K64" s="74"/>
      <c r="L64" s="74"/>
      <c r="M64" s="74"/>
      <c r="N64" s="74"/>
      <c r="O64" s="82">
        <f t="shared" si="0"/>
        <v>0</v>
      </c>
      <c r="P64" s="82">
        <f t="shared" si="1"/>
        <v>0</v>
      </c>
      <c r="Q64" s="74"/>
      <c r="R64" s="76"/>
      <c r="S64" s="84">
        <f t="shared" si="2"/>
        <v>0</v>
      </c>
    </row>
    <row r="65" spans="1:19" ht="18" customHeight="1" x14ac:dyDescent="0.25">
      <c r="A65" s="59"/>
      <c r="B65" s="60"/>
      <c r="C65" s="65"/>
      <c r="D65" s="60"/>
      <c r="E65" s="59"/>
      <c r="F65" s="62"/>
      <c r="G65" s="63"/>
      <c r="H65" s="64"/>
      <c r="I65" s="65"/>
      <c r="J65" s="65"/>
      <c r="K65" s="65"/>
      <c r="L65" s="65"/>
      <c r="M65" s="65"/>
      <c r="N65" s="65"/>
      <c r="O65" s="81">
        <f t="shared" si="0"/>
        <v>0</v>
      </c>
      <c r="P65" s="81">
        <f t="shared" si="1"/>
        <v>0</v>
      </c>
      <c r="Q65" s="65"/>
      <c r="R65" s="67"/>
      <c r="S65" s="83">
        <f t="shared" si="2"/>
        <v>0</v>
      </c>
    </row>
    <row r="66" spans="1:19" ht="18" customHeight="1" x14ac:dyDescent="0.25">
      <c r="A66" s="68"/>
      <c r="B66" s="69"/>
      <c r="C66" s="74"/>
      <c r="D66" s="69"/>
      <c r="E66" s="68"/>
      <c r="F66" s="71"/>
      <c r="G66" s="72"/>
      <c r="H66" s="73"/>
      <c r="I66" s="74"/>
      <c r="J66" s="74"/>
      <c r="K66" s="74"/>
      <c r="L66" s="74"/>
      <c r="M66" s="74"/>
      <c r="N66" s="74"/>
      <c r="O66" s="82">
        <f t="shared" si="0"/>
        <v>0</v>
      </c>
      <c r="P66" s="82">
        <f t="shared" si="1"/>
        <v>0</v>
      </c>
      <c r="Q66" s="74"/>
      <c r="R66" s="76"/>
      <c r="S66" s="84">
        <f t="shared" si="2"/>
        <v>0</v>
      </c>
    </row>
    <row r="67" spans="1:19" ht="18" customHeight="1" x14ac:dyDescent="0.25">
      <c r="A67" s="59"/>
      <c r="B67" s="60"/>
      <c r="C67" s="65"/>
      <c r="D67" s="60"/>
      <c r="E67" s="59"/>
      <c r="F67" s="62"/>
      <c r="G67" s="63"/>
      <c r="H67" s="64"/>
      <c r="I67" s="65"/>
      <c r="J67" s="65"/>
      <c r="K67" s="65"/>
      <c r="L67" s="65"/>
      <c r="M67" s="65"/>
      <c r="N67" s="65"/>
      <c r="O67" s="81">
        <f t="shared" si="0"/>
        <v>0</v>
      </c>
      <c r="P67" s="81">
        <f t="shared" si="1"/>
        <v>0</v>
      </c>
      <c r="Q67" s="65"/>
      <c r="R67" s="67"/>
      <c r="S67" s="83">
        <f t="shared" si="2"/>
        <v>0</v>
      </c>
    </row>
    <row r="68" spans="1:19" ht="18" customHeight="1" x14ac:dyDescent="0.25">
      <c r="A68" s="68"/>
      <c r="B68" s="69"/>
      <c r="C68" s="74"/>
      <c r="D68" s="69"/>
      <c r="E68" s="68"/>
      <c r="F68" s="71"/>
      <c r="G68" s="72"/>
      <c r="H68" s="73"/>
      <c r="I68" s="74"/>
      <c r="J68" s="74"/>
      <c r="K68" s="74"/>
      <c r="L68" s="74"/>
      <c r="M68" s="74"/>
      <c r="N68" s="74"/>
      <c r="O68" s="82">
        <f t="shared" si="0"/>
        <v>0</v>
      </c>
      <c r="P68" s="82">
        <f t="shared" si="1"/>
        <v>0</v>
      </c>
      <c r="Q68" s="74"/>
      <c r="R68" s="76"/>
      <c r="S68" s="84">
        <f t="shared" si="2"/>
        <v>0</v>
      </c>
    </row>
    <row r="69" spans="1:19" ht="18" customHeight="1" x14ac:dyDescent="0.25">
      <c r="A69" s="59"/>
      <c r="B69" s="60"/>
      <c r="C69" s="65"/>
      <c r="D69" s="60"/>
      <c r="E69" s="59"/>
      <c r="F69" s="62"/>
      <c r="G69" s="63"/>
      <c r="H69" s="64"/>
      <c r="I69" s="65"/>
      <c r="J69" s="65"/>
      <c r="K69" s="65"/>
      <c r="L69" s="65"/>
      <c r="M69" s="65"/>
      <c r="N69" s="65"/>
      <c r="O69" s="81">
        <f t="shared" si="0"/>
        <v>0</v>
      </c>
      <c r="P69" s="81">
        <f t="shared" si="1"/>
        <v>0</v>
      </c>
      <c r="Q69" s="65"/>
      <c r="R69" s="67"/>
      <c r="S69" s="83">
        <f t="shared" si="2"/>
        <v>0</v>
      </c>
    </row>
    <row r="70" spans="1:19" ht="18" customHeight="1" x14ac:dyDescent="0.25">
      <c r="A70" s="68"/>
      <c r="B70" s="69"/>
      <c r="C70" s="74"/>
      <c r="D70" s="69"/>
      <c r="E70" s="68"/>
      <c r="F70" s="71"/>
      <c r="G70" s="72"/>
      <c r="H70" s="73"/>
      <c r="I70" s="74"/>
      <c r="J70" s="74"/>
      <c r="K70" s="74"/>
      <c r="L70" s="74"/>
      <c r="M70" s="74"/>
      <c r="N70" s="74"/>
      <c r="O70" s="82">
        <f t="shared" si="0"/>
        <v>0</v>
      </c>
      <c r="P70" s="82">
        <f t="shared" si="1"/>
        <v>0</v>
      </c>
      <c r="Q70" s="74"/>
      <c r="R70" s="76"/>
      <c r="S70" s="84">
        <f t="shared" si="2"/>
        <v>0</v>
      </c>
    </row>
    <row r="71" spans="1:19" ht="18" customHeight="1" x14ac:dyDescent="0.25">
      <c r="A71" s="59"/>
      <c r="B71" s="60"/>
      <c r="C71" s="65"/>
      <c r="D71" s="60"/>
      <c r="E71" s="59"/>
      <c r="F71" s="62"/>
      <c r="G71" s="63"/>
      <c r="H71" s="64"/>
      <c r="I71" s="65"/>
      <c r="J71" s="65"/>
      <c r="K71" s="65"/>
      <c r="L71" s="65"/>
      <c r="M71" s="65"/>
      <c r="N71" s="65"/>
      <c r="O71" s="81">
        <f t="shared" ref="O71:O133" si="3">IF(G71="Reimbursement ","",I71+J71+K71+L71+M71)</f>
        <v>0</v>
      </c>
      <c r="P71" s="81">
        <f t="shared" ref="P71:P133" si="4">IF(G71="Reimbursement ","",H71-O71)</f>
        <v>0</v>
      </c>
      <c r="Q71" s="65"/>
      <c r="R71" s="67"/>
      <c r="S71" s="83">
        <f t="shared" ref="S71:S134" si="5">IF(OR(R71="",Q71=""),0,IF(R71&gt;Q71,R71-Q71,0))</f>
        <v>0</v>
      </c>
    </row>
    <row r="72" spans="1:19" ht="18" customHeight="1" x14ac:dyDescent="0.25">
      <c r="A72" s="68"/>
      <c r="B72" s="69"/>
      <c r="C72" s="74"/>
      <c r="D72" s="69"/>
      <c r="E72" s="68"/>
      <c r="F72" s="71"/>
      <c r="G72" s="72"/>
      <c r="H72" s="73"/>
      <c r="I72" s="74"/>
      <c r="J72" s="74"/>
      <c r="K72" s="74"/>
      <c r="L72" s="74"/>
      <c r="M72" s="74"/>
      <c r="N72" s="74"/>
      <c r="O72" s="82">
        <f t="shared" si="3"/>
        <v>0</v>
      </c>
      <c r="P72" s="82">
        <f t="shared" si="4"/>
        <v>0</v>
      </c>
      <c r="Q72" s="74"/>
      <c r="R72" s="76"/>
      <c r="S72" s="84">
        <f t="shared" si="5"/>
        <v>0</v>
      </c>
    </row>
    <row r="73" spans="1:19" ht="18" customHeight="1" x14ac:dyDescent="0.25">
      <c r="A73" s="59"/>
      <c r="B73" s="60"/>
      <c r="C73" s="65"/>
      <c r="D73" s="60"/>
      <c r="E73" s="59"/>
      <c r="F73" s="62"/>
      <c r="G73" s="63"/>
      <c r="H73" s="64"/>
      <c r="I73" s="65"/>
      <c r="J73" s="65"/>
      <c r="K73" s="65"/>
      <c r="L73" s="65"/>
      <c r="M73" s="65"/>
      <c r="N73" s="65"/>
      <c r="O73" s="81">
        <f t="shared" si="3"/>
        <v>0</v>
      </c>
      <c r="P73" s="81">
        <f t="shared" si="4"/>
        <v>0</v>
      </c>
      <c r="Q73" s="65"/>
      <c r="R73" s="67"/>
      <c r="S73" s="83">
        <f t="shared" si="5"/>
        <v>0</v>
      </c>
    </row>
    <row r="74" spans="1:19" ht="18" customHeight="1" x14ac:dyDescent="0.25">
      <c r="A74" s="68"/>
      <c r="B74" s="69"/>
      <c r="C74" s="74"/>
      <c r="D74" s="69"/>
      <c r="E74" s="68"/>
      <c r="F74" s="71"/>
      <c r="G74" s="72"/>
      <c r="H74" s="73"/>
      <c r="I74" s="74"/>
      <c r="J74" s="74"/>
      <c r="K74" s="74"/>
      <c r="L74" s="74"/>
      <c r="M74" s="74"/>
      <c r="N74" s="74"/>
      <c r="O74" s="82">
        <f t="shared" si="3"/>
        <v>0</v>
      </c>
      <c r="P74" s="82">
        <f t="shared" si="4"/>
        <v>0</v>
      </c>
      <c r="Q74" s="74"/>
      <c r="R74" s="76"/>
      <c r="S74" s="84">
        <f t="shared" si="5"/>
        <v>0</v>
      </c>
    </row>
    <row r="75" spans="1:19" ht="18" customHeight="1" x14ac:dyDescent="0.25">
      <c r="A75" s="59"/>
      <c r="B75" s="60"/>
      <c r="C75" s="65"/>
      <c r="D75" s="60"/>
      <c r="E75" s="59"/>
      <c r="F75" s="62"/>
      <c r="G75" s="63"/>
      <c r="H75" s="64"/>
      <c r="I75" s="65"/>
      <c r="J75" s="65"/>
      <c r="K75" s="65"/>
      <c r="L75" s="65"/>
      <c r="M75" s="65"/>
      <c r="N75" s="65"/>
      <c r="O75" s="81">
        <f t="shared" si="3"/>
        <v>0</v>
      </c>
      <c r="P75" s="81">
        <f t="shared" si="4"/>
        <v>0</v>
      </c>
      <c r="Q75" s="65"/>
      <c r="R75" s="67"/>
      <c r="S75" s="83">
        <f t="shared" si="5"/>
        <v>0</v>
      </c>
    </row>
    <row r="76" spans="1:19" ht="18" customHeight="1" x14ac:dyDescent="0.25">
      <c r="A76" s="68"/>
      <c r="B76" s="69"/>
      <c r="C76" s="74"/>
      <c r="D76" s="69"/>
      <c r="E76" s="68"/>
      <c r="F76" s="71"/>
      <c r="G76" s="72"/>
      <c r="H76" s="73"/>
      <c r="I76" s="74"/>
      <c r="J76" s="74"/>
      <c r="K76" s="74"/>
      <c r="L76" s="74"/>
      <c r="M76" s="74"/>
      <c r="N76" s="74"/>
      <c r="O76" s="82">
        <f t="shared" si="3"/>
        <v>0</v>
      </c>
      <c r="P76" s="82">
        <f t="shared" si="4"/>
        <v>0</v>
      </c>
      <c r="Q76" s="74"/>
      <c r="R76" s="76"/>
      <c r="S76" s="84">
        <f t="shared" si="5"/>
        <v>0</v>
      </c>
    </row>
    <row r="77" spans="1:19" ht="18" customHeight="1" x14ac:dyDescent="0.25">
      <c r="A77" s="59"/>
      <c r="B77" s="60"/>
      <c r="C77" s="65"/>
      <c r="D77" s="60"/>
      <c r="E77" s="59"/>
      <c r="F77" s="62"/>
      <c r="G77" s="63"/>
      <c r="H77" s="64"/>
      <c r="I77" s="65"/>
      <c r="J77" s="65"/>
      <c r="K77" s="65"/>
      <c r="L77" s="65"/>
      <c r="M77" s="65"/>
      <c r="N77" s="65"/>
      <c r="O77" s="81">
        <f t="shared" si="3"/>
        <v>0</v>
      </c>
      <c r="P77" s="81">
        <f t="shared" si="4"/>
        <v>0</v>
      </c>
      <c r="Q77" s="65"/>
      <c r="R77" s="67"/>
      <c r="S77" s="83">
        <f t="shared" si="5"/>
        <v>0</v>
      </c>
    </row>
    <row r="78" spans="1:19" ht="18" customHeight="1" x14ac:dyDescent="0.25">
      <c r="A78" s="68"/>
      <c r="B78" s="69"/>
      <c r="C78" s="74"/>
      <c r="D78" s="69"/>
      <c r="E78" s="68"/>
      <c r="F78" s="71"/>
      <c r="G78" s="72"/>
      <c r="H78" s="73"/>
      <c r="I78" s="74"/>
      <c r="J78" s="74"/>
      <c r="K78" s="74"/>
      <c r="L78" s="74"/>
      <c r="M78" s="74"/>
      <c r="N78" s="74"/>
      <c r="O78" s="82">
        <f t="shared" si="3"/>
        <v>0</v>
      </c>
      <c r="P78" s="82">
        <f t="shared" si="4"/>
        <v>0</v>
      </c>
      <c r="Q78" s="74"/>
      <c r="R78" s="76"/>
      <c r="S78" s="84">
        <f t="shared" si="5"/>
        <v>0</v>
      </c>
    </row>
    <row r="79" spans="1:19" ht="18" customHeight="1" x14ac:dyDescent="0.25">
      <c r="A79" s="59"/>
      <c r="B79" s="60"/>
      <c r="C79" s="65"/>
      <c r="D79" s="60"/>
      <c r="E79" s="59"/>
      <c r="F79" s="62"/>
      <c r="G79" s="63"/>
      <c r="H79" s="64"/>
      <c r="I79" s="65"/>
      <c r="J79" s="65"/>
      <c r="K79" s="65"/>
      <c r="L79" s="65"/>
      <c r="M79" s="65"/>
      <c r="N79" s="65"/>
      <c r="O79" s="81">
        <f t="shared" si="3"/>
        <v>0</v>
      </c>
      <c r="P79" s="81">
        <f t="shared" si="4"/>
        <v>0</v>
      </c>
      <c r="Q79" s="65"/>
      <c r="R79" s="67"/>
      <c r="S79" s="83">
        <f t="shared" si="5"/>
        <v>0</v>
      </c>
    </row>
    <row r="80" spans="1:19" ht="18" customHeight="1" x14ac:dyDescent="0.25">
      <c r="A80" s="68"/>
      <c r="B80" s="69"/>
      <c r="C80" s="74"/>
      <c r="D80" s="69"/>
      <c r="E80" s="68"/>
      <c r="F80" s="71"/>
      <c r="G80" s="72"/>
      <c r="H80" s="73"/>
      <c r="I80" s="74"/>
      <c r="J80" s="74"/>
      <c r="K80" s="74"/>
      <c r="L80" s="74"/>
      <c r="M80" s="74"/>
      <c r="N80" s="74"/>
      <c r="O80" s="82">
        <f t="shared" si="3"/>
        <v>0</v>
      </c>
      <c r="P80" s="82">
        <f t="shared" si="4"/>
        <v>0</v>
      </c>
      <c r="Q80" s="74"/>
      <c r="R80" s="76"/>
      <c r="S80" s="84">
        <f t="shared" si="5"/>
        <v>0</v>
      </c>
    </row>
    <row r="81" spans="1:19" ht="18" customHeight="1" x14ac:dyDescent="0.25">
      <c r="A81" s="59"/>
      <c r="B81" s="60"/>
      <c r="C81" s="65"/>
      <c r="D81" s="60"/>
      <c r="E81" s="59"/>
      <c r="F81" s="62"/>
      <c r="G81" s="63"/>
      <c r="H81" s="64"/>
      <c r="I81" s="65"/>
      <c r="J81" s="65"/>
      <c r="K81" s="65"/>
      <c r="L81" s="65"/>
      <c r="M81" s="65"/>
      <c r="N81" s="65"/>
      <c r="O81" s="81">
        <f t="shared" si="3"/>
        <v>0</v>
      </c>
      <c r="P81" s="81">
        <f t="shared" si="4"/>
        <v>0</v>
      </c>
      <c r="Q81" s="65"/>
      <c r="R81" s="67"/>
      <c r="S81" s="83">
        <f t="shared" si="5"/>
        <v>0</v>
      </c>
    </row>
    <row r="82" spans="1:19" ht="18" customHeight="1" x14ac:dyDescent="0.25">
      <c r="A82" s="68"/>
      <c r="B82" s="69"/>
      <c r="C82" s="74"/>
      <c r="D82" s="69"/>
      <c r="E82" s="68"/>
      <c r="F82" s="71"/>
      <c r="G82" s="72"/>
      <c r="H82" s="73"/>
      <c r="I82" s="74"/>
      <c r="J82" s="74"/>
      <c r="K82" s="74"/>
      <c r="L82" s="74"/>
      <c r="M82" s="74"/>
      <c r="N82" s="74"/>
      <c r="O82" s="82">
        <f t="shared" si="3"/>
        <v>0</v>
      </c>
      <c r="P82" s="82">
        <f t="shared" si="4"/>
        <v>0</v>
      </c>
      <c r="Q82" s="74"/>
      <c r="R82" s="76"/>
      <c r="S82" s="84">
        <f t="shared" si="5"/>
        <v>0</v>
      </c>
    </row>
    <row r="83" spans="1:19" ht="18" customHeight="1" x14ac:dyDescent="0.25">
      <c r="A83" s="59"/>
      <c r="B83" s="60"/>
      <c r="C83" s="65"/>
      <c r="D83" s="60"/>
      <c r="E83" s="59"/>
      <c r="F83" s="62"/>
      <c r="G83" s="63"/>
      <c r="H83" s="64"/>
      <c r="I83" s="65"/>
      <c r="J83" s="65"/>
      <c r="K83" s="65"/>
      <c r="L83" s="65"/>
      <c r="M83" s="65"/>
      <c r="N83" s="65"/>
      <c r="O83" s="81">
        <f t="shared" si="3"/>
        <v>0</v>
      </c>
      <c r="P83" s="81">
        <f t="shared" si="4"/>
        <v>0</v>
      </c>
      <c r="Q83" s="65"/>
      <c r="R83" s="67"/>
      <c r="S83" s="83">
        <f t="shared" si="5"/>
        <v>0</v>
      </c>
    </row>
    <row r="84" spans="1:19" ht="18" customHeight="1" x14ac:dyDescent="0.25">
      <c r="A84" s="68"/>
      <c r="B84" s="69"/>
      <c r="C84" s="74"/>
      <c r="D84" s="69"/>
      <c r="E84" s="68"/>
      <c r="F84" s="71"/>
      <c r="G84" s="72"/>
      <c r="H84" s="73"/>
      <c r="I84" s="74"/>
      <c r="J84" s="74"/>
      <c r="K84" s="74"/>
      <c r="L84" s="74"/>
      <c r="M84" s="74"/>
      <c r="N84" s="74"/>
      <c r="O84" s="82">
        <f t="shared" si="3"/>
        <v>0</v>
      </c>
      <c r="P84" s="82">
        <f t="shared" si="4"/>
        <v>0</v>
      </c>
      <c r="Q84" s="74"/>
      <c r="R84" s="76"/>
      <c r="S84" s="84">
        <f t="shared" si="5"/>
        <v>0</v>
      </c>
    </row>
    <row r="85" spans="1:19" ht="18" customHeight="1" x14ac:dyDescent="0.25">
      <c r="A85" s="59"/>
      <c r="B85" s="60"/>
      <c r="C85" s="65"/>
      <c r="D85" s="60"/>
      <c r="E85" s="59"/>
      <c r="F85" s="62"/>
      <c r="G85" s="63"/>
      <c r="H85" s="64"/>
      <c r="I85" s="65"/>
      <c r="J85" s="65"/>
      <c r="K85" s="65"/>
      <c r="L85" s="65"/>
      <c r="M85" s="65"/>
      <c r="N85" s="65"/>
      <c r="O85" s="81">
        <f t="shared" si="3"/>
        <v>0</v>
      </c>
      <c r="P85" s="81">
        <f t="shared" si="4"/>
        <v>0</v>
      </c>
      <c r="Q85" s="65"/>
      <c r="R85" s="67"/>
      <c r="S85" s="83">
        <f t="shared" si="5"/>
        <v>0</v>
      </c>
    </row>
    <row r="86" spans="1:19" ht="18" customHeight="1" x14ac:dyDescent="0.25">
      <c r="A86" s="68"/>
      <c r="B86" s="69"/>
      <c r="C86" s="74"/>
      <c r="D86" s="69"/>
      <c r="E86" s="68"/>
      <c r="F86" s="71"/>
      <c r="G86" s="72"/>
      <c r="H86" s="73"/>
      <c r="I86" s="74"/>
      <c r="J86" s="74"/>
      <c r="K86" s="74"/>
      <c r="L86" s="74"/>
      <c r="M86" s="74"/>
      <c r="N86" s="74"/>
      <c r="O86" s="82">
        <f t="shared" si="3"/>
        <v>0</v>
      </c>
      <c r="P86" s="82">
        <f t="shared" si="4"/>
        <v>0</v>
      </c>
      <c r="Q86" s="74"/>
      <c r="R86" s="76"/>
      <c r="S86" s="84">
        <f t="shared" si="5"/>
        <v>0</v>
      </c>
    </row>
    <row r="87" spans="1:19" ht="18" customHeight="1" x14ac:dyDescent="0.25">
      <c r="A87" s="59"/>
      <c r="B87" s="60"/>
      <c r="C87" s="65"/>
      <c r="D87" s="60"/>
      <c r="E87" s="59"/>
      <c r="F87" s="62"/>
      <c r="G87" s="63"/>
      <c r="H87" s="64"/>
      <c r="I87" s="65"/>
      <c r="J87" s="65"/>
      <c r="K87" s="65"/>
      <c r="L87" s="65"/>
      <c r="M87" s="65"/>
      <c r="N87" s="65"/>
      <c r="O87" s="81">
        <f t="shared" si="3"/>
        <v>0</v>
      </c>
      <c r="P87" s="81">
        <f t="shared" si="4"/>
        <v>0</v>
      </c>
      <c r="Q87" s="65"/>
      <c r="R87" s="67"/>
      <c r="S87" s="83">
        <f t="shared" si="5"/>
        <v>0</v>
      </c>
    </row>
    <row r="88" spans="1:19" ht="18" customHeight="1" x14ac:dyDescent="0.25">
      <c r="A88" s="68"/>
      <c r="B88" s="69"/>
      <c r="C88" s="74"/>
      <c r="D88" s="69"/>
      <c r="E88" s="68"/>
      <c r="F88" s="71"/>
      <c r="G88" s="72"/>
      <c r="H88" s="73"/>
      <c r="I88" s="74"/>
      <c r="J88" s="74"/>
      <c r="K88" s="74"/>
      <c r="L88" s="74"/>
      <c r="M88" s="74"/>
      <c r="N88" s="74"/>
      <c r="O88" s="82">
        <f t="shared" si="3"/>
        <v>0</v>
      </c>
      <c r="P88" s="82">
        <f t="shared" si="4"/>
        <v>0</v>
      </c>
      <c r="Q88" s="74"/>
      <c r="R88" s="76"/>
      <c r="S88" s="84">
        <f t="shared" si="5"/>
        <v>0</v>
      </c>
    </row>
    <row r="89" spans="1:19" ht="18" customHeight="1" x14ac:dyDescent="0.25">
      <c r="A89" s="59"/>
      <c r="B89" s="60"/>
      <c r="C89" s="65"/>
      <c r="D89" s="60"/>
      <c r="E89" s="59"/>
      <c r="F89" s="62"/>
      <c r="G89" s="63"/>
      <c r="H89" s="64"/>
      <c r="I89" s="65"/>
      <c r="J89" s="65"/>
      <c r="K89" s="65"/>
      <c r="L89" s="65"/>
      <c r="M89" s="65"/>
      <c r="N89" s="65"/>
      <c r="O89" s="81">
        <f t="shared" si="3"/>
        <v>0</v>
      </c>
      <c r="P89" s="81">
        <f t="shared" si="4"/>
        <v>0</v>
      </c>
      <c r="Q89" s="65"/>
      <c r="R89" s="67"/>
      <c r="S89" s="83">
        <f t="shared" si="5"/>
        <v>0</v>
      </c>
    </row>
    <row r="90" spans="1:19" ht="18" customHeight="1" x14ac:dyDescent="0.25">
      <c r="A90" s="68"/>
      <c r="B90" s="69"/>
      <c r="C90" s="74"/>
      <c r="D90" s="69"/>
      <c r="E90" s="68"/>
      <c r="F90" s="71"/>
      <c r="G90" s="72"/>
      <c r="H90" s="73"/>
      <c r="I90" s="74"/>
      <c r="J90" s="74"/>
      <c r="K90" s="74"/>
      <c r="L90" s="74"/>
      <c r="M90" s="74"/>
      <c r="N90" s="74"/>
      <c r="O90" s="82">
        <f t="shared" si="3"/>
        <v>0</v>
      </c>
      <c r="P90" s="82">
        <f t="shared" si="4"/>
        <v>0</v>
      </c>
      <c r="Q90" s="74"/>
      <c r="R90" s="76"/>
      <c r="S90" s="84">
        <f t="shared" si="5"/>
        <v>0</v>
      </c>
    </row>
    <row r="91" spans="1:19" ht="18" customHeight="1" x14ac:dyDescent="0.25">
      <c r="A91" s="59"/>
      <c r="B91" s="60"/>
      <c r="C91" s="65"/>
      <c r="D91" s="60"/>
      <c r="E91" s="59"/>
      <c r="F91" s="62"/>
      <c r="G91" s="63"/>
      <c r="H91" s="64"/>
      <c r="I91" s="65"/>
      <c r="J91" s="65"/>
      <c r="K91" s="65"/>
      <c r="L91" s="65"/>
      <c r="M91" s="65"/>
      <c r="N91" s="65"/>
      <c r="O91" s="81">
        <f t="shared" si="3"/>
        <v>0</v>
      </c>
      <c r="P91" s="81">
        <f t="shared" si="4"/>
        <v>0</v>
      </c>
      <c r="Q91" s="65"/>
      <c r="R91" s="67"/>
      <c r="S91" s="83">
        <f t="shared" si="5"/>
        <v>0</v>
      </c>
    </row>
    <row r="92" spans="1:19" ht="18" customHeight="1" x14ac:dyDescent="0.25">
      <c r="A92" s="68"/>
      <c r="B92" s="69"/>
      <c r="C92" s="74"/>
      <c r="D92" s="69"/>
      <c r="E92" s="68"/>
      <c r="F92" s="71"/>
      <c r="G92" s="72"/>
      <c r="H92" s="73"/>
      <c r="I92" s="74"/>
      <c r="J92" s="74"/>
      <c r="K92" s="74"/>
      <c r="L92" s="74"/>
      <c r="M92" s="74"/>
      <c r="N92" s="74"/>
      <c r="O92" s="82">
        <f t="shared" si="3"/>
        <v>0</v>
      </c>
      <c r="P92" s="82">
        <f t="shared" si="4"/>
        <v>0</v>
      </c>
      <c r="Q92" s="74"/>
      <c r="R92" s="76"/>
      <c r="S92" s="84">
        <f t="shared" si="5"/>
        <v>0</v>
      </c>
    </row>
    <row r="93" spans="1:19" ht="18" customHeight="1" x14ac:dyDescent="0.25">
      <c r="A93" s="59"/>
      <c r="B93" s="60"/>
      <c r="C93" s="65"/>
      <c r="D93" s="60"/>
      <c r="E93" s="59"/>
      <c r="F93" s="62"/>
      <c r="G93" s="63"/>
      <c r="H93" s="64"/>
      <c r="I93" s="65"/>
      <c r="J93" s="65"/>
      <c r="K93" s="65"/>
      <c r="L93" s="65"/>
      <c r="M93" s="65"/>
      <c r="N93" s="65"/>
      <c r="O93" s="81">
        <f t="shared" si="3"/>
        <v>0</v>
      </c>
      <c r="P93" s="81">
        <f t="shared" si="4"/>
        <v>0</v>
      </c>
      <c r="Q93" s="65"/>
      <c r="R93" s="67"/>
      <c r="S93" s="83">
        <f t="shared" si="5"/>
        <v>0</v>
      </c>
    </row>
    <row r="94" spans="1:19" ht="18" customHeight="1" x14ac:dyDescent="0.25">
      <c r="A94" s="68"/>
      <c r="B94" s="69"/>
      <c r="C94" s="74"/>
      <c r="D94" s="69"/>
      <c r="E94" s="68"/>
      <c r="F94" s="71"/>
      <c r="G94" s="72"/>
      <c r="H94" s="73"/>
      <c r="I94" s="74"/>
      <c r="J94" s="74"/>
      <c r="K94" s="74"/>
      <c r="L94" s="74"/>
      <c r="M94" s="74"/>
      <c r="N94" s="74"/>
      <c r="O94" s="82">
        <f t="shared" si="3"/>
        <v>0</v>
      </c>
      <c r="P94" s="82">
        <f t="shared" si="4"/>
        <v>0</v>
      </c>
      <c r="Q94" s="74"/>
      <c r="R94" s="76"/>
      <c r="S94" s="84">
        <f t="shared" si="5"/>
        <v>0</v>
      </c>
    </row>
    <row r="95" spans="1:19" ht="18" customHeight="1" x14ac:dyDescent="0.25">
      <c r="A95" s="59"/>
      <c r="B95" s="60"/>
      <c r="C95" s="65"/>
      <c r="D95" s="60"/>
      <c r="E95" s="59"/>
      <c r="F95" s="62"/>
      <c r="G95" s="63"/>
      <c r="H95" s="64"/>
      <c r="I95" s="65"/>
      <c r="J95" s="65"/>
      <c r="K95" s="65"/>
      <c r="L95" s="65"/>
      <c r="M95" s="65"/>
      <c r="N95" s="65"/>
      <c r="O95" s="81">
        <f t="shared" si="3"/>
        <v>0</v>
      </c>
      <c r="P95" s="81">
        <f t="shared" si="4"/>
        <v>0</v>
      </c>
      <c r="Q95" s="65"/>
      <c r="R95" s="67"/>
      <c r="S95" s="83">
        <f t="shared" si="5"/>
        <v>0</v>
      </c>
    </row>
    <row r="96" spans="1:19" ht="18" customHeight="1" x14ac:dyDescent="0.25">
      <c r="A96" s="68"/>
      <c r="B96" s="69"/>
      <c r="C96" s="74"/>
      <c r="D96" s="69"/>
      <c r="E96" s="68"/>
      <c r="F96" s="71"/>
      <c r="G96" s="72"/>
      <c r="H96" s="73"/>
      <c r="I96" s="74"/>
      <c r="J96" s="74"/>
      <c r="K96" s="74"/>
      <c r="L96" s="74"/>
      <c r="M96" s="74"/>
      <c r="N96" s="74"/>
      <c r="O96" s="82">
        <f t="shared" si="3"/>
        <v>0</v>
      </c>
      <c r="P96" s="82">
        <f t="shared" si="4"/>
        <v>0</v>
      </c>
      <c r="Q96" s="74"/>
      <c r="R96" s="76"/>
      <c r="S96" s="84">
        <f t="shared" si="5"/>
        <v>0</v>
      </c>
    </row>
    <row r="97" spans="1:19" ht="18" customHeight="1" x14ac:dyDescent="0.25">
      <c r="A97" s="59"/>
      <c r="B97" s="60"/>
      <c r="C97" s="65"/>
      <c r="D97" s="60"/>
      <c r="E97" s="59"/>
      <c r="F97" s="62"/>
      <c r="G97" s="63"/>
      <c r="H97" s="64"/>
      <c r="I97" s="65"/>
      <c r="J97" s="65"/>
      <c r="K97" s="65"/>
      <c r="L97" s="65"/>
      <c r="M97" s="65"/>
      <c r="N97" s="65"/>
      <c r="O97" s="81">
        <f t="shared" si="3"/>
        <v>0</v>
      </c>
      <c r="P97" s="81">
        <f t="shared" si="4"/>
        <v>0</v>
      </c>
      <c r="Q97" s="65"/>
      <c r="R97" s="67"/>
      <c r="S97" s="83">
        <f t="shared" si="5"/>
        <v>0</v>
      </c>
    </row>
    <row r="98" spans="1:19" ht="18" customHeight="1" x14ac:dyDescent="0.25">
      <c r="A98" s="68"/>
      <c r="B98" s="69"/>
      <c r="C98" s="74"/>
      <c r="D98" s="69"/>
      <c r="E98" s="68"/>
      <c r="F98" s="71"/>
      <c r="G98" s="72"/>
      <c r="H98" s="73"/>
      <c r="I98" s="74"/>
      <c r="J98" s="74"/>
      <c r="K98" s="74"/>
      <c r="L98" s="74"/>
      <c r="M98" s="74"/>
      <c r="N98" s="74"/>
      <c r="O98" s="82">
        <f t="shared" si="3"/>
        <v>0</v>
      </c>
      <c r="P98" s="82">
        <f t="shared" si="4"/>
        <v>0</v>
      </c>
      <c r="Q98" s="74"/>
      <c r="R98" s="76"/>
      <c r="S98" s="84">
        <f t="shared" si="5"/>
        <v>0</v>
      </c>
    </row>
    <row r="99" spans="1:19" ht="18" customHeight="1" x14ac:dyDescent="0.25">
      <c r="A99" s="59"/>
      <c r="B99" s="60"/>
      <c r="C99" s="65"/>
      <c r="D99" s="60"/>
      <c r="E99" s="59"/>
      <c r="F99" s="62"/>
      <c r="G99" s="63"/>
      <c r="H99" s="64"/>
      <c r="I99" s="65"/>
      <c r="J99" s="65"/>
      <c r="K99" s="65"/>
      <c r="L99" s="65"/>
      <c r="M99" s="65"/>
      <c r="N99" s="65"/>
      <c r="O99" s="81">
        <f t="shared" si="3"/>
        <v>0</v>
      </c>
      <c r="P99" s="81">
        <f t="shared" si="4"/>
        <v>0</v>
      </c>
      <c r="Q99" s="65"/>
      <c r="R99" s="67"/>
      <c r="S99" s="83">
        <f t="shared" si="5"/>
        <v>0</v>
      </c>
    </row>
    <row r="100" spans="1:19" ht="18" customHeight="1" x14ac:dyDescent="0.25">
      <c r="A100" s="68"/>
      <c r="B100" s="69"/>
      <c r="C100" s="74"/>
      <c r="D100" s="69"/>
      <c r="E100" s="68"/>
      <c r="F100" s="71"/>
      <c r="G100" s="72"/>
      <c r="H100" s="73"/>
      <c r="I100" s="74"/>
      <c r="J100" s="74"/>
      <c r="K100" s="74"/>
      <c r="L100" s="74"/>
      <c r="M100" s="74"/>
      <c r="N100" s="74"/>
      <c r="O100" s="82">
        <f t="shared" si="3"/>
        <v>0</v>
      </c>
      <c r="P100" s="82">
        <f t="shared" si="4"/>
        <v>0</v>
      </c>
      <c r="Q100" s="74"/>
      <c r="R100" s="76"/>
      <c r="S100" s="84">
        <f t="shared" si="5"/>
        <v>0</v>
      </c>
    </row>
    <row r="101" spans="1:19" ht="18" customHeight="1" x14ac:dyDescent="0.25">
      <c r="A101" s="59"/>
      <c r="B101" s="60"/>
      <c r="C101" s="65"/>
      <c r="D101" s="60"/>
      <c r="E101" s="59"/>
      <c r="F101" s="62"/>
      <c r="G101" s="63"/>
      <c r="H101" s="64"/>
      <c r="I101" s="65"/>
      <c r="J101" s="65"/>
      <c r="K101" s="65"/>
      <c r="L101" s="65"/>
      <c r="M101" s="65"/>
      <c r="N101" s="65"/>
      <c r="O101" s="81">
        <f t="shared" si="3"/>
        <v>0</v>
      </c>
      <c r="P101" s="81">
        <f t="shared" si="4"/>
        <v>0</v>
      </c>
      <c r="Q101" s="65"/>
      <c r="R101" s="67"/>
      <c r="S101" s="83">
        <f t="shared" si="5"/>
        <v>0</v>
      </c>
    </row>
    <row r="102" spans="1:19" ht="18" customHeight="1" x14ac:dyDescent="0.25">
      <c r="A102" s="68"/>
      <c r="B102" s="69"/>
      <c r="C102" s="74"/>
      <c r="D102" s="69"/>
      <c r="E102" s="68"/>
      <c r="F102" s="71"/>
      <c r="G102" s="72"/>
      <c r="H102" s="73"/>
      <c r="I102" s="74"/>
      <c r="J102" s="74"/>
      <c r="K102" s="74"/>
      <c r="L102" s="74"/>
      <c r="M102" s="74"/>
      <c r="N102" s="74"/>
      <c r="O102" s="82">
        <f t="shared" si="3"/>
        <v>0</v>
      </c>
      <c r="P102" s="82">
        <f t="shared" si="4"/>
        <v>0</v>
      </c>
      <c r="Q102" s="74"/>
      <c r="R102" s="76"/>
      <c r="S102" s="84">
        <f t="shared" si="5"/>
        <v>0</v>
      </c>
    </row>
    <row r="103" spans="1:19" ht="18" customHeight="1" x14ac:dyDescent="0.25">
      <c r="A103" s="59"/>
      <c r="B103" s="60"/>
      <c r="C103" s="65"/>
      <c r="D103" s="60"/>
      <c r="E103" s="59"/>
      <c r="F103" s="62"/>
      <c r="G103" s="63"/>
      <c r="H103" s="64"/>
      <c r="I103" s="65"/>
      <c r="J103" s="65"/>
      <c r="K103" s="65"/>
      <c r="L103" s="65"/>
      <c r="M103" s="65"/>
      <c r="N103" s="65"/>
      <c r="O103" s="81">
        <f t="shared" si="3"/>
        <v>0</v>
      </c>
      <c r="P103" s="81">
        <f t="shared" si="4"/>
        <v>0</v>
      </c>
      <c r="Q103" s="65"/>
      <c r="R103" s="67"/>
      <c r="S103" s="83">
        <f t="shared" si="5"/>
        <v>0</v>
      </c>
    </row>
    <row r="104" spans="1:19" ht="18" customHeight="1" x14ac:dyDescent="0.25">
      <c r="A104" s="68"/>
      <c r="B104" s="69"/>
      <c r="C104" s="74"/>
      <c r="D104" s="69"/>
      <c r="E104" s="68"/>
      <c r="F104" s="71"/>
      <c r="G104" s="72"/>
      <c r="H104" s="73"/>
      <c r="I104" s="74"/>
      <c r="J104" s="74"/>
      <c r="K104" s="74"/>
      <c r="L104" s="74"/>
      <c r="M104" s="74"/>
      <c r="N104" s="74"/>
      <c r="O104" s="82">
        <f t="shared" si="3"/>
        <v>0</v>
      </c>
      <c r="P104" s="82">
        <f t="shared" si="4"/>
        <v>0</v>
      </c>
      <c r="Q104" s="74"/>
      <c r="R104" s="76"/>
      <c r="S104" s="84">
        <f t="shared" si="5"/>
        <v>0</v>
      </c>
    </row>
    <row r="105" spans="1:19" ht="18" customHeight="1" x14ac:dyDescent="0.25">
      <c r="A105" s="59"/>
      <c r="B105" s="60"/>
      <c r="C105" s="65"/>
      <c r="D105" s="60"/>
      <c r="E105" s="59"/>
      <c r="F105" s="62"/>
      <c r="G105" s="63"/>
      <c r="H105" s="64"/>
      <c r="I105" s="65"/>
      <c r="J105" s="65"/>
      <c r="K105" s="65"/>
      <c r="L105" s="65"/>
      <c r="M105" s="65"/>
      <c r="N105" s="65"/>
      <c r="O105" s="81">
        <f t="shared" si="3"/>
        <v>0</v>
      </c>
      <c r="P105" s="81">
        <f t="shared" si="4"/>
        <v>0</v>
      </c>
      <c r="Q105" s="65"/>
      <c r="R105" s="67"/>
      <c r="S105" s="83">
        <f t="shared" si="5"/>
        <v>0</v>
      </c>
    </row>
    <row r="106" spans="1:19" ht="18" customHeight="1" x14ac:dyDescent="0.25">
      <c r="A106" s="68"/>
      <c r="B106" s="69"/>
      <c r="C106" s="74"/>
      <c r="D106" s="69"/>
      <c r="E106" s="68"/>
      <c r="F106" s="71"/>
      <c r="G106" s="72"/>
      <c r="H106" s="73"/>
      <c r="I106" s="74"/>
      <c r="J106" s="74"/>
      <c r="K106" s="74"/>
      <c r="L106" s="74"/>
      <c r="M106" s="74"/>
      <c r="N106" s="74"/>
      <c r="O106" s="82">
        <f t="shared" si="3"/>
        <v>0</v>
      </c>
      <c r="P106" s="82">
        <f t="shared" si="4"/>
        <v>0</v>
      </c>
      <c r="Q106" s="74"/>
      <c r="R106" s="76"/>
      <c r="S106" s="84">
        <f t="shared" si="5"/>
        <v>0</v>
      </c>
    </row>
    <row r="107" spans="1:19" ht="18" customHeight="1" x14ac:dyDescent="0.25">
      <c r="A107" s="59"/>
      <c r="B107" s="60"/>
      <c r="C107" s="65"/>
      <c r="D107" s="60"/>
      <c r="E107" s="59"/>
      <c r="F107" s="62"/>
      <c r="G107" s="63"/>
      <c r="H107" s="64"/>
      <c r="I107" s="65"/>
      <c r="J107" s="65"/>
      <c r="K107" s="65"/>
      <c r="L107" s="65"/>
      <c r="M107" s="65"/>
      <c r="N107" s="65"/>
      <c r="O107" s="81">
        <f t="shared" si="3"/>
        <v>0</v>
      </c>
      <c r="P107" s="81">
        <f t="shared" si="4"/>
        <v>0</v>
      </c>
      <c r="Q107" s="65"/>
      <c r="R107" s="67"/>
      <c r="S107" s="83">
        <f t="shared" si="5"/>
        <v>0</v>
      </c>
    </row>
    <row r="108" spans="1:19" ht="18" customHeight="1" x14ac:dyDescent="0.25">
      <c r="A108" s="68"/>
      <c r="B108" s="69"/>
      <c r="C108" s="74"/>
      <c r="D108" s="69"/>
      <c r="E108" s="68"/>
      <c r="F108" s="71"/>
      <c r="G108" s="72"/>
      <c r="H108" s="73"/>
      <c r="I108" s="74"/>
      <c r="J108" s="74"/>
      <c r="K108" s="74"/>
      <c r="L108" s="74"/>
      <c r="M108" s="74"/>
      <c r="N108" s="74"/>
      <c r="O108" s="82">
        <f t="shared" si="3"/>
        <v>0</v>
      </c>
      <c r="P108" s="82">
        <f t="shared" si="4"/>
        <v>0</v>
      </c>
      <c r="Q108" s="74"/>
      <c r="R108" s="76"/>
      <c r="S108" s="84">
        <f t="shared" si="5"/>
        <v>0</v>
      </c>
    </row>
    <row r="109" spans="1:19" ht="18" customHeight="1" x14ac:dyDescent="0.25">
      <c r="A109" s="59"/>
      <c r="B109" s="60"/>
      <c r="C109" s="65"/>
      <c r="D109" s="60"/>
      <c r="E109" s="59"/>
      <c r="F109" s="62"/>
      <c r="G109" s="63"/>
      <c r="H109" s="64"/>
      <c r="I109" s="65"/>
      <c r="J109" s="65"/>
      <c r="K109" s="65"/>
      <c r="L109" s="65"/>
      <c r="M109" s="65"/>
      <c r="N109" s="65"/>
      <c r="O109" s="81">
        <f t="shared" si="3"/>
        <v>0</v>
      </c>
      <c r="P109" s="81">
        <f t="shared" si="4"/>
        <v>0</v>
      </c>
      <c r="Q109" s="65"/>
      <c r="R109" s="67"/>
      <c r="S109" s="83">
        <f t="shared" si="5"/>
        <v>0</v>
      </c>
    </row>
    <row r="110" spans="1:19" ht="18" customHeight="1" x14ac:dyDescent="0.25">
      <c r="A110" s="68"/>
      <c r="B110" s="69"/>
      <c r="C110" s="74"/>
      <c r="D110" s="69"/>
      <c r="E110" s="68"/>
      <c r="F110" s="71"/>
      <c r="G110" s="72"/>
      <c r="H110" s="73"/>
      <c r="I110" s="74"/>
      <c r="J110" s="74"/>
      <c r="K110" s="74"/>
      <c r="L110" s="74"/>
      <c r="M110" s="74"/>
      <c r="N110" s="74"/>
      <c r="O110" s="82">
        <f t="shared" si="3"/>
        <v>0</v>
      </c>
      <c r="P110" s="82">
        <f t="shared" si="4"/>
        <v>0</v>
      </c>
      <c r="Q110" s="74"/>
      <c r="R110" s="76"/>
      <c r="S110" s="84">
        <f t="shared" si="5"/>
        <v>0</v>
      </c>
    </row>
    <row r="111" spans="1:19" ht="18" customHeight="1" x14ac:dyDescent="0.25">
      <c r="A111" s="59"/>
      <c r="B111" s="60"/>
      <c r="C111" s="65"/>
      <c r="D111" s="60"/>
      <c r="E111" s="59"/>
      <c r="F111" s="62"/>
      <c r="G111" s="63"/>
      <c r="H111" s="64"/>
      <c r="I111" s="65"/>
      <c r="J111" s="65"/>
      <c r="K111" s="65"/>
      <c r="L111" s="65"/>
      <c r="M111" s="65"/>
      <c r="N111" s="65"/>
      <c r="O111" s="81">
        <f t="shared" si="3"/>
        <v>0</v>
      </c>
      <c r="P111" s="81">
        <f t="shared" si="4"/>
        <v>0</v>
      </c>
      <c r="Q111" s="65"/>
      <c r="R111" s="67"/>
      <c r="S111" s="83">
        <f t="shared" si="5"/>
        <v>0</v>
      </c>
    </row>
    <row r="112" spans="1:19" ht="18" customHeight="1" x14ac:dyDescent="0.25">
      <c r="A112" s="68"/>
      <c r="B112" s="69"/>
      <c r="C112" s="74"/>
      <c r="D112" s="69"/>
      <c r="E112" s="68"/>
      <c r="F112" s="71"/>
      <c r="G112" s="72"/>
      <c r="H112" s="73"/>
      <c r="I112" s="74"/>
      <c r="J112" s="74"/>
      <c r="K112" s="74"/>
      <c r="L112" s="74"/>
      <c r="M112" s="74"/>
      <c r="N112" s="74"/>
      <c r="O112" s="82">
        <f t="shared" si="3"/>
        <v>0</v>
      </c>
      <c r="P112" s="82">
        <f t="shared" si="4"/>
        <v>0</v>
      </c>
      <c r="Q112" s="74"/>
      <c r="R112" s="76"/>
      <c r="S112" s="84">
        <f t="shared" si="5"/>
        <v>0</v>
      </c>
    </row>
    <row r="113" spans="1:19" ht="18" customHeight="1" x14ac:dyDescent="0.25">
      <c r="A113" s="59"/>
      <c r="B113" s="60"/>
      <c r="C113" s="65"/>
      <c r="D113" s="60"/>
      <c r="E113" s="59"/>
      <c r="F113" s="62"/>
      <c r="G113" s="63"/>
      <c r="H113" s="64"/>
      <c r="I113" s="65"/>
      <c r="J113" s="65"/>
      <c r="K113" s="65"/>
      <c r="L113" s="65"/>
      <c r="M113" s="65"/>
      <c r="N113" s="65"/>
      <c r="O113" s="81">
        <f t="shared" si="3"/>
        <v>0</v>
      </c>
      <c r="P113" s="81">
        <f t="shared" si="4"/>
        <v>0</v>
      </c>
      <c r="Q113" s="65"/>
      <c r="R113" s="67"/>
      <c r="S113" s="83">
        <f t="shared" si="5"/>
        <v>0</v>
      </c>
    </row>
    <row r="114" spans="1:19" ht="18" customHeight="1" x14ac:dyDescent="0.25">
      <c r="A114" s="68"/>
      <c r="B114" s="69"/>
      <c r="C114" s="74"/>
      <c r="D114" s="69"/>
      <c r="E114" s="68"/>
      <c r="F114" s="71"/>
      <c r="G114" s="72"/>
      <c r="H114" s="73"/>
      <c r="I114" s="74"/>
      <c r="J114" s="74"/>
      <c r="K114" s="74"/>
      <c r="L114" s="74"/>
      <c r="M114" s="74"/>
      <c r="N114" s="74"/>
      <c r="O114" s="82">
        <f t="shared" si="3"/>
        <v>0</v>
      </c>
      <c r="P114" s="82">
        <f t="shared" si="4"/>
        <v>0</v>
      </c>
      <c r="Q114" s="74"/>
      <c r="R114" s="76"/>
      <c r="S114" s="84">
        <f t="shared" si="5"/>
        <v>0</v>
      </c>
    </row>
    <row r="115" spans="1:19" ht="18" customHeight="1" x14ac:dyDescent="0.25">
      <c r="A115" s="59"/>
      <c r="B115" s="60"/>
      <c r="C115" s="65"/>
      <c r="D115" s="60"/>
      <c r="E115" s="59"/>
      <c r="F115" s="62"/>
      <c r="G115" s="63"/>
      <c r="H115" s="64"/>
      <c r="I115" s="65"/>
      <c r="J115" s="65"/>
      <c r="K115" s="65"/>
      <c r="L115" s="65"/>
      <c r="M115" s="65"/>
      <c r="N115" s="65"/>
      <c r="O115" s="81">
        <f t="shared" si="3"/>
        <v>0</v>
      </c>
      <c r="P115" s="81">
        <f t="shared" si="4"/>
        <v>0</v>
      </c>
      <c r="Q115" s="65"/>
      <c r="R115" s="67"/>
      <c r="S115" s="83">
        <f t="shared" si="5"/>
        <v>0</v>
      </c>
    </row>
    <row r="116" spans="1:19" ht="18" customHeight="1" x14ac:dyDescent="0.25">
      <c r="A116" s="68"/>
      <c r="B116" s="69"/>
      <c r="C116" s="74"/>
      <c r="D116" s="69"/>
      <c r="E116" s="68"/>
      <c r="F116" s="71"/>
      <c r="G116" s="72"/>
      <c r="H116" s="73"/>
      <c r="I116" s="74"/>
      <c r="J116" s="74"/>
      <c r="K116" s="74"/>
      <c r="L116" s="74"/>
      <c r="M116" s="74"/>
      <c r="N116" s="74"/>
      <c r="O116" s="82">
        <f t="shared" si="3"/>
        <v>0</v>
      </c>
      <c r="P116" s="82">
        <f t="shared" si="4"/>
        <v>0</v>
      </c>
      <c r="Q116" s="74"/>
      <c r="R116" s="76"/>
      <c r="S116" s="84">
        <f t="shared" si="5"/>
        <v>0</v>
      </c>
    </row>
    <row r="117" spans="1:19" ht="18" customHeight="1" x14ac:dyDescent="0.25">
      <c r="A117" s="59"/>
      <c r="B117" s="60"/>
      <c r="C117" s="65"/>
      <c r="D117" s="60"/>
      <c r="E117" s="59"/>
      <c r="F117" s="62"/>
      <c r="G117" s="63"/>
      <c r="H117" s="64"/>
      <c r="I117" s="65"/>
      <c r="J117" s="65"/>
      <c r="K117" s="65"/>
      <c r="L117" s="65"/>
      <c r="M117" s="65"/>
      <c r="N117" s="65"/>
      <c r="O117" s="81">
        <f t="shared" si="3"/>
        <v>0</v>
      </c>
      <c r="P117" s="81">
        <f t="shared" si="4"/>
        <v>0</v>
      </c>
      <c r="Q117" s="65"/>
      <c r="R117" s="67"/>
      <c r="S117" s="83">
        <f t="shared" si="5"/>
        <v>0</v>
      </c>
    </row>
    <row r="118" spans="1:19" ht="18" customHeight="1" x14ac:dyDescent="0.25">
      <c r="A118" s="68"/>
      <c r="B118" s="69"/>
      <c r="C118" s="74"/>
      <c r="D118" s="69"/>
      <c r="E118" s="68"/>
      <c r="F118" s="71"/>
      <c r="G118" s="72"/>
      <c r="H118" s="73"/>
      <c r="I118" s="74"/>
      <c r="J118" s="74"/>
      <c r="K118" s="74"/>
      <c r="L118" s="74"/>
      <c r="M118" s="74"/>
      <c r="N118" s="74"/>
      <c r="O118" s="82">
        <f t="shared" si="3"/>
        <v>0</v>
      </c>
      <c r="P118" s="82">
        <f t="shared" si="4"/>
        <v>0</v>
      </c>
      <c r="Q118" s="74"/>
      <c r="R118" s="76"/>
      <c r="S118" s="84">
        <f t="shared" si="5"/>
        <v>0</v>
      </c>
    </row>
    <row r="119" spans="1:19" ht="18" customHeight="1" x14ac:dyDescent="0.25">
      <c r="A119" s="59"/>
      <c r="B119" s="60"/>
      <c r="C119" s="65"/>
      <c r="D119" s="60"/>
      <c r="E119" s="59"/>
      <c r="F119" s="62"/>
      <c r="G119" s="63"/>
      <c r="H119" s="64"/>
      <c r="I119" s="65"/>
      <c r="J119" s="65"/>
      <c r="K119" s="65"/>
      <c r="L119" s="65"/>
      <c r="M119" s="65"/>
      <c r="N119" s="65"/>
      <c r="O119" s="81">
        <f t="shared" si="3"/>
        <v>0</v>
      </c>
      <c r="P119" s="81">
        <f t="shared" si="4"/>
        <v>0</v>
      </c>
      <c r="Q119" s="65"/>
      <c r="R119" s="67"/>
      <c r="S119" s="83">
        <f t="shared" si="5"/>
        <v>0</v>
      </c>
    </row>
    <row r="120" spans="1:19" ht="18" customHeight="1" x14ac:dyDescent="0.25">
      <c r="A120" s="68"/>
      <c r="B120" s="69"/>
      <c r="C120" s="74"/>
      <c r="D120" s="69"/>
      <c r="E120" s="68"/>
      <c r="F120" s="71"/>
      <c r="G120" s="72"/>
      <c r="H120" s="73"/>
      <c r="I120" s="74"/>
      <c r="J120" s="74"/>
      <c r="K120" s="74"/>
      <c r="L120" s="74"/>
      <c r="M120" s="74"/>
      <c r="N120" s="74"/>
      <c r="O120" s="82">
        <f t="shared" si="3"/>
        <v>0</v>
      </c>
      <c r="P120" s="82">
        <f t="shared" si="4"/>
        <v>0</v>
      </c>
      <c r="Q120" s="74"/>
      <c r="R120" s="76"/>
      <c r="S120" s="84">
        <f t="shared" si="5"/>
        <v>0</v>
      </c>
    </row>
    <row r="121" spans="1:19" ht="18" customHeight="1" x14ac:dyDescent="0.25">
      <c r="A121" s="59"/>
      <c r="B121" s="60"/>
      <c r="C121" s="65"/>
      <c r="D121" s="60"/>
      <c r="E121" s="59"/>
      <c r="F121" s="62"/>
      <c r="G121" s="63"/>
      <c r="H121" s="64"/>
      <c r="I121" s="65"/>
      <c r="J121" s="65"/>
      <c r="K121" s="65"/>
      <c r="L121" s="65"/>
      <c r="M121" s="65"/>
      <c r="N121" s="65"/>
      <c r="O121" s="81">
        <f t="shared" si="3"/>
        <v>0</v>
      </c>
      <c r="P121" s="81">
        <f t="shared" si="4"/>
        <v>0</v>
      </c>
      <c r="Q121" s="65"/>
      <c r="R121" s="67"/>
      <c r="S121" s="83">
        <f t="shared" si="5"/>
        <v>0</v>
      </c>
    </row>
    <row r="122" spans="1:19" ht="18" customHeight="1" x14ac:dyDescent="0.25">
      <c r="A122" s="68"/>
      <c r="B122" s="69"/>
      <c r="C122" s="74"/>
      <c r="D122" s="69"/>
      <c r="E122" s="68"/>
      <c r="F122" s="71"/>
      <c r="G122" s="72"/>
      <c r="H122" s="73"/>
      <c r="I122" s="74"/>
      <c r="J122" s="74"/>
      <c r="K122" s="74"/>
      <c r="L122" s="74"/>
      <c r="M122" s="74"/>
      <c r="N122" s="74"/>
      <c r="O122" s="82">
        <f t="shared" si="3"/>
        <v>0</v>
      </c>
      <c r="P122" s="82">
        <f t="shared" si="4"/>
        <v>0</v>
      </c>
      <c r="Q122" s="74"/>
      <c r="R122" s="76"/>
      <c r="S122" s="84">
        <f t="shared" si="5"/>
        <v>0</v>
      </c>
    </row>
    <row r="123" spans="1:19" ht="18" customHeight="1" x14ac:dyDescent="0.25">
      <c r="A123" s="59"/>
      <c r="B123" s="60"/>
      <c r="C123" s="65"/>
      <c r="D123" s="60"/>
      <c r="E123" s="59"/>
      <c r="F123" s="62"/>
      <c r="G123" s="63"/>
      <c r="H123" s="64"/>
      <c r="I123" s="65"/>
      <c r="J123" s="65"/>
      <c r="K123" s="65"/>
      <c r="L123" s="65"/>
      <c r="M123" s="65"/>
      <c r="N123" s="65"/>
      <c r="O123" s="81">
        <f t="shared" si="3"/>
        <v>0</v>
      </c>
      <c r="P123" s="81">
        <f t="shared" si="4"/>
        <v>0</v>
      </c>
      <c r="Q123" s="65"/>
      <c r="R123" s="67"/>
      <c r="S123" s="83">
        <f t="shared" si="5"/>
        <v>0</v>
      </c>
    </row>
    <row r="124" spans="1:19" ht="18" customHeight="1" x14ac:dyDescent="0.25">
      <c r="A124" s="68"/>
      <c r="B124" s="69"/>
      <c r="C124" s="74"/>
      <c r="D124" s="69"/>
      <c r="E124" s="68"/>
      <c r="F124" s="71"/>
      <c r="G124" s="72"/>
      <c r="H124" s="73"/>
      <c r="I124" s="74"/>
      <c r="J124" s="74"/>
      <c r="K124" s="74"/>
      <c r="L124" s="74"/>
      <c r="M124" s="74"/>
      <c r="N124" s="74"/>
      <c r="O124" s="82">
        <f t="shared" si="3"/>
        <v>0</v>
      </c>
      <c r="P124" s="82">
        <f t="shared" si="4"/>
        <v>0</v>
      </c>
      <c r="Q124" s="74"/>
      <c r="R124" s="76"/>
      <c r="S124" s="84">
        <f t="shared" si="5"/>
        <v>0</v>
      </c>
    </row>
    <row r="125" spans="1:19" ht="18" customHeight="1" x14ac:dyDescent="0.25">
      <c r="A125" s="59"/>
      <c r="B125" s="60"/>
      <c r="C125" s="65"/>
      <c r="D125" s="60"/>
      <c r="E125" s="59"/>
      <c r="F125" s="62"/>
      <c r="G125" s="63"/>
      <c r="H125" s="64"/>
      <c r="I125" s="65"/>
      <c r="J125" s="65"/>
      <c r="K125" s="65"/>
      <c r="L125" s="65"/>
      <c r="M125" s="65"/>
      <c r="N125" s="65"/>
      <c r="O125" s="81">
        <f t="shared" si="3"/>
        <v>0</v>
      </c>
      <c r="P125" s="81">
        <f t="shared" si="4"/>
        <v>0</v>
      </c>
      <c r="Q125" s="65"/>
      <c r="R125" s="67"/>
      <c r="S125" s="83">
        <f t="shared" si="5"/>
        <v>0</v>
      </c>
    </row>
    <row r="126" spans="1:19" ht="18" customHeight="1" x14ac:dyDescent="0.25">
      <c r="A126" s="68"/>
      <c r="B126" s="69"/>
      <c r="C126" s="74"/>
      <c r="D126" s="69"/>
      <c r="E126" s="68"/>
      <c r="F126" s="71"/>
      <c r="G126" s="72"/>
      <c r="H126" s="73"/>
      <c r="I126" s="74"/>
      <c r="J126" s="74"/>
      <c r="K126" s="74"/>
      <c r="L126" s="74"/>
      <c r="M126" s="74"/>
      <c r="N126" s="74"/>
      <c r="O126" s="82">
        <f t="shared" si="3"/>
        <v>0</v>
      </c>
      <c r="P126" s="82">
        <f t="shared" si="4"/>
        <v>0</v>
      </c>
      <c r="Q126" s="74"/>
      <c r="R126" s="76"/>
      <c r="S126" s="84">
        <f t="shared" si="5"/>
        <v>0</v>
      </c>
    </row>
    <row r="127" spans="1:19" ht="18" customHeight="1" x14ac:dyDescent="0.25">
      <c r="A127" s="59"/>
      <c r="B127" s="60"/>
      <c r="C127" s="65"/>
      <c r="D127" s="60"/>
      <c r="E127" s="59"/>
      <c r="F127" s="62"/>
      <c r="G127" s="63"/>
      <c r="H127" s="64"/>
      <c r="I127" s="65"/>
      <c r="J127" s="65"/>
      <c r="K127" s="65"/>
      <c r="L127" s="65"/>
      <c r="M127" s="65"/>
      <c r="N127" s="65"/>
      <c r="O127" s="81">
        <f t="shared" si="3"/>
        <v>0</v>
      </c>
      <c r="P127" s="81">
        <f t="shared" si="4"/>
        <v>0</v>
      </c>
      <c r="Q127" s="65"/>
      <c r="R127" s="67"/>
      <c r="S127" s="83">
        <f t="shared" si="5"/>
        <v>0</v>
      </c>
    </row>
    <row r="128" spans="1:19" ht="18" customHeight="1" x14ac:dyDescent="0.25">
      <c r="A128" s="68"/>
      <c r="B128" s="69"/>
      <c r="C128" s="74"/>
      <c r="D128" s="69"/>
      <c r="E128" s="68"/>
      <c r="F128" s="71"/>
      <c r="G128" s="72"/>
      <c r="H128" s="73"/>
      <c r="I128" s="74"/>
      <c r="J128" s="74"/>
      <c r="K128" s="74"/>
      <c r="L128" s="74"/>
      <c r="M128" s="74"/>
      <c r="N128" s="74"/>
      <c r="O128" s="82">
        <f t="shared" si="3"/>
        <v>0</v>
      </c>
      <c r="P128" s="82">
        <f t="shared" si="4"/>
        <v>0</v>
      </c>
      <c r="Q128" s="74"/>
      <c r="R128" s="76"/>
      <c r="S128" s="84">
        <f t="shared" si="5"/>
        <v>0</v>
      </c>
    </row>
    <row r="129" spans="1:19" ht="18" customHeight="1" x14ac:dyDescent="0.25">
      <c r="A129" s="59"/>
      <c r="B129" s="60"/>
      <c r="C129" s="65"/>
      <c r="D129" s="60"/>
      <c r="E129" s="59"/>
      <c r="F129" s="62"/>
      <c r="G129" s="63"/>
      <c r="H129" s="64"/>
      <c r="I129" s="65"/>
      <c r="J129" s="65"/>
      <c r="K129" s="65"/>
      <c r="L129" s="65"/>
      <c r="M129" s="65"/>
      <c r="N129" s="65"/>
      <c r="O129" s="81">
        <f t="shared" si="3"/>
        <v>0</v>
      </c>
      <c r="P129" s="81">
        <f t="shared" si="4"/>
        <v>0</v>
      </c>
      <c r="Q129" s="65"/>
      <c r="R129" s="67"/>
      <c r="S129" s="83">
        <f t="shared" si="5"/>
        <v>0</v>
      </c>
    </row>
    <row r="130" spans="1:19" ht="18" customHeight="1" x14ac:dyDescent="0.25">
      <c r="A130" s="68"/>
      <c r="B130" s="69"/>
      <c r="C130" s="74"/>
      <c r="D130" s="69"/>
      <c r="E130" s="68"/>
      <c r="F130" s="71"/>
      <c r="G130" s="72"/>
      <c r="H130" s="73"/>
      <c r="I130" s="74"/>
      <c r="J130" s="74"/>
      <c r="K130" s="74"/>
      <c r="L130" s="74"/>
      <c r="M130" s="74"/>
      <c r="N130" s="74"/>
      <c r="O130" s="82">
        <f t="shared" si="3"/>
        <v>0</v>
      </c>
      <c r="P130" s="82">
        <f t="shared" si="4"/>
        <v>0</v>
      </c>
      <c r="Q130" s="74"/>
      <c r="R130" s="76"/>
      <c r="S130" s="84">
        <f t="shared" si="5"/>
        <v>0</v>
      </c>
    </row>
    <row r="131" spans="1:19" ht="18" customHeight="1" x14ac:dyDescent="0.25">
      <c r="A131" s="59"/>
      <c r="B131" s="60"/>
      <c r="C131" s="65"/>
      <c r="D131" s="60"/>
      <c r="E131" s="59"/>
      <c r="F131" s="62"/>
      <c r="G131" s="63"/>
      <c r="H131" s="64"/>
      <c r="I131" s="65"/>
      <c r="J131" s="65"/>
      <c r="K131" s="65"/>
      <c r="L131" s="65"/>
      <c r="M131" s="65"/>
      <c r="N131" s="65"/>
      <c r="O131" s="81">
        <f t="shared" si="3"/>
        <v>0</v>
      </c>
      <c r="P131" s="81">
        <f t="shared" si="4"/>
        <v>0</v>
      </c>
      <c r="Q131" s="65"/>
      <c r="R131" s="67"/>
      <c r="S131" s="83">
        <f t="shared" si="5"/>
        <v>0</v>
      </c>
    </row>
    <row r="132" spans="1:19" ht="18" customHeight="1" x14ac:dyDescent="0.25">
      <c r="A132" s="68"/>
      <c r="B132" s="69"/>
      <c r="C132" s="74"/>
      <c r="D132" s="69"/>
      <c r="E132" s="68"/>
      <c r="F132" s="71"/>
      <c r="G132" s="72"/>
      <c r="H132" s="73"/>
      <c r="I132" s="74"/>
      <c r="J132" s="74"/>
      <c r="K132" s="74"/>
      <c r="L132" s="74"/>
      <c r="M132" s="74"/>
      <c r="N132" s="74"/>
      <c r="O132" s="82">
        <f t="shared" si="3"/>
        <v>0</v>
      </c>
      <c r="P132" s="82">
        <f t="shared" si="4"/>
        <v>0</v>
      </c>
      <c r="Q132" s="74"/>
      <c r="R132" s="76"/>
      <c r="S132" s="84">
        <f t="shared" si="5"/>
        <v>0</v>
      </c>
    </row>
    <row r="133" spans="1:19" ht="18" customHeight="1" x14ac:dyDescent="0.25">
      <c r="A133" s="59"/>
      <c r="B133" s="60"/>
      <c r="C133" s="65"/>
      <c r="D133" s="60"/>
      <c r="E133" s="59"/>
      <c r="F133" s="62"/>
      <c r="G133" s="63"/>
      <c r="H133" s="64"/>
      <c r="I133" s="65"/>
      <c r="J133" s="65"/>
      <c r="K133" s="65"/>
      <c r="L133" s="65"/>
      <c r="M133" s="65"/>
      <c r="N133" s="65"/>
      <c r="O133" s="81">
        <f t="shared" si="3"/>
        <v>0</v>
      </c>
      <c r="P133" s="81">
        <f t="shared" si="4"/>
        <v>0</v>
      </c>
      <c r="Q133" s="65"/>
      <c r="R133" s="67"/>
      <c r="S133" s="83">
        <f t="shared" si="5"/>
        <v>0</v>
      </c>
    </row>
    <row r="134" spans="1:19" ht="18" customHeight="1" x14ac:dyDescent="0.25">
      <c r="A134" s="68"/>
      <c r="B134" s="69"/>
      <c r="C134" s="74"/>
      <c r="D134" s="69"/>
      <c r="E134" s="68"/>
      <c r="F134" s="71"/>
      <c r="G134" s="72"/>
      <c r="H134" s="73"/>
      <c r="I134" s="74"/>
      <c r="J134" s="74"/>
      <c r="K134" s="74"/>
      <c r="L134" s="74"/>
      <c r="M134" s="74"/>
      <c r="N134" s="74"/>
      <c r="O134" s="82" t="e">
        <f>#N/A</f>
        <v>#N/A</v>
      </c>
      <c r="P134" s="82" t="e">
        <f>#N/A</f>
        <v>#N/A</v>
      </c>
      <c r="Q134" s="74"/>
      <c r="R134" s="76"/>
      <c r="S134" s="84">
        <f t="shared" si="5"/>
        <v>0</v>
      </c>
    </row>
    <row r="135" spans="1:19" ht="18" customHeight="1" x14ac:dyDescent="0.25">
      <c r="A135" s="59"/>
      <c r="B135" s="60"/>
      <c r="C135" s="65"/>
      <c r="D135" s="60"/>
      <c r="E135" s="59"/>
      <c r="F135" s="62"/>
      <c r="G135" s="63"/>
      <c r="H135" s="64"/>
      <c r="I135" s="65"/>
      <c r="J135" s="65"/>
      <c r="K135" s="65"/>
      <c r="L135" s="65"/>
      <c r="M135" s="65"/>
      <c r="N135" s="65"/>
      <c r="O135" s="81">
        <f t="shared" ref="O135:O197" si="6">IF(G135="Reimbursement ","",I135+J135+K135+L135+M135)</f>
        <v>0</v>
      </c>
      <c r="P135" s="81">
        <f t="shared" ref="P135:P197" si="7">IF(G135="Reimbursement ","",H135-O135)</f>
        <v>0</v>
      </c>
      <c r="Q135" s="65"/>
      <c r="R135" s="67"/>
      <c r="S135" s="83">
        <f t="shared" ref="S135:S198" si="8">IF(OR(R135="",Q135=""),0,IF(R135&gt;Q135,R135-Q135,0))</f>
        <v>0</v>
      </c>
    </row>
    <row r="136" spans="1:19" ht="18" customHeight="1" x14ac:dyDescent="0.25">
      <c r="A136" s="68"/>
      <c r="B136" s="69"/>
      <c r="C136" s="74"/>
      <c r="D136" s="69"/>
      <c r="E136" s="68"/>
      <c r="F136" s="71"/>
      <c r="G136" s="72"/>
      <c r="H136" s="73"/>
      <c r="I136" s="74"/>
      <c r="J136" s="74"/>
      <c r="K136" s="74"/>
      <c r="L136" s="74"/>
      <c r="M136" s="74"/>
      <c r="N136" s="74"/>
      <c r="O136" s="82">
        <f t="shared" si="6"/>
        <v>0</v>
      </c>
      <c r="P136" s="82">
        <f t="shared" si="7"/>
        <v>0</v>
      </c>
      <c r="Q136" s="74"/>
      <c r="R136" s="76"/>
      <c r="S136" s="84">
        <f t="shared" si="8"/>
        <v>0</v>
      </c>
    </row>
    <row r="137" spans="1:19" ht="18" customHeight="1" x14ac:dyDescent="0.25">
      <c r="A137" s="59"/>
      <c r="B137" s="60"/>
      <c r="C137" s="65"/>
      <c r="D137" s="60"/>
      <c r="E137" s="59"/>
      <c r="F137" s="62"/>
      <c r="G137" s="63"/>
      <c r="H137" s="64"/>
      <c r="I137" s="65"/>
      <c r="J137" s="65"/>
      <c r="K137" s="65"/>
      <c r="L137" s="65"/>
      <c r="M137" s="65"/>
      <c r="N137" s="65"/>
      <c r="O137" s="81">
        <f t="shared" si="6"/>
        <v>0</v>
      </c>
      <c r="P137" s="81">
        <f t="shared" si="7"/>
        <v>0</v>
      </c>
      <c r="Q137" s="65"/>
      <c r="R137" s="67"/>
      <c r="S137" s="83">
        <f t="shared" si="8"/>
        <v>0</v>
      </c>
    </row>
    <row r="138" spans="1:19" ht="18" customHeight="1" x14ac:dyDescent="0.25">
      <c r="A138" s="68"/>
      <c r="B138" s="69"/>
      <c r="C138" s="74"/>
      <c r="D138" s="69"/>
      <c r="E138" s="68"/>
      <c r="F138" s="71"/>
      <c r="G138" s="72"/>
      <c r="H138" s="73"/>
      <c r="I138" s="74"/>
      <c r="J138" s="74"/>
      <c r="K138" s="74"/>
      <c r="L138" s="74"/>
      <c r="M138" s="74"/>
      <c r="N138" s="74"/>
      <c r="O138" s="82">
        <f t="shared" si="6"/>
        <v>0</v>
      </c>
      <c r="P138" s="82">
        <f t="shared" si="7"/>
        <v>0</v>
      </c>
      <c r="Q138" s="74"/>
      <c r="R138" s="76"/>
      <c r="S138" s="84">
        <f t="shared" si="8"/>
        <v>0</v>
      </c>
    </row>
    <row r="139" spans="1:19" ht="18" customHeight="1" x14ac:dyDescent="0.25">
      <c r="A139" s="59"/>
      <c r="B139" s="60"/>
      <c r="C139" s="65"/>
      <c r="D139" s="60"/>
      <c r="E139" s="59"/>
      <c r="F139" s="62"/>
      <c r="G139" s="63"/>
      <c r="H139" s="64"/>
      <c r="I139" s="65"/>
      <c r="J139" s="65"/>
      <c r="K139" s="65"/>
      <c r="L139" s="65"/>
      <c r="M139" s="65"/>
      <c r="N139" s="65"/>
      <c r="O139" s="81">
        <f t="shared" si="6"/>
        <v>0</v>
      </c>
      <c r="P139" s="81">
        <f t="shared" si="7"/>
        <v>0</v>
      </c>
      <c r="Q139" s="65"/>
      <c r="R139" s="67"/>
      <c r="S139" s="83">
        <f t="shared" si="8"/>
        <v>0</v>
      </c>
    </row>
    <row r="140" spans="1:19" ht="18" customHeight="1" x14ac:dyDescent="0.25">
      <c r="A140" s="68"/>
      <c r="B140" s="69"/>
      <c r="C140" s="74"/>
      <c r="D140" s="69"/>
      <c r="E140" s="68"/>
      <c r="F140" s="71"/>
      <c r="G140" s="72"/>
      <c r="H140" s="73"/>
      <c r="I140" s="74"/>
      <c r="J140" s="74"/>
      <c r="K140" s="74"/>
      <c r="L140" s="74"/>
      <c r="M140" s="74"/>
      <c r="N140" s="74"/>
      <c r="O140" s="82">
        <f t="shared" si="6"/>
        <v>0</v>
      </c>
      <c r="P140" s="82">
        <f t="shared" si="7"/>
        <v>0</v>
      </c>
      <c r="Q140" s="74"/>
      <c r="R140" s="76"/>
      <c r="S140" s="84">
        <f t="shared" si="8"/>
        <v>0</v>
      </c>
    </row>
    <row r="141" spans="1:19" ht="18" customHeight="1" x14ac:dyDescent="0.25">
      <c r="A141" s="59"/>
      <c r="B141" s="60"/>
      <c r="C141" s="65"/>
      <c r="D141" s="60"/>
      <c r="E141" s="59"/>
      <c r="F141" s="62"/>
      <c r="G141" s="63"/>
      <c r="H141" s="64"/>
      <c r="I141" s="65"/>
      <c r="J141" s="65"/>
      <c r="K141" s="65"/>
      <c r="L141" s="65"/>
      <c r="M141" s="65"/>
      <c r="N141" s="65"/>
      <c r="O141" s="81">
        <f t="shared" si="6"/>
        <v>0</v>
      </c>
      <c r="P141" s="81">
        <f t="shared" si="7"/>
        <v>0</v>
      </c>
      <c r="Q141" s="65"/>
      <c r="R141" s="67"/>
      <c r="S141" s="83">
        <f t="shared" si="8"/>
        <v>0</v>
      </c>
    </row>
    <row r="142" spans="1:19" ht="18" customHeight="1" x14ac:dyDescent="0.25">
      <c r="A142" s="68"/>
      <c r="B142" s="69"/>
      <c r="C142" s="74"/>
      <c r="D142" s="69"/>
      <c r="E142" s="68"/>
      <c r="F142" s="71"/>
      <c r="G142" s="72"/>
      <c r="H142" s="73"/>
      <c r="I142" s="74"/>
      <c r="J142" s="74"/>
      <c r="K142" s="74"/>
      <c r="L142" s="74"/>
      <c r="M142" s="74"/>
      <c r="N142" s="74"/>
      <c r="O142" s="82">
        <f t="shared" si="6"/>
        <v>0</v>
      </c>
      <c r="P142" s="82">
        <f t="shared" si="7"/>
        <v>0</v>
      </c>
      <c r="Q142" s="74"/>
      <c r="R142" s="76"/>
      <c r="S142" s="84">
        <f t="shared" si="8"/>
        <v>0</v>
      </c>
    </row>
    <row r="143" spans="1:19" ht="18" customHeight="1" x14ac:dyDescent="0.25">
      <c r="A143" s="59"/>
      <c r="B143" s="60"/>
      <c r="C143" s="65"/>
      <c r="D143" s="60"/>
      <c r="E143" s="59"/>
      <c r="F143" s="62"/>
      <c r="G143" s="63"/>
      <c r="H143" s="64"/>
      <c r="I143" s="65"/>
      <c r="J143" s="65"/>
      <c r="K143" s="65"/>
      <c r="L143" s="65"/>
      <c r="M143" s="65"/>
      <c r="N143" s="65"/>
      <c r="O143" s="81">
        <f t="shared" si="6"/>
        <v>0</v>
      </c>
      <c r="P143" s="81">
        <f t="shared" si="7"/>
        <v>0</v>
      </c>
      <c r="Q143" s="65"/>
      <c r="R143" s="67"/>
      <c r="S143" s="83">
        <f t="shared" si="8"/>
        <v>0</v>
      </c>
    </row>
    <row r="144" spans="1:19" ht="18" customHeight="1" x14ac:dyDescent="0.25">
      <c r="A144" s="68"/>
      <c r="B144" s="69"/>
      <c r="C144" s="74"/>
      <c r="D144" s="69"/>
      <c r="E144" s="68"/>
      <c r="F144" s="71"/>
      <c r="G144" s="72"/>
      <c r="H144" s="73"/>
      <c r="I144" s="74"/>
      <c r="J144" s="74"/>
      <c r="K144" s="74"/>
      <c r="L144" s="74"/>
      <c r="M144" s="74"/>
      <c r="N144" s="74"/>
      <c r="O144" s="82">
        <f t="shared" si="6"/>
        <v>0</v>
      </c>
      <c r="P144" s="82">
        <f t="shared" si="7"/>
        <v>0</v>
      </c>
      <c r="Q144" s="74"/>
      <c r="R144" s="76"/>
      <c r="S144" s="84">
        <f t="shared" si="8"/>
        <v>0</v>
      </c>
    </row>
    <row r="145" spans="1:19" ht="18" customHeight="1" x14ac:dyDescent="0.25">
      <c r="A145" s="59"/>
      <c r="B145" s="60"/>
      <c r="C145" s="65"/>
      <c r="D145" s="60"/>
      <c r="E145" s="59"/>
      <c r="F145" s="62"/>
      <c r="G145" s="63"/>
      <c r="H145" s="64"/>
      <c r="I145" s="65"/>
      <c r="J145" s="65"/>
      <c r="K145" s="65"/>
      <c r="L145" s="65"/>
      <c r="M145" s="65"/>
      <c r="N145" s="65"/>
      <c r="O145" s="81">
        <f t="shared" si="6"/>
        <v>0</v>
      </c>
      <c r="P145" s="81">
        <f t="shared" si="7"/>
        <v>0</v>
      </c>
      <c r="Q145" s="65"/>
      <c r="R145" s="67"/>
      <c r="S145" s="83">
        <f t="shared" si="8"/>
        <v>0</v>
      </c>
    </row>
    <row r="146" spans="1:19" ht="18" customHeight="1" x14ac:dyDescent="0.25">
      <c r="A146" s="68"/>
      <c r="B146" s="69"/>
      <c r="C146" s="74"/>
      <c r="D146" s="69"/>
      <c r="E146" s="68"/>
      <c r="F146" s="71"/>
      <c r="G146" s="72"/>
      <c r="H146" s="73"/>
      <c r="I146" s="74"/>
      <c r="J146" s="74"/>
      <c r="K146" s="74"/>
      <c r="L146" s="74"/>
      <c r="M146" s="74"/>
      <c r="N146" s="74"/>
      <c r="O146" s="82">
        <f t="shared" si="6"/>
        <v>0</v>
      </c>
      <c r="P146" s="82">
        <f t="shared" si="7"/>
        <v>0</v>
      </c>
      <c r="Q146" s="74"/>
      <c r="R146" s="76"/>
      <c r="S146" s="84">
        <f t="shared" si="8"/>
        <v>0</v>
      </c>
    </row>
    <row r="147" spans="1:19" ht="18" customHeight="1" x14ac:dyDescent="0.25">
      <c r="A147" s="59"/>
      <c r="B147" s="60"/>
      <c r="C147" s="65"/>
      <c r="D147" s="60"/>
      <c r="E147" s="59"/>
      <c r="F147" s="62"/>
      <c r="G147" s="63"/>
      <c r="H147" s="64"/>
      <c r="I147" s="65"/>
      <c r="J147" s="65"/>
      <c r="K147" s="65"/>
      <c r="L147" s="65"/>
      <c r="M147" s="65"/>
      <c r="N147" s="65"/>
      <c r="O147" s="81">
        <f t="shared" si="6"/>
        <v>0</v>
      </c>
      <c r="P147" s="81">
        <f t="shared" si="7"/>
        <v>0</v>
      </c>
      <c r="Q147" s="65"/>
      <c r="R147" s="67"/>
      <c r="S147" s="83">
        <f t="shared" si="8"/>
        <v>0</v>
      </c>
    </row>
    <row r="148" spans="1:19" ht="18" customHeight="1" x14ac:dyDescent="0.25">
      <c r="A148" s="68"/>
      <c r="B148" s="69"/>
      <c r="C148" s="74"/>
      <c r="D148" s="69"/>
      <c r="E148" s="68"/>
      <c r="F148" s="71"/>
      <c r="G148" s="72"/>
      <c r="H148" s="73"/>
      <c r="I148" s="74"/>
      <c r="J148" s="74"/>
      <c r="K148" s="74"/>
      <c r="L148" s="74"/>
      <c r="M148" s="74"/>
      <c r="N148" s="74"/>
      <c r="O148" s="82">
        <f t="shared" si="6"/>
        <v>0</v>
      </c>
      <c r="P148" s="82">
        <f t="shared" si="7"/>
        <v>0</v>
      </c>
      <c r="Q148" s="74"/>
      <c r="R148" s="76"/>
      <c r="S148" s="84">
        <f t="shared" si="8"/>
        <v>0</v>
      </c>
    </row>
    <row r="149" spans="1:19" ht="18" customHeight="1" x14ac:dyDescent="0.25">
      <c r="A149" s="59"/>
      <c r="B149" s="60"/>
      <c r="C149" s="65"/>
      <c r="D149" s="60"/>
      <c r="E149" s="59"/>
      <c r="F149" s="62"/>
      <c r="G149" s="63"/>
      <c r="H149" s="64"/>
      <c r="I149" s="65"/>
      <c r="J149" s="65"/>
      <c r="K149" s="65"/>
      <c r="L149" s="65"/>
      <c r="M149" s="65"/>
      <c r="N149" s="65"/>
      <c r="O149" s="81">
        <f t="shared" si="6"/>
        <v>0</v>
      </c>
      <c r="P149" s="81">
        <f t="shared" si="7"/>
        <v>0</v>
      </c>
      <c r="Q149" s="65"/>
      <c r="R149" s="67"/>
      <c r="S149" s="83">
        <f t="shared" si="8"/>
        <v>0</v>
      </c>
    </row>
    <row r="150" spans="1:19" ht="18" customHeight="1" x14ac:dyDescent="0.25">
      <c r="A150" s="68"/>
      <c r="B150" s="69"/>
      <c r="C150" s="74"/>
      <c r="D150" s="69"/>
      <c r="E150" s="68"/>
      <c r="F150" s="71"/>
      <c r="G150" s="72"/>
      <c r="H150" s="73"/>
      <c r="I150" s="74"/>
      <c r="J150" s="74"/>
      <c r="K150" s="74"/>
      <c r="L150" s="74"/>
      <c r="M150" s="74"/>
      <c r="N150" s="74"/>
      <c r="O150" s="82">
        <f t="shared" si="6"/>
        <v>0</v>
      </c>
      <c r="P150" s="82">
        <f t="shared" si="7"/>
        <v>0</v>
      </c>
      <c r="Q150" s="74"/>
      <c r="R150" s="76"/>
      <c r="S150" s="84">
        <f t="shared" si="8"/>
        <v>0</v>
      </c>
    </row>
    <row r="151" spans="1:19" ht="18" customHeight="1" x14ac:dyDescent="0.25">
      <c r="A151" s="59"/>
      <c r="B151" s="60"/>
      <c r="C151" s="65"/>
      <c r="D151" s="60"/>
      <c r="E151" s="59"/>
      <c r="F151" s="62"/>
      <c r="G151" s="63"/>
      <c r="H151" s="64"/>
      <c r="I151" s="65"/>
      <c r="J151" s="65"/>
      <c r="K151" s="65"/>
      <c r="L151" s="65"/>
      <c r="M151" s="65"/>
      <c r="N151" s="65"/>
      <c r="O151" s="81">
        <f t="shared" si="6"/>
        <v>0</v>
      </c>
      <c r="P151" s="81">
        <f t="shared" si="7"/>
        <v>0</v>
      </c>
      <c r="Q151" s="65"/>
      <c r="R151" s="67"/>
      <c r="S151" s="83">
        <f t="shared" si="8"/>
        <v>0</v>
      </c>
    </row>
    <row r="152" spans="1:19" ht="18" customHeight="1" x14ac:dyDescent="0.25">
      <c r="A152" s="68"/>
      <c r="B152" s="69"/>
      <c r="C152" s="74"/>
      <c r="D152" s="69"/>
      <c r="E152" s="68"/>
      <c r="F152" s="71"/>
      <c r="G152" s="72"/>
      <c r="H152" s="73"/>
      <c r="I152" s="74"/>
      <c r="J152" s="74"/>
      <c r="K152" s="74"/>
      <c r="L152" s="74"/>
      <c r="M152" s="74"/>
      <c r="N152" s="74"/>
      <c r="O152" s="82">
        <f t="shared" si="6"/>
        <v>0</v>
      </c>
      <c r="P152" s="82">
        <f t="shared" si="7"/>
        <v>0</v>
      </c>
      <c r="Q152" s="74"/>
      <c r="R152" s="76"/>
      <c r="S152" s="84">
        <f t="shared" si="8"/>
        <v>0</v>
      </c>
    </row>
    <row r="153" spans="1:19" ht="18" customHeight="1" x14ac:dyDescent="0.25">
      <c r="A153" s="59"/>
      <c r="B153" s="60"/>
      <c r="C153" s="65"/>
      <c r="D153" s="60"/>
      <c r="E153" s="59"/>
      <c r="F153" s="62"/>
      <c r="G153" s="63"/>
      <c r="H153" s="64"/>
      <c r="I153" s="65"/>
      <c r="J153" s="65"/>
      <c r="K153" s="65"/>
      <c r="L153" s="65"/>
      <c r="M153" s="65"/>
      <c r="N153" s="65"/>
      <c r="O153" s="81">
        <f t="shared" si="6"/>
        <v>0</v>
      </c>
      <c r="P153" s="81">
        <f t="shared" si="7"/>
        <v>0</v>
      </c>
      <c r="Q153" s="65"/>
      <c r="R153" s="67"/>
      <c r="S153" s="83">
        <f t="shared" si="8"/>
        <v>0</v>
      </c>
    </row>
    <row r="154" spans="1:19" ht="18" customHeight="1" x14ac:dyDescent="0.25">
      <c r="A154" s="68"/>
      <c r="B154" s="69"/>
      <c r="C154" s="74"/>
      <c r="D154" s="69"/>
      <c r="E154" s="68"/>
      <c r="F154" s="71"/>
      <c r="G154" s="72"/>
      <c r="H154" s="73"/>
      <c r="I154" s="74"/>
      <c r="J154" s="74"/>
      <c r="K154" s="74"/>
      <c r="L154" s="74"/>
      <c r="M154" s="74"/>
      <c r="N154" s="74"/>
      <c r="O154" s="82">
        <f t="shared" si="6"/>
        <v>0</v>
      </c>
      <c r="P154" s="82">
        <f t="shared" si="7"/>
        <v>0</v>
      </c>
      <c r="Q154" s="74"/>
      <c r="R154" s="76"/>
      <c r="S154" s="84">
        <f t="shared" si="8"/>
        <v>0</v>
      </c>
    </row>
    <row r="155" spans="1:19" ht="18" customHeight="1" x14ac:dyDescent="0.25">
      <c r="A155" s="59"/>
      <c r="B155" s="60"/>
      <c r="C155" s="65"/>
      <c r="D155" s="60"/>
      <c r="E155" s="59"/>
      <c r="F155" s="62"/>
      <c r="G155" s="63"/>
      <c r="H155" s="64"/>
      <c r="I155" s="65"/>
      <c r="J155" s="65"/>
      <c r="K155" s="65"/>
      <c r="L155" s="65"/>
      <c r="M155" s="65"/>
      <c r="N155" s="65"/>
      <c r="O155" s="81">
        <f t="shared" si="6"/>
        <v>0</v>
      </c>
      <c r="P155" s="81">
        <f t="shared" si="7"/>
        <v>0</v>
      </c>
      <c r="Q155" s="65"/>
      <c r="R155" s="67"/>
      <c r="S155" s="83">
        <f t="shared" si="8"/>
        <v>0</v>
      </c>
    </row>
    <row r="156" spans="1:19" ht="18" customHeight="1" x14ac:dyDescent="0.25">
      <c r="A156" s="68"/>
      <c r="B156" s="69"/>
      <c r="C156" s="74"/>
      <c r="D156" s="69"/>
      <c r="E156" s="68"/>
      <c r="F156" s="71"/>
      <c r="G156" s="72"/>
      <c r="H156" s="73"/>
      <c r="I156" s="74"/>
      <c r="J156" s="74"/>
      <c r="K156" s="74"/>
      <c r="L156" s="74"/>
      <c r="M156" s="74"/>
      <c r="N156" s="74"/>
      <c r="O156" s="82">
        <f t="shared" si="6"/>
        <v>0</v>
      </c>
      <c r="P156" s="82">
        <f t="shared" si="7"/>
        <v>0</v>
      </c>
      <c r="Q156" s="74"/>
      <c r="R156" s="76"/>
      <c r="S156" s="84">
        <f t="shared" si="8"/>
        <v>0</v>
      </c>
    </row>
    <row r="157" spans="1:19" ht="18" customHeight="1" x14ac:dyDescent="0.25">
      <c r="A157" s="59"/>
      <c r="B157" s="60"/>
      <c r="C157" s="65"/>
      <c r="D157" s="60"/>
      <c r="E157" s="59"/>
      <c r="F157" s="62"/>
      <c r="G157" s="63"/>
      <c r="H157" s="64"/>
      <c r="I157" s="65"/>
      <c r="J157" s="65"/>
      <c r="K157" s="65"/>
      <c r="L157" s="65"/>
      <c r="M157" s="65"/>
      <c r="N157" s="65"/>
      <c r="O157" s="81">
        <f t="shared" si="6"/>
        <v>0</v>
      </c>
      <c r="P157" s="81">
        <f t="shared" si="7"/>
        <v>0</v>
      </c>
      <c r="Q157" s="65"/>
      <c r="R157" s="67"/>
      <c r="S157" s="83">
        <f t="shared" si="8"/>
        <v>0</v>
      </c>
    </row>
    <row r="158" spans="1:19" ht="18" customHeight="1" x14ac:dyDescent="0.25">
      <c r="A158" s="68"/>
      <c r="B158" s="69"/>
      <c r="C158" s="74"/>
      <c r="D158" s="69"/>
      <c r="E158" s="68"/>
      <c r="F158" s="71"/>
      <c r="G158" s="72"/>
      <c r="H158" s="73"/>
      <c r="I158" s="74"/>
      <c r="J158" s="74"/>
      <c r="K158" s="74"/>
      <c r="L158" s="74"/>
      <c r="M158" s="74"/>
      <c r="N158" s="74"/>
      <c r="O158" s="82">
        <f t="shared" si="6"/>
        <v>0</v>
      </c>
      <c r="P158" s="82">
        <f t="shared" si="7"/>
        <v>0</v>
      </c>
      <c r="Q158" s="74"/>
      <c r="R158" s="76"/>
      <c r="S158" s="84">
        <f t="shared" si="8"/>
        <v>0</v>
      </c>
    </row>
    <row r="159" spans="1:19" ht="18" customHeight="1" x14ac:dyDescent="0.25">
      <c r="A159" s="59"/>
      <c r="B159" s="60"/>
      <c r="C159" s="65"/>
      <c r="D159" s="60"/>
      <c r="E159" s="59"/>
      <c r="F159" s="62"/>
      <c r="G159" s="63"/>
      <c r="H159" s="64"/>
      <c r="I159" s="65"/>
      <c r="J159" s="65"/>
      <c r="K159" s="65"/>
      <c r="L159" s="65"/>
      <c r="M159" s="65"/>
      <c r="N159" s="65"/>
      <c r="O159" s="81">
        <f t="shared" si="6"/>
        <v>0</v>
      </c>
      <c r="P159" s="81">
        <f t="shared" si="7"/>
        <v>0</v>
      </c>
      <c r="Q159" s="65"/>
      <c r="R159" s="67"/>
      <c r="S159" s="83">
        <f t="shared" si="8"/>
        <v>0</v>
      </c>
    </row>
    <row r="160" spans="1:19" ht="18" customHeight="1" x14ac:dyDescent="0.25">
      <c r="A160" s="68"/>
      <c r="B160" s="69"/>
      <c r="C160" s="74"/>
      <c r="D160" s="69"/>
      <c r="E160" s="68"/>
      <c r="F160" s="71"/>
      <c r="G160" s="72"/>
      <c r="H160" s="73"/>
      <c r="I160" s="74"/>
      <c r="J160" s="74"/>
      <c r="K160" s="74"/>
      <c r="L160" s="74"/>
      <c r="M160" s="74"/>
      <c r="N160" s="74"/>
      <c r="O160" s="82">
        <f t="shared" si="6"/>
        <v>0</v>
      </c>
      <c r="P160" s="82">
        <f t="shared" si="7"/>
        <v>0</v>
      </c>
      <c r="Q160" s="74"/>
      <c r="R160" s="76"/>
      <c r="S160" s="84">
        <f t="shared" si="8"/>
        <v>0</v>
      </c>
    </row>
    <row r="161" spans="1:19" ht="18" customHeight="1" x14ac:dyDescent="0.25">
      <c r="A161" s="59"/>
      <c r="B161" s="60"/>
      <c r="C161" s="65"/>
      <c r="D161" s="60"/>
      <c r="E161" s="59"/>
      <c r="F161" s="62"/>
      <c r="G161" s="63"/>
      <c r="H161" s="64"/>
      <c r="I161" s="65"/>
      <c r="J161" s="65"/>
      <c r="K161" s="65"/>
      <c r="L161" s="65"/>
      <c r="M161" s="65"/>
      <c r="N161" s="65"/>
      <c r="O161" s="81">
        <f t="shared" si="6"/>
        <v>0</v>
      </c>
      <c r="P161" s="81">
        <f t="shared" si="7"/>
        <v>0</v>
      </c>
      <c r="Q161" s="65"/>
      <c r="R161" s="67"/>
      <c r="S161" s="83">
        <f t="shared" si="8"/>
        <v>0</v>
      </c>
    </row>
    <row r="162" spans="1:19" ht="18" customHeight="1" x14ac:dyDescent="0.25">
      <c r="A162" s="68"/>
      <c r="B162" s="69"/>
      <c r="C162" s="74"/>
      <c r="D162" s="69"/>
      <c r="E162" s="68"/>
      <c r="F162" s="71"/>
      <c r="G162" s="72"/>
      <c r="H162" s="73"/>
      <c r="I162" s="74"/>
      <c r="J162" s="74"/>
      <c r="K162" s="74"/>
      <c r="L162" s="74"/>
      <c r="M162" s="74"/>
      <c r="N162" s="74"/>
      <c r="O162" s="82">
        <f t="shared" si="6"/>
        <v>0</v>
      </c>
      <c r="P162" s="82">
        <f t="shared" si="7"/>
        <v>0</v>
      </c>
      <c r="Q162" s="74"/>
      <c r="R162" s="76"/>
      <c r="S162" s="84">
        <f t="shared" si="8"/>
        <v>0</v>
      </c>
    </row>
    <row r="163" spans="1:19" ht="18" customHeight="1" x14ac:dyDescent="0.25">
      <c r="A163" s="59"/>
      <c r="B163" s="60"/>
      <c r="C163" s="65"/>
      <c r="D163" s="60"/>
      <c r="E163" s="59"/>
      <c r="F163" s="62"/>
      <c r="G163" s="63"/>
      <c r="H163" s="64"/>
      <c r="I163" s="65"/>
      <c r="J163" s="65"/>
      <c r="K163" s="65"/>
      <c r="L163" s="65"/>
      <c r="M163" s="65"/>
      <c r="N163" s="65"/>
      <c r="O163" s="81">
        <f t="shared" si="6"/>
        <v>0</v>
      </c>
      <c r="P163" s="81">
        <f t="shared" si="7"/>
        <v>0</v>
      </c>
      <c r="Q163" s="65"/>
      <c r="R163" s="67"/>
      <c r="S163" s="83">
        <f t="shared" si="8"/>
        <v>0</v>
      </c>
    </row>
    <row r="164" spans="1:19" ht="18" customHeight="1" x14ac:dyDescent="0.25">
      <c r="A164" s="68"/>
      <c r="B164" s="69"/>
      <c r="C164" s="74"/>
      <c r="D164" s="69"/>
      <c r="E164" s="68"/>
      <c r="F164" s="71"/>
      <c r="G164" s="72"/>
      <c r="H164" s="73"/>
      <c r="I164" s="74"/>
      <c r="J164" s="74"/>
      <c r="K164" s="74"/>
      <c r="L164" s="74"/>
      <c r="M164" s="74"/>
      <c r="N164" s="74"/>
      <c r="O164" s="82">
        <f t="shared" si="6"/>
        <v>0</v>
      </c>
      <c r="P164" s="82">
        <f t="shared" si="7"/>
        <v>0</v>
      </c>
      <c r="Q164" s="74"/>
      <c r="R164" s="76"/>
      <c r="S164" s="84">
        <f t="shared" si="8"/>
        <v>0</v>
      </c>
    </row>
    <row r="165" spans="1:19" ht="18" customHeight="1" x14ac:dyDescent="0.25">
      <c r="A165" s="59"/>
      <c r="B165" s="60"/>
      <c r="C165" s="65"/>
      <c r="D165" s="60"/>
      <c r="E165" s="59"/>
      <c r="F165" s="62"/>
      <c r="G165" s="63"/>
      <c r="H165" s="64"/>
      <c r="I165" s="65"/>
      <c r="J165" s="65"/>
      <c r="K165" s="65"/>
      <c r="L165" s="65"/>
      <c r="M165" s="65"/>
      <c r="N165" s="65"/>
      <c r="O165" s="81">
        <f t="shared" si="6"/>
        <v>0</v>
      </c>
      <c r="P165" s="81">
        <f t="shared" si="7"/>
        <v>0</v>
      </c>
      <c r="Q165" s="65"/>
      <c r="R165" s="67"/>
      <c r="S165" s="83">
        <f t="shared" si="8"/>
        <v>0</v>
      </c>
    </row>
    <row r="166" spans="1:19" ht="18" customHeight="1" x14ac:dyDescent="0.25">
      <c r="A166" s="68"/>
      <c r="B166" s="69"/>
      <c r="C166" s="74"/>
      <c r="D166" s="69"/>
      <c r="E166" s="68"/>
      <c r="F166" s="71"/>
      <c r="G166" s="72"/>
      <c r="H166" s="73"/>
      <c r="I166" s="74"/>
      <c r="J166" s="74"/>
      <c r="K166" s="74"/>
      <c r="L166" s="74"/>
      <c r="M166" s="74"/>
      <c r="N166" s="74"/>
      <c r="O166" s="82">
        <f t="shared" si="6"/>
        <v>0</v>
      </c>
      <c r="P166" s="82">
        <f t="shared" si="7"/>
        <v>0</v>
      </c>
      <c r="Q166" s="74"/>
      <c r="R166" s="76"/>
      <c r="S166" s="84">
        <f t="shared" si="8"/>
        <v>0</v>
      </c>
    </row>
    <row r="167" spans="1:19" ht="18" customHeight="1" x14ac:dyDescent="0.25">
      <c r="A167" s="59"/>
      <c r="B167" s="60"/>
      <c r="C167" s="65"/>
      <c r="D167" s="60"/>
      <c r="E167" s="59"/>
      <c r="F167" s="62"/>
      <c r="G167" s="63"/>
      <c r="H167" s="64"/>
      <c r="I167" s="65"/>
      <c r="J167" s="65"/>
      <c r="K167" s="65"/>
      <c r="L167" s="65"/>
      <c r="M167" s="65"/>
      <c r="N167" s="65"/>
      <c r="O167" s="81">
        <f t="shared" si="6"/>
        <v>0</v>
      </c>
      <c r="P167" s="81">
        <f t="shared" si="7"/>
        <v>0</v>
      </c>
      <c r="Q167" s="65"/>
      <c r="R167" s="67"/>
      <c r="S167" s="83">
        <f t="shared" si="8"/>
        <v>0</v>
      </c>
    </row>
    <row r="168" spans="1:19" ht="18" customHeight="1" x14ac:dyDescent="0.25">
      <c r="A168" s="68"/>
      <c r="B168" s="69"/>
      <c r="C168" s="74"/>
      <c r="D168" s="69"/>
      <c r="E168" s="68"/>
      <c r="F168" s="71"/>
      <c r="G168" s="72"/>
      <c r="H168" s="73"/>
      <c r="I168" s="74"/>
      <c r="J168" s="74"/>
      <c r="K168" s="74"/>
      <c r="L168" s="74"/>
      <c r="M168" s="74"/>
      <c r="N168" s="74"/>
      <c r="O168" s="82">
        <f t="shared" si="6"/>
        <v>0</v>
      </c>
      <c r="P168" s="82">
        <f t="shared" si="7"/>
        <v>0</v>
      </c>
      <c r="Q168" s="74"/>
      <c r="R168" s="76"/>
      <c r="S168" s="84">
        <f t="shared" si="8"/>
        <v>0</v>
      </c>
    </row>
    <row r="169" spans="1:19" ht="18" customHeight="1" x14ac:dyDescent="0.25">
      <c r="A169" s="59"/>
      <c r="B169" s="60"/>
      <c r="C169" s="65"/>
      <c r="D169" s="60"/>
      <c r="E169" s="59"/>
      <c r="F169" s="62"/>
      <c r="G169" s="63"/>
      <c r="H169" s="64"/>
      <c r="I169" s="65"/>
      <c r="J169" s="65"/>
      <c r="K169" s="65"/>
      <c r="L169" s="65"/>
      <c r="M169" s="65"/>
      <c r="N169" s="65"/>
      <c r="O169" s="81">
        <f t="shared" si="6"/>
        <v>0</v>
      </c>
      <c r="P169" s="81">
        <f t="shared" si="7"/>
        <v>0</v>
      </c>
      <c r="Q169" s="65"/>
      <c r="R169" s="67"/>
      <c r="S169" s="83">
        <f t="shared" si="8"/>
        <v>0</v>
      </c>
    </row>
    <row r="170" spans="1:19" ht="18" customHeight="1" x14ac:dyDescent="0.25">
      <c r="A170" s="68"/>
      <c r="B170" s="69"/>
      <c r="C170" s="74"/>
      <c r="D170" s="69"/>
      <c r="E170" s="68"/>
      <c r="F170" s="71"/>
      <c r="G170" s="72"/>
      <c r="H170" s="73"/>
      <c r="I170" s="74"/>
      <c r="J170" s="74"/>
      <c r="K170" s="74"/>
      <c r="L170" s="74"/>
      <c r="M170" s="74"/>
      <c r="N170" s="74"/>
      <c r="O170" s="82">
        <f t="shared" si="6"/>
        <v>0</v>
      </c>
      <c r="P170" s="82">
        <f t="shared" si="7"/>
        <v>0</v>
      </c>
      <c r="Q170" s="74"/>
      <c r="R170" s="76"/>
      <c r="S170" s="84">
        <f t="shared" si="8"/>
        <v>0</v>
      </c>
    </row>
    <row r="171" spans="1:19" ht="18" customHeight="1" x14ac:dyDescent="0.25">
      <c r="A171" s="59"/>
      <c r="B171" s="60"/>
      <c r="C171" s="65"/>
      <c r="D171" s="60"/>
      <c r="E171" s="59"/>
      <c r="F171" s="62"/>
      <c r="G171" s="63"/>
      <c r="H171" s="64"/>
      <c r="I171" s="65"/>
      <c r="J171" s="65"/>
      <c r="K171" s="65"/>
      <c r="L171" s="65"/>
      <c r="M171" s="65"/>
      <c r="N171" s="65"/>
      <c r="O171" s="81">
        <f t="shared" si="6"/>
        <v>0</v>
      </c>
      <c r="P171" s="81">
        <f t="shared" si="7"/>
        <v>0</v>
      </c>
      <c r="Q171" s="65"/>
      <c r="R171" s="67"/>
      <c r="S171" s="83">
        <f t="shared" si="8"/>
        <v>0</v>
      </c>
    </row>
    <row r="172" spans="1:19" ht="18" customHeight="1" x14ac:dyDescent="0.25">
      <c r="A172" s="68"/>
      <c r="B172" s="69"/>
      <c r="C172" s="74"/>
      <c r="D172" s="69"/>
      <c r="E172" s="68"/>
      <c r="F172" s="71"/>
      <c r="G172" s="72"/>
      <c r="H172" s="73"/>
      <c r="I172" s="74"/>
      <c r="J172" s="74"/>
      <c r="K172" s="74"/>
      <c r="L172" s="74"/>
      <c r="M172" s="74"/>
      <c r="N172" s="74"/>
      <c r="O172" s="82">
        <f t="shared" si="6"/>
        <v>0</v>
      </c>
      <c r="P172" s="82">
        <f t="shared" si="7"/>
        <v>0</v>
      </c>
      <c r="Q172" s="74"/>
      <c r="R172" s="76"/>
      <c r="S172" s="84">
        <f t="shared" si="8"/>
        <v>0</v>
      </c>
    </row>
    <row r="173" spans="1:19" ht="18" customHeight="1" x14ac:dyDescent="0.25">
      <c r="A173" s="59"/>
      <c r="B173" s="60"/>
      <c r="C173" s="65"/>
      <c r="D173" s="60"/>
      <c r="E173" s="59"/>
      <c r="F173" s="62"/>
      <c r="G173" s="63"/>
      <c r="H173" s="64"/>
      <c r="I173" s="65"/>
      <c r="J173" s="65"/>
      <c r="K173" s="65"/>
      <c r="L173" s="65"/>
      <c r="M173" s="65"/>
      <c r="N173" s="65"/>
      <c r="O173" s="81">
        <f t="shared" si="6"/>
        <v>0</v>
      </c>
      <c r="P173" s="81">
        <f t="shared" si="7"/>
        <v>0</v>
      </c>
      <c r="Q173" s="65"/>
      <c r="R173" s="67"/>
      <c r="S173" s="83">
        <f t="shared" si="8"/>
        <v>0</v>
      </c>
    </row>
    <row r="174" spans="1:19" ht="18" customHeight="1" x14ac:dyDescent="0.25">
      <c r="A174" s="68"/>
      <c r="B174" s="69"/>
      <c r="C174" s="74"/>
      <c r="D174" s="69"/>
      <c r="E174" s="68"/>
      <c r="F174" s="71"/>
      <c r="G174" s="72"/>
      <c r="H174" s="73"/>
      <c r="I174" s="74"/>
      <c r="J174" s="74"/>
      <c r="K174" s="74"/>
      <c r="L174" s="74"/>
      <c r="M174" s="74"/>
      <c r="N174" s="74"/>
      <c r="O174" s="82">
        <f t="shared" si="6"/>
        <v>0</v>
      </c>
      <c r="P174" s="82">
        <f t="shared" si="7"/>
        <v>0</v>
      </c>
      <c r="Q174" s="74"/>
      <c r="R174" s="76"/>
      <c r="S174" s="84">
        <f t="shared" si="8"/>
        <v>0</v>
      </c>
    </row>
    <row r="175" spans="1:19" ht="18" customHeight="1" x14ac:dyDescent="0.25">
      <c r="A175" s="59"/>
      <c r="B175" s="60"/>
      <c r="C175" s="65"/>
      <c r="D175" s="60"/>
      <c r="E175" s="59"/>
      <c r="F175" s="62"/>
      <c r="G175" s="63"/>
      <c r="H175" s="64"/>
      <c r="I175" s="65"/>
      <c r="J175" s="65"/>
      <c r="K175" s="65"/>
      <c r="L175" s="65"/>
      <c r="M175" s="65"/>
      <c r="N175" s="65"/>
      <c r="O175" s="81">
        <f t="shared" si="6"/>
        <v>0</v>
      </c>
      <c r="P175" s="81">
        <f t="shared" si="7"/>
        <v>0</v>
      </c>
      <c r="Q175" s="65"/>
      <c r="R175" s="67"/>
      <c r="S175" s="83">
        <f t="shared" si="8"/>
        <v>0</v>
      </c>
    </row>
    <row r="176" spans="1:19" ht="18" customHeight="1" x14ac:dyDescent="0.25">
      <c r="A176" s="68"/>
      <c r="B176" s="69"/>
      <c r="C176" s="74"/>
      <c r="D176" s="69"/>
      <c r="E176" s="68"/>
      <c r="F176" s="71"/>
      <c r="G176" s="72"/>
      <c r="H176" s="73"/>
      <c r="I176" s="74"/>
      <c r="J176" s="74"/>
      <c r="K176" s="74"/>
      <c r="L176" s="74"/>
      <c r="M176" s="74"/>
      <c r="N176" s="74"/>
      <c r="O176" s="82">
        <f t="shared" si="6"/>
        <v>0</v>
      </c>
      <c r="P176" s="82">
        <f t="shared" si="7"/>
        <v>0</v>
      </c>
      <c r="Q176" s="74"/>
      <c r="R176" s="76"/>
      <c r="S176" s="84">
        <f t="shared" si="8"/>
        <v>0</v>
      </c>
    </row>
    <row r="177" spans="1:19" ht="18" customHeight="1" x14ac:dyDescent="0.25">
      <c r="A177" s="59"/>
      <c r="B177" s="60"/>
      <c r="C177" s="65"/>
      <c r="D177" s="60"/>
      <c r="E177" s="59"/>
      <c r="F177" s="62"/>
      <c r="G177" s="63"/>
      <c r="H177" s="64"/>
      <c r="I177" s="65"/>
      <c r="J177" s="65"/>
      <c r="K177" s="65"/>
      <c r="L177" s="65"/>
      <c r="M177" s="65"/>
      <c r="N177" s="65"/>
      <c r="O177" s="81">
        <f t="shared" si="6"/>
        <v>0</v>
      </c>
      <c r="P177" s="81">
        <f t="shared" si="7"/>
        <v>0</v>
      </c>
      <c r="Q177" s="65"/>
      <c r="R177" s="67"/>
      <c r="S177" s="83">
        <f t="shared" si="8"/>
        <v>0</v>
      </c>
    </row>
    <row r="178" spans="1:19" ht="18" customHeight="1" x14ac:dyDescent="0.25">
      <c r="A178" s="68"/>
      <c r="B178" s="69"/>
      <c r="C178" s="74"/>
      <c r="D178" s="69"/>
      <c r="E178" s="68"/>
      <c r="F178" s="71"/>
      <c r="G178" s="72"/>
      <c r="H178" s="73"/>
      <c r="I178" s="74"/>
      <c r="J178" s="74"/>
      <c r="K178" s="74"/>
      <c r="L178" s="74"/>
      <c r="M178" s="74"/>
      <c r="N178" s="74"/>
      <c r="O178" s="82">
        <f t="shared" si="6"/>
        <v>0</v>
      </c>
      <c r="P178" s="82">
        <f t="shared" si="7"/>
        <v>0</v>
      </c>
      <c r="Q178" s="74"/>
      <c r="R178" s="76"/>
      <c r="S178" s="84">
        <f t="shared" si="8"/>
        <v>0</v>
      </c>
    </row>
    <row r="179" spans="1:19" ht="18" customHeight="1" x14ac:dyDescent="0.25">
      <c r="A179" s="59"/>
      <c r="B179" s="60"/>
      <c r="C179" s="65"/>
      <c r="D179" s="60"/>
      <c r="E179" s="59"/>
      <c r="F179" s="62"/>
      <c r="G179" s="63"/>
      <c r="H179" s="64"/>
      <c r="I179" s="65"/>
      <c r="J179" s="65"/>
      <c r="K179" s="65"/>
      <c r="L179" s="65"/>
      <c r="M179" s="65"/>
      <c r="N179" s="65"/>
      <c r="O179" s="81">
        <f t="shared" si="6"/>
        <v>0</v>
      </c>
      <c r="P179" s="81">
        <f t="shared" si="7"/>
        <v>0</v>
      </c>
      <c r="Q179" s="65"/>
      <c r="R179" s="67"/>
      <c r="S179" s="83">
        <f t="shared" si="8"/>
        <v>0</v>
      </c>
    </row>
    <row r="180" spans="1:19" ht="18" customHeight="1" x14ac:dyDescent="0.25">
      <c r="A180" s="68"/>
      <c r="B180" s="69"/>
      <c r="C180" s="74"/>
      <c r="D180" s="69"/>
      <c r="E180" s="68"/>
      <c r="F180" s="71"/>
      <c r="G180" s="72"/>
      <c r="H180" s="73"/>
      <c r="I180" s="74"/>
      <c r="J180" s="74"/>
      <c r="K180" s="74"/>
      <c r="L180" s="74"/>
      <c r="M180" s="74"/>
      <c r="N180" s="74"/>
      <c r="O180" s="82">
        <f t="shared" si="6"/>
        <v>0</v>
      </c>
      <c r="P180" s="82">
        <f t="shared" si="7"/>
        <v>0</v>
      </c>
      <c r="Q180" s="74"/>
      <c r="R180" s="76"/>
      <c r="S180" s="84">
        <f t="shared" si="8"/>
        <v>0</v>
      </c>
    </row>
    <row r="181" spans="1:19" ht="18" customHeight="1" x14ac:dyDescent="0.25">
      <c r="A181" s="59"/>
      <c r="B181" s="60"/>
      <c r="C181" s="65"/>
      <c r="D181" s="60"/>
      <c r="E181" s="59"/>
      <c r="F181" s="62"/>
      <c r="G181" s="63"/>
      <c r="H181" s="64"/>
      <c r="I181" s="65"/>
      <c r="J181" s="65"/>
      <c r="K181" s="65"/>
      <c r="L181" s="65"/>
      <c r="M181" s="65"/>
      <c r="N181" s="65"/>
      <c r="O181" s="81">
        <f t="shared" si="6"/>
        <v>0</v>
      </c>
      <c r="P181" s="81">
        <f t="shared" si="7"/>
        <v>0</v>
      </c>
      <c r="Q181" s="65"/>
      <c r="R181" s="67"/>
      <c r="S181" s="83">
        <f t="shared" si="8"/>
        <v>0</v>
      </c>
    </row>
    <row r="182" spans="1:19" ht="18" customHeight="1" x14ac:dyDescent="0.25">
      <c r="A182" s="68"/>
      <c r="B182" s="69"/>
      <c r="C182" s="74"/>
      <c r="D182" s="69"/>
      <c r="E182" s="68"/>
      <c r="F182" s="71"/>
      <c r="G182" s="72"/>
      <c r="H182" s="73"/>
      <c r="I182" s="74"/>
      <c r="J182" s="74"/>
      <c r="K182" s="74"/>
      <c r="L182" s="74"/>
      <c r="M182" s="74"/>
      <c r="N182" s="74"/>
      <c r="O182" s="82">
        <f t="shared" si="6"/>
        <v>0</v>
      </c>
      <c r="P182" s="82">
        <f t="shared" si="7"/>
        <v>0</v>
      </c>
      <c r="Q182" s="74"/>
      <c r="R182" s="76"/>
      <c r="S182" s="84">
        <f t="shared" si="8"/>
        <v>0</v>
      </c>
    </row>
    <row r="183" spans="1:19" ht="18" customHeight="1" x14ac:dyDescent="0.25">
      <c r="A183" s="59"/>
      <c r="B183" s="60"/>
      <c r="C183" s="65"/>
      <c r="D183" s="60"/>
      <c r="E183" s="59"/>
      <c r="F183" s="62"/>
      <c r="G183" s="63"/>
      <c r="H183" s="64"/>
      <c r="I183" s="65"/>
      <c r="J183" s="65"/>
      <c r="K183" s="65"/>
      <c r="L183" s="65"/>
      <c r="M183" s="65"/>
      <c r="N183" s="65"/>
      <c r="O183" s="81">
        <f t="shared" si="6"/>
        <v>0</v>
      </c>
      <c r="P183" s="81">
        <f t="shared" si="7"/>
        <v>0</v>
      </c>
      <c r="Q183" s="65"/>
      <c r="R183" s="67"/>
      <c r="S183" s="83">
        <f t="shared" si="8"/>
        <v>0</v>
      </c>
    </row>
    <row r="184" spans="1:19" ht="18" customHeight="1" x14ac:dyDescent="0.25">
      <c r="A184" s="68"/>
      <c r="B184" s="69"/>
      <c r="C184" s="74"/>
      <c r="D184" s="69"/>
      <c r="E184" s="68"/>
      <c r="F184" s="71"/>
      <c r="G184" s="72"/>
      <c r="H184" s="73"/>
      <c r="I184" s="74"/>
      <c r="J184" s="74"/>
      <c r="K184" s="74"/>
      <c r="L184" s="74"/>
      <c r="M184" s="74"/>
      <c r="N184" s="74"/>
      <c r="O184" s="82">
        <f t="shared" si="6"/>
        <v>0</v>
      </c>
      <c r="P184" s="82">
        <f t="shared" si="7"/>
        <v>0</v>
      </c>
      <c r="Q184" s="74"/>
      <c r="R184" s="76"/>
      <c r="S184" s="84">
        <f t="shared" si="8"/>
        <v>0</v>
      </c>
    </row>
    <row r="185" spans="1:19" ht="18" customHeight="1" x14ac:dyDescent="0.25">
      <c r="A185" s="59"/>
      <c r="B185" s="60"/>
      <c r="C185" s="65"/>
      <c r="D185" s="60"/>
      <c r="E185" s="59"/>
      <c r="F185" s="62"/>
      <c r="G185" s="63"/>
      <c r="H185" s="64"/>
      <c r="I185" s="65"/>
      <c r="J185" s="65"/>
      <c r="K185" s="65"/>
      <c r="L185" s="65"/>
      <c r="M185" s="65"/>
      <c r="N185" s="65"/>
      <c r="O185" s="81">
        <f t="shared" si="6"/>
        <v>0</v>
      </c>
      <c r="P185" s="81">
        <f t="shared" si="7"/>
        <v>0</v>
      </c>
      <c r="Q185" s="65"/>
      <c r="R185" s="67"/>
      <c r="S185" s="83">
        <f t="shared" si="8"/>
        <v>0</v>
      </c>
    </row>
    <row r="186" spans="1:19" ht="18" customHeight="1" x14ac:dyDescent="0.25">
      <c r="A186" s="68"/>
      <c r="B186" s="69"/>
      <c r="C186" s="74"/>
      <c r="D186" s="69"/>
      <c r="E186" s="68"/>
      <c r="F186" s="71"/>
      <c r="G186" s="72"/>
      <c r="H186" s="73"/>
      <c r="I186" s="74"/>
      <c r="J186" s="74"/>
      <c r="K186" s="74"/>
      <c r="L186" s="74"/>
      <c r="M186" s="74"/>
      <c r="N186" s="74"/>
      <c r="O186" s="82">
        <f t="shared" si="6"/>
        <v>0</v>
      </c>
      <c r="P186" s="82">
        <f t="shared" si="7"/>
        <v>0</v>
      </c>
      <c r="Q186" s="74"/>
      <c r="R186" s="76"/>
      <c r="S186" s="84">
        <f t="shared" si="8"/>
        <v>0</v>
      </c>
    </row>
    <row r="187" spans="1:19" ht="18" customHeight="1" x14ac:dyDescent="0.25">
      <c r="A187" s="59"/>
      <c r="B187" s="60"/>
      <c r="C187" s="65"/>
      <c r="D187" s="60"/>
      <c r="E187" s="59"/>
      <c r="F187" s="62"/>
      <c r="G187" s="63"/>
      <c r="H187" s="64"/>
      <c r="I187" s="65"/>
      <c r="J187" s="65"/>
      <c r="K187" s="65"/>
      <c r="L187" s="65"/>
      <c r="M187" s="65"/>
      <c r="N187" s="65"/>
      <c r="O187" s="81">
        <f t="shared" si="6"/>
        <v>0</v>
      </c>
      <c r="P187" s="81">
        <f t="shared" si="7"/>
        <v>0</v>
      </c>
      <c r="Q187" s="65"/>
      <c r="R187" s="67"/>
      <c r="S187" s="83">
        <f t="shared" si="8"/>
        <v>0</v>
      </c>
    </row>
    <row r="188" spans="1:19" ht="18" customHeight="1" x14ac:dyDescent="0.25">
      <c r="A188" s="68"/>
      <c r="B188" s="69"/>
      <c r="C188" s="74"/>
      <c r="D188" s="69"/>
      <c r="E188" s="68"/>
      <c r="F188" s="71"/>
      <c r="G188" s="72"/>
      <c r="H188" s="73"/>
      <c r="I188" s="74"/>
      <c r="J188" s="74"/>
      <c r="K188" s="74"/>
      <c r="L188" s="74"/>
      <c r="M188" s="74"/>
      <c r="N188" s="74"/>
      <c r="O188" s="82">
        <f t="shared" si="6"/>
        <v>0</v>
      </c>
      <c r="P188" s="82">
        <f t="shared" si="7"/>
        <v>0</v>
      </c>
      <c r="Q188" s="74"/>
      <c r="R188" s="76"/>
      <c r="S188" s="84">
        <f t="shared" si="8"/>
        <v>0</v>
      </c>
    </row>
    <row r="189" spans="1:19" ht="18" customHeight="1" x14ac:dyDescent="0.25">
      <c r="A189" s="59"/>
      <c r="B189" s="60"/>
      <c r="C189" s="65"/>
      <c r="D189" s="60"/>
      <c r="E189" s="59"/>
      <c r="F189" s="62"/>
      <c r="G189" s="63"/>
      <c r="H189" s="64"/>
      <c r="I189" s="65"/>
      <c r="J189" s="65"/>
      <c r="K189" s="65"/>
      <c r="L189" s="65"/>
      <c r="M189" s="65"/>
      <c r="N189" s="65"/>
      <c r="O189" s="81">
        <f t="shared" si="6"/>
        <v>0</v>
      </c>
      <c r="P189" s="81">
        <f t="shared" si="7"/>
        <v>0</v>
      </c>
      <c r="Q189" s="65"/>
      <c r="R189" s="67"/>
      <c r="S189" s="83">
        <f t="shared" si="8"/>
        <v>0</v>
      </c>
    </row>
    <row r="190" spans="1:19" ht="18" customHeight="1" x14ac:dyDescent="0.25">
      <c r="A190" s="68"/>
      <c r="B190" s="69"/>
      <c r="C190" s="74"/>
      <c r="D190" s="69"/>
      <c r="E190" s="68"/>
      <c r="F190" s="71"/>
      <c r="G190" s="72"/>
      <c r="H190" s="73"/>
      <c r="I190" s="74"/>
      <c r="J190" s="74"/>
      <c r="K190" s="74"/>
      <c r="L190" s="74"/>
      <c r="M190" s="74"/>
      <c r="N190" s="74"/>
      <c r="O190" s="82">
        <f t="shared" si="6"/>
        <v>0</v>
      </c>
      <c r="P190" s="82">
        <f t="shared" si="7"/>
        <v>0</v>
      </c>
      <c r="Q190" s="74"/>
      <c r="R190" s="76"/>
      <c r="S190" s="84">
        <f t="shared" si="8"/>
        <v>0</v>
      </c>
    </row>
    <row r="191" spans="1:19" ht="18" customHeight="1" x14ac:dyDescent="0.25">
      <c r="A191" s="59"/>
      <c r="B191" s="60"/>
      <c r="C191" s="65"/>
      <c r="D191" s="60"/>
      <c r="E191" s="59"/>
      <c r="F191" s="62"/>
      <c r="G191" s="63"/>
      <c r="H191" s="64"/>
      <c r="I191" s="65"/>
      <c r="J191" s="65"/>
      <c r="K191" s="65"/>
      <c r="L191" s="65"/>
      <c r="M191" s="65"/>
      <c r="N191" s="65"/>
      <c r="O191" s="81">
        <f t="shared" si="6"/>
        <v>0</v>
      </c>
      <c r="P191" s="81">
        <f t="shared" si="7"/>
        <v>0</v>
      </c>
      <c r="Q191" s="65"/>
      <c r="R191" s="67"/>
      <c r="S191" s="83">
        <f t="shared" si="8"/>
        <v>0</v>
      </c>
    </row>
    <row r="192" spans="1:19" ht="18" customHeight="1" x14ac:dyDescent="0.25">
      <c r="A192" s="68"/>
      <c r="B192" s="69"/>
      <c r="C192" s="74"/>
      <c r="D192" s="69"/>
      <c r="E192" s="68"/>
      <c r="F192" s="71"/>
      <c r="G192" s="72"/>
      <c r="H192" s="73"/>
      <c r="I192" s="74"/>
      <c r="J192" s="74"/>
      <c r="K192" s="74"/>
      <c r="L192" s="74"/>
      <c r="M192" s="74"/>
      <c r="N192" s="74"/>
      <c r="O192" s="82">
        <f t="shared" si="6"/>
        <v>0</v>
      </c>
      <c r="P192" s="82">
        <f t="shared" si="7"/>
        <v>0</v>
      </c>
      <c r="Q192" s="74"/>
      <c r="R192" s="76"/>
      <c r="S192" s="84">
        <f t="shared" si="8"/>
        <v>0</v>
      </c>
    </row>
    <row r="193" spans="1:19" ht="18" customHeight="1" x14ac:dyDescent="0.25">
      <c r="A193" s="59"/>
      <c r="B193" s="60"/>
      <c r="C193" s="65"/>
      <c r="D193" s="60"/>
      <c r="E193" s="59"/>
      <c r="F193" s="62"/>
      <c r="G193" s="63"/>
      <c r="H193" s="64"/>
      <c r="I193" s="65"/>
      <c r="J193" s="65"/>
      <c r="K193" s="65"/>
      <c r="L193" s="65"/>
      <c r="M193" s="65"/>
      <c r="N193" s="65"/>
      <c r="O193" s="81">
        <f t="shared" si="6"/>
        <v>0</v>
      </c>
      <c r="P193" s="81">
        <f t="shared" si="7"/>
        <v>0</v>
      </c>
      <c r="Q193" s="65"/>
      <c r="R193" s="67"/>
      <c r="S193" s="83">
        <f t="shared" si="8"/>
        <v>0</v>
      </c>
    </row>
    <row r="194" spans="1:19" ht="18" customHeight="1" x14ac:dyDescent="0.25">
      <c r="A194" s="68"/>
      <c r="B194" s="69"/>
      <c r="C194" s="74"/>
      <c r="D194" s="69"/>
      <c r="E194" s="68"/>
      <c r="F194" s="71"/>
      <c r="G194" s="72"/>
      <c r="H194" s="73"/>
      <c r="I194" s="74"/>
      <c r="J194" s="74"/>
      <c r="K194" s="74"/>
      <c r="L194" s="74"/>
      <c r="M194" s="74"/>
      <c r="N194" s="74"/>
      <c r="O194" s="82">
        <f t="shared" si="6"/>
        <v>0</v>
      </c>
      <c r="P194" s="82">
        <f t="shared" si="7"/>
        <v>0</v>
      </c>
      <c r="Q194" s="74"/>
      <c r="R194" s="76"/>
      <c r="S194" s="84">
        <f t="shared" si="8"/>
        <v>0</v>
      </c>
    </row>
    <row r="195" spans="1:19" ht="18" customHeight="1" x14ac:dyDescent="0.25">
      <c r="A195" s="59"/>
      <c r="B195" s="60"/>
      <c r="C195" s="65"/>
      <c r="D195" s="60"/>
      <c r="E195" s="59"/>
      <c r="F195" s="62"/>
      <c r="G195" s="63"/>
      <c r="H195" s="64"/>
      <c r="I195" s="65"/>
      <c r="J195" s="65"/>
      <c r="K195" s="65"/>
      <c r="L195" s="65"/>
      <c r="M195" s="65"/>
      <c r="N195" s="65"/>
      <c r="O195" s="81">
        <f t="shared" si="6"/>
        <v>0</v>
      </c>
      <c r="P195" s="81">
        <f t="shared" si="7"/>
        <v>0</v>
      </c>
      <c r="Q195" s="65"/>
      <c r="R195" s="67"/>
      <c r="S195" s="83">
        <f t="shared" si="8"/>
        <v>0</v>
      </c>
    </row>
    <row r="196" spans="1:19" ht="18" customHeight="1" x14ac:dyDescent="0.25">
      <c r="A196" s="68"/>
      <c r="B196" s="69"/>
      <c r="C196" s="74"/>
      <c r="D196" s="69"/>
      <c r="E196" s="68"/>
      <c r="F196" s="71"/>
      <c r="G196" s="72"/>
      <c r="H196" s="73"/>
      <c r="I196" s="74"/>
      <c r="J196" s="74"/>
      <c r="K196" s="74"/>
      <c r="L196" s="74"/>
      <c r="M196" s="74"/>
      <c r="N196" s="74"/>
      <c r="O196" s="82">
        <f t="shared" si="6"/>
        <v>0</v>
      </c>
      <c r="P196" s="82">
        <f t="shared" si="7"/>
        <v>0</v>
      </c>
      <c r="Q196" s="74"/>
      <c r="R196" s="76"/>
      <c r="S196" s="84">
        <f t="shared" si="8"/>
        <v>0</v>
      </c>
    </row>
    <row r="197" spans="1:19" ht="18" customHeight="1" x14ac:dyDescent="0.25">
      <c r="A197" s="59"/>
      <c r="B197" s="60"/>
      <c r="C197" s="65"/>
      <c r="D197" s="60"/>
      <c r="E197" s="59"/>
      <c r="F197" s="62"/>
      <c r="G197" s="63"/>
      <c r="H197" s="64"/>
      <c r="I197" s="65"/>
      <c r="J197" s="65"/>
      <c r="K197" s="65"/>
      <c r="L197" s="65"/>
      <c r="M197" s="65"/>
      <c r="N197" s="65"/>
      <c r="O197" s="81">
        <f t="shared" si="6"/>
        <v>0</v>
      </c>
      <c r="P197" s="81">
        <f t="shared" si="7"/>
        <v>0</v>
      </c>
      <c r="Q197" s="65"/>
      <c r="R197" s="67"/>
      <c r="S197" s="83">
        <f t="shared" si="8"/>
        <v>0</v>
      </c>
    </row>
    <row r="198" spans="1:19" ht="18" customHeight="1" x14ac:dyDescent="0.25">
      <c r="A198" s="68"/>
      <c r="B198" s="69"/>
      <c r="C198" s="74"/>
      <c r="D198" s="69"/>
      <c r="E198" s="68"/>
      <c r="F198" s="71"/>
      <c r="G198" s="72"/>
      <c r="H198" s="73"/>
      <c r="I198" s="74"/>
      <c r="J198" s="74"/>
      <c r="K198" s="74"/>
      <c r="L198" s="74"/>
      <c r="M198" s="74"/>
      <c r="N198" s="74"/>
      <c r="O198" s="82" t="e">
        <f>#N/A</f>
        <v>#N/A</v>
      </c>
      <c r="P198" s="82" t="e">
        <f>#N/A</f>
        <v>#N/A</v>
      </c>
      <c r="Q198" s="74"/>
      <c r="R198" s="76"/>
      <c r="S198" s="84">
        <f t="shared" si="8"/>
        <v>0</v>
      </c>
    </row>
    <row r="199" spans="1:19" ht="18" customHeight="1" x14ac:dyDescent="0.25">
      <c r="A199" s="59"/>
      <c r="B199" s="60"/>
      <c r="C199" s="65"/>
      <c r="D199" s="60"/>
      <c r="E199" s="59"/>
      <c r="F199" s="62"/>
      <c r="G199" s="63"/>
      <c r="H199" s="64"/>
      <c r="I199" s="65"/>
      <c r="J199" s="65"/>
      <c r="K199" s="65"/>
      <c r="L199" s="65"/>
      <c r="M199" s="65"/>
      <c r="N199" s="65"/>
      <c r="O199" s="81">
        <f t="shared" ref="O199:O261" si="9">IF(G199="Reimbursement ","",I199+J199+K199+L199+M199)</f>
        <v>0</v>
      </c>
      <c r="P199" s="81">
        <f t="shared" ref="P199:P261" si="10">IF(G199="Reimbursement ","",H199-O199)</f>
        <v>0</v>
      </c>
      <c r="Q199" s="65"/>
      <c r="R199" s="67"/>
      <c r="S199" s="83">
        <f t="shared" ref="S199:S262" si="11">IF(OR(R199="",Q199=""),0,IF(R199&gt;Q199,R199-Q199,0))</f>
        <v>0</v>
      </c>
    </row>
    <row r="200" spans="1:19" ht="18" customHeight="1" x14ac:dyDescent="0.25">
      <c r="A200" s="68"/>
      <c r="B200" s="69"/>
      <c r="C200" s="74"/>
      <c r="D200" s="69"/>
      <c r="E200" s="68"/>
      <c r="F200" s="71"/>
      <c r="G200" s="72"/>
      <c r="H200" s="73"/>
      <c r="I200" s="74"/>
      <c r="J200" s="74"/>
      <c r="K200" s="74"/>
      <c r="L200" s="74"/>
      <c r="M200" s="74"/>
      <c r="N200" s="74"/>
      <c r="O200" s="82">
        <f t="shared" si="9"/>
        <v>0</v>
      </c>
      <c r="P200" s="82">
        <f t="shared" si="10"/>
        <v>0</v>
      </c>
      <c r="Q200" s="74"/>
      <c r="R200" s="76"/>
      <c r="S200" s="84">
        <f t="shared" si="11"/>
        <v>0</v>
      </c>
    </row>
    <row r="201" spans="1:19" ht="18" customHeight="1" x14ac:dyDescent="0.25">
      <c r="A201" s="59"/>
      <c r="B201" s="60"/>
      <c r="C201" s="65"/>
      <c r="D201" s="60"/>
      <c r="E201" s="59"/>
      <c r="F201" s="62"/>
      <c r="G201" s="63"/>
      <c r="H201" s="64"/>
      <c r="I201" s="65"/>
      <c r="J201" s="65"/>
      <c r="K201" s="65"/>
      <c r="L201" s="65"/>
      <c r="M201" s="65"/>
      <c r="N201" s="65"/>
      <c r="O201" s="81">
        <f t="shared" si="9"/>
        <v>0</v>
      </c>
      <c r="P201" s="81">
        <f t="shared" si="10"/>
        <v>0</v>
      </c>
      <c r="Q201" s="65"/>
      <c r="R201" s="67"/>
      <c r="S201" s="83">
        <f t="shared" si="11"/>
        <v>0</v>
      </c>
    </row>
    <row r="202" spans="1:19" ht="18" customHeight="1" x14ac:dyDescent="0.25">
      <c r="A202" s="68"/>
      <c r="B202" s="69"/>
      <c r="C202" s="74"/>
      <c r="D202" s="69"/>
      <c r="E202" s="68"/>
      <c r="F202" s="71"/>
      <c r="G202" s="72"/>
      <c r="H202" s="73"/>
      <c r="I202" s="74"/>
      <c r="J202" s="74"/>
      <c r="K202" s="74"/>
      <c r="L202" s="74"/>
      <c r="M202" s="74"/>
      <c r="N202" s="74"/>
      <c r="O202" s="82">
        <f t="shared" si="9"/>
        <v>0</v>
      </c>
      <c r="P202" s="82">
        <f t="shared" si="10"/>
        <v>0</v>
      </c>
      <c r="Q202" s="74"/>
      <c r="R202" s="76"/>
      <c r="S202" s="84">
        <f t="shared" si="11"/>
        <v>0</v>
      </c>
    </row>
    <row r="203" spans="1:19" ht="18" customHeight="1" x14ac:dyDescent="0.25">
      <c r="A203" s="59"/>
      <c r="B203" s="60"/>
      <c r="C203" s="65"/>
      <c r="D203" s="60"/>
      <c r="E203" s="59"/>
      <c r="F203" s="62"/>
      <c r="G203" s="63"/>
      <c r="H203" s="64"/>
      <c r="I203" s="65"/>
      <c r="J203" s="65"/>
      <c r="K203" s="65"/>
      <c r="L203" s="65"/>
      <c r="M203" s="65"/>
      <c r="N203" s="65"/>
      <c r="O203" s="81">
        <f t="shared" si="9"/>
        <v>0</v>
      </c>
      <c r="P203" s="81">
        <f t="shared" si="10"/>
        <v>0</v>
      </c>
      <c r="Q203" s="65"/>
      <c r="R203" s="67"/>
      <c r="S203" s="83">
        <f t="shared" si="11"/>
        <v>0</v>
      </c>
    </row>
    <row r="204" spans="1:19" ht="18" customHeight="1" x14ac:dyDescent="0.25">
      <c r="A204" s="68"/>
      <c r="B204" s="69"/>
      <c r="C204" s="74"/>
      <c r="D204" s="69"/>
      <c r="E204" s="68"/>
      <c r="F204" s="71"/>
      <c r="G204" s="72"/>
      <c r="H204" s="73"/>
      <c r="I204" s="74"/>
      <c r="J204" s="74"/>
      <c r="K204" s="74"/>
      <c r="L204" s="74"/>
      <c r="M204" s="74"/>
      <c r="N204" s="74"/>
      <c r="O204" s="82">
        <f t="shared" si="9"/>
        <v>0</v>
      </c>
      <c r="P204" s="82">
        <f t="shared" si="10"/>
        <v>0</v>
      </c>
      <c r="Q204" s="74"/>
      <c r="R204" s="76"/>
      <c r="S204" s="84">
        <f t="shared" si="11"/>
        <v>0</v>
      </c>
    </row>
    <row r="205" spans="1:19" ht="18" customHeight="1" x14ac:dyDescent="0.25">
      <c r="A205" s="59"/>
      <c r="B205" s="60"/>
      <c r="C205" s="65"/>
      <c r="D205" s="60"/>
      <c r="E205" s="59"/>
      <c r="F205" s="62"/>
      <c r="G205" s="63"/>
      <c r="H205" s="64"/>
      <c r="I205" s="65"/>
      <c r="J205" s="65"/>
      <c r="K205" s="65"/>
      <c r="L205" s="65"/>
      <c r="M205" s="65"/>
      <c r="N205" s="65"/>
      <c r="O205" s="81">
        <f t="shared" si="9"/>
        <v>0</v>
      </c>
      <c r="P205" s="81">
        <f t="shared" si="10"/>
        <v>0</v>
      </c>
      <c r="Q205" s="65"/>
      <c r="R205" s="67"/>
      <c r="S205" s="83">
        <f t="shared" si="11"/>
        <v>0</v>
      </c>
    </row>
    <row r="206" spans="1:19" ht="18" customHeight="1" x14ac:dyDescent="0.25">
      <c r="A206" s="68"/>
      <c r="B206" s="69"/>
      <c r="C206" s="74"/>
      <c r="D206" s="69"/>
      <c r="E206" s="68"/>
      <c r="F206" s="71"/>
      <c r="G206" s="72"/>
      <c r="H206" s="73"/>
      <c r="I206" s="74"/>
      <c r="J206" s="74"/>
      <c r="K206" s="74"/>
      <c r="L206" s="74"/>
      <c r="M206" s="74"/>
      <c r="N206" s="74"/>
      <c r="O206" s="82">
        <f t="shared" si="9"/>
        <v>0</v>
      </c>
      <c r="P206" s="82">
        <f t="shared" si="10"/>
        <v>0</v>
      </c>
      <c r="Q206" s="74"/>
      <c r="R206" s="76"/>
      <c r="S206" s="84">
        <f t="shared" si="11"/>
        <v>0</v>
      </c>
    </row>
    <row r="207" spans="1:19" ht="18" customHeight="1" x14ac:dyDescent="0.25">
      <c r="A207" s="59"/>
      <c r="B207" s="60"/>
      <c r="C207" s="65"/>
      <c r="D207" s="60"/>
      <c r="E207" s="59"/>
      <c r="F207" s="62"/>
      <c r="G207" s="63"/>
      <c r="H207" s="64"/>
      <c r="I207" s="65"/>
      <c r="J207" s="65"/>
      <c r="K207" s="65"/>
      <c r="L207" s="65"/>
      <c r="M207" s="65"/>
      <c r="N207" s="65"/>
      <c r="O207" s="81">
        <f t="shared" si="9"/>
        <v>0</v>
      </c>
      <c r="P207" s="81">
        <f t="shared" si="10"/>
        <v>0</v>
      </c>
      <c r="Q207" s="65"/>
      <c r="R207" s="67"/>
      <c r="S207" s="83">
        <f t="shared" si="11"/>
        <v>0</v>
      </c>
    </row>
    <row r="208" spans="1:19" ht="18" customHeight="1" x14ac:dyDescent="0.25">
      <c r="A208" s="68"/>
      <c r="B208" s="69"/>
      <c r="C208" s="74"/>
      <c r="D208" s="69"/>
      <c r="E208" s="68"/>
      <c r="F208" s="71"/>
      <c r="G208" s="72"/>
      <c r="H208" s="73"/>
      <c r="I208" s="74"/>
      <c r="J208" s="74"/>
      <c r="K208" s="74"/>
      <c r="L208" s="74"/>
      <c r="M208" s="74"/>
      <c r="N208" s="74"/>
      <c r="O208" s="82">
        <f t="shared" si="9"/>
        <v>0</v>
      </c>
      <c r="P208" s="82">
        <f t="shared" si="10"/>
        <v>0</v>
      </c>
      <c r="Q208" s="74"/>
      <c r="R208" s="76"/>
      <c r="S208" s="84">
        <f t="shared" si="11"/>
        <v>0</v>
      </c>
    </row>
    <row r="209" spans="1:19" ht="18" customHeight="1" x14ac:dyDescent="0.25">
      <c r="A209" s="59"/>
      <c r="B209" s="60"/>
      <c r="C209" s="65"/>
      <c r="D209" s="60"/>
      <c r="E209" s="59"/>
      <c r="F209" s="62"/>
      <c r="G209" s="63"/>
      <c r="H209" s="64"/>
      <c r="I209" s="65"/>
      <c r="J209" s="65"/>
      <c r="K209" s="65"/>
      <c r="L209" s="65"/>
      <c r="M209" s="65"/>
      <c r="N209" s="65"/>
      <c r="O209" s="81">
        <f t="shared" si="9"/>
        <v>0</v>
      </c>
      <c r="P209" s="81">
        <f t="shared" si="10"/>
        <v>0</v>
      </c>
      <c r="Q209" s="65"/>
      <c r="R209" s="67"/>
      <c r="S209" s="83">
        <f t="shared" si="11"/>
        <v>0</v>
      </c>
    </row>
    <row r="210" spans="1:19" ht="18" customHeight="1" x14ac:dyDescent="0.25">
      <c r="A210" s="68"/>
      <c r="B210" s="69"/>
      <c r="C210" s="74"/>
      <c r="D210" s="69"/>
      <c r="E210" s="68"/>
      <c r="F210" s="71"/>
      <c r="G210" s="72"/>
      <c r="H210" s="73"/>
      <c r="I210" s="74"/>
      <c r="J210" s="74"/>
      <c r="K210" s="74"/>
      <c r="L210" s="74"/>
      <c r="M210" s="74"/>
      <c r="N210" s="74"/>
      <c r="O210" s="82">
        <f t="shared" si="9"/>
        <v>0</v>
      </c>
      <c r="P210" s="82">
        <f t="shared" si="10"/>
        <v>0</v>
      </c>
      <c r="Q210" s="74"/>
      <c r="R210" s="76"/>
      <c r="S210" s="84">
        <f t="shared" si="11"/>
        <v>0</v>
      </c>
    </row>
    <row r="211" spans="1:19" ht="18" customHeight="1" x14ac:dyDescent="0.25">
      <c r="A211" s="59"/>
      <c r="B211" s="60"/>
      <c r="C211" s="65"/>
      <c r="D211" s="60"/>
      <c r="E211" s="59"/>
      <c r="F211" s="62"/>
      <c r="G211" s="63"/>
      <c r="H211" s="64"/>
      <c r="I211" s="65"/>
      <c r="J211" s="65"/>
      <c r="K211" s="65"/>
      <c r="L211" s="65"/>
      <c r="M211" s="65"/>
      <c r="N211" s="65"/>
      <c r="O211" s="81">
        <f t="shared" si="9"/>
        <v>0</v>
      </c>
      <c r="P211" s="81">
        <f t="shared" si="10"/>
        <v>0</v>
      </c>
      <c r="Q211" s="65"/>
      <c r="R211" s="67"/>
      <c r="S211" s="83">
        <f t="shared" si="11"/>
        <v>0</v>
      </c>
    </row>
    <row r="212" spans="1:19" ht="18" customHeight="1" x14ac:dyDescent="0.25">
      <c r="A212" s="68"/>
      <c r="B212" s="69"/>
      <c r="C212" s="74"/>
      <c r="D212" s="69"/>
      <c r="E212" s="68"/>
      <c r="F212" s="71"/>
      <c r="G212" s="72"/>
      <c r="H212" s="73"/>
      <c r="I212" s="74"/>
      <c r="J212" s="74"/>
      <c r="K212" s="74"/>
      <c r="L212" s="74"/>
      <c r="M212" s="74"/>
      <c r="N212" s="74"/>
      <c r="O212" s="82">
        <f t="shared" si="9"/>
        <v>0</v>
      </c>
      <c r="P212" s="82">
        <f t="shared" si="10"/>
        <v>0</v>
      </c>
      <c r="Q212" s="74"/>
      <c r="R212" s="76"/>
      <c r="S212" s="84">
        <f t="shared" si="11"/>
        <v>0</v>
      </c>
    </row>
    <row r="213" spans="1:19" ht="18" customHeight="1" x14ac:dyDescent="0.25">
      <c r="A213" s="59"/>
      <c r="B213" s="60"/>
      <c r="C213" s="65"/>
      <c r="D213" s="60"/>
      <c r="E213" s="59"/>
      <c r="F213" s="62"/>
      <c r="G213" s="63"/>
      <c r="H213" s="64"/>
      <c r="I213" s="65"/>
      <c r="J213" s="65"/>
      <c r="K213" s="65"/>
      <c r="L213" s="65"/>
      <c r="M213" s="65"/>
      <c r="N213" s="65"/>
      <c r="O213" s="81">
        <f t="shared" si="9"/>
        <v>0</v>
      </c>
      <c r="P213" s="81">
        <f t="shared" si="10"/>
        <v>0</v>
      </c>
      <c r="Q213" s="65"/>
      <c r="R213" s="67"/>
      <c r="S213" s="83">
        <f t="shared" si="11"/>
        <v>0</v>
      </c>
    </row>
    <row r="214" spans="1:19" ht="18" customHeight="1" x14ac:dyDescent="0.25">
      <c r="A214" s="68"/>
      <c r="B214" s="69"/>
      <c r="C214" s="74"/>
      <c r="D214" s="69"/>
      <c r="E214" s="68"/>
      <c r="F214" s="71"/>
      <c r="G214" s="72"/>
      <c r="H214" s="73"/>
      <c r="I214" s="74"/>
      <c r="J214" s="74"/>
      <c r="K214" s="74"/>
      <c r="L214" s="74"/>
      <c r="M214" s="74"/>
      <c r="N214" s="74"/>
      <c r="O214" s="82">
        <f t="shared" si="9"/>
        <v>0</v>
      </c>
      <c r="P214" s="82">
        <f t="shared" si="10"/>
        <v>0</v>
      </c>
      <c r="Q214" s="74"/>
      <c r="R214" s="76"/>
      <c r="S214" s="84">
        <f t="shared" si="11"/>
        <v>0</v>
      </c>
    </row>
    <row r="215" spans="1:19" ht="18" customHeight="1" x14ac:dyDescent="0.25">
      <c r="A215" s="59"/>
      <c r="B215" s="60"/>
      <c r="C215" s="65"/>
      <c r="D215" s="60"/>
      <c r="E215" s="59"/>
      <c r="F215" s="62"/>
      <c r="G215" s="63"/>
      <c r="H215" s="64"/>
      <c r="I215" s="65"/>
      <c r="J215" s="65"/>
      <c r="K215" s="65"/>
      <c r="L215" s="65"/>
      <c r="M215" s="65"/>
      <c r="N215" s="65"/>
      <c r="O215" s="81">
        <f t="shared" si="9"/>
        <v>0</v>
      </c>
      <c r="P215" s="81">
        <f t="shared" si="10"/>
        <v>0</v>
      </c>
      <c r="Q215" s="65"/>
      <c r="R215" s="67"/>
      <c r="S215" s="83">
        <f t="shared" si="11"/>
        <v>0</v>
      </c>
    </row>
    <row r="216" spans="1:19" ht="18" customHeight="1" x14ac:dyDescent="0.25">
      <c r="A216" s="68"/>
      <c r="B216" s="69"/>
      <c r="C216" s="74"/>
      <c r="D216" s="69"/>
      <c r="E216" s="68"/>
      <c r="F216" s="71"/>
      <c r="G216" s="72"/>
      <c r="H216" s="73"/>
      <c r="I216" s="74"/>
      <c r="J216" s="74"/>
      <c r="K216" s="74"/>
      <c r="L216" s="74"/>
      <c r="M216" s="74"/>
      <c r="N216" s="74"/>
      <c r="O216" s="82">
        <f t="shared" si="9"/>
        <v>0</v>
      </c>
      <c r="P216" s="82">
        <f t="shared" si="10"/>
        <v>0</v>
      </c>
      <c r="Q216" s="74"/>
      <c r="R216" s="76"/>
      <c r="S216" s="84">
        <f t="shared" si="11"/>
        <v>0</v>
      </c>
    </row>
    <row r="217" spans="1:19" ht="18" customHeight="1" x14ac:dyDescent="0.25">
      <c r="A217" s="59"/>
      <c r="B217" s="60"/>
      <c r="C217" s="65"/>
      <c r="D217" s="60"/>
      <c r="E217" s="59"/>
      <c r="F217" s="62"/>
      <c r="G217" s="63"/>
      <c r="H217" s="64"/>
      <c r="I217" s="65"/>
      <c r="J217" s="65"/>
      <c r="K217" s="65"/>
      <c r="L217" s="65"/>
      <c r="M217" s="65"/>
      <c r="N217" s="65"/>
      <c r="O217" s="81">
        <f t="shared" si="9"/>
        <v>0</v>
      </c>
      <c r="P217" s="81">
        <f t="shared" si="10"/>
        <v>0</v>
      </c>
      <c r="Q217" s="65"/>
      <c r="R217" s="67"/>
      <c r="S217" s="83">
        <f t="shared" si="11"/>
        <v>0</v>
      </c>
    </row>
    <row r="218" spans="1:19" ht="18" customHeight="1" x14ac:dyDescent="0.25">
      <c r="A218" s="68"/>
      <c r="B218" s="69"/>
      <c r="C218" s="74"/>
      <c r="D218" s="69"/>
      <c r="E218" s="68"/>
      <c r="F218" s="71"/>
      <c r="G218" s="72"/>
      <c r="H218" s="73"/>
      <c r="I218" s="74"/>
      <c r="J218" s="74"/>
      <c r="K218" s="74"/>
      <c r="L218" s="74"/>
      <c r="M218" s="74"/>
      <c r="N218" s="74"/>
      <c r="O218" s="82">
        <f t="shared" si="9"/>
        <v>0</v>
      </c>
      <c r="P218" s="82">
        <f t="shared" si="10"/>
        <v>0</v>
      </c>
      <c r="Q218" s="74"/>
      <c r="R218" s="76"/>
      <c r="S218" s="84">
        <f t="shared" si="11"/>
        <v>0</v>
      </c>
    </row>
    <row r="219" spans="1:19" ht="18" customHeight="1" x14ac:dyDescent="0.25">
      <c r="A219" s="59"/>
      <c r="B219" s="60"/>
      <c r="C219" s="65"/>
      <c r="D219" s="60"/>
      <c r="E219" s="59"/>
      <c r="F219" s="62"/>
      <c r="G219" s="63"/>
      <c r="H219" s="64"/>
      <c r="I219" s="65"/>
      <c r="J219" s="65"/>
      <c r="K219" s="65"/>
      <c r="L219" s="65"/>
      <c r="M219" s="65"/>
      <c r="N219" s="65"/>
      <c r="O219" s="81">
        <f t="shared" si="9"/>
        <v>0</v>
      </c>
      <c r="P219" s="81">
        <f t="shared" si="10"/>
        <v>0</v>
      </c>
      <c r="Q219" s="65"/>
      <c r="R219" s="67"/>
      <c r="S219" s="83">
        <f t="shared" si="11"/>
        <v>0</v>
      </c>
    </row>
    <row r="220" spans="1:19" ht="18" customHeight="1" x14ac:dyDescent="0.25">
      <c r="A220" s="68"/>
      <c r="B220" s="69"/>
      <c r="C220" s="74"/>
      <c r="D220" s="69"/>
      <c r="E220" s="68"/>
      <c r="F220" s="71"/>
      <c r="G220" s="72"/>
      <c r="H220" s="73"/>
      <c r="I220" s="74"/>
      <c r="J220" s="74"/>
      <c r="K220" s="74"/>
      <c r="L220" s="74"/>
      <c r="M220" s="74"/>
      <c r="N220" s="74"/>
      <c r="O220" s="82">
        <f t="shared" si="9"/>
        <v>0</v>
      </c>
      <c r="P220" s="82">
        <f t="shared" si="10"/>
        <v>0</v>
      </c>
      <c r="Q220" s="74"/>
      <c r="R220" s="76"/>
      <c r="S220" s="84">
        <f t="shared" si="11"/>
        <v>0</v>
      </c>
    </row>
    <row r="221" spans="1:19" ht="18" customHeight="1" x14ac:dyDescent="0.25">
      <c r="A221" s="59"/>
      <c r="B221" s="60"/>
      <c r="C221" s="65"/>
      <c r="D221" s="60"/>
      <c r="E221" s="59"/>
      <c r="F221" s="62"/>
      <c r="G221" s="63"/>
      <c r="H221" s="64"/>
      <c r="I221" s="65"/>
      <c r="J221" s="65"/>
      <c r="K221" s="65"/>
      <c r="L221" s="65"/>
      <c r="M221" s="65"/>
      <c r="N221" s="65"/>
      <c r="O221" s="81">
        <f t="shared" si="9"/>
        <v>0</v>
      </c>
      <c r="P221" s="81">
        <f t="shared" si="10"/>
        <v>0</v>
      </c>
      <c r="Q221" s="65"/>
      <c r="R221" s="67"/>
      <c r="S221" s="83">
        <f t="shared" si="11"/>
        <v>0</v>
      </c>
    </row>
    <row r="222" spans="1:19" ht="18" customHeight="1" x14ac:dyDescent="0.25">
      <c r="A222" s="68"/>
      <c r="B222" s="69"/>
      <c r="C222" s="74"/>
      <c r="D222" s="69"/>
      <c r="E222" s="68"/>
      <c r="F222" s="71"/>
      <c r="G222" s="72"/>
      <c r="H222" s="73"/>
      <c r="I222" s="74"/>
      <c r="J222" s="74"/>
      <c r="K222" s="74"/>
      <c r="L222" s="74"/>
      <c r="M222" s="74"/>
      <c r="N222" s="74"/>
      <c r="O222" s="82">
        <f t="shared" si="9"/>
        <v>0</v>
      </c>
      <c r="P222" s="82">
        <f t="shared" si="10"/>
        <v>0</v>
      </c>
      <c r="Q222" s="74"/>
      <c r="R222" s="76"/>
      <c r="S222" s="84">
        <f t="shared" si="11"/>
        <v>0</v>
      </c>
    </row>
    <row r="223" spans="1:19" ht="18" customHeight="1" x14ac:dyDescent="0.25">
      <c r="A223" s="59"/>
      <c r="B223" s="60"/>
      <c r="C223" s="65"/>
      <c r="D223" s="60"/>
      <c r="E223" s="59"/>
      <c r="F223" s="62"/>
      <c r="G223" s="63"/>
      <c r="H223" s="64"/>
      <c r="I223" s="65"/>
      <c r="J223" s="65"/>
      <c r="K223" s="65"/>
      <c r="L223" s="65"/>
      <c r="M223" s="65"/>
      <c r="N223" s="65"/>
      <c r="O223" s="81">
        <f t="shared" si="9"/>
        <v>0</v>
      </c>
      <c r="P223" s="81">
        <f t="shared" si="10"/>
        <v>0</v>
      </c>
      <c r="Q223" s="65"/>
      <c r="R223" s="67"/>
      <c r="S223" s="83">
        <f t="shared" si="11"/>
        <v>0</v>
      </c>
    </row>
    <row r="224" spans="1:19" ht="18" customHeight="1" x14ac:dyDescent="0.25">
      <c r="A224" s="68"/>
      <c r="B224" s="69"/>
      <c r="C224" s="74"/>
      <c r="D224" s="69"/>
      <c r="E224" s="68"/>
      <c r="F224" s="71"/>
      <c r="G224" s="72"/>
      <c r="H224" s="73"/>
      <c r="I224" s="74"/>
      <c r="J224" s="74"/>
      <c r="K224" s="74"/>
      <c r="L224" s="74"/>
      <c r="M224" s="74"/>
      <c r="N224" s="74"/>
      <c r="O224" s="82">
        <f t="shared" si="9"/>
        <v>0</v>
      </c>
      <c r="P224" s="82">
        <f t="shared" si="10"/>
        <v>0</v>
      </c>
      <c r="Q224" s="74"/>
      <c r="R224" s="76"/>
      <c r="S224" s="84">
        <f t="shared" si="11"/>
        <v>0</v>
      </c>
    </row>
    <row r="225" spans="1:19" ht="18" customHeight="1" x14ac:dyDescent="0.25">
      <c r="A225" s="59"/>
      <c r="B225" s="60"/>
      <c r="C225" s="65"/>
      <c r="D225" s="60"/>
      <c r="E225" s="59"/>
      <c r="F225" s="62"/>
      <c r="G225" s="63"/>
      <c r="H225" s="64"/>
      <c r="I225" s="65"/>
      <c r="J225" s="65"/>
      <c r="K225" s="65"/>
      <c r="L225" s="65"/>
      <c r="M225" s="65"/>
      <c r="N225" s="65"/>
      <c r="O225" s="81">
        <f t="shared" si="9"/>
        <v>0</v>
      </c>
      <c r="P225" s="81">
        <f t="shared" si="10"/>
        <v>0</v>
      </c>
      <c r="Q225" s="65"/>
      <c r="R225" s="67"/>
      <c r="S225" s="83">
        <f t="shared" si="11"/>
        <v>0</v>
      </c>
    </row>
    <row r="226" spans="1:19" ht="18" customHeight="1" x14ac:dyDescent="0.25">
      <c r="A226" s="68"/>
      <c r="B226" s="69"/>
      <c r="C226" s="74"/>
      <c r="D226" s="69"/>
      <c r="E226" s="68"/>
      <c r="F226" s="71"/>
      <c r="G226" s="72"/>
      <c r="H226" s="73"/>
      <c r="I226" s="74"/>
      <c r="J226" s="74"/>
      <c r="K226" s="74"/>
      <c r="L226" s="74"/>
      <c r="M226" s="74"/>
      <c r="N226" s="74"/>
      <c r="O226" s="82">
        <f t="shared" si="9"/>
        <v>0</v>
      </c>
      <c r="P226" s="82">
        <f t="shared" si="10"/>
        <v>0</v>
      </c>
      <c r="Q226" s="74"/>
      <c r="R226" s="76"/>
      <c r="S226" s="84">
        <f t="shared" si="11"/>
        <v>0</v>
      </c>
    </row>
    <row r="227" spans="1:19" ht="18" customHeight="1" x14ac:dyDescent="0.25">
      <c r="A227" s="59"/>
      <c r="B227" s="60"/>
      <c r="C227" s="65"/>
      <c r="D227" s="60"/>
      <c r="E227" s="59"/>
      <c r="F227" s="62"/>
      <c r="G227" s="63"/>
      <c r="H227" s="64"/>
      <c r="I227" s="65"/>
      <c r="J227" s="65"/>
      <c r="K227" s="65"/>
      <c r="L227" s="65"/>
      <c r="M227" s="65"/>
      <c r="N227" s="65"/>
      <c r="O227" s="81">
        <f t="shared" si="9"/>
        <v>0</v>
      </c>
      <c r="P227" s="81">
        <f t="shared" si="10"/>
        <v>0</v>
      </c>
      <c r="Q227" s="65"/>
      <c r="R227" s="67"/>
      <c r="S227" s="83">
        <f t="shared" si="11"/>
        <v>0</v>
      </c>
    </row>
    <row r="228" spans="1:19" ht="18" customHeight="1" x14ac:dyDescent="0.25">
      <c r="A228" s="68"/>
      <c r="B228" s="69"/>
      <c r="C228" s="74"/>
      <c r="D228" s="69"/>
      <c r="E228" s="68"/>
      <c r="F228" s="71"/>
      <c r="G228" s="72"/>
      <c r="H228" s="73"/>
      <c r="I228" s="74"/>
      <c r="J228" s="74"/>
      <c r="K228" s="74"/>
      <c r="L228" s="74"/>
      <c r="M228" s="74"/>
      <c r="N228" s="74"/>
      <c r="O228" s="82">
        <f t="shared" si="9"/>
        <v>0</v>
      </c>
      <c r="P228" s="82">
        <f t="shared" si="10"/>
        <v>0</v>
      </c>
      <c r="Q228" s="74"/>
      <c r="R228" s="76"/>
      <c r="S228" s="84">
        <f t="shared" si="11"/>
        <v>0</v>
      </c>
    </row>
    <row r="229" spans="1:19" ht="18" customHeight="1" x14ac:dyDescent="0.25">
      <c r="A229" s="59"/>
      <c r="B229" s="60"/>
      <c r="C229" s="65"/>
      <c r="D229" s="60"/>
      <c r="E229" s="59"/>
      <c r="F229" s="62"/>
      <c r="G229" s="63"/>
      <c r="H229" s="64"/>
      <c r="I229" s="65"/>
      <c r="J229" s="65"/>
      <c r="K229" s="65"/>
      <c r="L229" s="65"/>
      <c r="M229" s="65"/>
      <c r="N229" s="65"/>
      <c r="O229" s="81">
        <f t="shared" si="9"/>
        <v>0</v>
      </c>
      <c r="P229" s="81">
        <f t="shared" si="10"/>
        <v>0</v>
      </c>
      <c r="Q229" s="65"/>
      <c r="R229" s="67"/>
      <c r="S229" s="83">
        <f t="shared" si="11"/>
        <v>0</v>
      </c>
    </row>
    <row r="230" spans="1:19" ht="18" customHeight="1" x14ac:dyDescent="0.25">
      <c r="A230" s="68"/>
      <c r="B230" s="69"/>
      <c r="C230" s="74"/>
      <c r="D230" s="69"/>
      <c r="E230" s="68"/>
      <c r="F230" s="71"/>
      <c r="G230" s="72"/>
      <c r="H230" s="73"/>
      <c r="I230" s="74"/>
      <c r="J230" s="74"/>
      <c r="K230" s="74"/>
      <c r="L230" s="74"/>
      <c r="M230" s="74"/>
      <c r="N230" s="74"/>
      <c r="O230" s="82">
        <f t="shared" si="9"/>
        <v>0</v>
      </c>
      <c r="P230" s="82">
        <f t="shared" si="10"/>
        <v>0</v>
      </c>
      <c r="Q230" s="74"/>
      <c r="R230" s="76"/>
      <c r="S230" s="84">
        <f t="shared" si="11"/>
        <v>0</v>
      </c>
    </row>
    <row r="231" spans="1:19" ht="18" customHeight="1" x14ac:dyDescent="0.25">
      <c r="A231" s="59"/>
      <c r="B231" s="60"/>
      <c r="C231" s="65"/>
      <c r="D231" s="60"/>
      <c r="E231" s="59"/>
      <c r="F231" s="62"/>
      <c r="G231" s="63"/>
      <c r="H231" s="64"/>
      <c r="I231" s="65"/>
      <c r="J231" s="65"/>
      <c r="K231" s="65"/>
      <c r="L231" s="65"/>
      <c r="M231" s="65"/>
      <c r="N231" s="65"/>
      <c r="O231" s="81">
        <f t="shared" si="9"/>
        <v>0</v>
      </c>
      <c r="P231" s="81">
        <f t="shared" si="10"/>
        <v>0</v>
      </c>
      <c r="Q231" s="65"/>
      <c r="R231" s="67"/>
      <c r="S231" s="83">
        <f t="shared" si="11"/>
        <v>0</v>
      </c>
    </row>
    <row r="232" spans="1:19" ht="18" customHeight="1" x14ac:dyDescent="0.25">
      <c r="A232" s="68"/>
      <c r="B232" s="69"/>
      <c r="C232" s="74"/>
      <c r="D232" s="69"/>
      <c r="E232" s="68"/>
      <c r="F232" s="71"/>
      <c r="G232" s="72"/>
      <c r="H232" s="73"/>
      <c r="I232" s="74"/>
      <c r="J232" s="74"/>
      <c r="K232" s="74"/>
      <c r="L232" s="74"/>
      <c r="M232" s="74"/>
      <c r="N232" s="74"/>
      <c r="O232" s="82">
        <f t="shared" si="9"/>
        <v>0</v>
      </c>
      <c r="P232" s="82">
        <f t="shared" si="10"/>
        <v>0</v>
      </c>
      <c r="Q232" s="74"/>
      <c r="R232" s="76"/>
      <c r="S232" s="84">
        <f t="shared" si="11"/>
        <v>0</v>
      </c>
    </row>
    <row r="233" spans="1:19" ht="18" customHeight="1" x14ac:dyDescent="0.25">
      <c r="A233" s="59"/>
      <c r="B233" s="60"/>
      <c r="C233" s="65"/>
      <c r="D233" s="60"/>
      <c r="E233" s="59"/>
      <c r="F233" s="62"/>
      <c r="G233" s="63"/>
      <c r="H233" s="64"/>
      <c r="I233" s="65"/>
      <c r="J233" s="65"/>
      <c r="K233" s="65"/>
      <c r="L233" s="65"/>
      <c r="M233" s="65"/>
      <c r="N233" s="65"/>
      <c r="O233" s="81">
        <f t="shared" si="9"/>
        <v>0</v>
      </c>
      <c r="P233" s="81">
        <f t="shared" si="10"/>
        <v>0</v>
      </c>
      <c r="Q233" s="65"/>
      <c r="R233" s="67"/>
      <c r="S233" s="83">
        <f t="shared" si="11"/>
        <v>0</v>
      </c>
    </row>
    <row r="234" spans="1:19" ht="18" customHeight="1" x14ac:dyDescent="0.25">
      <c r="A234" s="68"/>
      <c r="B234" s="69"/>
      <c r="C234" s="74"/>
      <c r="D234" s="69"/>
      <c r="E234" s="68"/>
      <c r="F234" s="71"/>
      <c r="G234" s="72"/>
      <c r="H234" s="73"/>
      <c r="I234" s="74"/>
      <c r="J234" s="74"/>
      <c r="K234" s="74"/>
      <c r="L234" s="74"/>
      <c r="M234" s="74"/>
      <c r="N234" s="74"/>
      <c r="O234" s="82">
        <f t="shared" si="9"/>
        <v>0</v>
      </c>
      <c r="P234" s="82">
        <f t="shared" si="10"/>
        <v>0</v>
      </c>
      <c r="Q234" s="74"/>
      <c r="R234" s="76"/>
      <c r="S234" s="84">
        <f t="shared" si="11"/>
        <v>0</v>
      </c>
    </row>
    <row r="235" spans="1:19" ht="18" customHeight="1" x14ac:dyDescent="0.25">
      <c r="A235" s="59"/>
      <c r="B235" s="60"/>
      <c r="C235" s="65"/>
      <c r="D235" s="60"/>
      <c r="E235" s="59"/>
      <c r="F235" s="62"/>
      <c r="G235" s="63"/>
      <c r="H235" s="64"/>
      <c r="I235" s="65"/>
      <c r="J235" s="65"/>
      <c r="K235" s="65"/>
      <c r="L235" s="65"/>
      <c r="M235" s="65"/>
      <c r="N235" s="65"/>
      <c r="O235" s="81">
        <f t="shared" si="9"/>
        <v>0</v>
      </c>
      <c r="P235" s="81">
        <f t="shared" si="10"/>
        <v>0</v>
      </c>
      <c r="Q235" s="65"/>
      <c r="R235" s="67"/>
      <c r="S235" s="83">
        <f t="shared" si="11"/>
        <v>0</v>
      </c>
    </row>
    <row r="236" spans="1:19" ht="18" customHeight="1" x14ac:dyDescent="0.25">
      <c r="A236" s="68"/>
      <c r="B236" s="69"/>
      <c r="C236" s="74"/>
      <c r="D236" s="69"/>
      <c r="E236" s="68"/>
      <c r="F236" s="71"/>
      <c r="G236" s="72"/>
      <c r="H236" s="73"/>
      <c r="I236" s="74"/>
      <c r="J236" s="74"/>
      <c r="K236" s="74"/>
      <c r="L236" s="74"/>
      <c r="M236" s="74"/>
      <c r="N236" s="74"/>
      <c r="O236" s="82">
        <f t="shared" si="9"/>
        <v>0</v>
      </c>
      <c r="P236" s="82">
        <f t="shared" si="10"/>
        <v>0</v>
      </c>
      <c r="Q236" s="74"/>
      <c r="R236" s="76"/>
      <c r="S236" s="84">
        <f t="shared" si="11"/>
        <v>0</v>
      </c>
    </row>
    <row r="237" spans="1:19" ht="18" customHeight="1" x14ac:dyDescent="0.25">
      <c r="A237" s="59"/>
      <c r="B237" s="60"/>
      <c r="C237" s="65"/>
      <c r="D237" s="60"/>
      <c r="E237" s="59"/>
      <c r="F237" s="62"/>
      <c r="G237" s="63"/>
      <c r="H237" s="64"/>
      <c r="I237" s="65"/>
      <c r="J237" s="65"/>
      <c r="K237" s="65"/>
      <c r="L237" s="65"/>
      <c r="M237" s="65"/>
      <c r="N237" s="65"/>
      <c r="O237" s="81">
        <f t="shared" si="9"/>
        <v>0</v>
      </c>
      <c r="P237" s="81">
        <f t="shared" si="10"/>
        <v>0</v>
      </c>
      <c r="Q237" s="65"/>
      <c r="R237" s="67"/>
      <c r="S237" s="83">
        <f t="shared" si="11"/>
        <v>0</v>
      </c>
    </row>
    <row r="238" spans="1:19" ht="18" customHeight="1" x14ac:dyDescent="0.25">
      <c r="A238" s="68"/>
      <c r="B238" s="69"/>
      <c r="C238" s="74"/>
      <c r="D238" s="69"/>
      <c r="E238" s="68"/>
      <c r="F238" s="71"/>
      <c r="G238" s="72"/>
      <c r="H238" s="73"/>
      <c r="I238" s="74"/>
      <c r="J238" s="74"/>
      <c r="K238" s="74"/>
      <c r="L238" s="74"/>
      <c r="M238" s="74"/>
      <c r="N238" s="74"/>
      <c r="O238" s="82">
        <f t="shared" si="9"/>
        <v>0</v>
      </c>
      <c r="P238" s="82">
        <f t="shared" si="10"/>
        <v>0</v>
      </c>
      <c r="Q238" s="74"/>
      <c r="R238" s="76"/>
      <c r="S238" s="84">
        <f t="shared" si="11"/>
        <v>0</v>
      </c>
    </row>
    <row r="239" spans="1:19" ht="18" customHeight="1" x14ac:dyDescent="0.25">
      <c r="A239" s="59"/>
      <c r="B239" s="60"/>
      <c r="C239" s="65"/>
      <c r="D239" s="60"/>
      <c r="E239" s="59"/>
      <c r="F239" s="62"/>
      <c r="G239" s="63"/>
      <c r="H239" s="64"/>
      <c r="I239" s="65"/>
      <c r="J239" s="65"/>
      <c r="K239" s="65"/>
      <c r="L239" s="65"/>
      <c r="M239" s="65"/>
      <c r="N239" s="65"/>
      <c r="O239" s="81">
        <f t="shared" si="9"/>
        <v>0</v>
      </c>
      <c r="P239" s="81">
        <f t="shared" si="10"/>
        <v>0</v>
      </c>
      <c r="Q239" s="65"/>
      <c r="R239" s="67"/>
      <c r="S239" s="83">
        <f t="shared" si="11"/>
        <v>0</v>
      </c>
    </row>
    <row r="240" spans="1:19" ht="18" customHeight="1" x14ac:dyDescent="0.25">
      <c r="A240" s="68"/>
      <c r="B240" s="69"/>
      <c r="C240" s="74"/>
      <c r="D240" s="69"/>
      <c r="E240" s="68"/>
      <c r="F240" s="71"/>
      <c r="G240" s="72"/>
      <c r="H240" s="73"/>
      <c r="I240" s="74"/>
      <c r="J240" s="74"/>
      <c r="K240" s="74"/>
      <c r="L240" s="74"/>
      <c r="M240" s="74"/>
      <c r="N240" s="74"/>
      <c r="O240" s="82">
        <f t="shared" si="9"/>
        <v>0</v>
      </c>
      <c r="P240" s="82">
        <f t="shared" si="10"/>
        <v>0</v>
      </c>
      <c r="Q240" s="74"/>
      <c r="R240" s="76"/>
      <c r="S240" s="84">
        <f t="shared" si="11"/>
        <v>0</v>
      </c>
    </row>
    <row r="241" spans="1:19" ht="18" customHeight="1" x14ac:dyDescent="0.25">
      <c r="A241" s="59"/>
      <c r="B241" s="60"/>
      <c r="C241" s="65"/>
      <c r="D241" s="60"/>
      <c r="E241" s="59"/>
      <c r="F241" s="62"/>
      <c r="G241" s="63"/>
      <c r="H241" s="64"/>
      <c r="I241" s="65"/>
      <c r="J241" s="65"/>
      <c r="K241" s="65"/>
      <c r="L241" s="65"/>
      <c r="M241" s="65"/>
      <c r="N241" s="65"/>
      <c r="O241" s="81">
        <f t="shared" si="9"/>
        <v>0</v>
      </c>
      <c r="P241" s="81">
        <f t="shared" si="10"/>
        <v>0</v>
      </c>
      <c r="Q241" s="65"/>
      <c r="R241" s="67"/>
      <c r="S241" s="83">
        <f t="shared" si="11"/>
        <v>0</v>
      </c>
    </row>
    <row r="242" spans="1:19" ht="18" customHeight="1" x14ac:dyDescent="0.25">
      <c r="A242" s="68"/>
      <c r="B242" s="69"/>
      <c r="C242" s="74"/>
      <c r="D242" s="69"/>
      <c r="E242" s="68"/>
      <c r="F242" s="71"/>
      <c r="G242" s="72"/>
      <c r="H242" s="73"/>
      <c r="I242" s="74"/>
      <c r="J242" s="74"/>
      <c r="K242" s="74"/>
      <c r="L242" s="74"/>
      <c r="M242" s="74"/>
      <c r="N242" s="74"/>
      <c r="O242" s="82">
        <f t="shared" si="9"/>
        <v>0</v>
      </c>
      <c r="P242" s="82">
        <f t="shared" si="10"/>
        <v>0</v>
      </c>
      <c r="Q242" s="74"/>
      <c r="R242" s="76"/>
      <c r="S242" s="84">
        <f t="shared" si="11"/>
        <v>0</v>
      </c>
    </row>
    <row r="243" spans="1:19" ht="18" customHeight="1" x14ac:dyDescent="0.25">
      <c r="A243" s="59"/>
      <c r="B243" s="60"/>
      <c r="C243" s="65"/>
      <c r="D243" s="60"/>
      <c r="E243" s="59"/>
      <c r="F243" s="62"/>
      <c r="G243" s="63"/>
      <c r="H243" s="64"/>
      <c r="I243" s="65"/>
      <c r="J243" s="65"/>
      <c r="K243" s="65"/>
      <c r="L243" s="65"/>
      <c r="M243" s="65"/>
      <c r="N243" s="65"/>
      <c r="O243" s="81">
        <f t="shared" si="9"/>
        <v>0</v>
      </c>
      <c r="P243" s="81">
        <f t="shared" si="10"/>
        <v>0</v>
      </c>
      <c r="Q243" s="65"/>
      <c r="R243" s="67"/>
      <c r="S243" s="83">
        <f t="shared" si="11"/>
        <v>0</v>
      </c>
    </row>
    <row r="244" spans="1:19" ht="18" customHeight="1" x14ac:dyDescent="0.25">
      <c r="A244" s="68"/>
      <c r="B244" s="69"/>
      <c r="C244" s="74"/>
      <c r="D244" s="69"/>
      <c r="E244" s="68"/>
      <c r="F244" s="71"/>
      <c r="G244" s="72"/>
      <c r="H244" s="73"/>
      <c r="I244" s="74"/>
      <c r="J244" s="74"/>
      <c r="K244" s="74"/>
      <c r="L244" s="74"/>
      <c r="M244" s="74"/>
      <c r="N244" s="74"/>
      <c r="O244" s="82">
        <f t="shared" si="9"/>
        <v>0</v>
      </c>
      <c r="P244" s="82">
        <f t="shared" si="10"/>
        <v>0</v>
      </c>
      <c r="Q244" s="74"/>
      <c r="R244" s="76"/>
      <c r="S244" s="84">
        <f t="shared" si="11"/>
        <v>0</v>
      </c>
    </row>
    <row r="245" spans="1:19" ht="18" customHeight="1" x14ac:dyDescent="0.25">
      <c r="A245" s="59"/>
      <c r="B245" s="60"/>
      <c r="C245" s="65"/>
      <c r="D245" s="60"/>
      <c r="E245" s="59"/>
      <c r="F245" s="62"/>
      <c r="G245" s="63"/>
      <c r="H245" s="64"/>
      <c r="I245" s="65"/>
      <c r="J245" s="65"/>
      <c r="K245" s="65"/>
      <c r="L245" s="65"/>
      <c r="M245" s="65"/>
      <c r="N245" s="65"/>
      <c r="O245" s="81">
        <f t="shared" si="9"/>
        <v>0</v>
      </c>
      <c r="P245" s="81">
        <f t="shared" si="10"/>
        <v>0</v>
      </c>
      <c r="Q245" s="65"/>
      <c r="R245" s="67"/>
      <c r="S245" s="83">
        <f t="shared" si="11"/>
        <v>0</v>
      </c>
    </row>
    <row r="246" spans="1:19" ht="18" customHeight="1" x14ac:dyDescent="0.25">
      <c r="A246" s="68"/>
      <c r="B246" s="69"/>
      <c r="C246" s="74"/>
      <c r="D246" s="69"/>
      <c r="E246" s="68"/>
      <c r="F246" s="71"/>
      <c r="G246" s="72"/>
      <c r="H246" s="73"/>
      <c r="I246" s="74"/>
      <c r="J246" s="74"/>
      <c r="K246" s="74"/>
      <c r="L246" s="74"/>
      <c r="M246" s="74"/>
      <c r="N246" s="74"/>
      <c r="O246" s="82">
        <f t="shared" si="9"/>
        <v>0</v>
      </c>
      <c r="P246" s="82">
        <f t="shared" si="10"/>
        <v>0</v>
      </c>
      <c r="Q246" s="74"/>
      <c r="R246" s="76"/>
      <c r="S246" s="84">
        <f t="shared" si="11"/>
        <v>0</v>
      </c>
    </row>
    <row r="247" spans="1:19" ht="18" customHeight="1" x14ac:dyDescent="0.25">
      <c r="A247" s="59"/>
      <c r="B247" s="60"/>
      <c r="C247" s="65"/>
      <c r="D247" s="60"/>
      <c r="E247" s="59"/>
      <c r="F247" s="62"/>
      <c r="G247" s="63"/>
      <c r="H247" s="64"/>
      <c r="I247" s="65"/>
      <c r="J247" s="65"/>
      <c r="K247" s="65"/>
      <c r="L247" s="65"/>
      <c r="M247" s="65"/>
      <c r="N247" s="65"/>
      <c r="O247" s="81">
        <f t="shared" si="9"/>
        <v>0</v>
      </c>
      <c r="P247" s="81">
        <f t="shared" si="10"/>
        <v>0</v>
      </c>
      <c r="Q247" s="65"/>
      <c r="R247" s="67"/>
      <c r="S247" s="83">
        <f t="shared" si="11"/>
        <v>0</v>
      </c>
    </row>
    <row r="248" spans="1:19" ht="18" customHeight="1" x14ac:dyDescent="0.25">
      <c r="A248" s="68"/>
      <c r="B248" s="69"/>
      <c r="C248" s="74"/>
      <c r="D248" s="69"/>
      <c r="E248" s="68"/>
      <c r="F248" s="71"/>
      <c r="G248" s="72"/>
      <c r="H248" s="73"/>
      <c r="I248" s="74"/>
      <c r="J248" s="74"/>
      <c r="K248" s="74"/>
      <c r="L248" s="74"/>
      <c r="M248" s="74"/>
      <c r="N248" s="74"/>
      <c r="O248" s="82">
        <f t="shared" si="9"/>
        <v>0</v>
      </c>
      <c r="P248" s="82">
        <f t="shared" si="10"/>
        <v>0</v>
      </c>
      <c r="Q248" s="74"/>
      <c r="R248" s="76"/>
      <c r="S248" s="84">
        <f t="shared" si="11"/>
        <v>0</v>
      </c>
    </row>
    <row r="249" spans="1:19" ht="18" customHeight="1" x14ac:dyDescent="0.25">
      <c r="A249" s="59"/>
      <c r="B249" s="60"/>
      <c r="C249" s="65"/>
      <c r="D249" s="60"/>
      <c r="E249" s="59"/>
      <c r="F249" s="62"/>
      <c r="G249" s="63"/>
      <c r="H249" s="64"/>
      <c r="I249" s="65"/>
      <c r="J249" s="65"/>
      <c r="K249" s="65"/>
      <c r="L249" s="65"/>
      <c r="M249" s="65"/>
      <c r="N249" s="65"/>
      <c r="O249" s="81">
        <f t="shared" si="9"/>
        <v>0</v>
      </c>
      <c r="P249" s="81">
        <f t="shared" si="10"/>
        <v>0</v>
      </c>
      <c r="Q249" s="65"/>
      <c r="R249" s="67"/>
      <c r="S249" s="83">
        <f t="shared" si="11"/>
        <v>0</v>
      </c>
    </row>
    <row r="250" spans="1:19" ht="18" customHeight="1" x14ac:dyDescent="0.25">
      <c r="A250" s="68"/>
      <c r="B250" s="69"/>
      <c r="C250" s="74"/>
      <c r="D250" s="69"/>
      <c r="E250" s="68"/>
      <c r="F250" s="71"/>
      <c r="G250" s="72"/>
      <c r="H250" s="73"/>
      <c r="I250" s="74"/>
      <c r="J250" s="74"/>
      <c r="K250" s="74"/>
      <c r="L250" s="74"/>
      <c r="M250" s="74"/>
      <c r="N250" s="74"/>
      <c r="O250" s="82">
        <f t="shared" si="9"/>
        <v>0</v>
      </c>
      <c r="P250" s="82">
        <f t="shared" si="10"/>
        <v>0</v>
      </c>
      <c r="Q250" s="74"/>
      <c r="R250" s="76"/>
      <c r="S250" s="84">
        <f t="shared" si="11"/>
        <v>0</v>
      </c>
    </row>
    <row r="251" spans="1:19" ht="18" customHeight="1" x14ac:dyDescent="0.25">
      <c r="A251" s="59"/>
      <c r="B251" s="60"/>
      <c r="C251" s="65"/>
      <c r="D251" s="60"/>
      <c r="E251" s="59"/>
      <c r="F251" s="62"/>
      <c r="G251" s="63"/>
      <c r="H251" s="64"/>
      <c r="I251" s="65"/>
      <c r="J251" s="65"/>
      <c r="K251" s="65"/>
      <c r="L251" s="65"/>
      <c r="M251" s="65"/>
      <c r="N251" s="65"/>
      <c r="O251" s="81">
        <f t="shared" si="9"/>
        <v>0</v>
      </c>
      <c r="P251" s="81">
        <f t="shared" si="10"/>
        <v>0</v>
      </c>
      <c r="Q251" s="65"/>
      <c r="R251" s="67"/>
      <c r="S251" s="83">
        <f t="shared" si="11"/>
        <v>0</v>
      </c>
    </row>
    <row r="252" spans="1:19" ht="18" customHeight="1" x14ac:dyDescent="0.25">
      <c r="A252" s="68"/>
      <c r="B252" s="69"/>
      <c r="C252" s="74"/>
      <c r="D252" s="69"/>
      <c r="E252" s="68"/>
      <c r="F252" s="71"/>
      <c r="G252" s="72"/>
      <c r="H252" s="73"/>
      <c r="I252" s="74"/>
      <c r="J252" s="74"/>
      <c r="K252" s="74"/>
      <c r="L252" s="74"/>
      <c r="M252" s="74"/>
      <c r="N252" s="74"/>
      <c r="O252" s="82">
        <f t="shared" si="9"/>
        <v>0</v>
      </c>
      <c r="P252" s="82">
        <f t="shared" si="10"/>
        <v>0</v>
      </c>
      <c r="Q252" s="74"/>
      <c r="R252" s="76"/>
      <c r="S252" s="84">
        <f t="shared" si="11"/>
        <v>0</v>
      </c>
    </row>
    <row r="253" spans="1:19" ht="18" customHeight="1" x14ac:dyDescent="0.25">
      <c r="A253" s="59"/>
      <c r="B253" s="60"/>
      <c r="C253" s="65"/>
      <c r="D253" s="60"/>
      <c r="E253" s="59"/>
      <c r="F253" s="62"/>
      <c r="G253" s="63"/>
      <c r="H253" s="64"/>
      <c r="I253" s="65"/>
      <c r="J253" s="65"/>
      <c r="K253" s="65"/>
      <c r="L253" s="65"/>
      <c r="M253" s="65"/>
      <c r="N253" s="65"/>
      <c r="O253" s="81">
        <f t="shared" si="9"/>
        <v>0</v>
      </c>
      <c r="P253" s="81">
        <f t="shared" si="10"/>
        <v>0</v>
      </c>
      <c r="Q253" s="65"/>
      <c r="R253" s="67"/>
      <c r="S253" s="83">
        <f t="shared" si="11"/>
        <v>0</v>
      </c>
    </row>
    <row r="254" spans="1:19" ht="18" customHeight="1" x14ac:dyDescent="0.25">
      <c r="A254" s="68"/>
      <c r="B254" s="69"/>
      <c r="C254" s="74"/>
      <c r="D254" s="69"/>
      <c r="E254" s="68"/>
      <c r="F254" s="71"/>
      <c r="G254" s="72"/>
      <c r="H254" s="73"/>
      <c r="I254" s="74"/>
      <c r="J254" s="74"/>
      <c r="K254" s="74"/>
      <c r="L254" s="74"/>
      <c r="M254" s="74"/>
      <c r="N254" s="74"/>
      <c r="O254" s="82">
        <f t="shared" si="9"/>
        <v>0</v>
      </c>
      <c r="P254" s="82">
        <f t="shared" si="10"/>
        <v>0</v>
      </c>
      <c r="Q254" s="74"/>
      <c r="R254" s="76"/>
      <c r="S254" s="84">
        <f t="shared" si="11"/>
        <v>0</v>
      </c>
    </row>
    <row r="255" spans="1:19" ht="18" customHeight="1" x14ac:dyDescent="0.25">
      <c r="A255" s="59"/>
      <c r="B255" s="60"/>
      <c r="C255" s="65"/>
      <c r="D255" s="60"/>
      <c r="E255" s="59"/>
      <c r="F255" s="62"/>
      <c r="G255" s="63"/>
      <c r="H255" s="64"/>
      <c r="I255" s="65"/>
      <c r="J255" s="65"/>
      <c r="K255" s="65"/>
      <c r="L255" s="65"/>
      <c r="M255" s="65"/>
      <c r="N255" s="65"/>
      <c r="O255" s="81">
        <f t="shared" si="9"/>
        <v>0</v>
      </c>
      <c r="P255" s="81">
        <f t="shared" si="10"/>
        <v>0</v>
      </c>
      <c r="Q255" s="65"/>
      <c r="R255" s="67"/>
      <c r="S255" s="83">
        <f t="shared" si="11"/>
        <v>0</v>
      </c>
    </row>
    <row r="256" spans="1:19" ht="18" customHeight="1" x14ac:dyDescent="0.25">
      <c r="A256" s="68"/>
      <c r="B256" s="69"/>
      <c r="C256" s="74"/>
      <c r="D256" s="69"/>
      <c r="E256" s="68"/>
      <c r="F256" s="71"/>
      <c r="G256" s="72"/>
      <c r="H256" s="73"/>
      <c r="I256" s="74"/>
      <c r="J256" s="74"/>
      <c r="K256" s="74"/>
      <c r="L256" s="74"/>
      <c r="M256" s="74"/>
      <c r="N256" s="74"/>
      <c r="O256" s="82">
        <f t="shared" si="9"/>
        <v>0</v>
      </c>
      <c r="P256" s="82">
        <f t="shared" si="10"/>
        <v>0</v>
      </c>
      <c r="Q256" s="74"/>
      <c r="R256" s="76"/>
      <c r="S256" s="84">
        <f t="shared" si="11"/>
        <v>0</v>
      </c>
    </row>
    <row r="257" spans="1:19" ht="18" customHeight="1" x14ac:dyDescent="0.25">
      <c r="A257" s="59"/>
      <c r="B257" s="60"/>
      <c r="C257" s="65"/>
      <c r="D257" s="60"/>
      <c r="E257" s="59"/>
      <c r="F257" s="62"/>
      <c r="G257" s="63"/>
      <c r="H257" s="64"/>
      <c r="I257" s="65"/>
      <c r="J257" s="65"/>
      <c r="K257" s="65"/>
      <c r="L257" s="65"/>
      <c r="M257" s="65"/>
      <c r="N257" s="65"/>
      <c r="O257" s="81">
        <f t="shared" si="9"/>
        <v>0</v>
      </c>
      <c r="P257" s="81">
        <f t="shared" si="10"/>
        <v>0</v>
      </c>
      <c r="Q257" s="65"/>
      <c r="R257" s="67"/>
      <c r="S257" s="83">
        <f t="shared" si="11"/>
        <v>0</v>
      </c>
    </row>
    <row r="258" spans="1:19" ht="18" customHeight="1" x14ac:dyDescent="0.25">
      <c r="A258" s="68"/>
      <c r="B258" s="69"/>
      <c r="C258" s="74"/>
      <c r="D258" s="69"/>
      <c r="E258" s="68"/>
      <c r="F258" s="71"/>
      <c r="G258" s="72"/>
      <c r="H258" s="73"/>
      <c r="I258" s="74"/>
      <c r="J258" s="74"/>
      <c r="K258" s="74"/>
      <c r="L258" s="74"/>
      <c r="M258" s="74"/>
      <c r="N258" s="74"/>
      <c r="O258" s="82">
        <f t="shared" si="9"/>
        <v>0</v>
      </c>
      <c r="P258" s="82">
        <f t="shared" si="10"/>
        <v>0</v>
      </c>
      <c r="Q258" s="74"/>
      <c r="R258" s="76"/>
      <c r="S258" s="84">
        <f t="shared" si="11"/>
        <v>0</v>
      </c>
    </row>
    <row r="259" spans="1:19" ht="18" customHeight="1" x14ac:dyDescent="0.25">
      <c r="A259" s="59"/>
      <c r="B259" s="60"/>
      <c r="C259" s="65"/>
      <c r="D259" s="60"/>
      <c r="E259" s="59"/>
      <c r="F259" s="62"/>
      <c r="G259" s="63"/>
      <c r="H259" s="64"/>
      <c r="I259" s="65"/>
      <c r="J259" s="65"/>
      <c r="K259" s="65"/>
      <c r="L259" s="65"/>
      <c r="M259" s="65"/>
      <c r="N259" s="65"/>
      <c r="O259" s="81">
        <f t="shared" si="9"/>
        <v>0</v>
      </c>
      <c r="P259" s="81">
        <f t="shared" si="10"/>
        <v>0</v>
      </c>
      <c r="Q259" s="65"/>
      <c r="R259" s="67"/>
      <c r="S259" s="83">
        <f t="shared" si="11"/>
        <v>0</v>
      </c>
    </row>
    <row r="260" spans="1:19" ht="18" customHeight="1" x14ac:dyDescent="0.25">
      <c r="A260" s="68"/>
      <c r="B260" s="69"/>
      <c r="C260" s="74"/>
      <c r="D260" s="69"/>
      <c r="E260" s="68"/>
      <c r="F260" s="71"/>
      <c r="G260" s="72"/>
      <c r="H260" s="73"/>
      <c r="I260" s="74"/>
      <c r="J260" s="74"/>
      <c r="K260" s="74"/>
      <c r="L260" s="74"/>
      <c r="M260" s="74"/>
      <c r="N260" s="74"/>
      <c r="O260" s="82">
        <f t="shared" si="9"/>
        <v>0</v>
      </c>
      <c r="P260" s="82">
        <f t="shared" si="10"/>
        <v>0</v>
      </c>
      <c r="Q260" s="74"/>
      <c r="R260" s="76"/>
      <c r="S260" s="84">
        <f t="shared" si="11"/>
        <v>0</v>
      </c>
    </row>
    <row r="261" spans="1:19" ht="18" customHeight="1" x14ac:dyDescent="0.25">
      <c r="A261" s="59"/>
      <c r="B261" s="60"/>
      <c r="C261" s="65"/>
      <c r="D261" s="60"/>
      <c r="E261" s="59"/>
      <c r="F261" s="62"/>
      <c r="G261" s="63"/>
      <c r="H261" s="64"/>
      <c r="I261" s="65"/>
      <c r="J261" s="65"/>
      <c r="K261" s="65"/>
      <c r="L261" s="65"/>
      <c r="M261" s="65"/>
      <c r="N261" s="65"/>
      <c r="O261" s="81">
        <f t="shared" si="9"/>
        <v>0</v>
      </c>
      <c r="P261" s="81">
        <f t="shared" si="10"/>
        <v>0</v>
      </c>
      <c r="Q261" s="65"/>
      <c r="R261" s="67"/>
      <c r="S261" s="83">
        <f t="shared" si="11"/>
        <v>0</v>
      </c>
    </row>
    <row r="262" spans="1:19" ht="18" customHeight="1" x14ac:dyDescent="0.25">
      <c r="A262" s="68"/>
      <c r="B262" s="69"/>
      <c r="C262" s="74"/>
      <c r="D262" s="69"/>
      <c r="E262" s="68"/>
      <c r="F262" s="71"/>
      <c r="G262" s="72"/>
      <c r="H262" s="73"/>
      <c r="I262" s="74"/>
      <c r="J262" s="74"/>
      <c r="K262" s="74"/>
      <c r="L262" s="74"/>
      <c r="M262" s="74"/>
      <c r="N262" s="74"/>
      <c r="O262" s="82" t="e">
        <f>#N/A</f>
        <v>#N/A</v>
      </c>
      <c r="P262" s="82" t="e">
        <f>#N/A</f>
        <v>#N/A</v>
      </c>
      <c r="Q262" s="74"/>
      <c r="R262" s="76"/>
      <c r="S262" s="84">
        <f t="shared" si="11"/>
        <v>0</v>
      </c>
    </row>
    <row r="263" spans="1:19" ht="18" customHeight="1" x14ac:dyDescent="0.25">
      <c r="A263" s="59"/>
      <c r="B263" s="60"/>
      <c r="C263" s="65"/>
      <c r="D263" s="60"/>
      <c r="E263" s="59"/>
      <c r="F263" s="62"/>
      <c r="G263" s="63"/>
      <c r="H263" s="64"/>
      <c r="I263" s="65"/>
      <c r="J263" s="65"/>
      <c r="K263" s="65"/>
      <c r="L263" s="65"/>
      <c r="M263" s="65"/>
      <c r="N263" s="65"/>
      <c r="O263" s="81">
        <f t="shared" ref="O263:O325" si="12">IF(G263="Reimbursement ","",I263+J263+K263+L263+M263)</f>
        <v>0</v>
      </c>
      <c r="P263" s="81">
        <f t="shared" ref="P263:P325" si="13">IF(G263="Reimbursement ","",H263-O263)</f>
        <v>0</v>
      </c>
      <c r="Q263" s="65"/>
      <c r="R263" s="67"/>
      <c r="S263" s="83">
        <f t="shared" ref="S263:S326" si="14">IF(OR(R263="",Q263=""),0,IF(R263&gt;Q263,R263-Q263,0))</f>
        <v>0</v>
      </c>
    </row>
    <row r="264" spans="1:19" ht="18" customHeight="1" x14ac:dyDescent="0.25">
      <c r="A264" s="68"/>
      <c r="B264" s="69"/>
      <c r="C264" s="74"/>
      <c r="D264" s="69"/>
      <c r="E264" s="68"/>
      <c r="F264" s="71"/>
      <c r="G264" s="72"/>
      <c r="H264" s="73"/>
      <c r="I264" s="74"/>
      <c r="J264" s="74"/>
      <c r="K264" s="74"/>
      <c r="L264" s="74"/>
      <c r="M264" s="74"/>
      <c r="N264" s="74"/>
      <c r="O264" s="82">
        <f t="shared" si="12"/>
        <v>0</v>
      </c>
      <c r="P264" s="82">
        <f t="shared" si="13"/>
        <v>0</v>
      </c>
      <c r="Q264" s="74"/>
      <c r="R264" s="76"/>
      <c r="S264" s="84">
        <f t="shared" si="14"/>
        <v>0</v>
      </c>
    </row>
    <row r="265" spans="1:19" ht="18" customHeight="1" x14ac:dyDescent="0.25">
      <c r="A265" s="59"/>
      <c r="B265" s="60"/>
      <c r="C265" s="65"/>
      <c r="D265" s="60"/>
      <c r="E265" s="59"/>
      <c r="F265" s="62"/>
      <c r="G265" s="63"/>
      <c r="H265" s="64"/>
      <c r="I265" s="65"/>
      <c r="J265" s="65"/>
      <c r="K265" s="65"/>
      <c r="L265" s="65"/>
      <c r="M265" s="65"/>
      <c r="N265" s="65"/>
      <c r="O265" s="81">
        <f t="shared" si="12"/>
        <v>0</v>
      </c>
      <c r="P265" s="81">
        <f t="shared" si="13"/>
        <v>0</v>
      </c>
      <c r="Q265" s="65"/>
      <c r="R265" s="67"/>
      <c r="S265" s="83">
        <f t="shared" si="14"/>
        <v>0</v>
      </c>
    </row>
    <row r="266" spans="1:19" ht="18" customHeight="1" x14ac:dyDescent="0.25">
      <c r="A266" s="68"/>
      <c r="B266" s="69"/>
      <c r="C266" s="74"/>
      <c r="D266" s="69"/>
      <c r="E266" s="68"/>
      <c r="F266" s="71"/>
      <c r="G266" s="72"/>
      <c r="H266" s="73"/>
      <c r="I266" s="74"/>
      <c r="J266" s="74"/>
      <c r="K266" s="74"/>
      <c r="L266" s="74"/>
      <c r="M266" s="74"/>
      <c r="N266" s="74"/>
      <c r="O266" s="82">
        <f t="shared" si="12"/>
        <v>0</v>
      </c>
      <c r="P266" s="82">
        <f t="shared" si="13"/>
        <v>0</v>
      </c>
      <c r="Q266" s="74"/>
      <c r="R266" s="76"/>
      <c r="S266" s="84">
        <f t="shared" si="14"/>
        <v>0</v>
      </c>
    </row>
    <row r="267" spans="1:19" ht="18" customHeight="1" x14ac:dyDescent="0.25">
      <c r="A267" s="59"/>
      <c r="B267" s="60"/>
      <c r="C267" s="65"/>
      <c r="D267" s="60"/>
      <c r="E267" s="59"/>
      <c r="F267" s="62"/>
      <c r="G267" s="63"/>
      <c r="H267" s="64"/>
      <c r="I267" s="65"/>
      <c r="J267" s="65"/>
      <c r="K267" s="65"/>
      <c r="L267" s="65"/>
      <c r="M267" s="65"/>
      <c r="N267" s="65"/>
      <c r="O267" s="81">
        <f t="shared" si="12"/>
        <v>0</v>
      </c>
      <c r="P267" s="81">
        <f t="shared" si="13"/>
        <v>0</v>
      </c>
      <c r="Q267" s="65"/>
      <c r="R267" s="67"/>
      <c r="S267" s="83">
        <f t="shared" si="14"/>
        <v>0</v>
      </c>
    </row>
    <row r="268" spans="1:19" ht="18" customHeight="1" x14ac:dyDescent="0.25">
      <c r="A268" s="68"/>
      <c r="B268" s="69"/>
      <c r="C268" s="74"/>
      <c r="D268" s="69"/>
      <c r="E268" s="68"/>
      <c r="F268" s="71"/>
      <c r="G268" s="72"/>
      <c r="H268" s="73"/>
      <c r="I268" s="74"/>
      <c r="J268" s="74"/>
      <c r="K268" s="74"/>
      <c r="L268" s="74"/>
      <c r="M268" s="74"/>
      <c r="N268" s="74"/>
      <c r="O268" s="82">
        <f t="shared" si="12"/>
        <v>0</v>
      </c>
      <c r="P268" s="82">
        <f t="shared" si="13"/>
        <v>0</v>
      </c>
      <c r="Q268" s="74"/>
      <c r="R268" s="76"/>
      <c r="S268" s="84">
        <f t="shared" si="14"/>
        <v>0</v>
      </c>
    </row>
    <row r="269" spans="1:19" ht="18" customHeight="1" x14ac:dyDescent="0.25">
      <c r="A269" s="59"/>
      <c r="B269" s="60"/>
      <c r="C269" s="65"/>
      <c r="D269" s="60"/>
      <c r="E269" s="59"/>
      <c r="F269" s="62"/>
      <c r="G269" s="63"/>
      <c r="H269" s="64"/>
      <c r="I269" s="65"/>
      <c r="J269" s="65"/>
      <c r="K269" s="65"/>
      <c r="L269" s="65"/>
      <c r="M269" s="65"/>
      <c r="N269" s="65"/>
      <c r="O269" s="81">
        <f t="shared" si="12"/>
        <v>0</v>
      </c>
      <c r="P269" s="81">
        <f t="shared" si="13"/>
        <v>0</v>
      </c>
      <c r="Q269" s="65"/>
      <c r="R269" s="67"/>
      <c r="S269" s="83">
        <f t="shared" si="14"/>
        <v>0</v>
      </c>
    </row>
    <row r="270" spans="1:19" ht="18" customHeight="1" x14ac:dyDescent="0.25">
      <c r="A270" s="68"/>
      <c r="B270" s="69"/>
      <c r="C270" s="74"/>
      <c r="D270" s="69"/>
      <c r="E270" s="68"/>
      <c r="F270" s="71"/>
      <c r="G270" s="72"/>
      <c r="H270" s="73"/>
      <c r="I270" s="74"/>
      <c r="J270" s="74"/>
      <c r="K270" s="74"/>
      <c r="L270" s="74"/>
      <c r="M270" s="74"/>
      <c r="N270" s="74"/>
      <c r="O270" s="82">
        <f t="shared" si="12"/>
        <v>0</v>
      </c>
      <c r="P270" s="82">
        <f t="shared" si="13"/>
        <v>0</v>
      </c>
      <c r="Q270" s="74"/>
      <c r="R270" s="76"/>
      <c r="S270" s="84">
        <f t="shared" si="14"/>
        <v>0</v>
      </c>
    </row>
    <row r="271" spans="1:19" ht="18" customHeight="1" x14ac:dyDescent="0.25">
      <c r="A271" s="59"/>
      <c r="B271" s="60"/>
      <c r="C271" s="65"/>
      <c r="D271" s="60"/>
      <c r="E271" s="59"/>
      <c r="F271" s="62"/>
      <c r="G271" s="63"/>
      <c r="H271" s="64"/>
      <c r="I271" s="65"/>
      <c r="J271" s="65"/>
      <c r="K271" s="65"/>
      <c r="L271" s="65"/>
      <c r="M271" s="65"/>
      <c r="N271" s="65"/>
      <c r="O271" s="81">
        <f t="shared" si="12"/>
        <v>0</v>
      </c>
      <c r="P271" s="81">
        <f t="shared" si="13"/>
        <v>0</v>
      </c>
      <c r="Q271" s="65"/>
      <c r="R271" s="67"/>
      <c r="S271" s="83">
        <f t="shared" si="14"/>
        <v>0</v>
      </c>
    </row>
    <row r="272" spans="1:19" ht="18" customHeight="1" x14ac:dyDescent="0.25">
      <c r="A272" s="68"/>
      <c r="B272" s="69"/>
      <c r="C272" s="74"/>
      <c r="D272" s="69"/>
      <c r="E272" s="68"/>
      <c r="F272" s="71"/>
      <c r="G272" s="72"/>
      <c r="H272" s="73"/>
      <c r="I272" s="74"/>
      <c r="J272" s="74"/>
      <c r="K272" s="74"/>
      <c r="L272" s="74"/>
      <c r="M272" s="74"/>
      <c r="N272" s="74"/>
      <c r="O272" s="82">
        <f t="shared" si="12"/>
        <v>0</v>
      </c>
      <c r="P272" s="82">
        <f t="shared" si="13"/>
        <v>0</v>
      </c>
      <c r="Q272" s="74"/>
      <c r="R272" s="76"/>
      <c r="S272" s="84">
        <f t="shared" si="14"/>
        <v>0</v>
      </c>
    </row>
    <row r="273" spans="1:19" ht="18" customHeight="1" x14ac:dyDescent="0.25">
      <c r="A273" s="59"/>
      <c r="B273" s="60"/>
      <c r="C273" s="65"/>
      <c r="D273" s="60"/>
      <c r="E273" s="59"/>
      <c r="F273" s="62"/>
      <c r="G273" s="63"/>
      <c r="H273" s="64"/>
      <c r="I273" s="65"/>
      <c r="J273" s="65"/>
      <c r="K273" s="65"/>
      <c r="L273" s="65"/>
      <c r="M273" s="65"/>
      <c r="N273" s="65"/>
      <c r="O273" s="81">
        <f t="shared" si="12"/>
        <v>0</v>
      </c>
      <c r="P273" s="81">
        <f t="shared" si="13"/>
        <v>0</v>
      </c>
      <c r="Q273" s="65"/>
      <c r="R273" s="67"/>
      <c r="S273" s="83">
        <f t="shared" si="14"/>
        <v>0</v>
      </c>
    </row>
    <row r="274" spans="1:19" ht="18" customHeight="1" x14ac:dyDescent="0.25">
      <c r="A274" s="68"/>
      <c r="B274" s="69"/>
      <c r="C274" s="74"/>
      <c r="D274" s="69"/>
      <c r="E274" s="68"/>
      <c r="F274" s="71"/>
      <c r="G274" s="72"/>
      <c r="H274" s="73"/>
      <c r="I274" s="74"/>
      <c r="J274" s="74"/>
      <c r="K274" s="74"/>
      <c r="L274" s="74"/>
      <c r="M274" s="74"/>
      <c r="N274" s="74"/>
      <c r="O274" s="82">
        <f t="shared" si="12"/>
        <v>0</v>
      </c>
      <c r="P274" s="82">
        <f t="shared" si="13"/>
        <v>0</v>
      </c>
      <c r="Q274" s="74"/>
      <c r="R274" s="76"/>
      <c r="S274" s="84">
        <f t="shared" si="14"/>
        <v>0</v>
      </c>
    </row>
    <row r="275" spans="1:19" ht="18" customHeight="1" x14ac:dyDescent="0.25">
      <c r="A275" s="59"/>
      <c r="B275" s="60"/>
      <c r="C275" s="65"/>
      <c r="D275" s="60"/>
      <c r="E275" s="59"/>
      <c r="F275" s="62"/>
      <c r="G275" s="63"/>
      <c r="H275" s="64"/>
      <c r="I275" s="65"/>
      <c r="J275" s="65"/>
      <c r="K275" s="65"/>
      <c r="L275" s="65"/>
      <c r="M275" s="65"/>
      <c r="N275" s="65"/>
      <c r="O275" s="81">
        <f t="shared" si="12"/>
        <v>0</v>
      </c>
      <c r="P275" s="81">
        <f t="shared" si="13"/>
        <v>0</v>
      </c>
      <c r="Q275" s="65"/>
      <c r="R275" s="67"/>
      <c r="S275" s="83">
        <f t="shared" si="14"/>
        <v>0</v>
      </c>
    </row>
    <row r="276" spans="1:19" ht="18" customHeight="1" x14ac:dyDescent="0.25">
      <c r="A276" s="68"/>
      <c r="B276" s="69"/>
      <c r="C276" s="74"/>
      <c r="D276" s="69"/>
      <c r="E276" s="68"/>
      <c r="F276" s="71"/>
      <c r="G276" s="72"/>
      <c r="H276" s="73"/>
      <c r="I276" s="74"/>
      <c r="J276" s="74"/>
      <c r="K276" s="74"/>
      <c r="L276" s="74"/>
      <c r="M276" s="74"/>
      <c r="N276" s="74"/>
      <c r="O276" s="82">
        <f t="shared" si="12"/>
        <v>0</v>
      </c>
      <c r="P276" s="82">
        <f t="shared" si="13"/>
        <v>0</v>
      </c>
      <c r="Q276" s="74"/>
      <c r="R276" s="76"/>
      <c r="S276" s="84">
        <f t="shared" si="14"/>
        <v>0</v>
      </c>
    </row>
    <row r="277" spans="1:19" ht="18" customHeight="1" x14ac:dyDescent="0.25">
      <c r="A277" s="59"/>
      <c r="B277" s="60"/>
      <c r="C277" s="65"/>
      <c r="D277" s="60"/>
      <c r="E277" s="59"/>
      <c r="F277" s="62"/>
      <c r="G277" s="63"/>
      <c r="H277" s="64"/>
      <c r="I277" s="65"/>
      <c r="J277" s="65"/>
      <c r="K277" s="65"/>
      <c r="L277" s="65"/>
      <c r="M277" s="65"/>
      <c r="N277" s="65"/>
      <c r="O277" s="81">
        <f t="shared" si="12"/>
        <v>0</v>
      </c>
      <c r="P277" s="81">
        <f t="shared" si="13"/>
        <v>0</v>
      </c>
      <c r="Q277" s="65"/>
      <c r="R277" s="67"/>
      <c r="S277" s="83">
        <f t="shared" si="14"/>
        <v>0</v>
      </c>
    </row>
    <row r="278" spans="1:19" ht="18" customHeight="1" x14ac:dyDescent="0.25">
      <c r="A278" s="68"/>
      <c r="B278" s="69"/>
      <c r="C278" s="74"/>
      <c r="D278" s="69"/>
      <c r="E278" s="68"/>
      <c r="F278" s="71"/>
      <c r="G278" s="72"/>
      <c r="H278" s="73"/>
      <c r="I278" s="74"/>
      <c r="J278" s="74"/>
      <c r="K278" s="74"/>
      <c r="L278" s="74"/>
      <c r="M278" s="74"/>
      <c r="N278" s="74"/>
      <c r="O278" s="82">
        <f t="shared" si="12"/>
        <v>0</v>
      </c>
      <c r="P278" s="82">
        <f t="shared" si="13"/>
        <v>0</v>
      </c>
      <c r="Q278" s="74"/>
      <c r="R278" s="76"/>
      <c r="S278" s="84">
        <f t="shared" si="14"/>
        <v>0</v>
      </c>
    </row>
    <row r="279" spans="1:19" ht="18" customHeight="1" x14ac:dyDescent="0.25">
      <c r="A279" s="59"/>
      <c r="B279" s="60"/>
      <c r="C279" s="65"/>
      <c r="D279" s="60"/>
      <c r="E279" s="59"/>
      <c r="F279" s="62"/>
      <c r="G279" s="63"/>
      <c r="H279" s="64"/>
      <c r="I279" s="65"/>
      <c r="J279" s="65"/>
      <c r="K279" s="65"/>
      <c r="L279" s="65"/>
      <c r="M279" s="65"/>
      <c r="N279" s="65"/>
      <c r="O279" s="81">
        <f t="shared" si="12"/>
        <v>0</v>
      </c>
      <c r="P279" s="81">
        <f t="shared" si="13"/>
        <v>0</v>
      </c>
      <c r="Q279" s="65"/>
      <c r="R279" s="67"/>
      <c r="S279" s="83">
        <f t="shared" si="14"/>
        <v>0</v>
      </c>
    </row>
    <row r="280" spans="1:19" ht="18" customHeight="1" x14ac:dyDescent="0.25">
      <c r="A280" s="68"/>
      <c r="B280" s="69"/>
      <c r="C280" s="74"/>
      <c r="D280" s="69"/>
      <c r="E280" s="68"/>
      <c r="F280" s="71"/>
      <c r="G280" s="72"/>
      <c r="H280" s="73"/>
      <c r="I280" s="74"/>
      <c r="J280" s="74"/>
      <c r="K280" s="74"/>
      <c r="L280" s="74"/>
      <c r="M280" s="74"/>
      <c r="N280" s="74"/>
      <c r="O280" s="82">
        <f t="shared" si="12"/>
        <v>0</v>
      </c>
      <c r="P280" s="82">
        <f t="shared" si="13"/>
        <v>0</v>
      </c>
      <c r="Q280" s="74"/>
      <c r="R280" s="76"/>
      <c r="S280" s="84">
        <f t="shared" si="14"/>
        <v>0</v>
      </c>
    </row>
    <row r="281" spans="1:19" ht="18" customHeight="1" x14ac:dyDescent="0.25">
      <c r="A281" s="59"/>
      <c r="B281" s="60"/>
      <c r="C281" s="65"/>
      <c r="D281" s="60"/>
      <c r="E281" s="59"/>
      <c r="F281" s="62"/>
      <c r="G281" s="63"/>
      <c r="H281" s="64"/>
      <c r="I281" s="65"/>
      <c r="J281" s="65"/>
      <c r="K281" s="65"/>
      <c r="L281" s="65"/>
      <c r="M281" s="65"/>
      <c r="N281" s="65"/>
      <c r="O281" s="81">
        <f t="shared" si="12"/>
        <v>0</v>
      </c>
      <c r="P281" s="81">
        <f t="shared" si="13"/>
        <v>0</v>
      </c>
      <c r="Q281" s="65"/>
      <c r="R281" s="67"/>
      <c r="S281" s="83">
        <f t="shared" si="14"/>
        <v>0</v>
      </c>
    </row>
    <row r="282" spans="1:19" ht="18" customHeight="1" x14ac:dyDescent="0.25">
      <c r="A282" s="68"/>
      <c r="B282" s="69"/>
      <c r="C282" s="74"/>
      <c r="D282" s="69"/>
      <c r="E282" s="68"/>
      <c r="F282" s="71"/>
      <c r="G282" s="72"/>
      <c r="H282" s="73"/>
      <c r="I282" s="74"/>
      <c r="J282" s="74"/>
      <c r="K282" s="74"/>
      <c r="L282" s="74"/>
      <c r="M282" s="74"/>
      <c r="N282" s="74"/>
      <c r="O282" s="82">
        <f t="shared" si="12"/>
        <v>0</v>
      </c>
      <c r="P282" s="82">
        <f t="shared" si="13"/>
        <v>0</v>
      </c>
      <c r="Q282" s="74"/>
      <c r="R282" s="76"/>
      <c r="S282" s="84">
        <f t="shared" si="14"/>
        <v>0</v>
      </c>
    </row>
    <row r="283" spans="1:19" ht="18" customHeight="1" x14ac:dyDescent="0.25">
      <c r="A283" s="59"/>
      <c r="B283" s="60"/>
      <c r="C283" s="65"/>
      <c r="D283" s="60"/>
      <c r="E283" s="59"/>
      <c r="F283" s="62"/>
      <c r="G283" s="63"/>
      <c r="H283" s="64"/>
      <c r="I283" s="65"/>
      <c r="J283" s="65"/>
      <c r="K283" s="65"/>
      <c r="L283" s="65"/>
      <c r="M283" s="65"/>
      <c r="N283" s="65"/>
      <c r="O283" s="81">
        <f t="shared" si="12"/>
        <v>0</v>
      </c>
      <c r="P283" s="81">
        <f t="shared" si="13"/>
        <v>0</v>
      </c>
      <c r="Q283" s="65"/>
      <c r="R283" s="67"/>
      <c r="S283" s="83">
        <f t="shared" si="14"/>
        <v>0</v>
      </c>
    </row>
    <row r="284" spans="1:19" ht="18" customHeight="1" x14ac:dyDescent="0.25">
      <c r="A284" s="68"/>
      <c r="B284" s="69"/>
      <c r="C284" s="74"/>
      <c r="D284" s="69"/>
      <c r="E284" s="68"/>
      <c r="F284" s="71"/>
      <c r="G284" s="72"/>
      <c r="H284" s="73"/>
      <c r="I284" s="74"/>
      <c r="J284" s="74"/>
      <c r="K284" s="74"/>
      <c r="L284" s="74"/>
      <c r="M284" s="74"/>
      <c r="N284" s="74"/>
      <c r="O284" s="82">
        <f t="shared" si="12"/>
        <v>0</v>
      </c>
      <c r="P284" s="82">
        <f t="shared" si="13"/>
        <v>0</v>
      </c>
      <c r="Q284" s="74"/>
      <c r="R284" s="76"/>
      <c r="S284" s="84">
        <f t="shared" si="14"/>
        <v>0</v>
      </c>
    </row>
    <row r="285" spans="1:19" ht="18" customHeight="1" x14ac:dyDescent="0.25">
      <c r="A285" s="59"/>
      <c r="B285" s="60"/>
      <c r="C285" s="65"/>
      <c r="D285" s="60"/>
      <c r="E285" s="59"/>
      <c r="F285" s="62"/>
      <c r="G285" s="63"/>
      <c r="H285" s="64"/>
      <c r="I285" s="65"/>
      <c r="J285" s="65"/>
      <c r="K285" s="65"/>
      <c r="L285" s="65"/>
      <c r="M285" s="65"/>
      <c r="N285" s="65"/>
      <c r="O285" s="81">
        <f t="shared" si="12"/>
        <v>0</v>
      </c>
      <c r="P285" s="81">
        <f t="shared" si="13"/>
        <v>0</v>
      </c>
      <c r="Q285" s="65"/>
      <c r="R285" s="67"/>
      <c r="S285" s="83">
        <f t="shared" si="14"/>
        <v>0</v>
      </c>
    </row>
    <row r="286" spans="1:19" ht="18" customHeight="1" x14ac:dyDescent="0.25">
      <c r="A286" s="68"/>
      <c r="B286" s="69"/>
      <c r="C286" s="74"/>
      <c r="D286" s="69"/>
      <c r="E286" s="68"/>
      <c r="F286" s="71"/>
      <c r="G286" s="72"/>
      <c r="H286" s="73"/>
      <c r="I286" s="74"/>
      <c r="J286" s="74"/>
      <c r="K286" s="74"/>
      <c r="L286" s="74"/>
      <c r="M286" s="74"/>
      <c r="N286" s="74"/>
      <c r="O286" s="82">
        <f t="shared" si="12"/>
        <v>0</v>
      </c>
      <c r="P286" s="82">
        <f t="shared" si="13"/>
        <v>0</v>
      </c>
      <c r="Q286" s="74"/>
      <c r="R286" s="76"/>
      <c r="S286" s="84">
        <f t="shared" si="14"/>
        <v>0</v>
      </c>
    </row>
    <row r="287" spans="1:19" ht="18" customHeight="1" x14ac:dyDescent="0.25">
      <c r="A287" s="59"/>
      <c r="B287" s="60"/>
      <c r="C287" s="65"/>
      <c r="D287" s="60"/>
      <c r="E287" s="59"/>
      <c r="F287" s="62"/>
      <c r="G287" s="63"/>
      <c r="H287" s="64"/>
      <c r="I287" s="65"/>
      <c r="J287" s="65"/>
      <c r="K287" s="65"/>
      <c r="L287" s="65"/>
      <c r="M287" s="65"/>
      <c r="N287" s="65"/>
      <c r="O287" s="81">
        <f t="shared" si="12"/>
        <v>0</v>
      </c>
      <c r="P287" s="81">
        <f t="shared" si="13"/>
        <v>0</v>
      </c>
      <c r="Q287" s="65"/>
      <c r="R287" s="67"/>
      <c r="S287" s="83">
        <f t="shared" si="14"/>
        <v>0</v>
      </c>
    </row>
    <row r="288" spans="1:19" ht="18" customHeight="1" x14ac:dyDescent="0.25">
      <c r="A288" s="68"/>
      <c r="B288" s="69"/>
      <c r="C288" s="74"/>
      <c r="D288" s="69"/>
      <c r="E288" s="68"/>
      <c r="F288" s="71"/>
      <c r="G288" s="72"/>
      <c r="H288" s="73"/>
      <c r="I288" s="74"/>
      <c r="J288" s="74"/>
      <c r="K288" s="74"/>
      <c r="L288" s="74"/>
      <c r="M288" s="74"/>
      <c r="N288" s="74"/>
      <c r="O288" s="82">
        <f t="shared" si="12"/>
        <v>0</v>
      </c>
      <c r="P288" s="82">
        <f t="shared" si="13"/>
        <v>0</v>
      </c>
      <c r="Q288" s="74"/>
      <c r="R288" s="76"/>
      <c r="S288" s="84">
        <f t="shared" si="14"/>
        <v>0</v>
      </c>
    </row>
    <row r="289" spans="1:19" ht="18" customHeight="1" x14ac:dyDescent="0.25">
      <c r="A289" s="59"/>
      <c r="B289" s="60"/>
      <c r="C289" s="65"/>
      <c r="D289" s="60"/>
      <c r="E289" s="59"/>
      <c r="F289" s="62"/>
      <c r="G289" s="63"/>
      <c r="H289" s="64"/>
      <c r="I289" s="65"/>
      <c r="J289" s="65"/>
      <c r="K289" s="65"/>
      <c r="L289" s="65"/>
      <c r="M289" s="65"/>
      <c r="N289" s="65"/>
      <c r="O289" s="81">
        <f t="shared" si="12"/>
        <v>0</v>
      </c>
      <c r="P289" s="81">
        <f t="shared" si="13"/>
        <v>0</v>
      </c>
      <c r="Q289" s="65"/>
      <c r="R289" s="67"/>
      <c r="S289" s="83">
        <f t="shared" si="14"/>
        <v>0</v>
      </c>
    </row>
    <row r="290" spans="1:19" ht="18" customHeight="1" x14ac:dyDescent="0.25">
      <c r="A290" s="68"/>
      <c r="B290" s="69"/>
      <c r="C290" s="74"/>
      <c r="D290" s="69"/>
      <c r="E290" s="68"/>
      <c r="F290" s="71"/>
      <c r="G290" s="72"/>
      <c r="H290" s="73"/>
      <c r="I290" s="74"/>
      <c r="J290" s="74"/>
      <c r="K290" s="74"/>
      <c r="L290" s="74"/>
      <c r="M290" s="74"/>
      <c r="N290" s="74"/>
      <c r="O290" s="82">
        <f t="shared" si="12"/>
        <v>0</v>
      </c>
      <c r="P290" s="82">
        <f t="shared" si="13"/>
        <v>0</v>
      </c>
      <c r="Q290" s="74"/>
      <c r="R290" s="76"/>
      <c r="S290" s="84">
        <f t="shared" si="14"/>
        <v>0</v>
      </c>
    </row>
    <row r="291" spans="1:19" ht="18" customHeight="1" x14ac:dyDescent="0.25">
      <c r="A291" s="59"/>
      <c r="B291" s="60"/>
      <c r="C291" s="65"/>
      <c r="D291" s="60"/>
      <c r="E291" s="59"/>
      <c r="F291" s="62"/>
      <c r="G291" s="63"/>
      <c r="H291" s="64"/>
      <c r="I291" s="65"/>
      <c r="J291" s="65"/>
      <c r="K291" s="65"/>
      <c r="L291" s="65"/>
      <c r="M291" s="65"/>
      <c r="N291" s="65"/>
      <c r="O291" s="81">
        <f t="shared" si="12"/>
        <v>0</v>
      </c>
      <c r="P291" s="81">
        <f t="shared" si="13"/>
        <v>0</v>
      </c>
      <c r="Q291" s="65"/>
      <c r="R291" s="67"/>
      <c r="S291" s="83">
        <f t="shared" si="14"/>
        <v>0</v>
      </c>
    </row>
    <row r="292" spans="1:19" ht="18" customHeight="1" x14ac:dyDescent="0.25">
      <c r="A292" s="68"/>
      <c r="B292" s="69"/>
      <c r="C292" s="74"/>
      <c r="D292" s="69"/>
      <c r="E292" s="68"/>
      <c r="F292" s="71"/>
      <c r="G292" s="72"/>
      <c r="H292" s="73"/>
      <c r="I292" s="74"/>
      <c r="J292" s="74"/>
      <c r="K292" s="74"/>
      <c r="L292" s="74"/>
      <c r="M292" s="74"/>
      <c r="N292" s="74"/>
      <c r="O292" s="82">
        <f t="shared" si="12"/>
        <v>0</v>
      </c>
      <c r="P292" s="82">
        <f t="shared" si="13"/>
        <v>0</v>
      </c>
      <c r="Q292" s="74"/>
      <c r="R292" s="76"/>
      <c r="S292" s="84">
        <f t="shared" si="14"/>
        <v>0</v>
      </c>
    </row>
    <row r="293" spans="1:19" ht="18" customHeight="1" x14ac:dyDescent="0.25">
      <c r="A293" s="59"/>
      <c r="B293" s="60"/>
      <c r="C293" s="65"/>
      <c r="D293" s="60"/>
      <c r="E293" s="59"/>
      <c r="F293" s="62"/>
      <c r="G293" s="63"/>
      <c r="H293" s="64"/>
      <c r="I293" s="65"/>
      <c r="J293" s="65"/>
      <c r="K293" s="65"/>
      <c r="L293" s="65"/>
      <c r="M293" s="65"/>
      <c r="N293" s="65"/>
      <c r="O293" s="81">
        <f t="shared" si="12"/>
        <v>0</v>
      </c>
      <c r="P293" s="81">
        <f t="shared" si="13"/>
        <v>0</v>
      </c>
      <c r="Q293" s="65"/>
      <c r="R293" s="67"/>
      <c r="S293" s="83">
        <f t="shared" si="14"/>
        <v>0</v>
      </c>
    </row>
    <row r="294" spans="1:19" ht="18" customHeight="1" x14ac:dyDescent="0.25">
      <c r="A294" s="68"/>
      <c r="B294" s="69"/>
      <c r="C294" s="74"/>
      <c r="D294" s="69"/>
      <c r="E294" s="68"/>
      <c r="F294" s="71"/>
      <c r="G294" s="72"/>
      <c r="H294" s="73"/>
      <c r="I294" s="74"/>
      <c r="J294" s="74"/>
      <c r="K294" s="74"/>
      <c r="L294" s="74"/>
      <c r="M294" s="74"/>
      <c r="N294" s="74"/>
      <c r="O294" s="82">
        <f t="shared" si="12"/>
        <v>0</v>
      </c>
      <c r="P294" s="82">
        <f t="shared" si="13"/>
        <v>0</v>
      </c>
      <c r="Q294" s="74"/>
      <c r="R294" s="76"/>
      <c r="S294" s="84">
        <f t="shared" si="14"/>
        <v>0</v>
      </c>
    </row>
    <row r="295" spans="1:19" ht="18" customHeight="1" x14ac:dyDescent="0.25">
      <c r="A295" s="59"/>
      <c r="B295" s="60"/>
      <c r="C295" s="65"/>
      <c r="D295" s="60"/>
      <c r="E295" s="59"/>
      <c r="F295" s="62"/>
      <c r="G295" s="63"/>
      <c r="H295" s="64"/>
      <c r="I295" s="65"/>
      <c r="J295" s="65"/>
      <c r="K295" s="65"/>
      <c r="L295" s="65"/>
      <c r="M295" s="65"/>
      <c r="N295" s="65"/>
      <c r="O295" s="81">
        <f t="shared" si="12"/>
        <v>0</v>
      </c>
      <c r="P295" s="81">
        <f t="shared" si="13"/>
        <v>0</v>
      </c>
      <c r="Q295" s="65"/>
      <c r="R295" s="67"/>
      <c r="S295" s="83">
        <f t="shared" si="14"/>
        <v>0</v>
      </c>
    </row>
    <row r="296" spans="1:19" ht="18" customHeight="1" x14ac:dyDescent="0.25">
      <c r="A296" s="68"/>
      <c r="B296" s="69"/>
      <c r="C296" s="74"/>
      <c r="D296" s="69"/>
      <c r="E296" s="68"/>
      <c r="F296" s="71"/>
      <c r="G296" s="72"/>
      <c r="H296" s="73"/>
      <c r="I296" s="74"/>
      <c r="J296" s="74"/>
      <c r="K296" s="74"/>
      <c r="L296" s="74"/>
      <c r="M296" s="74"/>
      <c r="N296" s="74"/>
      <c r="O296" s="82">
        <f t="shared" si="12"/>
        <v>0</v>
      </c>
      <c r="P296" s="82">
        <f t="shared" si="13"/>
        <v>0</v>
      </c>
      <c r="Q296" s="74"/>
      <c r="R296" s="76"/>
      <c r="S296" s="84">
        <f t="shared" si="14"/>
        <v>0</v>
      </c>
    </row>
    <row r="297" spans="1:19" ht="18" customHeight="1" x14ac:dyDescent="0.25">
      <c r="A297" s="59"/>
      <c r="B297" s="60"/>
      <c r="C297" s="65"/>
      <c r="D297" s="60"/>
      <c r="E297" s="59"/>
      <c r="F297" s="62"/>
      <c r="G297" s="63"/>
      <c r="H297" s="64"/>
      <c r="I297" s="65"/>
      <c r="J297" s="65"/>
      <c r="K297" s="65"/>
      <c r="L297" s="65"/>
      <c r="M297" s="65"/>
      <c r="N297" s="65"/>
      <c r="O297" s="81">
        <f t="shared" si="12"/>
        <v>0</v>
      </c>
      <c r="P297" s="81">
        <f t="shared" si="13"/>
        <v>0</v>
      </c>
      <c r="Q297" s="65"/>
      <c r="R297" s="67"/>
      <c r="S297" s="83">
        <f t="shared" si="14"/>
        <v>0</v>
      </c>
    </row>
    <row r="298" spans="1:19" ht="18" customHeight="1" x14ac:dyDescent="0.25">
      <c r="A298" s="68"/>
      <c r="B298" s="69"/>
      <c r="C298" s="74"/>
      <c r="D298" s="69"/>
      <c r="E298" s="68"/>
      <c r="F298" s="71"/>
      <c r="G298" s="72"/>
      <c r="H298" s="73"/>
      <c r="I298" s="74"/>
      <c r="J298" s="74"/>
      <c r="K298" s="74"/>
      <c r="L298" s="74"/>
      <c r="M298" s="74"/>
      <c r="N298" s="74"/>
      <c r="O298" s="82">
        <f t="shared" si="12"/>
        <v>0</v>
      </c>
      <c r="P298" s="82">
        <f t="shared" si="13"/>
        <v>0</v>
      </c>
      <c r="Q298" s="74"/>
      <c r="R298" s="76"/>
      <c r="S298" s="84">
        <f t="shared" si="14"/>
        <v>0</v>
      </c>
    </row>
    <row r="299" spans="1:19" ht="18" customHeight="1" x14ac:dyDescent="0.25">
      <c r="A299" s="59"/>
      <c r="B299" s="60"/>
      <c r="C299" s="65"/>
      <c r="D299" s="60"/>
      <c r="E299" s="59"/>
      <c r="F299" s="62"/>
      <c r="G299" s="63"/>
      <c r="H299" s="64"/>
      <c r="I299" s="65"/>
      <c r="J299" s="65"/>
      <c r="K299" s="65"/>
      <c r="L299" s="65"/>
      <c r="M299" s="65"/>
      <c r="N299" s="65"/>
      <c r="O299" s="81">
        <f t="shared" si="12"/>
        <v>0</v>
      </c>
      <c r="P299" s="81">
        <f t="shared" si="13"/>
        <v>0</v>
      </c>
      <c r="Q299" s="65"/>
      <c r="R299" s="67"/>
      <c r="S299" s="83">
        <f t="shared" si="14"/>
        <v>0</v>
      </c>
    </row>
    <row r="300" spans="1:19" ht="18" customHeight="1" x14ac:dyDescent="0.25">
      <c r="A300" s="68"/>
      <c r="B300" s="69"/>
      <c r="C300" s="74"/>
      <c r="D300" s="69"/>
      <c r="E300" s="68"/>
      <c r="F300" s="71"/>
      <c r="G300" s="72"/>
      <c r="H300" s="73"/>
      <c r="I300" s="74"/>
      <c r="J300" s="74"/>
      <c r="K300" s="74"/>
      <c r="L300" s="74"/>
      <c r="M300" s="74"/>
      <c r="N300" s="74"/>
      <c r="O300" s="82">
        <f t="shared" si="12"/>
        <v>0</v>
      </c>
      <c r="P300" s="82">
        <f t="shared" si="13"/>
        <v>0</v>
      </c>
      <c r="Q300" s="74"/>
      <c r="R300" s="76"/>
      <c r="S300" s="84">
        <f t="shared" si="14"/>
        <v>0</v>
      </c>
    </row>
    <row r="301" spans="1:19" ht="18" customHeight="1" x14ac:dyDescent="0.25">
      <c r="A301" s="59"/>
      <c r="B301" s="60"/>
      <c r="C301" s="65"/>
      <c r="D301" s="60"/>
      <c r="E301" s="59"/>
      <c r="F301" s="62"/>
      <c r="G301" s="63"/>
      <c r="H301" s="64"/>
      <c r="I301" s="65"/>
      <c r="J301" s="65"/>
      <c r="K301" s="65"/>
      <c r="L301" s="65"/>
      <c r="M301" s="65"/>
      <c r="N301" s="65"/>
      <c r="O301" s="81">
        <f t="shared" si="12"/>
        <v>0</v>
      </c>
      <c r="P301" s="81">
        <f t="shared" si="13"/>
        <v>0</v>
      </c>
      <c r="Q301" s="65"/>
      <c r="R301" s="67"/>
      <c r="S301" s="83">
        <f t="shared" si="14"/>
        <v>0</v>
      </c>
    </row>
    <row r="302" spans="1:19" ht="18" customHeight="1" x14ac:dyDescent="0.25">
      <c r="A302" s="68"/>
      <c r="B302" s="69"/>
      <c r="C302" s="74"/>
      <c r="D302" s="69"/>
      <c r="E302" s="68"/>
      <c r="F302" s="71"/>
      <c r="G302" s="72"/>
      <c r="H302" s="73"/>
      <c r="I302" s="74"/>
      <c r="J302" s="74"/>
      <c r="K302" s="74"/>
      <c r="L302" s="74"/>
      <c r="M302" s="74"/>
      <c r="N302" s="74"/>
      <c r="O302" s="82">
        <f t="shared" si="12"/>
        <v>0</v>
      </c>
      <c r="P302" s="82">
        <f t="shared" si="13"/>
        <v>0</v>
      </c>
      <c r="Q302" s="74"/>
      <c r="R302" s="76"/>
      <c r="S302" s="84">
        <f t="shared" si="14"/>
        <v>0</v>
      </c>
    </row>
    <row r="303" spans="1:19" ht="18" customHeight="1" x14ac:dyDescent="0.25">
      <c r="A303" s="59"/>
      <c r="B303" s="60"/>
      <c r="C303" s="65"/>
      <c r="D303" s="60"/>
      <c r="E303" s="59"/>
      <c r="F303" s="62"/>
      <c r="G303" s="63"/>
      <c r="H303" s="64"/>
      <c r="I303" s="65"/>
      <c r="J303" s="65"/>
      <c r="K303" s="65"/>
      <c r="L303" s="65"/>
      <c r="M303" s="65"/>
      <c r="N303" s="65"/>
      <c r="O303" s="81">
        <f t="shared" si="12"/>
        <v>0</v>
      </c>
      <c r="P303" s="81">
        <f t="shared" si="13"/>
        <v>0</v>
      </c>
      <c r="Q303" s="65"/>
      <c r="R303" s="67"/>
      <c r="S303" s="83">
        <f t="shared" si="14"/>
        <v>0</v>
      </c>
    </row>
    <row r="304" spans="1:19" ht="18" customHeight="1" x14ac:dyDescent="0.25">
      <c r="A304" s="68"/>
      <c r="B304" s="69"/>
      <c r="C304" s="74"/>
      <c r="D304" s="69"/>
      <c r="E304" s="68"/>
      <c r="F304" s="71"/>
      <c r="G304" s="72"/>
      <c r="H304" s="73"/>
      <c r="I304" s="74"/>
      <c r="J304" s="74"/>
      <c r="K304" s="74"/>
      <c r="L304" s="74"/>
      <c r="M304" s="74"/>
      <c r="N304" s="74"/>
      <c r="O304" s="82">
        <f t="shared" si="12"/>
        <v>0</v>
      </c>
      <c r="P304" s="82">
        <f t="shared" si="13"/>
        <v>0</v>
      </c>
      <c r="Q304" s="74"/>
      <c r="R304" s="76"/>
      <c r="S304" s="84">
        <f t="shared" si="14"/>
        <v>0</v>
      </c>
    </row>
    <row r="305" spans="1:19" ht="18" customHeight="1" x14ac:dyDescent="0.25">
      <c r="A305" s="59"/>
      <c r="B305" s="60"/>
      <c r="C305" s="65"/>
      <c r="D305" s="60"/>
      <c r="E305" s="59"/>
      <c r="F305" s="62"/>
      <c r="G305" s="63"/>
      <c r="H305" s="64"/>
      <c r="I305" s="65"/>
      <c r="J305" s="65"/>
      <c r="K305" s="65"/>
      <c r="L305" s="65"/>
      <c r="M305" s="65"/>
      <c r="N305" s="65"/>
      <c r="O305" s="81">
        <f t="shared" si="12"/>
        <v>0</v>
      </c>
      <c r="P305" s="81">
        <f t="shared" si="13"/>
        <v>0</v>
      </c>
      <c r="Q305" s="65"/>
      <c r="R305" s="67"/>
      <c r="S305" s="83">
        <f t="shared" si="14"/>
        <v>0</v>
      </c>
    </row>
    <row r="306" spans="1:19" ht="18" customHeight="1" x14ac:dyDescent="0.25">
      <c r="A306" s="68"/>
      <c r="B306" s="69"/>
      <c r="C306" s="74"/>
      <c r="D306" s="69"/>
      <c r="E306" s="68"/>
      <c r="F306" s="71"/>
      <c r="G306" s="72"/>
      <c r="H306" s="73"/>
      <c r="I306" s="74"/>
      <c r="J306" s="74"/>
      <c r="K306" s="74"/>
      <c r="L306" s="74"/>
      <c r="M306" s="74"/>
      <c r="N306" s="74"/>
      <c r="O306" s="82">
        <f t="shared" si="12"/>
        <v>0</v>
      </c>
      <c r="P306" s="82">
        <f t="shared" si="13"/>
        <v>0</v>
      </c>
      <c r="Q306" s="74"/>
      <c r="R306" s="76"/>
      <c r="S306" s="84">
        <f t="shared" si="14"/>
        <v>0</v>
      </c>
    </row>
    <row r="307" spans="1:19" ht="18" customHeight="1" x14ac:dyDescent="0.25">
      <c r="A307" s="59"/>
      <c r="B307" s="60"/>
      <c r="C307" s="65"/>
      <c r="D307" s="60"/>
      <c r="E307" s="59"/>
      <c r="F307" s="62"/>
      <c r="G307" s="63"/>
      <c r="H307" s="64"/>
      <c r="I307" s="65"/>
      <c r="J307" s="65"/>
      <c r="K307" s="65"/>
      <c r="L307" s="65"/>
      <c r="M307" s="65"/>
      <c r="N307" s="65"/>
      <c r="O307" s="81">
        <f t="shared" si="12"/>
        <v>0</v>
      </c>
      <c r="P307" s="81">
        <f t="shared" si="13"/>
        <v>0</v>
      </c>
      <c r="Q307" s="65"/>
      <c r="R307" s="67"/>
      <c r="S307" s="83">
        <f t="shared" si="14"/>
        <v>0</v>
      </c>
    </row>
    <row r="308" spans="1:19" ht="18" customHeight="1" x14ac:dyDescent="0.25">
      <c r="A308" s="68"/>
      <c r="B308" s="69"/>
      <c r="C308" s="74"/>
      <c r="D308" s="69"/>
      <c r="E308" s="68"/>
      <c r="F308" s="71"/>
      <c r="G308" s="72"/>
      <c r="H308" s="73"/>
      <c r="I308" s="74"/>
      <c r="J308" s="74"/>
      <c r="K308" s="74"/>
      <c r="L308" s="74"/>
      <c r="M308" s="74"/>
      <c r="N308" s="74"/>
      <c r="O308" s="82">
        <f t="shared" si="12"/>
        <v>0</v>
      </c>
      <c r="P308" s="82">
        <f t="shared" si="13"/>
        <v>0</v>
      </c>
      <c r="Q308" s="74"/>
      <c r="R308" s="76"/>
      <c r="S308" s="84">
        <f t="shared" si="14"/>
        <v>0</v>
      </c>
    </row>
    <row r="309" spans="1:19" ht="18" customHeight="1" x14ac:dyDescent="0.25">
      <c r="A309" s="59"/>
      <c r="B309" s="60"/>
      <c r="C309" s="65"/>
      <c r="D309" s="60"/>
      <c r="E309" s="59"/>
      <c r="F309" s="62"/>
      <c r="G309" s="63"/>
      <c r="H309" s="64"/>
      <c r="I309" s="65"/>
      <c r="J309" s="65"/>
      <c r="K309" s="65"/>
      <c r="L309" s="65"/>
      <c r="M309" s="65"/>
      <c r="N309" s="65"/>
      <c r="O309" s="81">
        <f t="shared" si="12"/>
        <v>0</v>
      </c>
      <c r="P309" s="81">
        <f t="shared" si="13"/>
        <v>0</v>
      </c>
      <c r="Q309" s="65"/>
      <c r="R309" s="67"/>
      <c r="S309" s="83">
        <f t="shared" si="14"/>
        <v>0</v>
      </c>
    </row>
    <row r="310" spans="1:19" ht="18" customHeight="1" x14ac:dyDescent="0.25">
      <c r="A310" s="68"/>
      <c r="B310" s="69"/>
      <c r="C310" s="74"/>
      <c r="D310" s="69"/>
      <c r="E310" s="68"/>
      <c r="F310" s="71"/>
      <c r="G310" s="72"/>
      <c r="H310" s="73"/>
      <c r="I310" s="74"/>
      <c r="J310" s="74"/>
      <c r="K310" s="74"/>
      <c r="L310" s="74"/>
      <c r="M310" s="74"/>
      <c r="N310" s="74"/>
      <c r="O310" s="82">
        <f t="shared" si="12"/>
        <v>0</v>
      </c>
      <c r="P310" s="82">
        <f t="shared" si="13"/>
        <v>0</v>
      </c>
      <c r="Q310" s="74"/>
      <c r="R310" s="76"/>
      <c r="S310" s="84">
        <f t="shared" si="14"/>
        <v>0</v>
      </c>
    </row>
    <row r="311" spans="1:19" ht="18" customHeight="1" x14ac:dyDescent="0.25">
      <c r="A311" s="59"/>
      <c r="B311" s="60"/>
      <c r="C311" s="65"/>
      <c r="D311" s="60"/>
      <c r="E311" s="59"/>
      <c r="F311" s="62"/>
      <c r="G311" s="63"/>
      <c r="H311" s="64"/>
      <c r="I311" s="65"/>
      <c r="J311" s="65"/>
      <c r="K311" s="65"/>
      <c r="L311" s="65"/>
      <c r="M311" s="65"/>
      <c r="N311" s="65"/>
      <c r="O311" s="81">
        <f t="shared" si="12"/>
        <v>0</v>
      </c>
      <c r="P311" s="81">
        <f t="shared" si="13"/>
        <v>0</v>
      </c>
      <c r="Q311" s="65"/>
      <c r="R311" s="67"/>
      <c r="S311" s="83">
        <f t="shared" si="14"/>
        <v>0</v>
      </c>
    </row>
    <row r="312" spans="1:19" ht="18" customHeight="1" x14ac:dyDescent="0.25">
      <c r="A312" s="68"/>
      <c r="B312" s="69"/>
      <c r="C312" s="74"/>
      <c r="D312" s="69"/>
      <c r="E312" s="68"/>
      <c r="F312" s="71"/>
      <c r="G312" s="72"/>
      <c r="H312" s="73"/>
      <c r="I312" s="74"/>
      <c r="J312" s="74"/>
      <c r="K312" s="74"/>
      <c r="L312" s="74"/>
      <c r="M312" s="74"/>
      <c r="N312" s="74"/>
      <c r="O312" s="82">
        <f t="shared" si="12"/>
        <v>0</v>
      </c>
      <c r="P312" s="82">
        <f t="shared" si="13"/>
        <v>0</v>
      </c>
      <c r="Q312" s="74"/>
      <c r="R312" s="76"/>
      <c r="S312" s="84">
        <f t="shared" si="14"/>
        <v>0</v>
      </c>
    </row>
    <row r="313" spans="1:19" ht="18" customHeight="1" x14ac:dyDescent="0.25">
      <c r="A313" s="59"/>
      <c r="B313" s="60"/>
      <c r="C313" s="65"/>
      <c r="D313" s="60"/>
      <c r="E313" s="59"/>
      <c r="F313" s="62"/>
      <c r="G313" s="63"/>
      <c r="H313" s="64"/>
      <c r="I313" s="65"/>
      <c r="J313" s="65"/>
      <c r="K313" s="65"/>
      <c r="L313" s="65"/>
      <c r="M313" s="65"/>
      <c r="N313" s="65"/>
      <c r="O313" s="81">
        <f t="shared" si="12"/>
        <v>0</v>
      </c>
      <c r="P313" s="81">
        <f t="shared" si="13"/>
        <v>0</v>
      </c>
      <c r="Q313" s="65"/>
      <c r="R313" s="67"/>
      <c r="S313" s="83">
        <f t="shared" si="14"/>
        <v>0</v>
      </c>
    </row>
    <row r="314" spans="1:19" ht="18" customHeight="1" x14ac:dyDescent="0.25">
      <c r="A314" s="68"/>
      <c r="B314" s="69"/>
      <c r="C314" s="74"/>
      <c r="D314" s="69"/>
      <c r="E314" s="68"/>
      <c r="F314" s="71"/>
      <c r="G314" s="72"/>
      <c r="H314" s="73"/>
      <c r="I314" s="74"/>
      <c r="J314" s="74"/>
      <c r="K314" s="74"/>
      <c r="L314" s="74"/>
      <c r="M314" s="74"/>
      <c r="N314" s="74"/>
      <c r="O314" s="82">
        <f t="shared" si="12"/>
        <v>0</v>
      </c>
      <c r="P314" s="82">
        <f t="shared" si="13"/>
        <v>0</v>
      </c>
      <c r="Q314" s="74"/>
      <c r="R314" s="76"/>
      <c r="S314" s="84">
        <f t="shared" si="14"/>
        <v>0</v>
      </c>
    </row>
    <row r="315" spans="1:19" ht="18" customHeight="1" x14ac:dyDescent="0.25">
      <c r="A315" s="59"/>
      <c r="B315" s="60"/>
      <c r="C315" s="65"/>
      <c r="D315" s="60"/>
      <c r="E315" s="59"/>
      <c r="F315" s="62"/>
      <c r="G315" s="63"/>
      <c r="H315" s="64"/>
      <c r="I315" s="65"/>
      <c r="J315" s="65"/>
      <c r="K315" s="65"/>
      <c r="L315" s="65"/>
      <c r="M315" s="65"/>
      <c r="N315" s="65"/>
      <c r="O315" s="81">
        <f t="shared" si="12"/>
        <v>0</v>
      </c>
      <c r="P315" s="81">
        <f t="shared" si="13"/>
        <v>0</v>
      </c>
      <c r="Q315" s="65"/>
      <c r="R315" s="67"/>
      <c r="S315" s="83">
        <f t="shared" si="14"/>
        <v>0</v>
      </c>
    </row>
    <row r="316" spans="1:19" ht="18" customHeight="1" x14ac:dyDescent="0.25">
      <c r="A316" s="68"/>
      <c r="B316" s="69"/>
      <c r="C316" s="74"/>
      <c r="D316" s="69"/>
      <c r="E316" s="68"/>
      <c r="F316" s="71"/>
      <c r="G316" s="72"/>
      <c r="H316" s="73"/>
      <c r="I316" s="74"/>
      <c r="J316" s="74"/>
      <c r="K316" s="74"/>
      <c r="L316" s="74"/>
      <c r="M316" s="74"/>
      <c r="N316" s="74"/>
      <c r="O316" s="82">
        <f t="shared" si="12"/>
        <v>0</v>
      </c>
      <c r="P316" s="82">
        <f t="shared" si="13"/>
        <v>0</v>
      </c>
      <c r="Q316" s="74"/>
      <c r="R316" s="76"/>
      <c r="S316" s="84">
        <f t="shared" si="14"/>
        <v>0</v>
      </c>
    </row>
    <row r="317" spans="1:19" ht="18" customHeight="1" x14ac:dyDescent="0.25">
      <c r="A317" s="59"/>
      <c r="B317" s="60"/>
      <c r="C317" s="65"/>
      <c r="D317" s="60"/>
      <c r="E317" s="59"/>
      <c r="F317" s="62"/>
      <c r="G317" s="63"/>
      <c r="H317" s="64"/>
      <c r="I317" s="65"/>
      <c r="J317" s="65"/>
      <c r="K317" s="65"/>
      <c r="L317" s="65"/>
      <c r="M317" s="65"/>
      <c r="N317" s="65"/>
      <c r="O317" s="81">
        <f t="shared" si="12"/>
        <v>0</v>
      </c>
      <c r="P317" s="81">
        <f t="shared" si="13"/>
        <v>0</v>
      </c>
      <c r="Q317" s="65"/>
      <c r="R317" s="67"/>
      <c r="S317" s="83">
        <f t="shared" si="14"/>
        <v>0</v>
      </c>
    </row>
    <row r="318" spans="1:19" ht="18" customHeight="1" x14ac:dyDescent="0.25">
      <c r="A318" s="68"/>
      <c r="B318" s="69"/>
      <c r="C318" s="74"/>
      <c r="D318" s="69"/>
      <c r="E318" s="68"/>
      <c r="F318" s="71"/>
      <c r="G318" s="72"/>
      <c r="H318" s="73"/>
      <c r="I318" s="74"/>
      <c r="J318" s="74"/>
      <c r="K318" s="74"/>
      <c r="L318" s="74"/>
      <c r="M318" s="74"/>
      <c r="N318" s="74"/>
      <c r="O318" s="82">
        <f t="shared" si="12"/>
        <v>0</v>
      </c>
      <c r="P318" s="82">
        <f t="shared" si="13"/>
        <v>0</v>
      </c>
      <c r="Q318" s="74"/>
      <c r="R318" s="76"/>
      <c r="S318" s="84">
        <f t="shared" si="14"/>
        <v>0</v>
      </c>
    </row>
    <row r="319" spans="1:19" ht="18" customHeight="1" x14ac:dyDescent="0.25">
      <c r="A319" s="59"/>
      <c r="B319" s="60"/>
      <c r="C319" s="65"/>
      <c r="D319" s="60"/>
      <c r="E319" s="59"/>
      <c r="F319" s="62"/>
      <c r="G319" s="63"/>
      <c r="H319" s="64"/>
      <c r="I319" s="65"/>
      <c r="J319" s="65"/>
      <c r="K319" s="65"/>
      <c r="L319" s="65"/>
      <c r="M319" s="65"/>
      <c r="N319" s="65"/>
      <c r="O319" s="81">
        <f t="shared" si="12"/>
        <v>0</v>
      </c>
      <c r="P319" s="81">
        <f t="shared" si="13"/>
        <v>0</v>
      </c>
      <c r="Q319" s="65"/>
      <c r="R319" s="67"/>
      <c r="S319" s="83">
        <f t="shared" si="14"/>
        <v>0</v>
      </c>
    </row>
    <row r="320" spans="1:19" ht="18" customHeight="1" x14ac:dyDescent="0.25">
      <c r="A320" s="68"/>
      <c r="B320" s="69"/>
      <c r="C320" s="74"/>
      <c r="D320" s="69"/>
      <c r="E320" s="68"/>
      <c r="F320" s="71"/>
      <c r="G320" s="72"/>
      <c r="H320" s="73"/>
      <c r="I320" s="74"/>
      <c r="J320" s="74"/>
      <c r="K320" s="74"/>
      <c r="L320" s="74"/>
      <c r="M320" s="74"/>
      <c r="N320" s="74"/>
      <c r="O320" s="82">
        <f t="shared" si="12"/>
        <v>0</v>
      </c>
      <c r="P320" s="82">
        <f t="shared" si="13"/>
        <v>0</v>
      </c>
      <c r="Q320" s="74"/>
      <c r="R320" s="76"/>
      <c r="S320" s="84">
        <f t="shared" si="14"/>
        <v>0</v>
      </c>
    </row>
    <row r="321" spans="1:19" ht="18" customHeight="1" x14ac:dyDescent="0.25">
      <c r="A321" s="59"/>
      <c r="B321" s="60"/>
      <c r="C321" s="65"/>
      <c r="D321" s="60"/>
      <c r="E321" s="59"/>
      <c r="F321" s="62"/>
      <c r="G321" s="63"/>
      <c r="H321" s="64"/>
      <c r="I321" s="65"/>
      <c r="J321" s="65"/>
      <c r="K321" s="65"/>
      <c r="L321" s="65"/>
      <c r="M321" s="65"/>
      <c r="N321" s="65"/>
      <c r="O321" s="81">
        <f t="shared" si="12"/>
        <v>0</v>
      </c>
      <c r="P321" s="81">
        <f t="shared" si="13"/>
        <v>0</v>
      </c>
      <c r="Q321" s="65"/>
      <c r="R321" s="67"/>
      <c r="S321" s="83">
        <f t="shared" si="14"/>
        <v>0</v>
      </c>
    </row>
    <row r="322" spans="1:19" ht="18" customHeight="1" x14ac:dyDescent="0.25">
      <c r="A322" s="68"/>
      <c r="B322" s="69"/>
      <c r="C322" s="74"/>
      <c r="D322" s="69"/>
      <c r="E322" s="68"/>
      <c r="F322" s="71"/>
      <c r="G322" s="72"/>
      <c r="H322" s="73"/>
      <c r="I322" s="74"/>
      <c r="J322" s="74"/>
      <c r="K322" s="74"/>
      <c r="L322" s="74"/>
      <c r="M322" s="74"/>
      <c r="N322" s="74"/>
      <c r="O322" s="82">
        <f t="shared" si="12"/>
        <v>0</v>
      </c>
      <c r="P322" s="82">
        <f t="shared" si="13"/>
        <v>0</v>
      </c>
      <c r="Q322" s="74"/>
      <c r="R322" s="76"/>
      <c r="S322" s="84">
        <f t="shared" si="14"/>
        <v>0</v>
      </c>
    </row>
    <row r="323" spans="1:19" ht="18" customHeight="1" x14ac:dyDescent="0.25">
      <c r="A323" s="59"/>
      <c r="B323" s="60"/>
      <c r="C323" s="65"/>
      <c r="D323" s="60"/>
      <c r="E323" s="59"/>
      <c r="F323" s="62"/>
      <c r="G323" s="63"/>
      <c r="H323" s="64"/>
      <c r="I323" s="65"/>
      <c r="J323" s="65"/>
      <c r="K323" s="65"/>
      <c r="L323" s="65"/>
      <c r="M323" s="65"/>
      <c r="N323" s="65"/>
      <c r="O323" s="81">
        <f t="shared" si="12"/>
        <v>0</v>
      </c>
      <c r="P323" s="81">
        <f t="shared" si="13"/>
        <v>0</v>
      </c>
      <c r="Q323" s="65"/>
      <c r="R323" s="67"/>
      <c r="S323" s="83">
        <f t="shared" si="14"/>
        <v>0</v>
      </c>
    </row>
    <row r="324" spans="1:19" ht="18" customHeight="1" x14ac:dyDescent="0.25">
      <c r="A324" s="68"/>
      <c r="B324" s="69"/>
      <c r="C324" s="74"/>
      <c r="D324" s="69"/>
      <c r="E324" s="68"/>
      <c r="F324" s="71"/>
      <c r="G324" s="72"/>
      <c r="H324" s="73"/>
      <c r="I324" s="74"/>
      <c r="J324" s="74"/>
      <c r="K324" s="74"/>
      <c r="L324" s="74"/>
      <c r="M324" s="74"/>
      <c r="N324" s="74"/>
      <c r="O324" s="82">
        <f t="shared" si="12"/>
        <v>0</v>
      </c>
      <c r="P324" s="82">
        <f t="shared" si="13"/>
        <v>0</v>
      </c>
      <c r="Q324" s="74"/>
      <c r="R324" s="76"/>
      <c r="S324" s="84">
        <f t="shared" si="14"/>
        <v>0</v>
      </c>
    </row>
    <row r="325" spans="1:19" ht="18" customHeight="1" x14ac:dyDescent="0.25">
      <c r="A325" s="59"/>
      <c r="B325" s="60"/>
      <c r="C325" s="65"/>
      <c r="D325" s="60"/>
      <c r="E325" s="59"/>
      <c r="F325" s="62"/>
      <c r="G325" s="63"/>
      <c r="H325" s="64"/>
      <c r="I325" s="65"/>
      <c r="J325" s="65"/>
      <c r="K325" s="65"/>
      <c r="L325" s="65"/>
      <c r="M325" s="65"/>
      <c r="N325" s="65"/>
      <c r="O325" s="81">
        <f t="shared" si="12"/>
        <v>0</v>
      </c>
      <c r="P325" s="81">
        <f t="shared" si="13"/>
        <v>0</v>
      </c>
      <c r="Q325" s="65"/>
      <c r="R325" s="67"/>
      <c r="S325" s="83">
        <f t="shared" si="14"/>
        <v>0</v>
      </c>
    </row>
    <row r="326" spans="1:19" ht="18" customHeight="1" x14ac:dyDescent="0.25">
      <c r="A326" s="68"/>
      <c r="B326" s="69"/>
      <c r="C326" s="74"/>
      <c r="D326" s="69"/>
      <c r="E326" s="68"/>
      <c r="F326" s="71"/>
      <c r="G326" s="72"/>
      <c r="H326" s="73"/>
      <c r="I326" s="74"/>
      <c r="J326" s="74"/>
      <c r="K326" s="74"/>
      <c r="L326" s="74"/>
      <c r="M326" s="74"/>
      <c r="N326" s="74"/>
      <c r="O326" s="82" t="e">
        <f>#N/A</f>
        <v>#N/A</v>
      </c>
      <c r="P326" s="82" t="e">
        <f>#N/A</f>
        <v>#N/A</v>
      </c>
      <c r="Q326" s="74"/>
      <c r="R326" s="76"/>
      <c r="S326" s="84">
        <f t="shared" si="14"/>
        <v>0</v>
      </c>
    </row>
    <row r="327" spans="1:19" ht="18" customHeight="1" x14ac:dyDescent="0.25">
      <c r="A327" s="59"/>
      <c r="B327" s="60"/>
      <c r="C327" s="65"/>
      <c r="D327" s="60"/>
      <c r="E327" s="59"/>
      <c r="F327" s="62"/>
      <c r="G327" s="63"/>
      <c r="H327" s="64"/>
      <c r="I327" s="65"/>
      <c r="J327" s="65"/>
      <c r="K327" s="65"/>
      <c r="L327" s="65"/>
      <c r="M327" s="65"/>
      <c r="N327" s="65"/>
      <c r="O327" s="81">
        <f t="shared" ref="O327:O389" si="15">IF(G327="Reimbursement ","",I327+J327+K327+L327+M327)</f>
        <v>0</v>
      </c>
      <c r="P327" s="81">
        <f t="shared" ref="P327:P389" si="16">IF(G327="Reimbursement ","",H327-O327)</f>
        <v>0</v>
      </c>
      <c r="Q327" s="65"/>
      <c r="R327" s="67"/>
      <c r="S327" s="83">
        <f t="shared" ref="S327:S390" si="17">IF(OR(R327="",Q327=""),0,IF(R327&gt;Q327,R327-Q327,0))</f>
        <v>0</v>
      </c>
    </row>
    <row r="328" spans="1:19" ht="18" customHeight="1" x14ac:dyDescent="0.25">
      <c r="A328" s="68"/>
      <c r="B328" s="69"/>
      <c r="C328" s="74"/>
      <c r="D328" s="69"/>
      <c r="E328" s="68"/>
      <c r="F328" s="71"/>
      <c r="G328" s="72"/>
      <c r="H328" s="73"/>
      <c r="I328" s="74"/>
      <c r="J328" s="74"/>
      <c r="K328" s="74"/>
      <c r="L328" s="74"/>
      <c r="M328" s="74"/>
      <c r="N328" s="74"/>
      <c r="O328" s="82">
        <f t="shared" si="15"/>
        <v>0</v>
      </c>
      <c r="P328" s="82">
        <f t="shared" si="16"/>
        <v>0</v>
      </c>
      <c r="Q328" s="74"/>
      <c r="R328" s="76"/>
      <c r="S328" s="84">
        <f t="shared" si="17"/>
        <v>0</v>
      </c>
    </row>
    <row r="329" spans="1:19" ht="18" customHeight="1" x14ac:dyDescent="0.25">
      <c r="A329" s="59"/>
      <c r="B329" s="60"/>
      <c r="C329" s="65"/>
      <c r="D329" s="60"/>
      <c r="E329" s="59"/>
      <c r="F329" s="62"/>
      <c r="G329" s="63"/>
      <c r="H329" s="64"/>
      <c r="I329" s="65"/>
      <c r="J329" s="65"/>
      <c r="K329" s="65"/>
      <c r="L329" s="65"/>
      <c r="M329" s="65"/>
      <c r="N329" s="65"/>
      <c r="O329" s="81">
        <f t="shared" si="15"/>
        <v>0</v>
      </c>
      <c r="P329" s="81">
        <f t="shared" si="16"/>
        <v>0</v>
      </c>
      <c r="Q329" s="65"/>
      <c r="R329" s="67"/>
      <c r="S329" s="83">
        <f t="shared" si="17"/>
        <v>0</v>
      </c>
    </row>
    <row r="330" spans="1:19" ht="18" customHeight="1" x14ac:dyDescent="0.25">
      <c r="A330" s="68"/>
      <c r="B330" s="69"/>
      <c r="C330" s="74"/>
      <c r="D330" s="69"/>
      <c r="E330" s="68"/>
      <c r="F330" s="71"/>
      <c r="G330" s="72"/>
      <c r="H330" s="73"/>
      <c r="I330" s="74"/>
      <c r="J330" s="74"/>
      <c r="K330" s="74"/>
      <c r="L330" s="74"/>
      <c r="M330" s="74"/>
      <c r="N330" s="74"/>
      <c r="O330" s="82">
        <f t="shared" si="15"/>
        <v>0</v>
      </c>
      <c r="P330" s="82">
        <f t="shared" si="16"/>
        <v>0</v>
      </c>
      <c r="Q330" s="74"/>
      <c r="R330" s="76"/>
      <c r="S330" s="84">
        <f t="shared" si="17"/>
        <v>0</v>
      </c>
    </row>
    <row r="331" spans="1:19" ht="18" customHeight="1" x14ac:dyDescent="0.25">
      <c r="A331" s="59"/>
      <c r="B331" s="60"/>
      <c r="C331" s="65"/>
      <c r="D331" s="60"/>
      <c r="E331" s="59"/>
      <c r="F331" s="62"/>
      <c r="G331" s="63"/>
      <c r="H331" s="64"/>
      <c r="I331" s="65"/>
      <c r="J331" s="65"/>
      <c r="K331" s="65"/>
      <c r="L331" s="65"/>
      <c r="M331" s="65"/>
      <c r="N331" s="65"/>
      <c r="O331" s="81">
        <f t="shared" si="15"/>
        <v>0</v>
      </c>
      <c r="P331" s="81">
        <f t="shared" si="16"/>
        <v>0</v>
      </c>
      <c r="Q331" s="65"/>
      <c r="R331" s="67"/>
      <c r="S331" s="83">
        <f t="shared" si="17"/>
        <v>0</v>
      </c>
    </row>
    <row r="332" spans="1:19" ht="18" customHeight="1" x14ac:dyDescent="0.25">
      <c r="A332" s="68"/>
      <c r="B332" s="69"/>
      <c r="C332" s="74"/>
      <c r="D332" s="69"/>
      <c r="E332" s="68"/>
      <c r="F332" s="71"/>
      <c r="G332" s="72"/>
      <c r="H332" s="73"/>
      <c r="I332" s="74"/>
      <c r="J332" s="74"/>
      <c r="K332" s="74"/>
      <c r="L332" s="74"/>
      <c r="M332" s="74"/>
      <c r="N332" s="74"/>
      <c r="O332" s="82">
        <f t="shared" si="15"/>
        <v>0</v>
      </c>
      <c r="P332" s="82">
        <f t="shared" si="16"/>
        <v>0</v>
      </c>
      <c r="Q332" s="74"/>
      <c r="R332" s="76"/>
      <c r="S332" s="84">
        <f t="shared" si="17"/>
        <v>0</v>
      </c>
    </row>
    <row r="333" spans="1:19" ht="18" customHeight="1" x14ac:dyDescent="0.25">
      <c r="A333" s="59"/>
      <c r="B333" s="60"/>
      <c r="C333" s="65"/>
      <c r="D333" s="60"/>
      <c r="E333" s="59"/>
      <c r="F333" s="62"/>
      <c r="G333" s="63"/>
      <c r="H333" s="64"/>
      <c r="I333" s="65"/>
      <c r="J333" s="65"/>
      <c r="K333" s="65"/>
      <c r="L333" s="65"/>
      <c r="M333" s="65"/>
      <c r="N333" s="65"/>
      <c r="O333" s="81">
        <f t="shared" si="15"/>
        <v>0</v>
      </c>
      <c r="P333" s="81">
        <f t="shared" si="16"/>
        <v>0</v>
      </c>
      <c r="Q333" s="65"/>
      <c r="R333" s="67"/>
      <c r="S333" s="83">
        <f t="shared" si="17"/>
        <v>0</v>
      </c>
    </row>
    <row r="334" spans="1:19" ht="18" customHeight="1" x14ac:dyDescent="0.25">
      <c r="A334" s="68"/>
      <c r="B334" s="69"/>
      <c r="C334" s="74"/>
      <c r="D334" s="69"/>
      <c r="E334" s="68"/>
      <c r="F334" s="71"/>
      <c r="G334" s="72"/>
      <c r="H334" s="73"/>
      <c r="I334" s="74"/>
      <c r="J334" s="74"/>
      <c r="K334" s="74"/>
      <c r="L334" s="74"/>
      <c r="M334" s="74"/>
      <c r="N334" s="74"/>
      <c r="O334" s="82">
        <f t="shared" si="15"/>
        <v>0</v>
      </c>
      <c r="P334" s="82">
        <f t="shared" si="16"/>
        <v>0</v>
      </c>
      <c r="Q334" s="74"/>
      <c r="R334" s="76"/>
      <c r="S334" s="84">
        <f t="shared" si="17"/>
        <v>0</v>
      </c>
    </row>
    <row r="335" spans="1:19" ht="18" customHeight="1" x14ac:dyDescent="0.25">
      <c r="A335" s="59"/>
      <c r="B335" s="60"/>
      <c r="C335" s="65"/>
      <c r="D335" s="60"/>
      <c r="E335" s="59"/>
      <c r="F335" s="62"/>
      <c r="G335" s="63"/>
      <c r="H335" s="64"/>
      <c r="I335" s="65"/>
      <c r="J335" s="65"/>
      <c r="K335" s="65"/>
      <c r="L335" s="65"/>
      <c r="M335" s="65"/>
      <c r="N335" s="65"/>
      <c r="O335" s="81">
        <f t="shared" si="15"/>
        <v>0</v>
      </c>
      <c r="P335" s="81">
        <f t="shared" si="16"/>
        <v>0</v>
      </c>
      <c r="Q335" s="65"/>
      <c r="R335" s="67"/>
      <c r="S335" s="83">
        <f t="shared" si="17"/>
        <v>0</v>
      </c>
    </row>
    <row r="336" spans="1:19" ht="18" customHeight="1" x14ac:dyDescent="0.25">
      <c r="A336" s="68"/>
      <c r="B336" s="69"/>
      <c r="C336" s="74"/>
      <c r="D336" s="69"/>
      <c r="E336" s="68"/>
      <c r="F336" s="71"/>
      <c r="G336" s="72"/>
      <c r="H336" s="73"/>
      <c r="I336" s="74"/>
      <c r="J336" s="74"/>
      <c r="K336" s="74"/>
      <c r="L336" s="74"/>
      <c r="M336" s="74"/>
      <c r="N336" s="74"/>
      <c r="O336" s="82">
        <f t="shared" si="15"/>
        <v>0</v>
      </c>
      <c r="P336" s="82">
        <f t="shared" si="16"/>
        <v>0</v>
      </c>
      <c r="Q336" s="74"/>
      <c r="R336" s="76"/>
      <c r="S336" s="84">
        <f t="shared" si="17"/>
        <v>0</v>
      </c>
    </row>
    <row r="337" spans="1:19" ht="18" customHeight="1" x14ac:dyDescent="0.25">
      <c r="A337" s="59"/>
      <c r="B337" s="60"/>
      <c r="C337" s="65"/>
      <c r="D337" s="60"/>
      <c r="E337" s="59"/>
      <c r="F337" s="62"/>
      <c r="G337" s="63"/>
      <c r="H337" s="64"/>
      <c r="I337" s="65"/>
      <c r="J337" s="65"/>
      <c r="K337" s="65"/>
      <c r="L337" s="65"/>
      <c r="M337" s="65"/>
      <c r="N337" s="65"/>
      <c r="O337" s="81">
        <f t="shared" si="15"/>
        <v>0</v>
      </c>
      <c r="P337" s="81">
        <f t="shared" si="16"/>
        <v>0</v>
      </c>
      <c r="Q337" s="65"/>
      <c r="R337" s="67"/>
      <c r="S337" s="83">
        <f t="shared" si="17"/>
        <v>0</v>
      </c>
    </row>
    <row r="338" spans="1:19" ht="18" customHeight="1" x14ac:dyDescent="0.25">
      <c r="A338" s="68"/>
      <c r="B338" s="69"/>
      <c r="C338" s="74"/>
      <c r="D338" s="69"/>
      <c r="E338" s="68"/>
      <c r="F338" s="71"/>
      <c r="G338" s="72"/>
      <c r="H338" s="73"/>
      <c r="I338" s="74"/>
      <c r="J338" s="74"/>
      <c r="K338" s="74"/>
      <c r="L338" s="74"/>
      <c r="M338" s="74"/>
      <c r="N338" s="74"/>
      <c r="O338" s="82">
        <f t="shared" si="15"/>
        <v>0</v>
      </c>
      <c r="P338" s="82">
        <f t="shared" si="16"/>
        <v>0</v>
      </c>
      <c r="Q338" s="74"/>
      <c r="R338" s="76"/>
      <c r="S338" s="84">
        <f t="shared" si="17"/>
        <v>0</v>
      </c>
    </row>
    <row r="339" spans="1:19" ht="18" customHeight="1" x14ac:dyDescent="0.25">
      <c r="A339" s="59"/>
      <c r="B339" s="60"/>
      <c r="C339" s="65"/>
      <c r="D339" s="60"/>
      <c r="E339" s="59"/>
      <c r="F339" s="62"/>
      <c r="G339" s="63"/>
      <c r="H339" s="64"/>
      <c r="I339" s="65"/>
      <c r="J339" s="65"/>
      <c r="K339" s="65"/>
      <c r="L339" s="65"/>
      <c r="M339" s="65"/>
      <c r="N339" s="65"/>
      <c r="O339" s="81">
        <f t="shared" si="15"/>
        <v>0</v>
      </c>
      <c r="P339" s="81">
        <f t="shared" si="16"/>
        <v>0</v>
      </c>
      <c r="Q339" s="65"/>
      <c r="R339" s="67"/>
      <c r="S339" s="83">
        <f t="shared" si="17"/>
        <v>0</v>
      </c>
    </row>
    <row r="340" spans="1:19" ht="18" customHeight="1" x14ac:dyDescent="0.25">
      <c r="A340" s="68"/>
      <c r="B340" s="69"/>
      <c r="C340" s="74"/>
      <c r="D340" s="69"/>
      <c r="E340" s="68"/>
      <c r="F340" s="71"/>
      <c r="G340" s="72"/>
      <c r="H340" s="73"/>
      <c r="I340" s="74"/>
      <c r="J340" s="74"/>
      <c r="K340" s="74"/>
      <c r="L340" s="74"/>
      <c r="M340" s="74"/>
      <c r="N340" s="74"/>
      <c r="O340" s="82">
        <f t="shared" si="15"/>
        <v>0</v>
      </c>
      <c r="P340" s="82">
        <f t="shared" si="16"/>
        <v>0</v>
      </c>
      <c r="Q340" s="74"/>
      <c r="R340" s="76"/>
      <c r="S340" s="84">
        <f t="shared" si="17"/>
        <v>0</v>
      </c>
    </row>
    <row r="341" spans="1:19" ht="18" customHeight="1" x14ac:dyDescent="0.25">
      <c r="A341" s="59"/>
      <c r="B341" s="60"/>
      <c r="C341" s="65"/>
      <c r="D341" s="60"/>
      <c r="E341" s="59"/>
      <c r="F341" s="62"/>
      <c r="G341" s="63"/>
      <c r="H341" s="64"/>
      <c r="I341" s="65"/>
      <c r="J341" s="65"/>
      <c r="K341" s="65"/>
      <c r="L341" s="65"/>
      <c r="M341" s="65"/>
      <c r="N341" s="65"/>
      <c r="O341" s="81">
        <f t="shared" si="15"/>
        <v>0</v>
      </c>
      <c r="P341" s="81">
        <f t="shared" si="16"/>
        <v>0</v>
      </c>
      <c r="Q341" s="65"/>
      <c r="R341" s="67"/>
      <c r="S341" s="83">
        <f t="shared" si="17"/>
        <v>0</v>
      </c>
    </row>
    <row r="342" spans="1:19" ht="18" customHeight="1" x14ac:dyDescent="0.25">
      <c r="A342" s="68"/>
      <c r="B342" s="69"/>
      <c r="C342" s="74"/>
      <c r="D342" s="69"/>
      <c r="E342" s="68"/>
      <c r="F342" s="71"/>
      <c r="G342" s="72"/>
      <c r="H342" s="73"/>
      <c r="I342" s="74"/>
      <c r="J342" s="74"/>
      <c r="K342" s="74"/>
      <c r="L342" s="74"/>
      <c r="M342" s="74"/>
      <c r="N342" s="74"/>
      <c r="O342" s="82">
        <f t="shared" si="15"/>
        <v>0</v>
      </c>
      <c r="P342" s="82">
        <f t="shared" si="16"/>
        <v>0</v>
      </c>
      <c r="Q342" s="74"/>
      <c r="R342" s="76"/>
      <c r="S342" s="84">
        <f t="shared" si="17"/>
        <v>0</v>
      </c>
    </row>
    <row r="343" spans="1:19" ht="18" customHeight="1" x14ac:dyDescent="0.25">
      <c r="A343" s="59"/>
      <c r="B343" s="60"/>
      <c r="C343" s="65"/>
      <c r="D343" s="60"/>
      <c r="E343" s="59"/>
      <c r="F343" s="62"/>
      <c r="G343" s="63"/>
      <c r="H343" s="64"/>
      <c r="I343" s="65"/>
      <c r="J343" s="65"/>
      <c r="K343" s="65"/>
      <c r="L343" s="65"/>
      <c r="M343" s="65"/>
      <c r="N343" s="65"/>
      <c r="O343" s="81">
        <f t="shared" si="15"/>
        <v>0</v>
      </c>
      <c r="P343" s="81">
        <f t="shared" si="16"/>
        <v>0</v>
      </c>
      <c r="Q343" s="65"/>
      <c r="R343" s="67"/>
      <c r="S343" s="83">
        <f t="shared" si="17"/>
        <v>0</v>
      </c>
    </row>
    <row r="344" spans="1:19" ht="18" customHeight="1" x14ac:dyDescent="0.25">
      <c r="A344" s="68"/>
      <c r="B344" s="69"/>
      <c r="C344" s="74"/>
      <c r="D344" s="69"/>
      <c r="E344" s="68"/>
      <c r="F344" s="71"/>
      <c r="G344" s="72"/>
      <c r="H344" s="73"/>
      <c r="I344" s="74"/>
      <c r="J344" s="74"/>
      <c r="K344" s="74"/>
      <c r="L344" s="74"/>
      <c r="M344" s="74"/>
      <c r="N344" s="74"/>
      <c r="O344" s="82">
        <f t="shared" si="15"/>
        <v>0</v>
      </c>
      <c r="P344" s="82">
        <f t="shared" si="16"/>
        <v>0</v>
      </c>
      <c r="Q344" s="74"/>
      <c r="R344" s="76"/>
      <c r="S344" s="84">
        <f t="shared" si="17"/>
        <v>0</v>
      </c>
    </row>
    <row r="345" spans="1:19" ht="18" customHeight="1" x14ac:dyDescent="0.25">
      <c r="A345" s="59"/>
      <c r="B345" s="60"/>
      <c r="C345" s="65"/>
      <c r="D345" s="60"/>
      <c r="E345" s="59"/>
      <c r="F345" s="62"/>
      <c r="G345" s="63"/>
      <c r="H345" s="64"/>
      <c r="I345" s="65"/>
      <c r="J345" s="65"/>
      <c r="K345" s="65"/>
      <c r="L345" s="65"/>
      <c r="M345" s="65"/>
      <c r="N345" s="65"/>
      <c r="O345" s="81">
        <f t="shared" si="15"/>
        <v>0</v>
      </c>
      <c r="P345" s="81">
        <f t="shared" si="16"/>
        <v>0</v>
      </c>
      <c r="Q345" s="65"/>
      <c r="R345" s="67"/>
      <c r="S345" s="83">
        <f t="shared" si="17"/>
        <v>0</v>
      </c>
    </row>
    <row r="346" spans="1:19" ht="18" customHeight="1" x14ac:dyDescent="0.25">
      <c r="A346" s="68"/>
      <c r="B346" s="69"/>
      <c r="C346" s="74"/>
      <c r="D346" s="69"/>
      <c r="E346" s="68"/>
      <c r="F346" s="71"/>
      <c r="G346" s="72"/>
      <c r="H346" s="73"/>
      <c r="I346" s="74"/>
      <c r="J346" s="74"/>
      <c r="K346" s="74"/>
      <c r="L346" s="74"/>
      <c r="M346" s="74"/>
      <c r="N346" s="74"/>
      <c r="O346" s="82">
        <f t="shared" si="15"/>
        <v>0</v>
      </c>
      <c r="P346" s="82">
        <f t="shared" si="16"/>
        <v>0</v>
      </c>
      <c r="Q346" s="74"/>
      <c r="R346" s="76"/>
      <c r="S346" s="84">
        <f t="shared" si="17"/>
        <v>0</v>
      </c>
    </row>
    <row r="347" spans="1:19" ht="18" customHeight="1" x14ac:dyDescent="0.25">
      <c r="A347" s="59"/>
      <c r="B347" s="60"/>
      <c r="C347" s="65"/>
      <c r="D347" s="60"/>
      <c r="E347" s="59"/>
      <c r="F347" s="62"/>
      <c r="G347" s="63"/>
      <c r="H347" s="64"/>
      <c r="I347" s="65"/>
      <c r="J347" s="65"/>
      <c r="K347" s="65"/>
      <c r="L347" s="65"/>
      <c r="M347" s="65"/>
      <c r="N347" s="65"/>
      <c r="O347" s="81">
        <f t="shared" si="15"/>
        <v>0</v>
      </c>
      <c r="P347" s="81">
        <f t="shared" si="16"/>
        <v>0</v>
      </c>
      <c r="Q347" s="65"/>
      <c r="R347" s="67"/>
      <c r="S347" s="83">
        <f t="shared" si="17"/>
        <v>0</v>
      </c>
    </row>
    <row r="348" spans="1:19" ht="18" customHeight="1" x14ac:dyDescent="0.25">
      <c r="A348" s="68"/>
      <c r="B348" s="69"/>
      <c r="C348" s="74"/>
      <c r="D348" s="69"/>
      <c r="E348" s="68"/>
      <c r="F348" s="71"/>
      <c r="G348" s="72"/>
      <c r="H348" s="73"/>
      <c r="I348" s="74"/>
      <c r="J348" s="74"/>
      <c r="K348" s="74"/>
      <c r="L348" s="74"/>
      <c r="M348" s="74"/>
      <c r="N348" s="74"/>
      <c r="O348" s="82">
        <f t="shared" si="15"/>
        <v>0</v>
      </c>
      <c r="P348" s="82">
        <f t="shared" si="16"/>
        <v>0</v>
      </c>
      <c r="Q348" s="74"/>
      <c r="R348" s="76"/>
      <c r="S348" s="84">
        <f t="shared" si="17"/>
        <v>0</v>
      </c>
    </row>
    <row r="349" spans="1:19" ht="18" customHeight="1" x14ac:dyDescent="0.25">
      <c r="A349" s="59"/>
      <c r="B349" s="60"/>
      <c r="C349" s="65"/>
      <c r="D349" s="60"/>
      <c r="E349" s="59"/>
      <c r="F349" s="62"/>
      <c r="G349" s="63"/>
      <c r="H349" s="64"/>
      <c r="I349" s="65"/>
      <c r="J349" s="65"/>
      <c r="K349" s="65"/>
      <c r="L349" s="65"/>
      <c r="M349" s="65"/>
      <c r="N349" s="65"/>
      <c r="O349" s="81">
        <f t="shared" si="15"/>
        <v>0</v>
      </c>
      <c r="P349" s="81">
        <f t="shared" si="16"/>
        <v>0</v>
      </c>
      <c r="Q349" s="65"/>
      <c r="R349" s="67"/>
      <c r="S349" s="83">
        <f t="shared" si="17"/>
        <v>0</v>
      </c>
    </row>
    <row r="350" spans="1:19" ht="18" customHeight="1" x14ac:dyDescent="0.25">
      <c r="A350" s="68"/>
      <c r="B350" s="69"/>
      <c r="C350" s="74"/>
      <c r="D350" s="69"/>
      <c r="E350" s="68"/>
      <c r="F350" s="71"/>
      <c r="G350" s="72"/>
      <c r="H350" s="73"/>
      <c r="I350" s="74"/>
      <c r="J350" s="74"/>
      <c r="K350" s="74"/>
      <c r="L350" s="74"/>
      <c r="M350" s="74"/>
      <c r="N350" s="74"/>
      <c r="O350" s="82">
        <f t="shared" si="15"/>
        <v>0</v>
      </c>
      <c r="P350" s="82">
        <f t="shared" si="16"/>
        <v>0</v>
      </c>
      <c r="Q350" s="74"/>
      <c r="R350" s="76"/>
      <c r="S350" s="84">
        <f t="shared" si="17"/>
        <v>0</v>
      </c>
    </row>
    <row r="351" spans="1:19" ht="18" customHeight="1" x14ac:dyDescent="0.25">
      <c r="A351" s="59"/>
      <c r="B351" s="60"/>
      <c r="C351" s="65"/>
      <c r="D351" s="60"/>
      <c r="E351" s="59"/>
      <c r="F351" s="62"/>
      <c r="G351" s="63"/>
      <c r="H351" s="64"/>
      <c r="I351" s="65"/>
      <c r="J351" s="65"/>
      <c r="K351" s="65"/>
      <c r="L351" s="65"/>
      <c r="M351" s="65"/>
      <c r="N351" s="65"/>
      <c r="O351" s="81">
        <f t="shared" si="15"/>
        <v>0</v>
      </c>
      <c r="P351" s="81">
        <f t="shared" si="16"/>
        <v>0</v>
      </c>
      <c r="Q351" s="65"/>
      <c r="R351" s="67"/>
      <c r="S351" s="83">
        <f t="shared" si="17"/>
        <v>0</v>
      </c>
    </row>
    <row r="352" spans="1:19" ht="18" customHeight="1" x14ac:dyDescent="0.25">
      <c r="A352" s="68"/>
      <c r="B352" s="69"/>
      <c r="C352" s="74"/>
      <c r="D352" s="69"/>
      <c r="E352" s="68"/>
      <c r="F352" s="71"/>
      <c r="G352" s="72"/>
      <c r="H352" s="73"/>
      <c r="I352" s="74"/>
      <c r="J352" s="74"/>
      <c r="K352" s="74"/>
      <c r="L352" s="74"/>
      <c r="M352" s="74"/>
      <c r="N352" s="74"/>
      <c r="O352" s="82">
        <f t="shared" si="15"/>
        <v>0</v>
      </c>
      <c r="P352" s="82">
        <f t="shared" si="16"/>
        <v>0</v>
      </c>
      <c r="Q352" s="74"/>
      <c r="R352" s="76"/>
      <c r="S352" s="84">
        <f t="shared" si="17"/>
        <v>0</v>
      </c>
    </row>
    <row r="353" spans="1:19" ht="18" customHeight="1" x14ac:dyDescent="0.25">
      <c r="A353" s="59"/>
      <c r="B353" s="60"/>
      <c r="C353" s="65"/>
      <c r="D353" s="60"/>
      <c r="E353" s="59"/>
      <c r="F353" s="62"/>
      <c r="G353" s="63"/>
      <c r="H353" s="64"/>
      <c r="I353" s="65"/>
      <c r="J353" s="65"/>
      <c r="K353" s="65"/>
      <c r="L353" s="65"/>
      <c r="M353" s="65"/>
      <c r="N353" s="65"/>
      <c r="O353" s="81">
        <f t="shared" si="15"/>
        <v>0</v>
      </c>
      <c r="P353" s="81">
        <f t="shared" si="16"/>
        <v>0</v>
      </c>
      <c r="Q353" s="65"/>
      <c r="R353" s="67"/>
      <c r="S353" s="83">
        <f t="shared" si="17"/>
        <v>0</v>
      </c>
    </row>
    <row r="354" spans="1:19" ht="18" customHeight="1" x14ac:dyDescent="0.25">
      <c r="A354" s="68"/>
      <c r="B354" s="69"/>
      <c r="C354" s="74"/>
      <c r="D354" s="69"/>
      <c r="E354" s="68"/>
      <c r="F354" s="71"/>
      <c r="G354" s="72"/>
      <c r="H354" s="73"/>
      <c r="I354" s="74"/>
      <c r="J354" s="74"/>
      <c r="K354" s="74"/>
      <c r="L354" s="74"/>
      <c r="M354" s="74"/>
      <c r="N354" s="74"/>
      <c r="O354" s="82">
        <f t="shared" si="15"/>
        <v>0</v>
      </c>
      <c r="P354" s="82">
        <f t="shared" si="16"/>
        <v>0</v>
      </c>
      <c r="Q354" s="74"/>
      <c r="R354" s="76"/>
      <c r="S354" s="84">
        <f t="shared" si="17"/>
        <v>0</v>
      </c>
    </row>
    <row r="355" spans="1:19" ht="18" customHeight="1" x14ac:dyDescent="0.25">
      <c r="A355" s="59"/>
      <c r="B355" s="60"/>
      <c r="C355" s="65"/>
      <c r="D355" s="60"/>
      <c r="E355" s="59"/>
      <c r="F355" s="62"/>
      <c r="G355" s="63"/>
      <c r="H355" s="64"/>
      <c r="I355" s="65"/>
      <c r="J355" s="65"/>
      <c r="K355" s="65"/>
      <c r="L355" s="65"/>
      <c r="M355" s="65"/>
      <c r="N355" s="65"/>
      <c r="O355" s="81">
        <f t="shared" si="15"/>
        <v>0</v>
      </c>
      <c r="P355" s="81">
        <f t="shared" si="16"/>
        <v>0</v>
      </c>
      <c r="Q355" s="65"/>
      <c r="R355" s="67"/>
      <c r="S355" s="83">
        <f t="shared" si="17"/>
        <v>0</v>
      </c>
    </row>
    <row r="356" spans="1:19" ht="18" customHeight="1" x14ac:dyDescent="0.25">
      <c r="A356" s="68"/>
      <c r="B356" s="69"/>
      <c r="C356" s="74"/>
      <c r="D356" s="69"/>
      <c r="E356" s="68"/>
      <c r="F356" s="71"/>
      <c r="G356" s="72"/>
      <c r="H356" s="73"/>
      <c r="I356" s="74"/>
      <c r="J356" s="74"/>
      <c r="K356" s="74"/>
      <c r="L356" s="74"/>
      <c r="M356" s="74"/>
      <c r="N356" s="74"/>
      <c r="O356" s="82">
        <f t="shared" si="15"/>
        <v>0</v>
      </c>
      <c r="P356" s="82">
        <f t="shared" si="16"/>
        <v>0</v>
      </c>
      <c r="Q356" s="74"/>
      <c r="R356" s="76"/>
      <c r="S356" s="84">
        <f t="shared" si="17"/>
        <v>0</v>
      </c>
    </row>
    <row r="357" spans="1:19" ht="18" customHeight="1" x14ac:dyDescent="0.25">
      <c r="A357" s="59"/>
      <c r="B357" s="60"/>
      <c r="C357" s="65"/>
      <c r="D357" s="60"/>
      <c r="E357" s="59"/>
      <c r="F357" s="62"/>
      <c r="G357" s="63"/>
      <c r="H357" s="64"/>
      <c r="I357" s="65"/>
      <c r="J357" s="65"/>
      <c r="K357" s="65"/>
      <c r="L357" s="65"/>
      <c r="M357" s="65"/>
      <c r="N357" s="65"/>
      <c r="O357" s="81">
        <f t="shared" si="15"/>
        <v>0</v>
      </c>
      <c r="P357" s="81">
        <f t="shared" si="16"/>
        <v>0</v>
      </c>
      <c r="Q357" s="65"/>
      <c r="R357" s="67"/>
      <c r="S357" s="83">
        <f t="shared" si="17"/>
        <v>0</v>
      </c>
    </row>
    <row r="358" spans="1:19" ht="18" customHeight="1" x14ac:dyDescent="0.25">
      <c r="A358" s="68"/>
      <c r="B358" s="69"/>
      <c r="C358" s="74"/>
      <c r="D358" s="69"/>
      <c r="E358" s="68"/>
      <c r="F358" s="71"/>
      <c r="G358" s="72"/>
      <c r="H358" s="73"/>
      <c r="I358" s="74"/>
      <c r="J358" s="74"/>
      <c r="K358" s="74"/>
      <c r="L358" s="74"/>
      <c r="M358" s="74"/>
      <c r="N358" s="74"/>
      <c r="O358" s="82">
        <f t="shared" si="15"/>
        <v>0</v>
      </c>
      <c r="P358" s="82">
        <f t="shared" si="16"/>
        <v>0</v>
      </c>
      <c r="Q358" s="74"/>
      <c r="R358" s="76"/>
      <c r="S358" s="84">
        <f t="shared" si="17"/>
        <v>0</v>
      </c>
    </row>
    <row r="359" spans="1:19" ht="18" customHeight="1" x14ac:dyDescent="0.25">
      <c r="A359" s="59"/>
      <c r="B359" s="60"/>
      <c r="C359" s="65"/>
      <c r="D359" s="60"/>
      <c r="E359" s="59"/>
      <c r="F359" s="62"/>
      <c r="G359" s="63"/>
      <c r="H359" s="64"/>
      <c r="I359" s="65"/>
      <c r="J359" s="65"/>
      <c r="K359" s="65"/>
      <c r="L359" s="65"/>
      <c r="M359" s="65"/>
      <c r="N359" s="65"/>
      <c r="O359" s="81">
        <f t="shared" si="15"/>
        <v>0</v>
      </c>
      <c r="P359" s="81">
        <f t="shared" si="16"/>
        <v>0</v>
      </c>
      <c r="Q359" s="65"/>
      <c r="R359" s="67"/>
      <c r="S359" s="83">
        <f t="shared" si="17"/>
        <v>0</v>
      </c>
    </row>
    <row r="360" spans="1:19" ht="18" customHeight="1" x14ac:dyDescent="0.25">
      <c r="A360" s="68"/>
      <c r="B360" s="69"/>
      <c r="C360" s="74"/>
      <c r="D360" s="69"/>
      <c r="E360" s="68"/>
      <c r="F360" s="71"/>
      <c r="G360" s="72"/>
      <c r="H360" s="73"/>
      <c r="I360" s="74"/>
      <c r="J360" s="74"/>
      <c r="K360" s="74"/>
      <c r="L360" s="74"/>
      <c r="M360" s="74"/>
      <c r="N360" s="74"/>
      <c r="O360" s="82">
        <f t="shared" si="15"/>
        <v>0</v>
      </c>
      <c r="P360" s="82">
        <f t="shared" si="16"/>
        <v>0</v>
      </c>
      <c r="Q360" s="74"/>
      <c r="R360" s="76"/>
      <c r="S360" s="84">
        <f t="shared" si="17"/>
        <v>0</v>
      </c>
    </row>
    <row r="361" spans="1:19" ht="18" customHeight="1" x14ac:dyDescent="0.25">
      <c r="A361" s="59"/>
      <c r="B361" s="60"/>
      <c r="C361" s="65"/>
      <c r="D361" s="60"/>
      <c r="E361" s="59"/>
      <c r="F361" s="62"/>
      <c r="G361" s="63"/>
      <c r="H361" s="64"/>
      <c r="I361" s="65"/>
      <c r="J361" s="65"/>
      <c r="K361" s="65"/>
      <c r="L361" s="65"/>
      <c r="M361" s="65"/>
      <c r="N361" s="65"/>
      <c r="O361" s="81">
        <f t="shared" si="15"/>
        <v>0</v>
      </c>
      <c r="P361" s="81">
        <f t="shared" si="16"/>
        <v>0</v>
      </c>
      <c r="Q361" s="65"/>
      <c r="R361" s="67"/>
      <c r="S361" s="83">
        <f t="shared" si="17"/>
        <v>0</v>
      </c>
    </row>
    <row r="362" spans="1:19" ht="18" customHeight="1" x14ac:dyDescent="0.25">
      <c r="A362" s="68"/>
      <c r="B362" s="69"/>
      <c r="C362" s="74"/>
      <c r="D362" s="69"/>
      <c r="E362" s="68"/>
      <c r="F362" s="71"/>
      <c r="G362" s="72"/>
      <c r="H362" s="73"/>
      <c r="I362" s="74"/>
      <c r="J362" s="74"/>
      <c r="K362" s="74"/>
      <c r="L362" s="74"/>
      <c r="M362" s="74"/>
      <c r="N362" s="74"/>
      <c r="O362" s="82">
        <f t="shared" si="15"/>
        <v>0</v>
      </c>
      <c r="P362" s="82">
        <f t="shared" si="16"/>
        <v>0</v>
      </c>
      <c r="Q362" s="74"/>
      <c r="R362" s="76"/>
      <c r="S362" s="84">
        <f t="shared" si="17"/>
        <v>0</v>
      </c>
    </row>
    <row r="363" spans="1:19" ht="18" customHeight="1" x14ac:dyDescent="0.25">
      <c r="A363" s="59"/>
      <c r="B363" s="60"/>
      <c r="C363" s="65"/>
      <c r="D363" s="60"/>
      <c r="E363" s="59"/>
      <c r="F363" s="62"/>
      <c r="G363" s="63"/>
      <c r="H363" s="64"/>
      <c r="I363" s="65"/>
      <c r="J363" s="65"/>
      <c r="K363" s="65"/>
      <c r="L363" s="65"/>
      <c r="M363" s="65"/>
      <c r="N363" s="65"/>
      <c r="O363" s="81">
        <f t="shared" si="15"/>
        <v>0</v>
      </c>
      <c r="P363" s="81">
        <f t="shared" si="16"/>
        <v>0</v>
      </c>
      <c r="Q363" s="65"/>
      <c r="R363" s="67"/>
      <c r="S363" s="83">
        <f t="shared" si="17"/>
        <v>0</v>
      </c>
    </row>
    <row r="364" spans="1:19" ht="18" customHeight="1" x14ac:dyDescent="0.25">
      <c r="A364" s="68"/>
      <c r="B364" s="69"/>
      <c r="C364" s="74"/>
      <c r="D364" s="69"/>
      <c r="E364" s="68"/>
      <c r="F364" s="71"/>
      <c r="G364" s="72"/>
      <c r="H364" s="73"/>
      <c r="I364" s="74"/>
      <c r="J364" s="74"/>
      <c r="K364" s="74"/>
      <c r="L364" s="74"/>
      <c r="M364" s="74"/>
      <c r="N364" s="74"/>
      <c r="O364" s="82">
        <f t="shared" si="15"/>
        <v>0</v>
      </c>
      <c r="P364" s="82">
        <f t="shared" si="16"/>
        <v>0</v>
      </c>
      <c r="Q364" s="74"/>
      <c r="R364" s="76"/>
      <c r="S364" s="84">
        <f t="shared" si="17"/>
        <v>0</v>
      </c>
    </row>
    <row r="365" spans="1:19" ht="18" customHeight="1" x14ac:dyDescent="0.25">
      <c r="A365" s="59"/>
      <c r="B365" s="60"/>
      <c r="C365" s="65"/>
      <c r="D365" s="60"/>
      <c r="E365" s="59"/>
      <c r="F365" s="62"/>
      <c r="G365" s="63"/>
      <c r="H365" s="64"/>
      <c r="I365" s="65"/>
      <c r="J365" s="65"/>
      <c r="K365" s="65"/>
      <c r="L365" s="65"/>
      <c r="M365" s="65"/>
      <c r="N365" s="65"/>
      <c r="O365" s="81">
        <f t="shared" si="15"/>
        <v>0</v>
      </c>
      <c r="P365" s="81">
        <f t="shared" si="16"/>
        <v>0</v>
      </c>
      <c r="Q365" s="65"/>
      <c r="R365" s="67"/>
      <c r="S365" s="83">
        <f t="shared" si="17"/>
        <v>0</v>
      </c>
    </row>
    <row r="366" spans="1:19" ht="18" customHeight="1" x14ac:dyDescent="0.25">
      <c r="A366" s="68"/>
      <c r="B366" s="69"/>
      <c r="C366" s="74"/>
      <c r="D366" s="69"/>
      <c r="E366" s="68"/>
      <c r="F366" s="71"/>
      <c r="G366" s="72"/>
      <c r="H366" s="73"/>
      <c r="I366" s="74"/>
      <c r="J366" s="74"/>
      <c r="K366" s="74"/>
      <c r="L366" s="74"/>
      <c r="M366" s="74"/>
      <c r="N366" s="74"/>
      <c r="O366" s="82">
        <f t="shared" si="15"/>
        <v>0</v>
      </c>
      <c r="P366" s="82">
        <f t="shared" si="16"/>
        <v>0</v>
      </c>
      <c r="Q366" s="74"/>
      <c r="R366" s="76"/>
      <c r="S366" s="84">
        <f t="shared" si="17"/>
        <v>0</v>
      </c>
    </row>
    <row r="367" spans="1:19" ht="18" customHeight="1" x14ac:dyDescent="0.25">
      <c r="A367" s="59"/>
      <c r="B367" s="60"/>
      <c r="C367" s="65"/>
      <c r="D367" s="60"/>
      <c r="E367" s="59"/>
      <c r="F367" s="62"/>
      <c r="G367" s="63"/>
      <c r="H367" s="64"/>
      <c r="I367" s="65"/>
      <c r="J367" s="65"/>
      <c r="K367" s="65"/>
      <c r="L367" s="65"/>
      <c r="M367" s="65"/>
      <c r="N367" s="65"/>
      <c r="O367" s="81">
        <f t="shared" si="15"/>
        <v>0</v>
      </c>
      <c r="P367" s="81">
        <f t="shared" si="16"/>
        <v>0</v>
      </c>
      <c r="Q367" s="65"/>
      <c r="R367" s="67"/>
      <c r="S367" s="83">
        <f t="shared" si="17"/>
        <v>0</v>
      </c>
    </row>
    <row r="368" spans="1:19" ht="18" customHeight="1" x14ac:dyDescent="0.25">
      <c r="A368" s="68"/>
      <c r="B368" s="69"/>
      <c r="C368" s="74"/>
      <c r="D368" s="69"/>
      <c r="E368" s="68"/>
      <c r="F368" s="71"/>
      <c r="G368" s="72"/>
      <c r="H368" s="73"/>
      <c r="I368" s="74"/>
      <c r="J368" s="74"/>
      <c r="K368" s="74"/>
      <c r="L368" s="74"/>
      <c r="M368" s="74"/>
      <c r="N368" s="74"/>
      <c r="O368" s="82">
        <f t="shared" si="15"/>
        <v>0</v>
      </c>
      <c r="P368" s="82">
        <f t="shared" si="16"/>
        <v>0</v>
      </c>
      <c r="Q368" s="74"/>
      <c r="R368" s="76"/>
      <c r="S368" s="84">
        <f t="shared" si="17"/>
        <v>0</v>
      </c>
    </row>
    <row r="369" spans="1:19" ht="18" customHeight="1" x14ac:dyDescent="0.25">
      <c r="A369" s="59"/>
      <c r="B369" s="60"/>
      <c r="C369" s="65"/>
      <c r="D369" s="60"/>
      <c r="E369" s="59"/>
      <c r="F369" s="62"/>
      <c r="G369" s="63"/>
      <c r="H369" s="64"/>
      <c r="I369" s="65"/>
      <c r="J369" s="65"/>
      <c r="K369" s="65"/>
      <c r="L369" s="65"/>
      <c r="M369" s="65"/>
      <c r="N369" s="65"/>
      <c r="O369" s="81">
        <f t="shared" si="15"/>
        <v>0</v>
      </c>
      <c r="P369" s="81">
        <f t="shared" si="16"/>
        <v>0</v>
      </c>
      <c r="Q369" s="65"/>
      <c r="R369" s="67"/>
      <c r="S369" s="83">
        <f t="shared" si="17"/>
        <v>0</v>
      </c>
    </row>
    <row r="370" spans="1:19" ht="18" customHeight="1" x14ac:dyDescent="0.25">
      <c r="A370" s="68"/>
      <c r="B370" s="69"/>
      <c r="C370" s="74"/>
      <c r="D370" s="69"/>
      <c r="E370" s="68"/>
      <c r="F370" s="71"/>
      <c r="G370" s="72"/>
      <c r="H370" s="73"/>
      <c r="I370" s="74"/>
      <c r="J370" s="74"/>
      <c r="K370" s="74"/>
      <c r="L370" s="74"/>
      <c r="M370" s="74"/>
      <c r="N370" s="74"/>
      <c r="O370" s="82">
        <f t="shared" si="15"/>
        <v>0</v>
      </c>
      <c r="P370" s="82">
        <f t="shared" si="16"/>
        <v>0</v>
      </c>
      <c r="Q370" s="74"/>
      <c r="R370" s="76"/>
      <c r="S370" s="84">
        <f t="shared" si="17"/>
        <v>0</v>
      </c>
    </row>
    <row r="371" spans="1:19" ht="18" customHeight="1" x14ac:dyDescent="0.25">
      <c r="A371" s="59"/>
      <c r="B371" s="60"/>
      <c r="C371" s="65"/>
      <c r="D371" s="60"/>
      <c r="E371" s="59"/>
      <c r="F371" s="62"/>
      <c r="G371" s="63"/>
      <c r="H371" s="64"/>
      <c r="I371" s="65"/>
      <c r="J371" s="65"/>
      <c r="K371" s="65"/>
      <c r="L371" s="65"/>
      <c r="M371" s="65"/>
      <c r="N371" s="65"/>
      <c r="O371" s="81">
        <f t="shared" si="15"/>
        <v>0</v>
      </c>
      <c r="P371" s="81">
        <f t="shared" si="16"/>
        <v>0</v>
      </c>
      <c r="Q371" s="65"/>
      <c r="R371" s="67"/>
      <c r="S371" s="83">
        <f t="shared" si="17"/>
        <v>0</v>
      </c>
    </row>
    <row r="372" spans="1:19" ht="18" customHeight="1" x14ac:dyDescent="0.25">
      <c r="A372" s="68"/>
      <c r="B372" s="69"/>
      <c r="C372" s="74"/>
      <c r="D372" s="69"/>
      <c r="E372" s="68"/>
      <c r="F372" s="71"/>
      <c r="G372" s="72"/>
      <c r="H372" s="73"/>
      <c r="I372" s="74"/>
      <c r="J372" s="74"/>
      <c r="K372" s="74"/>
      <c r="L372" s="74"/>
      <c r="M372" s="74"/>
      <c r="N372" s="74"/>
      <c r="O372" s="82">
        <f t="shared" si="15"/>
        <v>0</v>
      </c>
      <c r="P372" s="82">
        <f t="shared" si="16"/>
        <v>0</v>
      </c>
      <c r="Q372" s="74"/>
      <c r="R372" s="76"/>
      <c r="S372" s="84">
        <f t="shared" si="17"/>
        <v>0</v>
      </c>
    </row>
    <row r="373" spans="1:19" ht="18" customHeight="1" x14ac:dyDescent="0.25">
      <c r="A373" s="59"/>
      <c r="B373" s="60"/>
      <c r="C373" s="65"/>
      <c r="D373" s="60"/>
      <c r="E373" s="59"/>
      <c r="F373" s="62"/>
      <c r="G373" s="63"/>
      <c r="H373" s="64"/>
      <c r="I373" s="65"/>
      <c r="J373" s="65"/>
      <c r="K373" s="65"/>
      <c r="L373" s="65"/>
      <c r="M373" s="65"/>
      <c r="N373" s="65"/>
      <c r="O373" s="81">
        <f t="shared" si="15"/>
        <v>0</v>
      </c>
      <c r="P373" s="81">
        <f t="shared" si="16"/>
        <v>0</v>
      </c>
      <c r="Q373" s="65"/>
      <c r="R373" s="67"/>
      <c r="S373" s="83">
        <f t="shared" si="17"/>
        <v>0</v>
      </c>
    </row>
    <row r="374" spans="1:19" ht="18" customHeight="1" x14ac:dyDescent="0.25">
      <c r="A374" s="68"/>
      <c r="B374" s="69"/>
      <c r="C374" s="74"/>
      <c r="D374" s="69"/>
      <c r="E374" s="68"/>
      <c r="F374" s="71"/>
      <c r="G374" s="72"/>
      <c r="H374" s="73"/>
      <c r="I374" s="74"/>
      <c r="J374" s="74"/>
      <c r="K374" s="74"/>
      <c r="L374" s="74"/>
      <c r="M374" s="74"/>
      <c r="N374" s="74"/>
      <c r="O374" s="82">
        <f t="shared" si="15"/>
        <v>0</v>
      </c>
      <c r="P374" s="82">
        <f t="shared" si="16"/>
        <v>0</v>
      </c>
      <c r="Q374" s="74"/>
      <c r="R374" s="76"/>
      <c r="S374" s="84">
        <f t="shared" si="17"/>
        <v>0</v>
      </c>
    </row>
    <row r="375" spans="1:19" ht="18" customHeight="1" x14ac:dyDescent="0.25">
      <c r="A375" s="59"/>
      <c r="B375" s="60"/>
      <c r="C375" s="65"/>
      <c r="D375" s="60"/>
      <c r="E375" s="59"/>
      <c r="F375" s="62"/>
      <c r="G375" s="63"/>
      <c r="H375" s="64"/>
      <c r="I375" s="65"/>
      <c r="J375" s="65"/>
      <c r="K375" s="65"/>
      <c r="L375" s="65"/>
      <c r="M375" s="65"/>
      <c r="N375" s="65"/>
      <c r="O375" s="81">
        <f t="shared" si="15"/>
        <v>0</v>
      </c>
      <c r="P375" s="81">
        <f t="shared" si="16"/>
        <v>0</v>
      </c>
      <c r="Q375" s="65"/>
      <c r="R375" s="67"/>
      <c r="S375" s="83">
        <f t="shared" si="17"/>
        <v>0</v>
      </c>
    </row>
    <row r="376" spans="1:19" ht="18" customHeight="1" x14ac:dyDescent="0.25">
      <c r="A376" s="68"/>
      <c r="B376" s="69"/>
      <c r="C376" s="74"/>
      <c r="D376" s="69"/>
      <c r="E376" s="68"/>
      <c r="F376" s="71"/>
      <c r="G376" s="72"/>
      <c r="H376" s="73"/>
      <c r="I376" s="74"/>
      <c r="J376" s="74"/>
      <c r="K376" s="74"/>
      <c r="L376" s="74"/>
      <c r="M376" s="74"/>
      <c r="N376" s="74"/>
      <c r="O376" s="82">
        <f t="shared" si="15"/>
        <v>0</v>
      </c>
      <c r="P376" s="82">
        <f t="shared" si="16"/>
        <v>0</v>
      </c>
      <c r="Q376" s="74"/>
      <c r="R376" s="76"/>
      <c r="S376" s="84">
        <f t="shared" si="17"/>
        <v>0</v>
      </c>
    </row>
    <row r="377" spans="1:19" ht="18" customHeight="1" x14ac:dyDescent="0.25">
      <c r="A377" s="59"/>
      <c r="B377" s="60"/>
      <c r="C377" s="65"/>
      <c r="D377" s="60"/>
      <c r="E377" s="59"/>
      <c r="F377" s="62"/>
      <c r="G377" s="63"/>
      <c r="H377" s="64"/>
      <c r="I377" s="65"/>
      <c r="J377" s="65"/>
      <c r="K377" s="65"/>
      <c r="L377" s="65"/>
      <c r="M377" s="65"/>
      <c r="N377" s="65"/>
      <c r="O377" s="81">
        <f t="shared" si="15"/>
        <v>0</v>
      </c>
      <c r="P377" s="81">
        <f t="shared" si="16"/>
        <v>0</v>
      </c>
      <c r="Q377" s="65"/>
      <c r="R377" s="67"/>
      <c r="S377" s="83">
        <f t="shared" si="17"/>
        <v>0</v>
      </c>
    </row>
    <row r="378" spans="1:19" ht="18" customHeight="1" x14ac:dyDescent="0.25">
      <c r="A378" s="68"/>
      <c r="B378" s="69"/>
      <c r="C378" s="74"/>
      <c r="D378" s="69"/>
      <c r="E378" s="68"/>
      <c r="F378" s="71"/>
      <c r="G378" s="72"/>
      <c r="H378" s="73"/>
      <c r="I378" s="74"/>
      <c r="J378" s="74"/>
      <c r="K378" s="74"/>
      <c r="L378" s="74"/>
      <c r="M378" s="74"/>
      <c r="N378" s="74"/>
      <c r="O378" s="82">
        <f t="shared" si="15"/>
        <v>0</v>
      </c>
      <c r="P378" s="82">
        <f t="shared" si="16"/>
        <v>0</v>
      </c>
      <c r="Q378" s="74"/>
      <c r="R378" s="76"/>
      <c r="S378" s="84">
        <f t="shared" si="17"/>
        <v>0</v>
      </c>
    </row>
    <row r="379" spans="1:19" ht="18" customHeight="1" x14ac:dyDescent="0.25">
      <c r="A379" s="59"/>
      <c r="B379" s="60"/>
      <c r="C379" s="65"/>
      <c r="D379" s="60"/>
      <c r="E379" s="59"/>
      <c r="F379" s="62"/>
      <c r="G379" s="63"/>
      <c r="H379" s="64"/>
      <c r="I379" s="65"/>
      <c r="J379" s="65"/>
      <c r="K379" s="65"/>
      <c r="L379" s="65"/>
      <c r="M379" s="65"/>
      <c r="N379" s="65"/>
      <c r="O379" s="81">
        <f t="shared" si="15"/>
        <v>0</v>
      </c>
      <c r="P379" s="81">
        <f t="shared" si="16"/>
        <v>0</v>
      </c>
      <c r="Q379" s="65"/>
      <c r="R379" s="67"/>
      <c r="S379" s="83">
        <f t="shared" si="17"/>
        <v>0</v>
      </c>
    </row>
    <row r="380" spans="1:19" ht="18" customHeight="1" x14ac:dyDescent="0.25">
      <c r="A380" s="68"/>
      <c r="B380" s="69"/>
      <c r="C380" s="74"/>
      <c r="D380" s="69"/>
      <c r="E380" s="68"/>
      <c r="F380" s="71"/>
      <c r="G380" s="72"/>
      <c r="H380" s="73"/>
      <c r="I380" s="74"/>
      <c r="J380" s="74"/>
      <c r="K380" s="74"/>
      <c r="L380" s="74"/>
      <c r="M380" s="74"/>
      <c r="N380" s="74"/>
      <c r="O380" s="82">
        <f t="shared" si="15"/>
        <v>0</v>
      </c>
      <c r="P380" s="82">
        <f t="shared" si="16"/>
        <v>0</v>
      </c>
      <c r="Q380" s="74"/>
      <c r="R380" s="76"/>
      <c r="S380" s="84">
        <f t="shared" si="17"/>
        <v>0</v>
      </c>
    </row>
    <row r="381" spans="1:19" ht="18" customHeight="1" x14ac:dyDescent="0.25">
      <c r="A381" s="59"/>
      <c r="B381" s="60"/>
      <c r="C381" s="65"/>
      <c r="D381" s="60"/>
      <c r="E381" s="59"/>
      <c r="F381" s="62"/>
      <c r="G381" s="63"/>
      <c r="H381" s="64"/>
      <c r="I381" s="65"/>
      <c r="J381" s="65"/>
      <c r="K381" s="65"/>
      <c r="L381" s="65"/>
      <c r="M381" s="65"/>
      <c r="N381" s="65"/>
      <c r="O381" s="81">
        <f t="shared" si="15"/>
        <v>0</v>
      </c>
      <c r="P381" s="81">
        <f t="shared" si="16"/>
        <v>0</v>
      </c>
      <c r="Q381" s="65"/>
      <c r="R381" s="67"/>
      <c r="S381" s="83">
        <f t="shared" si="17"/>
        <v>0</v>
      </c>
    </row>
    <row r="382" spans="1:19" ht="18" customHeight="1" x14ac:dyDescent="0.25">
      <c r="A382" s="68"/>
      <c r="B382" s="69"/>
      <c r="C382" s="74"/>
      <c r="D382" s="69"/>
      <c r="E382" s="68"/>
      <c r="F382" s="71"/>
      <c r="G382" s="72"/>
      <c r="H382" s="73"/>
      <c r="I382" s="74"/>
      <c r="J382" s="74"/>
      <c r="K382" s="74"/>
      <c r="L382" s="74"/>
      <c r="M382" s="74"/>
      <c r="N382" s="74"/>
      <c r="O382" s="82">
        <f t="shared" si="15"/>
        <v>0</v>
      </c>
      <c r="P382" s="82">
        <f t="shared" si="16"/>
        <v>0</v>
      </c>
      <c r="Q382" s="74"/>
      <c r="R382" s="76"/>
      <c r="S382" s="84">
        <f t="shared" si="17"/>
        <v>0</v>
      </c>
    </row>
    <row r="383" spans="1:19" ht="18" customHeight="1" x14ac:dyDescent="0.25">
      <c r="A383" s="59"/>
      <c r="B383" s="60"/>
      <c r="C383" s="65"/>
      <c r="D383" s="60"/>
      <c r="E383" s="59"/>
      <c r="F383" s="62"/>
      <c r="G383" s="63"/>
      <c r="H383" s="64"/>
      <c r="I383" s="65"/>
      <c r="J383" s="65"/>
      <c r="K383" s="65"/>
      <c r="L383" s="65"/>
      <c r="M383" s="65"/>
      <c r="N383" s="65"/>
      <c r="O383" s="81">
        <f t="shared" si="15"/>
        <v>0</v>
      </c>
      <c r="P383" s="81">
        <f t="shared" si="16"/>
        <v>0</v>
      </c>
      <c r="Q383" s="65"/>
      <c r="R383" s="67"/>
      <c r="S383" s="83">
        <f t="shared" si="17"/>
        <v>0</v>
      </c>
    </row>
    <row r="384" spans="1:19" ht="18" customHeight="1" x14ac:dyDescent="0.25">
      <c r="A384" s="68"/>
      <c r="B384" s="69"/>
      <c r="C384" s="74"/>
      <c r="D384" s="69"/>
      <c r="E384" s="68"/>
      <c r="F384" s="71"/>
      <c r="G384" s="72"/>
      <c r="H384" s="73"/>
      <c r="I384" s="74"/>
      <c r="J384" s="74"/>
      <c r="K384" s="74"/>
      <c r="L384" s="74"/>
      <c r="M384" s="74"/>
      <c r="N384" s="74"/>
      <c r="O384" s="82">
        <f t="shared" si="15"/>
        <v>0</v>
      </c>
      <c r="P384" s="82">
        <f t="shared" si="16"/>
        <v>0</v>
      </c>
      <c r="Q384" s="74"/>
      <c r="R384" s="76"/>
      <c r="S384" s="84">
        <f t="shared" si="17"/>
        <v>0</v>
      </c>
    </row>
    <row r="385" spans="1:19" ht="18" customHeight="1" x14ac:dyDescent="0.25">
      <c r="A385" s="59"/>
      <c r="B385" s="60"/>
      <c r="C385" s="65"/>
      <c r="D385" s="60"/>
      <c r="E385" s="59"/>
      <c r="F385" s="62"/>
      <c r="G385" s="63"/>
      <c r="H385" s="64"/>
      <c r="I385" s="65"/>
      <c r="J385" s="65"/>
      <c r="K385" s="65"/>
      <c r="L385" s="65"/>
      <c r="M385" s="65"/>
      <c r="N385" s="65"/>
      <c r="O385" s="81">
        <f t="shared" si="15"/>
        <v>0</v>
      </c>
      <c r="P385" s="81">
        <f t="shared" si="16"/>
        <v>0</v>
      </c>
      <c r="Q385" s="65"/>
      <c r="R385" s="67"/>
      <c r="S385" s="83">
        <f t="shared" si="17"/>
        <v>0</v>
      </c>
    </row>
    <row r="386" spans="1:19" ht="18" customHeight="1" x14ac:dyDescent="0.25">
      <c r="A386" s="68"/>
      <c r="B386" s="69"/>
      <c r="C386" s="74"/>
      <c r="D386" s="69"/>
      <c r="E386" s="68"/>
      <c r="F386" s="71"/>
      <c r="G386" s="72"/>
      <c r="H386" s="73"/>
      <c r="I386" s="74"/>
      <c r="J386" s="74"/>
      <c r="K386" s="74"/>
      <c r="L386" s="74"/>
      <c r="M386" s="74"/>
      <c r="N386" s="74"/>
      <c r="O386" s="82">
        <f t="shared" si="15"/>
        <v>0</v>
      </c>
      <c r="P386" s="82">
        <f t="shared" si="16"/>
        <v>0</v>
      </c>
      <c r="Q386" s="74"/>
      <c r="R386" s="76"/>
      <c r="S386" s="84">
        <f t="shared" si="17"/>
        <v>0</v>
      </c>
    </row>
    <row r="387" spans="1:19" ht="18" customHeight="1" x14ac:dyDescent="0.25">
      <c r="A387" s="59"/>
      <c r="B387" s="60"/>
      <c r="C387" s="65"/>
      <c r="D387" s="60"/>
      <c r="E387" s="59"/>
      <c r="F387" s="62"/>
      <c r="G387" s="63"/>
      <c r="H387" s="64"/>
      <c r="I387" s="65"/>
      <c r="J387" s="65"/>
      <c r="K387" s="65"/>
      <c r="L387" s="65"/>
      <c r="M387" s="65"/>
      <c r="N387" s="65"/>
      <c r="O387" s="81">
        <f t="shared" si="15"/>
        <v>0</v>
      </c>
      <c r="P387" s="81">
        <f t="shared" si="16"/>
        <v>0</v>
      </c>
      <c r="Q387" s="65"/>
      <c r="R387" s="67"/>
      <c r="S387" s="83">
        <f t="shared" si="17"/>
        <v>0</v>
      </c>
    </row>
    <row r="388" spans="1:19" ht="18" customHeight="1" x14ac:dyDescent="0.25">
      <c r="A388" s="68"/>
      <c r="B388" s="69"/>
      <c r="C388" s="74"/>
      <c r="D388" s="69"/>
      <c r="E388" s="68"/>
      <c r="F388" s="71"/>
      <c r="G388" s="72"/>
      <c r="H388" s="73"/>
      <c r="I388" s="74"/>
      <c r="J388" s="74"/>
      <c r="K388" s="74"/>
      <c r="L388" s="74"/>
      <c r="M388" s="74"/>
      <c r="N388" s="74"/>
      <c r="O388" s="82">
        <f t="shared" si="15"/>
        <v>0</v>
      </c>
      <c r="P388" s="82">
        <f t="shared" si="16"/>
        <v>0</v>
      </c>
      <c r="Q388" s="74"/>
      <c r="R388" s="76"/>
      <c r="S388" s="84">
        <f t="shared" si="17"/>
        <v>0</v>
      </c>
    </row>
    <row r="389" spans="1:19" ht="18" customHeight="1" x14ac:dyDescent="0.25">
      <c r="A389" s="59"/>
      <c r="B389" s="60"/>
      <c r="C389" s="65"/>
      <c r="D389" s="60"/>
      <c r="E389" s="59"/>
      <c r="F389" s="62"/>
      <c r="G389" s="63"/>
      <c r="H389" s="64"/>
      <c r="I389" s="65"/>
      <c r="J389" s="65"/>
      <c r="K389" s="65"/>
      <c r="L389" s="65"/>
      <c r="M389" s="65"/>
      <c r="N389" s="65"/>
      <c r="O389" s="81">
        <f t="shared" si="15"/>
        <v>0</v>
      </c>
      <c r="P389" s="81">
        <f t="shared" si="16"/>
        <v>0</v>
      </c>
      <c r="Q389" s="65"/>
      <c r="R389" s="67"/>
      <c r="S389" s="83">
        <f t="shared" si="17"/>
        <v>0</v>
      </c>
    </row>
    <row r="390" spans="1:19" ht="18" customHeight="1" x14ac:dyDescent="0.25">
      <c r="A390" s="68"/>
      <c r="B390" s="69"/>
      <c r="C390" s="74"/>
      <c r="D390" s="69"/>
      <c r="E390" s="68"/>
      <c r="F390" s="71"/>
      <c r="G390" s="72"/>
      <c r="H390" s="73"/>
      <c r="I390" s="74"/>
      <c r="J390" s="74"/>
      <c r="K390" s="74"/>
      <c r="L390" s="74"/>
      <c r="M390" s="74"/>
      <c r="N390" s="74"/>
      <c r="O390" s="82" t="e">
        <f>#N/A</f>
        <v>#N/A</v>
      </c>
      <c r="P390" s="82" t="e">
        <f>#N/A</f>
        <v>#N/A</v>
      </c>
      <c r="Q390" s="74"/>
      <c r="R390" s="76"/>
      <c r="S390" s="84">
        <f t="shared" si="17"/>
        <v>0</v>
      </c>
    </row>
    <row r="391" spans="1:19" ht="18" customHeight="1" x14ac:dyDescent="0.25">
      <c r="A391" s="59"/>
      <c r="B391" s="60"/>
      <c r="C391" s="65"/>
      <c r="D391" s="60"/>
      <c r="E391" s="59"/>
      <c r="F391" s="62"/>
      <c r="G391" s="63"/>
      <c r="H391" s="64"/>
      <c r="I391" s="65"/>
      <c r="J391" s="65"/>
      <c r="K391" s="65"/>
      <c r="L391" s="65"/>
      <c r="M391" s="65"/>
      <c r="N391" s="65"/>
      <c r="O391" s="81">
        <f t="shared" ref="O391:O453" si="18">IF(G391="Reimbursement ","",I391+J391+K391+L391+M391)</f>
        <v>0</v>
      </c>
      <c r="P391" s="81">
        <f t="shared" ref="P391:P453" si="19">IF(G391="Reimbursement ","",H391-O391)</f>
        <v>0</v>
      </c>
      <c r="Q391" s="65"/>
      <c r="R391" s="67"/>
      <c r="S391" s="83">
        <f t="shared" ref="S391:S454" si="20">IF(OR(R391="",Q391=""),0,IF(R391&gt;Q391,R391-Q391,0))</f>
        <v>0</v>
      </c>
    </row>
    <row r="392" spans="1:19" ht="18" customHeight="1" x14ac:dyDescent="0.25">
      <c r="A392" s="68"/>
      <c r="B392" s="69"/>
      <c r="C392" s="74"/>
      <c r="D392" s="69"/>
      <c r="E392" s="68"/>
      <c r="F392" s="71"/>
      <c r="G392" s="72"/>
      <c r="H392" s="73"/>
      <c r="I392" s="74"/>
      <c r="J392" s="74"/>
      <c r="K392" s="74"/>
      <c r="L392" s="74"/>
      <c r="M392" s="74"/>
      <c r="N392" s="74"/>
      <c r="O392" s="82">
        <f t="shared" si="18"/>
        <v>0</v>
      </c>
      <c r="P392" s="82">
        <f t="shared" si="19"/>
        <v>0</v>
      </c>
      <c r="Q392" s="74"/>
      <c r="R392" s="76"/>
      <c r="S392" s="84">
        <f t="shared" si="20"/>
        <v>0</v>
      </c>
    </row>
    <row r="393" spans="1:19" ht="18" customHeight="1" x14ac:dyDescent="0.25">
      <c r="A393" s="59"/>
      <c r="B393" s="60"/>
      <c r="C393" s="65"/>
      <c r="D393" s="60"/>
      <c r="E393" s="59"/>
      <c r="F393" s="62"/>
      <c r="G393" s="63"/>
      <c r="H393" s="64"/>
      <c r="I393" s="65"/>
      <c r="J393" s="65"/>
      <c r="K393" s="65"/>
      <c r="L393" s="65"/>
      <c r="M393" s="65"/>
      <c r="N393" s="65"/>
      <c r="O393" s="81">
        <f t="shared" si="18"/>
        <v>0</v>
      </c>
      <c r="P393" s="81">
        <f t="shared" si="19"/>
        <v>0</v>
      </c>
      <c r="Q393" s="65"/>
      <c r="R393" s="67"/>
      <c r="S393" s="83">
        <f t="shared" si="20"/>
        <v>0</v>
      </c>
    </row>
    <row r="394" spans="1:19" ht="18" customHeight="1" x14ac:dyDescent="0.25">
      <c r="A394" s="68"/>
      <c r="B394" s="69"/>
      <c r="C394" s="74"/>
      <c r="D394" s="69"/>
      <c r="E394" s="68"/>
      <c r="F394" s="71"/>
      <c r="G394" s="72"/>
      <c r="H394" s="73"/>
      <c r="I394" s="74"/>
      <c r="J394" s="74"/>
      <c r="K394" s="74"/>
      <c r="L394" s="74"/>
      <c r="M394" s="74"/>
      <c r="N394" s="74"/>
      <c r="O394" s="82">
        <f t="shared" si="18"/>
        <v>0</v>
      </c>
      <c r="P394" s="82">
        <f t="shared" si="19"/>
        <v>0</v>
      </c>
      <c r="Q394" s="74"/>
      <c r="R394" s="76"/>
      <c r="S394" s="84">
        <f t="shared" si="20"/>
        <v>0</v>
      </c>
    </row>
    <row r="395" spans="1:19" ht="18" customHeight="1" x14ac:dyDescent="0.25">
      <c r="A395" s="59"/>
      <c r="B395" s="60"/>
      <c r="C395" s="65"/>
      <c r="D395" s="60"/>
      <c r="E395" s="59"/>
      <c r="F395" s="62"/>
      <c r="G395" s="63"/>
      <c r="H395" s="64"/>
      <c r="I395" s="65"/>
      <c r="J395" s="65"/>
      <c r="K395" s="65"/>
      <c r="L395" s="65"/>
      <c r="M395" s="65"/>
      <c r="N395" s="65"/>
      <c r="O395" s="81">
        <f t="shared" si="18"/>
        <v>0</v>
      </c>
      <c r="P395" s="81">
        <f t="shared" si="19"/>
        <v>0</v>
      </c>
      <c r="Q395" s="65"/>
      <c r="R395" s="67"/>
      <c r="S395" s="83">
        <f t="shared" si="20"/>
        <v>0</v>
      </c>
    </row>
    <row r="396" spans="1:19" ht="18" customHeight="1" x14ac:dyDescent="0.25">
      <c r="A396" s="68"/>
      <c r="B396" s="69"/>
      <c r="C396" s="74"/>
      <c r="D396" s="69"/>
      <c r="E396" s="68"/>
      <c r="F396" s="71"/>
      <c r="G396" s="72"/>
      <c r="H396" s="73"/>
      <c r="I396" s="74"/>
      <c r="J396" s="74"/>
      <c r="K396" s="74"/>
      <c r="L396" s="74"/>
      <c r="M396" s="74"/>
      <c r="N396" s="74"/>
      <c r="O396" s="82">
        <f t="shared" si="18"/>
        <v>0</v>
      </c>
      <c r="P396" s="82">
        <f t="shared" si="19"/>
        <v>0</v>
      </c>
      <c r="Q396" s="74"/>
      <c r="R396" s="76"/>
      <c r="S396" s="84">
        <f t="shared" si="20"/>
        <v>0</v>
      </c>
    </row>
    <row r="397" spans="1:19" ht="18" customHeight="1" x14ac:dyDescent="0.25">
      <c r="A397" s="59"/>
      <c r="B397" s="60"/>
      <c r="C397" s="65"/>
      <c r="D397" s="60"/>
      <c r="E397" s="59"/>
      <c r="F397" s="62"/>
      <c r="G397" s="63"/>
      <c r="H397" s="64"/>
      <c r="I397" s="65"/>
      <c r="J397" s="65"/>
      <c r="K397" s="65"/>
      <c r="L397" s="65"/>
      <c r="M397" s="65"/>
      <c r="N397" s="65"/>
      <c r="O397" s="81">
        <f t="shared" si="18"/>
        <v>0</v>
      </c>
      <c r="P397" s="81">
        <f t="shared" si="19"/>
        <v>0</v>
      </c>
      <c r="Q397" s="65"/>
      <c r="R397" s="67"/>
      <c r="S397" s="83">
        <f t="shared" si="20"/>
        <v>0</v>
      </c>
    </row>
    <row r="398" spans="1:19" ht="18" customHeight="1" x14ac:dyDescent="0.25">
      <c r="A398" s="68"/>
      <c r="B398" s="69"/>
      <c r="C398" s="74"/>
      <c r="D398" s="69"/>
      <c r="E398" s="68"/>
      <c r="F398" s="71"/>
      <c r="G398" s="72"/>
      <c r="H398" s="73"/>
      <c r="I398" s="74"/>
      <c r="J398" s="74"/>
      <c r="K398" s="74"/>
      <c r="L398" s="74"/>
      <c r="M398" s="74"/>
      <c r="N398" s="74"/>
      <c r="O398" s="82">
        <f t="shared" si="18"/>
        <v>0</v>
      </c>
      <c r="P398" s="82">
        <f t="shared" si="19"/>
        <v>0</v>
      </c>
      <c r="Q398" s="74"/>
      <c r="R398" s="76"/>
      <c r="S398" s="84">
        <f t="shared" si="20"/>
        <v>0</v>
      </c>
    </row>
    <row r="399" spans="1:19" ht="18" customHeight="1" x14ac:dyDescent="0.25">
      <c r="A399" s="59"/>
      <c r="B399" s="60"/>
      <c r="C399" s="65"/>
      <c r="D399" s="60"/>
      <c r="E399" s="59"/>
      <c r="F399" s="62"/>
      <c r="G399" s="63"/>
      <c r="H399" s="64"/>
      <c r="I399" s="65"/>
      <c r="J399" s="65"/>
      <c r="K399" s="65"/>
      <c r="L399" s="65"/>
      <c r="M399" s="65"/>
      <c r="N399" s="65"/>
      <c r="O399" s="81">
        <f t="shared" si="18"/>
        <v>0</v>
      </c>
      <c r="P399" s="81">
        <f t="shared" si="19"/>
        <v>0</v>
      </c>
      <c r="Q399" s="65"/>
      <c r="R399" s="67"/>
      <c r="S399" s="83">
        <f t="shared" si="20"/>
        <v>0</v>
      </c>
    </row>
    <row r="400" spans="1:19" ht="18" customHeight="1" x14ac:dyDescent="0.25">
      <c r="A400" s="68"/>
      <c r="B400" s="69"/>
      <c r="C400" s="74"/>
      <c r="D400" s="69"/>
      <c r="E400" s="68"/>
      <c r="F400" s="71"/>
      <c r="G400" s="72"/>
      <c r="H400" s="73"/>
      <c r="I400" s="74"/>
      <c r="J400" s="74"/>
      <c r="K400" s="74"/>
      <c r="L400" s="74"/>
      <c r="M400" s="74"/>
      <c r="N400" s="74"/>
      <c r="O400" s="82">
        <f t="shared" si="18"/>
        <v>0</v>
      </c>
      <c r="P400" s="82">
        <f t="shared" si="19"/>
        <v>0</v>
      </c>
      <c r="Q400" s="74"/>
      <c r="R400" s="76"/>
      <c r="S400" s="84">
        <f t="shared" si="20"/>
        <v>0</v>
      </c>
    </row>
    <row r="401" spans="1:19" ht="18" customHeight="1" x14ac:dyDescent="0.25">
      <c r="A401" s="59"/>
      <c r="B401" s="60"/>
      <c r="C401" s="65"/>
      <c r="D401" s="60"/>
      <c r="E401" s="59"/>
      <c r="F401" s="62"/>
      <c r="G401" s="63"/>
      <c r="H401" s="64"/>
      <c r="I401" s="65"/>
      <c r="J401" s="65"/>
      <c r="K401" s="65"/>
      <c r="L401" s="65"/>
      <c r="M401" s="65"/>
      <c r="N401" s="65"/>
      <c r="O401" s="81">
        <f t="shared" si="18"/>
        <v>0</v>
      </c>
      <c r="P401" s="81">
        <f t="shared" si="19"/>
        <v>0</v>
      </c>
      <c r="Q401" s="65"/>
      <c r="R401" s="67"/>
      <c r="S401" s="83">
        <f t="shared" si="20"/>
        <v>0</v>
      </c>
    </row>
    <row r="402" spans="1:19" ht="18" customHeight="1" x14ac:dyDescent="0.25">
      <c r="A402" s="68"/>
      <c r="B402" s="69"/>
      <c r="C402" s="74"/>
      <c r="D402" s="69"/>
      <c r="E402" s="68"/>
      <c r="F402" s="71"/>
      <c r="G402" s="72"/>
      <c r="H402" s="73"/>
      <c r="I402" s="74"/>
      <c r="J402" s="74"/>
      <c r="K402" s="74"/>
      <c r="L402" s="74"/>
      <c r="M402" s="74"/>
      <c r="N402" s="74"/>
      <c r="O402" s="82">
        <f t="shared" si="18"/>
        <v>0</v>
      </c>
      <c r="P402" s="82">
        <f t="shared" si="19"/>
        <v>0</v>
      </c>
      <c r="Q402" s="74"/>
      <c r="R402" s="76"/>
      <c r="S402" s="84">
        <f t="shared" si="20"/>
        <v>0</v>
      </c>
    </row>
    <row r="403" spans="1:19" ht="18" customHeight="1" x14ac:dyDescent="0.25">
      <c r="A403" s="59"/>
      <c r="B403" s="60"/>
      <c r="C403" s="65"/>
      <c r="D403" s="60"/>
      <c r="E403" s="59"/>
      <c r="F403" s="62"/>
      <c r="G403" s="63"/>
      <c r="H403" s="64"/>
      <c r="I403" s="65"/>
      <c r="J403" s="65"/>
      <c r="K403" s="65"/>
      <c r="L403" s="65"/>
      <c r="M403" s="65"/>
      <c r="N403" s="65"/>
      <c r="O403" s="81">
        <f t="shared" si="18"/>
        <v>0</v>
      </c>
      <c r="P403" s="81">
        <f t="shared" si="19"/>
        <v>0</v>
      </c>
      <c r="Q403" s="65"/>
      <c r="R403" s="67"/>
      <c r="S403" s="83">
        <f t="shared" si="20"/>
        <v>0</v>
      </c>
    </row>
    <row r="404" spans="1:19" ht="18" customHeight="1" x14ac:dyDescent="0.25">
      <c r="A404" s="68"/>
      <c r="B404" s="69"/>
      <c r="C404" s="74"/>
      <c r="D404" s="69"/>
      <c r="E404" s="68"/>
      <c r="F404" s="71"/>
      <c r="G404" s="72"/>
      <c r="H404" s="73"/>
      <c r="I404" s="74"/>
      <c r="J404" s="74"/>
      <c r="K404" s="74"/>
      <c r="L404" s="74"/>
      <c r="M404" s="74"/>
      <c r="N404" s="74"/>
      <c r="O404" s="82">
        <f t="shared" si="18"/>
        <v>0</v>
      </c>
      <c r="P404" s="82">
        <f t="shared" si="19"/>
        <v>0</v>
      </c>
      <c r="Q404" s="74"/>
      <c r="R404" s="76"/>
      <c r="S404" s="84">
        <f t="shared" si="20"/>
        <v>0</v>
      </c>
    </row>
    <row r="405" spans="1:19" ht="18" customHeight="1" x14ac:dyDescent="0.25">
      <c r="A405" s="59"/>
      <c r="B405" s="60"/>
      <c r="C405" s="65"/>
      <c r="D405" s="60"/>
      <c r="E405" s="59"/>
      <c r="F405" s="62"/>
      <c r="G405" s="63"/>
      <c r="H405" s="64"/>
      <c r="I405" s="65"/>
      <c r="J405" s="65"/>
      <c r="K405" s="65"/>
      <c r="L405" s="65"/>
      <c r="M405" s="65"/>
      <c r="N405" s="65"/>
      <c r="O405" s="81">
        <f t="shared" si="18"/>
        <v>0</v>
      </c>
      <c r="P405" s="81">
        <f t="shared" si="19"/>
        <v>0</v>
      </c>
      <c r="Q405" s="65"/>
      <c r="R405" s="67"/>
      <c r="S405" s="83">
        <f t="shared" si="20"/>
        <v>0</v>
      </c>
    </row>
    <row r="406" spans="1:19" ht="18" customHeight="1" x14ac:dyDescent="0.25">
      <c r="A406" s="68"/>
      <c r="B406" s="69"/>
      <c r="C406" s="74"/>
      <c r="D406" s="69"/>
      <c r="E406" s="68"/>
      <c r="F406" s="71"/>
      <c r="G406" s="72"/>
      <c r="H406" s="73"/>
      <c r="I406" s="74"/>
      <c r="J406" s="74"/>
      <c r="K406" s="74"/>
      <c r="L406" s="74"/>
      <c r="M406" s="74"/>
      <c r="N406" s="74"/>
      <c r="O406" s="82">
        <f t="shared" si="18"/>
        <v>0</v>
      </c>
      <c r="P406" s="82">
        <f t="shared" si="19"/>
        <v>0</v>
      </c>
      <c r="Q406" s="74"/>
      <c r="R406" s="76"/>
      <c r="S406" s="84">
        <f t="shared" si="20"/>
        <v>0</v>
      </c>
    </row>
    <row r="407" spans="1:19" ht="18" customHeight="1" x14ac:dyDescent="0.25">
      <c r="A407" s="59"/>
      <c r="B407" s="60"/>
      <c r="C407" s="65"/>
      <c r="D407" s="60"/>
      <c r="E407" s="59"/>
      <c r="F407" s="62"/>
      <c r="G407" s="63"/>
      <c r="H407" s="64"/>
      <c r="I407" s="65"/>
      <c r="J407" s="65"/>
      <c r="K407" s="65"/>
      <c r="L407" s="65"/>
      <c r="M407" s="65"/>
      <c r="N407" s="65"/>
      <c r="O407" s="81">
        <f t="shared" si="18"/>
        <v>0</v>
      </c>
      <c r="P407" s="81">
        <f t="shared" si="19"/>
        <v>0</v>
      </c>
      <c r="Q407" s="65"/>
      <c r="R407" s="67"/>
      <c r="S407" s="83">
        <f t="shared" si="20"/>
        <v>0</v>
      </c>
    </row>
    <row r="408" spans="1:19" ht="18" customHeight="1" x14ac:dyDescent="0.25">
      <c r="A408" s="68"/>
      <c r="B408" s="69"/>
      <c r="C408" s="74"/>
      <c r="D408" s="69"/>
      <c r="E408" s="68"/>
      <c r="F408" s="71"/>
      <c r="G408" s="72"/>
      <c r="H408" s="73"/>
      <c r="I408" s="74"/>
      <c r="J408" s="74"/>
      <c r="K408" s="74"/>
      <c r="L408" s="74"/>
      <c r="M408" s="74"/>
      <c r="N408" s="74"/>
      <c r="O408" s="82">
        <f t="shared" si="18"/>
        <v>0</v>
      </c>
      <c r="P408" s="82">
        <f t="shared" si="19"/>
        <v>0</v>
      </c>
      <c r="Q408" s="74"/>
      <c r="R408" s="76"/>
      <c r="S408" s="84">
        <f t="shared" si="20"/>
        <v>0</v>
      </c>
    </row>
    <row r="409" spans="1:19" ht="18" customHeight="1" x14ac:dyDescent="0.25">
      <c r="A409" s="59"/>
      <c r="B409" s="60"/>
      <c r="C409" s="65"/>
      <c r="D409" s="60"/>
      <c r="E409" s="59"/>
      <c r="F409" s="62"/>
      <c r="G409" s="63"/>
      <c r="H409" s="64"/>
      <c r="I409" s="65"/>
      <c r="J409" s="65"/>
      <c r="K409" s="65"/>
      <c r="L409" s="65"/>
      <c r="M409" s="65"/>
      <c r="N409" s="65"/>
      <c r="O409" s="81">
        <f t="shared" si="18"/>
        <v>0</v>
      </c>
      <c r="P409" s="81">
        <f t="shared" si="19"/>
        <v>0</v>
      </c>
      <c r="Q409" s="65"/>
      <c r="R409" s="67"/>
      <c r="S409" s="83">
        <f t="shared" si="20"/>
        <v>0</v>
      </c>
    </row>
    <row r="410" spans="1:19" ht="18" customHeight="1" x14ac:dyDescent="0.25">
      <c r="A410" s="68"/>
      <c r="B410" s="69"/>
      <c r="C410" s="74"/>
      <c r="D410" s="69"/>
      <c r="E410" s="68"/>
      <c r="F410" s="71"/>
      <c r="G410" s="72"/>
      <c r="H410" s="73"/>
      <c r="I410" s="74"/>
      <c r="J410" s="74"/>
      <c r="K410" s="74"/>
      <c r="L410" s="74"/>
      <c r="M410" s="74"/>
      <c r="N410" s="74"/>
      <c r="O410" s="82">
        <f t="shared" si="18"/>
        <v>0</v>
      </c>
      <c r="P410" s="82">
        <f t="shared" si="19"/>
        <v>0</v>
      </c>
      <c r="Q410" s="74"/>
      <c r="R410" s="76"/>
      <c r="S410" s="84">
        <f t="shared" si="20"/>
        <v>0</v>
      </c>
    </row>
    <row r="411" spans="1:19" ht="18" customHeight="1" x14ac:dyDescent="0.25">
      <c r="A411" s="59"/>
      <c r="B411" s="60"/>
      <c r="C411" s="65"/>
      <c r="D411" s="60"/>
      <c r="E411" s="59"/>
      <c r="F411" s="62"/>
      <c r="G411" s="63"/>
      <c r="H411" s="64"/>
      <c r="I411" s="65"/>
      <c r="J411" s="65"/>
      <c r="K411" s="65"/>
      <c r="L411" s="65"/>
      <c r="M411" s="65"/>
      <c r="N411" s="65"/>
      <c r="O411" s="81">
        <f t="shared" si="18"/>
        <v>0</v>
      </c>
      <c r="P411" s="81">
        <f t="shared" si="19"/>
        <v>0</v>
      </c>
      <c r="Q411" s="65"/>
      <c r="R411" s="67"/>
      <c r="S411" s="83">
        <f t="shared" si="20"/>
        <v>0</v>
      </c>
    </row>
    <row r="412" spans="1:19" ht="18" customHeight="1" x14ac:dyDescent="0.25">
      <c r="A412" s="68"/>
      <c r="B412" s="69"/>
      <c r="C412" s="74"/>
      <c r="D412" s="69"/>
      <c r="E412" s="68"/>
      <c r="F412" s="71"/>
      <c r="G412" s="72"/>
      <c r="H412" s="73"/>
      <c r="I412" s="74"/>
      <c r="J412" s="74"/>
      <c r="K412" s="74"/>
      <c r="L412" s="74"/>
      <c r="M412" s="74"/>
      <c r="N412" s="74"/>
      <c r="O412" s="82">
        <f t="shared" si="18"/>
        <v>0</v>
      </c>
      <c r="P412" s="82">
        <f t="shared" si="19"/>
        <v>0</v>
      </c>
      <c r="Q412" s="74"/>
      <c r="R412" s="76"/>
      <c r="S412" s="84">
        <f t="shared" si="20"/>
        <v>0</v>
      </c>
    </row>
    <row r="413" spans="1:19" ht="18" customHeight="1" x14ac:dyDescent="0.25">
      <c r="A413" s="59"/>
      <c r="B413" s="60"/>
      <c r="C413" s="65"/>
      <c r="D413" s="60"/>
      <c r="E413" s="59"/>
      <c r="F413" s="62"/>
      <c r="G413" s="63"/>
      <c r="H413" s="64"/>
      <c r="I413" s="65"/>
      <c r="J413" s="65"/>
      <c r="K413" s="65"/>
      <c r="L413" s="65"/>
      <c r="M413" s="65"/>
      <c r="N413" s="65"/>
      <c r="O413" s="81">
        <f t="shared" si="18"/>
        <v>0</v>
      </c>
      <c r="P413" s="81">
        <f t="shared" si="19"/>
        <v>0</v>
      </c>
      <c r="Q413" s="65"/>
      <c r="R413" s="67"/>
      <c r="S413" s="83">
        <f t="shared" si="20"/>
        <v>0</v>
      </c>
    </row>
    <row r="414" spans="1:19" ht="18" customHeight="1" x14ac:dyDescent="0.25">
      <c r="A414" s="68"/>
      <c r="B414" s="69"/>
      <c r="C414" s="74"/>
      <c r="D414" s="69"/>
      <c r="E414" s="68"/>
      <c r="F414" s="71"/>
      <c r="G414" s="72"/>
      <c r="H414" s="73"/>
      <c r="I414" s="74"/>
      <c r="J414" s="74"/>
      <c r="K414" s="74"/>
      <c r="L414" s="74"/>
      <c r="M414" s="74"/>
      <c r="N414" s="74"/>
      <c r="O414" s="82">
        <f t="shared" si="18"/>
        <v>0</v>
      </c>
      <c r="P414" s="82">
        <f t="shared" si="19"/>
        <v>0</v>
      </c>
      <c r="Q414" s="74"/>
      <c r="R414" s="76"/>
      <c r="S414" s="84">
        <f t="shared" si="20"/>
        <v>0</v>
      </c>
    </row>
    <row r="415" spans="1:19" ht="18" customHeight="1" x14ac:dyDescent="0.25">
      <c r="A415" s="59"/>
      <c r="B415" s="60"/>
      <c r="C415" s="65"/>
      <c r="D415" s="60"/>
      <c r="E415" s="59"/>
      <c r="F415" s="62"/>
      <c r="G415" s="63"/>
      <c r="H415" s="64"/>
      <c r="I415" s="65"/>
      <c r="J415" s="65"/>
      <c r="K415" s="65"/>
      <c r="L415" s="65"/>
      <c r="M415" s="65"/>
      <c r="N415" s="65"/>
      <c r="O415" s="81">
        <f t="shared" si="18"/>
        <v>0</v>
      </c>
      <c r="P415" s="81">
        <f t="shared" si="19"/>
        <v>0</v>
      </c>
      <c r="Q415" s="65"/>
      <c r="R415" s="67"/>
      <c r="S415" s="83">
        <f t="shared" si="20"/>
        <v>0</v>
      </c>
    </row>
    <row r="416" spans="1:19" ht="18" customHeight="1" x14ac:dyDescent="0.25">
      <c r="A416" s="68"/>
      <c r="B416" s="69"/>
      <c r="C416" s="74"/>
      <c r="D416" s="69"/>
      <c r="E416" s="68"/>
      <c r="F416" s="71"/>
      <c r="G416" s="72"/>
      <c r="H416" s="73"/>
      <c r="I416" s="74"/>
      <c r="J416" s="74"/>
      <c r="K416" s="74"/>
      <c r="L416" s="74"/>
      <c r="M416" s="74"/>
      <c r="N416" s="74"/>
      <c r="O416" s="82">
        <f t="shared" si="18"/>
        <v>0</v>
      </c>
      <c r="P416" s="82">
        <f t="shared" si="19"/>
        <v>0</v>
      </c>
      <c r="Q416" s="74"/>
      <c r="R416" s="76"/>
      <c r="S416" s="84">
        <f t="shared" si="20"/>
        <v>0</v>
      </c>
    </row>
    <row r="417" spans="1:19" ht="18" customHeight="1" x14ac:dyDescent="0.25">
      <c r="A417" s="59"/>
      <c r="B417" s="60"/>
      <c r="C417" s="65"/>
      <c r="D417" s="60"/>
      <c r="E417" s="59"/>
      <c r="F417" s="62"/>
      <c r="G417" s="63"/>
      <c r="H417" s="64"/>
      <c r="I417" s="65"/>
      <c r="J417" s="65"/>
      <c r="K417" s="65"/>
      <c r="L417" s="65"/>
      <c r="M417" s="65"/>
      <c r="N417" s="65"/>
      <c r="O417" s="81">
        <f t="shared" si="18"/>
        <v>0</v>
      </c>
      <c r="P417" s="81">
        <f t="shared" si="19"/>
        <v>0</v>
      </c>
      <c r="Q417" s="65"/>
      <c r="R417" s="67"/>
      <c r="S417" s="83">
        <f t="shared" si="20"/>
        <v>0</v>
      </c>
    </row>
    <row r="418" spans="1:19" ht="18" customHeight="1" x14ac:dyDescent="0.25">
      <c r="A418" s="68"/>
      <c r="B418" s="69"/>
      <c r="C418" s="74"/>
      <c r="D418" s="69"/>
      <c r="E418" s="68"/>
      <c r="F418" s="71"/>
      <c r="G418" s="72"/>
      <c r="H418" s="73"/>
      <c r="I418" s="74"/>
      <c r="J418" s="74"/>
      <c r="K418" s="74"/>
      <c r="L418" s="74"/>
      <c r="M418" s="74"/>
      <c r="N418" s="74"/>
      <c r="O418" s="82">
        <f t="shared" si="18"/>
        <v>0</v>
      </c>
      <c r="P418" s="82">
        <f t="shared" si="19"/>
        <v>0</v>
      </c>
      <c r="Q418" s="74"/>
      <c r="R418" s="76"/>
      <c r="S418" s="84">
        <f t="shared" si="20"/>
        <v>0</v>
      </c>
    </row>
    <row r="419" spans="1:19" ht="18" customHeight="1" x14ac:dyDescent="0.25">
      <c r="A419" s="59"/>
      <c r="B419" s="60"/>
      <c r="C419" s="65"/>
      <c r="D419" s="60"/>
      <c r="E419" s="59"/>
      <c r="F419" s="62"/>
      <c r="G419" s="63"/>
      <c r="H419" s="64"/>
      <c r="I419" s="65"/>
      <c r="J419" s="65"/>
      <c r="K419" s="65"/>
      <c r="L419" s="65"/>
      <c r="M419" s="65"/>
      <c r="N419" s="65"/>
      <c r="O419" s="81">
        <f t="shared" si="18"/>
        <v>0</v>
      </c>
      <c r="P419" s="81">
        <f t="shared" si="19"/>
        <v>0</v>
      </c>
      <c r="Q419" s="65"/>
      <c r="R419" s="67"/>
      <c r="S419" s="83">
        <f t="shared" si="20"/>
        <v>0</v>
      </c>
    </row>
    <row r="420" spans="1:19" ht="18" customHeight="1" x14ac:dyDescent="0.25">
      <c r="A420" s="68"/>
      <c r="B420" s="69"/>
      <c r="C420" s="74"/>
      <c r="D420" s="69"/>
      <c r="E420" s="68"/>
      <c r="F420" s="71"/>
      <c r="G420" s="72"/>
      <c r="H420" s="73"/>
      <c r="I420" s="74"/>
      <c r="J420" s="74"/>
      <c r="K420" s="74"/>
      <c r="L420" s="74"/>
      <c r="M420" s="74"/>
      <c r="N420" s="74"/>
      <c r="O420" s="82">
        <f t="shared" si="18"/>
        <v>0</v>
      </c>
      <c r="P420" s="82">
        <f t="shared" si="19"/>
        <v>0</v>
      </c>
      <c r="Q420" s="74"/>
      <c r="R420" s="76"/>
      <c r="S420" s="84">
        <f t="shared" si="20"/>
        <v>0</v>
      </c>
    </row>
    <row r="421" spans="1:19" ht="18" customHeight="1" x14ac:dyDescent="0.25">
      <c r="A421" s="59"/>
      <c r="B421" s="60"/>
      <c r="C421" s="65"/>
      <c r="D421" s="60"/>
      <c r="E421" s="59"/>
      <c r="F421" s="62"/>
      <c r="G421" s="63"/>
      <c r="H421" s="64"/>
      <c r="I421" s="65"/>
      <c r="J421" s="65"/>
      <c r="K421" s="65"/>
      <c r="L421" s="65"/>
      <c r="M421" s="65"/>
      <c r="N421" s="65"/>
      <c r="O421" s="81">
        <f t="shared" si="18"/>
        <v>0</v>
      </c>
      <c r="P421" s="81">
        <f t="shared" si="19"/>
        <v>0</v>
      </c>
      <c r="Q421" s="65"/>
      <c r="R421" s="67"/>
      <c r="S421" s="83">
        <f t="shared" si="20"/>
        <v>0</v>
      </c>
    </row>
    <row r="422" spans="1:19" ht="18" customHeight="1" x14ac:dyDescent="0.25">
      <c r="A422" s="68"/>
      <c r="B422" s="69"/>
      <c r="C422" s="74"/>
      <c r="D422" s="69"/>
      <c r="E422" s="68"/>
      <c r="F422" s="71"/>
      <c r="G422" s="72"/>
      <c r="H422" s="73"/>
      <c r="I422" s="74"/>
      <c r="J422" s="74"/>
      <c r="K422" s="74"/>
      <c r="L422" s="74"/>
      <c r="M422" s="74"/>
      <c r="N422" s="74"/>
      <c r="O422" s="82">
        <f t="shared" si="18"/>
        <v>0</v>
      </c>
      <c r="P422" s="82">
        <f t="shared" si="19"/>
        <v>0</v>
      </c>
      <c r="Q422" s="74"/>
      <c r="R422" s="76"/>
      <c r="S422" s="84">
        <f t="shared" si="20"/>
        <v>0</v>
      </c>
    </row>
    <row r="423" spans="1:19" ht="18" customHeight="1" x14ac:dyDescent="0.25">
      <c r="A423" s="59"/>
      <c r="B423" s="60"/>
      <c r="C423" s="65"/>
      <c r="D423" s="60"/>
      <c r="E423" s="59"/>
      <c r="F423" s="62"/>
      <c r="G423" s="63"/>
      <c r="H423" s="64"/>
      <c r="I423" s="65"/>
      <c r="J423" s="65"/>
      <c r="K423" s="65"/>
      <c r="L423" s="65"/>
      <c r="M423" s="65"/>
      <c r="N423" s="65"/>
      <c r="O423" s="81">
        <f t="shared" si="18"/>
        <v>0</v>
      </c>
      <c r="P423" s="81">
        <f t="shared" si="19"/>
        <v>0</v>
      </c>
      <c r="Q423" s="65"/>
      <c r="R423" s="67"/>
      <c r="S423" s="83">
        <f t="shared" si="20"/>
        <v>0</v>
      </c>
    </row>
    <row r="424" spans="1:19" ht="18" customHeight="1" x14ac:dyDescent="0.25">
      <c r="A424" s="68"/>
      <c r="B424" s="69"/>
      <c r="C424" s="74"/>
      <c r="D424" s="69"/>
      <c r="E424" s="68"/>
      <c r="F424" s="71"/>
      <c r="G424" s="72"/>
      <c r="H424" s="73"/>
      <c r="I424" s="74"/>
      <c r="J424" s="74"/>
      <c r="K424" s="74"/>
      <c r="L424" s="74"/>
      <c r="M424" s="74"/>
      <c r="N424" s="74"/>
      <c r="O424" s="82">
        <f t="shared" si="18"/>
        <v>0</v>
      </c>
      <c r="P424" s="82">
        <f t="shared" si="19"/>
        <v>0</v>
      </c>
      <c r="Q424" s="74"/>
      <c r="R424" s="76"/>
      <c r="S424" s="84">
        <f t="shared" si="20"/>
        <v>0</v>
      </c>
    </row>
    <row r="425" spans="1:19" ht="18" customHeight="1" x14ac:dyDescent="0.25">
      <c r="A425" s="59"/>
      <c r="B425" s="60"/>
      <c r="C425" s="65"/>
      <c r="D425" s="60"/>
      <c r="E425" s="59"/>
      <c r="F425" s="62"/>
      <c r="G425" s="63"/>
      <c r="H425" s="64"/>
      <c r="I425" s="65"/>
      <c r="J425" s="65"/>
      <c r="K425" s="65"/>
      <c r="L425" s="65"/>
      <c r="M425" s="65"/>
      <c r="N425" s="65"/>
      <c r="O425" s="81">
        <f t="shared" si="18"/>
        <v>0</v>
      </c>
      <c r="P425" s="81">
        <f t="shared" si="19"/>
        <v>0</v>
      </c>
      <c r="Q425" s="65"/>
      <c r="R425" s="67"/>
      <c r="S425" s="83">
        <f t="shared" si="20"/>
        <v>0</v>
      </c>
    </row>
    <row r="426" spans="1:19" ht="18" customHeight="1" x14ac:dyDescent="0.25">
      <c r="A426" s="68"/>
      <c r="B426" s="69"/>
      <c r="C426" s="74"/>
      <c r="D426" s="69"/>
      <c r="E426" s="68"/>
      <c r="F426" s="71"/>
      <c r="G426" s="72"/>
      <c r="H426" s="73"/>
      <c r="I426" s="74"/>
      <c r="J426" s="74"/>
      <c r="K426" s="74"/>
      <c r="L426" s="74"/>
      <c r="M426" s="74"/>
      <c r="N426" s="74"/>
      <c r="O426" s="82">
        <f t="shared" si="18"/>
        <v>0</v>
      </c>
      <c r="P426" s="82">
        <f t="shared" si="19"/>
        <v>0</v>
      </c>
      <c r="Q426" s="74"/>
      <c r="R426" s="76"/>
      <c r="S426" s="84">
        <f t="shared" si="20"/>
        <v>0</v>
      </c>
    </row>
    <row r="427" spans="1:19" ht="18" customHeight="1" x14ac:dyDescent="0.25">
      <c r="A427" s="59"/>
      <c r="B427" s="60"/>
      <c r="C427" s="65"/>
      <c r="D427" s="60"/>
      <c r="E427" s="59"/>
      <c r="F427" s="62"/>
      <c r="G427" s="63"/>
      <c r="H427" s="64"/>
      <c r="I427" s="65"/>
      <c r="J427" s="65"/>
      <c r="K427" s="65"/>
      <c r="L427" s="65"/>
      <c r="M427" s="65"/>
      <c r="N427" s="65"/>
      <c r="O427" s="81">
        <f t="shared" si="18"/>
        <v>0</v>
      </c>
      <c r="P427" s="81">
        <f t="shared" si="19"/>
        <v>0</v>
      </c>
      <c r="Q427" s="65"/>
      <c r="R427" s="67"/>
      <c r="S427" s="83">
        <f t="shared" si="20"/>
        <v>0</v>
      </c>
    </row>
    <row r="428" spans="1:19" ht="18" customHeight="1" x14ac:dyDescent="0.25">
      <c r="A428" s="68"/>
      <c r="B428" s="69"/>
      <c r="C428" s="74"/>
      <c r="D428" s="69"/>
      <c r="E428" s="68"/>
      <c r="F428" s="71"/>
      <c r="G428" s="72"/>
      <c r="H428" s="73"/>
      <c r="I428" s="74"/>
      <c r="J428" s="74"/>
      <c r="K428" s="74"/>
      <c r="L428" s="74"/>
      <c r="M428" s="74"/>
      <c r="N428" s="74"/>
      <c r="O428" s="82">
        <f t="shared" si="18"/>
        <v>0</v>
      </c>
      <c r="P428" s="82">
        <f t="shared" si="19"/>
        <v>0</v>
      </c>
      <c r="Q428" s="74"/>
      <c r="R428" s="76"/>
      <c r="S428" s="84">
        <f t="shared" si="20"/>
        <v>0</v>
      </c>
    </row>
    <row r="429" spans="1:19" ht="18" customHeight="1" x14ac:dyDescent="0.25">
      <c r="A429" s="59"/>
      <c r="B429" s="60"/>
      <c r="C429" s="65"/>
      <c r="D429" s="60"/>
      <c r="E429" s="59"/>
      <c r="F429" s="62"/>
      <c r="G429" s="63"/>
      <c r="H429" s="64"/>
      <c r="I429" s="65"/>
      <c r="J429" s="65"/>
      <c r="K429" s="65"/>
      <c r="L429" s="65"/>
      <c r="M429" s="65"/>
      <c r="N429" s="65"/>
      <c r="O429" s="81">
        <f t="shared" si="18"/>
        <v>0</v>
      </c>
      <c r="P429" s="81">
        <f t="shared" si="19"/>
        <v>0</v>
      </c>
      <c r="Q429" s="65"/>
      <c r="R429" s="67"/>
      <c r="S429" s="83">
        <f t="shared" si="20"/>
        <v>0</v>
      </c>
    </row>
    <row r="430" spans="1:19" ht="18" customHeight="1" x14ac:dyDescent="0.25">
      <c r="A430" s="68"/>
      <c r="B430" s="69"/>
      <c r="C430" s="74"/>
      <c r="D430" s="69"/>
      <c r="E430" s="68"/>
      <c r="F430" s="71"/>
      <c r="G430" s="72"/>
      <c r="H430" s="73"/>
      <c r="I430" s="74"/>
      <c r="J430" s="74"/>
      <c r="K430" s="74"/>
      <c r="L430" s="74"/>
      <c r="M430" s="74"/>
      <c r="N430" s="74"/>
      <c r="O430" s="82">
        <f t="shared" si="18"/>
        <v>0</v>
      </c>
      <c r="P430" s="82">
        <f t="shared" si="19"/>
        <v>0</v>
      </c>
      <c r="Q430" s="74"/>
      <c r="R430" s="76"/>
      <c r="S430" s="84">
        <f t="shared" si="20"/>
        <v>0</v>
      </c>
    </row>
    <row r="431" spans="1:19" ht="18" customHeight="1" x14ac:dyDescent="0.25">
      <c r="A431" s="59"/>
      <c r="B431" s="60"/>
      <c r="C431" s="65"/>
      <c r="D431" s="60"/>
      <c r="E431" s="59"/>
      <c r="F431" s="62"/>
      <c r="G431" s="63"/>
      <c r="H431" s="64"/>
      <c r="I431" s="65"/>
      <c r="J431" s="65"/>
      <c r="K431" s="65"/>
      <c r="L431" s="65"/>
      <c r="M431" s="65"/>
      <c r="N431" s="65"/>
      <c r="O431" s="81">
        <f t="shared" si="18"/>
        <v>0</v>
      </c>
      <c r="P431" s="81">
        <f t="shared" si="19"/>
        <v>0</v>
      </c>
      <c r="Q431" s="65"/>
      <c r="R431" s="67"/>
      <c r="S431" s="83">
        <f t="shared" si="20"/>
        <v>0</v>
      </c>
    </row>
    <row r="432" spans="1:19" ht="18" customHeight="1" x14ac:dyDescent="0.25">
      <c r="A432" s="68"/>
      <c r="B432" s="69"/>
      <c r="C432" s="74"/>
      <c r="D432" s="69"/>
      <c r="E432" s="68"/>
      <c r="F432" s="71"/>
      <c r="G432" s="72"/>
      <c r="H432" s="73"/>
      <c r="I432" s="74"/>
      <c r="J432" s="74"/>
      <c r="K432" s="74"/>
      <c r="L432" s="74"/>
      <c r="M432" s="74"/>
      <c r="N432" s="74"/>
      <c r="O432" s="82">
        <f t="shared" si="18"/>
        <v>0</v>
      </c>
      <c r="P432" s="82">
        <f t="shared" si="19"/>
        <v>0</v>
      </c>
      <c r="Q432" s="74"/>
      <c r="R432" s="76"/>
      <c r="S432" s="84">
        <f t="shared" si="20"/>
        <v>0</v>
      </c>
    </row>
    <row r="433" spans="1:19" ht="18" customHeight="1" x14ac:dyDescent="0.25">
      <c r="A433" s="59"/>
      <c r="B433" s="60"/>
      <c r="C433" s="65"/>
      <c r="D433" s="60"/>
      <c r="E433" s="59"/>
      <c r="F433" s="62"/>
      <c r="G433" s="63"/>
      <c r="H433" s="64"/>
      <c r="I433" s="65"/>
      <c r="J433" s="65"/>
      <c r="K433" s="65"/>
      <c r="L433" s="65"/>
      <c r="M433" s="65"/>
      <c r="N433" s="65"/>
      <c r="O433" s="81">
        <f t="shared" si="18"/>
        <v>0</v>
      </c>
      <c r="P433" s="81">
        <f t="shared" si="19"/>
        <v>0</v>
      </c>
      <c r="Q433" s="65"/>
      <c r="R433" s="67"/>
      <c r="S433" s="83">
        <f t="shared" si="20"/>
        <v>0</v>
      </c>
    </row>
    <row r="434" spans="1:19" ht="18" customHeight="1" x14ac:dyDescent="0.25">
      <c r="A434" s="68"/>
      <c r="B434" s="69"/>
      <c r="C434" s="74"/>
      <c r="D434" s="69"/>
      <c r="E434" s="68"/>
      <c r="F434" s="71"/>
      <c r="G434" s="72"/>
      <c r="H434" s="73"/>
      <c r="I434" s="74"/>
      <c r="J434" s="74"/>
      <c r="K434" s="74"/>
      <c r="L434" s="74"/>
      <c r="M434" s="74"/>
      <c r="N434" s="74"/>
      <c r="O434" s="82">
        <f t="shared" si="18"/>
        <v>0</v>
      </c>
      <c r="P434" s="82">
        <f t="shared" si="19"/>
        <v>0</v>
      </c>
      <c r="Q434" s="74"/>
      <c r="R434" s="76"/>
      <c r="S434" s="84">
        <f t="shared" si="20"/>
        <v>0</v>
      </c>
    </row>
    <row r="435" spans="1:19" ht="18" customHeight="1" x14ac:dyDescent="0.25">
      <c r="A435" s="59"/>
      <c r="B435" s="60"/>
      <c r="C435" s="65"/>
      <c r="D435" s="60"/>
      <c r="E435" s="59"/>
      <c r="F435" s="62"/>
      <c r="G435" s="63"/>
      <c r="H435" s="64"/>
      <c r="I435" s="65"/>
      <c r="J435" s="65"/>
      <c r="K435" s="65"/>
      <c r="L435" s="65"/>
      <c r="M435" s="65"/>
      <c r="N435" s="65"/>
      <c r="O435" s="81">
        <f t="shared" si="18"/>
        <v>0</v>
      </c>
      <c r="P435" s="81">
        <f t="shared" si="19"/>
        <v>0</v>
      </c>
      <c r="Q435" s="65"/>
      <c r="R435" s="67"/>
      <c r="S435" s="83">
        <f t="shared" si="20"/>
        <v>0</v>
      </c>
    </row>
    <row r="436" spans="1:19" ht="18" customHeight="1" x14ac:dyDescent="0.25">
      <c r="A436" s="68"/>
      <c r="B436" s="69"/>
      <c r="C436" s="74"/>
      <c r="D436" s="69"/>
      <c r="E436" s="68"/>
      <c r="F436" s="71"/>
      <c r="G436" s="72"/>
      <c r="H436" s="73"/>
      <c r="I436" s="74"/>
      <c r="J436" s="74"/>
      <c r="K436" s="74"/>
      <c r="L436" s="74"/>
      <c r="M436" s="74"/>
      <c r="N436" s="74"/>
      <c r="O436" s="82">
        <f t="shared" si="18"/>
        <v>0</v>
      </c>
      <c r="P436" s="82">
        <f t="shared" si="19"/>
        <v>0</v>
      </c>
      <c r="Q436" s="74"/>
      <c r="R436" s="76"/>
      <c r="S436" s="84">
        <f t="shared" si="20"/>
        <v>0</v>
      </c>
    </row>
    <row r="437" spans="1:19" ht="18" customHeight="1" x14ac:dyDescent="0.25">
      <c r="A437" s="59"/>
      <c r="B437" s="60"/>
      <c r="C437" s="65"/>
      <c r="D437" s="60"/>
      <c r="E437" s="59"/>
      <c r="F437" s="62"/>
      <c r="G437" s="63"/>
      <c r="H437" s="64"/>
      <c r="I437" s="65"/>
      <c r="J437" s="65"/>
      <c r="K437" s="65"/>
      <c r="L437" s="65"/>
      <c r="M437" s="65"/>
      <c r="N437" s="65"/>
      <c r="O437" s="81">
        <f t="shared" si="18"/>
        <v>0</v>
      </c>
      <c r="P437" s="81">
        <f t="shared" si="19"/>
        <v>0</v>
      </c>
      <c r="Q437" s="65"/>
      <c r="R437" s="67"/>
      <c r="S437" s="83">
        <f t="shared" si="20"/>
        <v>0</v>
      </c>
    </row>
    <row r="438" spans="1:19" ht="18" customHeight="1" x14ac:dyDescent="0.25">
      <c r="A438" s="68"/>
      <c r="B438" s="69"/>
      <c r="C438" s="74"/>
      <c r="D438" s="69"/>
      <c r="E438" s="68"/>
      <c r="F438" s="71"/>
      <c r="G438" s="72"/>
      <c r="H438" s="73"/>
      <c r="I438" s="74"/>
      <c r="J438" s="74"/>
      <c r="K438" s="74"/>
      <c r="L438" s="74"/>
      <c r="M438" s="74"/>
      <c r="N438" s="74"/>
      <c r="O438" s="82">
        <f t="shared" si="18"/>
        <v>0</v>
      </c>
      <c r="P438" s="82">
        <f t="shared" si="19"/>
        <v>0</v>
      </c>
      <c r="Q438" s="74"/>
      <c r="R438" s="76"/>
      <c r="S438" s="84">
        <f t="shared" si="20"/>
        <v>0</v>
      </c>
    </row>
    <row r="439" spans="1:19" ht="18" customHeight="1" x14ac:dyDescent="0.25">
      <c r="A439" s="59"/>
      <c r="B439" s="60"/>
      <c r="C439" s="65"/>
      <c r="D439" s="60"/>
      <c r="E439" s="59"/>
      <c r="F439" s="62"/>
      <c r="G439" s="63"/>
      <c r="H439" s="64"/>
      <c r="I439" s="65"/>
      <c r="J439" s="65"/>
      <c r="K439" s="65"/>
      <c r="L439" s="65"/>
      <c r="M439" s="65"/>
      <c r="N439" s="65"/>
      <c r="O439" s="81">
        <f t="shared" si="18"/>
        <v>0</v>
      </c>
      <c r="P439" s="81">
        <f t="shared" si="19"/>
        <v>0</v>
      </c>
      <c r="Q439" s="65"/>
      <c r="R439" s="67"/>
      <c r="S439" s="83">
        <f t="shared" si="20"/>
        <v>0</v>
      </c>
    </row>
    <row r="440" spans="1:19" ht="18" customHeight="1" x14ac:dyDescent="0.25">
      <c r="A440" s="68"/>
      <c r="B440" s="69"/>
      <c r="C440" s="74"/>
      <c r="D440" s="69"/>
      <c r="E440" s="68"/>
      <c r="F440" s="71"/>
      <c r="G440" s="72"/>
      <c r="H440" s="73"/>
      <c r="I440" s="74"/>
      <c r="J440" s="74"/>
      <c r="K440" s="74"/>
      <c r="L440" s="74"/>
      <c r="M440" s="74"/>
      <c r="N440" s="74"/>
      <c r="O440" s="82">
        <f t="shared" si="18"/>
        <v>0</v>
      </c>
      <c r="P440" s="82">
        <f t="shared" si="19"/>
        <v>0</v>
      </c>
      <c r="Q440" s="74"/>
      <c r="R440" s="76"/>
      <c r="S440" s="84">
        <f t="shared" si="20"/>
        <v>0</v>
      </c>
    </row>
    <row r="441" spans="1:19" ht="18" customHeight="1" x14ac:dyDescent="0.25">
      <c r="A441" s="59"/>
      <c r="B441" s="60"/>
      <c r="C441" s="65"/>
      <c r="D441" s="60"/>
      <c r="E441" s="59"/>
      <c r="F441" s="62"/>
      <c r="G441" s="63"/>
      <c r="H441" s="64"/>
      <c r="I441" s="65"/>
      <c r="J441" s="65"/>
      <c r="K441" s="65"/>
      <c r="L441" s="65"/>
      <c r="M441" s="65"/>
      <c r="N441" s="65"/>
      <c r="O441" s="81">
        <f t="shared" si="18"/>
        <v>0</v>
      </c>
      <c r="P441" s="81">
        <f t="shared" si="19"/>
        <v>0</v>
      </c>
      <c r="Q441" s="65"/>
      <c r="R441" s="67"/>
      <c r="S441" s="83">
        <f t="shared" si="20"/>
        <v>0</v>
      </c>
    </row>
    <row r="442" spans="1:19" ht="18" customHeight="1" x14ac:dyDescent="0.25">
      <c r="A442" s="68"/>
      <c r="B442" s="69"/>
      <c r="C442" s="74"/>
      <c r="D442" s="69"/>
      <c r="E442" s="68"/>
      <c r="F442" s="71"/>
      <c r="G442" s="72"/>
      <c r="H442" s="73"/>
      <c r="I442" s="74"/>
      <c r="J442" s="74"/>
      <c r="K442" s="74"/>
      <c r="L442" s="74"/>
      <c r="M442" s="74"/>
      <c r="N442" s="74"/>
      <c r="O442" s="82">
        <f t="shared" si="18"/>
        <v>0</v>
      </c>
      <c r="P442" s="82">
        <f t="shared" si="19"/>
        <v>0</v>
      </c>
      <c r="Q442" s="74"/>
      <c r="R442" s="76"/>
      <c r="S442" s="84">
        <f t="shared" si="20"/>
        <v>0</v>
      </c>
    </row>
    <row r="443" spans="1:19" ht="18" customHeight="1" x14ac:dyDescent="0.25">
      <c r="A443" s="59"/>
      <c r="B443" s="60"/>
      <c r="C443" s="65"/>
      <c r="D443" s="60"/>
      <c r="E443" s="59"/>
      <c r="F443" s="62"/>
      <c r="G443" s="63"/>
      <c r="H443" s="64"/>
      <c r="I443" s="65"/>
      <c r="J443" s="65"/>
      <c r="K443" s="65"/>
      <c r="L443" s="65"/>
      <c r="M443" s="65"/>
      <c r="N443" s="65"/>
      <c r="O443" s="81">
        <f t="shared" si="18"/>
        <v>0</v>
      </c>
      <c r="P443" s="81">
        <f t="shared" si="19"/>
        <v>0</v>
      </c>
      <c r="Q443" s="65"/>
      <c r="R443" s="67"/>
      <c r="S443" s="83">
        <f t="shared" si="20"/>
        <v>0</v>
      </c>
    </row>
    <row r="444" spans="1:19" ht="18" customHeight="1" x14ac:dyDescent="0.25">
      <c r="A444" s="68"/>
      <c r="B444" s="69"/>
      <c r="C444" s="74"/>
      <c r="D444" s="69"/>
      <c r="E444" s="68"/>
      <c r="F444" s="71"/>
      <c r="G444" s="72"/>
      <c r="H444" s="73"/>
      <c r="I444" s="74"/>
      <c r="J444" s="74"/>
      <c r="K444" s="74"/>
      <c r="L444" s="74"/>
      <c r="M444" s="74"/>
      <c r="N444" s="74"/>
      <c r="O444" s="82">
        <f t="shared" si="18"/>
        <v>0</v>
      </c>
      <c r="P444" s="82">
        <f t="shared" si="19"/>
        <v>0</v>
      </c>
      <c r="Q444" s="74"/>
      <c r="R444" s="76"/>
      <c r="S444" s="84">
        <f t="shared" si="20"/>
        <v>0</v>
      </c>
    </row>
    <row r="445" spans="1:19" ht="18" customHeight="1" x14ac:dyDescent="0.25">
      <c r="A445" s="59"/>
      <c r="B445" s="60"/>
      <c r="C445" s="65"/>
      <c r="D445" s="60"/>
      <c r="E445" s="59"/>
      <c r="F445" s="62"/>
      <c r="G445" s="63"/>
      <c r="H445" s="64"/>
      <c r="I445" s="65"/>
      <c r="J445" s="65"/>
      <c r="K445" s="65"/>
      <c r="L445" s="65"/>
      <c r="M445" s="65"/>
      <c r="N445" s="65"/>
      <c r="O445" s="81">
        <f t="shared" si="18"/>
        <v>0</v>
      </c>
      <c r="P445" s="81">
        <f t="shared" si="19"/>
        <v>0</v>
      </c>
      <c r="Q445" s="65"/>
      <c r="R445" s="67"/>
      <c r="S445" s="83">
        <f t="shared" si="20"/>
        <v>0</v>
      </c>
    </row>
    <row r="446" spans="1:19" ht="18" customHeight="1" x14ac:dyDescent="0.25">
      <c r="A446" s="68"/>
      <c r="B446" s="69"/>
      <c r="C446" s="74"/>
      <c r="D446" s="69"/>
      <c r="E446" s="68"/>
      <c r="F446" s="71"/>
      <c r="G446" s="72"/>
      <c r="H446" s="73"/>
      <c r="I446" s="74"/>
      <c r="J446" s="74"/>
      <c r="K446" s="74"/>
      <c r="L446" s="74"/>
      <c r="M446" s="74"/>
      <c r="N446" s="74"/>
      <c r="O446" s="82">
        <f t="shared" si="18"/>
        <v>0</v>
      </c>
      <c r="P446" s="82">
        <f t="shared" si="19"/>
        <v>0</v>
      </c>
      <c r="Q446" s="74"/>
      <c r="R446" s="76"/>
      <c r="S446" s="84">
        <f t="shared" si="20"/>
        <v>0</v>
      </c>
    </row>
    <row r="447" spans="1:19" ht="18" customHeight="1" x14ac:dyDescent="0.25">
      <c r="A447" s="59"/>
      <c r="B447" s="60"/>
      <c r="C447" s="65"/>
      <c r="D447" s="60"/>
      <c r="E447" s="59"/>
      <c r="F447" s="62"/>
      <c r="G447" s="63"/>
      <c r="H447" s="64"/>
      <c r="I447" s="65"/>
      <c r="J447" s="65"/>
      <c r="K447" s="65"/>
      <c r="L447" s="65"/>
      <c r="M447" s="65"/>
      <c r="N447" s="65"/>
      <c r="O447" s="81">
        <f t="shared" si="18"/>
        <v>0</v>
      </c>
      <c r="P447" s="81">
        <f t="shared" si="19"/>
        <v>0</v>
      </c>
      <c r="Q447" s="65"/>
      <c r="R447" s="67"/>
      <c r="S447" s="83">
        <f t="shared" si="20"/>
        <v>0</v>
      </c>
    </row>
    <row r="448" spans="1:19" ht="18" customHeight="1" x14ac:dyDescent="0.25">
      <c r="A448" s="68"/>
      <c r="B448" s="69"/>
      <c r="C448" s="74"/>
      <c r="D448" s="69"/>
      <c r="E448" s="68"/>
      <c r="F448" s="71"/>
      <c r="G448" s="72"/>
      <c r="H448" s="73"/>
      <c r="I448" s="74"/>
      <c r="J448" s="74"/>
      <c r="K448" s="74"/>
      <c r="L448" s="74"/>
      <c r="M448" s="74"/>
      <c r="N448" s="74"/>
      <c r="O448" s="82">
        <f t="shared" si="18"/>
        <v>0</v>
      </c>
      <c r="P448" s="82">
        <f t="shared" si="19"/>
        <v>0</v>
      </c>
      <c r="Q448" s="74"/>
      <c r="R448" s="76"/>
      <c r="S448" s="84">
        <f t="shared" si="20"/>
        <v>0</v>
      </c>
    </row>
    <row r="449" spans="1:19" ht="18" customHeight="1" x14ac:dyDescent="0.25">
      <c r="A449" s="59"/>
      <c r="B449" s="60"/>
      <c r="C449" s="65"/>
      <c r="D449" s="60"/>
      <c r="E449" s="59"/>
      <c r="F449" s="62"/>
      <c r="G449" s="63"/>
      <c r="H449" s="64"/>
      <c r="I449" s="65"/>
      <c r="J449" s="65"/>
      <c r="K449" s="65"/>
      <c r="L449" s="65"/>
      <c r="M449" s="65"/>
      <c r="N449" s="65"/>
      <c r="O449" s="81">
        <f t="shared" si="18"/>
        <v>0</v>
      </c>
      <c r="P449" s="81">
        <f t="shared" si="19"/>
        <v>0</v>
      </c>
      <c r="Q449" s="65"/>
      <c r="R449" s="67"/>
      <c r="S449" s="83">
        <f t="shared" si="20"/>
        <v>0</v>
      </c>
    </row>
    <row r="450" spans="1:19" ht="18" customHeight="1" x14ac:dyDescent="0.25">
      <c r="A450" s="68"/>
      <c r="B450" s="69"/>
      <c r="C450" s="74"/>
      <c r="D450" s="69"/>
      <c r="E450" s="68"/>
      <c r="F450" s="71"/>
      <c r="G450" s="72"/>
      <c r="H450" s="73"/>
      <c r="I450" s="74"/>
      <c r="J450" s="74"/>
      <c r="K450" s="74"/>
      <c r="L450" s="74"/>
      <c r="M450" s="74"/>
      <c r="N450" s="74"/>
      <c r="O450" s="82">
        <f t="shared" si="18"/>
        <v>0</v>
      </c>
      <c r="P450" s="82">
        <f t="shared" si="19"/>
        <v>0</v>
      </c>
      <c r="Q450" s="74"/>
      <c r="R450" s="76"/>
      <c r="S450" s="84">
        <f t="shared" si="20"/>
        <v>0</v>
      </c>
    </row>
    <row r="451" spans="1:19" ht="18" customHeight="1" x14ac:dyDescent="0.25">
      <c r="A451" s="59"/>
      <c r="B451" s="60"/>
      <c r="C451" s="65"/>
      <c r="D451" s="60"/>
      <c r="E451" s="59"/>
      <c r="F451" s="62"/>
      <c r="G451" s="63"/>
      <c r="H451" s="64"/>
      <c r="I451" s="65"/>
      <c r="J451" s="65"/>
      <c r="K451" s="65"/>
      <c r="L451" s="65"/>
      <c r="M451" s="65"/>
      <c r="N451" s="65"/>
      <c r="O451" s="81">
        <f t="shared" si="18"/>
        <v>0</v>
      </c>
      <c r="P451" s="81">
        <f t="shared" si="19"/>
        <v>0</v>
      </c>
      <c r="Q451" s="65"/>
      <c r="R451" s="67"/>
      <c r="S451" s="83">
        <f t="shared" si="20"/>
        <v>0</v>
      </c>
    </row>
    <row r="452" spans="1:19" ht="18" customHeight="1" x14ac:dyDescent="0.25">
      <c r="A452" s="68"/>
      <c r="B452" s="69"/>
      <c r="C452" s="74"/>
      <c r="D452" s="69"/>
      <c r="E452" s="68"/>
      <c r="F452" s="71"/>
      <c r="G452" s="72"/>
      <c r="H452" s="73"/>
      <c r="I452" s="74"/>
      <c r="J452" s="74"/>
      <c r="K452" s="74"/>
      <c r="L452" s="74"/>
      <c r="M452" s="74"/>
      <c r="N452" s="74"/>
      <c r="O452" s="82">
        <f t="shared" si="18"/>
        <v>0</v>
      </c>
      <c r="P452" s="82">
        <f t="shared" si="19"/>
        <v>0</v>
      </c>
      <c r="Q452" s="74"/>
      <c r="R452" s="76"/>
      <c r="S452" s="84">
        <f t="shared" si="20"/>
        <v>0</v>
      </c>
    </row>
    <row r="453" spans="1:19" ht="18" customHeight="1" x14ac:dyDescent="0.25">
      <c r="A453" s="59"/>
      <c r="B453" s="60"/>
      <c r="C453" s="65"/>
      <c r="D453" s="60"/>
      <c r="E453" s="59"/>
      <c r="F453" s="62"/>
      <c r="G453" s="63"/>
      <c r="H453" s="64"/>
      <c r="I453" s="65"/>
      <c r="J453" s="65"/>
      <c r="K453" s="65"/>
      <c r="L453" s="65"/>
      <c r="M453" s="65"/>
      <c r="N453" s="65"/>
      <c r="O453" s="81">
        <f t="shared" si="18"/>
        <v>0</v>
      </c>
      <c r="P453" s="81">
        <f t="shared" si="19"/>
        <v>0</v>
      </c>
      <c r="Q453" s="65"/>
      <c r="R453" s="67"/>
      <c r="S453" s="83">
        <f t="shared" si="20"/>
        <v>0</v>
      </c>
    </row>
    <row r="454" spans="1:19" ht="18" customHeight="1" x14ac:dyDescent="0.25">
      <c r="A454" s="68"/>
      <c r="B454" s="69"/>
      <c r="C454" s="74"/>
      <c r="D454" s="69"/>
      <c r="E454" s="68"/>
      <c r="F454" s="71"/>
      <c r="G454" s="72"/>
      <c r="H454" s="73"/>
      <c r="I454" s="74"/>
      <c r="J454" s="74"/>
      <c r="K454" s="74"/>
      <c r="L454" s="74"/>
      <c r="M454" s="74"/>
      <c r="N454" s="74"/>
      <c r="O454" s="82" t="e">
        <f>#N/A</f>
        <v>#N/A</v>
      </c>
      <c r="P454" s="82" t="e">
        <f>#N/A</f>
        <v>#N/A</v>
      </c>
      <c r="Q454" s="74"/>
      <c r="R454" s="76"/>
      <c r="S454" s="84">
        <f t="shared" si="20"/>
        <v>0</v>
      </c>
    </row>
    <row r="455" spans="1:19" ht="18" customHeight="1" x14ac:dyDescent="0.25">
      <c r="A455" s="59"/>
      <c r="B455" s="60"/>
      <c r="C455" s="65"/>
      <c r="D455" s="60"/>
      <c r="E455" s="59"/>
      <c r="F455" s="62"/>
      <c r="G455" s="63"/>
      <c r="H455" s="64"/>
      <c r="I455" s="65"/>
      <c r="J455" s="65"/>
      <c r="K455" s="65"/>
      <c r="L455" s="65"/>
      <c r="M455" s="65"/>
      <c r="N455" s="65"/>
      <c r="O455" s="81">
        <f t="shared" ref="O455:O517" si="21">IF(G455="Reimbursement ","",I455+J455+K455+L455+M455)</f>
        <v>0</v>
      </c>
      <c r="P455" s="81">
        <f t="shared" ref="P455:P517" si="22">IF(G455="Reimbursement ","",H455-O455)</f>
        <v>0</v>
      </c>
      <c r="Q455" s="65"/>
      <c r="R455" s="67"/>
      <c r="S455" s="83">
        <f t="shared" ref="S455:S518" si="23">IF(OR(R455="",Q455=""),0,IF(R455&gt;Q455,R455-Q455,0))</f>
        <v>0</v>
      </c>
    </row>
    <row r="456" spans="1:19" ht="18" customHeight="1" x14ac:dyDescent="0.25">
      <c r="A456" s="68"/>
      <c r="B456" s="69"/>
      <c r="C456" s="74"/>
      <c r="D456" s="69"/>
      <c r="E456" s="68"/>
      <c r="F456" s="71"/>
      <c r="G456" s="72"/>
      <c r="H456" s="73"/>
      <c r="I456" s="74"/>
      <c r="J456" s="74"/>
      <c r="K456" s="74"/>
      <c r="L456" s="74"/>
      <c r="M456" s="74"/>
      <c r="N456" s="74"/>
      <c r="O456" s="82">
        <f t="shared" si="21"/>
        <v>0</v>
      </c>
      <c r="P456" s="82">
        <f t="shared" si="22"/>
        <v>0</v>
      </c>
      <c r="Q456" s="74"/>
      <c r="R456" s="76"/>
      <c r="S456" s="84">
        <f t="shared" si="23"/>
        <v>0</v>
      </c>
    </row>
    <row r="457" spans="1:19" ht="18" customHeight="1" x14ac:dyDescent="0.25">
      <c r="A457" s="59"/>
      <c r="B457" s="60"/>
      <c r="C457" s="65"/>
      <c r="D457" s="60"/>
      <c r="E457" s="59"/>
      <c r="F457" s="62"/>
      <c r="G457" s="63"/>
      <c r="H457" s="64"/>
      <c r="I457" s="65"/>
      <c r="J457" s="65"/>
      <c r="K457" s="65"/>
      <c r="L457" s="65"/>
      <c r="M457" s="65"/>
      <c r="N457" s="65"/>
      <c r="O457" s="81">
        <f t="shared" si="21"/>
        <v>0</v>
      </c>
      <c r="P457" s="81">
        <f t="shared" si="22"/>
        <v>0</v>
      </c>
      <c r="Q457" s="65"/>
      <c r="R457" s="67"/>
      <c r="S457" s="83">
        <f t="shared" si="23"/>
        <v>0</v>
      </c>
    </row>
    <row r="458" spans="1:19" ht="18" customHeight="1" x14ac:dyDescent="0.25">
      <c r="A458" s="68"/>
      <c r="B458" s="69"/>
      <c r="C458" s="74"/>
      <c r="D458" s="69"/>
      <c r="E458" s="68"/>
      <c r="F458" s="71"/>
      <c r="G458" s="72"/>
      <c r="H458" s="73"/>
      <c r="I458" s="74"/>
      <c r="J458" s="74"/>
      <c r="K458" s="74"/>
      <c r="L458" s="74"/>
      <c r="M458" s="74"/>
      <c r="N458" s="74"/>
      <c r="O458" s="82">
        <f t="shared" si="21"/>
        <v>0</v>
      </c>
      <c r="P458" s="82">
        <f t="shared" si="22"/>
        <v>0</v>
      </c>
      <c r="Q458" s="74"/>
      <c r="R458" s="76"/>
      <c r="S458" s="84">
        <f t="shared" si="23"/>
        <v>0</v>
      </c>
    </row>
    <row r="459" spans="1:19" ht="18" customHeight="1" x14ac:dyDescent="0.25">
      <c r="A459" s="59"/>
      <c r="B459" s="60"/>
      <c r="C459" s="65"/>
      <c r="D459" s="60"/>
      <c r="E459" s="59"/>
      <c r="F459" s="62"/>
      <c r="G459" s="63"/>
      <c r="H459" s="64"/>
      <c r="I459" s="65"/>
      <c r="J459" s="65"/>
      <c r="K459" s="65"/>
      <c r="L459" s="65"/>
      <c r="M459" s="65"/>
      <c r="N459" s="65"/>
      <c r="O459" s="81">
        <f t="shared" si="21"/>
        <v>0</v>
      </c>
      <c r="P459" s="81">
        <f t="shared" si="22"/>
        <v>0</v>
      </c>
      <c r="Q459" s="65"/>
      <c r="R459" s="67"/>
      <c r="S459" s="83">
        <f t="shared" si="23"/>
        <v>0</v>
      </c>
    </row>
    <row r="460" spans="1:19" ht="18" customHeight="1" x14ac:dyDescent="0.25">
      <c r="A460" s="68"/>
      <c r="B460" s="69"/>
      <c r="C460" s="74"/>
      <c r="D460" s="69"/>
      <c r="E460" s="68"/>
      <c r="F460" s="71"/>
      <c r="G460" s="72"/>
      <c r="H460" s="73"/>
      <c r="I460" s="74"/>
      <c r="J460" s="74"/>
      <c r="K460" s="74"/>
      <c r="L460" s="74"/>
      <c r="M460" s="74"/>
      <c r="N460" s="74"/>
      <c r="O460" s="82">
        <f t="shared" si="21"/>
        <v>0</v>
      </c>
      <c r="P460" s="82">
        <f t="shared" si="22"/>
        <v>0</v>
      </c>
      <c r="Q460" s="74"/>
      <c r="R460" s="76"/>
      <c r="S460" s="84">
        <f t="shared" si="23"/>
        <v>0</v>
      </c>
    </row>
    <row r="461" spans="1:19" ht="18" customHeight="1" x14ac:dyDescent="0.25">
      <c r="A461" s="59"/>
      <c r="B461" s="60"/>
      <c r="C461" s="65"/>
      <c r="D461" s="60"/>
      <c r="E461" s="59"/>
      <c r="F461" s="62"/>
      <c r="G461" s="63"/>
      <c r="H461" s="64"/>
      <c r="I461" s="65"/>
      <c r="J461" s="65"/>
      <c r="K461" s="65"/>
      <c r="L461" s="65"/>
      <c r="M461" s="65"/>
      <c r="N461" s="65"/>
      <c r="O461" s="81">
        <f t="shared" si="21"/>
        <v>0</v>
      </c>
      <c r="P461" s="81">
        <f t="shared" si="22"/>
        <v>0</v>
      </c>
      <c r="Q461" s="65"/>
      <c r="R461" s="67"/>
      <c r="S461" s="83">
        <f t="shared" si="23"/>
        <v>0</v>
      </c>
    </row>
    <row r="462" spans="1:19" ht="18" customHeight="1" x14ac:dyDescent="0.25">
      <c r="A462" s="68"/>
      <c r="B462" s="69"/>
      <c r="C462" s="74"/>
      <c r="D462" s="69"/>
      <c r="E462" s="68"/>
      <c r="F462" s="71"/>
      <c r="G462" s="72"/>
      <c r="H462" s="73"/>
      <c r="I462" s="74"/>
      <c r="J462" s="74"/>
      <c r="K462" s="74"/>
      <c r="L462" s="74"/>
      <c r="M462" s="74"/>
      <c r="N462" s="74"/>
      <c r="O462" s="82">
        <f t="shared" si="21"/>
        <v>0</v>
      </c>
      <c r="P462" s="82">
        <f t="shared" si="22"/>
        <v>0</v>
      </c>
      <c r="Q462" s="74"/>
      <c r="R462" s="76"/>
      <c r="S462" s="84">
        <f t="shared" si="23"/>
        <v>0</v>
      </c>
    </row>
    <row r="463" spans="1:19" ht="18" customHeight="1" x14ac:dyDescent="0.25">
      <c r="A463" s="59"/>
      <c r="B463" s="60"/>
      <c r="C463" s="65"/>
      <c r="D463" s="60"/>
      <c r="E463" s="59"/>
      <c r="F463" s="62"/>
      <c r="G463" s="63"/>
      <c r="H463" s="64"/>
      <c r="I463" s="65"/>
      <c r="J463" s="65"/>
      <c r="K463" s="65"/>
      <c r="L463" s="65"/>
      <c r="M463" s="65"/>
      <c r="N463" s="65"/>
      <c r="O463" s="81">
        <f t="shared" si="21"/>
        <v>0</v>
      </c>
      <c r="P463" s="81">
        <f t="shared" si="22"/>
        <v>0</v>
      </c>
      <c r="Q463" s="65"/>
      <c r="R463" s="67"/>
      <c r="S463" s="83">
        <f t="shared" si="23"/>
        <v>0</v>
      </c>
    </row>
    <row r="464" spans="1:19" ht="18" customHeight="1" x14ac:dyDescent="0.25">
      <c r="A464" s="68"/>
      <c r="B464" s="69"/>
      <c r="C464" s="74"/>
      <c r="D464" s="69"/>
      <c r="E464" s="68"/>
      <c r="F464" s="71"/>
      <c r="G464" s="72"/>
      <c r="H464" s="73"/>
      <c r="I464" s="74"/>
      <c r="J464" s="74"/>
      <c r="K464" s="74"/>
      <c r="L464" s="74"/>
      <c r="M464" s="74"/>
      <c r="N464" s="74"/>
      <c r="O464" s="82">
        <f t="shared" si="21"/>
        <v>0</v>
      </c>
      <c r="P464" s="82">
        <f t="shared" si="22"/>
        <v>0</v>
      </c>
      <c r="Q464" s="74"/>
      <c r="R464" s="76"/>
      <c r="S464" s="84">
        <f t="shared" si="23"/>
        <v>0</v>
      </c>
    </row>
    <row r="465" spans="1:19" ht="18" customHeight="1" x14ac:dyDescent="0.25">
      <c r="A465" s="59"/>
      <c r="B465" s="60"/>
      <c r="C465" s="65"/>
      <c r="D465" s="60"/>
      <c r="E465" s="59"/>
      <c r="F465" s="62"/>
      <c r="G465" s="63"/>
      <c r="H465" s="64"/>
      <c r="I465" s="65"/>
      <c r="J465" s="65"/>
      <c r="K465" s="65"/>
      <c r="L465" s="65"/>
      <c r="M465" s="65"/>
      <c r="N465" s="65"/>
      <c r="O465" s="81">
        <f t="shared" si="21"/>
        <v>0</v>
      </c>
      <c r="P465" s="81">
        <f t="shared" si="22"/>
        <v>0</v>
      </c>
      <c r="Q465" s="65"/>
      <c r="R465" s="67"/>
      <c r="S465" s="83">
        <f t="shared" si="23"/>
        <v>0</v>
      </c>
    </row>
    <row r="466" spans="1:19" ht="18" customHeight="1" x14ac:dyDescent="0.25">
      <c r="A466" s="68"/>
      <c r="B466" s="69"/>
      <c r="C466" s="74"/>
      <c r="D466" s="69"/>
      <c r="E466" s="68"/>
      <c r="F466" s="71"/>
      <c r="G466" s="72"/>
      <c r="H466" s="73"/>
      <c r="I466" s="74"/>
      <c r="J466" s="74"/>
      <c r="K466" s="74"/>
      <c r="L466" s="74"/>
      <c r="M466" s="74"/>
      <c r="N466" s="74"/>
      <c r="O466" s="82">
        <f t="shared" si="21"/>
        <v>0</v>
      </c>
      <c r="P466" s="82">
        <f t="shared" si="22"/>
        <v>0</v>
      </c>
      <c r="Q466" s="74"/>
      <c r="R466" s="76"/>
      <c r="S466" s="84">
        <f t="shared" si="23"/>
        <v>0</v>
      </c>
    </row>
    <row r="467" spans="1:19" ht="18" customHeight="1" x14ac:dyDescent="0.25">
      <c r="A467" s="59"/>
      <c r="B467" s="60"/>
      <c r="C467" s="65"/>
      <c r="D467" s="60"/>
      <c r="E467" s="59"/>
      <c r="F467" s="62"/>
      <c r="G467" s="63"/>
      <c r="H467" s="64"/>
      <c r="I467" s="65"/>
      <c r="J467" s="65"/>
      <c r="K467" s="65"/>
      <c r="L467" s="65"/>
      <c r="M467" s="65"/>
      <c r="N467" s="65"/>
      <c r="O467" s="81">
        <f t="shared" si="21"/>
        <v>0</v>
      </c>
      <c r="P467" s="81">
        <f t="shared" si="22"/>
        <v>0</v>
      </c>
      <c r="Q467" s="65"/>
      <c r="R467" s="67"/>
      <c r="S467" s="83">
        <f t="shared" si="23"/>
        <v>0</v>
      </c>
    </row>
    <row r="468" spans="1:19" ht="18" customHeight="1" x14ac:dyDescent="0.25">
      <c r="A468" s="68"/>
      <c r="B468" s="69"/>
      <c r="C468" s="74"/>
      <c r="D468" s="69"/>
      <c r="E468" s="68"/>
      <c r="F468" s="71"/>
      <c r="G468" s="72"/>
      <c r="H468" s="73"/>
      <c r="I468" s="74"/>
      <c r="J468" s="74"/>
      <c r="K468" s="74"/>
      <c r="L468" s="74"/>
      <c r="M468" s="74"/>
      <c r="N468" s="74"/>
      <c r="O468" s="82">
        <f t="shared" si="21"/>
        <v>0</v>
      </c>
      <c r="P468" s="82">
        <f t="shared" si="22"/>
        <v>0</v>
      </c>
      <c r="Q468" s="74"/>
      <c r="R468" s="76"/>
      <c r="S468" s="84">
        <f t="shared" si="23"/>
        <v>0</v>
      </c>
    </row>
    <row r="469" spans="1:19" ht="18" customHeight="1" x14ac:dyDescent="0.25">
      <c r="A469" s="59"/>
      <c r="B469" s="60"/>
      <c r="C469" s="65"/>
      <c r="D469" s="60"/>
      <c r="E469" s="59"/>
      <c r="F469" s="62"/>
      <c r="G469" s="63"/>
      <c r="H469" s="64"/>
      <c r="I469" s="65"/>
      <c r="J469" s="65"/>
      <c r="K469" s="65"/>
      <c r="L469" s="65"/>
      <c r="M469" s="65"/>
      <c r="N469" s="65"/>
      <c r="O469" s="81">
        <f t="shared" si="21"/>
        <v>0</v>
      </c>
      <c r="P469" s="81">
        <f t="shared" si="22"/>
        <v>0</v>
      </c>
      <c r="Q469" s="65"/>
      <c r="R469" s="67"/>
      <c r="S469" s="83">
        <f t="shared" si="23"/>
        <v>0</v>
      </c>
    </row>
    <row r="470" spans="1:19" ht="18" customHeight="1" x14ac:dyDescent="0.25">
      <c r="A470" s="68"/>
      <c r="B470" s="69"/>
      <c r="C470" s="74"/>
      <c r="D470" s="69"/>
      <c r="E470" s="68"/>
      <c r="F470" s="71"/>
      <c r="G470" s="72"/>
      <c r="H470" s="73"/>
      <c r="I470" s="74"/>
      <c r="J470" s="74"/>
      <c r="K470" s="74"/>
      <c r="L470" s="74"/>
      <c r="M470" s="74"/>
      <c r="N470" s="74"/>
      <c r="O470" s="82">
        <f t="shared" si="21"/>
        <v>0</v>
      </c>
      <c r="P470" s="82">
        <f t="shared" si="22"/>
        <v>0</v>
      </c>
      <c r="Q470" s="74"/>
      <c r="R470" s="76"/>
      <c r="S470" s="84">
        <f t="shared" si="23"/>
        <v>0</v>
      </c>
    </row>
    <row r="471" spans="1:19" ht="18" customHeight="1" x14ac:dyDescent="0.25">
      <c r="A471" s="59"/>
      <c r="B471" s="60"/>
      <c r="C471" s="65"/>
      <c r="D471" s="60"/>
      <c r="E471" s="59"/>
      <c r="F471" s="62"/>
      <c r="G471" s="63"/>
      <c r="H471" s="64"/>
      <c r="I471" s="65"/>
      <c r="J471" s="65"/>
      <c r="K471" s="65"/>
      <c r="L471" s="65"/>
      <c r="M471" s="65"/>
      <c r="N471" s="65"/>
      <c r="O471" s="81">
        <f t="shared" si="21"/>
        <v>0</v>
      </c>
      <c r="P471" s="81">
        <f t="shared" si="22"/>
        <v>0</v>
      </c>
      <c r="Q471" s="65"/>
      <c r="R471" s="67"/>
      <c r="S471" s="83">
        <f t="shared" si="23"/>
        <v>0</v>
      </c>
    </row>
    <row r="472" spans="1:19" ht="18" customHeight="1" x14ac:dyDescent="0.25">
      <c r="A472" s="68"/>
      <c r="B472" s="69"/>
      <c r="C472" s="74"/>
      <c r="D472" s="69"/>
      <c r="E472" s="68"/>
      <c r="F472" s="71"/>
      <c r="G472" s="72"/>
      <c r="H472" s="73"/>
      <c r="I472" s="74"/>
      <c r="J472" s="74"/>
      <c r="K472" s="74"/>
      <c r="L472" s="74"/>
      <c r="M472" s="74"/>
      <c r="N472" s="74"/>
      <c r="O472" s="82">
        <f t="shared" si="21"/>
        <v>0</v>
      </c>
      <c r="P472" s="82">
        <f t="shared" si="22"/>
        <v>0</v>
      </c>
      <c r="Q472" s="74"/>
      <c r="R472" s="76"/>
      <c r="S472" s="84">
        <f t="shared" si="23"/>
        <v>0</v>
      </c>
    </row>
    <row r="473" spans="1:19" ht="18" customHeight="1" x14ac:dyDescent="0.25">
      <c r="A473" s="59"/>
      <c r="B473" s="60"/>
      <c r="C473" s="65"/>
      <c r="D473" s="60"/>
      <c r="E473" s="59"/>
      <c r="F473" s="62"/>
      <c r="G473" s="63"/>
      <c r="H473" s="64"/>
      <c r="I473" s="65"/>
      <c r="J473" s="65"/>
      <c r="K473" s="65"/>
      <c r="L473" s="65"/>
      <c r="M473" s="65"/>
      <c r="N473" s="65"/>
      <c r="O473" s="81">
        <f t="shared" si="21"/>
        <v>0</v>
      </c>
      <c r="P473" s="81">
        <f t="shared" si="22"/>
        <v>0</v>
      </c>
      <c r="Q473" s="65"/>
      <c r="R473" s="67"/>
      <c r="S473" s="83">
        <f t="shared" si="23"/>
        <v>0</v>
      </c>
    </row>
    <row r="474" spans="1:19" ht="18" customHeight="1" x14ac:dyDescent="0.25">
      <c r="A474" s="68"/>
      <c r="B474" s="69"/>
      <c r="C474" s="74"/>
      <c r="D474" s="69"/>
      <c r="E474" s="68"/>
      <c r="F474" s="71"/>
      <c r="G474" s="72"/>
      <c r="H474" s="73"/>
      <c r="I474" s="74"/>
      <c r="J474" s="74"/>
      <c r="K474" s="74"/>
      <c r="L474" s="74"/>
      <c r="M474" s="74"/>
      <c r="N474" s="74"/>
      <c r="O474" s="82">
        <f t="shared" si="21"/>
        <v>0</v>
      </c>
      <c r="P474" s="82">
        <f t="shared" si="22"/>
        <v>0</v>
      </c>
      <c r="Q474" s="74"/>
      <c r="R474" s="76"/>
      <c r="S474" s="84">
        <f t="shared" si="23"/>
        <v>0</v>
      </c>
    </row>
    <row r="475" spans="1:19" ht="18" customHeight="1" x14ac:dyDescent="0.25">
      <c r="A475" s="59"/>
      <c r="B475" s="60"/>
      <c r="C475" s="65"/>
      <c r="D475" s="60"/>
      <c r="E475" s="59"/>
      <c r="F475" s="62"/>
      <c r="G475" s="63"/>
      <c r="H475" s="64"/>
      <c r="I475" s="65"/>
      <c r="J475" s="65"/>
      <c r="K475" s="65"/>
      <c r="L475" s="65"/>
      <c r="M475" s="65"/>
      <c r="N475" s="65"/>
      <c r="O475" s="81">
        <f t="shared" si="21"/>
        <v>0</v>
      </c>
      <c r="P475" s="81">
        <f t="shared" si="22"/>
        <v>0</v>
      </c>
      <c r="Q475" s="65"/>
      <c r="R475" s="67"/>
      <c r="S475" s="83">
        <f t="shared" si="23"/>
        <v>0</v>
      </c>
    </row>
    <row r="476" spans="1:19" ht="18" customHeight="1" x14ac:dyDescent="0.25">
      <c r="A476" s="68"/>
      <c r="B476" s="69"/>
      <c r="C476" s="74"/>
      <c r="D476" s="69"/>
      <c r="E476" s="68"/>
      <c r="F476" s="71"/>
      <c r="G476" s="72"/>
      <c r="H476" s="73"/>
      <c r="I476" s="74"/>
      <c r="J476" s="74"/>
      <c r="K476" s="74"/>
      <c r="L476" s="74"/>
      <c r="M476" s="74"/>
      <c r="N476" s="74"/>
      <c r="O476" s="82">
        <f t="shared" si="21"/>
        <v>0</v>
      </c>
      <c r="P476" s="82">
        <f t="shared" si="22"/>
        <v>0</v>
      </c>
      <c r="Q476" s="74"/>
      <c r="R476" s="76"/>
      <c r="S476" s="84">
        <f t="shared" si="23"/>
        <v>0</v>
      </c>
    </row>
    <row r="477" spans="1:19" ht="18" customHeight="1" x14ac:dyDescent="0.25">
      <c r="A477" s="59"/>
      <c r="B477" s="60"/>
      <c r="C477" s="65"/>
      <c r="D477" s="60"/>
      <c r="E477" s="59"/>
      <c r="F477" s="62"/>
      <c r="G477" s="63"/>
      <c r="H477" s="64"/>
      <c r="I477" s="65"/>
      <c r="J477" s="65"/>
      <c r="K477" s="65"/>
      <c r="L477" s="65"/>
      <c r="M477" s="65"/>
      <c r="N477" s="65"/>
      <c r="O477" s="81">
        <f t="shared" si="21"/>
        <v>0</v>
      </c>
      <c r="P477" s="81">
        <f t="shared" si="22"/>
        <v>0</v>
      </c>
      <c r="Q477" s="65"/>
      <c r="R477" s="67"/>
      <c r="S477" s="83">
        <f t="shared" si="23"/>
        <v>0</v>
      </c>
    </row>
    <row r="478" spans="1:19" ht="18" customHeight="1" x14ac:dyDescent="0.25">
      <c r="A478" s="68"/>
      <c r="B478" s="69"/>
      <c r="C478" s="74"/>
      <c r="D478" s="69"/>
      <c r="E478" s="68"/>
      <c r="F478" s="71"/>
      <c r="G478" s="72"/>
      <c r="H478" s="73"/>
      <c r="I478" s="74"/>
      <c r="J478" s="74"/>
      <c r="K478" s="74"/>
      <c r="L478" s="74"/>
      <c r="M478" s="74"/>
      <c r="N478" s="74"/>
      <c r="O478" s="82">
        <f t="shared" si="21"/>
        <v>0</v>
      </c>
      <c r="P478" s="82">
        <f t="shared" si="22"/>
        <v>0</v>
      </c>
      <c r="Q478" s="74"/>
      <c r="R478" s="76"/>
      <c r="S478" s="84">
        <f t="shared" si="23"/>
        <v>0</v>
      </c>
    </row>
    <row r="479" spans="1:19" ht="18" customHeight="1" x14ac:dyDescent="0.25">
      <c r="A479" s="59"/>
      <c r="B479" s="60"/>
      <c r="C479" s="65"/>
      <c r="D479" s="60"/>
      <c r="E479" s="59"/>
      <c r="F479" s="62"/>
      <c r="G479" s="63"/>
      <c r="H479" s="64"/>
      <c r="I479" s="65"/>
      <c r="J479" s="65"/>
      <c r="K479" s="65"/>
      <c r="L479" s="65"/>
      <c r="M479" s="65"/>
      <c r="N479" s="65"/>
      <c r="O479" s="81">
        <f t="shared" si="21"/>
        <v>0</v>
      </c>
      <c r="P479" s="81">
        <f t="shared" si="22"/>
        <v>0</v>
      </c>
      <c r="Q479" s="65"/>
      <c r="R479" s="67"/>
      <c r="S479" s="83">
        <f t="shared" si="23"/>
        <v>0</v>
      </c>
    </row>
    <row r="480" spans="1:19" ht="18" customHeight="1" x14ac:dyDescent="0.25">
      <c r="A480" s="68"/>
      <c r="B480" s="69"/>
      <c r="C480" s="74"/>
      <c r="D480" s="69"/>
      <c r="E480" s="68"/>
      <c r="F480" s="71"/>
      <c r="G480" s="72"/>
      <c r="H480" s="73"/>
      <c r="I480" s="74"/>
      <c r="J480" s="74"/>
      <c r="K480" s="74"/>
      <c r="L480" s="74"/>
      <c r="M480" s="74"/>
      <c r="N480" s="74"/>
      <c r="O480" s="82">
        <f t="shared" si="21"/>
        <v>0</v>
      </c>
      <c r="P480" s="82">
        <f t="shared" si="22"/>
        <v>0</v>
      </c>
      <c r="Q480" s="74"/>
      <c r="R480" s="76"/>
      <c r="S480" s="84">
        <f t="shared" si="23"/>
        <v>0</v>
      </c>
    </row>
    <row r="481" spans="1:19" ht="18" customHeight="1" x14ac:dyDescent="0.25">
      <c r="A481" s="59"/>
      <c r="B481" s="60"/>
      <c r="C481" s="65"/>
      <c r="D481" s="60"/>
      <c r="E481" s="59"/>
      <c r="F481" s="62"/>
      <c r="G481" s="63"/>
      <c r="H481" s="64"/>
      <c r="I481" s="65"/>
      <c r="J481" s="65"/>
      <c r="K481" s="65"/>
      <c r="L481" s="65"/>
      <c r="M481" s="65"/>
      <c r="N481" s="65"/>
      <c r="O481" s="81">
        <f t="shared" si="21"/>
        <v>0</v>
      </c>
      <c r="P481" s="81">
        <f t="shared" si="22"/>
        <v>0</v>
      </c>
      <c r="Q481" s="65"/>
      <c r="R481" s="67"/>
      <c r="S481" s="83">
        <f t="shared" si="23"/>
        <v>0</v>
      </c>
    </row>
    <row r="482" spans="1:19" ht="18" customHeight="1" x14ac:dyDescent="0.25">
      <c r="A482" s="68"/>
      <c r="B482" s="69"/>
      <c r="C482" s="74"/>
      <c r="D482" s="69"/>
      <c r="E482" s="68"/>
      <c r="F482" s="71"/>
      <c r="G482" s="72"/>
      <c r="H482" s="73"/>
      <c r="I482" s="74"/>
      <c r="J482" s="74"/>
      <c r="K482" s="74"/>
      <c r="L482" s="74"/>
      <c r="M482" s="74"/>
      <c r="N482" s="74"/>
      <c r="O482" s="82">
        <f t="shared" si="21"/>
        <v>0</v>
      </c>
      <c r="P482" s="82">
        <f t="shared" si="22"/>
        <v>0</v>
      </c>
      <c r="Q482" s="74"/>
      <c r="R482" s="76"/>
      <c r="S482" s="84">
        <f t="shared" si="23"/>
        <v>0</v>
      </c>
    </row>
    <row r="483" spans="1:19" ht="18" customHeight="1" x14ac:dyDescent="0.25">
      <c r="A483" s="59"/>
      <c r="B483" s="60"/>
      <c r="C483" s="65"/>
      <c r="D483" s="60"/>
      <c r="E483" s="59"/>
      <c r="F483" s="62"/>
      <c r="G483" s="63"/>
      <c r="H483" s="64"/>
      <c r="I483" s="65"/>
      <c r="J483" s="65"/>
      <c r="K483" s="65"/>
      <c r="L483" s="65"/>
      <c r="M483" s="65"/>
      <c r="N483" s="65"/>
      <c r="O483" s="81">
        <f t="shared" si="21"/>
        <v>0</v>
      </c>
      <c r="P483" s="81">
        <f t="shared" si="22"/>
        <v>0</v>
      </c>
      <c r="Q483" s="65"/>
      <c r="R483" s="67"/>
      <c r="S483" s="83">
        <f t="shared" si="23"/>
        <v>0</v>
      </c>
    </row>
    <row r="484" spans="1:19" ht="18" customHeight="1" x14ac:dyDescent="0.25">
      <c r="A484" s="68"/>
      <c r="B484" s="69"/>
      <c r="C484" s="74"/>
      <c r="D484" s="69"/>
      <c r="E484" s="68"/>
      <c r="F484" s="71"/>
      <c r="G484" s="72"/>
      <c r="H484" s="73"/>
      <c r="I484" s="74"/>
      <c r="J484" s="74"/>
      <c r="K484" s="74"/>
      <c r="L484" s="74"/>
      <c r="M484" s="74"/>
      <c r="N484" s="74"/>
      <c r="O484" s="82">
        <f t="shared" si="21"/>
        <v>0</v>
      </c>
      <c r="P484" s="82">
        <f t="shared" si="22"/>
        <v>0</v>
      </c>
      <c r="Q484" s="74"/>
      <c r="R484" s="76"/>
      <c r="S484" s="84">
        <f t="shared" si="23"/>
        <v>0</v>
      </c>
    </row>
    <row r="485" spans="1:19" ht="18" customHeight="1" x14ac:dyDescent="0.25">
      <c r="A485" s="59"/>
      <c r="B485" s="60"/>
      <c r="C485" s="65"/>
      <c r="D485" s="60"/>
      <c r="E485" s="59"/>
      <c r="F485" s="62"/>
      <c r="G485" s="63"/>
      <c r="H485" s="64"/>
      <c r="I485" s="65"/>
      <c r="J485" s="65"/>
      <c r="K485" s="65"/>
      <c r="L485" s="65"/>
      <c r="M485" s="65"/>
      <c r="N485" s="65"/>
      <c r="O485" s="81">
        <f t="shared" si="21"/>
        <v>0</v>
      </c>
      <c r="P485" s="81">
        <f t="shared" si="22"/>
        <v>0</v>
      </c>
      <c r="Q485" s="65"/>
      <c r="R485" s="67"/>
      <c r="S485" s="83">
        <f t="shared" si="23"/>
        <v>0</v>
      </c>
    </row>
    <row r="486" spans="1:19" ht="18" customHeight="1" x14ac:dyDescent="0.25">
      <c r="A486" s="68"/>
      <c r="B486" s="69"/>
      <c r="C486" s="74"/>
      <c r="D486" s="69"/>
      <c r="E486" s="68"/>
      <c r="F486" s="71"/>
      <c r="G486" s="72"/>
      <c r="H486" s="73"/>
      <c r="I486" s="74"/>
      <c r="J486" s="74"/>
      <c r="K486" s="74"/>
      <c r="L486" s="74"/>
      <c r="M486" s="74"/>
      <c r="N486" s="74"/>
      <c r="O486" s="82">
        <f t="shared" si="21"/>
        <v>0</v>
      </c>
      <c r="P486" s="82">
        <f t="shared" si="22"/>
        <v>0</v>
      </c>
      <c r="Q486" s="74"/>
      <c r="R486" s="76"/>
      <c r="S486" s="84">
        <f t="shared" si="23"/>
        <v>0</v>
      </c>
    </row>
    <row r="487" spans="1:19" ht="18" customHeight="1" x14ac:dyDescent="0.25">
      <c r="A487" s="59"/>
      <c r="B487" s="60"/>
      <c r="C487" s="65"/>
      <c r="D487" s="60"/>
      <c r="E487" s="59"/>
      <c r="F487" s="62"/>
      <c r="G487" s="63"/>
      <c r="H487" s="64"/>
      <c r="I487" s="65"/>
      <c r="J487" s="65"/>
      <c r="K487" s="65"/>
      <c r="L487" s="65"/>
      <c r="M487" s="65"/>
      <c r="N487" s="65"/>
      <c r="O487" s="81">
        <f t="shared" si="21"/>
        <v>0</v>
      </c>
      <c r="P487" s="81">
        <f t="shared" si="22"/>
        <v>0</v>
      </c>
      <c r="Q487" s="65"/>
      <c r="R487" s="67"/>
      <c r="S487" s="83">
        <f t="shared" si="23"/>
        <v>0</v>
      </c>
    </row>
    <row r="488" spans="1:19" ht="18" customHeight="1" x14ac:dyDescent="0.25">
      <c r="A488" s="68"/>
      <c r="B488" s="69"/>
      <c r="C488" s="74"/>
      <c r="D488" s="69"/>
      <c r="E488" s="68"/>
      <c r="F488" s="71"/>
      <c r="G488" s="72"/>
      <c r="H488" s="73"/>
      <c r="I488" s="74"/>
      <c r="J488" s="74"/>
      <c r="K488" s="74"/>
      <c r="L488" s="74"/>
      <c r="M488" s="74"/>
      <c r="N488" s="74"/>
      <c r="O488" s="82">
        <f t="shared" si="21"/>
        <v>0</v>
      </c>
      <c r="P488" s="82">
        <f t="shared" si="22"/>
        <v>0</v>
      </c>
      <c r="Q488" s="74"/>
      <c r="R488" s="76"/>
      <c r="S488" s="84">
        <f t="shared" si="23"/>
        <v>0</v>
      </c>
    </row>
    <row r="489" spans="1:19" ht="18" customHeight="1" x14ac:dyDescent="0.25">
      <c r="A489" s="59"/>
      <c r="B489" s="60"/>
      <c r="C489" s="65"/>
      <c r="D489" s="60"/>
      <c r="E489" s="59"/>
      <c r="F489" s="62"/>
      <c r="G489" s="63"/>
      <c r="H489" s="64"/>
      <c r="I489" s="65"/>
      <c r="J489" s="65"/>
      <c r="K489" s="65"/>
      <c r="L489" s="65"/>
      <c r="M489" s="65"/>
      <c r="N489" s="65"/>
      <c r="O489" s="81">
        <f t="shared" si="21"/>
        <v>0</v>
      </c>
      <c r="P489" s="81">
        <f t="shared" si="22"/>
        <v>0</v>
      </c>
      <c r="Q489" s="65"/>
      <c r="R489" s="67"/>
      <c r="S489" s="83">
        <f t="shared" si="23"/>
        <v>0</v>
      </c>
    </row>
    <row r="490" spans="1:19" ht="18" customHeight="1" x14ac:dyDescent="0.25">
      <c r="A490" s="68"/>
      <c r="B490" s="69"/>
      <c r="C490" s="74"/>
      <c r="D490" s="69"/>
      <c r="E490" s="68"/>
      <c r="F490" s="71"/>
      <c r="G490" s="72"/>
      <c r="H490" s="73"/>
      <c r="I490" s="74"/>
      <c r="J490" s="74"/>
      <c r="K490" s="74"/>
      <c r="L490" s="74"/>
      <c r="M490" s="74"/>
      <c r="N490" s="74"/>
      <c r="O490" s="82">
        <f t="shared" si="21"/>
        <v>0</v>
      </c>
      <c r="P490" s="82">
        <f t="shared" si="22"/>
        <v>0</v>
      </c>
      <c r="Q490" s="74"/>
      <c r="R490" s="76"/>
      <c r="S490" s="84">
        <f t="shared" si="23"/>
        <v>0</v>
      </c>
    </row>
    <row r="491" spans="1:19" ht="18" customHeight="1" x14ac:dyDescent="0.25">
      <c r="A491" s="59"/>
      <c r="B491" s="60"/>
      <c r="C491" s="65"/>
      <c r="D491" s="60"/>
      <c r="E491" s="59"/>
      <c r="F491" s="62"/>
      <c r="G491" s="63"/>
      <c r="H491" s="64"/>
      <c r="I491" s="65"/>
      <c r="J491" s="65"/>
      <c r="K491" s="65"/>
      <c r="L491" s="65"/>
      <c r="M491" s="65"/>
      <c r="N491" s="65"/>
      <c r="O491" s="81">
        <f t="shared" si="21"/>
        <v>0</v>
      </c>
      <c r="P491" s="81">
        <f t="shared" si="22"/>
        <v>0</v>
      </c>
      <c r="Q491" s="65"/>
      <c r="R491" s="67"/>
      <c r="S491" s="83">
        <f t="shared" si="23"/>
        <v>0</v>
      </c>
    </row>
    <row r="492" spans="1:19" ht="18" customHeight="1" x14ac:dyDescent="0.25">
      <c r="A492" s="68"/>
      <c r="B492" s="69"/>
      <c r="C492" s="74"/>
      <c r="D492" s="69"/>
      <c r="E492" s="68"/>
      <c r="F492" s="71"/>
      <c r="G492" s="72"/>
      <c r="H492" s="73"/>
      <c r="I492" s="74"/>
      <c r="J492" s="74"/>
      <c r="K492" s="74"/>
      <c r="L492" s="74"/>
      <c r="M492" s="74"/>
      <c r="N492" s="74"/>
      <c r="O492" s="82">
        <f t="shared" si="21"/>
        <v>0</v>
      </c>
      <c r="P492" s="82">
        <f t="shared" si="22"/>
        <v>0</v>
      </c>
      <c r="Q492" s="74"/>
      <c r="R492" s="76"/>
      <c r="S492" s="84">
        <f t="shared" si="23"/>
        <v>0</v>
      </c>
    </row>
    <row r="493" spans="1:19" ht="18" customHeight="1" x14ac:dyDescent="0.25">
      <c r="A493" s="59"/>
      <c r="B493" s="60"/>
      <c r="C493" s="65"/>
      <c r="D493" s="60"/>
      <c r="E493" s="59"/>
      <c r="F493" s="62"/>
      <c r="G493" s="63"/>
      <c r="H493" s="64"/>
      <c r="I493" s="65"/>
      <c r="J493" s="65"/>
      <c r="K493" s="65"/>
      <c r="L493" s="65"/>
      <c r="M493" s="65"/>
      <c r="N493" s="65"/>
      <c r="O493" s="81">
        <f t="shared" si="21"/>
        <v>0</v>
      </c>
      <c r="P493" s="81">
        <f t="shared" si="22"/>
        <v>0</v>
      </c>
      <c r="Q493" s="65"/>
      <c r="R493" s="67"/>
      <c r="S493" s="83">
        <f t="shared" si="23"/>
        <v>0</v>
      </c>
    </row>
    <row r="494" spans="1:19" ht="18" customHeight="1" x14ac:dyDescent="0.25">
      <c r="A494" s="68"/>
      <c r="B494" s="69"/>
      <c r="C494" s="74"/>
      <c r="D494" s="69"/>
      <c r="E494" s="68"/>
      <c r="F494" s="71"/>
      <c r="G494" s="72"/>
      <c r="H494" s="73"/>
      <c r="I494" s="74"/>
      <c r="J494" s="74"/>
      <c r="K494" s="74"/>
      <c r="L494" s="74"/>
      <c r="M494" s="74"/>
      <c r="N494" s="74"/>
      <c r="O494" s="82">
        <f t="shared" si="21"/>
        <v>0</v>
      </c>
      <c r="P494" s="82">
        <f t="shared" si="22"/>
        <v>0</v>
      </c>
      <c r="Q494" s="74"/>
      <c r="R494" s="76"/>
      <c r="S494" s="84">
        <f t="shared" si="23"/>
        <v>0</v>
      </c>
    </row>
    <row r="495" spans="1:19" ht="18" customHeight="1" x14ac:dyDescent="0.25">
      <c r="A495" s="59"/>
      <c r="B495" s="60"/>
      <c r="C495" s="65"/>
      <c r="D495" s="60"/>
      <c r="E495" s="59"/>
      <c r="F495" s="62"/>
      <c r="G495" s="63"/>
      <c r="H495" s="64"/>
      <c r="I495" s="65"/>
      <c r="J495" s="65"/>
      <c r="K495" s="65"/>
      <c r="L495" s="65"/>
      <c r="M495" s="65"/>
      <c r="N495" s="65"/>
      <c r="O495" s="81">
        <f t="shared" si="21"/>
        <v>0</v>
      </c>
      <c r="P495" s="81">
        <f t="shared" si="22"/>
        <v>0</v>
      </c>
      <c r="Q495" s="65"/>
      <c r="R495" s="67"/>
      <c r="S495" s="83">
        <f t="shared" si="23"/>
        <v>0</v>
      </c>
    </row>
    <row r="496" spans="1:19" ht="18" customHeight="1" x14ac:dyDescent="0.25">
      <c r="A496" s="68"/>
      <c r="B496" s="69"/>
      <c r="C496" s="74"/>
      <c r="D496" s="69"/>
      <c r="E496" s="68"/>
      <c r="F496" s="71"/>
      <c r="G496" s="72"/>
      <c r="H496" s="73"/>
      <c r="I496" s="74"/>
      <c r="J496" s="74"/>
      <c r="K496" s="74"/>
      <c r="L496" s="74"/>
      <c r="M496" s="74"/>
      <c r="N496" s="74"/>
      <c r="O496" s="82">
        <f t="shared" si="21"/>
        <v>0</v>
      </c>
      <c r="P496" s="82">
        <f t="shared" si="22"/>
        <v>0</v>
      </c>
      <c r="Q496" s="74"/>
      <c r="R496" s="76"/>
      <c r="S496" s="84">
        <f t="shared" si="23"/>
        <v>0</v>
      </c>
    </row>
    <row r="497" spans="1:19" ht="18" customHeight="1" x14ac:dyDescent="0.25">
      <c r="A497" s="59"/>
      <c r="B497" s="60"/>
      <c r="C497" s="65"/>
      <c r="D497" s="60"/>
      <c r="E497" s="59"/>
      <c r="F497" s="62"/>
      <c r="G497" s="63"/>
      <c r="H497" s="64"/>
      <c r="I497" s="65"/>
      <c r="J497" s="65"/>
      <c r="K497" s="65"/>
      <c r="L497" s="65"/>
      <c r="M497" s="65"/>
      <c r="N497" s="65"/>
      <c r="O497" s="81">
        <f t="shared" si="21"/>
        <v>0</v>
      </c>
      <c r="P497" s="81">
        <f t="shared" si="22"/>
        <v>0</v>
      </c>
      <c r="Q497" s="65"/>
      <c r="R497" s="67"/>
      <c r="S497" s="83">
        <f t="shared" si="23"/>
        <v>0</v>
      </c>
    </row>
    <row r="498" spans="1:19" ht="18" customHeight="1" x14ac:dyDescent="0.25">
      <c r="A498" s="68"/>
      <c r="B498" s="69"/>
      <c r="C498" s="74"/>
      <c r="D498" s="69"/>
      <c r="E498" s="68"/>
      <c r="F498" s="71"/>
      <c r="G498" s="72"/>
      <c r="H498" s="73"/>
      <c r="I498" s="74"/>
      <c r="J498" s="74"/>
      <c r="K498" s="74"/>
      <c r="L498" s="74"/>
      <c r="M498" s="74"/>
      <c r="N498" s="74"/>
      <c r="O498" s="82">
        <f t="shared" si="21"/>
        <v>0</v>
      </c>
      <c r="P498" s="82">
        <f t="shared" si="22"/>
        <v>0</v>
      </c>
      <c r="Q498" s="74"/>
      <c r="R498" s="76"/>
      <c r="S498" s="84">
        <f t="shared" si="23"/>
        <v>0</v>
      </c>
    </row>
    <row r="499" spans="1:19" ht="18" customHeight="1" x14ac:dyDescent="0.25">
      <c r="A499" s="59"/>
      <c r="B499" s="60"/>
      <c r="C499" s="65"/>
      <c r="D499" s="60"/>
      <c r="E499" s="59"/>
      <c r="F499" s="62"/>
      <c r="G499" s="63"/>
      <c r="H499" s="64"/>
      <c r="I499" s="65"/>
      <c r="J499" s="65"/>
      <c r="K499" s="65"/>
      <c r="L499" s="65"/>
      <c r="M499" s="65"/>
      <c r="N499" s="65"/>
      <c r="O499" s="81">
        <f t="shared" si="21"/>
        <v>0</v>
      </c>
      <c r="P499" s="81">
        <f t="shared" si="22"/>
        <v>0</v>
      </c>
      <c r="Q499" s="65"/>
      <c r="R499" s="67"/>
      <c r="S499" s="83">
        <f t="shared" si="23"/>
        <v>0</v>
      </c>
    </row>
    <row r="500" spans="1:19" ht="18" customHeight="1" x14ac:dyDescent="0.25">
      <c r="A500" s="68"/>
      <c r="B500" s="69"/>
      <c r="C500" s="74"/>
      <c r="D500" s="69"/>
      <c r="E500" s="68"/>
      <c r="F500" s="71"/>
      <c r="G500" s="72"/>
      <c r="H500" s="73"/>
      <c r="I500" s="74"/>
      <c r="J500" s="74"/>
      <c r="K500" s="74"/>
      <c r="L500" s="74"/>
      <c r="M500" s="74"/>
      <c r="N500" s="74"/>
      <c r="O500" s="82">
        <f t="shared" si="21"/>
        <v>0</v>
      </c>
      <c r="P500" s="82">
        <f t="shared" si="22"/>
        <v>0</v>
      </c>
      <c r="Q500" s="74"/>
      <c r="R500" s="76"/>
      <c r="S500" s="84">
        <f t="shared" si="23"/>
        <v>0</v>
      </c>
    </row>
    <row r="501" spans="1:19" ht="18" customHeight="1" x14ac:dyDescent="0.25">
      <c r="A501" s="59"/>
      <c r="B501" s="60"/>
      <c r="C501" s="65"/>
      <c r="D501" s="60"/>
      <c r="E501" s="59"/>
      <c r="F501" s="62"/>
      <c r="G501" s="63"/>
      <c r="H501" s="64"/>
      <c r="I501" s="65"/>
      <c r="J501" s="65"/>
      <c r="K501" s="65"/>
      <c r="L501" s="65"/>
      <c r="M501" s="65"/>
      <c r="N501" s="65"/>
      <c r="O501" s="81">
        <f t="shared" si="21"/>
        <v>0</v>
      </c>
      <c r="P501" s="81">
        <f t="shared" si="22"/>
        <v>0</v>
      </c>
      <c r="Q501" s="65"/>
      <c r="R501" s="67"/>
      <c r="S501" s="83">
        <f t="shared" si="23"/>
        <v>0</v>
      </c>
    </row>
    <row r="502" spans="1:19" ht="18" customHeight="1" x14ac:dyDescent="0.25">
      <c r="A502" s="68"/>
      <c r="B502" s="69"/>
      <c r="C502" s="74"/>
      <c r="D502" s="69"/>
      <c r="E502" s="68"/>
      <c r="F502" s="71"/>
      <c r="G502" s="72"/>
      <c r="H502" s="73"/>
      <c r="I502" s="74"/>
      <c r="J502" s="74"/>
      <c r="K502" s="74"/>
      <c r="L502" s="74"/>
      <c r="M502" s="74"/>
      <c r="N502" s="74"/>
      <c r="O502" s="82">
        <f t="shared" si="21"/>
        <v>0</v>
      </c>
      <c r="P502" s="82">
        <f t="shared" si="22"/>
        <v>0</v>
      </c>
      <c r="Q502" s="74"/>
      <c r="R502" s="76"/>
      <c r="S502" s="84">
        <f t="shared" si="23"/>
        <v>0</v>
      </c>
    </row>
    <row r="503" spans="1:19" ht="18" customHeight="1" x14ac:dyDescent="0.25">
      <c r="A503" s="59"/>
      <c r="B503" s="60"/>
      <c r="C503" s="65"/>
      <c r="D503" s="60"/>
      <c r="E503" s="59"/>
      <c r="F503" s="62"/>
      <c r="G503" s="63"/>
      <c r="H503" s="64"/>
      <c r="I503" s="65"/>
      <c r="J503" s="65"/>
      <c r="K503" s="65"/>
      <c r="L503" s="65"/>
      <c r="M503" s="65"/>
      <c r="N503" s="65"/>
      <c r="O503" s="81">
        <f t="shared" si="21"/>
        <v>0</v>
      </c>
      <c r="P503" s="81">
        <f t="shared" si="22"/>
        <v>0</v>
      </c>
      <c r="Q503" s="65"/>
      <c r="R503" s="67"/>
      <c r="S503" s="83">
        <f t="shared" si="23"/>
        <v>0</v>
      </c>
    </row>
    <row r="504" spans="1:19" ht="18" customHeight="1" x14ac:dyDescent="0.25">
      <c r="A504" s="68"/>
      <c r="B504" s="69"/>
      <c r="C504" s="74"/>
      <c r="D504" s="69"/>
      <c r="E504" s="68"/>
      <c r="F504" s="71"/>
      <c r="G504" s="72"/>
      <c r="H504" s="73"/>
      <c r="I504" s="74"/>
      <c r="J504" s="74"/>
      <c r="K504" s="74"/>
      <c r="L504" s="74"/>
      <c r="M504" s="74"/>
      <c r="N504" s="74"/>
      <c r="O504" s="82">
        <f t="shared" si="21"/>
        <v>0</v>
      </c>
      <c r="P504" s="82">
        <f t="shared" si="22"/>
        <v>0</v>
      </c>
      <c r="Q504" s="74"/>
      <c r="R504" s="76"/>
      <c r="S504" s="84">
        <f t="shared" si="23"/>
        <v>0</v>
      </c>
    </row>
    <row r="505" spans="1:19" ht="18" customHeight="1" x14ac:dyDescent="0.25">
      <c r="A505" s="59"/>
      <c r="B505" s="60"/>
      <c r="C505" s="65"/>
      <c r="D505" s="60"/>
      <c r="E505" s="59"/>
      <c r="F505" s="62"/>
      <c r="G505" s="63"/>
      <c r="H505" s="64"/>
      <c r="I505" s="65"/>
      <c r="J505" s="65"/>
      <c r="K505" s="65"/>
      <c r="L505" s="65"/>
      <c r="M505" s="65"/>
      <c r="N505" s="65"/>
      <c r="O505" s="81">
        <f t="shared" si="21"/>
        <v>0</v>
      </c>
      <c r="P505" s="81">
        <f t="shared" si="22"/>
        <v>0</v>
      </c>
      <c r="Q505" s="65"/>
      <c r="R505" s="67"/>
      <c r="S505" s="83">
        <f t="shared" si="23"/>
        <v>0</v>
      </c>
    </row>
    <row r="506" spans="1:19" ht="18" customHeight="1" x14ac:dyDescent="0.25">
      <c r="A506" s="68"/>
      <c r="B506" s="69"/>
      <c r="C506" s="74"/>
      <c r="D506" s="69"/>
      <c r="E506" s="68"/>
      <c r="F506" s="71"/>
      <c r="G506" s="72"/>
      <c r="H506" s="73"/>
      <c r="I506" s="74"/>
      <c r="J506" s="74"/>
      <c r="K506" s="74"/>
      <c r="L506" s="74"/>
      <c r="M506" s="74"/>
      <c r="N506" s="74"/>
      <c r="O506" s="82">
        <f t="shared" si="21"/>
        <v>0</v>
      </c>
      <c r="P506" s="82">
        <f t="shared" si="22"/>
        <v>0</v>
      </c>
      <c r="Q506" s="74"/>
      <c r="R506" s="76"/>
      <c r="S506" s="84">
        <f t="shared" si="23"/>
        <v>0</v>
      </c>
    </row>
    <row r="507" spans="1:19" ht="18" customHeight="1" x14ac:dyDescent="0.25">
      <c r="A507" s="59"/>
      <c r="B507" s="60"/>
      <c r="C507" s="65"/>
      <c r="D507" s="60"/>
      <c r="E507" s="59"/>
      <c r="F507" s="62"/>
      <c r="G507" s="63"/>
      <c r="H507" s="64"/>
      <c r="I507" s="65"/>
      <c r="J507" s="65"/>
      <c r="K507" s="65"/>
      <c r="L507" s="65"/>
      <c r="M507" s="65"/>
      <c r="N507" s="65"/>
      <c r="O507" s="81">
        <f t="shared" si="21"/>
        <v>0</v>
      </c>
      <c r="P507" s="81">
        <f t="shared" si="22"/>
        <v>0</v>
      </c>
      <c r="Q507" s="65"/>
      <c r="R507" s="67"/>
      <c r="S507" s="83">
        <f t="shared" si="23"/>
        <v>0</v>
      </c>
    </row>
    <row r="508" spans="1:19" ht="18" customHeight="1" x14ac:dyDescent="0.25">
      <c r="A508" s="68"/>
      <c r="B508" s="69"/>
      <c r="C508" s="74"/>
      <c r="D508" s="69"/>
      <c r="E508" s="68"/>
      <c r="F508" s="71"/>
      <c r="G508" s="72"/>
      <c r="H508" s="73"/>
      <c r="I508" s="74"/>
      <c r="J508" s="74"/>
      <c r="K508" s="74"/>
      <c r="L508" s="74"/>
      <c r="M508" s="74"/>
      <c r="N508" s="74"/>
      <c r="O508" s="82">
        <f t="shared" si="21"/>
        <v>0</v>
      </c>
      <c r="P508" s="82">
        <f t="shared" si="22"/>
        <v>0</v>
      </c>
      <c r="Q508" s="74"/>
      <c r="R508" s="76"/>
      <c r="S508" s="84">
        <f t="shared" si="23"/>
        <v>0</v>
      </c>
    </row>
    <row r="509" spans="1:19" ht="18" customHeight="1" x14ac:dyDescent="0.25">
      <c r="A509" s="59"/>
      <c r="B509" s="60"/>
      <c r="C509" s="65"/>
      <c r="D509" s="60"/>
      <c r="E509" s="59"/>
      <c r="F509" s="62"/>
      <c r="G509" s="63"/>
      <c r="H509" s="64"/>
      <c r="I509" s="65"/>
      <c r="J509" s="65"/>
      <c r="K509" s="65"/>
      <c r="L509" s="65"/>
      <c r="M509" s="65"/>
      <c r="N509" s="65"/>
      <c r="O509" s="81">
        <f t="shared" si="21"/>
        <v>0</v>
      </c>
      <c r="P509" s="81">
        <f t="shared" si="22"/>
        <v>0</v>
      </c>
      <c r="Q509" s="65"/>
      <c r="R509" s="67"/>
      <c r="S509" s="83">
        <f t="shared" si="23"/>
        <v>0</v>
      </c>
    </row>
    <row r="510" spans="1:19" ht="18" customHeight="1" x14ac:dyDescent="0.25">
      <c r="A510" s="68"/>
      <c r="B510" s="69"/>
      <c r="C510" s="74"/>
      <c r="D510" s="69"/>
      <c r="E510" s="68"/>
      <c r="F510" s="71"/>
      <c r="G510" s="72"/>
      <c r="H510" s="73"/>
      <c r="I510" s="74"/>
      <c r="J510" s="74"/>
      <c r="K510" s="74"/>
      <c r="L510" s="74"/>
      <c r="M510" s="74"/>
      <c r="N510" s="74"/>
      <c r="O510" s="82">
        <f t="shared" si="21"/>
        <v>0</v>
      </c>
      <c r="P510" s="82">
        <f t="shared" si="22"/>
        <v>0</v>
      </c>
      <c r="Q510" s="74"/>
      <c r="R510" s="76"/>
      <c r="S510" s="84">
        <f t="shared" si="23"/>
        <v>0</v>
      </c>
    </row>
    <row r="511" spans="1:19" ht="18" customHeight="1" x14ac:dyDescent="0.25">
      <c r="A511" s="59"/>
      <c r="B511" s="60"/>
      <c r="C511" s="65"/>
      <c r="D511" s="60"/>
      <c r="E511" s="59"/>
      <c r="F511" s="62"/>
      <c r="G511" s="63"/>
      <c r="H511" s="64"/>
      <c r="I511" s="65"/>
      <c r="J511" s="65"/>
      <c r="K511" s="65"/>
      <c r="L511" s="65"/>
      <c r="M511" s="65"/>
      <c r="N511" s="65"/>
      <c r="O511" s="81">
        <f t="shared" si="21"/>
        <v>0</v>
      </c>
      <c r="P511" s="81">
        <f t="shared" si="22"/>
        <v>0</v>
      </c>
      <c r="Q511" s="65"/>
      <c r="R511" s="67"/>
      <c r="S511" s="83">
        <f t="shared" si="23"/>
        <v>0</v>
      </c>
    </row>
    <row r="512" spans="1:19" ht="18" customHeight="1" x14ac:dyDescent="0.25">
      <c r="A512" s="68"/>
      <c r="B512" s="69"/>
      <c r="C512" s="74"/>
      <c r="D512" s="69"/>
      <c r="E512" s="68"/>
      <c r="F512" s="71"/>
      <c r="G512" s="72"/>
      <c r="H512" s="73"/>
      <c r="I512" s="74"/>
      <c r="J512" s="74"/>
      <c r="K512" s="74"/>
      <c r="L512" s="74"/>
      <c r="M512" s="74"/>
      <c r="N512" s="74"/>
      <c r="O512" s="82">
        <f t="shared" si="21"/>
        <v>0</v>
      </c>
      <c r="P512" s="82">
        <f t="shared" si="22"/>
        <v>0</v>
      </c>
      <c r="Q512" s="74"/>
      <c r="R512" s="76"/>
      <c r="S512" s="84">
        <f t="shared" si="23"/>
        <v>0</v>
      </c>
    </row>
    <row r="513" spans="1:19" ht="18" customHeight="1" x14ac:dyDescent="0.25">
      <c r="A513" s="59"/>
      <c r="B513" s="60"/>
      <c r="C513" s="65"/>
      <c r="D513" s="60"/>
      <c r="E513" s="59"/>
      <c r="F513" s="62"/>
      <c r="G513" s="63"/>
      <c r="H513" s="64"/>
      <c r="I513" s="65"/>
      <c r="J513" s="65"/>
      <c r="K513" s="65"/>
      <c r="L513" s="65"/>
      <c r="M513" s="65"/>
      <c r="N513" s="65"/>
      <c r="O513" s="81">
        <f t="shared" si="21"/>
        <v>0</v>
      </c>
      <c r="P513" s="81">
        <f t="shared" si="22"/>
        <v>0</v>
      </c>
      <c r="Q513" s="65"/>
      <c r="R513" s="67"/>
      <c r="S513" s="83">
        <f t="shared" si="23"/>
        <v>0</v>
      </c>
    </row>
    <row r="514" spans="1:19" ht="18" customHeight="1" x14ac:dyDescent="0.25">
      <c r="A514" s="68"/>
      <c r="B514" s="69"/>
      <c r="C514" s="74"/>
      <c r="D514" s="69"/>
      <c r="E514" s="68"/>
      <c r="F514" s="71"/>
      <c r="G514" s="72"/>
      <c r="H514" s="73"/>
      <c r="I514" s="74"/>
      <c r="J514" s="74"/>
      <c r="K514" s="74"/>
      <c r="L514" s="74"/>
      <c r="M514" s="74"/>
      <c r="N514" s="74"/>
      <c r="O514" s="82">
        <f t="shared" si="21"/>
        <v>0</v>
      </c>
      <c r="P514" s="82">
        <f t="shared" si="22"/>
        <v>0</v>
      </c>
      <c r="Q514" s="74"/>
      <c r="R514" s="76"/>
      <c r="S514" s="84">
        <f t="shared" si="23"/>
        <v>0</v>
      </c>
    </row>
    <row r="515" spans="1:19" ht="18" customHeight="1" x14ac:dyDescent="0.25">
      <c r="A515" s="59"/>
      <c r="B515" s="60"/>
      <c r="C515" s="65"/>
      <c r="D515" s="60"/>
      <c r="E515" s="59"/>
      <c r="F515" s="62"/>
      <c r="G515" s="63"/>
      <c r="H515" s="64"/>
      <c r="I515" s="65"/>
      <c r="J515" s="65"/>
      <c r="K515" s="65"/>
      <c r="L515" s="65"/>
      <c r="M515" s="65"/>
      <c r="N515" s="65"/>
      <c r="O515" s="81">
        <f t="shared" si="21"/>
        <v>0</v>
      </c>
      <c r="P515" s="81">
        <f t="shared" si="22"/>
        <v>0</v>
      </c>
      <c r="Q515" s="65"/>
      <c r="R515" s="67"/>
      <c r="S515" s="83">
        <f t="shared" si="23"/>
        <v>0</v>
      </c>
    </row>
    <row r="516" spans="1:19" ht="18" customHeight="1" x14ac:dyDescent="0.25">
      <c r="A516" s="68"/>
      <c r="B516" s="69"/>
      <c r="C516" s="74"/>
      <c r="D516" s="69"/>
      <c r="E516" s="68"/>
      <c r="F516" s="71"/>
      <c r="G516" s="72"/>
      <c r="H516" s="73"/>
      <c r="I516" s="74"/>
      <c r="J516" s="74"/>
      <c r="K516" s="74"/>
      <c r="L516" s="74"/>
      <c r="M516" s="74"/>
      <c r="N516" s="74"/>
      <c r="O516" s="82">
        <f t="shared" si="21"/>
        <v>0</v>
      </c>
      <c r="P516" s="82">
        <f t="shared" si="22"/>
        <v>0</v>
      </c>
      <c r="Q516" s="74"/>
      <c r="R516" s="76"/>
      <c r="S516" s="84">
        <f t="shared" si="23"/>
        <v>0</v>
      </c>
    </row>
    <row r="517" spans="1:19" ht="18" customHeight="1" x14ac:dyDescent="0.25">
      <c r="A517" s="59"/>
      <c r="B517" s="60"/>
      <c r="C517" s="65"/>
      <c r="D517" s="60"/>
      <c r="E517" s="59"/>
      <c r="F517" s="62"/>
      <c r="G517" s="63"/>
      <c r="H517" s="64"/>
      <c r="I517" s="65"/>
      <c r="J517" s="65"/>
      <c r="K517" s="65"/>
      <c r="L517" s="65"/>
      <c r="M517" s="65"/>
      <c r="N517" s="65"/>
      <c r="O517" s="81">
        <f t="shared" si="21"/>
        <v>0</v>
      </c>
      <c r="P517" s="81">
        <f t="shared" si="22"/>
        <v>0</v>
      </c>
      <c r="Q517" s="65"/>
      <c r="R517" s="67"/>
      <c r="S517" s="83">
        <f t="shared" si="23"/>
        <v>0</v>
      </c>
    </row>
    <row r="518" spans="1:19" ht="18" customHeight="1" x14ac:dyDescent="0.25">
      <c r="A518" s="68"/>
      <c r="B518" s="69"/>
      <c r="C518" s="74"/>
      <c r="D518" s="69"/>
      <c r="E518" s="68"/>
      <c r="F518" s="71"/>
      <c r="G518" s="72"/>
      <c r="H518" s="73"/>
      <c r="I518" s="74"/>
      <c r="J518" s="74"/>
      <c r="K518" s="74"/>
      <c r="L518" s="74"/>
      <c r="M518" s="74"/>
      <c r="N518" s="74"/>
      <c r="O518" s="82" t="e">
        <f>#N/A</f>
        <v>#N/A</v>
      </c>
      <c r="P518" s="82" t="e">
        <f>#N/A</f>
        <v>#N/A</v>
      </c>
      <c r="Q518" s="74"/>
      <c r="R518" s="76"/>
      <c r="S518" s="84">
        <f t="shared" si="23"/>
        <v>0</v>
      </c>
    </row>
    <row r="519" spans="1:19" ht="18" customHeight="1" x14ac:dyDescent="0.25">
      <c r="A519" s="59"/>
      <c r="B519" s="60"/>
      <c r="C519" s="65"/>
      <c r="D519" s="60"/>
      <c r="E519" s="59"/>
      <c r="F519" s="62"/>
      <c r="G519" s="63"/>
      <c r="H519" s="64"/>
      <c r="I519" s="65"/>
      <c r="J519" s="65"/>
      <c r="K519" s="65"/>
      <c r="L519" s="65"/>
      <c r="M519" s="65"/>
      <c r="N519" s="65"/>
      <c r="O519" s="81">
        <f t="shared" ref="O519:O581" si="24">IF(G519="Reimbursement ","",I519+J519+K519+L519+M519)</f>
        <v>0</v>
      </c>
      <c r="P519" s="81">
        <f t="shared" ref="P519:P581" si="25">IF(G519="Reimbursement ","",H519-O519)</f>
        <v>0</v>
      </c>
      <c r="Q519" s="65"/>
      <c r="R519" s="67"/>
      <c r="S519" s="83">
        <f t="shared" ref="S519:S582" si="26">IF(OR(R519="",Q519=""),0,IF(R519&gt;Q519,R519-Q519,0))</f>
        <v>0</v>
      </c>
    </row>
    <row r="520" spans="1:19" ht="18" customHeight="1" x14ac:dyDescent="0.25">
      <c r="A520" s="68"/>
      <c r="B520" s="69"/>
      <c r="C520" s="74"/>
      <c r="D520" s="69"/>
      <c r="E520" s="68"/>
      <c r="F520" s="71"/>
      <c r="G520" s="72"/>
      <c r="H520" s="73"/>
      <c r="I520" s="74"/>
      <c r="J520" s="74"/>
      <c r="K520" s="74"/>
      <c r="L520" s="74"/>
      <c r="M520" s="74"/>
      <c r="N520" s="74"/>
      <c r="O520" s="82">
        <f t="shared" si="24"/>
        <v>0</v>
      </c>
      <c r="P520" s="82">
        <f t="shared" si="25"/>
        <v>0</v>
      </c>
      <c r="Q520" s="74"/>
      <c r="R520" s="76"/>
      <c r="S520" s="84">
        <f t="shared" si="26"/>
        <v>0</v>
      </c>
    </row>
    <row r="521" spans="1:19" ht="18" customHeight="1" x14ac:dyDescent="0.25">
      <c r="A521" s="59"/>
      <c r="B521" s="60"/>
      <c r="C521" s="65"/>
      <c r="D521" s="60"/>
      <c r="E521" s="59"/>
      <c r="F521" s="62"/>
      <c r="G521" s="63"/>
      <c r="H521" s="64"/>
      <c r="I521" s="65"/>
      <c r="J521" s="65"/>
      <c r="K521" s="65"/>
      <c r="L521" s="65"/>
      <c r="M521" s="65"/>
      <c r="N521" s="65"/>
      <c r="O521" s="81">
        <f t="shared" si="24"/>
        <v>0</v>
      </c>
      <c r="P521" s="81">
        <f t="shared" si="25"/>
        <v>0</v>
      </c>
      <c r="Q521" s="65"/>
      <c r="R521" s="67"/>
      <c r="S521" s="83">
        <f t="shared" si="26"/>
        <v>0</v>
      </c>
    </row>
    <row r="522" spans="1:19" ht="18" customHeight="1" x14ac:dyDescent="0.25">
      <c r="A522" s="68"/>
      <c r="B522" s="69"/>
      <c r="C522" s="74"/>
      <c r="D522" s="69"/>
      <c r="E522" s="68"/>
      <c r="F522" s="71"/>
      <c r="G522" s="72"/>
      <c r="H522" s="73"/>
      <c r="I522" s="74"/>
      <c r="J522" s="74"/>
      <c r="K522" s="74"/>
      <c r="L522" s="74"/>
      <c r="M522" s="74"/>
      <c r="N522" s="74"/>
      <c r="O522" s="82">
        <f t="shared" si="24"/>
        <v>0</v>
      </c>
      <c r="P522" s="82">
        <f t="shared" si="25"/>
        <v>0</v>
      </c>
      <c r="Q522" s="74"/>
      <c r="R522" s="76"/>
      <c r="S522" s="84">
        <f t="shared" si="26"/>
        <v>0</v>
      </c>
    </row>
    <row r="523" spans="1:19" ht="18" customHeight="1" x14ac:dyDescent="0.25">
      <c r="A523" s="59"/>
      <c r="B523" s="60"/>
      <c r="C523" s="65"/>
      <c r="D523" s="60"/>
      <c r="E523" s="59"/>
      <c r="F523" s="62"/>
      <c r="G523" s="63"/>
      <c r="H523" s="64"/>
      <c r="I523" s="65"/>
      <c r="J523" s="65"/>
      <c r="K523" s="65"/>
      <c r="L523" s="65"/>
      <c r="M523" s="65"/>
      <c r="N523" s="65"/>
      <c r="O523" s="81">
        <f t="shared" si="24"/>
        <v>0</v>
      </c>
      <c r="P523" s="81">
        <f t="shared" si="25"/>
        <v>0</v>
      </c>
      <c r="Q523" s="65"/>
      <c r="R523" s="67"/>
      <c r="S523" s="83">
        <f t="shared" si="26"/>
        <v>0</v>
      </c>
    </row>
    <row r="524" spans="1:19" ht="18" customHeight="1" x14ac:dyDescent="0.25">
      <c r="A524" s="68"/>
      <c r="B524" s="69"/>
      <c r="C524" s="74"/>
      <c r="D524" s="69"/>
      <c r="E524" s="68"/>
      <c r="F524" s="71"/>
      <c r="G524" s="72"/>
      <c r="H524" s="73"/>
      <c r="I524" s="74"/>
      <c r="J524" s="74"/>
      <c r="K524" s="74"/>
      <c r="L524" s="74"/>
      <c r="M524" s="74"/>
      <c r="N524" s="74"/>
      <c r="O524" s="82">
        <f t="shared" si="24"/>
        <v>0</v>
      </c>
      <c r="P524" s="82">
        <f t="shared" si="25"/>
        <v>0</v>
      </c>
      <c r="Q524" s="74"/>
      <c r="R524" s="76"/>
      <c r="S524" s="84">
        <f t="shared" si="26"/>
        <v>0</v>
      </c>
    </row>
    <row r="525" spans="1:19" ht="18" customHeight="1" x14ac:dyDescent="0.25">
      <c r="A525" s="59"/>
      <c r="B525" s="60"/>
      <c r="C525" s="65"/>
      <c r="D525" s="60"/>
      <c r="E525" s="59"/>
      <c r="F525" s="62"/>
      <c r="G525" s="63"/>
      <c r="H525" s="64"/>
      <c r="I525" s="65"/>
      <c r="J525" s="65"/>
      <c r="K525" s="65"/>
      <c r="L525" s="65"/>
      <c r="M525" s="65"/>
      <c r="N525" s="65"/>
      <c r="O525" s="81">
        <f t="shared" si="24"/>
        <v>0</v>
      </c>
      <c r="P525" s="81">
        <f t="shared" si="25"/>
        <v>0</v>
      </c>
      <c r="Q525" s="65"/>
      <c r="R525" s="67"/>
      <c r="S525" s="83">
        <f t="shared" si="26"/>
        <v>0</v>
      </c>
    </row>
    <row r="526" spans="1:19" ht="18" customHeight="1" x14ac:dyDescent="0.25">
      <c r="A526" s="68"/>
      <c r="B526" s="69"/>
      <c r="C526" s="74"/>
      <c r="D526" s="69"/>
      <c r="E526" s="68"/>
      <c r="F526" s="71"/>
      <c r="G526" s="72"/>
      <c r="H526" s="73"/>
      <c r="I526" s="74"/>
      <c r="J526" s="74"/>
      <c r="K526" s="74"/>
      <c r="L526" s="74"/>
      <c r="M526" s="74"/>
      <c r="N526" s="74"/>
      <c r="O526" s="82">
        <f t="shared" si="24"/>
        <v>0</v>
      </c>
      <c r="P526" s="82">
        <f t="shared" si="25"/>
        <v>0</v>
      </c>
      <c r="Q526" s="74"/>
      <c r="R526" s="76"/>
      <c r="S526" s="84">
        <f t="shared" si="26"/>
        <v>0</v>
      </c>
    </row>
    <row r="527" spans="1:19" ht="18" customHeight="1" x14ac:dyDescent="0.25">
      <c r="A527" s="59"/>
      <c r="B527" s="60"/>
      <c r="C527" s="65"/>
      <c r="D527" s="60"/>
      <c r="E527" s="59"/>
      <c r="F527" s="62"/>
      <c r="G527" s="63"/>
      <c r="H527" s="64"/>
      <c r="I527" s="65"/>
      <c r="J527" s="65"/>
      <c r="K527" s="65"/>
      <c r="L527" s="65"/>
      <c r="M527" s="65"/>
      <c r="N527" s="65"/>
      <c r="O527" s="81">
        <f t="shared" si="24"/>
        <v>0</v>
      </c>
      <c r="P527" s="81">
        <f t="shared" si="25"/>
        <v>0</v>
      </c>
      <c r="Q527" s="65"/>
      <c r="R527" s="67"/>
      <c r="S527" s="83">
        <f t="shared" si="26"/>
        <v>0</v>
      </c>
    </row>
    <row r="528" spans="1:19" ht="18" customHeight="1" x14ac:dyDescent="0.25">
      <c r="A528" s="68"/>
      <c r="B528" s="69"/>
      <c r="C528" s="74"/>
      <c r="D528" s="69"/>
      <c r="E528" s="68"/>
      <c r="F528" s="71"/>
      <c r="G528" s="72"/>
      <c r="H528" s="73"/>
      <c r="I528" s="74"/>
      <c r="J528" s="74"/>
      <c r="K528" s="74"/>
      <c r="L528" s="74"/>
      <c r="M528" s="74"/>
      <c r="N528" s="74"/>
      <c r="O528" s="82">
        <f t="shared" si="24"/>
        <v>0</v>
      </c>
      <c r="P528" s="82">
        <f t="shared" si="25"/>
        <v>0</v>
      </c>
      <c r="Q528" s="74"/>
      <c r="R528" s="76"/>
      <c r="S528" s="84">
        <f t="shared" si="26"/>
        <v>0</v>
      </c>
    </row>
    <row r="529" spans="1:19" ht="18" customHeight="1" x14ac:dyDescent="0.25">
      <c r="A529" s="59"/>
      <c r="B529" s="60"/>
      <c r="C529" s="65"/>
      <c r="D529" s="60"/>
      <c r="E529" s="59"/>
      <c r="F529" s="62"/>
      <c r="G529" s="63"/>
      <c r="H529" s="64"/>
      <c r="I529" s="65"/>
      <c r="J529" s="65"/>
      <c r="K529" s="65"/>
      <c r="L529" s="65"/>
      <c r="M529" s="65"/>
      <c r="N529" s="65"/>
      <c r="O529" s="81">
        <f t="shared" si="24"/>
        <v>0</v>
      </c>
      <c r="P529" s="81">
        <f t="shared" si="25"/>
        <v>0</v>
      </c>
      <c r="Q529" s="65"/>
      <c r="R529" s="67"/>
      <c r="S529" s="83">
        <f t="shared" si="26"/>
        <v>0</v>
      </c>
    </row>
    <row r="530" spans="1:19" ht="18" customHeight="1" x14ac:dyDescent="0.25">
      <c r="A530" s="68"/>
      <c r="B530" s="69"/>
      <c r="C530" s="74"/>
      <c r="D530" s="69"/>
      <c r="E530" s="68"/>
      <c r="F530" s="71"/>
      <c r="G530" s="72"/>
      <c r="H530" s="73"/>
      <c r="I530" s="74"/>
      <c r="J530" s="74"/>
      <c r="K530" s="74"/>
      <c r="L530" s="74"/>
      <c r="M530" s="74"/>
      <c r="N530" s="74"/>
      <c r="O530" s="82">
        <f t="shared" si="24"/>
        <v>0</v>
      </c>
      <c r="P530" s="82">
        <f t="shared" si="25"/>
        <v>0</v>
      </c>
      <c r="Q530" s="74"/>
      <c r="R530" s="76"/>
      <c r="S530" s="84">
        <f t="shared" si="26"/>
        <v>0</v>
      </c>
    </row>
    <row r="531" spans="1:19" ht="18" customHeight="1" x14ac:dyDescent="0.25">
      <c r="A531" s="59"/>
      <c r="B531" s="60"/>
      <c r="C531" s="65"/>
      <c r="D531" s="60"/>
      <c r="E531" s="59"/>
      <c r="F531" s="62"/>
      <c r="G531" s="63"/>
      <c r="H531" s="64"/>
      <c r="I531" s="65"/>
      <c r="J531" s="65"/>
      <c r="K531" s="65"/>
      <c r="L531" s="65"/>
      <c r="M531" s="65"/>
      <c r="N531" s="65"/>
      <c r="O531" s="81">
        <f t="shared" si="24"/>
        <v>0</v>
      </c>
      <c r="P531" s="81">
        <f t="shared" si="25"/>
        <v>0</v>
      </c>
      <c r="Q531" s="65"/>
      <c r="R531" s="67"/>
      <c r="S531" s="83">
        <f t="shared" si="26"/>
        <v>0</v>
      </c>
    </row>
    <row r="532" spans="1:19" ht="18" customHeight="1" x14ac:dyDescent="0.25">
      <c r="A532" s="68"/>
      <c r="B532" s="69"/>
      <c r="C532" s="74"/>
      <c r="D532" s="69"/>
      <c r="E532" s="68"/>
      <c r="F532" s="71"/>
      <c r="G532" s="72"/>
      <c r="H532" s="73"/>
      <c r="I532" s="74"/>
      <c r="J532" s="74"/>
      <c r="K532" s="74"/>
      <c r="L532" s="74"/>
      <c r="M532" s="74"/>
      <c r="N532" s="74"/>
      <c r="O532" s="82">
        <f t="shared" si="24"/>
        <v>0</v>
      </c>
      <c r="P532" s="82">
        <f t="shared" si="25"/>
        <v>0</v>
      </c>
      <c r="Q532" s="74"/>
      <c r="R532" s="76"/>
      <c r="S532" s="84">
        <f t="shared" si="26"/>
        <v>0</v>
      </c>
    </row>
    <row r="533" spans="1:19" ht="18" customHeight="1" x14ac:dyDescent="0.25">
      <c r="A533" s="59"/>
      <c r="B533" s="60"/>
      <c r="C533" s="65"/>
      <c r="D533" s="60"/>
      <c r="E533" s="59"/>
      <c r="F533" s="62"/>
      <c r="G533" s="63"/>
      <c r="H533" s="64"/>
      <c r="I533" s="65"/>
      <c r="J533" s="65"/>
      <c r="K533" s="65"/>
      <c r="L533" s="65"/>
      <c r="M533" s="65"/>
      <c r="N533" s="65"/>
      <c r="O533" s="81">
        <f t="shared" si="24"/>
        <v>0</v>
      </c>
      <c r="P533" s="81">
        <f t="shared" si="25"/>
        <v>0</v>
      </c>
      <c r="Q533" s="65"/>
      <c r="R533" s="67"/>
      <c r="S533" s="83">
        <f t="shared" si="26"/>
        <v>0</v>
      </c>
    </row>
    <row r="534" spans="1:19" ht="18" customHeight="1" x14ac:dyDescent="0.25">
      <c r="A534" s="68"/>
      <c r="B534" s="69"/>
      <c r="C534" s="74"/>
      <c r="D534" s="69"/>
      <c r="E534" s="68"/>
      <c r="F534" s="71"/>
      <c r="G534" s="72"/>
      <c r="H534" s="73"/>
      <c r="I534" s="74"/>
      <c r="J534" s="74"/>
      <c r="K534" s="74"/>
      <c r="L534" s="74"/>
      <c r="M534" s="74"/>
      <c r="N534" s="74"/>
      <c r="O534" s="82">
        <f t="shared" si="24"/>
        <v>0</v>
      </c>
      <c r="P534" s="82">
        <f t="shared" si="25"/>
        <v>0</v>
      </c>
      <c r="Q534" s="74"/>
      <c r="R534" s="76"/>
      <c r="S534" s="84">
        <f t="shared" si="26"/>
        <v>0</v>
      </c>
    </row>
    <row r="535" spans="1:19" ht="18" customHeight="1" x14ac:dyDescent="0.25">
      <c r="A535" s="59"/>
      <c r="B535" s="60"/>
      <c r="C535" s="65"/>
      <c r="D535" s="60"/>
      <c r="E535" s="59"/>
      <c r="F535" s="62"/>
      <c r="G535" s="63"/>
      <c r="H535" s="64"/>
      <c r="I535" s="65"/>
      <c r="J535" s="65"/>
      <c r="K535" s="65"/>
      <c r="L535" s="65"/>
      <c r="M535" s="65"/>
      <c r="N535" s="65"/>
      <c r="O535" s="81">
        <f t="shared" si="24"/>
        <v>0</v>
      </c>
      <c r="P535" s="81">
        <f t="shared" si="25"/>
        <v>0</v>
      </c>
      <c r="Q535" s="65"/>
      <c r="R535" s="67"/>
      <c r="S535" s="83">
        <f t="shared" si="26"/>
        <v>0</v>
      </c>
    </row>
    <row r="536" spans="1:19" ht="18" customHeight="1" x14ac:dyDescent="0.25">
      <c r="A536" s="68"/>
      <c r="B536" s="69"/>
      <c r="C536" s="74"/>
      <c r="D536" s="69"/>
      <c r="E536" s="68"/>
      <c r="F536" s="71"/>
      <c r="G536" s="72"/>
      <c r="H536" s="73"/>
      <c r="I536" s="74"/>
      <c r="J536" s="74"/>
      <c r="K536" s="74"/>
      <c r="L536" s="74"/>
      <c r="M536" s="74"/>
      <c r="N536" s="74"/>
      <c r="O536" s="82">
        <f t="shared" si="24"/>
        <v>0</v>
      </c>
      <c r="P536" s="82">
        <f t="shared" si="25"/>
        <v>0</v>
      </c>
      <c r="Q536" s="74"/>
      <c r="R536" s="76"/>
      <c r="S536" s="84">
        <f t="shared" si="26"/>
        <v>0</v>
      </c>
    </row>
    <row r="537" spans="1:19" ht="18" customHeight="1" x14ac:dyDescent="0.25">
      <c r="A537" s="59"/>
      <c r="B537" s="60"/>
      <c r="C537" s="65"/>
      <c r="D537" s="60"/>
      <c r="E537" s="59"/>
      <c r="F537" s="62"/>
      <c r="G537" s="63"/>
      <c r="H537" s="64"/>
      <c r="I537" s="65"/>
      <c r="J537" s="65"/>
      <c r="K537" s="65"/>
      <c r="L537" s="65"/>
      <c r="M537" s="65"/>
      <c r="N537" s="65"/>
      <c r="O537" s="81">
        <f t="shared" si="24"/>
        <v>0</v>
      </c>
      <c r="P537" s="81">
        <f t="shared" si="25"/>
        <v>0</v>
      </c>
      <c r="Q537" s="65"/>
      <c r="R537" s="67"/>
      <c r="S537" s="83">
        <f t="shared" si="26"/>
        <v>0</v>
      </c>
    </row>
    <row r="538" spans="1:19" ht="18" customHeight="1" x14ac:dyDescent="0.25">
      <c r="A538" s="68"/>
      <c r="B538" s="69"/>
      <c r="C538" s="74"/>
      <c r="D538" s="69"/>
      <c r="E538" s="68"/>
      <c r="F538" s="71"/>
      <c r="G538" s="72"/>
      <c r="H538" s="73"/>
      <c r="I538" s="74"/>
      <c r="J538" s="74"/>
      <c r="K538" s="74"/>
      <c r="L538" s="74"/>
      <c r="M538" s="74"/>
      <c r="N538" s="74"/>
      <c r="O538" s="82">
        <f t="shared" si="24"/>
        <v>0</v>
      </c>
      <c r="P538" s="82">
        <f t="shared" si="25"/>
        <v>0</v>
      </c>
      <c r="Q538" s="74"/>
      <c r="R538" s="76"/>
      <c r="S538" s="84">
        <f t="shared" si="26"/>
        <v>0</v>
      </c>
    </row>
    <row r="539" spans="1:19" ht="18" customHeight="1" x14ac:dyDescent="0.25">
      <c r="A539" s="59"/>
      <c r="B539" s="60"/>
      <c r="C539" s="65"/>
      <c r="D539" s="60"/>
      <c r="E539" s="59"/>
      <c r="F539" s="62"/>
      <c r="G539" s="63"/>
      <c r="H539" s="64"/>
      <c r="I539" s="65"/>
      <c r="J539" s="65"/>
      <c r="K539" s="65"/>
      <c r="L539" s="65"/>
      <c r="M539" s="65"/>
      <c r="N539" s="65"/>
      <c r="O539" s="81">
        <f t="shared" si="24"/>
        <v>0</v>
      </c>
      <c r="P539" s="81">
        <f t="shared" si="25"/>
        <v>0</v>
      </c>
      <c r="Q539" s="65"/>
      <c r="R539" s="67"/>
      <c r="S539" s="83">
        <f t="shared" si="26"/>
        <v>0</v>
      </c>
    </row>
    <row r="540" spans="1:19" ht="18" customHeight="1" x14ac:dyDescent="0.25">
      <c r="A540" s="68"/>
      <c r="B540" s="69"/>
      <c r="C540" s="74"/>
      <c r="D540" s="69"/>
      <c r="E540" s="68"/>
      <c r="F540" s="71"/>
      <c r="G540" s="72"/>
      <c r="H540" s="73"/>
      <c r="I540" s="74"/>
      <c r="J540" s="74"/>
      <c r="K540" s="74"/>
      <c r="L540" s="74"/>
      <c r="M540" s="74"/>
      <c r="N540" s="74"/>
      <c r="O540" s="82">
        <f t="shared" si="24"/>
        <v>0</v>
      </c>
      <c r="P540" s="82">
        <f t="shared" si="25"/>
        <v>0</v>
      </c>
      <c r="Q540" s="74"/>
      <c r="R540" s="76"/>
      <c r="S540" s="84">
        <f t="shared" si="26"/>
        <v>0</v>
      </c>
    </row>
    <row r="541" spans="1:19" ht="18" customHeight="1" x14ac:dyDescent="0.25">
      <c r="A541" s="59"/>
      <c r="B541" s="60"/>
      <c r="C541" s="65"/>
      <c r="D541" s="60"/>
      <c r="E541" s="59"/>
      <c r="F541" s="62"/>
      <c r="G541" s="63"/>
      <c r="H541" s="64"/>
      <c r="I541" s="65"/>
      <c r="J541" s="65"/>
      <c r="K541" s="65"/>
      <c r="L541" s="65"/>
      <c r="M541" s="65"/>
      <c r="N541" s="65"/>
      <c r="O541" s="81">
        <f t="shared" si="24"/>
        <v>0</v>
      </c>
      <c r="P541" s="81">
        <f t="shared" si="25"/>
        <v>0</v>
      </c>
      <c r="Q541" s="65"/>
      <c r="R541" s="67"/>
      <c r="S541" s="83">
        <f t="shared" si="26"/>
        <v>0</v>
      </c>
    </row>
    <row r="542" spans="1:19" ht="18" customHeight="1" x14ac:dyDescent="0.25">
      <c r="A542" s="68"/>
      <c r="B542" s="69"/>
      <c r="C542" s="74"/>
      <c r="D542" s="69"/>
      <c r="E542" s="68"/>
      <c r="F542" s="71"/>
      <c r="G542" s="72"/>
      <c r="H542" s="73"/>
      <c r="I542" s="74"/>
      <c r="J542" s="74"/>
      <c r="K542" s="74"/>
      <c r="L542" s="74"/>
      <c r="M542" s="74"/>
      <c r="N542" s="74"/>
      <c r="O542" s="82">
        <f t="shared" si="24"/>
        <v>0</v>
      </c>
      <c r="P542" s="82">
        <f t="shared" si="25"/>
        <v>0</v>
      </c>
      <c r="Q542" s="74"/>
      <c r="R542" s="76"/>
      <c r="S542" s="84">
        <f t="shared" si="26"/>
        <v>0</v>
      </c>
    </row>
    <row r="543" spans="1:19" ht="18" customHeight="1" x14ac:dyDescent="0.25">
      <c r="A543" s="59"/>
      <c r="B543" s="60"/>
      <c r="C543" s="65"/>
      <c r="D543" s="60"/>
      <c r="E543" s="59"/>
      <c r="F543" s="62"/>
      <c r="G543" s="63"/>
      <c r="H543" s="64"/>
      <c r="I543" s="65"/>
      <c r="J543" s="65"/>
      <c r="K543" s="65"/>
      <c r="L543" s="65"/>
      <c r="M543" s="65"/>
      <c r="N543" s="65"/>
      <c r="O543" s="81">
        <f t="shared" si="24"/>
        <v>0</v>
      </c>
      <c r="P543" s="81">
        <f t="shared" si="25"/>
        <v>0</v>
      </c>
      <c r="Q543" s="65"/>
      <c r="R543" s="67"/>
      <c r="S543" s="83">
        <f t="shared" si="26"/>
        <v>0</v>
      </c>
    </row>
    <row r="544" spans="1:19" ht="18" customHeight="1" x14ac:dyDescent="0.25">
      <c r="A544" s="68"/>
      <c r="B544" s="69"/>
      <c r="C544" s="74"/>
      <c r="D544" s="69"/>
      <c r="E544" s="68"/>
      <c r="F544" s="71"/>
      <c r="G544" s="72"/>
      <c r="H544" s="73"/>
      <c r="I544" s="74"/>
      <c r="J544" s="74"/>
      <c r="K544" s="74"/>
      <c r="L544" s="74"/>
      <c r="M544" s="74"/>
      <c r="N544" s="74"/>
      <c r="O544" s="82">
        <f t="shared" si="24"/>
        <v>0</v>
      </c>
      <c r="P544" s="82">
        <f t="shared" si="25"/>
        <v>0</v>
      </c>
      <c r="Q544" s="74"/>
      <c r="R544" s="76"/>
      <c r="S544" s="84">
        <f t="shared" si="26"/>
        <v>0</v>
      </c>
    </row>
    <row r="545" spans="1:19" ht="18" customHeight="1" x14ac:dyDescent="0.25">
      <c r="A545" s="59"/>
      <c r="B545" s="60"/>
      <c r="C545" s="65"/>
      <c r="D545" s="60"/>
      <c r="E545" s="59"/>
      <c r="F545" s="62"/>
      <c r="G545" s="63"/>
      <c r="H545" s="64"/>
      <c r="I545" s="65"/>
      <c r="J545" s="65"/>
      <c r="K545" s="65"/>
      <c r="L545" s="65"/>
      <c r="M545" s="65"/>
      <c r="N545" s="65"/>
      <c r="O545" s="81">
        <f t="shared" si="24"/>
        <v>0</v>
      </c>
      <c r="P545" s="81">
        <f t="shared" si="25"/>
        <v>0</v>
      </c>
      <c r="Q545" s="65"/>
      <c r="R545" s="67"/>
      <c r="S545" s="83">
        <f t="shared" si="26"/>
        <v>0</v>
      </c>
    </row>
    <row r="546" spans="1:19" ht="18" customHeight="1" x14ac:dyDescent="0.25">
      <c r="A546" s="68"/>
      <c r="B546" s="69"/>
      <c r="C546" s="74"/>
      <c r="D546" s="69"/>
      <c r="E546" s="68"/>
      <c r="F546" s="71"/>
      <c r="G546" s="72"/>
      <c r="H546" s="73"/>
      <c r="I546" s="74"/>
      <c r="J546" s="74"/>
      <c r="K546" s="74"/>
      <c r="L546" s="74"/>
      <c r="M546" s="74"/>
      <c r="N546" s="74"/>
      <c r="O546" s="82">
        <f t="shared" si="24"/>
        <v>0</v>
      </c>
      <c r="P546" s="82">
        <f t="shared" si="25"/>
        <v>0</v>
      </c>
      <c r="Q546" s="74"/>
      <c r="R546" s="76"/>
      <c r="S546" s="84">
        <f t="shared" si="26"/>
        <v>0</v>
      </c>
    </row>
    <row r="547" spans="1:19" ht="18" customHeight="1" x14ac:dyDescent="0.25">
      <c r="A547" s="59"/>
      <c r="B547" s="60"/>
      <c r="C547" s="65"/>
      <c r="D547" s="60"/>
      <c r="E547" s="59"/>
      <c r="F547" s="62"/>
      <c r="G547" s="63"/>
      <c r="H547" s="64"/>
      <c r="I547" s="65"/>
      <c r="J547" s="65"/>
      <c r="K547" s="65"/>
      <c r="L547" s="65"/>
      <c r="M547" s="65"/>
      <c r="N547" s="65"/>
      <c r="O547" s="81">
        <f t="shared" si="24"/>
        <v>0</v>
      </c>
      <c r="P547" s="81">
        <f t="shared" si="25"/>
        <v>0</v>
      </c>
      <c r="Q547" s="65"/>
      <c r="R547" s="67"/>
      <c r="S547" s="83">
        <f t="shared" si="26"/>
        <v>0</v>
      </c>
    </row>
    <row r="548" spans="1:19" ht="18" customHeight="1" x14ac:dyDescent="0.25">
      <c r="A548" s="68"/>
      <c r="B548" s="69"/>
      <c r="C548" s="74"/>
      <c r="D548" s="69"/>
      <c r="E548" s="68"/>
      <c r="F548" s="71"/>
      <c r="G548" s="72"/>
      <c r="H548" s="73"/>
      <c r="I548" s="74"/>
      <c r="J548" s="74"/>
      <c r="K548" s="74"/>
      <c r="L548" s="74"/>
      <c r="M548" s="74"/>
      <c r="N548" s="74"/>
      <c r="O548" s="82">
        <f t="shared" si="24"/>
        <v>0</v>
      </c>
      <c r="P548" s="82">
        <f t="shared" si="25"/>
        <v>0</v>
      </c>
      <c r="Q548" s="74"/>
      <c r="R548" s="76"/>
      <c r="S548" s="84">
        <f t="shared" si="26"/>
        <v>0</v>
      </c>
    </row>
    <row r="549" spans="1:19" ht="18" customHeight="1" x14ac:dyDescent="0.25">
      <c r="A549" s="59"/>
      <c r="B549" s="60"/>
      <c r="C549" s="65"/>
      <c r="D549" s="60"/>
      <c r="E549" s="59"/>
      <c r="F549" s="62"/>
      <c r="G549" s="63"/>
      <c r="H549" s="64"/>
      <c r="I549" s="65"/>
      <c r="J549" s="65"/>
      <c r="K549" s="65"/>
      <c r="L549" s="65"/>
      <c r="M549" s="65"/>
      <c r="N549" s="65"/>
      <c r="O549" s="81">
        <f t="shared" si="24"/>
        <v>0</v>
      </c>
      <c r="P549" s="81">
        <f t="shared" si="25"/>
        <v>0</v>
      </c>
      <c r="Q549" s="65"/>
      <c r="R549" s="67"/>
      <c r="S549" s="83">
        <f t="shared" si="26"/>
        <v>0</v>
      </c>
    </row>
    <row r="550" spans="1:19" ht="18" customHeight="1" x14ac:dyDescent="0.25">
      <c r="A550" s="68"/>
      <c r="B550" s="69"/>
      <c r="C550" s="74"/>
      <c r="D550" s="69"/>
      <c r="E550" s="68"/>
      <c r="F550" s="71"/>
      <c r="G550" s="72"/>
      <c r="H550" s="73"/>
      <c r="I550" s="74"/>
      <c r="J550" s="74"/>
      <c r="K550" s="74"/>
      <c r="L550" s="74"/>
      <c r="M550" s="74"/>
      <c r="N550" s="74"/>
      <c r="O550" s="82">
        <f t="shared" si="24"/>
        <v>0</v>
      </c>
      <c r="P550" s="82">
        <f t="shared" si="25"/>
        <v>0</v>
      </c>
      <c r="Q550" s="74"/>
      <c r="R550" s="76"/>
      <c r="S550" s="84">
        <f t="shared" si="26"/>
        <v>0</v>
      </c>
    </row>
    <row r="551" spans="1:19" ht="18" customHeight="1" x14ac:dyDescent="0.25">
      <c r="A551" s="59"/>
      <c r="B551" s="60"/>
      <c r="C551" s="65"/>
      <c r="D551" s="60"/>
      <c r="E551" s="59"/>
      <c r="F551" s="62"/>
      <c r="G551" s="63"/>
      <c r="H551" s="64"/>
      <c r="I551" s="65"/>
      <c r="J551" s="65"/>
      <c r="K551" s="65"/>
      <c r="L551" s="65"/>
      <c r="M551" s="65"/>
      <c r="N551" s="65"/>
      <c r="O551" s="81">
        <f t="shared" si="24"/>
        <v>0</v>
      </c>
      <c r="P551" s="81">
        <f t="shared" si="25"/>
        <v>0</v>
      </c>
      <c r="Q551" s="65"/>
      <c r="R551" s="67"/>
      <c r="S551" s="83">
        <f t="shared" si="26"/>
        <v>0</v>
      </c>
    </row>
    <row r="552" spans="1:19" ht="18" customHeight="1" x14ac:dyDescent="0.25">
      <c r="A552" s="68"/>
      <c r="B552" s="69"/>
      <c r="C552" s="74"/>
      <c r="D552" s="69"/>
      <c r="E552" s="68"/>
      <c r="F552" s="71"/>
      <c r="G552" s="72"/>
      <c r="H552" s="73"/>
      <c r="I552" s="74"/>
      <c r="J552" s="74"/>
      <c r="K552" s="74"/>
      <c r="L552" s="74"/>
      <c r="M552" s="74"/>
      <c r="N552" s="74"/>
      <c r="O552" s="82">
        <f t="shared" si="24"/>
        <v>0</v>
      </c>
      <c r="P552" s="82">
        <f t="shared" si="25"/>
        <v>0</v>
      </c>
      <c r="Q552" s="74"/>
      <c r="R552" s="76"/>
      <c r="S552" s="84">
        <f t="shared" si="26"/>
        <v>0</v>
      </c>
    </row>
    <row r="553" spans="1:19" ht="18" customHeight="1" x14ac:dyDescent="0.25">
      <c r="A553" s="59"/>
      <c r="B553" s="60"/>
      <c r="C553" s="65"/>
      <c r="D553" s="60"/>
      <c r="E553" s="59"/>
      <c r="F553" s="62"/>
      <c r="G553" s="63"/>
      <c r="H553" s="64"/>
      <c r="I553" s="65"/>
      <c r="J553" s="65"/>
      <c r="K553" s="65"/>
      <c r="L553" s="65"/>
      <c r="M553" s="65"/>
      <c r="N553" s="65"/>
      <c r="O553" s="81">
        <f t="shared" si="24"/>
        <v>0</v>
      </c>
      <c r="P553" s="81">
        <f t="shared" si="25"/>
        <v>0</v>
      </c>
      <c r="Q553" s="65"/>
      <c r="R553" s="67"/>
      <c r="S553" s="83">
        <f t="shared" si="26"/>
        <v>0</v>
      </c>
    </row>
    <row r="554" spans="1:19" ht="18" customHeight="1" x14ac:dyDescent="0.25">
      <c r="A554" s="68"/>
      <c r="B554" s="69"/>
      <c r="C554" s="74"/>
      <c r="D554" s="69"/>
      <c r="E554" s="68"/>
      <c r="F554" s="71"/>
      <c r="G554" s="72"/>
      <c r="H554" s="73"/>
      <c r="I554" s="74"/>
      <c r="J554" s="74"/>
      <c r="K554" s="74"/>
      <c r="L554" s="74"/>
      <c r="M554" s="74"/>
      <c r="N554" s="74"/>
      <c r="O554" s="82">
        <f t="shared" si="24"/>
        <v>0</v>
      </c>
      <c r="P554" s="82">
        <f t="shared" si="25"/>
        <v>0</v>
      </c>
      <c r="Q554" s="74"/>
      <c r="R554" s="76"/>
      <c r="S554" s="84">
        <f t="shared" si="26"/>
        <v>0</v>
      </c>
    </row>
    <row r="555" spans="1:19" ht="18" customHeight="1" x14ac:dyDescent="0.25">
      <c r="A555" s="59"/>
      <c r="B555" s="60"/>
      <c r="C555" s="65"/>
      <c r="D555" s="60"/>
      <c r="E555" s="59"/>
      <c r="F555" s="62"/>
      <c r="G555" s="63"/>
      <c r="H555" s="64"/>
      <c r="I555" s="65"/>
      <c r="J555" s="65"/>
      <c r="K555" s="65"/>
      <c r="L555" s="65"/>
      <c r="M555" s="65"/>
      <c r="N555" s="65"/>
      <c r="O555" s="81">
        <f t="shared" si="24"/>
        <v>0</v>
      </c>
      <c r="P555" s="81">
        <f t="shared" si="25"/>
        <v>0</v>
      </c>
      <c r="Q555" s="65"/>
      <c r="R555" s="67"/>
      <c r="S555" s="83">
        <f t="shared" si="26"/>
        <v>0</v>
      </c>
    </row>
    <row r="556" spans="1:19" ht="18" customHeight="1" x14ac:dyDescent="0.25">
      <c r="A556" s="68"/>
      <c r="B556" s="69"/>
      <c r="C556" s="74"/>
      <c r="D556" s="69"/>
      <c r="E556" s="68"/>
      <c r="F556" s="71"/>
      <c r="G556" s="72"/>
      <c r="H556" s="73"/>
      <c r="I556" s="74"/>
      <c r="J556" s="74"/>
      <c r="K556" s="74"/>
      <c r="L556" s="74"/>
      <c r="M556" s="74"/>
      <c r="N556" s="74"/>
      <c r="O556" s="82">
        <f t="shared" si="24"/>
        <v>0</v>
      </c>
      <c r="P556" s="82">
        <f t="shared" si="25"/>
        <v>0</v>
      </c>
      <c r="Q556" s="74"/>
      <c r="R556" s="76"/>
      <c r="S556" s="84">
        <f t="shared" si="26"/>
        <v>0</v>
      </c>
    </row>
    <row r="557" spans="1:19" ht="18" customHeight="1" x14ac:dyDescent="0.25">
      <c r="A557" s="59"/>
      <c r="B557" s="60"/>
      <c r="C557" s="65"/>
      <c r="D557" s="60"/>
      <c r="E557" s="59"/>
      <c r="F557" s="62"/>
      <c r="G557" s="63"/>
      <c r="H557" s="64"/>
      <c r="I557" s="65"/>
      <c r="J557" s="65"/>
      <c r="K557" s="65"/>
      <c r="L557" s="65"/>
      <c r="M557" s="65"/>
      <c r="N557" s="65"/>
      <c r="O557" s="81">
        <f t="shared" si="24"/>
        <v>0</v>
      </c>
      <c r="P557" s="81">
        <f t="shared" si="25"/>
        <v>0</v>
      </c>
      <c r="Q557" s="65"/>
      <c r="R557" s="67"/>
      <c r="S557" s="83">
        <f t="shared" si="26"/>
        <v>0</v>
      </c>
    </row>
    <row r="558" spans="1:19" ht="18" customHeight="1" x14ac:dyDescent="0.25">
      <c r="A558" s="68"/>
      <c r="B558" s="69"/>
      <c r="C558" s="74"/>
      <c r="D558" s="69"/>
      <c r="E558" s="68"/>
      <c r="F558" s="71"/>
      <c r="G558" s="72"/>
      <c r="H558" s="73"/>
      <c r="I558" s="74"/>
      <c r="J558" s="74"/>
      <c r="K558" s="74"/>
      <c r="L558" s="74"/>
      <c r="M558" s="74"/>
      <c r="N558" s="74"/>
      <c r="O558" s="82">
        <f t="shared" si="24"/>
        <v>0</v>
      </c>
      <c r="P558" s="82">
        <f t="shared" si="25"/>
        <v>0</v>
      </c>
      <c r="Q558" s="74"/>
      <c r="R558" s="76"/>
      <c r="S558" s="84">
        <f t="shared" si="26"/>
        <v>0</v>
      </c>
    </row>
    <row r="559" spans="1:19" ht="18" customHeight="1" x14ac:dyDescent="0.25">
      <c r="A559" s="59"/>
      <c r="B559" s="60"/>
      <c r="C559" s="65"/>
      <c r="D559" s="60"/>
      <c r="E559" s="59"/>
      <c r="F559" s="62"/>
      <c r="G559" s="63"/>
      <c r="H559" s="64"/>
      <c r="I559" s="65"/>
      <c r="J559" s="65"/>
      <c r="K559" s="65"/>
      <c r="L559" s="65"/>
      <c r="M559" s="65"/>
      <c r="N559" s="65"/>
      <c r="O559" s="81">
        <f t="shared" si="24"/>
        <v>0</v>
      </c>
      <c r="P559" s="81">
        <f t="shared" si="25"/>
        <v>0</v>
      </c>
      <c r="Q559" s="65"/>
      <c r="R559" s="67"/>
      <c r="S559" s="83">
        <f t="shared" si="26"/>
        <v>0</v>
      </c>
    </row>
    <row r="560" spans="1:19" ht="18" customHeight="1" x14ac:dyDescent="0.25">
      <c r="A560" s="68"/>
      <c r="B560" s="69"/>
      <c r="C560" s="74"/>
      <c r="D560" s="69"/>
      <c r="E560" s="68"/>
      <c r="F560" s="71"/>
      <c r="G560" s="72"/>
      <c r="H560" s="73"/>
      <c r="I560" s="74"/>
      <c r="J560" s="74"/>
      <c r="K560" s="74"/>
      <c r="L560" s="74"/>
      <c r="M560" s="74"/>
      <c r="N560" s="74"/>
      <c r="O560" s="82">
        <f t="shared" si="24"/>
        <v>0</v>
      </c>
      <c r="P560" s="82">
        <f t="shared" si="25"/>
        <v>0</v>
      </c>
      <c r="Q560" s="74"/>
      <c r="R560" s="76"/>
      <c r="S560" s="84">
        <f t="shared" si="26"/>
        <v>0</v>
      </c>
    </row>
    <row r="561" spans="1:19" ht="18" customHeight="1" x14ac:dyDescent="0.25">
      <c r="A561" s="59"/>
      <c r="B561" s="60"/>
      <c r="C561" s="65"/>
      <c r="D561" s="60"/>
      <c r="E561" s="59"/>
      <c r="F561" s="62"/>
      <c r="G561" s="63"/>
      <c r="H561" s="64"/>
      <c r="I561" s="65"/>
      <c r="J561" s="65"/>
      <c r="K561" s="65"/>
      <c r="L561" s="65"/>
      <c r="M561" s="65"/>
      <c r="N561" s="65"/>
      <c r="O561" s="81">
        <f t="shared" si="24"/>
        <v>0</v>
      </c>
      <c r="P561" s="81">
        <f t="shared" si="25"/>
        <v>0</v>
      </c>
      <c r="Q561" s="65"/>
      <c r="R561" s="67"/>
      <c r="S561" s="83">
        <f t="shared" si="26"/>
        <v>0</v>
      </c>
    </row>
    <row r="562" spans="1:19" ht="18" customHeight="1" x14ac:dyDescent="0.25">
      <c r="A562" s="68"/>
      <c r="B562" s="69"/>
      <c r="C562" s="74"/>
      <c r="D562" s="69"/>
      <c r="E562" s="68"/>
      <c r="F562" s="71"/>
      <c r="G562" s="72"/>
      <c r="H562" s="73"/>
      <c r="I562" s="74"/>
      <c r="J562" s="74"/>
      <c r="K562" s="74"/>
      <c r="L562" s="74"/>
      <c r="M562" s="74"/>
      <c r="N562" s="74"/>
      <c r="O562" s="82">
        <f t="shared" si="24"/>
        <v>0</v>
      </c>
      <c r="P562" s="82">
        <f t="shared" si="25"/>
        <v>0</v>
      </c>
      <c r="Q562" s="74"/>
      <c r="R562" s="76"/>
      <c r="S562" s="84">
        <f t="shared" si="26"/>
        <v>0</v>
      </c>
    </row>
    <row r="563" spans="1:19" ht="18" customHeight="1" x14ac:dyDescent="0.25">
      <c r="A563" s="59"/>
      <c r="B563" s="60"/>
      <c r="C563" s="65"/>
      <c r="D563" s="60"/>
      <c r="E563" s="59"/>
      <c r="F563" s="62"/>
      <c r="G563" s="63"/>
      <c r="H563" s="64"/>
      <c r="I563" s="65"/>
      <c r="J563" s="65"/>
      <c r="K563" s="65"/>
      <c r="L563" s="65"/>
      <c r="M563" s="65"/>
      <c r="N563" s="65"/>
      <c r="O563" s="81">
        <f t="shared" si="24"/>
        <v>0</v>
      </c>
      <c r="P563" s="81">
        <f t="shared" si="25"/>
        <v>0</v>
      </c>
      <c r="Q563" s="65"/>
      <c r="R563" s="67"/>
      <c r="S563" s="83">
        <f t="shared" si="26"/>
        <v>0</v>
      </c>
    </row>
    <row r="564" spans="1:19" ht="18" customHeight="1" x14ac:dyDescent="0.25">
      <c r="A564" s="68"/>
      <c r="B564" s="69"/>
      <c r="C564" s="74"/>
      <c r="D564" s="69"/>
      <c r="E564" s="68"/>
      <c r="F564" s="71"/>
      <c r="G564" s="72"/>
      <c r="H564" s="73"/>
      <c r="I564" s="74"/>
      <c r="J564" s="74"/>
      <c r="K564" s="74"/>
      <c r="L564" s="74"/>
      <c r="M564" s="74"/>
      <c r="N564" s="74"/>
      <c r="O564" s="82">
        <f t="shared" si="24"/>
        <v>0</v>
      </c>
      <c r="P564" s="82">
        <f t="shared" si="25"/>
        <v>0</v>
      </c>
      <c r="Q564" s="74"/>
      <c r="R564" s="76"/>
      <c r="S564" s="84">
        <f t="shared" si="26"/>
        <v>0</v>
      </c>
    </row>
    <row r="565" spans="1:19" ht="18" customHeight="1" x14ac:dyDescent="0.25">
      <c r="A565" s="59"/>
      <c r="B565" s="60"/>
      <c r="C565" s="65"/>
      <c r="D565" s="60"/>
      <c r="E565" s="59"/>
      <c r="F565" s="62"/>
      <c r="G565" s="63"/>
      <c r="H565" s="64"/>
      <c r="I565" s="65"/>
      <c r="J565" s="65"/>
      <c r="K565" s="65"/>
      <c r="L565" s="65"/>
      <c r="M565" s="65"/>
      <c r="N565" s="65"/>
      <c r="O565" s="81">
        <f t="shared" si="24"/>
        <v>0</v>
      </c>
      <c r="P565" s="81">
        <f t="shared" si="25"/>
        <v>0</v>
      </c>
      <c r="Q565" s="65"/>
      <c r="R565" s="67"/>
      <c r="S565" s="83">
        <f t="shared" si="26"/>
        <v>0</v>
      </c>
    </row>
    <row r="566" spans="1:19" ht="18" customHeight="1" x14ac:dyDescent="0.25">
      <c r="A566" s="68"/>
      <c r="B566" s="69"/>
      <c r="C566" s="74"/>
      <c r="D566" s="69"/>
      <c r="E566" s="68"/>
      <c r="F566" s="71"/>
      <c r="G566" s="72"/>
      <c r="H566" s="73"/>
      <c r="I566" s="74"/>
      <c r="J566" s="74"/>
      <c r="K566" s="74"/>
      <c r="L566" s="74"/>
      <c r="M566" s="74"/>
      <c r="N566" s="74"/>
      <c r="O566" s="82">
        <f t="shared" si="24"/>
        <v>0</v>
      </c>
      <c r="P566" s="82">
        <f t="shared" si="25"/>
        <v>0</v>
      </c>
      <c r="Q566" s="74"/>
      <c r="R566" s="76"/>
      <c r="S566" s="84">
        <f t="shared" si="26"/>
        <v>0</v>
      </c>
    </row>
    <row r="567" spans="1:19" ht="18" customHeight="1" x14ac:dyDescent="0.25">
      <c r="A567" s="59"/>
      <c r="B567" s="60"/>
      <c r="C567" s="65"/>
      <c r="D567" s="60"/>
      <c r="E567" s="59"/>
      <c r="F567" s="62"/>
      <c r="G567" s="63"/>
      <c r="H567" s="64"/>
      <c r="I567" s="65"/>
      <c r="J567" s="65"/>
      <c r="K567" s="65"/>
      <c r="L567" s="65"/>
      <c r="M567" s="65"/>
      <c r="N567" s="65"/>
      <c r="O567" s="81">
        <f t="shared" si="24"/>
        <v>0</v>
      </c>
      <c r="P567" s="81">
        <f t="shared" si="25"/>
        <v>0</v>
      </c>
      <c r="Q567" s="65"/>
      <c r="R567" s="67"/>
      <c r="S567" s="83">
        <f t="shared" si="26"/>
        <v>0</v>
      </c>
    </row>
    <row r="568" spans="1:19" ht="18" customHeight="1" x14ac:dyDescent="0.25">
      <c r="A568" s="68"/>
      <c r="B568" s="69"/>
      <c r="C568" s="74"/>
      <c r="D568" s="69"/>
      <c r="E568" s="68"/>
      <c r="F568" s="71"/>
      <c r="G568" s="72"/>
      <c r="H568" s="73"/>
      <c r="I568" s="74"/>
      <c r="J568" s="74"/>
      <c r="K568" s="74"/>
      <c r="L568" s="74"/>
      <c r="M568" s="74"/>
      <c r="N568" s="74"/>
      <c r="O568" s="82">
        <f t="shared" si="24"/>
        <v>0</v>
      </c>
      <c r="P568" s="82">
        <f t="shared" si="25"/>
        <v>0</v>
      </c>
      <c r="Q568" s="74"/>
      <c r="R568" s="76"/>
      <c r="S568" s="84">
        <f t="shared" si="26"/>
        <v>0</v>
      </c>
    </row>
    <row r="569" spans="1:19" ht="18" customHeight="1" x14ac:dyDescent="0.25">
      <c r="A569" s="59"/>
      <c r="B569" s="60"/>
      <c r="C569" s="65"/>
      <c r="D569" s="60"/>
      <c r="E569" s="59"/>
      <c r="F569" s="62"/>
      <c r="G569" s="63"/>
      <c r="H569" s="64"/>
      <c r="I569" s="65"/>
      <c r="J569" s="65"/>
      <c r="K569" s="65"/>
      <c r="L569" s="65"/>
      <c r="M569" s="65"/>
      <c r="N569" s="65"/>
      <c r="O569" s="81">
        <f t="shared" si="24"/>
        <v>0</v>
      </c>
      <c r="P569" s="81">
        <f t="shared" si="25"/>
        <v>0</v>
      </c>
      <c r="Q569" s="65"/>
      <c r="R569" s="67"/>
      <c r="S569" s="83">
        <f t="shared" si="26"/>
        <v>0</v>
      </c>
    </row>
    <row r="570" spans="1:19" ht="18" customHeight="1" x14ac:dyDescent="0.25">
      <c r="A570" s="68"/>
      <c r="B570" s="69"/>
      <c r="C570" s="74"/>
      <c r="D570" s="69"/>
      <c r="E570" s="68"/>
      <c r="F570" s="71"/>
      <c r="G570" s="72"/>
      <c r="H570" s="73"/>
      <c r="I570" s="74"/>
      <c r="J570" s="74"/>
      <c r="K570" s="74"/>
      <c r="L570" s="74"/>
      <c r="M570" s="74"/>
      <c r="N570" s="74"/>
      <c r="O570" s="82">
        <f t="shared" si="24"/>
        <v>0</v>
      </c>
      <c r="P570" s="82">
        <f t="shared" si="25"/>
        <v>0</v>
      </c>
      <c r="Q570" s="74"/>
      <c r="R570" s="76"/>
      <c r="S570" s="84">
        <f t="shared" si="26"/>
        <v>0</v>
      </c>
    </row>
    <row r="571" spans="1:19" ht="18" customHeight="1" x14ac:dyDescent="0.25">
      <c r="A571" s="59"/>
      <c r="B571" s="60"/>
      <c r="C571" s="65"/>
      <c r="D571" s="60"/>
      <c r="E571" s="59"/>
      <c r="F571" s="62"/>
      <c r="G571" s="63"/>
      <c r="H571" s="64"/>
      <c r="I571" s="65"/>
      <c r="J571" s="65"/>
      <c r="K571" s="65"/>
      <c r="L571" s="65"/>
      <c r="M571" s="65"/>
      <c r="N571" s="65"/>
      <c r="O571" s="81">
        <f t="shared" si="24"/>
        <v>0</v>
      </c>
      <c r="P571" s="81">
        <f t="shared" si="25"/>
        <v>0</v>
      </c>
      <c r="Q571" s="65"/>
      <c r="R571" s="67"/>
      <c r="S571" s="83">
        <f t="shared" si="26"/>
        <v>0</v>
      </c>
    </row>
    <row r="572" spans="1:19" ht="18" customHeight="1" x14ac:dyDescent="0.25">
      <c r="A572" s="68"/>
      <c r="B572" s="69"/>
      <c r="C572" s="74"/>
      <c r="D572" s="69"/>
      <c r="E572" s="68"/>
      <c r="F572" s="71"/>
      <c r="G572" s="72"/>
      <c r="H572" s="73"/>
      <c r="I572" s="74"/>
      <c r="J572" s="74"/>
      <c r="K572" s="74"/>
      <c r="L572" s="74"/>
      <c r="M572" s="74"/>
      <c r="N572" s="74"/>
      <c r="O572" s="82">
        <f t="shared" si="24"/>
        <v>0</v>
      </c>
      <c r="P572" s="82">
        <f t="shared" si="25"/>
        <v>0</v>
      </c>
      <c r="Q572" s="74"/>
      <c r="R572" s="76"/>
      <c r="S572" s="84">
        <f t="shared" si="26"/>
        <v>0</v>
      </c>
    </row>
    <row r="573" spans="1:19" ht="18" customHeight="1" x14ac:dyDescent="0.25">
      <c r="A573" s="59"/>
      <c r="B573" s="60"/>
      <c r="C573" s="65"/>
      <c r="D573" s="60"/>
      <c r="E573" s="59"/>
      <c r="F573" s="62"/>
      <c r="G573" s="63"/>
      <c r="H573" s="64"/>
      <c r="I573" s="65"/>
      <c r="J573" s="65"/>
      <c r="K573" s="65"/>
      <c r="L573" s="65"/>
      <c r="M573" s="65"/>
      <c r="N573" s="65"/>
      <c r="O573" s="81">
        <f t="shared" si="24"/>
        <v>0</v>
      </c>
      <c r="P573" s="81">
        <f t="shared" si="25"/>
        <v>0</v>
      </c>
      <c r="Q573" s="65"/>
      <c r="R573" s="67"/>
      <c r="S573" s="83">
        <f t="shared" si="26"/>
        <v>0</v>
      </c>
    </row>
    <row r="574" spans="1:19" ht="18" customHeight="1" x14ac:dyDescent="0.25">
      <c r="A574" s="68"/>
      <c r="B574" s="69"/>
      <c r="C574" s="74"/>
      <c r="D574" s="69"/>
      <c r="E574" s="68"/>
      <c r="F574" s="71"/>
      <c r="G574" s="72"/>
      <c r="H574" s="73"/>
      <c r="I574" s="74"/>
      <c r="J574" s="74"/>
      <c r="K574" s="74"/>
      <c r="L574" s="74"/>
      <c r="M574" s="74"/>
      <c r="N574" s="74"/>
      <c r="O574" s="82">
        <f t="shared" si="24"/>
        <v>0</v>
      </c>
      <c r="P574" s="82">
        <f t="shared" si="25"/>
        <v>0</v>
      </c>
      <c r="Q574" s="74"/>
      <c r="R574" s="76"/>
      <c r="S574" s="84">
        <f t="shared" si="26"/>
        <v>0</v>
      </c>
    </row>
    <row r="575" spans="1:19" ht="18" customHeight="1" x14ac:dyDescent="0.25">
      <c r="A575" s="59"/>
      <c r="B575" s="60"/>
      <c r="C575" s="65"/>
      <c r="D575" s="60"/>
      <c r="E575" s="59"/>
      <c r="F575" s="62"/>
      <c r="G575" s="63"/>
      <c r="H575" s="64"/>
      <c r="I575" s="65"/>
      <c r="J575" s="65"/>
      <c r="K575" s="65"/>
      <c r="L575" s="65"/>
      <c r="M575" s="65"/>
      <c r="N575" s="65"/>
      <c r="O575" s="81">
        <f t="shared" si="24"/>
        <v>0</v>
      </c>
      <c r="P575" s="81">
        <f t="shared" si="25"/>
        <v>0</v>
      </c>
      <c r="Q575" s="65"/>
      <c r="R575" s="67"/>
      <c r="S575" s="83">
        <f t="shared" si="26"/>
        <v>0</v>
      </c>
    </row>
    <row r="576" spans="1:19" ht="18" customHeight="1" x14ac:dyDescent="0.25">
      <c r="A576" s="68"/>
      <c r="B576" s="69"/>
      <c r="C576" s="74"/>
      <c r="D576" s="69"/>
      <c r="E576" s="68"/>
      <c r="F576" s="71"/>
      <c r="G576" s="72"/>
      <c r="H576" s="73"/>
      <c r="I576" s="74"/>
      <c r="J576" s="74"/>
      <c r="K576" s="74"/>
      <c r="L576" s="74"/>
      <c r="M576" s="74"/>
      <c r="N576" s="74"/>
      <c r="O576" s="82">
        <f t="shared" si="24"/>
        <v>0</v>
      </c>
      <c r="P576" s="82">
        <f t="shared" si="25"/>
        <v>0</v>
      </c>
      <c r="Q576" s="74"/>
      <c r="R576" s="76"/>
      <c r="S576" s="84">
        <f t="shared" si="26"/>
        <v>0</v>
      </c>
    </row>
    <row r="577" spans="1:19" ht="18" customHeight="1" x14ac:dyDescent="0.25">
      <c r="A577" s="59"/>
      <c r="B577" s="60"/>
      <c r="C577" s="65"/>
      <c r="D577" s="60"/>
      <c r="E577" s="59"/>
      <c r="F577" s="62"/>
      <c r="G577" s="63"/>
      <c r="H577" s="64"/>
      <c r="I577" s="65"/>
      <c r="J577" s="65"/>
      <c r="K577" s="65"/>
      <c r="L577" s="65"/>
      <c r="M577" s="65"/>
      <c r="N577" s="65"/>
      <c r="O577" s="81">
        <f t="shared" si="24"/>
        <v>0</v>
      </c>
      <c r="P577" s="81">
        <f t="shared" si="25"/>
        <v>0</v>
      </c>
      <c r="Q577" s="65"/>
      <c r="R577" s="67"/>
      <c r="S577" s="83">
        <f t="shared" si="26"/>
        <v>0</v>
      </c>
    </row>
    <row r="578" spans="1:19" ht="18" customHeight="1" x14ac:dyDescent="0.25">
      <c r="A578" s="68"/>
      <c r="B578" s="69"/>
      <c r="C578" s="74"/>
      <c r="D578" s="69"/>
      <c r="E578" s="68"/>
      <c r="F578" s="71"/>
      <c r="G578" s="72"/>
      <c r="H578" s="73"/>
      <c r="I578" s="74"/>
      <c r="J578" s="74"/>
      <c r="K578" s="74"/>
      <c r="L578" s="74"/>
      <c r="M578" s="74"/>
      <c r="N578" s="74"/>
      <c r="O578" s="82">
        <f t="shared" si="24"/>
        <v>0</v>
      </c>
      <c r="P578" s="82">
        <f t="shared" si="25"/>
        <v>0</v>
      </c>
      <c r="Q578" s="74"/>
      <c r="R578" s="76"/>
      <c r="S578" s="84">
        <f t="shared" si="26"/>
        <v>0</v>
      </c>
    </row>
    <row r="579" spans="1:19" ht="18" customHeight="1" x14ac:dyDescent="0.25">
      <c r="A579" s="59"/>
      <c r="B579" s="60"/>
      <c r="C579" s="65"/>
      <c r="D579" s="60"/>
      <c r="E579" s="59"/>
      <c r="F579" s="62"/>
      <c r="G579" s="63"/>
      <c r="H579" s="64"/>
      <c r="I579" s="65"/>
      <c r="J579" s="65"/>
      <c r="K579" s="65"/>
      <c r="L579" s="65"/>
      <c r="M579" s="65"/>
      <c r="N579" s="65"/>
      <c r="O579" s="81">
        <f t="shared" si="24"/>
        <v>0</v>
      </c>
      <c r="P579" s="81">
        <f t="shared" si="25"/>
        <v>0</v>
      </c>
      <c r="Q579" s="65"/>
      <c r="R579" s="67"/>
      <c r="S579" s="83">
        <f t="shared" si="26"/>
        <v>0</v>
      </c>
    </row>
    <row r="580" spans="1:19" ht="18" customHeight="1" x14ac:dyDescent="0.25">
      <c r="A580" s="68"/>
      <c r="B580" s="69"/>
      <c r="C580" s="74"/>
      <c r="D580" s="69"/>
      <c r="E580" s="68"/>
      <c r="F580" s="71"/>
      <c r="G580" s="72"/>
      <c r="H580" s="73"/>
      <c r="I580" s="74"/>
      <c r="J580" s="74"/>
      <c r="K580" s="74"/>
      <c r="L580" s="74"/>
      <c r="M580" s="74"/>
      <c r="N580" s="74"/>
      <c r="O580" s="82">
        <f t="shared" si="24"/>
        <v>0</v>
      </c>
      <c r="P580" s="82">
        <f t="shared" si="25"/>
        <v>0</v>
      </c>
      <c r="Q580" s="74"/>
      <c r="R580" s="76"/>
      <c r="S580" s="84">
        <f t="shared" si="26"/>
        <v>0</v>
      </c>
    </row>
    <row r="581" spans="1:19" ht="18" customHeight="1" x14ac:dyDescent="0.25">
      <c r="A581" s="59"/>
      <c r="B581" s="60"/>
      <c r="C581" s="65"/>
      <c r="D581" s="60"/>
      <c r="E581" s="59"/>
      <c r="F581" s="62"/>
      <c r="G581" s="63"/>
      <c r="H581" s="64"/>
      <c r="I581" s="65"/>
      <c r="J581" s="65"/>
      <c r="K581" s="65"/>
      <c r="L581" s="65"/>
      <c r="M581" s="65"/>
      <c r="N581" s="65"/>
      <c r="O581" s="81">
        <f t="shared" si="24"/>
        <v>0</v>
      </c>
      <c r="P581" s="81">
        <f t="shared" si="25"/>
        <v>0</v>
      </c>
      <c r="Q581" s="65"/>
      <c r="R581" s="67"/>
      <c r="S581" s="83">
        <f t="shared" si="26"/>
        <v>0</v>
      </c>
    </row>
    <row r="582" spans="1:19" ht="18" customHeight="1" x14ac:dyDescent="0.25">
      <c r="A582" s="68"/>
      <c r="B582" s="69"/>
      <c r="C582" s="74"/>
      <c r="D582" s="69"/>
      <c r="E582" s="68"/>
      <c r="F582" s="71"/>
      <c r="G582" s="72"/>
      <c r="H582" s="73"/>
      <c r="I582" s="74"/>
      <c r="J582" s="74"/>
      <c r="K582" s="74"/>
      <c r="L582" s="74"/>
      <c r="M582" s="74"/>
      <c r="N582" s="74"/>
      <c r="O582" s="82" t="e">
        <f>#N/A</f>
        <v>#N/A</v>
      </c>
      <c r="P582" s="82" t="e">
        <f>#N/A</f>
        <v>#N/A</v>
      </c>
      <c r="Q582" s="74"/>
      <c r="R582" s="76"/>
      <c r="S582" s="84">
        <f t="shared" si="26"/>
        <v>0</v>
      </c>
    </row>
    <row r="583" spans="1:19" ht="18" customHeight="1" x14ac:dyDescent="0.25">
      <c r="A583" s="59"/>
      <c r="B583" s="60"/>
      <c r="C583" s="65"/>
      <c r="D583" s="60"/>
      <c r="E583" s="59"/>
      <c r="F583" s="62"/>
      <c r="G583" s="63"/>
      <c r="H583" s="64"/>
      <c r="I583" s="65"/>
      <c r="J583" s="65"/>
      <c r="K583" s="65"/>
      <c r="L583" s="65"/>
      <c r="M583" s="65"/>
      <c r="N583" s="65"/>
      <c r="O583" s="81">
        <f t="shared" ref="O583:O645" si="27">IF(G583="Reimbursement ","",I583+J583+K583+L583+M583)</f>
        <v>0</v>
      </c>
      <c r="P583" s="81">
        <f t="shared" ref="P583:P645" si="28">IF(G583="Reimbursement ","",H583-O583)</f>
        <v>0</v>
      </c>
      <c r="Q583" s="65"/>
      <c r="R583" s="67"/>
      <c r="S583" s="83">
        <f t="shared" ref="S583:S646" si="29">IF(OR(R583="",Q583=""),0,IF(R583&gt;Q583,R583-Q583,0))</f>
        <v>0</v>
      </c>
    </row>
    <row r="584" spans="1:19" ht="18" customHeight="1" x14ac:dyDescent="0.25">
      <c r="A584" s="68"/>
      <c r="B584" s="69"/>
      <c r="C584" s="74"/>
      <c r="D584" s="69"/>
      <c r="E584" s="68"/>
      <c r="F584" s="71"/>
      <c r="G584" s="72"/>
      <c r="H584" s="73"/>
      <c r="I584" s="74"/>
      <c r="J584" s="74"/>
      <c r="K584" s="74"/>
      <c r="L584" s="74"/>
      <c r="M584" s="74"/>
      <c r="N584" s="74"/>
      <c r="O584" s="82">
        <f t="shared" si="27"/>
        <v>0</v>
      </c>
      <c r="P584" s="82">
        <f t="shared" si="28"/>
        <v>0</v>
      </c>
      <c r="Q584" s="74"/>
      <c r="R584" s="76"/>
      <c r="S584" s="84">
        <f t="shared" si="29"/>
        <v>0</v>
      </c>
    </row>
    <row r="585" spans="1:19" ht="18" customHeight="1" x14ac:dyDescent="0.25">
      <c r="A585" s="59"/>
      <c r="B585" s="60"/>
      <c r="C585" s="65"/>
      <c r="D585" s="60"/>
      <c r="E585" s="59"/>
      <c r="F585" s="62"/>
      <c r="G585" s="63"/>
      <c r="H585" s="64"/>
      <c r="I585" s="65"/>
      <c r="J585" s="65"/>
      <c r="K585" s="65"/>
      <c r="L585" s="65"/>
      <c r="M585" s="65"/>
      <c r="N585" s="65"/>
      <c r="O585" s="81">
        <f t="shared" si="27"/>
        <v>0</v>
      </c>
      <c r="P585" s="81">
        <f t="shared" si="28"/>
        <v>0</v>
      </c>
      <c r="Q585" s="65"/>
      <c r="R585" s="67"/>
      <c r="S585" s="83">
        <f t="shared" si="29"/>
        <v>0</v>
      </c>
    </row>
    <row r="586" spans="1:19" ht="18" customHeight="1" x14ac:dyDescent="0.25">
      <c r="A586" s="68"/>
      <c r="B586" s="69"/>
      <c r="C586" s="74"/>
      <c r="D586" s="69"/>
      <c r="E586" s="68"/>
      <c r="F586" s="71"/>
      <c r="G586" s="72"/>
      <c r="H586" s="73"/>
      <c r="I586" s="74"/>
      <c r="J586" s="74"/>
      <c r="K586" s="74"/>
      <c r="L586" s="74"/>
      <c r="M586" s="74"/>
      <c r="N586" s="74"/>
      <c r="O586" s="82">
        <f t="shared" si="27"/>
        <v>0</v>
      </c>
      <c r="P586" s="82">
        <f t="shared" si="28"/>
        <v>0</v>
      </c>
      <c r="Q586" s="74"/>
      <c r="R586" s="76"/>
      <c r="S586" s="84">
        <f t="shared" si="29"/>
        <v>0</v>
      </c>
    </row>
    <row r="587" spans="1:19" ht="18" customHeight="1" x14ac:dyDescent="0.25">
      <c r="A587" s="59"/>
      <c r="B587" s="60"/>
      <c r="C587" s="65"/>
      <c r="D587" s="60"/>
      <c r="E587" s="59"/>
      <c r="F587" s="62"/>
      <c r="G587" s="63"/>
      <c r="H587" s="64"/>
      <c r="I587" s="65"/>
      <c r="J587" s="65"/>
      <c r="K587" s="65"/>
      <c r="L587" s="65"/>
      <c r="M587" s="65"/>
      <c r="N587" s="65"/>
      <c r="O587" s="81">
        <f t="shared" si="27"/>
        <v>0</v>
      </c>
      <c r="P587" s="81">
        <f t="shared" si="28"/>
        <v>0</v>
      </c>
      <c r="Q587" s="65"/>
      <c r="R587" s="67"/>
      <c r="S587" s="83">
        <f t="shared" si="29"/>
        <v>0</v>
      </c>
    </row>
    <row r="588" spans="1:19" ht="18" customHeight="1" x14ac:dyDescent="0.25">
      <c r="A588" s="68"/>
      <c r="B588" s="69"/>
      <c r="C588" s="74"/>
      <c r="D588" s="69"/>
      <c r="E588" s="68"/>
      <c r="F588" s="71"/>
      <c r="G588" s="72"/>
      <c r="H588" s="73"/>
      <c r="I588" s="74"/>
      <c r="J588" s="74"/>
      <c r="K588" s="74"/>
      <c r="L588" s="74"/>
      <c r="M588" s="74"/>
      <c r="N588" s="74"/>
      <c r="O588" s="82">
        <f t="shared" si="27"/>
        <v>0</v>
      </c>
      <c r="P588" s="82">
        <f t="shared" si="28"/>
        <v>0</v>
      </c>
      <c r="Q588" s="74"/>
      <c r="R588" s="76"/>
      <c r="S588" s="84">
        <f t="shared" si="29"/>
        <v>0</v>
      </c>
    </row>
    <row r="589" spans="1:19" ht="18" customHeight="1" x14ac:dyDescent="0.25">
      <c r="A589" s="59"/>
      <c r="B589" s="60"/>
      <c r="C589" s="65"/>
      <c r="D589" s="60"/>
      <c r="E589" s="59"/>
      <c r="F589" s="62"/>
      <c r="G589" s="63"/>
      <c r="H589" s="64"/>
      <c r="I589" s="65"/>
      <c r="J589" s="65"/>
      <c r="K589" s="65"/>
      <c r="L589" s="65"/>
      <c r="M589" s="65"/>
      <c r="N589" s="65"/>
      <c r="O589" s="81">
        <f t="shared" si="27"/>
        <v>0</v>
      </c>
      <c r="P589" s="81">
        <f t="shared" si="28"/>
        <v>0</v>
      </c>
      <c r="Q589" s="65"/>
      <c r="R589" s="67"/>
      <c r="S589" s="83">
        <f t="shared" si="29"/>
        <v>0</v>
      </c>
    </row>
    <row r="590" spans="1:19" ht="18" customHeight="1" x14ac:dyDescent="0.25">
      <c r="A590" s="68"/>
      <c r="B590" s="69"/>
      <c r="C590" s="74"/>
      <c r="D590" s="69"/>
      <c r="E590" s="68"/>
      <c r="F590" s="71"/>
      <c r="G590" s="72"/>
      <c r="H590" s="73"/>
      <c r="I590" s="74"/>
      <c r="J590" s="74"/>
      <c r="K590" s="74"/>
      <c r="L590" s="74"/>
      <c r="M590" s="74"/>
      <c r="N590" s="74"/>
      <c r="O590" s="82">
        <f t="shared" si="27"/>
        <v>0</v>
      </c>
      <c r="P590" s="82">
        <f t="shared" si="28"/>
        <v>0</v>
      </c>
      <c r="Q590" s="74"/>
      <c r="R590" s="76"/>
      <c r="S590" s="84">
        <f t="shared" si="29"/>
        <v>0</v>
      </c>
    </row>
    <row r="591" spans="1:19" ht="18" customHeight="1" x14ac:dyDescent="0.25">
      <c r="A591" s="59"/>
      <c r="B591" s="60"/>
      <c r="C591" s="65"/>
      <c r="D591" s="60"/>
      <c r="E591" s="59"/>
      <c r="F591" s="62"/>
      <c r="G591" s="63"/>
      <c r="H591" s="64"/>
      <c r="I591" s="65"/>
      <c r="J591" s="65"/>
      <c r="K591" s="65"/>
      <c r="L591" s="65"/>
      <c r="M591" s="65"/>
      <c r="N591" s="65"/>
      <c r="O591" s="81">
        <f t="shared" si="27"/>
        <v>0</v>
      </c>
      <c r="P591" s="81">
        <f t="shared" si="28"/>
        <v>0</v>
      </c>
      <c r="Q591" s="65"/>
      <c r="R591" s="67"/>
      <c r="S591" s="83">
        <f t="shared" si="29"/>
        <v>0</v>
      </c>
    </row>
    <row r="592" spans="1:19" ht="18" customHeight="1" x14ac:dyDescent="0.25">
      <c r="A592" s="68"/>
      <c r="B592" s="69"/>
      <c r="C592" s="74"/>
      <c r="D592" s="69"/>
      <c r="E592" s="68"/>
      <c r="F592" s="71"/>
      <c r="G592" s="72"/>
      <c r="H592" s="73"/>
      <c r="I592" s="74"/>
      <c r="J592" s="74"/>
      <c r="K592" s="74"/>
      <c r="L592" s="74"/>
      <c r="M592" s="74"/>
      <c r="N592" s="74"/>
      <c r="O592" s="82">
        <f t="shared" si="27"/>
        <v>0</v>
      </c>
      <c r="P592" s="82">
        <f t="shared" si="28"/>
        <v>0</v>
      </c>
      <c r="Q592" s="74"/>
      <c r="R592" s="76"/>
      <c r="S592" s="84">
        <f t="shared" si="29"/>
        <v>0</v>
      </c>
    </row>
    <row r="593" spans="1:19" ht="18" customHeight="1" x14ac:dyDescent="0.25">
      <c r="A593" s="59"/>
      <c r="B593" s="60"/>
      <c r="C593" s="65"/>
      <c r="D593" s="60"/>
      <c r="E593" s="59"/>
      <c r="F593" s="62"/>
      <c r="G593" s="63"/>
      <c r="H593" s="64"/>
      <c r="I593" s="65"/>
      <c r="J593" s="65"/>
      <c r="K593" s="65"/>
      <c r="L593" s="65"/>
      <c r="M593" s="65"/>
      <c r="N593" s="65"/>
      <c r="O593" s="81">
        <f t="shared" si="27"/>
        <v>0</v>
      </c>
      <c r="P593" s="81">
        <f t="shared" si="28"/>
        <v>0</v>
      </c>
      <c r="Q593" s="65"/>
      <c r="R593" s="67"/>
      <c r="S593" s="83">
        <f t="shared" si="29"/>
        <v>0</v>
      </c>
    </row>
    <row r="594" spans="1:19" ht="18" customHeight="1" x14ac:dyDescent="0.25">
      <c r="A594" s="68"/>
      <c r="B594" s="69"/>
      <c r="C594" s="74"/>
      <c r="D594" s="69"/>
      <c r="E594" s="68"/>
      <c r="F594" s="71"/>
      <c r="G594" s="72"/>
      <c r="H594" s="73"/>
      <c r="I594" s="74"/>
      <c r="J594" s="74"/>
      <c r="K594" s="74"/>
      <c r="L594" s="74"/>
      <c r="M594" s="74"/>
      <c r="N594" s="74"/>
      <c r="O594" s="82">
        <f t="shared" si="27"/>
        <v>0</v>
      </c>
      <c r="P594" s="82">
        <f t="shared" si="28"/>
        <v>0</v>
      </c>
      <c r="Q594" s="74"/>
      <c r="R594" s="76"/>
      <c r="S594" s="84">
        <f t="shared" si="29"/>
        <v>0</v>
      </c>
    </row>
    <row r="595" spans="1:19" ht="18" customHeight="1" x14ac:dyDescent="0.25">
      <c r="A595" s="59"/>
      <c r="B595" s="60"/>
      <c r="C595" s="65"/>
      <c r="D595" s="60"/>
      <c r="E595" s="59"/>
      <c r="F595" s="62"/>
      <c r="G595" s="63"/>
      <c r="H595" s="64"/>
      <c r="I595" s="65"/>
      <c r="J595" s="65"/>
      <c r="K595" s="65"/>
      <c r="L595" s="65"/>
      <c r="M595" s="65"/>
      <c r="N595" s="65"/>
      <c r="O595" s="81">
        <f t="shared" si="27"/>
        <v>0</v>
      </c>
      <c r="P595" s="81">
        <f t="shared" si="28"/>
        <v>0</v>
      </c>
      <c r="Q595" s="65"/>
      <c r="R595" s="67"/>
      <c r="S595" s="83">
        <f t="shared" si="29"/>
        <v>0</v>
      </c>
    </row>
    <row r="596" spans="1:19" ht="18" customHeight="1" x14ac:dyDescent="0.25">
      <c r="A596" s="68"/>
      <c r="B596" s="69"/>
      <c r="C596" s="74"/>
      <c r="D596" s="69"/>
      <c r="E596" s="68"/>
      <c r="F596" s="71"/>
      <c r="G596" s="72"/>
      <c r="H596" s="73"/>
      <c r="I596" s="74"/>
      <c r="J596" s="74"/>
      <c r="K596" s="74"/>
      <c r="L596" s="74"/>
      <c r="M596" s="74"/>
      <c r="N596" s="74"/>
      <c r="O596" s="82">
        <f t="shared" si="27"/>
        <v>0</v>
      </c>
      <c r="P596" s="82">
        <f t="shared" si="28"/>
        <v>0</v>
      </c>
      <c r="Q596" s="74"/>
      <c r="R596" s="76"/>
      <c r="S596" s="84">
        <f t="shared" si="29"/>
        <v>0</v>
      </c>
    </row>
    <row r="597" spans="1:19" ht="18" customHeight="1" x14ac:dyDescent="0.25">
      <c r="A597" s="59"/>
      <c r="B597" s="60"/>
      <c r="C597" s="65"/>
      <c r="D597" s="60"/>
      <c r="E597" s="59"/>
      <c r="F597" s="62"/>
      <c r="G597" s="63"/>
      <c r="H597" s="64"/>
      <c r="I597" s="65"/>
      <c r="J597" s="65"/>
      <c r="K597" s="65"/>
      <c r="L597" s="65"/>
      <c r="M597" s="65"/>
      <c r="N597" s="65"/>
      <c r="O597" s="81">
        <f t="shared" si="27"/>
        <v>0</v>
      </c>
      <c r="P597" s="81">
        <f t="shared" si="28"/>
        <v>0</v>
      </c>
      <c r="Q597" s="65"/>
      <c r="R597" s="67"/>
      <c r="S597" s="83">
        <f t="shared" si="29"/>
        <v>0</v>
      </c>
    </row>
    <row r="598" spans="1:19" ht="18" customHeight="1" x14ac:dyDescent="0.25">
      <c r="A598" s="68"/>
      <c r="B598" s="69"/>
      <c r="C598" s="74"/>
      <c r="D598" s="69"/>
      <c r="E598" s="68"/>
      <c r="F598" s="71"/>
      <c r="G598" s="72"/>
      <c r="H598" s="73"/>
      <c r="I598" s="74"/>
      <c r="J598" s="74"/>
      <c r="K598" s="74"/>
      <c r="L598" s="74"/>
      <c r="M598" s="74"/>
      <c r="N598" s="74"/>
      <c r="O598" s="82">
        <f t="shared" si="27"/>
        <v>0</v>
      </c>
      <c r="P598" s="82">
        <f t="shared" si="28"/>
        <v>0</v>
      </c>
      <c r="Q598" s="74"/>
      <c r="R598" s="76"/>
      <c r="S598" s="84">
        <f t="shared" si="29"/>
        <v>0</v>
      </c>
    </row>
    <row r="599" spans="1:19" ht="18" customHeight="1" x14ac:dyDescent="0.25">
      <c r="A599" s="59"/>
      <c r="B599" s="60"/>
      <c r="C599" s="65"/>
      <c r="D599" s="60"/>
      <c r="E599" s="59"/>
      <c r="F599" s="62"/>
      <c r="G599" s="63"/>
      <c r="H599" s="64"/>
      <c r="I599" s="65"/>
      <c r="J599" s="65"/>
      <c r="K599" s="65"/>
      <c r="L599" s="65"/>
      <c r="M599" s="65"/>
      <c r="N599" s="65"/>
      <c r="O599" s="81">
        <f t="shared" si="27"/>
        <v>0</v>
      </c>
      <c r="P599" s="81">
        <f t="shared" si="28"/>
        <v>0</v>
      </c>
      <c r="Q599" s="65"/>
      <c r="R599" s="67"/>
      <c r="S599" s="83">
        <f t="shared" si="29"/>
        <v>0</v>
      </c>
    </row>
    <row r="600" spans="1:19" ht="18" customHeight="1" x14ac:dyDescent="0.25">
      <c r="A600" s="68"/>
      <c r="B600" s="69"/>
      <c r="C600" s="74"/>
      <c r="D600" s="69"/>
      <c r="E600" s="68"/>
      <c r="F600" s="71"/>
      <c r="G600" s="72"/>
      <c r="H600" s="73"/>
      <c r="I600" s="74"/>
      <c r="J600" s="74"/>
      <c r="K600" s="74"/>
      <c r="L600" s="74"/>
      <c r="M600" s="74"/>
      <c r="N600" s="74"/>
      <c r="O600" s="82">
        <f t="shared" si="27"/>
        <v>0</v>
      </c>
      <c r="P600" s="82">
        <f t="shared" si="28"/>
        <v>0</v>
      </c>
      <c r="Q600" s="74"/>
      <c r="R600" s="76"/>
      <c r="S600" s="84">
        <f t="shared" si="29"/>
        <v>0</v>
      </c>
    </row>
    <row r="601" spans="1:19" ht="18" customHeight="1" x14ac:dyDescent="0.25">
      <c r="A601" s="59"/>
      <c r="B601" s="60"/>
      <c r="C601" s="65"/>
      <c r="D601" s="60"/>
      <c r="E601" s="59"/>
      <c r="F601" s="62"/>
      <c r="G601" s="63"/>
      <c r="H601" s="64"/>
      <c r="I601" s="65"/>
      <c r="J601" s="65"/>
      <c r="K601" s="65"/>
      <c r="L601" s="65"/>
      <c r="M601" s="65"/>
      <c r="N601" s="65"/>
      <c r="O601" s="81">
        <f t="shared" si="27"/>
        <v>0</v>
      </c>
      <c r="P601" s="81">
        <f t="shared" si="28"/>
        <v>0</v>
      </c>
      <c r="Q601" s="65"/>
      <c r="R601" s="67"/>
      <c r="S601" s="83">
        <f t="shared" si="29"/>
        <v>0</v>
      </c>
    </row>
    <row r="602" spans="1:19" ht="18" customHeight="1" x14ac:dyDescent="0.25">
      <c r="A602" s="68"/>
      <c r="B602" s="69"/>
      <c r="C602" s="74"/>
      <c r="D602" s="69"/>
      <c r="E602" s="68"/>
      <c r="F602" s="71"/>
      <c r="G602" s="72"/>
      <c r="H602" s="73"/>
      <c r="I602" s="74"/>
      <c r="J602" s="74"/>
      <c r="K602" s="74"/>
      <c r="L602" s="74"/>
      <c r="M602" s="74"/>
      <c r="N602" s="74"/>
      <c r="O602" s="82">
        <f t="shared" si="27"/>
        <v>0</v>
      </c>
      <c r="P602" s="82">
        <f t="shared" si="28"/>
        <v>0</v>
      </c>
      <c r="Q602" s="74"/>
      <c r="R602" s="76"/>
      <c r="S602" s="84">
        <f t="shared" si="29"/>
        <v>0</v>
      </c>
    </row>
    <row r="603" spans="1:19" ht="18" customHeight="1" x14ac:dyDescent="0.25">
      <c r="A603" s="59"/>
      <c r="B603" s="60"/>
      <c r="C603" s="65"/>
      <c r="D603" s="60"/>
      <c r="E603" s="59"/>
      <c r="F603" s="62"/>
      <c r="G603" s="63"/>
      <c r="H603" s="64"/>
      <c r="I603" s="65"/>
      <c r="J603" s="65"/>
      <c r="K603" s="65"/>
      <c r="L603" s="65"/>
      <c r="M603" s="65"/>
      <c r="N603" s="65"/>
      <c r="O603" s="81">
        <f t="shared" si="27"/>
        <v>0</v>
      </c>
      <c r="P603" s="81">
        <f t="shared" si="28"/>
        <v>0</v>
      </c>
      <c r="Q603" s="65"/>
      <c r="R603" s="67"/>
      <c r="S603" s="83">
        <f t="shared" si="29"/>
        <v>0</v>
      </c>
    </row>
    <row r="604" spans="1:19" ht="18" customHeight="1" x14ac:dyDescent="0.25">
      <c r="A604" s="68"/>
      <c r="B604" s="69"/>
      <c r="C604" s="74"/>
      <c r="D604" s="69"/>
      <c r="E604" s="68"/>
      <c r="F604" s="71"/>
      <c r="G604" s="72"/>
      <c r="H604" s="73"/>
      <c r="I604" s="74"/>
      <c r="J604" s="74"/>
      <c r="K604" s="74"/>
      <c r="L604" s="74"/>
      <c r="M604" s="74"/>
      <c r="N604" s="74"/>
      <c r="O604" s="82">
        <f t="shared" si="27"/>
        <v>0</v>
      </c>
      <c r="P604" s="82">
        <f t="shared" si="28"/>
        <v>0</v>
      </c>
      <c r="Q604" s="74"/>
      <c r="R604" s="76"/>
      <c r="S604" s="84">
        <f t="shared" si="29"/>
        <v>0</v>
      </c>
    </row>
    <row r="605" spans="1:19" ht="18" customHeight="1" x14ac:dyDescent="0.25">
      <c r="A605" s="59"/>
      <c r="B605" s="60"/>
      <c r="C605" s="65"/>
      <c r="D605" s="60"/>
      <c r="E605" s="59"/>
      <c r="F605" s="62"/>
      <c r="G605" s="63"/>
      <c r="H605" s="64"/>
      <c r="I605" s="65"/>
      <c r="J605" s="65"/>
      <c r="K605" s="65"/>
      <c r="L605" s="65"/>
      <c r="M605" s="65"/>
      <c r="N605" s="65"/>
      <c r="O605" s="81">
        <f t="shared" si="27"/>
        <v>0</v>
      </c>
      <c r="P605" s="81">
        <f t="shared" si="28"/>
        <v>0</v>
      </c>
      <c r="Q605" s="65"/>
      <c r="R605" s="67"/>
      <c r="S605" s="83">
        <f t="shared" si="29"/>
        <v>0</v>
      </c>
    </row>
    <row r="606" spans="1:19" ht="18" customHeight="1" x14ac:dyDescent="0.25">
      <c r="A606" s="68"/>
      <c r="B606" s="69"/>
      <c r="C606" s="74"/>
      <c r="D606" s="69"/>
      <c r="E606" s="68"/>
      <c r="F606" s="71"/>
      <c r="G606" s="72"/>
      <c r="H606" s="73"/>
      <c r="I606" s="74"/>
      <c r="J606" s="74"/>
      <c r="K606" s="74"/>
      <c r="L606" s="74"/>
      <c r="M606" s="74"/>
      <c r="N606" s="74"/>
      <c r="O606" s="82">
        <f t="shared" si="27"/>
        <v>0</v>
      </c>
      <c r="P606" s="82">
        <f t="shared" si="28"/>
        <v>0</v>
      </c>
      <c r="Q606" s="74"/>
      <c r="R606" s="76"/>
      <c r="S606" s="84">
        <f t="shared" si="29"/>
        <v>0</v>
      </c>
    </row>
    <row r="607" spans="1:19" ht="18" customHeight="1" x14ac:dyDescent="0.25">
      <c r="A607" s="59"/>
      <c r="B607" s="60"/>
      <c r="C607" s="65"/>
      <c r="D607" s="60"/>
      <c r="E607" s="59"/>
      <c r="F607" s="62"/>
      <c r="G607" s="63"/>
      <c r="H607" s="64"/>
      <c r="I607" s="65"/>
      <c r="J607" s="65"/>
      <c r="K607" s="65"/>
      <c r="L607" s="65"/>
      <c r="M607" s="65"/>
      <c r="N607" s="65"/>
      <c r="O607" s="81">
        <f t="shared" si="27"/>
        <v>0</v>
      </c>
      <c r="P607" s="81">
        <f t="shared" si="28"/>
        <v>0</v>
      </c>
      <c r="Q607" s="65"/>
      <c r="R607" s="67"/>
      <c r="S607" s="83">
        <f t="shared" si="29"/>
        <v>0</v>
      </c>
    </row>
    <row r="608" spans="1:19" ht="18" customHeight="1" x14ac:dyDescent="0.25">
      <c r="A608" s="68"/>
      <c r="B608" s="69"/>
      <c r="C608" s="74"/>
      <c r="D608" s="69"/>
      <c r="E608" s="68"/>
      <c r="F608" s="71"/>
      <c r="G608" s="72"/>
      <c r="H608" s="73"/>
      <c r="I608" s="74"/>
      <c r="J608" s="74"/>
      <c r="K608" s="74"/>
      <c r="L608" s="74"/>
      <c r="M608" s="74"/>
      <c r="N608" s="74"/>
      <c r="O608" s="82">
        <f t="shared" si="27"/>
        <v>0</v>
      </c>
      <c r="P608" s="82">
        <f t="shared" si="28"/>
        <v>0</v>
      </c>
      <c r="Q608" s="74"/>
      <c r="R608" s="76"/>
      <c r="S608" s="84">
        <f t="shared" si="29"/>
        <v>0</v>
      </c>
    </row>
    <row r="609" spans="1:19" ht="18" customHeight="1" x14ac:dyDescent="0.25">
      <c r="A609" s="59"/>
      <c r="B609" s="60"/>
      <c r="C609" s="65"/>
      <c r="D609" s="60"/>
      <c r="E609" s="59"/>
      <c r="F609" s="62"/>
      <c r="G609" s="63"/>
      <c r="H609" s="64"/>
      <c r="I609" s="65"/>
      <c r="J609" s="65"/>
      <c r="K609" s="65"/>
      <c r="L609" s="65"/>
      <c r="M609" s="65"/>
      <c r="N609" s="65"/>
      <c r="O609" s="81">
        <f t="shared" si="27"/>
        <v>0</v>
      </c>
      <c r="P609" s="81">
        <f t="shared" si="28"/>
        <v>0</v>
      </c>
      <c r="Q609" s="65"/>
      <c r="R609" s="67"/>
      <c r="S609" s="83">
        <f t="shared" si="29"/>
        <v>0</v>
      </c>
    </row>
    <row r="610" spans="1:19" ht="18" customHeight="1" x14ac:dyDescent="0.25">
      <c r="A610" s="68"/>
      <c r="B610" s="69"/>
      <c r="C610" s="74"/>
      <c r="D610" s="69"/>
      <c r="E610" s="68"/>
      <c r="F610" s="71"/>
      <c r="G610" s="72"/>
      <c r="H610" s="73"/>
      <c r="I610" s="74"/>
      <c r="J610" s="74"/>
      <c r="K610" s="74"/>
      <c r="L610" s="74"/>
      <c r="M610" s="74"/>
      <c r="N610" s="74"/>
      <c r="O610" s="82">
        <f t="shared" si="27"/>
        <v>0</v>
      </c>
      <c r="P610" s="82">
        <f t="shared" si="28"/>
        <v>0</v>
      </c>
      <c r="Q610" s="74"/>
      <c r="R610" s="76"/>
      <c r="S610" s="84">
        <f t="shared" si="29"/>
        <v>0</v>
      </c>
    </row>
    <row r="611" spans="1:19" ht="18" customHeight="1" x14ac:dyDescent="0.25">
      <c r="A611" s="59"/>
      <c r="B611" s="60"/>
      <c r="C611" s="65"/>
      <c r="D611" s="60"/>
      <c r="E611" s="59"/>
      <c r="F611" s="62"/>
      <c r="G611" s="63"/>
      <c r="H611" s="64"/>
      <c r="I611" s="65"/>
      <c r="J611" s="65"/>
      <c r="K611" s="65"/>
      <c r="L611" s="65"/>
      <c r="M611" s="65"/>
      <c r="N611" s="65"/>
      <c r="O611" s="81">
        <f t="shared" si="27"/>
        <v>0</v>
      </c>
      <c r="P611" s="81">
        <f t="shared" si="28"/>
        <v>0</v>
      </c>
      <c r="Q611" s="65"/>
      <c r="R611" s="67"/>
      <c r="S611" s="83">
        <f t="shared" si="29"/>
        <v>0</v>
      </c>
    </row>
    <row r="612" spans="1:19" ht="18" customHeight="1" x14ac:dyDescent="0.25">
      <c r="A612" s="68"/>
      <c r="B612" s="69"/>
      <c r="C612" s="74"/>
      <c r="D612" s="69"/>
      <c r="E612" s="68"/>
      <c r="F612" s="71"/>
      <c r="G612" s="72"/>
      <c r="H612" s="73"/>
      <c r="I612" s="74"/>
      <c r="J612" s="74"/>
      <c r="K612" s="74"/>
      <c r="L612" s="74"/>
      <c r="M612" s="74"/>
      <c r="N612" s="74"/>
      <c r="O612" s="82">
        <f t="shared" si="27"/>
        <v>0</v>
      </c>
      <c r="P612" s="82">
        <f t="shared" si="28"/>
        <v>0</v>
      </c>
      <c r="Q612" s="74"/>
      <c r="R612" s="76"/>
      <c r="S612" s="84">
        <f t="shared" si="29"/>
        <v>0</v>
      </c>
    </row>
    <row r="613" spans="1:19" ht="18" customHeight="1" x14ac:dyDescent="0.25">
      <c r="A613" s="59"/>
      <c r="B613" s="60"/>
      <c r="C613" s="65"/>
      <c r="D613" s="60"/>
      <c r="E613" s="59"/>
      <c r="F613" s="62"/>
      <c r="G613" s="63"/>
      <c r="H613" s="64"/>
      <c r="I613" s="65"/>
      <c r="J613" s="65"/>
      <c r="K613" s="65"/>
      <c r="L613" s="65"/>
      <c r="M613" s="65"/>
      <c r="N613" s="65"/>
      <c r="O613" s="81">
        <f t="shared" si="27"/>
        <v>0</v>
      </c>
      <c r="P613" s="81">
        <f t="shared" si="28"/>
        <v>0</v>
      </c>
      <c r="Q613" s="65"/>
      <c r="R613" s="67"/>
      <c r="S613" s="83">
        <f t="shared" si="29"/>
        <v>0</v>
      </c>
    </row>
    <row r="614" spans="1:19" ht="18" customHeight="1" x14ac:dyDescent="0.25">
      <c r="A614" s="68"/>
      <c r="B614" s="69"/>
      <c r="C614" s="74"/>
      <c r="D614" s="69"/>
      <c r="E614" s="68"/>
      <c r="F614" s="71"/>
      <c r="G614" s="72"/>
      <c r="H614" s="73"/>
      <c r="I614" s="74"/>
      <c r="J614" s="74"/>
      <c r="K614" s="74"/>
      <c r="L614" s="74"/>
      <c r="M614" s="74"/>
      <c r="N614" s="74"/>
      <c r="O614" s="82">
        <f t="shared" si="27"/>
        <v>0</v>
      </c>
      <c r="P614" s="82">
        <f t="shared" si="28"/>
        <v>0</v>
      </c>
      <c r="Q614" s="74"/>
      <c r="R614" s="76"/>
      <c r="S614" s="84">
        <f t="shared" si="29"/>
        <v>0</v>
      </c>
    </row>
    <row r="615" spans="1:19" ht="18" customHeight="1" x14ac:dyDescent="0.25">
      <c r="A615" s="59"/>
      <c r="B615" s="60"/>
      <c r="C615" s="65"/>
      <c r="D615" s="60"/>
      <c r="E615" s="59"/>
      <c r="F615" s="62"/>
      <c r="G615" s="63"/>
      <c r="H615" s="64"/>
      <c r="I615" s="65"/>
      <c r="J615" s="65"/>
      <c r="K615" s="65"/>
      <c r="L615" s="65"/>
      <c r="M615" s="65"/>
      <c r="N615" s="65"/>
      <c r="O615" s="81">
        <f t="shared" si="27"/>
        <v>0</v>
      </c>
      <c r="P615" s="81">
        <f t="shared" si="28"/>
        <v>0</v>
      </c>
      <c r="Q615" s="65"/>
      <c r="R615" s="67"/>
      <c r="S615" s="83">
        <f t="shared" si="29"/>
        <v>0</v>
      </c>
    </row>
    <row r="616" spans="1:19" ht="18" customHeight="1" x14ac:dyDescent="0.25">
      <c r="A616" s="68"/>
      <c r="B616" s="69"/>
      <c r="C616" s="74"/>
      <c r="D616" s="69"/>
      <c r="E616" s="68"/>
      <c r="F616" s="71"/>
      <c r="G616" s="72"/>
      <c r="H616" s="73"/>
      <c r="I616" s="74"/>
      <c r="J616" s="74"/>
      <c r="K616" s="74"/>
      <c r="L616" s="74"/>
      <c r="M616" s="74"/>
      <c r="N616" s="74"/>
      <c r="O616" s="82">
        <f t="shared" si="27"/>
        <v>0</v>
      </c>
      <c r="P616" s="82">
        <f t="shared" si="28"/>
        <v>0</v>
      </c>
      <c r="Q616" s="74"/>
      <c r="R616" s="76"/>
      <c r="S616" s="84">
        <f t="shared" si="29"/>
        <v>0</v>
      </c>
    </row>
    <row r="617" spans="1:19" ht="18" customHeight="1" x14ac:dyDescent="0.25">
      <c r="A617" s="59"/>
      <c r="B617" s="60"/>
      <c r="C617" s="65"/>
      <c r="D617" s="60"/>
      <c r="E617" s="59"/>
      <c r="F617" s="62"/>
      <c r="G617" s="63"/>
      <c r="H617" s="64"/>
      <c r="I617" s="65"/>
      <c r="J617" s="65"/>
      <c r="K617" s="65"/>
      <c r="L617" s="65"/>
      <c r="M617" s="65"/>
      <c r="N617" s="65"/>
      <c r="O617" s="81">
        <f t="shared" si="27"/>
        <v>0</v>
      </c>
      <c r="P617" s="81">
        <f t="shared" si="28"/>
        <v>0</v>
      </c>
      <c r="Q617" s="65"/>
      <c r="R617" s="67"/>
      <c r="S617" s="83">
        <f t="shared" si="29"/>
        <v>0</v>
      </c>
    </row>
    <row r="618" spans="1:19" ht="18" customHeight="1" x14ac:dyDescent="0.25">
      <c r="A618" s="68"/>
      <c r="B618" s="69"/>
      <c r="C618" s="74"/>
      <c r="D618" s="69"/>
      <c r="E618" s="68"/>
      <c r="F618" s="71"/>
      <c r="G618" s="72"/>
      <c r="H618" s="73"/>
      <c r="I618" s="74"/>
      <c r="J618" s="74"/>
      <c r="K618" s="74"/>
      <c r="L618" s="74"/>
      <c r="M618" s="74"/>
      <c r="N618" s="74"/>
      <c r="O618" s="82">
        <f t="shared" si="27"/>
        <v>0</v>
      </c>
      <c r="P618" s="82">
        <f t="shared" si="28"/>
        <v>0</v>
      </c>
      <c r="Q618" s="74"/>
      <c r="R618" s="76"/>
      <c r="S618" s="84">
        <f t="shared" si="29"/>
        <v>0</v>
      </c>
    </row>
    <row r="619" spans="1:19" ht="18" customHeight="1" x14ac:dyDescent="0.25">
      <c r="A619" s="59"/>
      <c r="B619" s="60"/>
      <c r="C619" s="65"/>
      <c r="D619" s="60"/>
      <c r="E619" s="59"/>
      <c r="F619" s="62"/>
      <c r="G619" s="63"/>
      <c r="H619" s="64"/>
      <c r="I619" s="65"/>
      <c r="J619" s="65"/>
      <c r="K619" s="65"/>
      <c r="L619" s="65"/>
      <c r="M619" s="65"/>
      <c r="N619" s="65"/>
      <c r="O619" s="81">
        <f t="shared" si="27"/>
        <v>0</v>
      </c>
      <c r="P619" s="81">
        <f t="shared" si="28"/>
        <v>0</v>
      </c>
      <c r="Q619" s="65"/>
      <c r="R619" s="67"/>
      <c r="S619" s="83">
        <f t="shared" si="29"/>
        <v>0</v>
      </c>
    </row>
    <row r="620" spans="1:19" ht="18" customHeight="1" x14ac:dyDescent="0.25">
      <c r="A620" s="68"/>
      <c r="B620" s="69"/>
      <c r="C620" s="74"/>
      <c r="D620" s="69"/>
      <c r="E620" s="68"/>
      <c r="F620" s="71"/>
      <c r="G620" s="72"/>
      <c r="H620" s="73"/>
      <c r="I620" s="74"/>
      <c r="J620" s="74"/>
      <c r="K620" s="74"/>
      <c r="L620" s="74"/>
      <c r="M620" s="74"/>
      <c r="N620" s="74"/>
      <c r="O620" s="82">
        <f t="shared" si="27"/>
        <v>0</v>
      </c>
      <c r="P620" s="82">
        <f t="shared" si="28"/>
        <v>0</v>
      </c>
      <c r="Q620" s="74"/>
      <c r="R620" s="76"/>
      <c r="S620" s="84">
        <f t="shared" si="29"/>
        <v>0</v>
      </c>
    </row>
    <row r="621" spans="1:19" ht="18" customHeight="1" x14ac:dyDescent="0.25">
      <c r="A621" s="59"/>
      <c r="B621" s="60"/>
      <c r="C621" s="65"/>
      <c r="D621" s="60"/>
      <c r="E621" s="59"/>
      <c r="F621" s="62"/>
      <c r="G621" s="63"/>
      <c r="H621" s="64"/>
      <c r="I621" s="65"/>
      <c r="J621" s="65"/>
      <c r="K621" s="65"/>
      <c r="L621" s="65"/>
      <c r="M621" s="65"/>
      <c r="N621" s="65"/>
      <c r="O621" s="81">
        <f t="shared" si="27"/>
        <v>0</v>
      </c>
      <c r="P621" s="81">
        <f t="shared" si="28"/>
        <v>0</v>
      </c>
      <c r="Q621" s="65"/>
      <c r="R621" s="67"/>
      <c r="S621" s="83">
        <f t="shared" si="29"/>
        <v>0</v>
      </c>
    </row>
    <row r="622" spans="1:19" ht="18" customHeight="1" x14ac:dyDescent="0.25">
      <c r="A622" s="68"/>
      <c r="B622" s="69"/>
      <c r="C622" s="74"/>
      <c r="D622" s="69"/>
      <c r="E622" s="68"/>
      <c r="F622" s="71"/>
      <c r="G622" s="72"/>
      <c r="H622" s="73"/>
      <c r="I622" s="74"/>
      <c r="J622" s="74"/>
      <c r="K622" s="74"/>
      <c r="L622" s="74"/>
      <c r="M622" s="74"/>
      <c r="N622" s="74"/>
      <c r="O622" s="82">
        <f t="shared" si="27"/>
        <v>0</v>
      </c>
      <c r="P622" s="82">
        <f t="shared" si="28"/>
        <v>0</v>
      </c>
      <c r="Q622" s="74"/>
      <c r="R622" s="76"/>
      <c r="S622" s="84">
        <f t="shared" si="29"/>
        <v>0</v>
      </c>
    </row>
    <row r="623" spans="1:19" ht="18" customHeight="1" x14ac:dyDescent="0.25">
      <c r="A623" s="59"/>
      <c r="B623" s="60"/>
      <c r="C623" s="65"/>
      <c r="D623" s="60"/>
      <c r="E623" s="59"/>
      <c r="F623" s="62"/>
      <c r="G623" s="63"/>
      <c r="H623" s="64"/>
      <c r="I623" s="65"/>
      <c r="J623" s="65"/>
      <c r="K623" s="65"/>
      <c r="L623" s="65"/>
      <c r="M623" s="65"/>
      <c r="N623" s="65"/>
      <c r="O623" s="81">
        <f t="shared" si="27"/>
        <v>0</v>
      </c>
      <c r="P623" s="81">
        <f t="shared" si="28"/>
        <v>0</v>
      </c>
      <c r="Q623" s="65"/>
      <c r="R623" s="67"/>
      <c r="S623" s="83">
        <f t="shared" si="29"/>
        <v>0</v>
      </c>
    </row>
    <row r="624" spans="1:19" ht="18" customHeight="1" x14ac:dyDescent="0.25">
      <c r="A624" s="68"/>
      <c r="B624" s="69"/>
      <c r="C624" s="74"/>
      <c r="D624" s="69"/>
      <c r="E624" s="68"/>
      <c r="F624" s="71"/>
      <c r="G624" s="72"/>
      <c r="H624" s="73"/>
      <c r="I624" s="74"/>
      <c r="J624" s="74"/>
      <c r="K624" s="74"/>
      <c r="L624" s="74"/>
      <c r="M624" s="74"/>
      <c r="N624" s="74"/>
      <c r="O624" s="82">
        <f t="shared" si="27"/>
        <v>0</v>
      </c>
      <c r="P624" s="82">
        <f t="shared" si="28"/>
        <v>0</v>
      </c>
      <c r="Q624" s="74"/>
      <c r="R624" s="76"/>
      <c r="S624" s="84">
        <f t="shared" si="29"/>
        <v>0</v>
      </c>
    </row>
    <row r="625" spans="1:19" ht="18" customHeight="1" x14ac:dyDescent="0.25">
      <c r="A625" s="59"/>
      <c r="B625" s="60"/>
      <c r="C625" s="65"/>
      <c r="D625" s="60"/>
      <c r="E625" s="59"/>
      <c r="F625" s="62"/>
      <c r="G625" s="63"/>
      <c r="H625" s="64"/>
      <c r="I625" s="65"/>
      <c r="J625" s="65"/>
      <c r="K625" s="65"/>
      <c r="L625" s="65"/>
      <c r="M625" s="65"/>
      <c r="N625" s="65"/>
      <c r="O625" s="81">
        <f t="shared" si="27"/>
        <v>0</v>
      </c>
      <c r="P625" s="81">
        <f t="shared" si="28"/>
        <v>0</v>
      </c>
      <c r="Q625" s="65"/>
      <c r="R625" s="67"/>
      <c r="S625" s="83">
        <f t="shared" si="29"/>
        <v>0</v>
      </c>
    </row>
    <row r="626" spans="1:19" ht="18" customHeight="1" x14ac:dyDescent="0.25">
      <c r="A626" s="68"/>
      <c r="B626" s="69"/>
      <c r="C626" s="74"/>
      <c r="D626" s="69"/>
      <c r="E626" s="68"/>
      <c r="F626" s="71"/>
      <c r="G626" s="72"/>
      <c r="H626" s="73"/>
      <c r="I626" s="74"/>
      <c r="J626" s="74"/>
      <c r="K626" s="74"/>
      <c r="L626" s="74"/>
      <c r="M626" s="74"/>
      <c r="N626" s="74"/>
      <c r="O626" s="82">
        <f t="shared" si="27"/>
        <v>0</v>
      </c>
      <c r="P626" s="82">
        <f t="shared" si="28"/>
        <v>0</v>
      </c>
      <c r="Q626" s="74"/>
      <c r="R626" s="76"/>
      <c r="S626" s="84">
        <f t="shared" si="29"/>
        <v>0</v>
      </c>
    </row>
    <row r="627" spans="1:19" ht="18" customHeight="1" x14ac:dyDescent="0.25">
      <c r="A627" s="59"/>
      <c r="B627" s="60"/>
      <c r="C627" s="65"/>
      <c r="D627" s="60"/>
      <c r="E627" s="59"/>
      <c r="F627" s="62"/>
      <c r="G627" s="63"/>
      <c r="H627" s="64"/>
      <c r="I627" s="65"/>
      <c r="J627" s="65"/>
      <c r="K627" s="65"/>
      <c r="L627" s="65"/>
      <c r="M627" s="65"/>
      <c r="N627" s="65"/>
      <c r="O627" s="81">
        <f t="shared" si="27"/>
        <v>0</v>
      </c>
      <c r="P627" s="81">
        <f t="shared" si="28"/>
        <v>0</v>
      </c>
      <c r="Q627" s="65"/>
      <c r="R627" s="67"/>
      <c r="S627" s="83">
        <f t="shared" si="29"/>
        <v>0</v>
      </c>
    </row>
    <row r="628" spans="1:19" ht="18" customHeight="1" x14ac:dyDescent="0.25">
      <c r="A628" s="68"/>
      <c r="B628" s="69"/>
      <c r="C628" s="74"/>
      <c r="D628" s="69"/>
      <c r="E628" s="68"/>
      <c r="F628" s="71"/>
      <c r="G628" s="72"/>
      <c r="H628" s="73"/>
      <c r="I628" s="74"/>
      <c r="J628" s="74"/>
      <c r="K628" s="74"/>
      <c r="L628" s="74"/>
      <c r="M628" s="74"/>
      <c r="N628" s="74"/>
      <c r="O628" s="82">
        <f t="shared" si="27"/>
        <v>0</v>
      </c>
      <c r="P628" s="82">
        <f t="shared" si="28"/>
        <v>0</v>
      </c>
      <c r="Q628" s="74"/>
      <c r="R628" s="76"/>
      <c r="S628" s="84">
        <f t="shared" si="29"/>
        <v>0</v>
      </c>
    </row>
    <row r="629" spans="1:19" ht="18" customHeight="1" x14ac:dyDescent="0.25">
      <c r="A629" s="59"/>
      <c r="B629" s="60"/>
      <c r="C629" s="65"/>
      <c r="D629" s="60"/>
      <c r="E629" s="59"/>
      <c r="F629" s="62"/>
      <c r="G629" s="63"/>
      <c r="H629" s="64"/>
      <c r="I629" s="65"/>
      <c r="J629" s="65"/>
      <c r="K629" s="65"/>
      <c r="L629" s="65"/>
      <c r="M629" s="65"/>
      <c r="N629" s="65"/>
      <c r="O629" s="81">
        <f t="shared" si="27"/>
        <v>0</v>
      </c>
      <c r="P629" s="81">
        <f t="shared" si="28"/>
        <v>0</v>
      </c>
      <c r="Q629" s="65"/>
      <c r="R629" s="67"/>
      <c r="S629" s="83">
        <f t="shared" si="29"/>
        <v>0</v>
      </c>
    </row>
    <row r="630" spans="1:19" ht="18" customHeight="1" x14ac:dyDescent="0.25">
      <c r="A630" s="68"/>
      <c r="B630" s="69"/>
      <c r="C630" s="74"/>
      <c r="D630" s="69"/>
      <c r="E630" s="68"/>
      <c r="F630" s="71"/>
      <c r="G630" s="72"/>
      <c r="H630" s="73"/>
      <c r="I630" s="74"/>
      <c r="J630" s="74"/>
      <c r="K630" s="74"/>
      <c r="L630" s="74"/>
      <c r="M630" s="74"/>
      <c r="N630" s="74"/>
      <c r="O630" s="82">
        <f t="shared" si="27"/>
        <v>0</v>
      </c>
      <c r="P630" s="82">
        <f t="shared" si="28"/>
        <v>0</v>
      </c>
      <c r="Q630" s="74"/>
      <c r="R630" s="76"/>
      <c r="S630" s="84">
        <f t="shared" si="29"/>
        <v>0</v>
      </c>
    </row>
    <row r="631" spans="1:19" ht="18" customHeight="1" x14ac:dyDescent="0.25">
      <c r="A631" s="59"/>
      <c r="B631" s="60"/>
      <c r="C631" s="65"/>
      <c r="D631" s="60"/>
      <c r="E631" s="59"/>
      <c r="F631" s="62"/>
      <c r="G631" s="63"/>
      <c r="H631" s="64"/>
      <c r="I631" s="65"/>
      <c r="J631" s="65"/>
      <c r="K631" s="65"/>
      <c r="L631" s="65"/>
      <c r="M631" s="65"/>
      <c r="N631" s="65"/>
      <c r="O631" s="81">
        <f t="shared" si="27"/>
        <v>0</v>
      </c>
      <c r="P631" s="81">
        <f t="shared" si="28"/>
        <v>0</v>
      </c>
      <c r="Q631" s="65"/>
      <c r="R631" s="67"/>
      <c r="S631" s="83">
        <f t="shared" si="29"/>
        <v>0</v>
      </c>
    </row>
    <row r="632" spans="1:19" ht="18" customHeight="1" x14ac:dyDescent="0.25">
      <c r="A632" s="68"/>
      <c r="B632" s="69"/>
      <c r="C632" s="74"/>
      <c r="D632" s="69"/>
      <c r="E632" s="68"/>
      <c r="F632" s="71"/>
      <c r="G632" s="72"/>
      <c r="H632" s="73"/>
      <c r="I632" s="74"/>
      <c r="J632" s="74"/>
      <c r="K632" s="74"/>
      <c r="L632" s="74"/>
      <c r="M632" s="74"/>
      <c r="N632" s="74"/>
      <c r="O632" s="82">
        <f t="shared" si="27"/>
        <v>0</v>
      </c>
      <c r="P632" s="82">
        <f t="shared" si="28"/>
        <v>0</v>
      </c>
      <c r="Q632" s="74"/>
      <c r="R632" s="76"/>
      <c r="S632" s="84">
        <f t="shared" si="29"/>
        <v>0</v>
      </c>
    </row>
    <row r="633" spans="1:19" ht="18" customHeight="1" x14ac:dyDescent="0.25">
      <c r="A633" s="59"/>
      <c r="B633" s="60"/>
      <c r="C633" s="65"/>
      <c r="D633" s="60"/>
      <c r="E633" s="59"/>
      <c r="F633" s="62"/>
      <c r="G633" s="63"/>
      <c r="H633" s="64"/>
      <c r="I633" s="65"/>
      <c r="J633" s="65"/>
      <c r="K633" s="65"/>
      <c r="L633" s="65"/>
      <c r="M633" s="65"/>
      <c r="N633" s="65"/>
      <c r="O633" s="81">
        <f t="shared" si="27"/>
        <v>0</v>
      </c>
      <c r="P633" s="81">
        <f t="shared" si="28"/>
        <v>0</v>
      </c>
      <c r="Q633" s="65"/>
      <c r="R633" s="67"/>
      <c r="S633" s="83">
        <f t="shared" si="29"/>
        <v>0</v>
      </c>
    </row>
    <row r="634" spans="1:19" ht="18" customHeight="1" x14ac:dyDescent="0.25">
      <c r="A634" s="68"/>
      <c r="B634" s="69"/>
      <c r="C634" s="74"/>
      <c r="D634" s="69"/>
      <c r="E634" s="68"/>
      <c r="F634" s="71"/>
      <c r="G634" s="72"/>
      <c r="H634" s="73"/>
      <c r="I634" s="74"/>
      <c r="J634" s="74"/>
      <c r="K634" s="74"/>
      <c r="L634" s="74"/>
      <c r="M634" s="74"/>
      <c r="N634" s="74"/>
      <c r="O634" s="82">
        <f t="shared" si="27"/>
        <v>0</v>
      </c>
      <c r="P634" s="82">
        <f t="shared" si="28"/>
        <v>0</v>
      </c>
      <c r="Q634" s="74"/>
      <c r="R634" s="76"/>
      <c r="S634" s="84">
        <f t="shared" si="29"/>
        <v>0</v>
      </c>
    </row>
    <row r="635" spans="1:19" ht="18" customHeight="1" x14ac:dyDescent="0.25">
      <c r="A635" s="59"/>
      <c r="B635" s="60"/>
      <c r="C635" s="65"/>
      <c r="D635" s="60"/>
      <c r="E635" s="59"/>
      <c r="F635" s="62"/>
      <c r="G635" s="63"/>
      <c r="H635" s="64"/>
      <c r="I635" s="65"/>
      <c r="J635" s="65"/>
      <c r="K635" s="65"/>
      <c r="L635" s="65"/>
      <c r="M635" s="65"/>
      <c r="N635" s="65"/>
      <c r="O635" s="81">
        <f t="shared" si="27"/>
        <v>0</v>
      </c>
      <c r="P635" s="81">
        <f t="shared" si="28"/>
        <v>0</v>
      </c>
      <c r="Q635" s="65"/>
      <c r="R635" s="67"/>
      <c r="S635" s="83">
        <f t="shared" si="29"/>
        <v>0</v>
      </c>
    </row>
    <row r="636" spans="1:19" ht="18" customHeight="1" x14ac:dyDescent="0.25">
      <c r="A636" s="68"/>
      <c r="B636" s="69"/>
      <c r="C636" s="74"/>
      <c r="D636" s="69"/>
      <c r="E636" s="68"/>
      <c r="F636" s="71"/>
      <c r="G636" s="72"/>
      <c r="H636" s="73"/>
      <c r="I636" s="74"/>
      <c r="J636" s="74"/>
      <c r="K636" s="74"/>
      <c r="L636" s="74"/>
      <c r="M636" s="74"/>
      <c r="N636" s="74"/>
      <c r="O636" s="82">
        <f t="shared" si="27"/>
        <v>0</v>
      </c>
      <c r="P636" s="82">
        <f t="shared" si="28"/>
        <v>0</v>
      </c>
      <c r="Q636" s="74"/>
      <c r="R636" s="76"/>
      <c r="S636" s="84">
        <f t="shared" si="29"/>
        <v>0</v>
      </c>
    </row>
    <row r="637" spans="1:19" ht="18" customHeight="1" x14ac:dyDescent="0.25">
      <c r="A637" s="59"/>
      <c r="B637" s="60"/>
      <c r="C637" s="65"/>
      <c r="D637" s="60"/>
      <c r="E637" s="59"/>
      <c r="F637" s="62"/>
      <c r="G637" s="63"/>
      <c r="H637" s="64"/>
      <c r="I637" s="65"/>
      <c r="J637" s="65"/>
      <c r="K637" s="65"/>
      <c r="L637" s="65"/>
      <c r="M637" s="65"/>
      <c r="N637" s="65"/>
      <c r="O637" s="81">
        <f t="shared" si="27"/>
        <v>0</v>
      </c>
      <c r="P637" s="81">
        <f t="shared" si="28"/>
        <v>0</v>
      </c>
      <c r="Q637" s="65"/>
      <c r="R637" s="67"/>
      <c r="S637" s="83">
        <f t="shared" si="29"/>
        <v>0</v>
      </c>
    </row>
    <row r="638" spans="1:19" ht="18" customHeight="1" x14ac:dyDescent="0.25">
      <c r="A638" s="68"/>
      <c r="B638" s="69"/>
      <c r="C638" s="74"/>
      <c r="D638" s="69"/>
      <c r="E638" s="68"/>
      <c r="F638" s="71"/>
      <c r="G638" s="72"/>
      <c r="H638" s="73"/>
      <c r="I638" s="74"/>
      <c r="J638" s="74"/>
      <c r="K638" s="74"/>
      <c r="L638" s="74"/>
      <c r="M638" s="74"/>
      <c r="N638" s="74"/>
      <c r="O638" s="82">
        <f t="shared" si="27"/>
        <v>0</v>
      </c>
      <c r="P638" s="82">
        <f t="shared" si="28"/>
        <v>0</v>
      </c>
      <c r="Q638" s="74"/>
      <c r="R638" s="76"/>
      <c r="S638" s="84">
        <f t="shared" si="29"/>
        <v>0</v>
      </c>
    </row>
    <row r="639" spans="1:19" ht="18" customHeight="1" x14ac:dyDescent="0.25">
      <c r="A639" s="59"/>
      <c r="B639" s="60"/>
      <c r="C639" s="65"/>
      <c r="D639" s="60"/>
      <c r="E639" s="59"/>
      <c r="F639" s="62"/>
      <c r="G639" s="63"/>
      <c r="H639" s="64"/>
      <c r="I639" s="65"/>
      <c r="J639" s="65"/>
      <c r="K639" s="65"/>
      <c r="L639" s="65"/>
      <c r="M639" s="65"/>
      <c r="N639" s="65"/>
      <c r="O639" s="81">
        <f t="shared" si="27"/>
        <v>0</v>
      </c>
      <c r="P639" s="81">
        <f t="shared" si="28"/>
        <v>0</v>
      </c>
      <c r="Q639" s="65"/>
      <c r="R639" s="67"/>
      <c r="S639" s="83">
        <f t="shared" si="29"/>
        <v>0</v>
      </c>
    </row>
    <row r="640" spans="1:19" ht="18" customHeight="1" x14ac:dyDescent="0.25">
      <c r="A640" s="68"/>
      <c r="B640" s="69"/>
      <c r="C640" s="74"/>
      <c r="D640" s="69"/>
      <c r="E640" s="68"/>
      <c r="F640" s="71"/>
      <c r="G640" s="72"/>
      <c r="H640" s="73"/>
      <c r="I640" s="74"/>
      <c r="J640" s="74"/>
      <c r="K640" s="74"/>
      <c r="L640" s="74"/>
      <c r="M640" s="74"/>
      <c r="N640" s="74"/>
      <c r="O640" s="82">
        <f t="shared" si="27"/>
        <v>0</v>
      </c>
      <c r="P640" s="82">
        <f t="shared" si="28"/>
        <v>0</v>
      </c>
      <c r="Q640" s="74"/>
      <c r="R640" s="76"/>
      <c r="S640" s="84">
        <f t="shared" si="29"/>
        <v>0</v>
      </c>
    </row>
    <row r="641" spans="1:19" ht="18" customHeight="1" x14ac:dyDescent="0.25">
      <c r="A641" s="59"/>
      <c r="B641" s="60"/>
      <c r="C641" s="65"/>
      <c r="D641" s="60"/>
      <c r="E641" s="59"/>
      <c r="F641" s="62"/>
      <c r="G641" s="63"/>
      <c r="H641" s="64"/>
      <c r="I641" s="65"/>
      <c r="J641" s="65"/>
      <c r="K641" s="65"/>
      <c r="L641" s="65"/>
      <c r="M641" s="65"/>
      <c r="N641" s="65"/>
      <c r="O641" s="81">
        <f t="shared" si="27"/>
        <v>0</v>
      </c>
      <c r="P641" s="81">
        <f t="shared" si="28"/>
        <v>0</v>
      </c>
      <c r="Q641" s="65"/>
      <c r="R641" s="67"/>
      <c r="S641" s="83">
        <f t="shared" si="29"/>
        <v>0</v>
      </c>
    </row>
    <row r="642" spans="1:19" ht="18" customHeight="1" x14ac:dyDescent="0.25">
      <c r="A642" s="68"/>
      <c r="B642" s="69"/>
      <c r="C642" s="74"/>
      <c r="D642" s="69"/>
      <c r="E642" s="68"/>
      <c r="F642" s="71"/>
      <c r="G642" s="72"/>
      <c r="H642" s="73"/>
      <c r="I642" s="74"/>
      <c r="J642" s="74"/>
      <c r="K642" s="74"/>
      <c r="L642" s="74"/>
      <c r="M642" s="74"/>
      <c r="N642" s="74"/>
      <c r="O642" s="82">
        <f t="shared" si="27"/>
        <v>0</v>
      </c>
      <c r="P642" s="82">
        <f t="shared" si="28"/>
        <v>0</v>
      </c>
      <c r="Q642" s="74"/>
      <c r="R642" s="76"/>
      <c r="S642" s="84">
        <f t="shared" si="29"/>
        <v>0</v>
      </c>
    </row>
    <row r="643" spans="1:19" ht="18" customHeight="1" x14ac:dyDescent="0.25">
      <c r="A643" s="59"/>
      <c r="B643" s="60"/>
      <c r="C643" s="65"/>
      <c r="D643" s="60"/>
      <c r="E643" s="59"/>
      <c r="F643" s="62"/>
      <c r="G643" s="63"/>
      <c r="H643" s="64"/>
      <c r="I643" s="65"/>
      <c r="J643" s="65"/>
      <c r="K643" s="65"/>
      <c r="L643" s="65"/>
      <c r="M643" s="65"/>
      <c r="N643" s="65"/>
      <c r="O643" s="81">
        <f t="shared" si="27"/>
        <v>0</v>
      </c>
      <c r="P643" s="81">
        <f t="shared" si="28"/>
        <v>0</v>
      </c>
      <c r="Q643" s="65"/>
      <c r="R643" s="67"/>
      <c r="S643" s="83">
        <f t="shared" si="29"/>
        <v>0</v>
      </c>
    </row>
    <row r="644" spans="1:19" ht="18" customHeight="1" x14ac:dyDescent="0.25">
      <c r="A644" s="68"/>
      <c r="B644" s="69"/>
      <c r="C644" s="74"/>
      <c r="D644" s="69"/>
      <c r="E644" s="68"/>
      <c r="F644" s="71"/>
      <c r="G644" s="72"/>
      <c r="H644" s="73"/>
      <c r="I644" s="74"/>
      <c r="J644" s="74"/>
      <c r="K644" s="74"/>
      <c r="L644" s="74"/>
      <c r="M644" s="74"/>
      <c r="N644" s="74"/>
      <c r="O644" s="82">
        <f t="shared" si="27"/>
        <v>0</v>
      </c>
      <c r="P644" s="82">
        <f t="shared" si="28"/>
        <v>0</v>
      </c>
      <c r="Q644" s="74"/>
      <c r="R644" s="76"/>
      <c r="S644" s="84">
        <f t="shared" si="29"/>
        <v>0</v>
      </c>
    </row>
    <row r="645" spans="1:19" ht="18" customHeight="1" x14ac:dyDescent="0.25">
      <c r="A645" s="59"/>
      <c r="B645" s="60"/>
      <c r="C645" s="65"/>
      <c r="D645" s="60"/>
      <c r="E645" s="59"/>
      <c r="F645" s="62"/>
      <c r="G645" s="63"/>
      <c r="H645" s="64"/>
      <c r="I645" s="65"/>
      <c r="J645" s="65"/>
      <c r="K645" s="65"/>
      <c r="L645" s="65"/>
      <c r="M645" s="65"/>
      <c r="N645" s="65"/>
      <c r="O645" s="81">
        <f t="shared" si="27"/>
        <v>0</v>
      </c>
      <c r="P645" s="81">
        <f t="shared" si="28"/>
        <v>0</v>
      </c>
      <c r="Q645" s="65"/>
      <c r="R645" s="67"/>
      <c r="S645" s="83">
        <f t="shared" si="29"/>
        <v>0</v>
      </c>
    </row>
    <row r="646" spans="1:19" ht="18" customHeight="1" x14ac:dyDescent="0.25">
      <c r="A646" s="68"/>
      <c r="B646" s="69"/>
      <c r="C646" s="74"/>
      <c r="D646" s="69"/>
      <c r="E646" s="68"/>
      <c r="F646" s="71"/>
      <c r="G646" s="72"/>
      <c r="H646" s="73"/>
      <c r="I646" s="74"/>
      <c r="J646" s="74"/>
      <c r="K646" s="74"/>
      <c r="L646" s="74"/>
      <c r="M646" s="74"/>
      <c r="N646" s="74"/>
      <c r="O646" s="82" t="e">
        <f>#N/A</f>
        <v>#N/A</v>
      </c>
      <c r="P646" s="82" t="e">
        <f>#N/A</f>
        <v>#N/A</v>
      </c>
      <c r="Q646" s="74"/>
      <c r="R646" s="76"/>
      <c r="S646" s="84">
        <f t="shared" si="29"/>
        <v>0</v>
      </c>
    </row>
    <row r="647" spans="1:19" ht="18" customHeight="1" x14ac:dyDescent="0.25">
      <c r="A647" s="59"/>
      <c r="B647" s="60"/>
      <c r="C647" s="65"/>
      <c r="D647" s="60"/>
      <c r="E647" s="59"/>
      <c r="F647" s="62"/>
      <c r="G647" s="63"/>
      <c r="H647" s="64"/>
      <c r="I647" s="65"/>
      <c r="J647" s="65"/>
      <c r="K647" s="65"/>
      <c r="L647" s="65"/>
      <c r="M647" s="65"/>
      <c r="N647" s="65"/>
      <c r="O647" s="81">
        <f t="shared" ref="O647:O709" si="30">IF(G647="Reimbursement ","",I647+J647+K647+L647+M647)</f>
        <v>0</v>
      </c>
      <c r="P647" s="81">
        <f t="shared" ref="P647:P709" si="31">IF(G647="Reimbursement ","",H647-O647)</f>
        <v>0</v>
      </c>
      <c r="Q647" s="65"/>
      <c r="R647" s="67"/>
      <c r="S647" s="83">
        <f t="shared" ref="S647:S710" si="32">IF(OR(R647="",Q647=""),0,IF(R647&gt;Q647,R647-Q647,0))</f>
        <v>0</v>
      </c>
    </row>
    <row r="648" spans="1:19" ht="18" customHeight="1" x14ac:dyDescent="0.25">
      <c r="A648" s="68"/>
      <c r="B648" s="69"/>
      <c r="C648" s="74"/>
      <c r="D648" s="69"/>
      <c r="E648" s="68"/>
      <c r="F648" s="71"/>
      <c r="G648" s="72"/>
      <c r="H648" s="73"/>
      <c r="I648" s="74"/>
      <c r="J648" s="74"/>
      <c r="K648" s="74"/>
      <c r="L648" s="74"/>
      <c r="M648" s="74"/>
      <c r="N648" s="74"/>
      <c r="O648" s="82">
        <f t="shared" si="30"/>
        <v>0</v>
      </c>
      <c r="P648" s="82">
        <f t="shared" si="31"/>
        <v>0</v>
      </c>
      <c r="Q648" s="74"/>
      <c r="R648" s="76"/>
      <c r="S648" s="84">
        <f t="shared" si="32"/>
        <v>0</v>
      </c>
    </row>
    <row r="649" spans="1:19" ht="18" customHeight="1" x14ac:dyDescent="0.25">
      <c r="A649" s="59"/>
      <c r="B649" s="60"/>
      <c r="C649" s="65"/>
      <c r="D649" s="60"/>
      <c r="E649" s="59"/>
      <c r="F649" s="62"/>
      <c r="G649" s="63"/>
      <c r="H649" s="64"/>
      <c r="I649" s="65"/>
      <c r="J649" s="65"/>
      <c r="K649" s="65"/>
      <c r="L649" s="65"/>
      <c r="M649" s="65"/>
      <c r="N649" s="65"/>
      <c r="O649" s="81">
        <f t="shared" si="30"/>
        <v>0</v>
      </c>
      <c r="P649" s="81">
        <f t="shared" si="31"/>
        <v>0</v>
      </c>
      <c r="Q649" s="65"/>
      <c r="R649" s="67"/>
      <c r="S649" s="83">
        <f t="shared" si="32"/>
        <v>0</v>
      </c>
    </row>
    <row r="650" spans="1:19" ht="18" customHeight="1" x14ac:dyDescent="0.25">
      <c r="A650" s="68"/>
      <c r="B650" s="69"/>
      <c r="C650" s="74"/>
      <c r="D650" s="69"/>
      <c r="E650" s="68"/>
      <c r="F650" s="71"/>
      <c r="G650" s="72"/>
      <c r="H650" s="73"/>
      <c r="I650" s="74"/>
      <c r="J650" s="74"/>
      <c r="K650" s="74"/>
      <c r="L650" s="74"/>
      <c r="M650" s="74"/>
      <c r="N650" s="74"/>
      <c r="O650" s="82">
        <f t="shared" si="30"/>
        <v>0</v>
      </c>
      <c r="P650" s="82">
        <f t="shared" si="31"/>
        <v>0</v>
      </c>
      <c r="Q650" s="74"/>
      <c r="R650" s="76"/>
      <c r="S650" s="84">
        <f t="shared" si="32"/>
        <v>0</v>
      </c>
    </row>
    <row r="651" spans="1:19" ht="18" customHeight="1" x14ac:dyDescent="0.25">
      <c r="A651" s="59"/>
      <c r="B651" s="60"/>
      <c r="C651" s="65"/>
      <c r="D651" s="60"/>
      <c r="E651" s="59"/>
      <c r="F651" s="62"/>
      <c r="G651" s="63"/>
      <c r="H651" s="64"/>
      <c r="I651" s="65"/>
      <c r="J651" s="65"/>
      <c r="K651" s="65"/>
      <c r="L651" s="65"/>
      <c r="M651" s="65"/>
      <c r="N651" s="65"/>
      <c r="O651" s="81">
        <f t="shared" si="30"/>
        <v>0</v>
      </c>
      <c r="P651" s="81">
        <f t="shared" si="31"/>
        <v>0</v>
      </c>
      <c r="Q651" s="65"/>
      <c r="R651" s="67"/>
      <c r="S651" s="83">
        <f t="shared" si="32"/>
        <v>0</v>
      </c>
    </row>
    <row r="652" spans="1:19" ht="18" customHeight="1" x14ac:dyDescent="0.25">
      <c r="A652" s="68"/>
      <c r="B652" s="69"/>
      <c r="C652" s="74"/>
      <c r="D652" s="69"/>
      <c r="E652" s="68"/>
      <c r="F652" s="71"/>
      <c r="G652" s="72"/>
      <c r="H652" s="73"/>
      <c r="I652" s="74"/>
      <c r="J652" s="74"/>
      <c r="K652" s="74"/>
      <c r="L652" s="74"/>
      <c r="M652" s="74"/>
      <c r="N652" s="74"/>
      <c r="O652" s="82">
        <f t="shared" si="30"/>
        <v>0</v>
      </c>
      <c r="P652" s="82">
        <f t="shared" si="31"/>
        <v>0</v>
      </c>
      <c r="Q652" s="74"/>
      <c r="R652" s="76"/>
      <c r="S652" s="84">
        <f t="shared" si="32"/>
        <v>0</v>
      </c>
    </row>
    <row r="653" spans="1:19" ht="18" customHeight="1" x14ac:dyDescent="0.25">
      <c r="A653" s="59"/>
      <c r="B653" s="60"/>
      <c r="C653" s="65"/>
      <c r="D653" s="60"/>
      <c r="E653" s="59"/>
      <c r="F653" s="62"/>
      <c r="G653" s="63"/>
      <c r="H653" s="64"/>
      <c r="I653" s="65"/>
      <c r="J653" s="65"/>
      <c r="K653" s="65"/>
      <c r="L653" s="65"/>
      <c r="M653" s="65"/>
      <c r="N653" s="65"/>
      <c r="O653" s="81">
        <f t="shared" si="30"/>
        <v>0</v>
      </c>
      <c r="P653" s="81">
        <f t="shared" si="31"/>
        <v>0</v>
      </c>
      <c r="Q653" s="65"/>
      <c r="R653" s="67"/>
      <c r="S653" s="83">
        <f t="shared" si="32"/>
        <v>0</v>
      </c>
    </row>
    <row r="654" spans="1:19" ht="18" customHeight="1" x14ac:dyDescent="0.25">
      <c r="A654" s="68"/>
      <c r="B654" s="69"/>
      <c r="C654" s="74"/>
      <c r="D654" s="69"/>
      <c r="E654" s="68"/>
      <c r="F654" s="71"/>
      <c r="G654" s="72"/>
      <c r="H654" s="73"/>
      <c r="I654" s="74"/>
      <c r="J654" s="74"/>
      <c r="K654" s="74"/>
      <c r="L654" s="74"/>
      <c r="M654" s="74"/>
      <c r="N654" s="74"/>
      <c r="O654" s="82">
        <f t="shared" si="30"/>
        <v>0</v>
      </c>
      <c r="P654" s="82">
        <f t="shared" si="31"/>
        <v>0</v>
      </c>
      <c r="Q654" s="74"/>
      <c r="R654" s="76"/>
      <c r="S654" s="84">
        <f t="shared" si="32"/>
        <v>0</v>
      </c>
    </row>
    <row r="655" spans="1:19" ht="18" customHeight="1" x14ac:dyDescent="0.25">
      <c r="A655" s="59"/>
      <c r="B655" s="60"/>
      <c r="C655" s="65"/>
      <c r="D655" s="60"/>
      <c r="E655" s="59"/>
      <c r="F655" s="62"/>
      <c r="G655" s="63"/>
      <c r="H655" s="64"/>
      <c r="I655" s="65"/>
      <c r="J655" s="65"/>
      <c r="K655" s="65"/>
      <c r="L655" s="65"/>
      <c r="M655" s="65"/>
      <c r="N655" s="65"/>
      <c r="O655" s="81">
        <f t="shared" si="30"/>
        <v>0</v>
      </c>
      <c r="P655" s="81">
        <f t="shared" si="31"/>
        <v>0</v>
      </c>
      <c r="Q655" s="65"/>
      <c r="R655" s="67"/>
      <c r="S655" s="83">
        <f t="shared" si="32"/>
        <v>0</v>
      </c>
    </row>
    <row r="656" spans="1:19" ht="18" customHeight="1" x14ac:dyDescent="0.25">
      <c r="A656" s="68"/>
      <c r="B656" s="69"/>
      <c r="C656" s="74"/>
      <c r="D656" s="69"/>
      <c r="E656" s="68"/>
      <c r="F656" s="71"/>
      <c r="G656" s="72"/>
      <c r="H656" s="73"/>
      <c r="I656" s="74"/>
      <c r="J656" s="74"/>
      <c r="K656" s="74"/>
      <c r="L656" s="74"/>
      <c r="M656" s="74"/>
      <c r="N656" s="74"/>
      <c r="O656" s="82">
        <f t="shared" si="30"/>
        <v>0</v>
      </c>
      <c r="P656" s="82">
        <f t="shared" si="31"/>
        <v>0</v>
      </c>
      <c r="Q656" s="74"/>
      <c r="R656" s="76"/>
      <c r="S656" s="84">
        <f t="shared" si="32"/>
        <v>0</v>
      </c>
    </row>
    <row r="657" spans="1:19" ht="18" customHeight="1" x14ac:dyDescent="0.25">
      <c r="A657" s="59"/>
      <c r="B657" s="60"/>
      <c r="C657" s="65"/>
      <c r="D657" s="60"/>
      <c r="E657" s="59"/>
      <c r="F657" s="62"/>
      <c r="G657" s="63"/>
      <c r="H657" s="64"/>
      <c r="I657" s="65"/>
      <c r="J657" s="65"/>
      <c r="K657" s="65"/>
      <c r="L657" s="65"/>
      <c r="M657" s="65"/>
      <c r="N657" s="65"/>
      <c r="O657" s="81">
        <f t="shared" si="30"/>
        <v>0</v>
      </c>
      <c r="P657" s="81">
        <f t="shared" si="31"/>
        <v>0</v>
      </c>
      <c r="Q657" s="65"/>
      <c r="R657" s="67"/>
      <c r="S657" s="83">
        <f t="shared" si="32"/>
        <v>0</v>
      </c>
    </row>
    <row r="658" spans="1:19" ht="18" customHeight="1" x14ac:dyDescent="0.25">
      <c r="A658" s="68"/>
      <c r="B658" s="69"/>
      <c r="C658" s="74"/>
      <c r="D658" s="69"/>
      <c r="E658" s="68"/>
      <c r="F658" s="71"/>
      <c r="G658" s="72"/>
      <c r="H658" s="73"/>
      <c r="I658" s="74"/>
      <c r="J658" s="74"/>
      <c r="K658" s="74"/>
      <c r="L658" s="74"/>
      <c r="M658" s="74"/>
      <c r="N658" s="74"/>
      <c r="O658" s="82">
        <f t="shared" si="30"/>
        <v>0</v>
      </c>
      <c r="P658" s="82">
        <f t="shared" si="31"/>
        <v>0</v>
      </c>
      <c r="Q658" s="74"/>
      <c r="R658" s="76"/>
      <c r="S658" s="84">
        <f t="shared" si="32"/>
        <v>0</v>
      </c>
    </row>
    <row r="659" spans="1:19" ht="18" customHeight="1" x14ac:dyDescent="0.25">
      <c r="A659" s="59"/>
      <c r="B659" s="60"/>
      <c r="C659" s="65"/>
      <c r="D659" s="60"/>
      <c r="E659" s="59"/>
      <c r="F659" s="62"/>
      <c r="G659" s="63"/>
      <c r="H659" s="64"/>
      <c r="I659" s="65"/>
      <c r="J659" s="65"/>
      <c r="K659" s="65"/>
      <c r="L659" s="65"/>
      <c r="M659" s="65"/>
      <c r="N659" s="65"/>
      <c r="O659" s="81">
        <f t="shared" si="30"/>
        <v>0</v>
      </c>
      <c r="P659" s="81">
        <f t="shared" si="31"/>
        <v>0</v>
      </c>
      <c r="Q659" s="65"/>
      <c r="R659" s="67"/>
      <c r="S659" s="83">
        <f t="shared" si="32"/>
        <v>0</v>
      </c>
    </row>
    <row r="660" spans="1:19" ht="18" customHeight="1" x14ac:dyDescent="0.25">
      <c r="A660" s="68"/>
      <c r="B660" s="69"/>
      <c r="C660" s="74"/>
      <c r="D660" s="69"/>
      <c r="E660" s="68"/>
      <c r="F660" s="71"/>
      <c r="G660" s="72"/>
      <c r="H660" s="73"/>
      <c r="I660" s="74"/>
      <c r="J660" s="74"/>
      <c r="K660" s="74"/>
      <c r="L660" s="74"/>
      <c r="M660" s="74"/>
      <c r="N660" s="74"/>
      <c r="O660" s="82">
        <f t="shared" si="30"/>
        <v>0</v>
      </c>
      <c r="P660" s="82">
        <f t="shared" si="31"/>
        <v>0</v>
      </c>
      <c r="Q660" s="74"/>
      <c r="R660" s="76"/>
      <c r="S660" s="84">
        <f t="shared" si="32"/>
        <v>0</v>
      </c>
    </row>
    <row r="661" spans="1:19" ht="18" customHeight="1" x14ac:dyDescent="0.25">
      <c r="A661" s="59"/>
      <c r="B661" s="60"/>
      <c r="C661" s="65"/>
      <c r="D661" s="60"/>
      <c r="E661" s="59"/>
      <c r="F661" s="62"/>
      <c r="G661" s="63"/>
      <c r="H661" s="64"/>
      <c r="I661" s="65"/>
      <c r="J661" s="65"/>
      <c r="K661" s="65"/>
      <c r="L661" s="65"/>
      <c r="M661" s="65"/>
      <c r="N661" s="65"/>
      <c r="O661" s="81">
        <f t="shared" si="30"/>
        <v>0</v>
      </c>
      <c r="P661" s="81">
        <f t="shared" si="31"/>
        <v>0</v>
      </c>
      <c r="Q661" s="65"/>
      <c r="R661" s="67"/>
      <c r="S661" s="83">
        <f t="shared" si="32"/>
        <v>0</v>
      </c>
    </row>
    <row r="662" spans="1:19" ht="18" customHeight="1" x14ac:dyDescent="0.25">
      <c r="A662" s="68"/>
      <c r="B662" s="69"/>
      <c r="C662" s="74"/>
      <c r="D662" s="69"/>
      <c r="E662" s="68"/>
      <c r="F662" s="71"/>
      <c r="G662" s="72"/>
      <c r="H662" s="73"/>
      <c r="I662" s="74"/>
      <c r="J662" s="74"/>
      <c r="K662" s="74"/>
      <c r="L662" s="74"/>
      <c r="M662" s="74"/>
      <c r="N662" s="74"/>
      <c r="O662" s="82">
        <f t="shared" si="30"/>
        <v>0</v>
      </c>
      <c r="P662" s="82">
        <f t="shared" si="31"/>
        <v>0</v>
      </c>
      <c r="Q662" s="74"/>
      <c r="R662" s="76"/>
      <c r="S662" s="84">
        <f t="shared" si="32"/>
        <v>0</v>
      </c>
    </row>
    <row r="663" spans="1:19" ht="18" customHeight="1" x14ac:dyDescent="0.25">
      <c r="A663" s="59"/>
      <c r="B663" s="60"/>
      <c r="C663" s="65"/>
      <c r="D663" s="60"/>
      <c r="E663" s="59"/>
      <c r="F663" s="62"/>
      <c r="G663" s="63"/>
      <c r="H663" s="64"/>
      <c r="I663" s="65"/>
      <c r="J663" s="65"/>
      <c r="K663" s="65"/>
      <c r="L663" s="65"/>
      <c r="M663" s="65"/>
      <c r="N663" s="65"/>
      <c r="O663" s="81">
        <f t="shared" si="30"/>
        <v>0</v>
      </c>
      <c r="P663" s="81">
        <f t="shared" si="31"/>
        <v>0</v>
      </c>
      <c r="Q663" s="65"/>
      <c r="R663" s="67"/>
      <c r="S663" s="83">
        <f t="shared" si="32"/>
        <v>0</v>
      </c>
    </row>
    <row r="664" spans="1:19" ht="18" customHeight="1" x14ac:dyDescent="0.25">
      <c r="A664" s="68"/>
      <c r="B664" s="69"/>
      <c r="C664" s="74"/>
      <c r="D664" s="69"/>
      <c r="E664" s="68"/>
      <c r="F664" s="71"/>
      <c r="G664" s="72"/>
      <c r="H664" s="73"/>
      <c r="I664" s="74"/>
      <c r="J664" s="74"/>
      <c r="K664" s="74"/>
      <c r="L664" s="74"/>
      <c r="M664" s="74"/>
      <c r="N664" s="74"/>
      <c r="O664" s="82">
        <f t="shared" si="30"/>
        <v>0</v>
      </c>
      <c r="P664" s="82">
        <f t="shared" si="31"/>
        <v>0</v>
      </c>
      <c r="Q664" s="74"/>
      <c r="R664" s="76"/>
      <c r="S664" s="84">
        <f t="shared" si="32"/>
        <v>0</v>
      </c>
    </row>
    <row r="665" spans="1:19" ht="18" customHeight="1" x14ac:dyDescent="0.25">
      <c r="A665" s="59"/>
      <c r="B665" s="60"/>
      <c r="C665" s="65"/>
      <c r="D665" s="60"/>
      <c r="E665" s="59"/>
      <c r="F665" s="62"/>
      <c r="G665" s="63"/>
      <c r="H665" s="64"/>
      <c r="I665" s="65"/>
      <c r="J665" s="65"/>
      <c r="K665" s="65"/>
      <c r="L665" s="65"/>
      <c r="M665" s="65"/>
      <c r="N665" s="65"/>
      <c r="O665" s="81">
        <f t="shared" si="30"/>
        <v>0</v>
      </c>
      <c r="P665" s="81">
        <f t="shared" si="31"/>
        <v>0</v>
      </c>
      <c r="Q665" s="65"/>
      <c r="R665" s="67"/>
      <c r="S665" s="83">
        <f t="shared" si="32"/>
        <v>0</v>
      </c>
    </row>
    <row r="666" spans="1:19" ht="18" customHeight="1" x14ac:dyDescent="0.25">
      <c r="A666" s="68"/>
      <c r="B666" s="69"/>
      <c r="C666" s="74"/>
      <c r="D666" s="69"/>
      <c r="E666" s="68"/>
      <c r="F666" s="71"/>
      <c r="G666" s="72"/>
      <c r="H666" s="73"/>
      <c r="I666" s="74"/>
      <c r="J666" s="74"/>
      <c r="K666" s="74"/>
      <c r="L666" s="74"/>
      <c r="M666" s="74"/>
      <c r="N666" s="74"/>
      <c r="O666" s="82">
        <f t="shared" si="30"/>
        <v>0</v>
      </c>
      <c r="P666" s="82">
        <f t="shared" si="31"/>
        <v>0</v>
      </c>
      <c r="Q666" s="74"/>
      <c r="R666" s="76"/>
      <c r="S666" s="84">
        <f t="shared" si="32"/>
        <v>0</v>
      </c>
    </row>
    <row r="667" spans="1:19" ht="18" customHeight="1" x14ac:dyDescent="0.25">
      <c r="A667" s="59"/>
      <c r="B667" s="60"/>
      <c r="C667" s="65"/>
      <c r="D667" s="60"/>
      <c r="E667" s="59"/>
      <c r="F667" s="62"/>
      <c r="G667" s="63"/>
      <c r="H667" s="64"/>
      <c r="I667" s="65"/>
      <c r="J667" s="65"/>
      <c r="K667" s="65"/>
      <c r="L667" s="65"/>
      <c r="M667" s="65"/>
      <c r="N667" s="65"/>
      <c r="O667" s="81">
        <f t="shared" si="30"/>
        <v>0</v>
      </c>
      <c r="P667" s="81">
        <f t="shared" si="31"/>
        <v>0</v>
      </c>
      <c r="Q667" s="65"/>
      <c r="R667" s="67"/>
      <c r="S667" s="83">
        <f t="shared" si="32"/>
        <v>0</v>
      </c>
    </row>
    <row r="668" spans="1:19" ht="18" customHeight="1" x14ac:dyDescent="0.25">
      <c r="A668" s="68"/>
      <c r="B668" s="69"/>
      <c r="C668" s="74"/>
      <c r="D668" s="69"/>
      <c r="E668" s="68"/>
      <c r="F668" s="71"/>
      <c r="G668" s="72"/>
      <c r="H668" s="73"/>
      <c r="I668" s="74"/>
      <c r="J668" s="74"/>
      <c r="K668" s="74"/>
      <c r="L668" s="74"/>
      <c r="M668" s="74"/>
      <c r="N668" s="74"/>
      <c r="O668" s="82">
        <f t="shared" si="30"/>
        <v>0</v>
      </c>
      <c r="P668" s="82">
        <f t="shared" si="31"/>
        <v>0</v>
      </c>
      <c r="Q668" s="74"/>
      <c r="R668" s="76"/>
      <c r="S668" s="84">
        <f t="shared" si="32"/>
        <v>0</v>
      </c>
    </row>
    <row r="669" spans="1:19" ht="18" customHeight="1" x14ac:dyDescent="0.25">
      <c r="A669" s="59"/>
      <c r="B669" s="60"/>
      <c r="C669" s="65"/>
      <c r="D669" s="60"/>
      <c r="E669" s="59"/>
      <c r="F669" s="62"/>
      <c r="G669" s="63"/>
      <c r="H669" s="64"/>
      <c r="I669" s="65"/>
      <c r="J669" s="65"/>
      <c r="K669" s="65"/>
      <c r="L669" s="65"/>
      <c r="M669" s="65"/>
      <c r="N669" s="65"/>
      <c r="O669" s="81">
        <f t="shared" si="30"/>
        <v>0</v>
      </c>
      <c r="P669" s="81">
        <f t="shared" si="31"/>
        <v>0</v>
      </c>
      <c r="Q669" s="65"/>
      <c r="R669" s="67"/>
      <c r="S669" s="83">
        <f t="shared" si="32"/>
        <v>0</v>
      </c>
    </row>
    <row r="670" spans="1:19" ht="18" customHeight="1" x14ac:dyDescent="0.25">
      <c r="A670" s="68"/>
      <c r="B670" s="69"/>
      <c r="C670" s="74"/>
      <c r="D670" s="69"/>
      <c r="E670" s="68"/>
      <c r="F670" s="71"/>
      <c r="G670" s="72"/>
      <c r="H670" s="73"/>
      <c r="I670" s="74"/>
      <c r="J670" s="74"/>
      <c r="K670" s="74"/>
      <c r="L670" s="74"/>
      <c r="M670" s="74"/>
      <c r="N670" s="74"/>
      <c r="O670" s="82">
        <f t="shared" si="30"/>
        <v>0</v>
      </c>
      <c r="P670" s="82">
        <f t="shared" si="31"/>
        <v>0</v>
      </c>
      <c r="Q670" s="74"/>
      <c r="R670" s="76"/>
      <c r="S670" s="84">
        <f t="shared" si="32"/>
        <v>0</v>
      </c>
    </row>
    <row r="671" spans="1:19" ht="18" customHeight="1" x14ac:dyDescent="0.25">
      <c r="A671" s="59"/>
      <c r="B671" s="60"/>
      <c r="C671" s="65"/>
      <c r="D671" s="60"/>
      <c r="E671" s="59"/>
      <c r="F671" s="62"/>
      <c r="G671" s="63"/>
      <c r="H671" s="64"/>
      <c r="I671" s="65"/>
      <c r="J671" s="65"/>
      <c r="K671" s="65"/>
      <c r="L671" s="65"/>
      <c r="M671" s="65"/>
      <c r="N671" s="65"/>
      <c r="O671" s="81">
        <f t="shared" si="30"/>
        <v>0</v>
      </c>
      <c r="P671" s="81">
        <f t="shared" si="31"/>
        <v>0</v>
      </c>
      <c r="Q671" s="65"/>
      <c r="R671" s="67"/>
      <c r="S671" s="83">
        <f t="shared" si="32"/>
        <v>0</v>
      </c>
    </row>
    <row r="672" spans="1:19" ht="18" customHeight="1" x14ac:dyDescent="0.25">
      <c r="A672" s="68"/>
      <c r="B672" s="69"/>
      <c r="C672" s="74"/>
      <c r="D672" s="69"/>
      <c r="E672" s="68"/>
      <c r="F672" s="71"/>
      <c r="G672" s="72"/>
      <c r="H672" s="73"/>
      <c r="I672" s="74"/>
      <c r="J672" s="74"/>
      <c r="K672" s="74"/>
      <c r="L672" s="74"/>
      <c r="M672" s="74"/>
      <c r="N672" s="74"/>
      <c r="O672" s="82">
        <f t="shared" si="30"/>
        <v>0</v>
      </c>
      <c r="P672" s="82">
        <f t="shared" si="31"/>
        <v>0</v>
      </c>
      <c r="Q672" s="74"/>
      <c r="R672" s="76"/>
      <c r="S672" s="84">
        <f t="shared" si="32"/>
        <v>0</v>
      </c>
    </row>
    <row r="673" spans="1:19" ht="18" customHeight="1" x14ac:dyDescent="0.25">
      <c r="A673" s="59"/>
      <c r="B673" s="60"/>
      <c r="C673" s="65"/>
      <c r="D673" s="60"/>
      <c r="E673" s="59"/>
      <c r="F673" s="62"/>
      <c r="G673" s="63"/>
      <c r="H673" s="64"/>
      <c r="I673" s="65"/>
      <c r="J673" s="65"/>
      <c r="K673" s="65"/>
      <c r="L673" s="65"/>
      <c r="M673" s="65"/>
      <c r="N673" s="65"/>
      <c r="O673" s="81">
        <f t="shared" si="30"/>
        <v>0</v>
      </c>
      <c r="P673" s="81">
        <f t="shared" si="31"/>
        <v>0</v>
      </c>
      <c r="Q673" s="65"/>
      <c r="R673" s="67"/>
      <c r="S673" s="83">
        <f t="shared" si="32"/>
        <v>0</v>
      </c>
    </row>
    <row r="674" spans="1:19" ht="18" customHeight="1" x14ac:dyDescent="0.25">
      <c r="A674" s="68"/>
      <c r="B674" s="69"/>
      <c r="C674" s="74"/>
      <c r="D674" s="69"/>
      <c r="E674" s="68"/>
      <c r="F674" s="71"/>
      <c r="G674" s="72"/>
      <c r="H674" s="73"/>
      <c r="I674" s="74"/>
      <c r="J674" s="74"/>
      <c r="K674" s="74"/>
      <c r="L674" s="74"/>
      <c r="M674" s="74"/>
      <c r="N674" s="74"/>
      <c r="O674" s="82">
        <f t="shared" si="30"/>
        <v>0</v>
      </c>
      <c r="P674" s="82">
        <f t="shared" si="31"/>
        <v>0</v>
      </c>
      <c r="Q674" s="74"/>
      <c r="R674" s="76"/>
      <c r="S674" s="84">
        <f t="shared" si="32"/>
        <v>0</v>
      </c>
    </row>
    <row r="675" spans="1:19" ht="18" customHeight="1" x14ac:dyDescent="0.25">
      <c r="A675" s="59"/>
      <c r="B675" s="60"/>
      <c r="C675" s="65"/>
      <c r="D675" s="60"/>
      <c r="E675" s="59"/>
      <c r="F675" s="62"/>
      <c r="G675" s="63"/>
      <c r="H675" s="64"/>
      <c r="I675" s="65"/>
      <c r="J675" s="65"/>
      <c r="K675" s="65"/>
      <c r="L675" s="65"/>
      <c r="M675" s="65"/>
      <c r="N675" s="65"/>
      <c r="O675" s="81">
        <f t="shared" si="30"/>
        <v>0</v>
      </c>
      <c r="P675" s="81">
        <f t="shared" si="31"/>
        <v>0</v>
      </c>
      <c r="Q675" s="65"/>
      <c r="R675" s="67"/>
      <c r="S675" s="83">
        <f t="shared" si="32"/>
        <v>0</v>
      </c>
    </row>
    <row r="676" spans="1:19" ht="18" customHeight="1" x14ac:dyDescent="0.25">
      <c r="A676" s="68"/>
      <c r="B676" s="69"/>
      <c r="C676" s="74"/>
      <c r="D676" s="69"/>
      <c r="E676" s="68"/>
      <c r="F676" s="71"/>
      <c r="G676" s="72"/>
      <c r="H676" s="73"/>
      <c r="I676" s="74"/>
      <c r="J676" s="74"/>
      <c r="K676" s="74"/>
      <c r="L676" s="74"/>
      <c r="M676" s="74"/>
      <c r="N676" s="74"/>
      <c r="O676" s="82">
        <f t="shared" si="30"/>
        <v>0</v>
      </c>
      <c r="P676" s="82">
        <f t="shared" si="31"/>
        <v>0</v>
      </c>
      <c r="Q676" s="74"/>
      <c r="R676" s="76"/>
      <c r="S676" s="84">
        <f t="shared" si="32"/>
        <v>0</v>
      </c>
    </row>
    <row r="677" spans="1:19" ht="18" customHeight="1" x14ac:dyDescent="0.25">
      <c r="A677" s="59"/>
      <c r="B677" s="60"/>
      <c r="C677" s="65"/>
      <c r="D677" s="60"/>
      <c r="E677" s="59"/>
      <c r="F677" s="62"/>
      <c r="G677" s="63"/>
      <c r="H677" s="64"/>
      <c r="I677" s="65"/>
      <c r="J677" s="65"/>
      <c r="K677" s="65"/>
      <c r="L677" s="65"/>
      <c r="M677" s="65"/>
      <c r="N677" s="65"/>
      <c r="O677" s="81">
        <f t="shared" si="30"/>
        <v>0</v>
      </c>
      <c r="P677" s="81">
        <f t="shared" si="31"/>
        <v>0</v>
      </c>
      <c r="Q677" s="65"/>
      <c r="R677" s="67"/>
      <c r="S677" s="83">
        <f t="shared" si="32"/>
        <v>0</v>
      </c>
    </row>
    <row r="678" spans="1:19" ht="18" customHeight="1" x14ac:dyDescent="0.25">
      <c r="A678" s="68"/>
      <c r="B678" s="69"/>
      <c r="C678" s="74"/>
      <c r="D678" s="69"/>
      <c r="E678" s="68"/>
      <c r="F678" s="71"/>
      <c r="G678" s="72"/>
      <c r="H678" s="73"/>
      <c r="I678" s="74"/>
      <c r="J678" s="74"/>
      <c r="K678" s="74"/>
      <c r="L678" s="74"/>
      <c r="M678" s="74"/>
      <c r="N678" s="74"/>
      <c r="O678" s="82">
        <f t="shared" si="30"/>
        <v>0</v>
      </c>
      <c r="P678" s="82">
        <f t="shared" si="31"/>
        <v>0</v>
      </c>
      <c r="Q678" s="74"/>
      <c r="R678" s="76"/>
      <c r="S678" s="84">
        <f t="shared" si="32"/>
        <v>0</v>
      </c>
    </row>
    <row r="679" spans="1:19" ht="18" customHeight="1" x14ac:dyDescent="0.25">
      <c r="A679" s="59"/>
      <c r="B679" s="60"/>
      <c r="C679" s="65"/>
      <c r="D679" s="60"/>
      <c r="E679" s="59"/>
      <c r="F679" s="62"/>
      <c r="G679" s="63"/>
      <c r="H679" s="64"/>
      <c r="I679" s="65"/>
      <c r="J679" s="65"/>
      <c r="K679" s="65"/>
      <c r="L679" s="65"/>
      <c r="M679" s="65"/>
      <c r="N679" s="65"/>
      <c r="O679" s="81">
        <f t="shared" si="30"/>
        <v>0</v>
      </c>
      <c r="P679" s="81">
        <f t="shared" si="31"/>
        <v>0</v>
      </c>
      <c r="Q679" s="65"/>
      <c r="R679" s="67"/>
      <c r="S679" s="83">
        <f t="shared" si="32"/>
        <v>0</v>
      </c>
    </row>
    <row r="680" spans="1:19" ht="18" customHeight="1" x14ac:dyDescent="0.25">
      <c r="A680" s="68"/>
      <c r="B680" s="69"/>
      <c r="C680" s="74"/>
      <c r="D680" s="69"/>
      <c r="E680" s="68"/>
      <c r="F680" s="71"/>
      <c r="G680" s="72"/>
      <c r="H680" s="73"/>
      <c r="I680" s="74"/>
      <c r="J680" s="74"/>
      <c r="K680" s="74"/>
      <c r="L680" s="74"/>
      <c r="M680" s="74"/>
      <c r="N680" s="74"/>
      <c r="O680" s="82">
        <f t="shared" si="30"/>
        <v>0</v>
      </c>
      <c r="P680" s="82">
        <f t="shared" si="31"/>
        <v>0</v>
      </c>
      <c r="Q680" s="74"/>
      <c r="R680" s="76"/>
      <c r="S680" s="84">
        <f t="shared" si="32"/>
        <v>0</v>
      </c>
    </row>
    <row r="681" spans="1:19" ht="18" customHeight="1" x14ac:dyDescent="0.25">
      <c r="A681" s="59"/>
      <c r="B681" s="60"/>
      <c r="C681" s="65"/>
      <c r="D681" s="60"/>
      <c r="E681" s="59"/>
      <c r="F681" s="62"/>
      <c r="G681" s="63"/>
      <c r="H681" s="64"/>
      <c r="I681" s="65"/>
      <c r="J681" s="65"/>
      <c r="K681" s="65"/>
      <c r="L681" s="65"/>
      <c r="M681" s="65"/>
      <c r="N681" s="65"/>
      <c r="O681" s="81">
        <f t="shared" si="30"/>
        <v>0</v>
      </c>
      <c r="P681" s="81">
        <f t="shared" si="31"/>
        <v>0</v>
      </c>
      <c r="Q681" s="65"/>
      <c r="R681" s="67"/>
      <c r="S681" s="83">
        <f t="shared" si="32"/>
        <v>0</v>
      </c>
    </row>
    <row r="682" spans="1:19" ht="18" customHeight="1" x14ac:dyDescent="0.25">
      <c r="A682" s="68"/>
      <c r="B682" s="69"/>
      <c r="C682" s="74"/>
      <c r="D682" s="69"/>
      <c r="E682" s="68"/>
      <c r="F682" s="71"/>
      <c r="G682" s="72"/>
      <c r="H682" s="73"/>
      <c r="I682" s="74"/>
      <c r="J682" s="74"/>
      <c r="K682" s="74"/>
      <c r="L682" s="74"/>
      <c r="M682" s="74"/>
      <c r="N682" s="74"/>
      <c r="O682" s="82">
        <f t="shared" si="30"/>
        <v>0</v>
      </c>
      <c r="P682" s="82">
        <f t="shared" si="31"/>
        <v>0</v>
      </c>
      <c r="Q682" s="74"/>
      <c r="R682" s="76"/>
      <c r="S682" s="84">
        <f t="shared" si="32"/>
        <v>0</v>
      </c>
    </row>
    <row r="683" spans="1:19" ht="18" customHeight="1" x14ac:dyDescent="0.25">
      <c r="A683" s="59"/>
      <c r="B683" s="60"/>
      <c r="C683" s="65"/>
      <c r="D683" s="60"/>
      <c r="E683" s="59"/>
      <c r="F683" s="62"/>
      <c r="G683" s="63"/>
      <c r="H683" s="64"/>
      <c r="I683" s="65"/>
      <c r="J683" s="65"/>
      <c r="K683" s="65"/>
      <c r="L683" s="65"/>
      <c r="M683" s="65"/>
      <c r="N683" s="65"/>
      <c r="O683" s="81">
        <f t="shared" si="30"/>
        <v>0</v>
      </c>
      <c r="P683" s="81">
        <f t="shared" si="31"/>
        <v>0</v>
      </c>
      <c r="Q683" s="65"/>
      <c r="R683" s="67"/>
      <c r="S683" s="83">
        <f t="shared" si="32"/>
        <v>0</v>
      </c>
    </row>
    <row r="684" spans="1:19" ht="18" customHeight="1" x14ac:dyDescent="0.25">
      <c r="A684" s="68"/>
      <c r="B684" s="69"/>
      <c r="C684" s="74"/>
      <c r="D684" s="69"/>
      <c r="E684" s="68"/>
      <c r="F684" s="71"/>
      <c r="G684" s="72"/>
      <c r="H684" s="73"/>
      <c r="I684" s="74"/>
      <c r="J684" s="74"/>
      <c r="K684" s="74"/>
      <c r="L684" s="74"/>
      <c r="M684" s="74"/>
      <c r="N684" s="74"/>
      <c r="O684" s="82">
        <f t="shared" si="30"/>
        <v>0</v>
      </c>
      <c r="P684" s="82">
        <f t="shared" si="31"/>
        <v>0</v>
      </c>
      <c r="Q684" s="74"/>
      <c r="R684" s="76"/>
      <c r="S684" s="84">
        <f t="shared" si="32"/>
        <v>0</v>
      </c>
    </row>
    <row r="685" spans="1:19" ht="18" customHeight="1" x14ac:dyDescent="0.25">
      <c r="A685" s="59"/>
      <c r="B685" s="60"/>
      <c r="C685" s="65"/>
      <c r="D685" s="60"/>
      <c r="E685" s="59"/>
      <c r="F685" s="62"/>
      <c r="G685" s="63"/>
      <c r="H685" s="64"/>
      <c r="I685" s="65"/>
      <c r="J685" s="65"/>
      <c r="K685" s="65"/>
      <c r="L685" s="65"/>
      <c r="M685" s="65"/>
      <c r="N685" s="65"/>
      <c r="O685" s="81">
        <f t="shared" si="30"/>
        <v>0</v>
      </c>
      <c r="P685" s="81">
        <f t="shared" si="31"/>
        <v>0</v>
      </c>
      <c r="Q685" s="65"/>
      <c r="R685" s="67"/>
      <c r="S685" s="83">
        <f t="shared" si="32"/>
        <v>0</v>
      </c>
    </row>
    <row r="686" spans="1:19" ht="18" customHeight="1" x14ac:dyDescent="0.25">
      <c r="A686" s="68"/>
      <c r="B686" s="69"/>
      <c r="C686" s="74"/>
      <c r="D686" s="69"/>
      <c r="E686" s="68"/>
      <c r="F686" s="71"/>
      <c r="G686" s="72"/>
      <c r="H686" s="73"/>
      <c r="I686" s="74"/>
      <c r="J686" s="74"/>
      <c r="K686" s="74"/>
      <c r="L686" s="74"/>
      <c r="M686" s="74"/>
      <c r="N686" s="74"/>
      <c r="O686" s="82">
        <f t="shared" si="30"/>
        <v>0</v>
      </c>
      <c r="P686" s="82">
        <f t="shared" si="31"/>
        <v>0</v>
      </c>
      <c r="Q686" s="74"/>
      <c r="R686" s="76"/>
      <c r="S686" s="84">
        <f t="shared" si="32"/>
        <v>0</v>
      </c>
    </row>
    <row r="687" spans="1:19" ht="18" customHeight="1" x14ac:dyDescent="0.25">
      <c r="A687" s="59"/>
      <c r="B687" s="60"/>
      <c r="C687" s="65"/>
      <c r="D687" s="60"/>
      <c r="E687" s="59"/>
      <c r="F687" s="62"/>
      <c r="G687" s="63"/>
      <c r="H687" s="64"/>
      <c r="I687" s="65"/>
      <c r="J687" s="65"/>
      <c r="K687" s="65"/>
      <c r="L687" s="65"/>
      <c r="M687" s="65"/>
      <c r="N687" s="65"/>
      <c r="O687" s="81">
        <f t="shared" si="30"/>
        <v>0</v>
      </c>
      <c r="P687" s="81">
        <f t="shared" si="31"/>
        <v>0</v>
      </c>
      <c r="Q687" s="65"/>
      <c r="R687" s="67"/>
      <c r="S687" s="83">
        <f t="shared" si="32"/>
        <v>0</v>
      </c>
    </row>
    <row r="688" spans="1:19" ht="18" customHeight="1" x14ac:dyDescent="0.25">
      <c r="A688" s="68"/>
      <c r="B688" s="69"/>
      <c r="C688" s="74"/>
      <c r="D688" s="69"/>
      <c r="E688" s="68"/>
      <c r="F688" s="71"/>
      <c r="G688" s="72"/>
      <c r="H688" s="73"/>
      <c r="I688" s="74"/>
      <c r="J688" s="74"/>
      <c r="K688" s="74"/>
      <c r="L688" s="74"/>
      <c r="M688" s="74"/>
      <c r="N688" s="74"/>
      <c r="O688" s="82">
        <f t="shared" si="30"/>
        <v>0</v>
      </c>
      <c r="P688" s="82">
        <f t="shared" si="31"/>
        <v>0</v>
      </c>
      <c r="Q688" s="74"/>
      <c r="R688" s="76"/>
      <c r="S688" s="84">
        <f t="shared" si="32"/>
        <v>0</v>
      </c>
    </row>
    <row r="689" spans="1:19" ht="18" customHeight="1" x14ac:dyDescent="0.25">
      <c r="A689" s="59"/>
      <c r="B689" s="60"/>
      <c r="C689" s="65"/>
      <c r="D689" s="60"/>
      <c r="E689" s="59"/>
      <c r="F689" s="62"/>
      <c r="G689" s="63"/>
      <c r="H689" s="64"/>
      <c r="I689" s="65"/>
      <c r="J689" s="65"/>
      <c r="K689" s="65"/>
      <c r="L689" s="65"/>
      <c r="M689" s="65"/>
      <c r="N689" s="65"/>
      <c r="O689" s="81">
        <f t="shared" si="30"/>
        <v>0</v>
      </c>
      <c r="P689" s="81">
        <f t="shared" si="31"/>
        <v>0</v>
      </c>
      <c r="Q689" s="65"/>
      <c r="R689" s="67"/>
      <c r="S689" s="83">
        <f t="shared" si="32"/>
        <v>0</v>
      </c>
    </row>
    <row r="690" spans="1:19" ht="18" customHeight="1" x14ac:dyDescent="0.25">
      <c r="A690" s="68"/>
      <c r="B690" s="69"/>
      <c r="C690" s="74"/>
      <c r="D690" s="69"/>
      <c r="E690" s="68"/>
      <c r="F690" s="71"/>
      <c r="G690" s="72"/>
      <c r="H690" s="73"/>
      <c r="I690" s="74"/>
      <c r="J690" s="74"/>
      <c r="K690" s="74"/>
      <c r="L690" s="74"/>
      <c r="M690" s="74"/>
      <c r="N690" s="74"/>
      <c r="O690" s="82">
        <f t="shared" si="30"/>
        <v>0</v>
      </c>
      <c r="P690" s="82">
        <f t="shared" si="31"/>
        <v>0</v>
      </c>
      <c r="Q690" s="74"/>
      <c r="R690" s="76"/>
      <c r="S690" s="84">
        <f t="shared" si="32"/>
        <v>0</v>
      </c>
    </row>
    <row r="691" spans="1:19" ht="18" customHeight="1" x14ac:dyDescent="0.25">
      <c r="A691" s="59"/>
      <c r="B691" s="60"/>
      <c r="C691" s="65"/>
      <c r="D691" s="60"/>
      <c r="E691" s="59"/>
      <c r="F691" s="62"/>
      <c r="G691" s="63"/>
      <c r="H691" s="64"/>
      <c r="I691" s="65"/>
      <c r="J691" s="65"/>
      <c r="K691" s="65"/>
      <c r="L691" s="65"/>
      <c r="M691" s="65"/>
      <c r="N691" s="65"/>
      <c r="O691" s="81">
        <f t="shared" si="30"/>
        <v>0</v>
      </c>
      <c r="P691" s="81">
        <f t="shared" si="31"/>
        <v>0</v>
      </c>
      <c r="Q691" s="65"/>
      <c r="R691" s="67"/>
      <c r="S691" s="83">
        <f t="shared" si="32"/>
        <v>0</v>
      </c>
    </row>
    <row r="692" spans="1:19" ht="18" customHeight="1" x14ac:dyDescent="0.25">
      <c r="A692" s="68"/>
      <c r="B692" s="69"/>
      <c r="C692" s="74"/>
      <c r="D692" s="69"/>
      <c r="E692" s="68"/>
      <c r="F692" s="71"/>
      <c r="G692" s="72"/>
      <c r="H692" s="73"/>
      <c r="I692" s="74"/>
      <c r="J692" s="74"/>
      <c r="K692" s="74"/>
      <c r="L692" s="74"/>
      <c r="M692" s="74"/>
      <c r="N692" s="74"/>
      <c r="O692" s="82">
        <f t="shared" si="30"/>
        <v>0</v>
      </c>
      <c r="P692" s="82">
        <f t="shared" si="31"/>
        <v>0</v>
      </c>
      <c r="Q692" s="74"/>
      <c r="R692" s="76"/>
      <c r="S692" s="84">
        <f t="shared" si="32"/>
        <v>0</v>
      </c>
    </row>
    <row r="693" spans="1:19" ht="18" customHeight="1" x14ac:dyDescent="0.25">
      <c r="A693" s="59"/>
      <c r="B693" s="60"/>
      <c r="C693" s="65"/>
      <c r="D693" s="60"/>
      <c r="E693" s="59"/>
      <c r="F693" s="62"/>
      <c r="G693" s="63"/>
      <c r="H693" s="64"/>
      <c r="I693" s="65"/>
      <c r="J693" s="65"/>
      <c r="K693" s="65"/>
      <c r="L693" s="65"/>
      <c r="M693" s="65"/>
      <c r="N693" s="65"/>
      <c r="O693" s="81">
        <f t="shared" si="30"/>
        <v>0</v>
      </c>
      <c r="P693" s="81">
        <f t="shared" si="31"/>
        <v>0</v>
      </c>
      <c r="Q693" s="65"/>
      <c r="R693" s="67"/>
      <c r="S693" s="83">
        <f t="shared" si="32"/>
        <v>0</v>
      </c>
    </row>
    <row r="694" spans="1:19" ht="18" customHeight="1" x14ac:dyDescent="0.25">
      <c r="A694" s="68"/>
      <c r="B694" s="69"/>
      <c r="C694" s="74"/>
      <c r="D694" s="69"/>
      <c r="E694" s="68"/>
      <c r="F694" s="71"/>
      <c r="G694" s="72"/>
      <c r="H694" s="73"/>
      <c r="I694" s="74"/>
      <c r="J694" s="74"/>
      <c r="K694" s="74"/>
      <c r="L694" s="74"/>
      <c r="M694" s="74"/>
      <c r="N694" s="74"/>
      <c r="O694" s="82">
        <f t="shared" si="30"/>
        <v>0</v>
      </c>
      <c r="P694" s="82">
        <f t="shared" si="31"/>
        <v>0</v>
      </c>
      <c r="Q694" s="74"/>
      <c r="R694" s="76"/>
      <c r="S694" s="84">
        <f t="shared" si="32"/>
        <v>0</v>
      </c>
    </row>
    <row r="695" spans="1:19" ht="18" customHeight="1" x14ac:dyDescent="0.25">
      <c r="A695" s="59"/>
      <c r="B695" s="60"/>
      <c r="C695" s="65"/>
      <c r="D695" s="60"/>
      <c r="E695" s="59"/>
      <c r="F695" s="62"/>
      <c r="G695" s="63"/>
      <c r="H695" s="64"/>
      <c r="I695" s="65"/>
      <c r="J695" s="65"/>
      <c r="K695" s="65"/>
      <c r="L695" s="65"/>
      <c r="M695" s="65"/>
      <c r="N695" s="65"/>
      <c r="O695" s="81">
        <f t="shared" si="30"/>
        <v>0</v>
      </c>
      <c r="P695" s="81">
        <f t="shared" si="31"/>
        <v>0</v>
      </c>
      <c r="Q695" s="65"/>
      <c r="R695" s="67"/>
      <c r="S695" s="83">
        <f t="shared" si="32"/>
        <v>0</v>
      </c>
    </row>
    <row r="696" spans="1:19" ht="18" customHeight="1" x14ac:dyDescent="0.25">
      <c r="A696" s="68"/>
      <c r="B696" s="69"/>
      <c r="C696" s="74"/>
      <c r="D696" s="69"/>
      <c r="E696" s="68"/>
      <c r="F696" s="71"/>
      <c r="G696" s="72"/>
      <c r="H696" s="73"/>
      <c r="I696" s="74"/>
      <c r="J696" s="74"/>
      <c r="K696" s="74"/>
      <c r="L696" s="74"/>
      <c r="M696" s="74"/>
      <c r="N696" s="74"/>
      <c r="O696" s="82">
        <f t="shared" si="30"/>
        <v>0</v>
      </c>
      <c r="P696" s="82">
        <f t="shared" si="31"/>
        <v>0</v>
      </c>
      <c r="Q696" s="74"/>
      <c r="R696" s="76"/>
      <c r="S696" s="84">
        <f t="shared" si="32"/>
        <v>0</v>
      </c>
    </row>
    <row r="697" spans="1:19" ht="18" customHeight="1" x14ac:dyDescent="0.25">
      <c r="A697" s="59"/>
      <c r="B697" s="60"/>
      <c r="C697" s="65"/>
      <c r="D697" s="60"/>
      <c r="E697" s="59"/>
      <c r="F697" s="62"/>
      <c r="G697" s="63"/>
      <c r="H697" s="64"/>
      <c r="I697" s="65"/>
      <c r="J697" s="65"/>
      <c r="K697" s="65"/>
      <c r="L697" s="65"/>
      <c r="M697" s="65"/>
      <c r="N697" s="65"/>
      <c r="O697" s="81">
        <f t="shared" si="30"/>
        <v>0</v>
      </c>
      <c r="P697" s="81">
        <f t="shared" si="31"/>
        <v>0</v>
      </c>
      <c r="Q697" s="65"/>
      <c r="R697" s="67"/>
      <c r="S697" s="83">
        <f t="shared" si="32"/>
        <v>0</v>
      </c>
    </row>
    <row r="698" spans="1:19" ht="18" customHeight="1" x14ac:dyDescent="0.25">
      <c r="A698" s="68"/>
      <c r="B698" s="69"/>
      <c r="C698" s="74"/>
      <c r="D698" s="69"/>
      <c r="E698" s="68"/>
      <c r="F698" s="71"/>
      <c r="G698" s="72"/>
      <c r="H698" s="73"/>
      <c r="I698" s="74"/>
      <c r="J698" s="74"/>
      <c r="K698" s="74"/>
      <c r="L698" s="74"/>
      <c r="M698" s="74"/>
      <c r="N698" s="74"/>
      <c r="O698" s="82">
        <f t="shared" si="30"/>
        <v>0</v>
      </c>
      <c r="P698" s="82">
        <f t="shared" si="31"/>
        <v>0</v>
      </c>
      <c r="Q698" s="74"/>
      <c r="R698" s="76"/>
      <c r="S698" s="84">
        <f t="shared" si="32"/>
        <v>0</v>
      </c>
    </row>
    <row r="699" spans="1:19" ht="18" customHeight="1" x14ac:dyDescent="0.25">
      <c r="A699" s="59"/>
      <c r="B699" s="60"/>
      <c r="C699" s="65"/>
      <c r="D699" s="60"/>
      <c r="E699" s="59"/>
      <c r="F699" s="62"/>
      <c r="G699" s="63"/>
      <c r="H699" s="64"/>
      <c r="I699" s="65"/>
      <c r="J699" s="65"/>
      <c r="K699" s="65"/>
      <c r="L699" s="65"/>
      <c r="M699" s="65"/>
      <c r="N699" s="65"/>
      <c r="O699" s="81">
        <f t="shared" si="30"/>
        <v>0</v>
      </c>
      <c r="P699" s="81">
        <f t="shared" si="31"/>
        <v>0</v>
      </c>
      <c r="Q699" s="65"/>
      <c r="R699" s="67"/>
      <c r="S699" s="83">
        <f t="shared" si="32"/>
        <v>0</v>
      </c>
    </row>
    <row r="700" spans="1:19" ht="18" customHeight="1" x14ac:dyDescent="0.25">
      <c r="A700" s="68"/>
      <c r="B700" s="69"/>
      <c r="C700" s="74"/>
      <c r="D700" s="69"/>
      <c r="E700" s="68"/>
      <c r="F700" s="71"/>
      <c r="G700" s="72"/>
      <c r="H700" s="73"/>
      <c r="I700" s="74"/>
      <c r="J700" s="74"/>
      <c r="K700" s="74"/>
      <c r="L700" s="74"/>
      <c r="M700" s="74"/>
      <c r="N700" s="74"/>
      <c r="O700" s="82">
        <f t="shared" si="30"/>
        <v>0</v>
      </c>
      <c r="P700" s="82">
        <f t="shared" si="31"/>
        <v>0</v>
      </c>
      <c r="Q700" s="74"/>
      <c r="R700" s="76"/>
      <c r="S700" s="84">
        <f t="shared" si="32"/>
        <v>0</v>
      </c>
    </row>
    <row r="701" spans="1:19" ht="18" customHeight="1" x14ac:dyDescent="0.25">
      <c r="A701" s="59"/>
      <c r="B701" s="60"/>
      <c r="C701" s="65"/>
      <c r="D701" s="60"/>
      <c r="E701" s="59"/>
      <c r="F701" s="62"/>
      <c r="G701" s="63"/>
      <c r="H701" s="64"/>
      <c r="I701" s="65"/>
      <c r="J701" s="65"/>
      <c r="K701" s="65"/>
      <c r="L701" s="65"/>
      <c r="M701" s="65"/>
      <c r="N701" s="65"/>
      <c r="O701" s="81">
        <f t="shared" si="30"/>
        <v>0</v>
      </c>
      <c r="P701" s="81">
        <f t="shared" si="31"/>
        <v>0</v>
      </c>
      <c r="Q701" s="65"/>
      <c r="R701" s="67"/>
      <c r="S701" s="83">
        <f t="shared" si="32"/>
        <v>0</v>
      </c>
    </row>
    <row r="702" spans="1:19" ht="18" customHeight="1" x14ac:dyDescent="0.25">
      <c r="A702" s="68"/>
      <c r="B702" s="69"/>
      <c r="C702" s="74"/>
      <c r="D702" s="69"/>
      <c r="E702" s="68"/>
      <c r="F702" s="71"/>
      <c r="G702" s="72"/>
      <c r="H702" s="73"/>
      <c r="I702" s="74"/>
      <c r="J702" s="74"/>
      <c r="K702" s="74"/>
      <c r="L702" s="74"/>
      <c r="M702" s="74"/>
      <c r="N702" s="74"/>
      <c r="O702" s="82">
        <f t="shared" si="30"/>
        <v>0</v>
      </c>
      <c r="P702" s="82">
        <f t="shared" si="31"/>
        <v>0</v>
      </c>
      <c r="Q702" s="74"/>
      <c r="R702" s="76"/>
      <c r="S702" s="84">
        <f t="shared" si="32"/>
        <v>0</v>
      </c>
    </row>
    <row r="703" spans="1:19" ht="18" customHeight="1" x14ac:dyDescent="0.25">
      <c r="A703" s="59"/>
      <c r="B703" s="60"/>
      <c r="C703" s="65"/>
      <c r="D703" s="60"/>
      <c r="E703" s="59"/>
      <c r="F703" s="62"/>
      <c r="G703" s="63"/>
      <c r="H703" s="64"/>
      <c r="I703" s="65"/>
      <c r="J703" s="65"/>
      <c r="K703" s="65"/>
      <c r="L703" s="65"/>
      <c r="M703" s="65"/>
      <c r="N703" s="65"/>
      <c r="O703" s="81">
        <f t="shared" si="30"/>
        <v>0</v>
      </c>
      <c r="P703" s="81">
        <f t="shared" si="31"/>
        <v>0</v>
      </c>
      <c r="Q703" s="65"/>
      <c r="R703" s="67"/>
      <c r="S703" s="83">
        <f t="shared" si="32"/>
        <v>0</v>
      </c>
    </row>
    <row r="704" spans="1:19" ht="18" customHeight="1" x14ac:dyDescent="0.25">
      <c r="A704" s="68"/>
      <c r="B704" s="69"/>
      <c r="C704" s="74"/>
      <c r="D704" s="69"/>
      <c r="E704" s="68"/>
      <c r="F704" s="71"/>
      <c r="G704" s="72"/>
      <c r="H704" s="73"/>
      <c r="I704" s="74"/>
      <c r="J704" s="74"/>
      <c r="K704" s="74"/>
      <c r="L704" s="74"/>
      <c r="M704" s="74"/>
      <c r="N704" s="74"/>
      <c r="O704" s="82">
        <f t="shared" si="30"/>
        <v>0</v>
      </c>
      <c r="P704" s="82">
        <f t="shared" si="31"/>
        <v>0</v>
      </c>
      <c r="Q704" s="74"/>
      <c r="R704" s="76"/>
      <c r="S704" s="84">
        <f t="shared" si="32"/>
        <v>0</v>
      </c>
    </row>
    <row r="705" spans="1:19" ht="18" customHeight="1" x14ac:dyDescent="0.25">
      <c r="A705" s="59"/>
      <c r="B705" s="60"/>
      <c r="C705" s="65"/>
      <c r="D705" s="60"/>
      <c r="E705" s="59"/>
      <c r="F705" s="62"/>
      <c r="G705" s="63"/>
      <c r="H705" s="64"/>
      <c r="I705" s="65"/>
      <c r="J705" s="65"/>
      <c r="K705" s="65"/>
      <c r="L705" s="65"/>
      <c r="M705" s="65"/>
      <c r="N705" s="65"/>
      <c r="O705" s="81">
        <f t="shared" si="30"/>
        <v>0</v>
      </c>
      <c r="P705" s="81">
        <f t="shared" si="31"/>
        <v>0</v>
      </c>
      <c r="Q705" s="65"/>
      <c r="R705" s="67"/>
      <c r="S705" s="83">
        <f t="shared" si="32"/>
        <v>0</v>
      </c>
    </row>
    <row r="706" spans="1:19" ht="18" customHeight="1" x14ac:dyDescent="0.25">
      <c r="A706" s="68"/>
      <c r="B706" s="69"/>
      <c r="C706" s="74"/>
      <c r="D706" s="69"/>
      <c r="E706" s="68"/>
      <c r="F706" s="71"/>
      <c r="G706" s="72"/>
      <c r="H706" s="73"/>
      <c r="I706" s="74"/>
      <c r="J706" s="74"/>
      <c r="K706" s="74"/>
      <c r="L706" s="74"/>
      <c r="M706" s="74"/>
      <c r="N706" s="74"/>
      <c r="O706" s="82">
        <f t="shared" si="30"/>
        <v>0</v>
      </c>
      <c r="P706" s="82">
        <f t="shared" si="31"/>
        <v>0</v>
      </c>
      <c r="Q706" s="74"/>
      <c r="R706" s="76"/>
      <c r="S706" s="84">
        <f t="shared" si="32"/>
        <v>0</v>
      </c>
    </row>
    <row r="707" spans="1:19" ht="18" customHeight="1" x14ac:dyDescent="0.25">
      <c r="A707" s="59"/>
      <c r="B707" s="60"/>
      <c r="C707" s="65"/>
      <c r="D707" s="60"/>
      <c r="E707" s="59"/>
      <c r="F707" s="62"/>
      <c r="G707" s="63"/>
      <c r="H707" s="64"/>
      <c r="I707" s="65"/>
      <c r="J707" s="65"/>
      <c r="K707" s="65"/>
      <c r="L707" s="65"/>
      <c r="M707" s="65"/>
      <c r="N707" s="65"/>
      <c r="O707" s="81">
        <f t="shared" si="30"/>
        <v>0</v>
      </c>
      <c r="P707" s="81">
        <f t="shared" si="31"/>
        <v>0</v>
      </c>
      <c r="Q707" s="65"/>
      <c r="R707" s="67"/>
      <c r="S707" s="83">
        <f t="shared" si="32"/>
        <v>0</v>
      </c>
    </row>
    <row r="708" spans="1:19" ht="18" customHeight="1" x14ac:dyDescent="0.25">
      <c r="A708" s="68"/>
      <c r="B708" s="69"/>
      <c r="C708" s="74"/>
      <c r="D708" s="69"/>
      <c r="E708" s="68"/>
      <c r="F708" s="71"/>
      <c r="G708" s="72"/>
      <c r="H708" s="73"/>
      <c r="I708" s="74"/>
      <c r="J708" s="74"/>
      <c r="K708" s="74"/>
      <c r="L708" s="74"/>
      <c r="M708" s="74"/>
      <c r="N708" s="74"/>
      <c r="O708" s="82">
        <f t="shared" si="30"/>
        <v>0</v>
      </c>
      <c r="P708" s="82">
        <f t="shared" si="31"/>
        <v>0</v>
      </c>
      <c r="Q708" s="74"/>
      <c r="R708" s="76"/>
      <c r="S708" s="84">
        <f t="shared" si="32"/>
        <v>0</v>
      </c>
    </row>
    <row r="709" spans="1:19" ht="18" customHeight="1" x14ac:dyDescent="0.25">
      <c r="A709" s="59"/>
      <c r="B709" s="60"/>
      <c r="C709" s="65"/>
      <c r="D709" s="60"/>
      <c r="E709" s="59"/>
      <c r="F709" s="62"/>
      <c r="G709" s="63"/>
      <c r="H709" s="64"/>
      <c r="I709" s="65"/>
      <c r="J709" s="65"/>
      <c r="K709" s="65"/>
      <c r="L709" s="65"/>
      <c r="M709" s="65"/>
      <c r="N709" s="65"/>
      <c r="O709" s="81">
        <f t="shared" si="30"/>
        <v>0</v>
      </c>
      <c r="P709" s="81">
        <f t="shared" si="31"/>
        <v>0</v>
      </c>
      <c r="Q709" s="65"/>
      <c r="R709" s="67"/>
      <c r="S709" s="83">
        <f t="shared" si="32"/>
        <v>0</v>
      </c>
    </row>
    <row r="710" spans="1:19" ht="18" customHeight="1" x14ac:dyDescent="0.25">
      <c r="A710" s="68"/>
      <c r="B710" s="69"/>
      <c r="C710" s="74"/>
      <c r="D710" s="69"/>
      <c r="E710" s="68"/>
      <c r="F710" s="71"/>
      <c r="G710" s="72"/>
      <c r="H710" s="73"/>
      <c r="I710" s="74"/>
      <c r="J710" s="74"/>
      <c r="K710" s="74"/>
      <c r="L710" s="74"/>
      <c r="M710" s="74"/>
      <c r="N710" s="74"/>
      <c r="O710" s="82" t="e">
        <f>#N/A</f>
        <v>#N/A</v>
      </c>
      <c r="P710" s="82" t="e">
        <f>#N/A</f>
        <v>#N/A</v>
      </c>
      <c r="Q710" s="74"/>
      <c r="R710" s="76"/>
      <c r="S710" s="84">
        <f t="shared" si="32"/>
        <v>0</v>
      </c>
    </row>
    <row r="711" spans="1:19" ht="18" customHeight="1" x14ac:dyDescent="0.25">
      <c r="A711" s="59"/>
      <c r="B711" s="60"/>
      <c r="C711" s="65"/>
      <c r="D711" s="60"/>
      <c r="E711" s="59"/>
      <c r="F711" s="62"/>
      <c r="G711" s="63"/>
      <c r="H711" s="64"/>
      <c r="I711" s="65"/>
      <c r="J711" s="65"/>
      <c r="K711" s="65"/>
      <c r="L711" s="65"/>
      <c r="M711" s="65"/>
      <c r="N711" s="65"/>
      <c r="O711" s="81">
        <f t="shared" ref="O711:O773" si="33">IF(G711="Reimbursement ","",I711+J711+K711+L711+M711)</f>
        <v>0</v>
      </c>
      <c r="P711" s="81">
        <f t="shared" ref="P711:P773" si="34">IF(G711="Reimbursement ","",H711-O711)</f>
        <v>0</v>
      </c>
      <c r="Q711" s="65"/>
      <c r="R711" s="67"/>
      <c r="S711" s="83">
        <f t="shared" ref="S711:S774" si="35">IF(OR(R711="",Q711=""),0,IF(R711&gt;Q711,R711-Q711,0))</f>
        <v>0</v>
      </c>
    </row>
    <row r="712" spans="1:19" ht="18" customHeight="1" x14ac:dyDescent="0.25">
      <c r="A712" s="68"/>
      <c r="B712" s="69"/>
      <c r="C712" s="74"/>
      <c r="D712" s="69"/>
      <c r="E712" s="68"/>
      <c r="F712" s="71"/>
      <c r="G712" s="72"/>
      <c r="H712" s="73"/>
      <c r="I712" s="74"/>
      <c r="J712" s="74"/>
      <c r="K712" s="74"/>
      <c r="L712" s="74"/>
      <c r="M712" s="74"/>
      <c r="N712" s="74"/>
      <c r="O712" s="82">
        <f t="shared" si="33"/>
        <v>0</v>
      </c>
      <c r="P712" s="82">
        <f t="shared" si="34"/>
        <v>0</v>
      </c>
      <c r="Q712" s="74"/>
      <c r="R712" s="76"/>
      <c r="S712" s="84">
        <f t="shared" si="35"/>
        <v>0</v>
      </c>
    </row>
    <row r="713" spans="1:19" ht="18" customHeight="1" x14ac:dyDescent="0.25">
      <c r="A713" s="59"/>
      <c r="B713" s="60"/>
      <c r="C713" s="65"/>
      <c r="D713" s="60"/>
      <c r="E713" s="59"/>
      <c r="F713" s="62"/>
      <c r="G713" s="63"/>
      <c r="H713" s="64"/>
      <c r="I713" s="65"/>
      <c r="J713" s="65"/>
      <c r="K713" s="65"/>
      <c r="L713" s="65"/>
      <c r="M713" s="65"/>
      <c r="N713" s="65"/>
      <c r="O713" s="81">
        <f t="shared" si="33"/>
        <v>0</v>
      </c>
      <c r="P713" s="81">
        <f t="shared" si="34"/>
        <v>0</v>
      </c>
      <c r="Q713" s="65"/>
      <c r="R713" s="67"/>
      <c r="S713" s="83">
        <f t="shared" si="35"/>
        <v>0</v>
      </c>
    </row>
    <row r="714" spans="1:19" ht="18" customHeight="1" x14ac:dyDescent="0.25">
      <c r="A714" s="68"/>
      <c r="B714" s="69"/>
      <c r="C714" s="74"/>
      <c r="D714" s="69"/>
      <c r="E714" s="68"/>
      <c r="F714" s="71"/>
      <c r="G714" s="72"/>
      <c r="H714" s="73"/>
      <c r="I714" s="74"/>
      <c r="J714" s="74"/>
      <c r="K714" s="74"/>
      <c r="L714" s="74"/>
      <c r="M714" s="74"/>
      <c r="N714" s="74"/>
      <c r="O714" s="82">
        <f t="shared" si="33"/>
        <v>0</v>
      </c>
      <c r="P714" s="82">
        <f t="shared" si="34"/>
        <v>0</v>
      </c>
      <c r="Q714" s="74"/>
      <c r="R714" s="76"/>
      <c r="S714" s="84">
        <f t="shared" si="35"/>
        <v>0</v>
      </c>
    </row>
    <row r="715" spans="1:19" ht="18" customHeight="1" x14ac:dyDescent="0.25">
      <c r="A715" s="59"/>
      <c r="B715" s="60"/>
      <c r="C715" s="65"/>
      <c r="D715" s="60"/>
      <c r="E715" s="59"/>
      <c r="F715" s="62"/>
      <c r="G715" s="63"/>
      <c r="H715" s="64"/>
      <c r="I715" s="65"/>
      <c r="J715" s="65"/>
      <c r="K715" s="65"/>
      <c r="L715" s="65"/>
      <c r="M715" s="65"/>
      <c r="N715" s="65"/>
      <c r="O715" s="81">
        <f t="shared" si="33"/>
        <v>0</v>
      </c>
      <c r="P715" s="81">
        <f t="shared" si="34"/>
        <v>0</v>
      </c>
      <c r="Q715" s="65"/>
      <c r="R715" s="67"/>
      <c r="S715" s="83">
        <f t="shared" si="35"/>
        <v>0</v>
      </c>
    </row>
    <row r="716" spans="1:19" ht="18" customHeight="1" x14ac:dyDescent="0.25">
      <c r="A716" s="68"/>
      <c r="B716" s="69"/>
      <c r="C716" s="74"/>
      <c r="D716" s="69"/>
      <c r="E716" s="68"/>
      <c r="F716" s="71"/>
      <c r="G716" s="72"/>
      <c r="H716" s="73"/>
      <c r="I716" s="74"/>
      <c r="J716" s="74"/>
      <c r="K716" s="74"/>
      <c r="L716" s="74"/>
      <c r="M716" s="74"/>
      <c r="N716" s="74"/>
      <c r="O716" s="82">
        <f t="shared" si="33"/>
        <v>0</v>
      </c>
      <c r="P716" s="82">
        <f t="shared" si="34"/>
        <v>0</v>
      </c>
      <c r="Q716" s="74"/>
      <c r="R716" s="76"/>
      <c r="S716" s="84">
        <f t="shared" si="35"/>
        <v>0</v>
      </c>
    </row>
    <row r="717" spans="1:19" ht="18" customHeight="1" x14ac:dyDescent="0.25">
      <c r="A717" s="59"/>
      <c r="B717" s="60"/>
      <c r="C717" s="65"/>
      <c r="D717" s="60"/>
      <c r="E717" s="59"/>
      <c r="F717" s="62"/>
      <c r="G717" s="63"/>
      <c r="H717" s="64"/>
      <c r="I717" s="65"/>
      <c r="J717" s="65"/>
      <c r="K717" s="65"/>
      <c r="L717" s="65"/>
      <c r="M717" s="65"/>
      <c r="N717" s="65"/>
      <c r="O717" s="81">
        <f t="shared" si="33"/>
        <v>0</v>
      </c>
      <c r="P717" s="81">
        <f t="shared" si="34"/>
        <v>0</v>
      </c>
      <c r="Q717" s="65"/>
      <c r="R717" s="67"/>
      <c r="S717" s="83">
        <f t="shared" si="35"/>
        <v>0</v>
      </c>
    </row>
    <row r="718" spans="1:19" ht="18" customHeight="1" x14ac:dyDescent="0.25">
      <c r="A718" s="68"/>
      <c r="B718" s="69"/>
      <c r="C718" s="74"/>
      <c r="D718" s="69"/>
      <c r="E718" s="68"/>
      <c r="F718" s="71"/>
      <c r="G718" s="72"/>
      <c r="H718" s="73"/>
      <c r="I718" s="74"/>
      <c r="J718" s="74"/>
      <c r="K718" s="74"/>
      <c r="L718" s="74"/>
      <c r="M718" s="74"/>
      <c r="N718" s="74"/>
      <c r="O718" s="82">
        <f t="shared" si="33"/>
        <v>0</v>
      </c>
      <c r="P718" s="82">
        <f t="shared" si="34"/>
        <v>0</v>
      </c>
      <c r="Q718" s="74"/>
      <c r="R718" s="76"/>
      <c r="S718" s="84">
        <f t="shared" si="35"/>
        <v>0</v>
      </c>
    </row>
    <row r="719" spans="1:19" ht="18" customHeight="1" x14ac:dyDescent="0.25">
      <c r="A719" s="59"/>
      <c r="B719" s="60"/>
      <c r="C719" s="65"/>
      <c r="D719" s="60"/>
      <c r="E719" s="59"/>
      <c r="F719" s="62"/>
      <c r="G719" s="63"/>
      <c r="H719" s="64"/>
      <c r="I719" s="65"/>
      <c r="J719" s="65"/>
      <c r="K719" s="65"/>
      <c r="L719" s="65"/>
      <c r="M719" s="65"/>
      <c r="N719" s="65"/>
      <c r="O719" s="81">
        <f t="shared" si="33"/>
        <v>0</v>
      </c>
      <c r="P719" s="81">
        <f t="shared" si="34"/>
        <v>0</v>
      </c>
      <c r="Q719" s="65"/>
      <c r="R719" s="67"/>
      <c r="S719" s="83">
        <f t="shared" si="35"/>
        <v>0</v>
      </c>
    </row>
    <row r="720" spans="1:19" ht="18" customHeight="1" x14ac:dyDescent="0.25">
      <c r="A720" s="68"/>
      <c r="B720" s="69"/>
      <c r="C720" s="74"/>
      <c r="D720" s="69"/>
      <c r="E720" s="68"/>
      <c r="F720" s="71"/>
      <c r="G720" s="72"/>
      <c r="H720" s="73"/>
      <c r="I720" s="74"/>
      <c r="J720" s="74"/>
      <c r="K720" s="74"/>
      <c r="L720" s="74"/>
      <c r="M720" s="74"/>
      <c r="N720" s="74"/>
      <c r="O720" s="82">
        <f t="shared" si="33"/>
        <v>0</v>
      </c>
      <c r="P720" s="82">
        <f t="shared" si="34"/>
        <v>0</v>
      </c>
      <c r="Q720" s="74"/>
      <c r="R720" s="76"/>
      <c r="S720" s="84">
        <f t="shared" si="35"/>
        <v>0</v>
      </c>
    </row>
    <row r="721" spans="1:19" ht="18" customHeight="1" x14ac:dyDescent="0.25">
      <c r="A721" s="59"/>
      <c r="B721" s="60"/>
      <c r="C721" s="65"/>
      <c r="D721" s="60"/>
      <c r="E721" s="59"/>
      <c r="F721" s="62"/>
      <c r="G721" s="63"/>
      <c r="H721" s="64"/>
      <c r="I721" s="65"/>
      <c r="J721" s="65"/>
      <c r="K721" s="65"/>
      <c r="L721" s="65"/>
      <c r="M721" s="65"/>
      <c r="N721" s="65"/>
      <c r="O721" s="81">
        <f t="shared" si="33"/>
        <v>0</v>
      </c>
      <c r="P721" s="81">
        <f t="shared" si="34"/>
        <v>0</v>
      </c>
      <c r="Q721" s="65"/>
      <c r="R721" s="67"/>
      <c r="S721" s="83">
        <f t="shared" si="35"/>
        <v>0</v>
      </c>
    </row>
    <row r="722" spans="1:19" ht="18" customHeight="1" x14ac:dyDescent="0.25">
      <c r="A722" s="68"/>
      <c r="B722" s="69"/>
      <c r="C722" s="74"/>
      <c r="D722" s="69"/>
      <c r="E722" s="68"/>
      <c r="F722" s="71"/>
      <c r="G722" s="72"/>
      <c r="H722" s="73"/>
      <c r="I722" s="74"/>
      <c r="J722" s="74"/>
      <c r="K722" s="74"/>
      <c r="L722" s="74"/>
      <c r="M722" s="74"/>
      <c r="N722" s="74"/>
      <c r="O722" s="82">
        <f t="shared" si="33"/>
        <v>0</v>
      </c>
      <c r="P722" s="82">
        <f t="shared" si="34"/>
        <v>0</v>
      </c>
      <c r="Q722" s="74"/>
      <c r="R722" s="76"/>
      <c r="S722" s="84">
        <f t="shared" si="35"/>
        <v>0</v>
      </c>
    </row>
    <row r="723" spans="1:19" ht="18" customHeight="1" x14ac:dyDescent="0.25">
      <c r="A723" s="59"/>
      <c r="B723" s="60"/>
      <c r="C723" s="65"/>
      <c r="D723" s="60"/>
      <c r="E723" s="59"/>
      <c r="F723" s="62"/>
      <c r="G723" s="63"/>
      <c r="H723" s="64"/>
      <c r="I723" s="65"/>
      <c r="J723" s="65"/>
      <c r="K723" s="65"/>
      <c r="L723" s="65"/>
      <c r="M723" s="65"/>
      <c r="N723" s="65"/>
      <c r="O723" s="81">
        <f t="shared" si="33"/>
        <v>0</v>
      </c>
      <c r="P723" s="81">
        <f t="shared" si="34"/>
        <v>0</v>
      </c>
      <c r="Q723" s="65"/>
      <c r="R723" s="67"/>
      <c r="S723" s="83">
        <f t="shared" si="35"/>
        <v>0</v>
      </c>
    </row>
    <row r="724" spans="1:19" ht="18" customHeight="1" x14ac:dyDescent="0.25">
      <c r="A724" s="68"/>
      <c r="B724" s="69"/>
      <c r="C724" s="74"/>
      <c r="D724" s="69"/>
      <c r="E724" s="68"/>
      <c r="F724" s="71"/>
      <c r="G724" s="72"/>
      <c r="H724" s="73"/>
      <c r="I724" s="74"/>
      <c r="J724" s="74"/>
      <c r="K724" s="74"/>
      <c r="L724" s="74"/>
      <c r="M724" s="74"/>
      <c r="N724" s="74"/>
      <c r="O724" s="82">
        <f t="shared" si="33"/>
        <v>0</v>
      </c>
      <c r="P724" s="82">
        <f t="shared" si="34"/>
        <v>0</v>
      </c>
      <c r="Q724" s="74"/>
      <c r="R724" s="76"/>
      <c r="S724" s="84">
        <f t="shared" si="35"/>
        <v>0</v>
      </c>
    </row>
    <row r="725" spans="1:19" ht="18" customHeight="1" x14ac:dyDescent="0.25">
      <c r="A725" s="59"/>
      <c r="B725" s="60"/>
      <c r="C725" s="65"/>
      <c r="D725" s="60"/>
      <c r="E725" s="59"/>
      <c r="F725" s="62"/>
      <c r="G725" s="63"/>
      <c r="H725" s="64"/>
      <c r="I725" s="65"/>
      <c r="J725" s="65"/>
      <c r="K725" s="65"/>
      <c r="L725" s="65"/>
      <c r="M725" s="65"/>
      <c r="N725" s="65"/>
      <c r="O725" s="81">
        <f t="shared" si="33"/>
        <v>0</v>
      </c>
      <c r="P725" s="81">
        <f t="shared" si="34"/>
        <v>0</v>
      </c>
      <c r="Q725" s="65"/>
      <c r="R725" s="67"/>
      <c r="S725" s="83">
        <f t="shared" si="35"/>
        <v>0</v>
      </c>
    </row>
    <row r="726" spans="1:19" ht="18" customHeight="1" x14ac:dyDescent="0.25">
      <c r="A726" s="68"/>
      <c r="B726" s="69"/>
      <c r="C726" s="74"/>
      <c r="D726" s="69"/>
      <c r="E726" s="68"/>
      <c r="F726" s="71"/>
      <c r="G726" s="72"/>
      <c r="H726" s="73"/>
      <c r="I726" s="74"/>
      <c r="J726" s="74"/>
      <c r="K726" s="74"/>
      <c r="L726" s="74"/>
      <c r="M726" s="74"/>
      <c r="N726" s="74"/>
      <c r="O726" s="82">
        <f t="shared" si="33"/>
        <v>0</v>
      </c>
      <c r="P726" s="82">
        <f t="shared" si="34"/>
        <v>0</v>
      </c>
      <c r="Q726" s="74"/>
      <c r="R726" s="76"/>
      <c r="S726" s="84">
        <f t="shared" si="35"/>
        <v>0</v>
      </c>
    </row>
    <row r="727" spans="1:19" ht="18" customHeight="1" x14ac:dyDescent="0.25">
      <c r="A727" s="59"/>
      <c r="B727" s="60"/>
      <c r="C727" s="65"/>
      <c r="D727" s="60"/>
      <c r="E727" s="59"/>
      <c r="F727" s="62"/>
      <c r="G727" s="63"/>
      <c r="H727" s="64"/>
      <c r="I727" s="65"/>
      <c r="J727" s="65"/>
      <c r="K727" s="65"/>
      <c r="L727" s="65"/>
      <c r="M727" s="65"/>
      <c r="N727" s="65"/>
      <c r="O727" s="81">
        <f t="shared" si="33"/>
        <v>0</v>
      </c>
      <c r="P727" s="81">
        <f t="shared" si="34"/>
        <v>0</v>
      </c>
      <c r="Q727" s="65"/>
      <c r="R727" s="67"/>
      <c r="S727" s="83">
        <f t="shared" si="35"/>
        <v>0</v>
      </c>
    </row>
    <row r="728" spans="1:19" ht="18" customHeight="1" x14ac:dyDescent="0.25">
      <c r="A728" s="68"/>
      <c r="B728" s="69"/>
      <c r="C728" s="74"/>
      <c r="D728" s="69"/>
      <c r="E728" s="68"/>
      <c r="F728" s="71"/>
      <c r="G728" s="72"/>
      <c r="H728" s="73"/>
      <c r="I728" s="74"/>
      <c r="J728" s="74"/>
      <c r="K728" s="74"/>
      <c r="L728" s="74"/>
      <c r="M728" s="74"/>
      <c r="N728" s="74"/>
      <c r="O728" s="82">
        <f t="shared" si="33"/>
        <v>0</v>
      </c>
      <c r="P728" s="82">
        <f t="shared" si="34"/>
        <v>0</v>
      </c>
      <c r="Q728" s="74"/>
      <c r="R728" s="76"/>
      <c r="S728" s="84">
        <f t="shared" si="35"/>
        <v>0</v>
      </c>
    </row>
    <row r="729" spans="1:19" ht="18" customHeight="1" x14ac:dyDescent="0.25">
      <c r="A729" s="59"/>
      <c r="B729" s="60"/>
      <c r="C729" s="65"/>
      <c r="D729" s="60"/>
      <c r="E729" s="59"/>
      <c r="F729" s="62"/>
      <c r="G729" s="63"/>
      <c r="H729" s="64"/>
      <c r="I729" s="65"/>
      <c r="J729" s="65"/>
      <c r="K729" s="65"/>
      <c r="L729" s="65"/>
      <c r="M729" s="65"/>
      <c r="N729" s="65"/>
      <c r="O729" s="81">
        <f t="shared" si="33"/>
        <v>0</v>
      </c>
      <c r="P729" s="81">
        <f t="shared" si="34"/>
        <v>0</v>
      </c>
      <c r="Q729" s="65"/>
      <c r="R729" s="67"/>
      <c r="S729" s="83">
        <f t="shared" si="35"/>
        <v>0</v>
      </c>
    </row>
    <row r="730" spans="1:19" ht="18" customHeight="1" x14ac:dyDescent="0.25">
      <c r="A730" s="68"/>
      <c r="B730" s="69"/>
      <c r="C730" s="74"/>
      <c r="D730" s="69"/>
      <c r="E730" s="68"/>
      <c r="F730" s="71"/>
      <c r="G730" s="72"/>
      <c r="H730" s="73"/>
      <c r="I730" s="74"/>
      <c r="J730" s="74"/>
      <c r="K730" s="74"/>
      <c r="L730" s="74"/>
      <c r="M730" s="74"/>
      <c r="N730" s="74"/>
      <c r="O730" s="82">
        <f t="shared" si="33"/>
        <v>0</v>
      </c>
      <c r="P730" s="82">
        <f t="shared" si="34"/>
        <v>0</v>
      </c>
      <c r="Q730" s="74"/>
      <c r="R730" s="76"/>
      <c r="S730" s="84">
        <f t="shared" si="35"/>
        <v>0</v>
      </c>
    </row>
    <row r="731" spans="1:19" ht="18" customHeight="1" x14ac:dyDescent="0.25">
      <c r="A731" s="59"/>
      <c r="B731" s="60"/>
      <c r="C731" s="65"/>
      <c r="D731" s="60"/>
      <c r="E731" s="59"/>
      <c r="F731" s="62"/>
      <c r="G731" s="63"/>
      <c r="H731" s="64"/>
      <c r="I731" s="65"/>
      <c r="J731" s="65"/>
      <c r="K731" s="65"/>
      <c r="L731" s="65"/>
      <c r="M731" s="65"/>
      <c r="N731" s="65"/>
      <c r="O731" s="81">
        <f t="shared" si="33"/>
        <v>0</v>
      </c>
      <c r="P731" s="81">
        <f t="shared" si="34"/>
        <v>0</v>
      </c>
      <c r="Q731" s="65"/>
      <c r="R731" s="67"/>
      <c r="S731" s="83">
        <f t="shared" si="35"/>
        <v>0</v>
      </c>
    </row>
    <row r="732" spans="1:19" ht="18" customHeight="1" x14ac:dyDescent="0.25">
      <c r="A732" s="68"/>
      <c r="B732" s="69"/>
      <c r="C732" s="74"/>
      <c r="D732" s="69"/>
      <c r="E732" s="68"/>
      <c r="F732" s="71"/>
      <c r="G732" s="72"/>
      <c r="H732" s="73"/>
      <c r="I732" s="74"/>
      <c r="J732" s="74"/>
      <c r="K732" s="74"/>
      <c r="L732" s="74"/>
      <c r="M732" s="74"/>
      <c r="N732" s="74"/>
      <c r="O732" s="82">
        <f t="shared" si="33"/>
        <v>0</v>
      </c>
      <c r="P732" s="82">
        <f t="shared" si="34"/>
        <v>0</v>
      </c>
      <c r="Q732" s="74"/>
      <c r="R732" s="76"/>
      <c r="S732" s="84">
        <f t="shared" si="35"/>
        <v>0</v>
      </c>
    </row>
    <row r="733" spans="1:19" ht="18" customHeight="1" x14ac:dyDescent="0.25">
      <c r="A733" s="59"/>
      <c r="B733" s="60"/>
      <c r="C733" s="65"/>
      <c r="D733" s="60"/>
      <c r="E733" s="59"/>
      <c r="F733" s="62"/>
      <c r="G733" s="63"/>
      <c r="H733" s="64"/>
      <c r="I733" s="65"/>
      <c r="J733" s="65"/>
      <c r="K733" s="65"/>
      <c r="L733" s="65"/>
      <c r="M733" s="65"/>
      <c r="N733" s="65"/>
      <c r="O733" s="81">
        <f t="shared" si="33"/>
        <v>0</v>
      </c>
      <c r="P733" s="81">
        <f t="shared" si="34"/>
        <v>0</v>
      </c>
      <c r="Q733" s="65"/>
      <c r="R733" s="67"/>
      <c r="S733" s="83">
        <f t="shared" si="35"/>
        <v>0</v>
      </c>
    </row>
    <row r="734" spans="1:19" ht="18" customHeight="1" x14ac:dyDescent="0.25">
      <c r="A734" s="68"/>
      <c r="B734" s="69"/>
      <c r="C734" s="74"/>
      <c r="D734" s="69"/>
      <c r="E734" s="68"/>
      <c r="F734" s="71"/>
      <c r="G734" s="72"/>
      <c r="H734" s="73"/>
      <c r="I734" s="74"/>
      <c r="J734" s="74"/>
      <c r="K734" s="74"/>
      <c r="L734" s="74"/>
      <c r="M734" s="74"/>
      <c r="N734" s="74"/>
      <c r="O734" s="82">
        <f t="shared" si="33"/>
        <v>0</v>
      </c>
      <c r="P734" s="82">
        <f t="shared" si="34"/>
        <v>0</v>
      </c>
      <c r="Q734" s="74"/>
      <c r="R734" s="76"/>
      <c r="S734" s="84">
        <f t="shared" si="35"/>
        <v>0</v>
      </c>
    </row>
    <row r="735" spans="1:19" ht="18" customHeight="1" x14ac:dyDescent="0.25">
      <c r="A735" s="59"/>
      <c r="B735" s="60"/>
      <c r="C735" s="65"/>
      <c r="D735" s="60"/>
      <c r="E735" s="59"/>
      <c r="F735" s="62"/>
      <c r="G735" s="63"/>
      <c r="H735" s="64"/>
      <c r="I735" s="65"/>
      <c r="J735" s="65"/>
      <c r="K735" s="65"/>
      <c r="L735" s="65"/>
      <c r="M735" s="65"/>
      <c r="N735" s="65"/>
      <c r="O735" s="81">
        <f t="shared" si="33"/>
        <v>0</v>
      </c>
      <c r="P735" s="81">
        <f t="shared" si="34"/>
        <v>0</v>
      </c>
      <c r="Q735" s="65"/>
      <c r="R735" s="67"/>
      <c r="S735" s="83">
        <f t="shared" si="35"/>
        <v>0</v>
      </c>
    </row>
    <row r="736" spans="1:19" ht="18" customHeight="1" x14ac:dyDescent="0.25">
      <c r="A736" s="68"/>
      <c r="B736" s="69"/>
      <c r="C736" s="74"/>
      <c r="D736" s="69"/>
      <c r="E736" s="68"/>
      <c r="F736" s="71"/>
      <c r="G736" s="72"/>
      <c r="H736" s="73"/>
      <c r="I736" s="74"/>
      <c r="J736" s="74"/>
      <c r="K736" s="74"/>
      <c r="L736" s="74"/>
      <c r="M736" s="74"/>
      <c r="N736" s="74"/>
      <c r="O736" s="82">
        <f t="shared" si="33"/>
        <v>0</v>
      </c>
      <c r="P736" s="82">
        <f t="shared" si="34"/>
        <v>0</v>
      </c>
      <c r="Q736" s="74"/>
      <c r="R736" s="76"/>
      <c r="S736" s="84">
        <f t="shared" si="35"/>
        <v>0</v>
      </c>
    </row>
    <row r="737" spans="1:19" ht="18" customHeight="1" x14ac:dyDescent="0.25">
      <c r="A737" s="59"/>
      <c r="B737" s="60"/>
      <c r="C737" s="65"/>
      <c r="D737" s="60"/>
      <c r="E737" s="59"/>
      <c r="F737" s="62"/>
      <c r="G737" s="63"/>
      <c r="H737" s="64"/>
      <c r="I737" s="65"/>
      <c r="J737" s="65"/>
      <c r="K737" s="65"/>
      <c r="L737" s="65"/>
      <c r="M737" s="65"/>
      <c r="N737" s="65"/>
      <c r="O737" s="81">
        <f t="shared" si="33"/>
        <v>0</v>
      </c>
      <c r="P737" s="81">
        <f t="shared" si="34"/>
        <v>0</v>
      </c>
      <c r="Q737" s="65"/>
      <c r="R737" s="67"/>
      <c r="S737" s="83">
        <f t="shared" si="35"/>
        <v>0</v>
      </c>
    </row>
    <row r="738" spans="1:19" ht="18" customHeight="1" x14ac:dyDescent="0.25">
      <c r="A738" s="68"/>
      <c r="B738" s="69"/>
      <c r="C738" s="74"/>
      <c r="D738" s="69"/>
      <c r="E738" s="68"/>
      <c r="F738" s="71"/>
      <c r="G738" s="72"/>
      <c r="H738" s="73"/>
      <c r="I738" s="74"/>
      <c r="J738" s="74"/>
      <c r="K738" s="74"/>
      <c r="L738" s="74"/>
      <c r="M738" s="74"/>
      <c r="N738" s="74"/>
      <c r="O738" s="82">
        <f t="shared" si="33"/>
        <v>0</v>
      </c>
      <c r="P738" s="82">
        <f t="shared" si="34"/>
        <v>0</v>
      </c>
      <c r="Q738" s="74"/>
      <c r="R738" s="76"/>
      <c r="S738" s="84">
        <f t="shared" si="35"/>
        <v>0</v>
      </c>
    </row>
    <row r="739" spans="1:19" ht="18" customHeight="1" x14ac:dyDescent="0.25">
      <c r="A739" s="59"/>
      <c r="B739" s="60"/>
      <c r="C739" s="65"/>
      <c r="D739" s="60"/>
      <c r="E739" s="59"/>
      <c r="F739" s="62"/>
      <c r="G739" s="63"/>
      <c r="H739" s="64"/>
      <c r="I739" s="65"/>
      <c r="J739" s="65"/>
      <c r="K739" s="65"/>
      <c r="L739" s="65"/>
      <c r="M739" s="65"/>
      <c r="N739" s="65"/>
      <c r="O739" s="81">
        <f t="shared" si="33"/>
        <v>0</v>
      </c>
      <c r="P739" s="81">
        <f t="shared" si="34"/>
        <v>0</v>
      </c>
      <c r="Q739" s="65"/>
      <c r="R739" s="67"/>
      <c r="S739" s="83">
        <f t="shared" si="35"/>
        <v>0</v>
      </c>
    </row>
    <row r="740" spans="1:19" ht="18" customHeight="1" x14ac:dyDescent="0.25">
      <c r="A740" s="68"/>
      <c r="B740" s="69"/>
      <c r="C740" s="74"/>
      <c r="D740" s="69"/>
      <c r="E740" s="68"/>
      <c r="F740" s="71"/>
      <c r="G740" s="72"/>
      <c r="H740" s="73"/>
      <c r="I740" s="74"/>
      <c r="J740" s="74"/>
      <c r="K740" s="74"/>
      <c r="L740" s="74"/>
      <c r="M740" s="74"/>
      <c r="N740" s="74"/>
      <c r="O740" s="82">
        <f t="shared" si="33"/>
        <v>0</v>
      </c>
      <c r="P740" s="82">
        <f t="shared" si="34"/>
        <v>0</v>
      </c>
      <c r="Q740" s="74"/>
      <c r="R740" s="76"/>
      <c r="S740" s="84">
        <f t="shared" si="35"/>
        <v>0</v>
      </c>
    </row>
    <row r="741" spans="1:19" ht="18" customHeight="1" x14ac:dyDescent="0.25">
      <c r="A741" s="59"/>
      <c r="B741" s="60"/>
      <c r="C741" s="65"/>
      <c r="D741" s="60"/>
      <c r="E741" s="59"/>
      <c r="F741" s="62"/>
      <c r="G741" s="63"/>
      <c r="H741" s="64"/>
      <c r="I741" s="65"/>
      <c r="J741" s="65"/>
      <c r="K741" s="65"/>
      <c r="L741" s="65"/>
      <c r="M741" s="65"/>
      <c r="N741" s="65"/>
      <c r="O741" s="81">
        <f t="shared" si="33"/>
        <v>0</v>
      </c>
      <c r="P741" s="81">
        <f t="shared" si="34"/>
        <v>0</v>
      </c>
      <c r="Q741" s="65"/>
      <c r="R741" s="67"/>
      <c r="S741" s="83">
        <f t="shared" si="35"/>
        <v>0</v>
      </c>
    </row>
    <row r="742" spans="1:19" ht="18" customHeight="1" x14ac:dyDescent="0.25">
      <c r="A742" s="68"/>
      <c r="B742" s="69"/>
      <c r="C742" s="74"/>
      <c r="D742" s="69"/>
      <c r="E742" s="68"/>
      <c r="F742" s="71"/>
      <c r="G742" s="72"/>
      <c r="H742" s="73"/>
      <c r="I742" s="74"/>
      <c r="J742" s="74"/>
      <c r="K742" s="74"/>
      <c r="L742" s="74"/>
      <c r="M742" s="74"/>
      <c r="N742" s="74"/>
      <c r="O742" s="82">
        <f t="shared" si="33"/>
        <v>0</v>
      </c>
      <c r="P742" s="82">
        <f t="shared" si="34"/>
        <v>0</v>
      </c>
      <c r="Q742" s="74"/>
      <c r="R742" s="76"/>
      <c r="S742" s="84">
        <f t="shared" si="35"/>
        <v>0</v>
      </c>
    </row>
    <row r="743" spans="1:19" ht="18" customHeight="1" x14ac:dyDescent="0.25">
      <c r="A743" s="59"/>
      <c r="B743" s="60"/>
      <c r="C743" s="65"/>
      <c r="D743" s="60"/>
      <c r="E743" s="59"/>
      <c r="F743" s="62"/>
      <c r="G743" s="63"/>
      <c r="H743" s="64"/>
      <c r="I743" s="65"/>
      <c r="J743" s="65"/>
      <c r="K743" s="65"/>
      <c r="L743" s="65"/>
      <c r="M743" s="65"/>
      <c r="N743" s="65"/>
      <c r="O743" s="81">
        <f t="shared" si="33"/>
        <v>0</v>
      </c>
      <c r="P743" s="81">
        <f t="shared" si="34"/>
        <v>0</v>
      </c>
      <c r="Q743" s="65"/>
      <c r="R743" s="67"/>
      <c r="S743" s="83">
        <f t="shared" si="35"/>
        <v>0</v>
      </c>
    </row>
    <row r="744" spans="1:19" ht="18" customHeight="1" x14ac:dyDescent="0.25">
      <c r="A744" s="68"/>
      <c r="B744" s="69"/>
      <c r="C744" s="74"/>
      <c r="D744" s="69"/>
      <c r="E744" s="68"/>
      <c r="F744" s="71"/>
      <c r="G744" s="72"/>
      <c r="H744" s="73"/>
      <c r="I744" s="74"/>
      <c r="J744" s="74"/>
      <c r="K744" s="74"/>
      <c r="L744" s="74"/>
      <c r="M744" s="74"/>
      <c r="N744" s="74"/>
      <c r="O744" s="82">
        <f t="shared" si="33"/>
        <v>0</v>
      </c>
      <c r="P744" s="82">
        <f t="shared" si="34"/>
        <v>0</v>
      </c>
      <c r="Q744" s="74"/>
      <c r="R744" s="76"/>
      <c r="S744" s="84">
        <f t="shared" si="35"/>
        <v>0</v>
      </c>
    </row>
    <row r="745" spans="1:19" ht="18" customHeight="1" x14ac:dyDescent="0.25">
      <c r="A745" s="59"/>
      <c r="B745" s="60"/>
      <c r="C745" s="65"/>
      <c r="D745" s="60"/>
      <c r="E745" s="59"/>
      <c r="F745" s="62"/>
      <c r="G745" s="63"/>
      <c r="H745" s="64"/>
      <c r="I745" s="65"/>
      <c r="J745" s="65"/>
      <c r="K745" s="65"/>
      <c r="L745" s="65"/>
      <c r="M745" s="65"/>
      <c r="N745" s="65"/>
      <c r="O745" s="81">
        <f t="shared" si="33"/>
        <v>0</v>
      </c>
      <c r="P745" s="81">
        <f t="shared" si="34"/>
        <v>0</v>
      </c>
      <c r="Q745" s="65"/>
      <c r="R745" s="67"/>
      <c r="S745" s="83">
        <f t="shared" si="35"/>
        <v>0</v>
      </c>
    </row>
    <row r="746" spans="1:19" ht="18" customHeight="1" x14ac:dyDescent="0.25">
      <c r="A746" s="68"/>
      <c r="B746" s="69"/>
      <c r="C746" s="74"/>
      <c r="D746" s="69"/>
      <c r="E746" s="68"/>
      <c r="F746" s="71"/>
      <c r="G746" s="72"/>
      <c r="H746" s="73"/>
      <c r="I746" s="74"/>
      <c r="J746" s="74"/>
      <c r="K746" s="74"/>
      <c r="L746" s="74"/>
      <c r="M746" s="74"/>
      <c r="N746" s="74"/>
      <c r="O746" s="82">
        <f t="shared" si="33"/>
        <v>0</v>
      </c>
      <c r="P746" s="82">
        <f t="shared" si="34"/>
        <v>0</v>
      </c>
      <c r="Q746" s="74"/>
      <c r="R746" s="76"/>
      <c r="S746" s="84">
        <f t="shared" si="35"/>
        <v>0</v>
      </c>
    </row>
    <row r="747" spans="1:19" ht="18" customHeight="1" x14ac:dyDescent="0.25">
      <c r="A747" s="59"/>
      <c r="B747" s="60"/>
      <c r="C747" s="65"/>
      <c r="D747" s="60"/>
      <c r="E747" s="59"/>
      <c r="F747" s="62"/>
      <c r="G747" s="63"/>
      <c r="H747" s="64"/>
      <c r="I747" s="65"/>
      <c r="J747" s="65"/>
      <c r="K747" s="65"/>
      <c r="L747" s="65"/>
      <c r="M747" s="65"/>
      <c r="N747" s="65"/>
      <c r="O747" s="81">
        <f t="shared" si="33"/>
        <v>0</v>
      </c>
      <c r="P747" s="81">
        <f t="shared" si="34"/>
        <v>0</v>
      </c>
      <c r="Q747" s="65"/>
      <c r="R747" s="67"/>
      <c r="S747" s="83">
        <f t="shared" si="35"/>
        <v>0</v>
      </c>
    </row>
    <row r="748" spans="1:19" ht="18" customHeight="1" x14ac:dyDescent="0.25">
      <c r="A748" s="68"/>
      <c r="B748" s="69"/>
      <c r="C748" s="74"/>
      <c r="D748" s="69"/>
      <c r="E748" s="68"/>
      <c r="F748" s="71"/>
      <c r="G748" s="72"/>
      <c r="H748" s="73"/>
      <c r="I748" s="74"/>
      <c r="J748" s="74"/>
      <c r="K748" s="74"/>
      <c r="L748" s="74"/>
      <c r="M748" s="74"/>
      <c r="N748" s="74"/>
      <c r="O748" s="82">
        <f t="shared" si="33"/>
        <v>0</v>
      </c>
      <c r="P748" s="82">
        <f t="shared" si="34"/>
        <v>0</v>
      </c>
      <c r="Q748" s="74"/>
      <c r="R748" s="76"/>
      <c r="S748" s="84">
        <f t="shared" si="35"/>
        <v>0</v>
      </c>
    </row>
    <row r="749" spans="1:19" ht="18" customHeight="1" x14ac:dyDescent="0.25">
      <c r="A749" s="59"/>
      <c r="B749" s="60"/>
      <c r="C749" s="65"/>
      <c r="D749" s="60"/>
      <c r="E749" s="59"/>
      <c r="F749" s="62"/>
      <c r="G749" s="63"/>
      <c r="H749" s="64"/>
      <c r="I749" s="65"/>
      <c r="J749" s="65"/>
      <c r="K749" s="65"/>
      <c r="L749" s="65"/>
      <c r="M749" s="65"/>
      <c r="N749" s="65"/>
      <c r="O749" s="81">
        <f t="shared" si="33"/>
        <v>0</v>
      </c>
      <c r="P749" s="81">
        <f t="shared" si="34"/>
        <v>0</v>
      </c>
      <c r="Q749" s="65"/>
      <c r="R749" s="67"/>
      <c r="S749" s="83">
        <f t="shared" si="35"/>
        <v>0</v>
      </c>
    </row>
    <row r="750" spans="1:19" ht="18" customHeight="1" x14ac:dyDescent="0.25">
      <c r="A750" s="68"/>
      <c r="B750" s="69"/>
      <c r="C750" s="74"/>
      <c r="D750" s="69"/>
      <c r="E750" s="68"/>
      <c r="F750" s="71"/>
      <c r="G750" s="72"/>
      <c r="H750" s="73"/>
      <c r="I750" s="74"/>
      <c r="J750" s="74"/>
      <c r="K750" s="74"/>
      <c r="L750" s="74"/>
      <c r="M750" s="74"/>
      <c r="N750" s="74"/>
      <c r="O750" s="82">
        <f t="shared" si="33"/>
        <v>0</v>
      </c>
      <c r="P750" s="82">
        <f t="shared" si="34"/>
        <v>0</v>
      </c>
      <c r="Q750" s="74"/>
      <c r="R750" s="76"/>
      <c r="S750" s="84">
        <f t="shared" si="35"/>
        <v>0</v>
      </c>
    </row>
    <row r="751" spans="1:19" ht="18" customHeight="1" x14ac:dyDescent="0.25">
      <c r="A751" s="59"/>
      <c r="B751" s="60"/>
      <c r="C751" s="65"/>
      <c r="D751" s="60"/>
      <c r="E751" s="59"/>
      <c r="F751" s="62"/>
      <c r="G751" s="63"/>
      <c r="H751" s="64"/>
      <c r="I751" s="65"/>
      <c r="J751" s="65"/>
      <c r="K751" s="65"/>
      <c r="L751" s="65"/>
      <c r="M751" s="65"/>
      <c r="N751" s="65"/>
      <c r="O751" s="81">
        <f t="shared" si="33"/>
        <v>0</v>
      </c>
      <c r="P751" s="81">
        <f t="shared" si="34"/>
        <v>0</v>
      </c>
      <c r="Q751" s="65"/>
      <c r="R751" s="67"/>
      <c r="S751" s="83">
        <f t="shared" si="35"/>
        <v>0</v>
      </c>
    </row>
    <row r="752" spans="1:19" ht="18" customHeight="1" x14ac:dyDescent="0.25">
      <c r="A752" s="68"/>
      <c r="B752" s="69"/>
      <c r="C752" s="74"/>
      <c r="D752" s="69"/>
      <c r="E752" s="68"/>
      <c r="F752" s="71"/>
      <c r="G752" s="72"/>
      <c r="H752" s="73"/>
      <c r="I752" s="74"/>
      <c r="J752" s="74"/>
      <c r="K752" s="74"/>
      <c r="L752" s="74"/>
      <c r="M752" s="74"/>
      <c r="N752" s="74"/>
      <c r="O752" s="82">
        <f t="shared" si="33"/>
        <v>0</v>
      </c>
      <c r="P752" s="82">
        <f t="shared" si="34"/>
        <v>0</v>
      </c>
      <c r="Q752" s="74"/>
      <c r="R752" s="76"/>
      <c r="S752" s="84">
        <f t="shared" si="35"/>
        <v>0</v>
      </c>
    </row>
    <row r="753" spans="1:19" ht="18" customHeight="1" x14ac:dyDescent="0.25">
      <c r="A753" s="59"/>
      <c r="B753" s="60"/>
      <c r="C753" s="65"/>
      <c r="D753" s="60"/>
      <c r="E753" s="59"/>
      <c r="F753" s="62"/>
      <c r="G753" s="63"/>
      <c r="H753" s="64"/>
      <c r="I753" s="65"/>
      <c r="J753" s="65"/>
      <c r="K753" s="65"/>
      <c r="L753" s="65"/>
      <c r="M753" s="65"/>
      <c r="N753" s="65"/>
      <c r="O753" s="81">
        <f t="shared" si="33"/>
        <v>0</v>
      </c>
      <c r="P753" s="81">
        <f t="shared" si="34"/>
        <v>0</v>
      </c>
      <c r="Q753" s="65"/>
      <c r="R753" s="67"/>
      <c r="S753" s="83">
        <f t="shared" si="35"/>
        <v>0</v>
      </c>
    </row>
    <row r="754" spans="1:19" ht="18" customHeight="1" x14ac:dyDescent="0.25">
      <c r="A754" s="68"/>
      <c r="B754" s="69"/>
      <c r="C754" s="74"/>
      <c r="D754" s="69"/>
      <c r="E754" s="68"/>
      <c r="F754" s="71"/>
      <c r="G754" s="72"/>
      <c r="H754" s="73"/>
      <c r="I754" s="74"/>
      <c r="J754" s="74"/>
      <c r="K754" s="74"/>
      <c r="L754" s="74"/>
      <c r="M754" s="74"/>
      <c r="N754" s="74"/>
      <c r="O754" s="82">
        <f t="shared" si="33"/>
        <v>0</v>
      </c>
      <c r="P754" s="82">
        <f t="shared" si="34"/>
        <v>0</v>
      </c>
      <c r="Q754" s="74"/>
      <c r="R754" s="76"/>
      <c r="S754" s="84">
        <f t="shared" si="35"/>
        <v>0</v>
      </c>
    </row>
    <row r="755" spans="1:19" ht="18" customHeight="1" x14ac:dyDescent="0.25">
      <c r="A755" s="59"/>
      <c r="B755" s="60"/>
      <c r="C755" s="65"/>
      <c r="D755" s="60"/>
      <c r="E755" s="59"/>
      <c r="F755" s="62"/>
      <c r="G755" s="63"/>
      <c r="H755" s="64"/>
      <c r="I755" s="65"/>
      <c r="J755" s="65"/>
      <c r="K755" s="65"/>
      <c r="L755" s="65"/>
      <c r="M755" s="65"/>
      <c r="N755" s="65"/>
      <c r="O755" s="81">
        <f t="shared" si="33"/>
        <v>0</v>
      </c>
      <c r="P755" s="81">
        <f t="shared" si="34"/>
        <v>0</v>
      </c>
      <c r="Q755" s="65"/>
      <c r="R755" s="67"/>
      <c r="S755" s="83">
        <f t="shared" si="35"/>
        <v>0</v>
      </c>
    </row>
    <row r="756" spans="1:19" ht="18" customHeight="1" x14ac:dyDescent="0.25">
      <c r="A756" s="68"/>
      <c r="B756" s="69"/>
      <c r="C756" s="74"/>
      <c r="D756" s="69"/>
      <c r="E756" s="68"/>
      <c r="F756" s="71"/>
      <c r="G756" s="72"/>
      <c r="H756" s="73"/>
      <c r="I756" s="74"/>
      <c r="J756" s="74"/>
      <c r="K756" s="74"/>
      <c r="L756" s="74"/>
      <c r="M756" s="74"/>
      <c r="N756" s="74"/>
      <c r="O756" s="82">
        <f t="shared" si="33"/>
        <v>0</v>
      </c>
      <c r="P756" s="82">
        <f t="shared" si="34"/>
        <v>0</v>
      </c>
      <c r="Q756" s="74"/>
      <c r="R756" s="76"/>
      <c r="S756" s="84">
        <f t="shared" si="35"/>
        <v>0</v>
      </c>
    </row>
    <row r="757" spans="1:19" ht="18" customHeight="1" x14ac:dyDescent="0.25">
      <c r="A757" s="59"/>
      <c r="B757" s="60"/>
      <c r="C757" s="65"/>
      <c r="D757" s="60"/>
      <c r="E757" s="59"/>
      <c r="F757" s="62"/>
      <c r="G757" s="63"/>
      <c r="H757" s="64"/>
      <c r="I757" s="65"/>
      <c r="J757" s="65"/>
      <c r="K757" s="65"/>
      <c r="L757" s="65"/>
      <c r="M757" s="65"/>
      <c r="N757" s="65"/>
      <c r="O757" s="81">
        <f t="shared" si="33"/>
        <v>0</v>
      </c>
      <c r="P757" s="81">
        <f t="shared" si="34"/>
        <v>0</v>
      </c>
      <c r="Q757" s="65"/>
      <c r="R757" s="67"/>
      <c r="S757" s="83">
        <f t="shared" si="35"/>
        <v>0</v>
      </c>
    </row>
    <row r="758" spans="1:19" ht="18" customHeight="1" x14ac:dyDescent="0.25">
      <c r="A758" s="68"/>
      <c r="B758" s="69"/>
      <c r="C758" s="74"/>
      <c r="D758" s="69"/>
      <c r="E758" s="68"/>
      <c r="F758" s="71"/>
      <c r="G758" s="72"/>
      <c r="H758" s="73"/>
      <c r="I758" s="74"/>
      <c r="J758" s="74"/>
      <c r="K758" s="74"/>
      <c r="L758" s="74"/>
      <c r="M758" s="74"/>
      <c r="N758" s="74"/>
      <c r="O758" s="82">
        <f t="shared" si="33"/>
        <v>0</v>
      </c>
      <c r="P758" s="82">
        <f t="shared" si="34"/>
        <v>0</v>
      </c>
      <c r="Q758" s="74"/>
      <c r="R758" s="76"/>
      <c r="S758" s="84">
        <f t="shared" si="35"/>
        <v>0</v>
      </c>
    </row>
    <row r="759" spans="1:19" ht="18" customHeight="1" x14ac:dyDescent="0.25">
      <c r="A759" s="59"/>
      <c r="B759" s="60"/>
      <c r="C759" s="65"/>
      <c r="D759" s="60"/>
      <c r="E759" s="59"/>
      <c r="F759" s="62"/>
      <c r="G759" s="63"/>
      <c r="H759" s="64"/>
      <c r="I759" s="65"/>
      <c r="J759" s="65"/>
      <c r="K759" s="65"/>
      <c r="L759" s="65"/>
      <c r="M759" s="65"/>
      <c r="N759" s="65"/>
      <c r="O759" s="81">
        <f t="shared" si="33"/>
        <v>0</v>
      </c>
      <c r="P759" s="81">
        <f t="shared" si="34"/>
        <v>0</v>
      </c>
      <c r="Q759" s="65"/>
      <c r="R759" s="67"/>
      <c r="S759" s="83">
        <f t="shared" si="35"/>
        <v>0</v>
      </c>
    </row>
    <row r="760" spans="1:19" ht="18" customHeight="1" x14ac:dyDescent="0.25">
      <c r="A760" s="68"/>
      <c r="B760" s="69"/>
      <c r="C760" s="74"/>
      <c r="D760" s="69"/>
      <c r="E760" s="68"/>
      <c r="F760" s="71"/>
      <c r="G760" s="72"/>
      <c r="H760" s="73"/>
      <c r="I760" s="74"/>
      <c r="J760" s="74"/>
      <c r="K760" s="74"/>
      <c r="L760" s="74"/>
      <c r="M760" s="74"/>
      <c r="N760" s="74"/>
      <c r="O760" s="82">
        <f t="shared" si="33"/>
        <v>0</v>
      </c>
      <c r="P760" s="82">
        <f t="shared" si="34"/>
        <v>0</v>
      </c>
      <c r="Q760" s="74"/>
      <c r="R760" s="76"/>
      <c r="S760" s="84">
        <f t="shared" si="35"/>
        <v>0</v>
      </c>
    </row>
    <row r="761" spans="1:19" ht="18" customHeight="1" x14ac:dyDescent="0.25">
      <c r="A761" s="59"/>
      <c r="B761" s="60"/>
      <c r="C761" s="65"/>
      <c r="D761" s="60"/>
      <c r="E761" s="59"/>
      <c r="F761" s="62"/>
      <c r="G761" s="63"/>
      <c r="H761" s="64"/>
      <c r="I761" s="65"/>
      <c r="J761" s="65"/>
      <c r="K761" s="65"/>
      <c r="L761" s="65"/>
      <c r="M761" s="65"/>
      <c r="N761" s="65"/>
      <c r="O761" s="81">
        <f t="shared" si="33"/>
        <v>0</v>
      </c>
      <c r="P761" s="81">
        <f t="shared" si="34"/>
        <v>0</v>
      </c>
      <c r="Q761" s="65"/>
      <c r="R761" s="67"/>
      <c r="S761" s="83">
        <f t="shared" si="35"/>
        <v>0</v>
      </c>
    </row>
    <row r="762" spans="1:19" ht="18" customHeight="1" x14ac:dyDescent="0.25">
      <c r="A762" s="68"/>
      <c r="B762" s="69"/>
      <c r="C762" s="74"/>
      <c r="D762" s="69"/>
      <c r="E762" s="68"/>
      <c r="F762" s="71"/>
      <c r="G762" s="72"/>
      <c r="H762" s="73"/>
      <c r="I762" s="74"/>
      <c r="J762" s="74"/>
      <c r="K762" s="74"/>
      <c r="L762" s="74"/>
      <c r="M762" s="74"/>
      <c r="N762" s="74"/>
      <c r="O762" s="82">
        <f t="shared" si="33"/>
        <v>0</v>
      </c>
      <c r="P762" s="82">
        <f t="shared" si="34"/>
        <v>0</v>
      </c>
      <c r="Q762" s="74"/>
      <c r="R762" s="76"/>
      <c r="S762" s="84">
        <f t="shared" si="35"/>
        <v>0</v>
      </c>
    </row>
    <row r="763" spans="1:19" ht="18" customHeight="1" x14ac:dyDescent="0.25">
      <c r="A763" s="59"/>
      <c r="B763" s="60"/>
      <c r="C763" s="65"/>
      <c r="D763" s="60"/>
      <c r="E763" s="59"/>
      <c r="F763" s="62"/>
      <c r="G763" s="63"/>
      <c r="H763" s="64"/>
      <c r="I763" s="65"/>
      <c r="J763" s="65"/>
      <c r="K763" s="65"/>
      <c r="L763" s="65"/>
      <c r="M763" s="65"/>
      <c r="N763" s="65"/>
      <c r="O763" s="81">
        <f t="shared" si="33"/>
        <v>0</v>
      </c>
      <c r="P763" s="81">
        <f t="shared" si="34"/>
        <v>0</v>
      </c>
      <c r="Q763" s="65"/>
      <c r="R763" s="67"/>
      <c r="S763" s="83">
        <f t="shared" si="35"/>
        <v>0</v>
      </c>
    </row>
    <row r="764" spans="1:19" ht="18" customHeight="1" x14ac:dyDescent="0.25">
      <c r="A764" s="68"/>
      <c r="B764" s="69"/>
      <c r="C764" s="74"/>
      <c r="D764" s="69"/>
      <c r="E764" s="68"/>
      <c r="F764" s="71"/>
      <c r="G764" s="72"/>
      <c r="H764" s="73"/>
      <c r="I764" s="74"/>
      <c r="J764" s="74"/>
      <c r="K764" s="74"/>
      <c r="L764" s="74"/>
      <c r="M764" s="74"/>
      <c r="N764" s="74"/>
      <c r="O764" s="82">
        <f t="shared" si="33"/>
        <v>0</v>
      </c>
      <c r="P764" s="82">
        <f t="shared" si="34"/>
        <v>0</v>
      </c>
      <c r="Q764" s="74"/>
      <c r="R764" s="76"/>
      <c r="S764" s="84">
        <f t="shared" si="35"/>
        <v>0</v>
      </c>
    </row>
    <row r="765" spans="1:19" ht="18" customHeight="1" x14ac:dyDescent="0.25">
      <c r="A765" s="59"/>
      <c r="B765" s="60"/>
      <c r="C765" s="65"/>
      <c r="D765" s="60"/>
      <c r="E765" s="59"/>
      <c r="F765" s="62"/>
      <c r="G765" s="63"/>
      <c r="H765" s="64"/>
      <c r="I765" s="65"/>
      <c r="J765" s="65"/>
      <c r="K765" s="65"/>
      <c r="L765" s="65"/>
      <c r="M765" s="65"/>
      <c r="N765" s="65"/>
      <c r="O765" s="81">
        <f t="shared" si="33"/>
        <v>0</v>
      </c>
      <c r="P765" s="81">
        <f t="shared" si="34"/>
        <v>0</v>
      </c>
      <c r="Q765" s="65"/>
      <c r="R765" s="67"/>
      <c r="S765" s="83">
        <f t="shared" si="35"/>
        <v>0</v>
      </c>
    </row>
    <row r="766" spans="1:19" ht="18" customHeight="1" x14ac:dyDescent="0.25">
      <c r="A766" s="68"/>
      <c r="B766" s="69"/>
      <c r="C766" s="74"/>
      <c r="D766" s="69"/>
      <c r="E766" s="68"/>
      <c r="F766" s="71"/>
      <c r="G766" s="72"/>
      <c r="H766" s="73"/>
      <c r="I766" s="74"/>
      <c r="J766" s="74"/>
      <c r="K766" s="74"/>
      <c r="L766" s="74"/>
      <c r="M766" s="74"/>
      <c r="N766" s="74"/>
      <c r="O766" s="82">
        <f t="shared" si="33"/>
        <v>0</v>
      </c>
      <c r="P766" s="82">
        <f t="shared" si="34"/>
        <v>0</v>
      </c>
      <c r="Q766" s="74"/>
      <c r="R766" s="76"/>
      <c r="S766" s="84">
        <f t="shared" si="35"/>
        <v>0</v>
      </c>
    </row>
    <row r="767" spans="1:19" ht="18" customHeight="1" x14ac:dyDescent="0.25">
      <c r="A767" s="59"/>
      <c r="B767" s="60"/>
      <c r="C767" s="65"/>
      <c r="D767" s="60"/>
      <c r="E767" s="59"/>
      <c r="F767" s="62"/>
      <c r="G767" s="63"/>
      <c r="H767" s="64"/>
      <c r="I767" s="65"/>
      <c r="J767" s="65"/>
      <c r="K767" s="65"/>
      <c r="L767" s="65"/>
      <c r="M767" s="65"/>
      <c r="N767" s="65"/>
      <c r="O767" s="81">
        <f t="shared" si="33"/>
        <v>0</v>
      </c>
      <c r="P767" s="81">
        <f t="shared" si="34"/>
        <v>0</v>
      </c>
      <c r="Q767" s="65"/>
      <c r="R767" s="67"/>
      <c r="S767" s="83">
        <f t="shared" si="35"/>
        <v>0</v>
      </c>
    </row>
    <row r="768" spans="1:19" ht="18" customHeight="1" x14ac:dyDescent="0.25">
      <c r="A768" s="68"/>
      <c r="B768" s="69"/>
      <c r="C768" s="74"/>
      <c r="D768" s="69"/>
      <c r="E768" s="68"/>
      <c r="F768" s="71"/>
      <c r="G768" s="72"/>
      <c r="H768" s="73"/>
      <c r="I768" s="74"/>
      <c r="J768" s="74"/>
      <c r="K768" s="74"/>
      <c r="L768" s="74"/>
      <c r="M768" s="74"/>
      <c r="N768" s="74"/>
      <c r="O768" s="82">
        <f t="shared" si="33"/>
        <v>0</v>
      </c>
      <c r="P768" s="82">
        <f t="shared" si="34"/>
        <v>0</v>
      </c>
      <c r="Q768" s="74"/>
      <c r="R768" s="76"/>
      <c r="S768" s="84">
        <f t="shared" si="35"/>
        <v>0</v>
      </c>
    </row>
    <row r="769" spans="1:19" ht="18" customHeight="1" x14ac:dyDescent="0.25">
      <c r="A769" s="59"/>
      <c r="B769" s="60"/>
      <c r="C769" s="65"/>
      <c r="D769" s="60"/>
      <c r="E769" s="59"/>
      <c r="F769" s="62"/>
      <c r="G769" s="63"/>
      <c r="H769" s="64"/>
      <c r="I769" s="65"/>
      <c r="J769" s="65"/>
      <c r="K769" s="65"/>
      <c r="L769" s="65"/>
      <c r="M769" s="65"/>
      <c r="N769" s="65"/>
      <c r="O769" s="81">
        <f t="shared" si="33"/>
        <v>0</v>
      </c>
      <c r="P769" s="81">
        <f t="shared" si="34"/>
        <v>0</v>
      </c>
      <c r="Q769" s="65"/>
      <c r="R769" s="67"/>
      <c r="S769" s="83">
        <f t="shared" si="35"/>
        <v>0</v>
      </c>
    </row>
    <row r="770" spans="1:19" ht="18" customHeight="1" x14ac:dyDescent="0.25">
      <c r="A770" s="68"/>
      <c r="B770" s="69"/>
      <c r="C770" s="74"/>
      <c r="D770" s="69"/>
      <c r="E770" s="68"/>
      <c r="F770" s="71"/>
      <c r="G770" s="72"/>
      <c r="H770" s="73"/>
      <c r="I770" s="74"/>
      <c r="J770" s="74"/>
      <c r="K770" s="74"/>
      <c r="L770" s="74"/>
      <c r="M770" s="74"/>
      <c r="N770" s="74"/>
      <c r="O770" s="82">
        <f t="shared" si="33"/>
        <v>0</v>
      </c>
      <c r="P770" s="82">
        <f t="shared" si="34"/>
        <v>0</v>
      </c>
      <c r="Q770" s="74"/>
      <c r="R770" s="76"/>
      <c r="S770" s="84">
        <f t="shared" si="35"/>
        <v>0</v>
      </c>
    </row>
    <row r="771" spans="1:19" ht="18" customHeight="1" x14ac:dyDescent="0.25">
      <c r="A771" s="59"/>
      <c r="B771" s="60"/>
      <c r="C771" s="65"/>
      <c r="D771" s="60"/>
      <c r="E771" s="59"/>
      <c r="F771" s="62"/>
      <c r="G771" s="63"/>
      <c r="H771" s="64"/>
      <c r="I771" s="65"/>
      <c r="J771" s="65"/>
      <c r="K771" s="65"/>
      <c r="L771" s="65"/>
      <c r="M771" s="65"/>
      <c r="N771" s="65"/>
      <c r="O771" s="81">
        <f t="shared" si="33"/>
        <v>0</v>
      </c>
      <c r="P771" s="81">
        <f t="shared" si="34"/>
        <v>0</v>
      </c>
      <c r="Q771" s="65"/>
      <c r="R771" s="67"/>
      <c r="S771" s="83">
        <f t="shared" si="35"/>
        <v>0</v>
      </c>
    </row>
    <row r="772" spans="1:19" ht="18" customHeight="1" x14ac:dyDescent="0.25">
      <c r="A772" s="68"/>
      <c r="B772" s="69"/>
      <c r="C772" s="74"/>
      <c r="D772" s="69"/>
      <c r="E772" s="68"/>
      <c r="F772" s="71"/>
      <c r="G772" s="72"/>
      <c r="H772" s="73"/>
      <c r="I772" s="74"/>
      <c r="J772" s="74"/>
      <c r="K772" s="74"/>
      <c r="L772" s="74"/>
      <c r="M772" s="74"/>
      <c r="N772" s="74"/>
      <c r="O772" s="82">
        <f t="shared" si="33"/>
        <v>0</v>
      </c>
      <c r="P772" s="82">
        <f t="shared" si="34"/>
        <v>0</v>
      </c>
      <c r="Q772" s="74"/>
      <c r="R772" s="76"/>
      <c r="S772" s="84">
        <f t="shared" si="35"/>
        <v>0</v>
      </c>
    </row>
    <row r="773" spans="1:19" ht="18" customHeight="1" x14ac:dyDescent="0.25">
      <c r="A773" s="59"/>
      <c r="B773" s="60"/>
      <c r="C773" s="65"/>
      <c r="D773" s="60"/>
      <c r="E773" s="59"/>
      <c r="F773" s="62"/>
      <c r="G773" s="63"/>
      <c r="H773" s="64"/>
      <c r="I773" s="65"/>
      <c r="J773" s="65"/>
      <c r="K773" s="65"/>
      <c r="L773" s="65"/>
      <c r="M773" s="65"/>
      <c r="N773" s="65"/>
      <c r="O773" s="81">
        <f t="shared" si="33"/>
        <v>0</v>
      </c>
      <c r="P773" s="81">
        <f t="shared" si="34"/>
        <v>0</v>
      </c>
      <c r="Q773" s="65"/>
      <c r="R773" s="67"/>
      <c r="S773" s="83">
        <f t="shared" si="35"/>
        <v>0</v>
      </c>
    </row>
    <row r="774" spans="1:19" ht="18" customHeight="1" x14ac:dyDescent="0.25">
      <c r="A774" s="68"/>
      <c r="B774" s="69"/>
      <c r="C774" s="74"/>
      <c r="D774" s="69"/>
      <c r="E774" s="68"/>
      <c r="F774" s="71"/>
      <c r="G774" s="72"/>
      <c r="H774" s="73"/>
      <c r="I774" s="74"/>
      <c r="J774" s="74"/>
      <c r="K774" s="74"/>
      <c r="L774" s="74"/>
      <c r="M774" s="74"/>
      <c r="N774" s="74"/>
      <c r="O774" s="82" t="e">
        <f>#N/A</f>
        <v>#N/A</v>
      </c>
      <c r="P774" s="82" t="e">
        <f>#N/A</f>
        <v>#N/A</v>
      </c>
      <c r="Q774" s="74"/>
      <c r="R774" s="76"/>
      <c r="S774" s="84">
        <f t="shared" si="35"/>
        <v>0</v>
      </c>
    </row>
    <row r="775" spans="1:19" ht="18" customHeight="1" x14ac:dyDescent="0.25">
      <c r="A775" s="59"/>
      <c r="B775" s="60"/>
      <c r="C775" s="65"/>
      <c r="D775" s="60"/>
      <c r="E775" s="59"/>
      <c r="F775" s="62"/>
      <c r="G775" s="63"/>
      <c r="H775" s="64"/>
      <c r="I775" s="65"/>
      <c r="J775" s="65"/>
      <c r="K775" s="65"/>
      <c r="L775" s="65"/>
      <c r="M775" s="65"/>
      <c r="N775" s="65"/>
      <c r="O775" s="81">
        <f t="shared" ref="O775:O837" si="36">IF(G775="Reimbursement ","",I775+J775+K775+L775+M775)</f>
        <v>0</v>
      </c>
      <c r="P775" s="81">
        <f t="shared" ref="P775:P837" si="37">IF(G775="Reimbursement ","",H775-O775)</f>
        <v>0</v>
      </c>
      <c r="Q775" s="65"/>
      <c r="R775" s="67"/>
      <c r="S775" s="83">
        <f t="shared" ref="S775:S838" si="38">IF(OR(R775="",Q775=""),0,IF(R775&gt;Q775,R775-Q775,0))</f>
        <v>0</v>
      </c>
    </row>
    <row r="776" spans="1:19" ht="18" customHeight="1" x14ac:dyDescent="0.25">
      <c r="A776" s="68"/>
      <c r="B776" s="69"/>
      <c r="C776" s="74"/>
      <c r="D776" s="69"/>
      <c r="E776" s="68"/>
      <c r="F776" s="71"/>
      <c r="G776" s="72"/>
      <c r="H776" s="73"/>
      <c r="I776" s="74"/>
      <c r="J776" s="74"/>
      <c r="K776" s="74"/>
      <c r="L776" s="74"/>
      <c r="M776" s="74"/>
      <c r="N776" s="74"/>
      <c r="O776" s="82">
        <f t="shared" si="36"/>
        <v>0</v>
      </c>
      <c r="P776" s="82">
        <f t="shared" si="37"/>
        <v>0</v>
      </c>
      <c r="Q776" s="74"/>
      <c r="R776" s="76"/>
      <c r="S776" s="84">
        <f t="shared" si="38"/>
        <v>0</v>
      </c>
    </row>
    <row r="777" spans="1:19" ht="18" customHeight="1" x14ac:dyDescent="0.25">
      <c r="A777" s="59"/>
      <c r="B777" s="60"/>
      <c r="C777" s="65"/>
      <c r="D777" s="60"/>
      <c r="E777" s="59"/>
      <c r="F777" s="62"/>
      <c r="G777" s="63"/>
      <c r="H777" s="64"/>
      <c r="I777" s="65"/>
      <c r="J777" s="65"/>
      <c r="K777" s="65"/>
      <c r="L777" s="65"/>
      <c r="M777" s="65"/>
      <c r="N777" s="65"/>
      <c r="O777" s="81">
        <f t="shared" si="36"/>
        <v>0</v>
      </c>
      <c r="P777" s="81">
        <f t="shared" si="37"/>
        <v>0</v>
      </c>
      <c r="Q777" s="65"/>
      <c r="R777" s="67"/>
      <c r="S777" s="83">
        <f t="shared" si="38"/>
        <v>0</v>
      </c>
    </row>
    <row r="778" spans="1:19" ht="18" customHeight="1" x14ac:dyDescent="0.25">
      <c r="A778" s="68"/>
      <c r="B778" s="69"/>
      <c r="C778" s="74"/>
      <c r="D778" s="69"/>
      <c r="E778" s="68"/>
      <c r="F778" s="71"/>
      <c r="G778" s="72"/>
      <c r="H778" s="73"/>
      <c r="I778" s="74"/>
      <c r="J778" s="74"/>
      <c r="K778" s="74"/>
      <c r="L778" s="74"/>
      <c r="M778" s="74"/>
      <c r="N778" s="74"/>
      <c r="O778" s="82">
        <f t="shared" si="36"/>
        <v>0</v>
      </c>
      <c r="P778" s="82">
        <f t="shared" si="37"/>
        <v>0</v>
      </c>
      <c r="Q778" s="74"/>
      <c r="R778" s="76"/>
      <c r="S778" s="84">
        <f t="shared" si="38"/>
        <v>0</v>
      </c>
    </row>
    <row r="779" spans="1:19" ht="18" customHeight="1" x14ac:dyDescent="0.25">
      <c r="A779" s="59"/>
      <c r="B779" s="60"/>
      <c r="C779" s="65"/>
      <c r="D779" s="60"/>
      <c r="E779" s="59"/>
      <c r="F779" s="62"/>
      <c r="G779" s="63"/>
      <c r="H779" s="64"/>
      <c r="I779" s="65"/>
      <c r="J779" s="65"/>
      <c r="K779" s="65"/>
      <c r="L779" s="65"/>
      <c r="M779" s="65"/>
      <c r="N779" s="65"/>
      <c r="O779" s="81">
        <f t="shared" si="36"/>
        <v>0</v>
      </c>
      <c r="P779" s="81">
        <f t="shared" si="37"/>
        <v>0</v>
      </c>
      <c r="Q779" s="65"/>
      <c r="R779" s="67"/>
      <c r="S779" s="83">
        <f t="shared" si="38"/>
        <v>0</v>
      </c>
    </row>
    <row r="780" spans="1:19" ht="18" customHeight="1" x14ac:dyDescent="0.25">
      <c r="A780" s="68"/>
      <c r="B780" s="69"/>
      <c r="C780" s="74"/>
      <c r="D780" s="69"/>
      <c r="E780" s="68"/>
      <c r="F780" s="71"/>
      <c r="G780" s="72"/>
      <c r="H780" s="73"/>
      <c r="I780" s="74"/>
      <c r="J780" s="74"/>
      <c r="K780" s="74"/>
      <c r="L780" s="74"/>
      <c r="M780" s="74"/>
      <c r="N780" s="74"/>
      <c r="O780" s="82">
        <f t="shared" si="36"/>
        <v>0</v>
      </c>
      <c r="P780" s="82">
        <f t="shared" si="37"/>
        <v>0</v>
      </c>
      <c r="Q780" s="74"/>
      <c r="R780" s="76"/>
      <c r="S780" s="84">
        <f t="shared" si="38"/>
        <v>0</v>
      </c>
    </row>
    <row r="781" spans="1:19" ht="18" customHeight="1" x14ac:dyDescent="0.25">
      <c r="A781" s="59"/>
      <c r="B781" s="60"/>
      <c r="C781" s="65"/>
      <c r="D781" s="60"/>
      <c r="E781" s="59"/>
      <c r="F781" s="62"/>
      <c r="G781" s="63"/>
      <c r="H781" s="64"/>
      <c r="I781" s="65"/>
      <c r="J781" s="65"/>
      <c r="K781" s="65"/>
      <c r="L781" s="65"/>
      <c r="M781" s="65"/>
      <c r="N781" s="65"/>
      <c r="O781" s="81">
        <f t="shared" si="36"/>
        <v>0</v>
      </c>
      <c r="P781" s="81">
        <f t="shared" si="37"/>
        <v>0</v>
      </c>
      <c r="Q781" s="65"/>
      <c r="R781" s="67"/>
      <c r="S781" s="83">
        <f t="shared" si="38"/>
        <v>0</v>
      </c>
    </row>
    <row r="782" spans="1:19" ht="18" customHeight="1" x14ac:dyDescent="0.25">
      <c r="A782" s="68"/>
      <c r="B782" s="69"/>
      <c r="C782" s="74"/>
      <c r="D782" s="69"/>
      <c r="E782" s="68"/>
      <c r="F782" s="71"/>
      <c r="G782" s="72"/>
      <c r="H782" s="73"/>
      <c r="I782" s="74"/>
      <c r="J782" s="74"/>
      <c r="K782" s="74"/>
      <c r="L782" s="74"/>
      <c r="M782" s="74"/>
      <c r="N782" s="74"/>
      <c r="O782" s="82">
        <f t="shared" si="36"/>
        <v>0</v>
      </c>
      <c r="P782" s="82">
        <f t="shared" si="37"/>
        <v>0</v>
      </c>
      <c r="Q782" s="74"/>
      <c r="R782" s="76"/>
      <c r="S782" s="84">
        <f t="shared" si="38"/>
        <v>0</v>
      </c>
    </row>
    <row r="783" spans="1:19" ht="18" customHeight="1" x14ac:dyDescent="0.25">
      <c r="A783" s="59"/>
      <c r="B783" s="60"/>
      <c r="C783" s="65"/>
      <c r="D783" s="60"/>
      <c r="E783" s="59"/>
      <c r="F783" s="62"/>
      <c r="G783" s="63"/>
      <c r="H783" s="64"/>
      <c r="I783" s="65"/>
      <c r="J783" s="65"/>
      <c r="K783" s="65"/>
      <c r="L783" s="65"/>
      <c r="M783" s="65"/>
      <c r="N783" s="65"/>
      <c r="O783" s="81">
        <f t="shared" si="36"/>
        <v>0</v>
      </c>
      <c r="P783" s="81">
        <f t="shared" si="37"/>
        <v>0</v>
      </c>
      <c r="Q783" s="65"/>
      <c r="R783" s="67"/>
      <c r="S783" s="83">
        <f t="shared" si="38"/>
        <v>0</v>
      </c>
    </row>
    <row r="784" spans="1:19" ht="18" customHeight="1" x14ac:dyDescent="0.25">
      <c r="A784" s="68"/>
      <c r="B784" s="69"/>
      <c r="C784" s="74"/>
      <c r="D784" s="69"/>
      <c r="E784" s="68"/>
      <c r="F784" s="71"/>
      <c r="G784" s="72"/>
      <c r="H784" s="73"/>
      <c r="I784" s="74"/>
      <c r="J784" s="74"/>
      <c r="K784" s="74"/>
      <c r="L784" s="74"/>
      <c r="M784" s="74"/>
      <c r="N784" s="74"/>
      <c r="O784" s="82">
        <f t="shared" si="36"/>
        <v>0</v>
      </c>
      <c r="P784" s="82">
        <f t="shared" si="37"/>
        <v>0</v>
      </c>
      <c r="Q784" s="74"/>
      <c r="R784" s="76"/>
      <c r="S784" s="84">
        <f t="shared" si="38"/>
        <v>0</v>
      </c>
    </row>
    <row r="785" spans="1:19" ht="18" customHeight="1" x14ac:dyDescent="0.25">
      <c r="A785" s="59"/>
      <c r="B785" s="60"/>
      <c r="C785" s="65"/>
      <c r="D785" s="60"/>
      <c r="E785" s="59"/>
      <c r="F785" s="62"/>
      <c r="G785" s="63"/>
      <c r="H785" s="64"/>
      <c r="I785" s="65"/>
      <c r="J785" s="65"/>
      <c r="K785" s="65"/>
      <c r="L785" s="65"/>
      <c r="M785" s="65"/>
      <c r="N785" s="65"/>
      <c r="O785" s="81">
        <f t="shared" si="36"/>
        <v>0</v>
      </c>
      <c r="P785" s="81">
        <f t="shared" si="37"/>
        <v>0</v>
      </c>
      <c r="Q785" s="65"/>
      <c r="R785" s="67"/>
      <c r="S785" s="83">
        <f t="shared" si="38"/>
        <v>0</v>
      </c>
    </row>
    <row r="786" spans="1:19" ht="18" customHeight="1" x14ac:dyDescent="0.25">
      <c r="A786" s="68"/>
      <c r="B786" s="69"/>
      <c r="C786" s="74"/>
      <c r="D786" s="69"/>
      <c r="E786" s="68"/>
      <c r="F786" s="71"/>
      <c r="G786" s="72"/>
      <c r="H786" s="73"/>
      <c r="I786" s="74"/>
      <c r="J786" s="74"/>
      <c r="K786" s="74"/>
      <c r="L786" s="74"/>
      <c r="M786" s="74"/>
      <c r="N786" s="74"/>
      <c r="O786" s="82">
        <f t="shared" si="36"/>
        <v>0</v>
      </c>
      <c r="P786" s="82">
        <f t="shared" si="37"/>
        <v>0</v>
      </c>
      <c r="Q786" s="74"/>
      <c r="R786" s="76"/>
      <c r="S786" s="84">
        <f t="shared" si="38"/>
        <v>0</v>
      </c>
    </row>
    <row r="787" spans="1:19" ht="18" customHeight="1" x14ac:dyDescent="0.25">
      <c r="A787" s="59"/>
      <c r="B787" s="60"/>
      <c r="C787" s="65"/>
      <c r="D787" s="60"/>
      <c r="E787" s="59"/>
      <c r="F787" s="62"/>
      <c r="G787" s="63"/>
      <c r="H787" s="64"/>
      <c r="I787" s="65"/>
      <c r="J787" s="65"/>
      <c r="K787" s="65"/>
      <c r="L787" s="65"/>
      <c r="M787" s="65"/>
      <c r="N787" s="65"/>
      <c r="O787" s="81">
        <f t="shared" si="36"/>
        <v>0</v>
      </c>
      <c r="P787" s="81">
        <f t="shared" si="37"/>
        <v>0</v>
      </c>
      <c r="Q787" s="65"/>
      <c r="R787" s="67"/>
      <c r="S787" s="83">
        <f t="shared" si="38"/>
        <v>0</v>
      </c>
    </row>
    <row r="788" spans="1:19" ht="18" customHeight="1" x14ac:dyDescent="0.25">
      <c r="A788" s="68"/>
      <c r="B788" s="69"/>
      <c r="C788" s="74"/>
      <c r="D788" s="69"/>
      <c r="E788" s="68"/>
      <c r="F788" s="71"/>
      <c r="G788" s="72"/>
      <c r="H788" s="73"/>
      <c r="I788" s="74"/>
      <c r="J788" s="74"/>
      <c r="K788" s="74"/>
      <c r="L788" s="74"/>
      <c r="M788" s="74"/>
      <c r="N788" s="74"/>
      <c r="O788" s="82">
        <f t="shared" si="36"/>
        <v>0</v>
      </c>
      <c r="P788" s="82">
        <f t="shared" si="37"/>
        <v>0</v>
      </c>
      <c r="Q788" s="74"/>
      <c r="R788" s="76"/>
      <c r="S788" s="84">
        <f t="shared" si="38"/>
        <v>0</v>
      </c>
    </row>
    <row r="789" spans="1:19" ht="18" customHeight="1" x14ac:dyDescent="0.25">
      <c r="A789" s="59"/>
      <c r="B789" s="60"/>
      <c r="C789" s="65"/>
      <c r="D789" s="60"/>
      <c r="E789" s="59"/>
      <c r="F789" s="62"/>
      <c r="G789" s="63"/>
      <c r="H789" s="64"/>
      <c r="I789" s="65"/>
      <c r="J789" s="65"/>
      <c r="K789" s="65"/>
      <c r="L789" s="65"/>
      <c r="M789" s="65"/>
      <c r="N789" s="65"/>
      <c r="O789" s="81">
        <f t="shared" si="36"/>
        <v>0</v>
      </c>
      <c r="P789" s="81">
        <f t="shared" si="37"/>
        <v>0</v>
      </c>
      <c r="Q789" s="65"/>
      <c r="R789" s="67"/>
      <c r="S789" s="83">
        <f t="shared" si="38"/>
        <v>0</v>
      </c>
    </row>
    <row r="790" spans="1:19" ht="18" customHeight="1" x14ac:dyDescent="0.25">
      <c r="A790" s="68"/>
      <c r="B790" s="69"/>
      <c r="C790" s="74"/>
      <c r="D790" s="69"/>
      <c r="E790" s="68"/>
      <c r="F790" s="71"/>
      <c r="G790" s="72"/>
      <c r="H790" s="73"/>
      <c r="I790" s="74"/>
      <c r="J790" s="74"/>
      <c r="K790" s="74"/>
      <c r="L790" s="74"/>
      <c r="M790" s="74"/>
      <c r="N790" s="74"/>
      <c r="O790" s="82">
        <f t="shared" si="36"/>
        <v>0</v>
      </c>
      <c r="P790" s="82">
        <f t="shared" si="37"/>
        <v>0</v>
      </c>
      <c r="Q790" s="74"/>
      <c r="R790" s="76"/>
      <c r="S790" s="84">
        <f t="shared" si="38"/>
        <v>0</v>
      </c>
    </row>
    <row r="791" spans="1:19" ht="18" customHeight="1" x14ac:dyDescent="0.25">
      <c r="A791" s="59"/>
      <c r="B791" s="60"/>
      <c r="C791" s="65"/>
      <c r="D791" s="60"/>
      <c r="E791" s="59"/>
      <c r="F791" s="62"/>
      <c r="G791" s="63"/>
      <c r="H791" s="64"/>
      <c r="I791" s="65"/>
      <c r="J791" s="65"/>
      <c r="K791" s="65"/>
      <c r="L791" s="65"/>
      <c r="M791" s="65"/>
      <c r="N791" s="65"/>
      <c r="O791" s="81">
        <f t="shared" si="36"/>
        <v>0</v>
      </c>
      <c r="P791" s="81">
        <f t="shared" si="37"/>
        <v>0</v>
      </c>
      <c r="Q791" s="65"/>
      <c r="R791" s="67"/>
      <c r="S791" s="83">
        <f t="shared" si="38"/>
        <v>0</v>
      </c>
    </row>
    <row r="792" spans="1:19" ht="18" customHeight="1" x14ac:dyDescent="0.25">
      <c r="A792" s="68"/>
      <c r="B792" s="69"/>
      <c r="C792" s="74"/>
      <c r="D792" s="69"/>
      <c r="E792" s="68"/>
      <c r="F792" s="71"/>
      <c r="G792" s="72"/>
      <c r="H792" s="73"/>
      <c r="I792" s="74"/>
      <c r="J792" s="74"/>
      <c r="K792" s="74"/>
      <c r="L792" s="74"/>
      <c r="M792" s="74"/>
      <c r="N792" s="74"/>
      <c r="O792" s="82">
        <f t="shared" si="36"/>
        <v>0</v>
      </c>
      <c r="P792" s="82">
        <f t="shared" si="37"/>
        <v>0</v>
      </c>
      <c r="Q792" s="74"/>
      <c r="R792" s="76"/>
      <c r="S792" s="84">
        <f t="shared" si="38"/>
        <v>0</v>
      </c>
    </row>
    <row r="793" spans="1:19" ht="18" customHeight="1" x14ac:dyDescent="0.25">
      <c r="A793" s="59"/>
      <c r="B793" s="60"/>
      <c r="C793" s="65"/>
      <c r="D793" s="60"/>
      <c r="E793" s="59"/>
      <c r="F793" s="62"/>
      <c r="G793" s="63"/>
      <c r="H793" s="64"/>
      <c r="I793" s="65"/>
      <c r="J793" s="65"/>
      <c r="K793" s="65"/>
      <c r="L793" s="65"/>
      <c r="M793" s="65"/>
      <c r="N793" s="65"/>
      <c r="O793" s="81">
        <f t="shared" si="36"/>
        <v>0</v>
      </c>
      <c r="P793" s="81">
        <f t="shared" si="37"/>
        <v>0</v>
      </c>
      <c r="Q793" s="65"/>
      <c r="R793" s="67"/>
      <c r="S793" s="83">
        <f t="shared" si="38"/>
        <v>0</v>
      </c>
    </row>
    <row r="794" spans="1:19" ht="18" customHeight="1" x14ac:dyDescent="0.25">
      <c r="A794" s="68"/>
      <c r="B794" s="69"/>
      <c r="C794" s="74"/>
      <c r="D794" s="69"/>
      <c r="E794" s="68"/>
      <c r="F794" s="71"/>
      <c r="G794" s="72"/>
      <c r="H794" s="73"/>
      <c r="I794" s="74"/>
      <c r="J794" s="74"/>
      <c r="K794" s="74"/>
      <c r="L794" s="74"/>
      <c r="M794" s="74"/>
      <c r="N794" s="74"/>
      <c r="O794" s="82">
        <f t="shared" si="36"/>
        <v>0</v>
      </c>
      <c r="P794" s="82">
        <f t="shared" si="37"/>
        <v>0</v>
      </c>
      <c r="Q794" s="74"/>
      <c r="R794" s="76"/>
      <c r="S794" s="84">
        <f t="shared" si="38"/>
        <v>0</v>
      </c>
    </row>
    <row r="795" spans="1:19" ht="18" customHeight="1" x14ac:dyDescent="0.25">
      <c r="A795" s="59"/>
      <c r="B795" s="60"/>
      <c r="C795" s="65"/>
      <c r="D795" s="60"/>
      <c r="E795" s="59"/>
      <c r="F795" s="62"/>
      <c r="G795" s="63"/>
      <c r="H795" s="64"/>
      <c r="I795" s="65"/>
      <c r="J795" s="65"/>
      <c r="K795" s="65"/>
      <c r="L795" s="65"/>
      <c r="M795" s="65"/>
      <c r="N795" s="65"/>
      <c r="O795" s="81">
        <f t="shared" si="36"/>
        <v>0</v>
      </c>
      <c r="P795" s="81">
        <f t="shared" si="37"/>
        <v>0</v>
      </c>
      <c r="Q795" s="65"/>
      <c r="R795" s="67"/>
      <c r="S795" s="83">
        <f t="shared" si="38"/>
        <v>0</v>
      </c>
    </row>
    <row r="796" spans="1:19" ht="18" customHeight="1" x14ac:dyDescent="0.25">
      <c r="A796" s="68"/>
      <c r="B796" s="69"/>
      <c r="C796" s="74"/>
      <c r="D796" s="69"/>
      <c r="E796" s="68"/>
      <c r="F796" s="71"/>
      <c r="G796" s="72"/>
      <c r="H796" s="73"/>
      <c r="I796" s="74"/>
      <c r="J796" s="74"/>
      <c r="K796" s="74"/>
      <c r="L796" s="74"/>
      <c r="M796" s="74"/>
      <c r="N796" s="74"/>
      <c r="O796" s="82">
        <f t="shared" si="36"/>
        <v>0</v>
      </c>
      <c r="P796" s="82">
        <f t="shared" si="37"/>
        <v>0</v>
      </c>
      <c r="Q796" s="74"/>
      <c r="R796" s="76"/>
      <c r="S796" s="84">
        <f t="shared" si="38"/>
        <v>0</v>
      </c>
    </row>
    <row r="797" spans="1:19" ht="18" customHeight="1" x14ac:dyDescent="0.25">
      <c r="A797" s="59"/>
      <c r="B797" s="60"/>
      <c r="C797" s="65"/>
      <c r="D797" s="60"/>
      <c r="E797" s="59"/>
      <c r="F797" s="62"/>
      <c r="G797" s="63"/>
      <c r="H797" s="64"/>
      <c r="I797" s="65"/>
      <c r="J797" s="65"/>
      <c r="K797" s="65"/>
      <c r="L797" s="65"/>
      <c r="M797" s="65"/>
      <c r="N797" s="65"/>
      <c r="O797" s="81">
        <f t="shared" si="36"/>
        <v>0</v>
      </c>
      <c r="P797" s="81">
        <f t="shared" si="37"/>
        <v>0</v>
      </c>
      <c r="Q797" s="65"/>
      <c r="R797" s="67"/>
      <c r="S797" s="83">
        <f t="shared" si="38"/>
        <v>0</v>
      </c>
    </row>
    <row r="798" spans="1:19" ht="18" customHeight="1" x14ac:dyDescent="0.25">
      <c r="A798" s="68"/>
      <c r="B798" s="69"/>
      <c r="C798" s="74"/>
      <c r="D798" s="69"/>
      <c r="E798" s="68"/>
      <c r="F798" s="71"/>
      <c r="G798" s="72"/>
      <c r="H798" s="73"/>
      <c r="I798" s="74"/>
      <c r="J798" s="74"/>
      <c r="K798" s="74"/>
      <c r="L798" s="74"/>
      <c r="M798" s="74"/>
      <c r="N798" s="74"/>
      <c r="O798" s="82">
        <f t="shared" si="36"/>
        <v>0</v>
      </c>
      <c r="P798" s="82">
        <f t="shared" si="37"/>
        <v>0</v>
      </c>
      <c r="Q798" s="74"/>
      <c r="R798" s="76"/>
      <c r="S798" s="84">
        <f t="shared" si="38"/>
        <v>0</v>
      </c>
    </row>
    <row r="799" spans="1:19" ht="18" customHeight="1" x14ac:dyDescent="0.25">
      <c r="A799" s="59"/>
      <c r="B799" s="60"/>
      <c r="C799" s="65"/>
      <c r="D799" s="60"/>
      <c r="E799" s="59"/>
      <c r="F799" s="62"/>
      <c r="G799" s="63"/>
      <c r="H799" s="64"/>
      <c r="I799" s="65"/>
      <c r="J799" s="65"/>
      <c r="K799" s="65"/>
      <c r="L799" s="65"/>
      <c r="M799" s="65"/>
      <c r="N799" s="65"/>
      <c r="O799" s="81">
        <f t="shared" si="36"/>
        <v>0</v>
      </c>
      <c r="P799" s="81">
        <f t="shared" si="37"/>
        <v>0</v>
      </c>
      <c r="Q799" s="65"/>
      <c r="R799" s="67"/>
      <c r="S799" s="83">
        <f t="shared" si="38"/>
        <v>0</v>
      </c>
    </row>
    <row r="800" spans="1:19" ht="18" customHeight="1" x14ac:dyDescent="0.25">
      <c r="A800" s="68"/>
      <c r="B800" s="69"/>
      <c r="C800" s="74"/>
      <c r="D800" s="69"/>
      <c r="E800" s="68"/>
      <c r="F800" s="71"/>
      <c r="G800" s="72"/>
      <c r="H800" s="73"/>
      <c r="I800" s="74"/>
      <c r="J800" s="74"/>
      <c r="K800" s="74"/>
      <c r="L800" s="74"/>
      <c r="M800" s="74"/>
      <c r="N800" s="74"/>
      <c r="O800" s="82">
        <f t="shared" si="36"/>
        <v>0</v>
      </c>
      <c r="P800" s="82">
        <f t="shared" si="37"/>
        <v>0</v>
      </c>
      <c r="Q800" s="74"/>
      <c r="R800" s="76"/>
      <c r="S800" s="84">
        <f t="shared" si="38"/>
        <v>0</v>
      </c>
    </row>
    <row r="801" spans="1:19" ht="18" customHeight="1" x14ac:dyDescent="0.25">
      <c r="A801" s="59"/>
      <c r="B801" s="60"/>
      <c r="C801" s="65"/>
      <c r="D801" s="60"/>
      <c r="E801" s="59"/>
      <c r="F801" s="62"/>
      <c r="G801" s="63"/>
      <c r="H801" s="64"/>
      <c r="I801" s="65"/>
      <c r="J801" s="65"/>
      <c r="K801" s="65"/>
      <c r="L801" s="65"/>
      <c r="M801" s="65"/>
      <c r="N801" s="65"/>
      <c r="O801" s="81">
        <f t="shared" si="36"/>
        <v>0</v>
      </c>
      <c r="P801" s="81">
        <f t="shared" si="37"/>
        <v>0</v>
      </c>
      <c r="Q801" s="65"/>
      <c r="R801" s="67"/>
      <c r="S801" s="83">
        <f t="shared" si="38"/>
        <v>0</v>
      </c>
    </row>
    <row r="802" spans="1:19" ht="18" customHeight="1" x14ac:dyDescent="0.25">
      <c r="A802" s="68"/>
      <c r="B802" s="69"/>
      <c r="C802" s="74"/>
      <c r="D802" s="69"/>
      <c r="E802" s="68"/>
      <c r="F802" s="71"/>
      <c r="G802" s="72"/>
      <c r="H802" s="73"/>
      <c r="I802" s="74"/>
      <c r="J802" s="74"/>
      <c r="K802" s="74"/>
      <c r="L802" s="74"/>
      <c r="M802" s="74"/>
      <c r="N802" s="74"/>
      <c r="O802" s="82">
        <f t="shared" si="36"/>
        <v>0</v>
      </c>
      <c r="P802" s="82">
        <f t="shared" si="37"/>
        <v>0</v>
      </c>
      <c r="Q802" s="74"/>
      <c r="R802" s="76"/>
      <c r="S802" s="84">
        <f t="shared" si="38"/>
        <v>0</v>
      </c>
    </row>
    <row r="803" spans="1:19" ht="18" customHeight="1" x14ac:dyDescent="0.25">
      <c r="A803" s="59"/>
      <c r="B803" s="60"/>
      <c r="C803" s="65"/>
      <c r="D803" s="60"/>
      <c r="E803" s="59"/>
      <c r="F803" s="62"/>
      <c r="G803" s="63"/>
      <c r="H803" s="64"/>
      <c r="I803" s="65"/>
      <c r="J803" s="65"/>
      <c r="K803" s="65"/>
      <c r="L803" s="65"/>
      <c r="M803" s="65"/>
      <c r="N803" s="65"/>
      <c r="O803" s="81">
        <f t="shared" si="36"/>
        <v>0</v>
      </c>
      <c r="P803" s="81">
        <f t="shared" si="37"/>
        <v>0</v>
      </c>
      <c r="Q803" s="65"/>
      <c r="R803" s="67"/>
      <c r="S803" s="83">
        <f t="shared" si="38"/>
        <v>0</v>
      </c>
    </row>
    <row r="804" spans="1:19" ht="18" customHeight="1" x14ac:dyDescent="0.25">
      <c r="A804" s="68"/>
      <c r="B804" s="69"/>
      <c r="C804" s="74"/>
      <c r="D804" s="69"/>
      <c r="E804" s="68"/>
      <c r="F804" s="71"/>
      <c r="G804" s="72"/>
      <c r="H804" s="73"/>
      <c r="I804" s="74"/>
      <c r="J804" s="74"/>
      <c r="K804" s="74"/>
      <c r="L804" s="74"/>
      <c r="M804" s="74"/>
      <c r="N804" s="74"/>
      <c r="O804" s="82">
        <f t="shared" si="36"/>
        <v>0</v>
      </c>
      <c r="P804" s="82">
        <f t="shared" si="37"/>
        <v>0</v>
      </c>
      <c r="Q804" s="74"/>
      <c r="R804" s="76"/>
      <c r="S804" s="84">
        <f t="shared" si="38"/>
        <v>0</v>
      </c>
    </row>
    <row r="805" spans="1:19" ht="18" customHeight="1" x14ac:dyDescent="0.25">
      <c r="A805" s="59"/>
      <c r="B805" s="60"/>
      <c r="C805" s="65"/>
      <c r="D805" s="60"/>
      <c r="E805" s="59"/>
      <c r="F805" s="62"/>
      <c r="G805" s="63"/>
      <c r="H805" s="64"/>
      <c r="I805" s="65"/>
      <c r="J805" s="65"/>
      <c r="K805" s="65"/>
      <c r="L805" s="65"/>
      <c r="M805" s="65"/>
      <c r="N805" s="65"/>
      <c r="O805" s="81">
        <f t="shared" si="36"/>
        <v>0</v>
      </c>
      <c r="P805" s="81">
        <f t="shared" si="37"/>
        <v>0</v>
      </c>
      <c r="Q805" s="65"/>
      <c r="R805" s="67"/>
      <c r="S805" s="83">
        <f t="shared" si="38"/>
        <v>0</v>
      </c>
    </row>
    <row r="806" spans="1:19" ht="18" customHeight="1" x14ac:dyDescent="0.25">
      <c r="A806" s="68"/>
      <c r="B806" s="69"/>
      <c r="C806" s="74"/>
      <c r="D806" s="69"/>
      <c r="E806" s="68"/>
      <c r="F806" s="71"/>
      <c r="G806" s="72"/>
      <c r="H806" s="73"/>
      <c r="I806" s="74"/>
      <c r="J806" s="74"/>
      <c r="K806" s="74"/>
      <c r="L806" s="74"/>
      <c r="M806" s="74"/>
      <c r="N806" s="74"/>
      <c r="O806" s="82">
        <f t="shared" si="36"/>
        <v>0</v>
      </c>
      <c r="P806" s="82">
        <f t="shared" si="37"/>
        <v>0</v>
      </c>
      <c r="Q806" s="74"/>
      <c r="R806" s="76"/>
      <c r="S806" s="84">
        <f t="shared" si="38"/>
        <v>0</v>
      </c>
    </row>
    <row r="807" spans="1:19" ht="18" customHeight="1" x14ac:dyDescent="0.25">
      <c r="A807" s="59"/>
      <c r="B807" s="60"/>
      <c r="C807" s="65"/>
      <c r="D807" s="60"/>
      <c r="E807" s="59"/>
      <c r="F807" s="62"/>
      <c r="G807" s="63"/>
      <c r="H807" s="64"/>
      <c r="I807" s="65"/>
      <c r="J807" s="65"/>
      <c r="K807" s="65"/>
      <c r="L807" s="65"/>
      <c r="M807" s="65"/>
      <c r="N807" s="65"/>
      <c r="O807" s="81">
        <f t="shared" si="36"/>
        <v>0</v>
      </c>
      <c r="P807" s="81">
        <f t="shared" si="37"/>
        <v>0</v>
      </c>
      <c r="Q807" s="65"/>
      <c r="R807" s="67"/>
      <c r="S807" s="83">
        <f t="shared" si="38"/>
        <v>0</v>
      </c>
    </row>
    <row r="808" spans="1:19" ht="18" customHeight="1" x14ac:dyDescent="0.25">
      <c r="A808" s="68"/>
      <c r="B808" s="69"/>
      <c r="C808" s="74"/>
      <c r="D808" s="69"/>
      <c r="E808" s="68"/>
      <c r="F808" s="71"/>
      <c r="G808" s="72"/>
      <c r="H808" s="73"/>
      <c r="I808" s="74"/>
      <c r="J808" s="74"/>
      <c r="K808" s="74"/>
      <c r="L808" s="74"/>
      <c r="M808" s="74"/>
      <c r="N808" s="74"/>
      <c r="O808" s="82">
        <f t="shared" si="36"/>
        <v>0</v>
      </c>
      <c r="P808" s="82">
        <f t="shared" si="37"/>
        <v>0</v>
      </c>
      <c r="Q808" s="74"/>
      <c r="R808" s="76"/>
      <c r="S808" s="84">
        <f t="shared" si="38"/>
        <v>0</v>
      </c>
    </row>
    <row r="809" spans="1:19" ht="18" customHeight="1" x14ac:dyDescent="0.25">
      <c r="A809" s="59"/>
      <c r="B809" s="60"/>
      <c r="C809" s="65"/>
      <c r="D809" s="60"/>
      <c r="E809" s="59"/>
      <c r="F809" s="62"/>
      <c r="G809" s="63"/>
      <c r="H809" s="64"/>
      <c r="I809" s="65"/>
      <c r="J809" s="65"/>
      <c r="K809" s="65"/>
      <c r="L809" s="65"/>
      <c r="M809" s="65"/>
      <c r="N809" s="65"/>
      <c r="O809" s="81">
        <f t="shared" si="36"/>
        <v>0</v>
      </c>
      <c r="P809" s="81">
        <f t="shared" si="37"/>
        <v>0</v>
      </c>
      <c r="Q809" s="65"/>
      <c r="R809" s="67"/>
      <c r="S809" s="83">
        <f t="shared" si="38"/>
        <v>0</v>
      </c>
    </row>
    <row r="810" spans="1:19" ht="18" customHeight="1" x14ac:dyDescent="0.25">
      <c r="A810" s="68"/>
      <c r="B810" s="69"/>
      <c r="C810" s="74"/>
      <c r="D810" s="69"/>
      <c r="E810" s="68"/>
      <c r="F810" s="71"/>
      <c r="G810" s="72"/>
      <c r="H810" s="73"/>
      <c r="I810" s="74"/>
      <c r="J810" s="74"/>
      <c r="K810" s="74"/>
      <c r="L810" s="74"/>
      <c r="M810" s="74"/>
      <c r="N810" s="74"/>
      <c r="O810" s="82">
        <f t="shared" si="36"/>
        <v>0</v>
      </c>
      <c r="P810" s="82">
        <f t="shared" si="37"/>
        <v>0</v>
      </c>
      <c r="Q810" s="74"/>
      <c r="R810" s="76"/>
      <c r="S810" s="84">
        <f t="shared" si="38"/>
        <v>0</v>
      </c>
    </row>
    <row r="811" spans="1:19" ht="18" customHeight="1" x14ac:dyDescent="0.25">
      <c r="A811" s="59"/>
      <c r="B811" s="60"/>
      <c r="C811" s="65"/>
      <c r="D811" s="60"/>
      <c r="E811" s="59"/>
      <c r="F811" s="62"/>
      <c r="G811" s="63"/>
      <c r="H811" s="64"/>
      <c r="I811" s="65"/>
      <c r="J811" s="65"/>
      <c r="K811" s="65"/>
      <c r="L811" s="65"/>
      <c r="M811" s="65"/>
      <c r="N811" s="65"/>
      <c r="O811" s="81">
        <f t="shared" si="36"/>
        <v>0</v>
      </c>
      <c r="P811" s="81">
        <f t="shared" si="37"/>
        <v>0</v>
      </c>
      <c r="Q811" s="65"/>
      <c r="R811" s="67"/>
      <c r="S811" s="83">
        <f t="shared" si="38"/>
        <v>0</v>
      </c>
    </row>
    <row r="812" spans="1:19" ht="18" customHeight="1" x14ac:dyDescent="0.25">
      <c r="A812" s="68"/>
      <c r="B812" s="69"/>
      <c r="C812" s="74"/>
      <c r="D812" s="69"/>
      <c r="E812" s="68"/>
      <c r="F812" s="71"/>
      <c r="G812" s="72"/>
      <c r="H812" s="73"/>
      <c r="I812" s="74"/>
      <c r="J812" s="74"/>
      <c r="K812" s="74"/>
      <c r="L812" s="74"/>
      <c r="M812" s="74"/>
      <c r="N812" s="74"/>
      <c r="O812" s="82">
        <f t="shared" si="36"/>
        <v>0</v>
      </c>
      <c r="P812" s="82">
        <f t="shared" si="37"/>
        <v>0</v>
      </c>
      <c r="Q812" s="74"/>
      <c r="R812" s="76"/>
      <c r="S812" s="84">
        <f t="shared" si="38"/>
        <v>0</v>
      </c>
    </row>
    <row r="813" spans="1:19" ht="18" customHeight="1" x14ac:dyDescent="0.25">
      <c r="A813" s="59"/>
      <c r="B813" s="60"/>
      <c r="C813" s="65"/>
      <c r="D813" s="60"/>
      <c r="E813" s="59"/>
      <c r="F813" s="62"/>
      <c r="G813" s="63"/>
      <c r="H813" s="64"/>
      <c r="I813" s="65"/>
      <c r="J813" s="65"/>
      <c r="K813" s="65"/>
      <c r="L813" s="65"/>
      <c r="M813" s="65"/>
      <c r="N813" s="65"/>
      <c r="O813" s="81">
        <f t="shared" si="36"/>
        <v>0</v>
      </c>
      <c r="P813" s="81">
        <f t="shared" si="37"/>
        <v>0</v>
      </c>
      <c r="Q813" s="65"/>
      <c r="R813" s="67"/>
      <c r="S813" s="83">
        <f t="shared" si="38"/>
        <v>0</v>
      </c>
    </row>
    <row r="814" spans="1:19" ht="18" customHeight="1" x14ac:dyDescent="0.25">
      <c r="A814" s="68"/>
      <c r="B814" s="69"/>
      <c r="C814" s="74"/>
      <c r="D814" s="69"/>
      <c r="E814" s="68"/>
      <c r="F814" s="71"/>
      <c r="G814" s="72"/>
      <c r="H814" s="73"/>
      <c r="I814" s="74"/>
      <c r="J814" s="74"/>
      <c r="K814" s="74"/>
      <c r="L814" s="74"/>
      <c r="M814" s="74"/>
      <c r="N814" s="74"/>
      <c r="O814" s="82">
        <f t="shared" si="36"/>
        <v>0</v>
      </c>
      <c r="P814" s="82">
        <f t="shared" si="37"/>
        <v>0</v>
      </c>
      <c r="Q814" s="74"/>
      <c r="R814" s="76"/>
      <c r="S814" s="84">
        <f t="shared" si="38"/>
        <v>0</v>
      </c>
    </row>
    <row r="815" spans="1:19" ht="18" customHeight="1" x14ac:dyDescent="0.25">
      <c r="A815" s="59"/>
      <c r="B815" s="60"/>
      <c r="C815" s="65"/>
      <c r="D815" s="60"/>
      <c r="E815" s="59"/>
      <c r="F815" s="62"/>
      <c r="G815" s="63"/>
      <c r="H815" s="64"/>
      <c r="I815" s="65"/>
      <c r="J815" s="65"/>
      <c r="K815" s="65"/>
      <c r="L815" s="65"/>
      <c r="M815" s="65"/>
      <c r="N815" s="65"/>
      <c r="O815" s="81">
        <f t="shared" si="36"/>
        <v>0</v>
      </c>
      <c r="P815" s="81">
        <f t="shared" si="37"/>
        <v>0</v>
      </c>
      <c r="Q815" s="65"/>
      <c r="R815" s="67"/>
      <c r="S815" s="83">
        <f t="shared" si="38"/>
        <v>0</v>
      </c>
    </row>
    <row r="816" spans="1:19" ht="18" customHeight="1" x14ac:dyDescent="0.25">
      <c r="A816" s="68"/>
      <c r="B816" s="69"/>
      <c r="C816" s="74"/>
      <c r="D816" s="69"/>
      <c r="E816" s="68"/>
      <c r="F816" s="71"/>
      <c r="G816" s="72"/>
      <c r="H816" s="73"/>
      <c r="I816" s="74"/>
      <c r="J816" s="74"/>
      <c r="K816" s="74"/>
      <c r="L816" s="74"/>
      <c r="M816" s="74"/>
      <c r="N816" s="74"/>
      <c r="O816" s="82">
        <f t="shared" si="36"/>
        <v>0</v>
      </c>
      <c r="P816" s="82">
        <f t="shared" si="37"/>
        <v>0</v>
      </c>
      <c r="Q816" s="74"/>
      <c r="R816" s="76"/>
      <c r="S816" s="84">
        <f t="shared" si="38"/>
        <v>0</v>
      </c>
    </row>
    <row r="817" spans="1:19" ht="18" customHeight="1" x14ac:dyDescent="0.25">
      <c r="A817" s="59"/>
      <c r="B817" s="60"/>
      <c r="C817" s="65"/>
      <c r="D817" s="60"/>
      <c r="E817" s="59"/>
      <c r="F817" s="62"/>
      <c r="G817" s="63"/>
      <c r="H817" s="64"/>
      <c r="I817" s="65"/>
      <c r="J817" s="65"/>
      <c r="K817" s="65"/>
      <c r="L817" s="65"/>
      <c r="M817" s="65"/>
      <c r="N817" s="65"/>
      <c r="O817" s="81">
        <f t="shared" si="36"/>
        <v>0</v>
      </c>
      <c r="P817" s="81">
        <f t="shared" si="37"/>
        <v>0</v>
      </c>
      <c r="Q817" s="65"/>
      <c r="R817" s="67"/>
      <c r="S817" s="83">
        <f t="shared" si="38"/>
        <v>0</v>
      </c>
    </row>
    <row r="818" spans="1:19" ht="18" customHeight="1" x14ac:dyDescent="0.25">
      <c r="A818" s="68"/>
      <c r="B818" s="69"/>
      <c r="C818" s="74"/>
      <c r="D818" s="69"/>
      <c r="E818" s="68"/>
      <c r="F818" s="71"/>
      <c r="G818" s="72"/>
      <c r="H818" s="73"/>
      <c r="I818" s="74"/>
      <c r="J818" s="74"/>
      <c r="K818" s="74"/>
      <c r="L818" s="74"/>
      <c r="M818" s="74"/>
      <c r="N818" s="74"/>
      <c r="O818" s="82">
        <f t="shared" si="36"/>
        <v>0</v>
      </c>
      <c r="P818" s="82">
        <f t="shared" si="37"/>
        <v>0</v>
      </c>
      <c r="Q818" s="74"/>
      <c r="R818" s="76"/>
      <c r="S818" s="84">
        <f t="shared" si="38"/>
        <v>0</v>
      </c>
    </row>
    <row r="819" spans="1:19" ht="18" customHeight="1" x14ac:dyDescent="0.25">
      <c r="A819" s="59"/>
      <c r="B819" s="60"/>
      <c r="C819" s="65"/>
      <c r="D819" s="60"/>
      <c r="E819" s="59"/>
      <c r="F819" s="62"/>
      <c r="G819" s="63"/>
      <c r="H819" s="64"/>
      <c r="I819" s="65"/>
      <c r="J819" s="65"/>
      <c r="K819" s="65"/>
      <c r="L819" s="65"/>
      <c r="M819" s="65"/>
      <c r="N819" s="65"/>
      <c r="O819" s="81">
        <f t="shared" si="36"/>
        <v>0</v>
      </c>
      <c r="P819" s="81">
        <f t="shared" si="37"/>
        <v>0</v>
      </c>
      <c r="Q819" s="65"/>
      <c r="R819" s="67"/>
      <c r="S819" s="83">
        <f t="shared" si="38"/>
        <v>0</v>
      </c>
    </row>
    <row r="820" spans="1:19" ht="18" customHeight="1" x14ac:dyDescent="0.25">
      <c r="A820" s="68"/>
      <c r="B820" s="69"/>
      <c r="C820" s="74"/>
      <c r="D820" s="69"/>
      <c r="E820" s="68"/>
      <c r="F820" s="71"/>
      <c r="G820" s="72"/>
      <c r="H820" s="73"/>
      <c r="I820" s="74"/>
      <c r="J820" s="74"/>
      <c r="K820" s="74"/>
      <c r="L820" s="74"/>
      <c r="M820" s="74"/>
      <c r="N820" s="74"/>
      <c r="O820" s="82">
        <f t="shared" si="36"/>
        <v>0</v>
      </c>
      <c r="P820" s="82">
        <f t="shared" si="37"/>
        <v>0</v>
      </c>
      <c r="Q820" s="74"/>
      <c r="R820" s="76"/>
      <c r="S820" s="84">
        <f t="shared" si="38"/>
        <v>0</v>
      </c>
    </row>
    <row r="821" spans="1:19" ht="18" customHeight="1" x14ac:dyDescent="0.25">
      <c r="A821" s="59"/>
      <c r="B821" s="60"/>
      <c r="C821" s="65"/>
      <c r="D821" s="60"/>
      <c r="E821" s="59"/>
      <c r="F821" s="62"/>
      <c r="G821" s="63"/>
      <c r="H821" s="64"/>
      <c r="I821" s="65"/>
      <c r="J821" s="65"/>
      <c r="K821" s="65"/>
      <c r="L821" s="65"/>
      <c r="M821" s="65"/>
      <c r="N821" s="65"/>
      <c r="O821" s="81">
        <f t="shared" si="36"/>
        <v>0</v>
      </c>
      <c r="P821" s="81">
        <f t="shared" si="37"/>
        <v>0</v>
      </c>
      <c r="Q821" s="65"/>
      <c r="R821" s="67"/>
      <c r="S821" s="83">
        <f t="shared" si="38"/>
        <v>0</v>
      </c>
    </row>
    <row r="822" spans="1:19" ht="18" customHeight="1" x14ac:dyDescent="0.25">
      <c r="A822" s="68"/>
      <c r="B822" s="69"/>
      <c r="C822" s="74"/>
      <c r="D822" s="69"/>
      <c r="E822" s="68"/>
      <c r="F822" s="71"/>
      <c r="G822" s="72"/>
      <c r="H822" s="73"/>
      <c r="I822" s="74"/>
      <c r="J822" s="74"/>
      <c r="K822" s="74"/>
      <c r="L822" s="74"/>
      <c r="M822" s="74"/>
      <c r="N822" s="74"/>
      <c r="O822" s="82">
        <f t="shared" si="36"/>
        <v>0</v>
      </c>
      <c r="P822" s="82">
        <f t="shared" si="37"/>
        <v>0</v>
      </c>
      <c r="Q822" s="74"/>
      <c r="R822" s="76"/>
      <c r="S822" s="84">
        <f t="shared" si="38"/>
        <v>0</v>
      </c>
    </row>
    <row r="823" spans="1:19" ht="18" customHeight="1" x14ac:dyDescent="0.25">
      <c r="A823" s="59"/>
      <c r="B823" s="60"/>
      <c r="C823" s="65"/>
      <c r="D823" s="60"/>
      <c r="E823" s="59"/>
      <c r="F823" s="62"/>
      <c r="G823" s="63"/>
      <c r="H823" s="64"/>
      <c r="I823" s="65"/>
      <c r="J823" s="65"/>
      <c r="K823" s="65"/>
      <c r="L823" s="65"/>
      <c r="M823" s="65"/>
      <c r="N823" s="65"/>
      <c r="O823" s="81">
        <f t="shared" si="36"/>
        <v>0</v>
      </c>
      <c r="P823" s="81">
        <f t="shared" si="37"/>
        <v>0</v>
      </c>
      <c r="Q823" s="65"/>
      <c r="R823" s="67"/>
      <c r="S823" s="83">
        <f t="shared" si="38"/>
        <v>0</v>
      </c>
    </row>
    <row r="824" spans="1:19" ht="18" customHeight="1" x14ac:dyDescent="0.25">
      <c r="A824" s="68"/>
      <c r="B824" s="69"/>
      <c r="C824" s="74"/>
      <c r="D824" s="69"/>
      <c r="E824" s="68"/>
      <c r="F824" s="71"/>
      <c r="G824" s="72"/>
      <c r="H824" s="73"/>
      <c r="I824" s="74"/>
      <c r="J824" s="74"/>
      <c r="K824" s="74"/>
      <c r="L824" s="74"/>
      <c r="M824" s="74"/>
      <c r="N824" s="74"/>
      <c r="O824" s="82">
        <f t="shared" si="36"/>
        <v>0</v>
      </c>
      <c r="P824" s="82">
        <f t="shared" si="37"/>
        <v>0</v>
      </c>
      <c r="Q824" s="74"/>
      <c r="R824" s="76"/>
      <c r="S824" s="84">
        <f t="shared" si="38"/>
        <v>0</v>
      </c>
    </row>
    <row r="825" spans="1:19" ht="18" customHeight="1" x14ac:dyDescent="0.25">
      <c r="A825" s="59"/>
      <c r="B825" s="60"/>
      <c r="C825" s="65"/>
      <c r="D825" s="60"/>
      <c r="E825" s="59"/>
      <c r="F825" s="62"/>
      <c r="G825" s="63"/>
      <c r="H825" s="64"/>
      <c r="I825" s="65"/>
      <c r="J825" s="65"/>
      <c r="K825" s="65"/>
      <c r="L825" s="65"/>
      <c r="M825" s="65"/>
      <c r="N825" s="65"/>
      <c r="O825" s="81">
        <f t="shared" si="36"/>
        <v>0</v>
      </c>
      <c r="P825" s="81">
        <f t="shared" si="37"/>
        <v>0</v>
      </c>
      <c r="Q825" s="65"/>
      <c r="R825" s="67"/>
      <c r="S825" s="83">
        <f t="shared" si="38"/>
        <v>0</v>
      </c>
    </row>
    <row r="826" spans="1:19" ht="18" customHeight="1" x14ac:dyDescent="0.25">
      <c r="A826" s="68"/>
      <c r="B826" s="69"/>
      <c r="C826" s="74"/>
      <c r="D826" s="69"/>
      <c r="E826" s="68"/>
      <c r="F826" s="71"/>
      <c r="G826" s="72"/>
      <c r="H826" s="73"/>
      <c r="I826" s="74"/>
      <c r="J826" s="74"/>
      <c r="K826" s="74"/>
      <c r="L826" s="74"/>
      <c r="M826" s="74"/>
      <c r="N826" s="74"/>
      <c r="O826" s="82">
        <f t="shared" si="36"/>
        <v>0</v>
      </c>
      <c r="P826" s="82">
        <f t="shared" si="37"/>
        <v>0</v>
      </c>
      <c r="Q826" s="74"/>
      <c r="R826" s="76"/>
      <c r="S826" s="84">
        <f t="shared" si="38"/>
        <v>0</v>
      </c>
    </row>
    <row r="827" spans="1:19" ht="18" customHeight="1" x14ac:dyDescent="0.25">
      <c r="A827" s="59"/>
      <c r="B827" s="60"/>
      <c r="C827" s="65"/>
      <c r="D827" s="60"/>
      <c r="E827" s="59"/>
      <c r="F827" s="62"/>
      <c r="G827" s="63"/>
      <c r="H827" s="64"/>
      <c r="I827" s="65"/>
      <c r="J827" s="65"/>
      <c r="K827" s="65"/>
      <c r="L827" s="65"/>
      <c r="M827" s="65"/>
      <c r="N827" s="65"/>
      <c r="O827" s="81">
        <f t="shared" si="36"/>
        <v>0</v>
      </c>
      <c r="P827" s="81">
        <f t="shared" si="37"/>
        <v>0</v>
      </c>
      <c r="Q827" s="65"/>
      <c r="R827" s="67"/>
      <c r="S827" s="83">
        <f t="shared" si="38"/>
        <v>0</v>
      </c>
    </row>
    <row r="828" spans="1:19" ht="18" customHeight="1" x14ac:dyDescent="0.25">
      <c r="A828" s="68"/>
      <c r="B828" s="69"/>
      <c r="C828" s="74"/>
      <c r="D828" s="69"/>
      <c r="E828" s="68"/>
      <c r="F828" s="71"/>
      <c r="G828" s="72"/>
      <c r="H828" s="73"/>
      <c r="I828" s="74"/>
      <c r="J828" s="74"/>
      <c r="K828" s="74"/>
      <c r="L828" s="74"/>
      <c r="M828" s="74"/>
      <c r="N828" s="74"/>
      <c r="O828" s="82">
        <f t="shared" si="36"/>
        <v>0</v>
      </c>
      <c r="P828" s="82">
        <f t="shared" si="37"/>
        <v>0</v>
      </c>
      <c r="Q828" s="74"/>
      <c r="R828" s="76"/>
      <c r="S828" s="84">
        <f t="shared" si="38"/>
        <v>0</v>
      </c>
    </row>
    <row r="829" spans="1:19" ht="18" customHeight="1" x14ac:dyDescent="0.25">
      <c r="A829" s="59"/>
      <c r="B829" s="60"/>
      <c r="C829" s="65"/>
      <c r="D829" s="60"/>
      <c r="E829" s="59"/>
      <c r="F829" s="62"/>
      <c r="G829" s="63"/>
      <c r="H829" s="64"/>
      <c r="I829" s="65"/>
      <c r="J829" s="65"/>
      <c r="K829" s="65"/>
      <c r="L829" s="65"/>
      <c r="M829" s="65"/>
      <c r="N829" s="65"/>
      <c r="O829" s="81">
        <f t="shared" si="36"/>
        <v>0</v>
      </c>
      <c r="P829" s="81">
        <f t="shared" si="37"/>
        <v>0</v>
      </c>
      <c r="Q829" s="65"/>
      <c r="R829" s="67"/>
      <c r="S829" s="83">
        <f t="shared" si="38"/>
        <v>0</v>
      </c>
    </row>
    <row r="830" spans="1:19" ht="18" customHeight="1" x14ac:dyDescent="0.25">
      <c r="A830" s="68"/>
      <c r="B830" s="69"/>
      <c r="C830" s="74"/>
      <c r="D830" s="69"/>
      <c r="E830" s="68"/>
      <c r="F830" s="71"/>
      <c r="G830" s="72"/>
      <c r="H830" s="73"/>
      <c r="I830" s="74"/>
      <c r="J830" s="74"/>
      <c r="K830" s="74"/>
      <c r="L830" s="74"/>
      <c r="M830" s="74"/>
      <c r="N830" s="74"/>
      <c r="O830" s="82">
        <f t="shared" si="36"/>
        <v>0</v>
      </c>
      <c r="P830" s="82">
        <f t="shared" si="37"/>
        <v>0</v>
      </c>
      <c r="Q830" s="74"/>
      <c r="R830" s="76"/>
      <c r="S830" s="84">
        <f t="shared" si="38"/>
        <v>0</v>
      </c>
    </row>
    <row r="831" spans="1:19" ht="18" customHeight="1" x14ac:dyDescent="0.25">
      <c r="A831" s="59"/>
      <c r="B831" s="60"/>
      <c r="C831" s="65"/>
      <c r="D831" s="60"/>
      <c r="E831" s="59"/>
      <c r="F831" s="62"/>
      <c r="G831" s="63"/>
      <c r="H831" s="64"/>
      <c r="I831" s="65"/>
      <c r="J831" s="65"/>
      <c r="K831" s="65"/>
      <c r="L831" s="65"/>
      <c r="M831" s="65"/>
      <c r="N831" s="65"/>
      <c r="O831" s="81">
        <f t="shared" si="36"/>
        <v>0</v>
      </c>
      <c r="P831" s="81">
        <f t="shared" si="37"/>
        <v>0</v>
      </c>
      <c r="Q831" s="65"/>
      <c r="R831" s="67"/>
      <c r="S831" s="83">
        <f t="shared" si="38"/>
        <v>0</v>
      </c>
    </row>
    <row r="832" spans="1:19" ht="18" customHeight="1" x14ac:dyDescent="0.25">
      <c r="A832" s="68"/>
      <c r="B832" s="69"/>
      <c r="C832" s="74"/>
      <c r="D832" s="69"/>
      <c r="E832" s="68"/>
      <c r="F832" s="71"/>
      <c r="G832" s="72"/>
      <c r="H832" s="73"/>
      <c r="I832" s="74"/>
      <c r="J832" s="74"/>
      <c r="K832" s="74"/>
      <c r="L832" s="74"/>
      <c r="M832" s="74"/>
      <c r="N832" s="74"/>
      <c r="O832" s="82">
        <f t="shared" si="36"/>
        <v>0</v>
      </c>
      <c r="P832" s="82">
        <f t="shared" si="37"/>
        <v>0</v>
      </c>
      <c r="Q832" s="74"/>
      <c r="R832" s="76"/>
      <c r="S832" s="84">
        <f t="shared" si="38"/>
        <v>0</v>
      </c>
    </row>
    <row r="833" spans="1:19" ht="18" customHeight="1" x14ac:dyDescent="0.25">
      <c r="A833" s="59"/>
      <c r="B833" s="60"/>
      <c r="C833" s="65"/>
      <c r="D833" s="60"/>
      <c r="E833" s="59"/>
      <c r="F833" s="62"/>
      <c r="G833" s="63"/>
      <c r="H833" s="64"/>
      <c r="I833" s="65"/>
      <c r="J833" s="65"/>
      <c r="K833" s="65"/>
      <c r="L833" s="65"/>
      <c r="M833" s="65"/>
      <c r="N833" s="65"/>
      <c r="O833" s="81">
        <f t="shared" si="36"/>
        <v>0</v>
      </c>
      <c r="P833" s="81">
        <f t="shared" si="37"/>
        <v>0</v>
      </c>
      <c r="Q833" s="65"/>
      <c r="R833" s="67"/>
      <c r="S833" s="83">
        <f t="shared" si="38"/>
        <v>0</v>
      </c>
    </row>
    <row r="834" spans="1:19" ht="18" customHeight="1" x14ac:dyDescent="0.25">
      <c r="A834" s="68"/>
      <c r="B834" s="69"/>
      <c r="C834" s="74"/>
      <c r="D834" s="69"/>
      <c r="E834" s="68"/>
      <c r="F834" s="71"/>
      <c r="G834" s="72"/>
      <c r="H834" s="73"/>
      <c r="I834" s="74"/>
      <c r="J834" s="74"/>
      <c r="K834" s="74"/>
      <c r="L834" s="74"/>
      <c r="M834" s="74"/>
      <c r="N834" s="74"/>
      <c r="O834" s="82">
        <f t="shared" si="36"/>
        <v>0</v>
      </c>
      <c r="P834" s="82">
        <f t="shared" si="37"/>
        <v>0</v>
      </c>
      <c r="Q834" s="74"/>
      <c r="R834" s="76"/>
      <c r="S834" s="84">
        <f t="shared" si="38"/>
        <v>0</v>
      </c>
    </row>
    <row r="835" spans="1:19" ht="18" customHeight="1" x14ac:dyDescent="0.25">
      <c r="A835" s="59"/>
      <c r="B835" s="60"/>
      <c r="C835" s="65"/>
      <c r="D835" s="60"/>
      <c r="E835" s="59"/>
      <c r="F835" s="62"/>
      <c r="G835" s="63"/>
      <c r="H835" s="64"/>
      <c r="I835" s="65"/>
      <c r="J835" s="65"/>
      <c r="K835" s="65"/>
      <c r="L835" s="65"/>
      <c r="M835" s="65"/>
      <c r="N835" s="65"/>
      <c r="O835" s="81">
        <f t="shared" si="36"/>
        <v>0</v>
      </c>
      <c r="P835" s="81">
        <f t="shared" si="37"/>
        <v>0</v>
      </c>
      <c r="Q835" s="65"/>
      <c r="R835" s="67"/>
      <c r="S835" s="83">
        <f t="shared" si="38"/>
        <v>0</v>
      </c>
    </row>
    <row r="836" spans="1:19" ht="18" customHeight="1" x14ac:dyDescent="0.25">
      <c r="A836" s="68"/>
      <c r="B836" s="69"/>
      <c r="C836" s="74"/>
      <c r="D836" s="69"/>
      <c r="E836" s="68"/>
      <c r="F836" s="71"/>
      <c r="G836" s="72"/>
      <c r="H836" s="73"/>
      <c r="I836" s="74"/>
      <c r="J836" s="74"/>
      <c r="K836" s="74"/>
      <c r="L836" s="74"/>
      <c r="M836" s="74"/>
      <c r="N836" s="74"/>
      <c r="O836" s="82">
        <f t="shared" si="36"/>
        <v>0</v>
      </c>
      <c r="P836" s="82">
        <f t="shared" si="37"/>
        <v>0</v>
      </c>
      <c r="Q836" s="74"/>
      <c r="R836" s="76"/>
      <c r="S836" s="84">
        <f t="shared" si="38"/>
        <v>0</v>
      </c>
    </row>
    <row r="837" spans="1:19" ht="18" customHeight="1" x14ac:dyDescent="0.25">
      <c r="A837" s="59"/>
      <c r="B837" s="60"/>
      <c r="C837" s="65"/>
      <c r="D837" s="60"/>
      <c r="E837" s="59"/>
      <c r="F837" s="62"/>
      <c r="G837" s="63"/>
      <c r="H837" s="64"/>
      <c r="I837" s="65"/>
      <c r="J837" s="65"/>
      <c r="K837" s="65"/>
      <c r="L837" s="65"/>
      <c r="M837" s="65"/>
      <c r="N837" s="65"/>
      <c r="O837" s="81">
        <f t="shared" si="36"/>
        <v>0</v>
      </c>
      <c r="P837" s="81">
        <f t="shared" si="37"/>
        <v>0</v>
      </c>
      <c r="Q837" s="65"/>
      <c r="R837" s="67"/>
      <c r="S837" s="83">
        <f t="shared" si="38"/>
        <v>0</v>
      </c>
    </row>
    <row r="838" spans="1:19" ht="18" customHeight="1" x14ac:dyDescent="0.25">
      <c r="A838" s="68"/>
      <c r="B838" s="69"/>
      <c r="C838" s="74"/>
      <c r="D838" s="69"/>
      <c r="E838" s="68"/>
      <c r="F838" s="71"/>
      <c r="G838" s="72"/>
      <c r="H838" s="73"/>
      <c r="I838" s="74"/>
      <c r="J838" s="74"/>
      <c r="K838" s="74"/>
      <c r="L838" s="74"/>
      <c r="M838" s="74"/>
      <c r="N838" s="74"/>
      <c r="O838" s="82" t="e">
        <f>#N/A</f>
        <v>#N/A</v>
      </c>
      <c r="P838" s="82" t="e">
        <f>#N/A</f>
        <v>#N/A</v>
      </c>
      <c r="Q838" s="74"/>
      <c r="R838" s="76"/>
      <c r="S838" s="84">
        <f t="shared" si="38"/>
        <v>0</v>
      </c>
    </row>
    <row r="839" spans="1:19" ht="18" customHeight="1" x14ac:dyDescent="0.25">
      <c r="A839" s="59"/>
      <c r="B839" s="60"/>
      <c r="C839" s="65"/>
      <c r="D839" s="60"/>
      <c r="E839" s="59"/>
      <c r="F839" s="62"/>
      <c r="G839" s="63"/>
      <c r="H839" s="64"/>
      <c r="I839" s="65"/>
      <c r="J839" s="65"/>
      <c r="K839" s="65"/>
      <c r="L839" s="65"/>
      <c r="M839" s="65"/>
      <c r="N839" s="65"/>
      <c r="O839" s="81">
        <f t="shared" ref="O839:O901" si="39">IF(G839="Reimbursement ","",I839+J839+K839+L839+M839)</f>
        <v>0</v>
      </c>
      <c r="P839" s="81">
        <f t="shared" ref="P839:P901" si="40">IF(G839="Reimbursement ","",H839-O839)</f>
        <v>0</v>
      </c>
      <c r="Q839" s="65"/>
      <c r="R839" s="67"/>
      <c r="S839" s="83">
        <f t="shared" ref="S839:S902" si="41">IF(OR(R839="",Q839=""),0,IF(R839&gt;Q839,R839-Q839,0))</f>
        <v>0</v>
      </c>
    </row>
    <row r="840" spans="1:19" ht="18" customHeight="1" x14ac:dyDescent="0.25">
      <c r="A840" s="68"/>
      <c r="B840" s="69"/>
      <c r="C840" s="74"/>
      <c r="D840" s="69"/>
      <c r="E840" s="68"/>
      <c r="F840" s="71"/>
      <c r="G840" s="72"/>
      <c r="H840" s="73"/>
      <c r="I840" s="74"/>
      <c r="J840" s="74"/>
      <c r="K840" s="74"/>
      <c r="L840" s="74"/>
      <c r="M840" s="74"/>
      <c r="N840" s="74"/>
      <c r="O840" s="82">
        <f t="shared" si="39"/>
        <v>0</v>
      </c>
      <c r="P840" s="82">
        <f t="shared" si="40"/>
        <v>0</v>
      </c>
      <c r="Q840" s="74"/>
      <c r="R840" s="76"/>
      <c r="S840" s="84">
        <f t="shared" si="41"/>
        <v>0</v>
      </c>
    </row>
    <row r="841" spans="1:19" ht="18" customHeight="1" x14ac:dyDescent="0.25">
      <c r="A841" s="59"/>
      <c r="B841" s="60"/>
      <c r="C841" s="65"/>
      <c r="D841" s="60"/>
      <c r="E841" s="59"/>
      <c r="F841" s="62"/>
      <c r="G841" s="63"/>
      <c r="H841" s="64"/>
      <c r="I841" s="65"/>
      <c r="J841" s="65"/>
      <c r="K841" s="65"/>
      <c r="L841" s="65"/>
      <c r="M841" s="65"/>
      <c r="N841" s="65"/>
      <c r="O841" s="81">
        <f t="shared" si="39"/>
        <v>0</v>
      </c>
      <c r="P841" s="81">
        <f t="shared" si="40"/>
        <v>0</v>
      </c>
      <c r="Q841" s="65"/>
      <c r="R841" s="67"/>
      <c r="S841" s="83">
        <f t="shared" si="41"/>
        <v>0</v>
      </c>
    </row>
    <row r="842" spans="1:19" ht="18" customHeight="1" x14ac:dyDescent="0.25">
      <c r="A842" s="68"/>
      <c r="B842" s="69"/>
      <c r="C842" s="74"/>
      <c r="D842" s="69"/>
      <c r="E842" s="68"/>
      <c r="F842" s="71"/>
      <c r="G842" s="72"/>
      <c r="H842" s="73"/>
      <c r="I842" s="74"/>
      <c r="J842" s="74"/>
      <c r="K842" s="74"/>
      <c r="L842" s="74"/>
      <c r="M842" s="74"/>
      <c r="N842" s="74"/>
      <c r="O842" s="82">
        <f t="shared" si="39"/>
        <v>0</v>
      </c>
      <c r="P842" s="82">
        <f t="shared" si="40"/>
        <v>0</v>
      </c>
      <c r="Q842" s="74"/>
      <c r="R842" s="76"/>
      <c r="S842" s="84">
        <f t="shared" si="41"/>
        <v>0</v>
      </c>
    </row>
    <row r="843" spans="1:19" ht="18" customHeight="1" x14ac:dyDescent="0.25">
      <c r="A843" s="59"/>
      <c r="B843" s="60"/>
      <c r="C843" s="65"/>
      <c r="D843" s="60"/>
      <c r="E843" s="59"/>
      <c r="F843" s="62"/>
      <c r="G843" s="63"/>
      <c r="H843" s="64"/>
      <c r="I843" s="65"/>
      <c r="J843" s="65"/>
      <c r="K843" s="65"/>
      <c r="L843" s="65"/>
      <c r="M843" s="65"/>
      <c r="N843" s="65"/>
      <c r="O843" s="81">
        <f t="shared" si="39"/>
        <v>0</v>
      </c>
      <c r="P843" s="81">
        <f t="shared" si="40"/>
        <v>0</v>
      </c>
      <c r="Q843" s="65"/>
      <c r="R843" s="67"/>
      <c r="S843" s="83">
        <f t="shared" si="41"/>
        <v>0</v>
      </c>
    </row>
    <row r="844" spans="1:19" ht="18" customHeight="1" x14ac:dyDescent="0.25">
      <c r="A844" s="68"/>
      <c r="B844" s="69"/>
      <c r="C844" s="74"/>
      <c r="D844" s="69"/>
      <c r="E844" s="68"/>
      <c r="F844" s="71"/>
      <c r="G844" s="72"/>
      <c r="H844" s="73"/>
      <c r="I844" s="74"/>
      <c r="J844" s="74"/>
      <c r="K844" s="74"/>
      <c r="L844" s="74"/>
      <c r="M844" s="74"/>
      <c r="N844" s="74"/>
      <c r="O844" s="82">
        <f t="shared" si="39"/>
        <v>0</v>
      </c>
      <c r="P844" s="82">
        <f t="shared" si="40"/>
        <v>0</v>
      </c>
      <c r="Q844" s="74"/>
      <c r="R844" s="76"/>
      <c r="S844" s="84">
        <f t="shared" si="41"/>
        <v>0</v>
      </c>
    </row>
    <row r="845" spans="1:19" ht="18" customHeight="1" x14ac:dyDescent="0.25">
      <c r="A845" s="59"/>
      <c r="B845" s="60"/>
      <c r="C845" s="65"/>
      <c r="D845" s="60"/>
      <c r="E845" s="59"/>
      <c r="F845" s="62"/>
      <c r="G845" s="63"/>
      <c r="H845" s="64"/>
      <c r="I845" s="65"/>
      <c r="J845" s="65"/>
      <c r="K845" s="65"/>
      <c r="L845" s="65"/>
      <c r="M845" s="65"/>
      <c r="N845" s="65"/>
      <c r="O845" s="81">
        <f t="shared" si="39"/>
        <v>0</v>
      </c>
      <c r="P845" s="81">
        <f t="shared" si="40"/>
        <v>0</v>
      </c>
      <c r="Q845" s="65"/>
      <c r="R845" s="67"/>
      <c r="S845" s="83">
        <f t="shared" si="41"/>
        <v>0</v>
      </c>
    </row>
    <row r="846" spans="1:19" ht="18" customHeight="1" x14ac:dyDescent="0.25">
      <c r="A846" s="68"/>
      <c r="B846" s="69"/>
      <c r="C846" s="74"/>
      <c r="D846" s="69"/>
      <c r="E846" s="68"/>
      <c r="F846" s="71"/>
      <c r="G846" s="72"/>
      <c r="H846" s="73"/>
      <c r="I846" s="74"/>
      <c r="J846" s="74"/>
      <c r="K846" s="74"/>
      <c r="L846" s="74"/>
      <c r="M846" s="74"/>
      <c r="N846" s="74"/>
      <c r="O846" s="82">
        <f t="shared" si="39"/>
        <v>0</v>
      </c>
      <c r="P846" s="82">
        <f t="shared" si="40"/>
        <v>0</v>
      </c>
      <c r="Q846" s="74"/>
      <c r="R846" s="76"/>
      <c r="S846" s="84">
        <f t="shared" si="41"/>
        <v>0</v>
      </c>
    </row>
    <row r="847" spans="1:19" ht="18" customHeight="1" x14ac:dyDescent="0.25">
      <c r="A847" s="59"/>
      <c r="B847" s="60"/>
      <c r="C847" s="65"/>
      <c r="D847" s="60"/>
      <c r="E847" s="59"/>
      <c r="F847" s="62"/>
      <c r="G847" s="63"/>
      <c r="H847" s="64"/>
      <c r="I847" s="65"/>
      <c r="J847" s="65"/>
      <c r="K847" s="65"/>
      <c r="L847" s="65"/>
      <c r="M847" s="65"/>
      <c r="N847" s="65"/>
      <c r="O847" s="81">
        <f t="shared" si="39"/>
        <v>0</v>
      </c>
      <c r="P847" s="81">
        <f t="shared" si="40"/>
        <v>0</v>
      </c>
      <c r="Q847" s="65"/>
      <c r="R847" s="67"/>
      <c r="S847" s="83">
        <f t="shared" si="41"/>
        <v>0</v>
      </c>
    </row>
    <row r="848" spans="1:19" ht="18" customHeight="1" x14ac:dyDescent="0.25">
      <c r="A848" s="68"/>
      <c r="B848" s="69"/>
      <c r="C848" s="74"/>
      <c r="D848" s="69"/>
      <c r="E848" s="68"/>
      <c r="F848" s="71"/>
      <c r="G848" s="72"/>
      <c r="H848" s="73"/>
      <c r="I848" s="74"/>
      <c r="J848" s="74"/>
      <c r="K848" s="74"/>
      <c r="L848" s="74"/>
      <c r="M848" s="74"/>
      <c r="N848" s="74"/>
      <c r="O848" s="82">
        <f t="shared" si="39"/>
        <v>0</v>
      </c>
      <c r="P848" s="82">
        <f t="shared" si="40"/>
        <v>0</v>
      </c>
      <c r="Q848" s="74"/>
      <c r="R848" s="76"/>
      <c r="S848" s="84">
        <f t="shared" si="41"/>
        <v>0</v>
      </c>
    </row>
    <row r="849" spans="1:19" ht="18" customHeight="1" x14ac:dyDescent="0.25">
      <c r="A849" s="59"/>
      <c r="B849" s="60"/>
      <c r="C849" s="65"/>
      <c r="D849" s="60"/>
      <c r="E849" s="59"/>
      <c r="F849" s="62"/>
      <c r="G849" s="63"/>
      <c r="H849" s="64"/>
      <c r="I849" s="65"/>
      <c r="J849" s="65"/>
      <c r="K849" s="65"/>
      <c r="L849" s="65"/>
      <c r="M849" s="65"/>
      <c r="N849" s="65"/>
      <c r="O849" s="81">
        <f t="shared" si="39"/>
        <v>0</v>
      </c>
      <c r="P849" s="81">
        <f t="shared" si="40"/>
        <v>0</v>
      </c>
      <c r="Q849" s="65"/>
      <c r="R849" s="67"/>
      <c r="S849" s="83">
        <f t="shared" si="41"/>
        <v>0</v>
      </c>
    </row>
    <row r="850" spans="1:19" ht="18" customHeight="1" x14ac:dyDescent="0.25">
      <c r="A850" s="68"/>
      <c r="B850" s="69"/>
      <c r="C850" s="74"/>
      <c r="D850" s="69"/>
      <c r="E850" s="68"/>
      <c r="F850" s="71"/>
      <c r="G850" s="72"/>
      <c r="H850" s="73"/>
      <c r="I850" s="74"/>
      <c r="J850" s="74"/>
      <c r="K850" s="74"/>
      <c r="L850" s="74"/>
      <c r="M850" s="74"/>
      <c r="N850" s="74"/>
      <c r="O850" s="82">
        <f t="shared" si="39"/>
        <v>0</v>
      </c>
      <c r="P850" s="82">
        <f t="shared" si="40"/>
        <v>0</v>
      </c>
      <c r="Q850" s="74"/>
      <c r="R850" s="76"/>
      <c r="S850" s="84">
        <f t="shared" si="41"/>
        <v>0</v>
      </c>
    </row>
    <row r="851" spans="1:19" ht="18" customHeight="1" x14ac:dyDescent="0.25">
      <c r="A851" s="59"/>
      <c r="B851" s="60"/>
      <c r="C851" s="65"/>
      <c r="D851" s="60"/>
      <c r="E851" s="59"/>
      <c r="F851" s="62"/>
      <c r="G851" s="63"/>
      <c r="H851" s="64"/>
      <c r="I851" s="65"/>
      <c r="J851" s="65"/>
      <c r="K851" s="65"/>
      <c r="L851" s="65"/>
      <c r="M851" s="65"/>
      <c r="N851" s="65"/>
      <c r="O851" s="81">
        <f t="shared" si="39"/>
        <v>0</v>
      </c>
      <c r="P851" s="81">
        <f t="shared" si="40"/>
        <v>0</v>
      </c>
      <c r="Q851" s="65"/>
      <c r="R851" s="67"/>
      <c r="S851" s="83">
        <f t="shared" si="41"/>
        <v>0</v>
      </c>
    </row>
    <row r="852" spans="1:19" ht="18" customHeight="1" x14ac:dyDescent="0.25">
      <c r="A852" s="68"/>
      <c r="B852" s="69"/>
      <c r="C852" s="74"/>
      <c r="D852" s="69"/>
      <c r="E852" s="68"/>
      <c r="F852" s="71"/>
      <c r="G852" s="72"/>
      <c r="H852" s="73"/>
      <c r="I852" s="74"/>
      <c r="J852" s="74"/>
      <c r="K852" s="74"/>
      <c r="L852" s="74"/>
      <c r="M852" s="74"/>
      <c r="N852" s="74"/>
      <c r="O852" s="82">
        <f t="shared" si="39"/>
        <v>0</v>
      </c>
      <c r="P852" s="82">
        <f t="shared" si="40"/>
        <v>0</v>
      </c>
      <c r="Q852" s="74"/>
      <c r="R852" s="76"/>
      <c r="S852" s="84">
        <f t="shared" si="41"/>
        <v>0</v>
      </c>
    </row>
    <row r="853" spans="1:19" ht="18" customHeight="1" x14ac:dyDescent="0.25">
      <c r="A853" s="59"/>
      <c r="B853" s="60"/>
      <c r="C853" s="65"/>
      <c r="D853" s="60"/>
      <c r="E853" s="59"/>
      <c r="F853" s="62"/>
      <c r="G853" s="63"/>
      <c r="H853" s="64"/>
      <c r="I853" s="65"/>
      <c r="J853" s="65"/>
      <c r="K853" s="65"/>
      <c r="L853" s="65"/>
      <c r="M853" s="65"/>
      <c r="N853" s="65"/>
      <c r="O853" s="81">
        <f t="shared" si="39"/>
        <v>0</v>
      </c>
      <c r="P853" s="81">
        <f t="shared" si="40"/>
        <v>0</v>
      </c>
      <c r="Q853" s="65"/>
      <c r="R853" s="67"/>
      <c r="S853" s="83">
        <f t="shared" si="41"/>
        <v>0</v>
      </c>
    </row>
    <row r="854" spans="1:19" ht="18" customHeight="1" x14ac:dyDescent="0.25">
      <c r="A854" s="68"/>
      <c r="B854" s="69"/>
      <c r="C854" s="74"/>
      <c r="D854" s="69"/>
      <c r="E854" s="68"/>
      <c r="F854" s="71"/>
      <c r="G854" s="72"/>
      <c r="H854" s="73"/>
      <c r="I854" s="74"/>
      <c r="J854" s="74"/>
      <c r="K854" s="74"/>
      <c r="L854" s="74"/>
      <c r="M854" s="74"/>
      <c r="N854" s="74"/>
      <c r="O854" s="82">
        <f t="shared" si="39"/>
        <v>0</v>
      </c>
      <c r="P854" s="82">
        <f t="shared" si="40"/>
        <v>0</v>
      </c>
      <c r="Q854" s="74"/>
      <c r="R854" s="76"/>
      <c r="S854" s="84">
        <f t="shared" si="41"/>
        <v>0</v>
      </c>
    </row>
    <row r="855" spans="1:19" ht="18" customHeight="1" x14ac:dyDescent="0.25">
      <c r="A855" s="59"/>
      <c r="B855" s="60"/>
      <c r="C855" s="65"/>
      <c r="D855" s="60"/>
      <c r="E855" s="59"/>
      <c r="F855" s="62"/>
      <c r="G855" s="63"/>
      <c r="H855" s="64"/>
      <c r="I855" s="65"/>
      <c r="J855" s="65"/>
      <c r="K855" s="65"/>
      <c r="L855" s="65"/>
      <c r="M855" s="65"/>
      <c r="N855" s="65"/>
      <c r="O855" s="81">
        <f t="shared" si="39"/>
        <v>0</v>
      </c>
      <c r="P855" s="81">
        <f t="shared" si="40"/>
        <v>0</v>
      </c>
      <c r="Q855" s="65"/>
      <c r="R855" s="67"/>
      <c r="S855" s="83">
        <f t="shared" si="41"/>
        <v>0</v>
      </c>
    </row>
    <row r="856" spans="1:19" ht="18" customHeight="1" x14ac:dyDescent="0.25">
      <c r="A856" s="68"/>
      <c r="B856" s="69"/>
      <c r="C856" s="74"/>
      <c r="D856" s="69"/>
      <c r="E856" s="68"/>
      <c r="F856" s="71"/>
      <c r="G856" s="72"/>
      <c r="H856" s="73"/>
      <c r="I856" s="74"/>
      <c r="J856" s="74"/>
      <c r="K856" s="74"/>
      <c r="L856" s="74"/>
      <c r="M856" s="74"/>
      <c r="N856" s="74"/>
      <c r="O856" s="82">
        <f t="shared" si="39"/>
        <v>0</v>
      </c>
      <c r="P856" s="82">
        <f t="shared" si="40"/>
        <v>0</v>
      </c>
      <c r="Q856" s="74"/>
      <c r="R856" s="76"/>
      <c r="S856" s="84">
        <f t="shared" si="41"/>
        <v>0</v>
      </c>
    </row>
    <row r="857" spans="1:19" ht="18" customHeight="1" x14ac:dyDescent="0.25">
      <c r="A857" s="59"/>
      <c r="B857" s="60"/>
      <c r="C857" s="65"/>
      <c r="D857" s="60"/>
      <c r="E857" s="59"/>
      <c r="F857" s="62"/>
      <c r="G857" s="63"/>
      <c r="H857" s="64"/>
      <c r="I857" s="65"/>
      <c r="J857" s="65"/>
      <c r="K857" s="65"/>
      <c r="L857" s="65"/>
      <c r="M857" s="65"/>
      <c r="N857" s="65"/>
      <c r="O857" s="81">
        <f t="shared" si="39"/>
        <v>0</v>
      </c>
      <c r="P857" s="81">
        <f t="shared" si="40"/>
        <v>0</v>
      </c>
      <c r="Q857" s="65"/>
      <c r="R857" s="67"/>
      <c r="S857" s="83">
        <f t="shared" si="41"/>
        <v>0</v>
      </c>
    </row>
    <row r="858" spans="1:19" ht="18" customHeight="1" x14ac:dyDescent="0.25">
      <c r="A858" s="68"/>
      <c r="B858" s="69"/>
      <c r="C858" s="74"/>
      <c r="D858" s="69"/>
      <c r="E858" s="68"/>
      <c r="F858" s="71"/>
      <c r="G858" s="72"/>
      <c r="H858" s="73"/>
      <c r="I858" s="74"/>
      <c r="J858" s="74"/>
      <c r="K858" s="74"/>
      <c r="L858" s="74"/>
      <c r="M858" s="74"/>
      <c r="N858" s="74"/>
      <c r="O858" s="82">
        <f t="shared" si="39"/>
        <v>0</v>
      </c>
      <c r="P858" s="82">
        <f t="shared" si="40"/>
        <v>0</v>
      </c>
      <c r="Q858" s="74"/>
      <c r="R858" s="76"/>
      <c r="S858" s="84">
        <f t="shared" si="41"/>
        <v>0</v>
      </c>
    </row>
    <row r="859" spans="1:19" ht="18" customHeight="1" x14ac:dyDescent="0.25">
      <c r="A859" s="59"/>
      <c r="B859" s="60"/>
      <c r="C859" s="65"/>
      <c r="D859" s="60"/>
      <c r="E859" s="59"/>
      <c r="F859" s="62"/>
      <c r="G859" s="63"/>
      <c r="H859" s="64"/>
      <c r="I859" s="65"/>
      <c r="J859" s="65"/>
      <c r="K859" s="65"/>
      <c r="L859" s="65"/>
      <c r="M859" s="65"/>
      <c r="N859" s="65"/>
      <c r="O859" s="81">
        <f t="shared" si="39"/>
        <v>0</v>
      </c>
      <c r="P859" s="81">
        <f t="shared" si="40"/>
        <v>0</v>
      </c>
      <c r="Q859" s="65"/>
      <c r="R859" s="67"/>
      <c r="S859" s="83">
        <f t="shared" si="41"/>
        <v>0</v>
      </c>
    </row>
    <row r="860" spans="1:19" ht="18" customHeight="1" x14ac:dyDescent="0.25">
      <c r="A860" s="68"/>
      <c r="B860" s="69"/>
      <c r="C860" s="74"/>
      <c r="D860" s="69"/>
      <c r="E860" s="68"/>
      <c r="F860" s="71"/>
      <c r="G860" s="72"/>
      <c r="H860" s="73"/>
      <c r="I860" s="74"/>
      <c r="J860" s="74"/>
      <c r="K860" s="74"/>
      <c r="L860" s="74"/>
      <c r="M860" s="74"/>
      <c r="N860" s="74"/>
      <c r="O860" s="82">
        <f t="shared" si="39"/>
        <v>0</v>
      </c>
      <c r="P860" s="82">
        <f t="shared" si="40"/>
        <v>0</v>
      </c>
      <c r="Q860" s="74"/>
      <c r="R860" s="76"/>
      <c r="S860" s="84">
        <f t="shared" si="41"/>
        <v>0</v>
      </c>
    </row>
    <row r="861" spans="1:19" ht="18" customHeight="1" x14ac:dyDescent="0.25">
      <c r="A861" s="59"/>
      <c r="B861" s="60"/>
      <c r="C861" s="65"/>
      <c r="D861" s="60"/>
      <c r="E861" s="59"/>
      <c r="F861" s="62"/>
      <c r="G861" s="63"/>
      <c r="H861" s="64"/>
      <c r="I861" s="65"/>
      <c r="J861" s="65"/>
      <c r="K861" s="65"/>
      <c r="L861" s="65"/>
      <c r="M861" s="65"/>
      <c r="N861" s="65"/>
      <c r="O861" s="81">
        <f t="shared" si="39"/>
        <v>0</v>
      </c>
      <c r="P861" s="81">
        <f t="shared" si="40"/>
        <v>0</v>
      </c>
      <c r="Q861" s="65"/>
      <c r="R861" s="67"/>
      <c r="S861" s="83">
        <f t="shared" si="41"/>
        <v>0</v>
      </c>
    </row>
    <row r="862" spans="1:19" ht="18" customHeight="1" x14ac:dyDescent="0.25">
      <c r="A862" s="68"/>
      <c r="B862" s="69"/>
      <c r="C862" s="74"/>
      <c r="D862" s="69"/>
      <c r="E862" s="68"/>
      <c r="F862" s="71"/>
      <c r="G862" s="72"/>
      <c r="H862" s="73"/>
      <c r="I862" s="74"/>
      <c r="J862" s="74"/>
      <c r="K862" s="74"/>
      <c r="L862" s="74"/>
      <c r="M862" s="74"/>
      <c r="N862" s="74"/>
      <c r="O862" s="82">
        <f t="shared" si="39"/>
        <v>0</v>
      </c>
      <c r="P862" s="82">
        <f t="shared" si="40"/>
        <v>0</v>
      </c>
      <c r="Q862" s="74"/>
      <c r="R862" s="76"/>
      <c r="S862" s="84">
        <f t="shared" si="41"/>
        <v>0</v>
      </c>
    </row>
    <row r="863" spans="1:19" ht="18" customHeight="1" x14ac:dyDescent="0.25">
      <c r="A863" s="59"/>
      <c r="B863" s="60"/>
      <c r="C863" s="65"/>
      <c r="D863" s="60"/>
      <c r="E863" s="59"/>
      <c r="F863" s="62"/>
      <c r="G863" s="63"/>
      <c r="H863" s="64"/>
      <c r="I863" s="65"/>
      <c r="J863" s="65"/>
      <c r="K863" s="65"/>
      <c r="L863" s="65"/>
      <c r="M863" s="65"/>
      <c r="N863" s="65"/>
      <c r="O863" s="81">
        <f t="shared" si="39"/>
        <v>0</v>
      </c>
      <c r="P863" s="81">
        <f t="shared" si="40"/>
        <v>0</v>
      </c>
      <c r="Q863" s="65"/>
      <c r="R863" s="67"/>
      <c r="S863" s="83">
        <f t="shared" si="41"/>
        <v>0</v>
      </c>
    </row>
    <row r="864" spans="1:19" ht="18" customHeight="1" x14ac:dyDescent="0.25">
      <c r="A864" s="68"/>
      <c r="B864" s="69"/>
      <c r="C864" s="74"/>
      <c r="D864" s="69"/>
      <c r="E864" s="68"/>
      <c r="F864" s="71"/>
      <c r="G864" s="72"/>
      <c r="H864" s="73"/>
      <c r="I864" s="74"/>
      <c r="J864" s="74"/>
      <c r="K864" s="74"/>
      <c r="L864" s="74"/>
      <c r="M864" s="74"/>
      <c r="N864" s="74"/>
      <c r="O864" s="82">
        <f t="shared" si="39"/>
        <v>0</v>
      </c>
      <c r="P864" s="82">
        <f t="shared" si="40"/>
        <v>0</v>
      </c>
      <c r="Q864" s="74"/>
      <c r="R864" s="76"/>
      <c r="S864" s="84">
        <f t="shared" si="41"/>
        <v>0</v>
      </c>
    </row>
    <row r="865" spans="1:19" ht="18" customHeight="1" x14ac:dyDescent="0.25">
      <c r="A865" s="59"/>
      <c r="B865" s="60"/>
      <c r="C865" s="65"/>
      <c r="D865" s="60"/>
      <c r="E865" s="59"/>
      <c r="F865" s="62"/>
      <c r="G865" s="63"/>
      <c r="H865" s="64"/>
      <c r="I865" s="65"/>
      <c r="J865" s="65"/>
      <c r="K865" s="65"/>
      <c r="L865" s="65"/>
      <c r="M865" s="65"/>
      <c r="N865" s="65"/>
      <c r="O865" s="81">
        <f t="shared" si="39"/>
        <v>0</v>
      </c>
      <c r="P865" s="81">
        <f t="shared" si="40"/>
        <v>0</v>
      </c>
      <c r="Q865" s="65"/>
      <c r="R865" s="67"/>
      <c r="S865" s="83">
        <f t="shared" si="41"/>
        <v>0</v>
      </c>
    </row>
    <row r="866" spans="1:19" ht="18" customHeight="1" x14ac:dyDescent="0.25">
      <c r="A866" s="68"/>
      <c r="B866" s="69"/>
      <c r="C866" s="74"/>
      <c r="D866" s="69"/>
      <c r="E866" s="68"/>
      <c r="F866" s="71"/>
      <c r="G866" s="72"/>
      <c r="H866" s="73"/>
      <c r="I866" s="74"/>
      <c r="J866" s="74"/>
      <c r="K866" s="74"/>
      <c r="L866" s="74"/>
      <c r="M866" s="74"/>
      <c r="N866" s="74"/>
      <c r="O866" s="82">
        <f t="shared" si="39"/>
        <v>0</v>
      </c>
      <c r="P866" s="82">
        <f t="shared" si="40"/>
        <v>0</v>
      </c>
      <c r="Q866" s="74"/>
      <c r="R866" s="76"/>
      <c r="S866" s="84">
        <f t="shared" si="41"/>
        <v>0</v>
      </c>
    </row>
    <row r="867" spans="1:19" ht="18" customHeight="1" x14ac:dyDescent="0.25">
      <c r="A867" s="59"/>
      <c r="B867" s="60"/>
      <c r="C867" s="65"/>
      <c r="D867" s="60"/>
      <c r="E867" s="59"/>
      <c r="F867" s="62"/>
      <c r="G867" s="63"/>
      <c r="H867" s="64"/>
      <c r="I867" s="65"/>
      <c r="J867" s="65"/>
      <c r="K867" s="65"/>
      <c r="L867" s="65"/>
      <c r="M867" s="65"/>
      <c r="N867" s="65"/>
      <c r="O867" s="81">
        <f t="shared" si="39"/>
        <v>0</v>
      </c>
      <c r="P867" s="81">
        <f t="shared" si="40"/>
        <v>0</v>
      </c>
      <c r="Q867" s="65"/>
      <c r="R867" s="67"/>
      <c r="S867" s="83">
        <f t="shared" si="41"/>
        <v>0</v>
      </c>
    </row>
    <row r="868" spans="1:19" ht="18" customHeight="1" x14ac:dyDescent="0.25">
      <c r="A868" s="68"/>
      <c r="B868" s="69"/>
      <c r="C868" s="74"/>
      <c r="D868" s="69"/>
      <c r="E868" s="68"/>
      <c r="F868" s="71"/>
      <c r="G868" s="72"/>
      <c r="H868" s="73"/>
      <c r="I868" s="74"/>
      <c r="J868" s="74"/>
      <c r="K868" s="74"/>
      <c r="L868" s="74"/>
      <c r="M868" s="74"/>
      <c r="N868" s="74"/>
      <c r="O868" s="82">
        <f t="shared" si="39"/>
        <v>0</v>
      </c>
      <c r="P868" s="82">
        <f t="shared" si="40"/>
        <v>0</v>
      </c>
      <c r="Q868" s="74"/>
      <c r="R868" s="76"/>
      <c r="S868" s="84">
        <f t="shared" si="41"/>
        <v>0</v>
      </c>
    </row>
    <row r="869" spans="1:19" ht="18" customHeight="1" x14ac:dyDescent="0.25">
      <c r="A869" s="59"/>
      <c r="B869" s="60"/>
      <c r="C869" s="65"/>
      <c r="D869" s="60"/>
      <c r="E869" s="59"/>
      <c r="F869" s="62"/>
      <c r="G869" s="63"/>
      <c r="H869" s="64"/>
      <c r="I869" s="65"/>
      <c r="J869" s="65"/>
      <c r="K869" s="65"/>
      <c r="L869" s="65"/>
      <c r="M869" s="65"/>
      <c r="N869" s="65"/>
      <c r="O869" s="81">
        <f t="shared" si="39"/>
        <v>0</v>
      </c>
      <c r="P869" s="81">
        <f t="shared" si="40"/>
        <v>0</v>
      </c>
      <c r="Q869" s="65"/>
      <c r="R869" s="67"/>
      <c r="S869" s="83">
        <f t="shared" si="41"/>
        <v>0</v>
      </c>
    </row>
    <row r="870" spans="1:19" ht="18" customHeight="1" x14ac:dyDescent="0.25">
      <c r="A870" s="68"/>
      <c r="B870" s="69"/>
      <c r="C870" s="74"/>
      <c r="D870" s="69"/>
      <c r="E870" s="68"/>
      <c r="F870" s="71"/>
      <c r="G870" s="72"/>
      <c r="H870" s="73"/>
      <c r="I870" s="74"/>
      <c r="J870" s="74"/>
      <c r="K870" s="74"/>
      <c r="L870" s="74"/>
      <c r="M870" s="74"/>
      <c r="N870" s="74"/>
      <c r="O870" s="82">
        <f t="shared" si="39"/>
        <v>0</v>
      </c>
      <c r="P870" s="82">
        <f t="shared" si="40"/>
        <v>0</v>
      </c>
      <c r="Q870" s="74"/>
      <c r="R870" s="76"/>
      <c r="S870" s="84">
        <f t="shared" si="41"/>
        <v>0</v>
      </c>
    </row>
    <row r="871" spans="1:19" ht="18" customHeight="1" x14ac:dyDescent="0.25">
      <c r="A871" s="59"/>
      <c r="B871" s="60"/>
      <c r="C871" s="65"/>
      <c r="D871" s="60"/>
      <c r="E871" s="59"/>
      <c r="F871" s="62"/>
      <c r="G871" s="63"/>
      <c r="H871" s="64"/>
      <c r="I871" s="65"/>
      <c r="J871" s="65"/>
      <c r="K871" s="65"/>
      <c r="L871" s="65"/>
      <c r="M871" s="65"/>
      <c r="N871" s="65"/>
      <c r="O871" s="81">
        <f t="shared" si="39"/>
        <v>0</v>
      </c>
      <c r="P871" s="81">
        <f t="shared" si="40"/>
        <v>0</v>
      </c>
      <c r="Q871" s="65"/>
      <c r="R871" s="67"/>
      <c r="S871" s="83">
        <f t="shared" si="41"/>
        <v>0</v>
      </c>
    </row>
    <row r="872" spans="1:19" ht="18" customHeight="1" x14ac:dyDescent="0.25">
      <c r="A872" s="68"/>
      <c r="B872" s="69"/>
      <c r="C872" s="74"/>
      <c r="D872" s="69"/>
      <c r="E872" s="68"/>
      <c r="F872" s="71"/>
      <c r="G872" s="72"/>
      <c r="H872" s="73"/>
      <c r="I872" s="74"/>
      <c r="J872" s="74"/>
      <c r="K872" s="74"/>
      <c r="L872" s="74"/>
      <c r="M872" s="74"/>
      <c r="N872" s="74"/>
      <c r="O872" s="82">
        <f t="shared" si="39"/>
        <v>0</v>
      </c>
      <c r="P872" s="82">
        <f t="shared" si="40"/>
        <v>0</v>
      </c>
      <c r="Q872" s="74"/>
      <c r="R872" s="76"/>
      <c r="S872" s="84">
        <f t="shared" si="41"/>
        <v>0</v>
      </c>
    </row>
    <row r="873" spans="1:19" ht="18" customHeight="1" x14ac:dyDescent="0.25">
      <c r="A873" s="59"/>
      <c r="B873" s="60"/>
      <c r="C873" s="65"/>
      <c r="D873" s="60"/>
      <c r="E873" s="59"/>
      <c r="F873" s="62"/>
      <c r="G873" s="63"/>
      <c r="H873" s="64"/>
      <c r="I873" s="65"/>
      <c r="J873" s="65"/>
      <c r="K873" s="65"/>
      <c r="L873" s="65"/>
      <c r="M873" s="65"/>
      <c r="N873" s="65"/>
      <c r="O873" s="81">
        <f t="shared" si="39"/>
        <v>0</v>
      </c>
      <c r="P873" s="81">
        <f t="shared" si="40"/>
        <v>0</v>
      </c>
      <c r="Q873" s="65"/>
      <c r="R873" s="67"/>
      <c r="S873" s="83">
        <f t="shared" si="41"/>
        <v>0</v>
      </c>
    </row>
    <row r="874" spans="1:19" ht="18" customHeight="1" x14ac:dyDescent="0.25">
      <c r="A874" s="68"/>
      <c r="B874" s="69"/>
      <c r="C874" s="74"/>
      <c r="D874" s="69"/>
      <c r="E874" s="68"/>
      <c r="F874" s="71"/>
      <c r="G874" s="72"/>
      <c r="H874" s="73"/>
      <c r="I874" s="74"/>
      <c r="J874" s="74"/>
      <c r="K874" s="74"/>
      <c r="L874" s="74"/>
      <c r="M874" s="74"/>
      <c r="N874" s="74"/>
      <c r="O874" s="82">
        <f t="shared" si="39"/>
        <v>0</v>
      </c>
      <c r="P874" s="82">
        <f t="shared" si="40"/>
        <v>0</v>
      </c>
      <c r="Q874" s="74"/>
      <c r="R874" s="76"/>
      <c r="S874" s="84">
        <f t="shared" si="41"/>
        <v>0</v>
      </c>
    </row>
    <row r="875" spans="1:19" ht="18" customHeight="1" x14ac:dyDescent="0.25">
      <c r="A875" s="59"/>
      <c r="B875" s="60"/>
      <c r="C875" s="65"/>
      <c r="D875" s="60"/>
      <c r="E875" s="59"/>
      <c r="F875" s="62"/>
      <c r="G875" s="63"/>
      <c r="H875" s="64"/>
      <c r="I875" s="65"/>
      <c r="J875" s="65"/>
      <c r="K875" s="65"/>
      <c r="L875" s="65"/>
      <c r="M875" s="65"/>
      <c r="N875" s="65"/>
      <c r="O875" s="81">
        <f t="shared" si="39"/>
        <v>0</v>
      </c>
      <c r="P875" s="81">
        <f t="shared" si="40"/>
        <v>0</v>
      </c>
      <c r="Q875" s="65"/>
      <c r="R875" s="67"/>
      <c r="S875" s="83">
        <f t="shared" si="41"/>
        <v>0</v>
      </c>
    </row>
    <row r="876" spans="1:19" ht="18" customHeight="1" x14ac:dyDescent="0.25">
      <c r="A876" s="68"/>
      <c r="B876" s="69"/>
      <c r="C876" s="74"/>
      <c r="D876" s="69"/>
      <c r="E876" s="68"/>
      <c r="F876" s="71"/>
      <c r="G876" s="72"/>
      <c r="H876" s="73"/>
      <c r="I876" s="74"/>
      <c r="J876" s="74"/>
      <c r="K876" s="74"/>
      <c r="L876" s="74"/>
      <c r="M876" s="74"/>
      <c r="N876" s="74"/>
      <c r="O876" s="82">
        <f t="shared" si="39"/>
        <v>0</v>
      </c>
      <c r="P876" s="82">
        <f t="shared" si="40"/>
        <v>0</v>
      </c>
      <c r="Q876" s="74"/>
      <c r="R876" s="76"/>
      <c r="S876" s="84">
        <f t="shared" si="41"/>
        <v>0</v>
      </c>
    </row>
    <row r="877" spans="1:19" ht="18" customHeight="1" x14ac:dyDescent="0.25">
      <c r="A877" s="59"/>
      <c r="B877" s="60"/>
      <c r="C877" s="65"/>
      <c r="D877" s="60"/>
      <c r="E877" s="59"/>
      <c r="F877" s="62"/>
      <c r="G877" s="63"/>
      <c r="H877" s="64"/>
      <c r="I877" s="65"/>
      <c r="J877" s="65"/>
      <c r="K877" s="65"/>
      <c r="L877" s="65"/>
      <c r="M877" s="65"/>
      <c r="N877" s="65"/>
      <c r="O877" s="81">
        <f t="shared" si="39"/>
        <v>0</v>
      </c>
      <c r="P877" s="81">
        <f t="shared" si="40"/>
        <v>0</v>
      </c>
      <c r="Q877" s="65"/>
      <c r="R877" s="67"/>
      <c r="S877" s="83">
        <f t="shared" si="41"/>
        <v>0</v>
      </c>
    </row>
    <row r="878" spans="1:19" ht="18" customHeight="1" x14ac:dyDescent="0.25">
      <c r="A878" s="68"/>
      <c r="B878" s="69"/>
      <c r="C878" s="74"/>
      <c r="D878" s="69"/>
      <c r="E878" s="68"/>
      <c r="F878" s="71"/>
      <c r="G878" s="72"/>
      <c r="H878" s="73"/>
      <c r="I878" s="74"/>
      <c r="J878" s="74"/>
      <c r="K878" s="74"/>
      <c r="L878" s="74"/>
      <c r="M878" s="74"/>
      <c r="N878" s="74"/>
      <c r="O878" s="82">
        <f t="shared" si="39"/>
        <v>0</v>
      </c>
      <c r="P878" s="82">
        <f t="shared" si="40"/>
        <v>0</v>
      </c>
      <c r="Q878" s="74"/>
      <c r="R878" s="76"/>
      <c r="S878" s="84">
        <f t="shared" si="41"/>
        <v>0</v>
      </c>
    </row>
    <row r="879" spans="1:19" ht="18" customHeight="1" x14ac:dyDescent="0.25">
      <c r="A879" s="59"/>
      <c r="B879" s="60"/>
      <c r="C879" s="65"/>
      <c r="D879" s="60"/>
      <c r="E879" s="59"/>
      <c r="F879" s="62"/>
      <c r="G879" s="63"/>
      <c r="H879" s="64"/>
      <c r="I879" s="65"/>
      <c r="J879" s="65"/>
      <c r="K879" s="65"/>
      <c r="L879" s="65"/>
      <c r="M879" s="65"/>
      <c r="N879" s="65"/>
      <c r="O879" s="81">
        <f t="shared" si="39"/>
        <v>0</v>
      </c>
      <c r="P879" s="81">
        <f t="shared" si="40"/>
        <v>0</v>
      </c>
      <c r="Q879" s="65"/>
      <c r="R879" s="67"/>
      <c r="S879" s="83">
        <f t="shared" si="41"/>
        <v>0</v>
      </c>
    </row>
    <row r="880" spans="1:19" ht="18" customHeight="1" x14ac:dyDescent="0.25">
      <c r="A880" s="68"/>
      <c r="B880" s="69"/>
      <c r="C880" s="74"/>
      <c r="D880" s="69"/>
      <c r="E880" s="68"/>
      <c r="F880" s="71"/>
      <c r="G880" s="72"/>
      <c r="H880" s="73"/>
      <c r="I880" s="74"/>
      <c r="J880" s="74"/>
      <c r="K880" s="74"/>
      <c r="L880" s="74"/>
      <c r="M880" s="74"/>
      <c r="N880" s="74"/>
      <c r="O880" s="82">
        <f t="shared" si="39"/>
        <v>0</v>
      </c>
      <c r="P880" s="82">
        <f t="shared" si="40"/>
        <v>0</v>
      </c>
      <c r="Q880" s="74"/>
      <c r="R880" s="76"/>
      <c r="S880" s="84">
        <f t="shared" si="41"/>
        <v>0</v>
      </c>
    </row>
    <row r="881" spans="1:19" ht="18" customHeight="1" x14ac:dyDescent="0.25">
      <c r="A881" s="59"/>
      <c r="B881" s="60"/>
      <c r="C881" s="65"/>
      <c r="D881" s="60"/>
      <c r="E881" s="59"/>
      <c r="F881" s="62"/>
      <c r="G881" s="63"/>
      <c r="H881" s="64"/>
      <c r="I881" s="65"/>
      <c r="J881" s="65"/>
      <c r="K881" s="65"/>
      <c r="L881" s="65"/>
      <c r="M881" s="65"/>
      <c r="N881" s="65"/>
      <c r="O881" s="81">
        <f t="shared" si="39"/>
        <v>0</v>
      </c>
      <c r="P881" s="81">
        <f t="shared" si="40"/>
        <v>0</v>
      </c>
      <c r="Q881" s="65"/>
      <c r="R881" s="67"/>
      <c r="S881" s="83">
        <f t="shared" si="41"/>
        <v>0</v>
      </c>
    </row>
    <row r="882" spans="1:19" ht="18" customHeight="1" x14ac:dyDescent="0.25">
      <c r="A882" s="68"/>
      <c r="B882" s="69"/>
      <c r="C882" s="74"/>
      <c r="D882" s="69"/>
      <c r="E882" s="68"/>
      <c r="F882" s="71"/>
      <c r="G882" s="72"/>
      <c r="H882" s="73"/>
      <c r="I882" s="74"/>
      <c r="J882" s="74"/>
      <c r="K882" s="74"/>
      <c r="L882" s="74"/>
      <c r="M882" s="74"/>
      <c r="N882" s="74"/>
      <c r="O882" s="82">
        <f t="shared" si="39"/>
        <v>0</v>
      </c>
      <c r="P882" s="82">
        <f t="shared" si="40"/>
        <v>0</v>
      </c>
      <c r="Q882" s="74"/>
      <c r="R882" s="76"/>
      <c r="S882" s="84">
        <f t="shared" si="41"/>
        <v>0</v>
      </c>
    </row>
    <row r="883" spans="1:19" ht="18" customHeight="1" x14ac:dyDescent="0.25">
      <c r="A883" s="59"/>
      <c r="B883" s="60"/>
      <c r="C883" s="65"/>
      <c r="D883" s="60"/>
      <c r="E883" s="59"/>
      <c r="F883" s="62"/>
      <c r="G883" s="63"/>
      <c r="H883" s="64"/>
      <c r="I883" s="65"/>
      <c r="J883" s="65"/>
      <c r="K883" s="65"/>
      <c r="L883" s="65"/>
      <c r="M883" s="65"/>
      <c r="N883" s="65"/>
      <c r="O883" s="81">
        <f t="shared" si="39"/>
        <v>0</v>
      </c>
      <c r="P883" s="81">
        <f t="shared" si="40"/>
        <v>0</v>
      </c>
      <c r="Q883" s="65"/>
      <c r="R883" s="67"/>
      <c r="S883" s="83">
        <f t="shared" si="41"/>
        <v>0</v>
      </c>
    </row>
    <row r="884" spans="1:19" ht="18" customHeight="1" x14ac:dyDescent="0.25">
      <c r="A884" s="68"/>
      <c r="B884" s="69"/>
      <c r="C884" s="74"/>
      <c r="D884" s="69"/>
      <c r="E884" s="68"/>
      <c r="F884" s="71"/>
      <c r="G884" s="72"/>
      <c r="H884" s="73"/>
      <c r="I884" s="74"/>
      <c r="J884" s="74"/>
      <c r="K884" s="74"/>
      <c r="L884" s="74"/>
      <c r="M884" s="74"/>
      <c r="N884" s="74"/>
      <c r="O884" s="82">
        <f t="shared" si="39"/>
        <v>0</v>
      </c>
      <c r="P884" s="82">
        <f t="shared" si="40"/>
        <v>0</v>
      </c>
      <c r="Q884" s="74"/>
      <c r="R884" s="76"/>
      <c r="S884" s="84">
        <f t="shared" si="41"/>
        <v>0</v>
      </c>
    </row>
    <row r="885" spans="1:19" ht="18" customHeight="1" x14ac:dyDescent="0.25">
      <c r="A885" s="59"/>
      <c r="B885" s="60"/>
      <c r="C885" s="65"/>
      <c r="D885" s="60"/>
      <c r="E885" s="59"/>
      <c r="F885" s="62"/>
      <c r="G885" s="63"/>
      <c r="H885" s="64"/>
      <c r="I885" s="65"/>
      <c r="J885" s="65"/>
      <c r="K885" s="65"/>
      <c r="L885" s="65"/>
      <c r="M885" s="65"/>
      <c r="N885" s="65"/>
      <c r="O885" s="81">
        <f t="shared" si="39"/>
        <v>0</v>
      </c>
      <c r="P885" s="81">
        <f t="shared" si="40"/>
        <v>0</v>
      </c>
      <c r="Q885" s="65"/>
      <c r="R885" s="67"/>
      <c r="S885" s="83">
        <f t="shared" si="41"/>
        <v>0</v>
      </c>
    </row>
    <row r="886" spans="1:19" ht="18" customHeight="1" x14ac:dyDescent="0.25">
      <c r="A886" s="68"/>
      <c r="B886" s="69"/>
      <c r="C886" s="74"/>
      <c r="D886" s="69"/>
      <c r="E886" s="68"/>
      <c r="F886" s="71"/>
      <c r="G886" s="72"/>
      <c r="H886" s="73"/>
      <c r="I886" s="74"/>
      <c r="J886" s="74"/>
      <c r="K886" s="74"/>
      <c r="L886" s="74"/>
      <c r="M886" s="74"/>
      <c r="N886" s="74"/>
      <c r="O886" s="82">
        <f t="shared" si="39"/>
        <v>0</v>
      </c>
      <c r="P886" s="82">
        <f t="shared" si="40"/>
        <v>0</v>
      </c>
      <c r="Q886" s="74"/>
      <c r="R886" s="76"/>
      <c r="S886" s="84">
        <f t="shared" si="41"/>
        <v>0</v>
      </c>
    </row>
    <row r="887" spans="1:19" ht="18" customHeight="1" x14ac:dyDescent="0.25">
      <c r="A887" s="59"/>
      <c r="B887" s="60"/>
      <c r="C887" s="65"/>
      <c r="D887" s="60"/>
      <c r="E887" s="59"/>
      <c r="F887" s="62"/>
      <c r="G887" s="63"/>
      <c r="H887" s="64"/>
      <c r="I887" s="65"/>
      <c r="J887" s="65"/>
      <c r="K887" s="65"/>
      <c r="L887" s="65"/>
      <c r="M887" s="65"/>
      <c r="N887" s="65"/>
      <c r="O887" s="81">
        <f t="shared" si="39"/>
        <v>0</v>
      </c>
      <c r="P887" s="81">
        <f t="shared" si="40"/>
        <v>0</v>
      </c>
      <c r="Q887" s="65"/>
      <c r="R887" s="67"/>
      <c r="S887" s="83">
        <f t="shared" si="41"/>
        <v>0</v>
      </c>
    </row>
    <row r="888" spans="1:19" ht="18" customHeight="1" x14ac:dyDescent="0.25">
      <c r="A888" s="68"/>
      <c r="B888" s="69"/>
      <c r="C888" s="74"/>
      <c r="D888" s="69"/>
      <c r="E888" s="68"/>
      <c r="F888" s="71"/>
      <c r="G888" s="72"/>
      <c r="H888" s="73"/>
      <c r="I888" s="74"/>
      <c r="J888" s="74"/>
      <c r="K888" s="74"/>
      <c r="L888" s="74"/>
      <c r="M888" s="74"/>
      <c r="N888" s="74"/>
      <c r="O888" s="82">
        <f t="shared" si="39"/>
        <v>0</v>
      </c>
      <c r="P888" s="82">
        <f t="shared" si="40"/>
        <v>0</v>
      </c>
      <c r="Q888" s="74"/>
      <c r="R888" s="76"/>
      <c r="S888" s="84">
        <f t="shared" si="41"/>
        <v>0</v>
      </c>
    </row>
    <row r="889" spans="1:19" ht="18" customHeight="1" x14ac:dyDescent="0.25">
      <c r="A889" s="59"/>
      <c r="B889" s="60"/>
      <c r="C889" s="65"/>
      <c r="D889" s="60"/>
      <c r="E889" s="59"/>
      <c r="F889" s="62"/>
      <c r="G889" s="63"/>
      <c r="H889" s="64"/>
      <c r="I889" s="65"/>
      <c r="J889" s="65"/>
      <c r="K889" s="65"/>
      <c r="L889" s="65"/>
      <c r="M889" s="65"/>
      <c r="N889" s="65"/>
      <c r="O889" s="81">
        <f t="shared" si="39"/>
        <v>0</v>
      </c>
      <c r="P889" s="81">
        <f t="shared" si="40"/>
        <v>0</v>
      </c>
      <c r="Q889" s="65"/>
      <c r="R889" s="67"/>
      <c r="S889" s="83">
        <f t="shared" si="41"/>
        <v>0</v>
      </c>
    </row>
    <row r="890" spans="1:19" ht="18" customHeight="1" x14ac:dyDescent="0.25">
      <c r="A890" s="68"/>
      <c r="B890" s="69"/>
      <c r="C890" s="74"/>
      <c r="D890" s="69"/>
      <c r="E890" s="68"/>
      <c r="F890" s="71"/>
      <c r="G890" s="72"/>
      <c r="H890" s="73"/>
      <c r="I890" s="74"/>
      <c r="J890" s="74"/>
      <c r="K890" s="74"/>
      <c r="L890" s="74"/>
      <c r="M890" s="74"/>
      <c r="N890" s="74"/>
      <c r="O890" s="82">
        <f t="shared" si="39"/>
        <v>0</v>
      </c>
      <c r="P890" s="82">
        <f t="shared" si="40"/>
        <v>0</v>
      </c>
      <c r="Q890" s="74"/>
      <c r="R890" s="76"/>
      <c r="S890" s="84">
        <f t="shared" si="41"/>
        <v>0</v>
      </c>
    </row>
    <row r="891" spans="1:19" ht="18" customHeight="1" x14ac:dyDescent="0.25">
      <c r="A891" s="59"/>
      <c r="B891" s="60"/>
      <c r="C891" s="65"/>
      <c r="D891" s="60"/>
      <c r="E891" s="59"/>
      <c r="F891" s="62"/>
      <c r="G891" s="63"/>
      <c r="H891" s="64"/>
      <c r="I891" s="65"/>
      <c r="J891" s="65"/>
      <c r="K891" s="65"/>
      <c r="L891" s="65"/>
      <c r="M891" s="65"/>
      <c r="N891" s="65"/>
      <c r="O891" s="81">
        <f t="shared" si="39"/>
        <v>0</v>
      </c>
      <c r="P891" s="81">
        <f t="shared" si="40"/>
        <v>0</v>
      </c>
      <c r="Q891" s="65"/>
      <c r="R891" s="67"/>
      <c r="S891" s="83">
        <f t="shared" si="41"/>
        <v>0</v>
      </c>
    </row>
    <row r="892" spans="1:19" ht="18" customHeight="1" x14ac:dyDescent="0.25">
      <c r="A892" s="68"/>
      <c r="B892" s="69"/>
      <c r="C892" s="74"/>
      <c r="D892" s="69"/>
      <c r="E892" s="68"/>
      <c r="F892" s="71"/>
      <c r="G892" s="72"/>
      <c r="H892" s="73"/>
      <c r="I892" s="74"/>
      <c r="J892" s="74"/>
      <c r="K892" s="74"/>
      <c r="L892" s="74"/>
      <c r="M892" s="74"/>
      <c r="N892" s="74"/>
      <c r="O892" s="82">
        <f t="shared" si="39"/>
        <v>0</v>
      </c>
      <c r="P892" s="82">
        <f t="shared" si="40"/>
        <v>0</v>
      </c>
      <c r="Q892" s="74"/>
      <c r="R892" s="76"/>
      <c r="S892" s="84">
        <f t="shared" si="41"/>
        <v>0</v>
      </c>
    </row>
    <row r="893" spans="1:19" ht="18" customHeight="1" x14ac:dyDescent="0.25">
      <c r="A893" s="59"/>
      <c r="B893" s="60"/>
      <c r="C893" s="65"/>
      <c r="D893" s="60"/>
      <c r="E893" s="59"/>
      <c r="F893" s="62"/>
      <c r="G893" s="63"/>
      <c r="H893" s="64"/>
      <c r="I893" s="65"/>
      <c r="J893" s="65"/>
      <c r="K893" s="65"/>
      <c r="L893" s="65"/>
      <c r="M893" s="65"/>
      <c r="N893" s="65"/>
      <c r="O893" s="81">
        <f t="shared" si="39"/>
        <v>0</v>
      </c>
      <c r="P893" s="81">
        <f t="shared" si="40"/>
        <v>0</v>
      </c>
      <c r="Q893" s="65"/>
      <c r="R893" s="67"/>
      <c r="S893" s="83">
        <f t="shared" si="41"/>
        <v>0</v>
      </c>
    </row>
    <row r="894" spans="1:19" ht="18" customHeight="1" x14ac:dyDescent="0.25">
      <c r="A894" s="68"/>
      <c r="B894" s="69"/>
      <c r="C894" s="74"/>
      <c r="D894" s="69"/>
      <c r="E894" s="68"/>
      <c r="F894" s="71"/>
      <c r="G894" s="72"/>
      <c r="H894" s="73"/>
      <c r="I894" s="74"/>
      <c r="J894" s="74"/>
      <c r="K894" s="74"/>
      <c r="L894" s="74"/>
      <c r="M894" s="74"/>
      <c r="N894" s="74"/>
      <c r="O894" s="82">
        <f t="shared" si="39"/>
        <v>0</v>
      </c>
      <c r="P894" s="82">
        <f t="shared" si="40"/>
        <v>0</v>
      </c>
      <c r="Q894" s="74"/>
      <c r="R894" s="76"/>
      <c r="S894" s="84">
        <f t="shared" si="41"/>
        <v>0</v>
      </c>
    </row>
    <row r="895" spans="1:19" ht="18" customHeight="1" x14ac:dyDescent="0.25">
      <c r="A895" s="59"/>
      <c r="B895" s="60"/>
      <c r="C895" s="65"/>
      <c r="D895" s="60"/>
      <c r="E895" s="59"/>
      <c r="F895" s="62"/>
      <c r="G895" s="63"/>
      <c r="H895" s="64"/>
      <c r="I895" s="65"/>
      <c r="J895" s="65"/>
      <c r="K895" s="65"/>
      <c r="L895" s="65"/>
      <c r="M895" s="65"/>
      <c r="N895" s="65"/>
      <c r="O895" s="81">
        <f t="shared" si="39"/>
        <v>0</v>
      </c>
      <c r="P895" s="81">
        <f t="shared" si="40"/>
        <v>0</v>
      </c>
      <c r="Q895" s="65"/>
      <c r="R895" s="67"/>
      <c r="S895" s="83">
        <f t="shared" si="41"/>
        <v>0</v>
      </c>
    </row>
    <row r="896" spans="1:19" ht="18" customHeight="1" x14ac:dyDescent="0.25">
      <c r="A896" s="68"/>
      <c r="B896" s="69"/>
      <c r="C896" s="74"/>
      <c r="D896" s="69"/>
      <c r="E896" s="68"/>
      <c r="F896" s="71"/>
      <c r="G896" s="72"/>
      <c r="H896" s="73"/>
      <c r="I896" s="74"/>
      <c r="J896" s="74"/>
      <c r="K896" s="74"/>
      <c r="L896" s="74"/>
      <c r="M896" s="74"/>
      <c r="N896" s="74"/>
      <c r="O896" s="82">
        <f t="shared" si="39"/>
        <v>0</v>
      </c>
      <c r="P896" s="82">
        <f t="shared" si="40"/>
        <v>0</v>
      </c>
      <c r="Q896" s="74"/>
      <c r="R896" s="76"/>
      <c r="S896" s="84">
        <f t="shared" si="41"/>
        <v>0</v>
      </c>
    </row>
    <row r="897" spans="1:19" ht="18" customHeight="1" x14ac:dyDescent="0.25">
      <c r="A897" s="59"/>
      <c r="B897" s="60"/>
      <c r="C897" s="65"/>
      <c r="D897" s="60"/>
      <c r="E897" s="59"/>
      <c r="F897" s="62"/>
      <c r="G897" s="63"/>
      <c r="H897" s="64"/>
      <c r="I897" s="65"/>
      <c r="J897" s="65"/>
      <c r="K897" s="65"/>
      <c r="L897" s="65"/>
      <c r="M897" s="65"/>
      <c r="N897" s="65"/>
      <c r="O897" s="81">
        <f t="shared" si="39"/>
        <v>0</v>
      </c>
      <c r="P897" s="81">
        <f t="shared" si="40"/>
        <v>0</v>
      </c>
      <c r="Q897" s="65"/>
      <c r="R897" s="67"/>
      <c r="S897" s="83">
        <f t="shared" si="41"/>
        <v>0</v>
      </c>
    </row>
    <row r="898" spans="1:19" ht="18" customHeight="1" x14ac:dyDescent="0.25">
      <c r="A898" s="68"/>
      <c r="B898" s="69"/>
      <c r="C898" s="74"/>
      <c r="D898" s="69"/>
      <c r="E898" s="68"/>
      <c r="F898" s="71"/>
      <c r="G898" s="72"/>
      <c r="H898" s="73"/>
      <c r="I898" s="74"/>
      <c r="J898" s="74"/>
      <c r="K898" s="74"/>
      <c r="L898" s="74"/>
      <c r="M898" s="74"/>
      <c r="N898" s="74"/>
      <c r="O898" s="82">
        <f t="shared" si="39"/>
        <v>0</v>
      </c>
      <c r="P898" s="82">
        <f t="shared" si="40"/>
        <v>0</v>
      </c>
      <c r="Q898" s="74"/>
      <c r="R898" s="76"/>
      <c r="S898" s="84">
        <f t="shared" si="41"/>
        <v>0</v>
      </c>
    </row>
    <row r="899" spans="1:19" ht="18" customHeight="1" x14ac:dyDescent="0.25">
      <c r="A899" s="59"/>
      <c r="B899" s="60"/>
      <c r="C899" s="65"/>
      <c r="D899" s="60"/>
      <c r="E899" s="59"/>
      <c r="F899" s="62"/>
      <c r="G899" s="63"/>
      <c r="H899" s="64"/>
      <c r="I899" s="65"/>
      <c r="J899" s="65"/>
      <c r="K899" s="65"/>
      <c r="L899" s="65"/>
      <c r="M899" s="65"/>
      <c r="N899" s="65"/>
      <c r="O899" s="81">
        <f t="shared" si="39"/>
        <v>0</v>
      </c>
      <c r="P899" s="81">
        <f t="shared" si="40"/>
        <v>0</v>
      </c>
      <c r="Q899" s="65"/>
      <c r="R899" s="67"/>
      <c r="S899" s="83">
        <f t="shared" si="41"/>
        <v>0</v>
      </c>
    </row>
    <row r="900" spans="1:19" ht="18" customHeight="1" x14ac:dyDescent="0.25">
      <c r="A900" s="68"/>
      <c r="B900" s="69"/>
      <c r="C900" s="74"/>
      <c r="D900" s="69"/>
      <c r="E900" s="68"/>
      <c r="F900" s="71"/>
      <c r="G900" s="72"/>
      <c r="H900" s="73"/>
      <c r="I900" s="74"/>
      <c r="J900" s="74"/>
      <c r="K900" s="74"/>
      <c r="L900" s="74"/>
      <c r="M900" s="74"/>
      <c r="N900" s="74"/>
      <c r="O900" s="82">
        <f t="shared" si="39"/>
        <v>0</v>
      </c>
      <c r="P900" s="82">
        <f t="shared" si="40"/>
        <v>0</v>
      </c>
      <c r="Q900" s="74"/>
      <c r="R900" s="76"/>
      <c r="S900" s="84">
        <f t="shared" si="41"/>
        <v>0</v>
      </c>
    </row>
    <row r="901" spans="1:19" ht="18" customHeight="1" x14ac:dyDescent="0.25">
      <c r="A901" s="59"/>
      <c r="B901" s="60"/>
      <c r="C901" s="65"/>
      <c r="D901" s="60"/>
      <c r="E901" s="59"/>
      <c r="F901" s="62"/>
      <c r="G901" s="63"/>
      <c r="H901" s="64"/>
      <c r="I901" s="65"/>
      <c r="J901" s="65"/>
      <c r="K901" s="65"/>
      <c r="L901" s="65"/>
      <c r="M901" s="65"/>
      <c r="N901" s="65"/>
      <c r="O901" s="81">
        <f t="shared" si="39"/>
        <v>0</v>
      </c>
      <c r="P901" s="81">
        <f t="shared" si="40"/>
        <v>0</v>
      </c>
      <c r="Q901" s="65"/>
      <c r="R901" s="67"/>
      <c r="S901" s="83">
        <f t="shared" si="41"/>
        <v>0</v>
      </c>
    </row>
    <row r="902" spans="1:19" ht="18" customHeight="1" x14ac:dyDescent="0.25">
      <c r="A902" s="68"/>
      <c r="B902" s="69"/>
      <c r="C902" s="74"/>
      <c r="D902" s="69"/>
      <c r="E902" s="68"/>
      <c r="F902" s="71"/>
      <c r="G902" s="72"/>
      <c r="H902" s="73"/>
      <c r="I902" s="74"/>
      <c r="J902" s="74"/>
      <c r="K902" s="74"/>
      <c r="L902" s="74"/>
      <c r="M902" s="74"/>
      <c r="N902" s="74"/>
      <c r="O902" s="82" t="e">
        <f>#N/A</f>
        <v>#N/A</v>
      </c>
      <c r="P902" s="82" t="e">
        <f>#N/A</f>
        <v>#N/A</v>
      </c>
      <c r="Q902" s="74"/>
      <c r="R902" s="76"/>
      <c r="S902" s="84">
        <f t="shared" si="41"/>
        <v>0</v>
      </c>
    </row>
    <row r="903" spans="1:19" ht="18" customHeight="1" x14ac:dyDescent="0.25">
      <c r="A903" s="59"/>
      <c r="B903" s="60"/>
      <c r="C903" s="65"/>
      <c r="D903" s="60"/>
      <c r="E903" s="59"/>
      <c r="F903" s="62"/>
      <c r="G903" s="63"/>
      <c r="H903" s="64"/>
      <c r="I903" s="65"/>
      <c r="J903" s="65"/>
      <c r="K903" s="65"/>
      <c r="L903" s="65"/>
      <c r="M903" s="65"/>
      <c r="N903" s="65"/>
      <c r="O903" s="81">
        <f t="shared" ref="O903:O965" si="42">IF(G903="Reimbursement ","",I903+J903+K903+L903+M903)</f>
        <v>0</v>
      </c>
      <c r="P903" s="81">
        <f t="shared" ref="P903:P965" si="43">IF(G903="Reimbursement ","",H903-O903)</f>
        <v>0</v>
      </c>
      <c r="Q903" s="65"/>
      <c r="R903" s="67"/>
      <c r="S903" s="83">
        <f t="shared" ref="S903:S966" si="44">IF(OR(R903="",Q903=""),0,IF(R903&gt;Q903,R903-Q903,0))</f>
        <v>0</v>
      </c>
    </row>
    <row r="904" spans="1:19" ht="18" customHeight="1" x14ac:dyDescent="0.25">
      <c r="A904" s="68"/>
      <c r="B904" s="69"/>
      <c r="C904" s="74"/>
      <c r="D904" s="69"/>
      <c r="E904" s="68"/>
      <c r="F904" s="71"/>
      <c r="G904" s="72"/>
      <c r="H904" s="73"/>
      <c r="I904" s="74"/>
      <c r="J904" s="74"/>
      <c r="K904" s="74"/>
      <c r="L904" s="74"/>
      <c r="M904" s="74"/>
      <c r="N904" s="74"/>
      <c r="O904" s="82">
        <f t="shared" si="42"/>
        <v>0</v>
      </c>
      <c r="P904" s="82">
        <f t="shared" si="43"/>
        <v>0</v>
      </c>
      <c r="Q904" s="74"/>
      <c r="R904" s="76"/>
      <c r="S904" s="84">
        <f t="shared" si="44"/>
        <v>0</v>
      </c>
    </row>
    <row r="905" spans="1:19" ht="18" customHeight="1" x14ac:dyDescent="0.25">
      <c r="A905" s="59"/>
      <c r="B905" s="60"/>
      <c r="C905" s="65"/>
      <c r="D905" s="60"/>
      <c r="E905" s="59"/>
      <c r="F905" s="62"/>
      <c r="G905" s="63"/>
      <c r="H905" s="64"/>
      <c r="I905" s="65"/>
      <c r="J905" s="65"/>
      <c r="K905" s="65"/>
      <c r="L905" s="65"/>
      <c r="M905" s="65"/>
      <c r="N905" s="65"/>
      <c r="O905" s="81">
        <f t="shared" si="42"/>
        <v>0</v>
      </c>
      <c r="P905" s="81">
        <f t="shared" si="43"/>
        <v>0</v>
      </c>
      <c r="Q905" s="65"/>
      <c r="R905" s="67"/>
      <c r="S905" s="83">
        <f t="shared" si="44"/>
        <v>0</v>
      </c>
    </row>
    <row r="906" spans="1:19" ht="18" customHeight="1" x14ac:dyDescent="0.25">
      <c r="A906" s="68"/>
      <c r="B906" s="69"/>
      <c r="C906" s="74"/>
      <c r="D906" s="69"/>
      <c r="E906" s="68"/>
      <c r="F906" s="71"/>
      <c r="G906" s="72"/>
      <c r="H906" s="73"/>
      <c r="I906" s="74"/>
      <c r="J906" s="74"/>
      <c r="K906" s="74"/>
      <c r="L906" s="74"/>
      <c r="M906" s="74"/>
      <c r="N906" s="74"/>
      <c r="O906" s="82">
        <f t="shared" si="42"/>
        <v>0</v>
      </c>
      <c r="P906" s="82">
        <f t="shared" si="43"/>
        <v>0</v>
      </c>
      <c r="Q906" s="74"/>
      <c r="R906" s="76"/>
      <c r="S906" s="84">
        <f t="shared" si="44"/>
        <v>0</v>
      </c>
    </row>
    <row r="907" spans="1:19" ht="18" customHeight="1" x14ac:dyDescent="0.25">
      <c r="A907" s="59"/>
      <c r="B907" s="60"/>
      <c r="C907" s="65"/>
      <c r="D907" s="60"/>
      <c r="E907" s="59"/>
      <c r="F907" s="62"/>
      <c r="G907" s="63"/>
      <c r="H907" s="64"/>
      <c r="I907" s="65"/>
      <c r="J907" s="65"/>
      <c r="K907" s="65"/>
      <c r="L907" s="65"/>
      <c r="M907" s="65"/>
      <c r="N907" s="65"/>
      <c r="O907" s="81">
        <f t="shared" si="42"/>
        <v>0</v>
      </c>
      <c r="P907" s="81">
        <f t="shared" si="43"/>
        <v>0</v>
      </c>
      <c r="Q907" s="65"/>
      <c r="R907" s="67"/>
      <c r="S907" s="83">
        <f t="shared" si="44"/>
        <v>0</v>
      </c>
    </row>
    <row r="908" spans="1:19" ht="18" customHeight="1" x14ac:dyDescent="0.25">
      <c r="A908" s="68"/>
      <c r="B908" s="69"/>
      <c r="C908" s="74"/>
      <c r="D908" s="69"/>
      <c r="E908" s="68"/>
      <c r="F908" s="71"/>
      <c r="G908" s="72"/>
      <c r="H908" s="73"/>
      <c r="I908" s="74"/>
      <c r="J908" s="74"/>
      <c r="K908" s="74"/>
      <c r="L908" s="74"/>
      <c r="M908" s="74"/>
      <c r="N908" s="74"/>
      <c r="O908" s="82">
        <f t="shared" si="42"/>
        <v>0</v>
      </c>
      <c r="P908" s="82">
        <f t="shared" si="43"/>
        <v>0</v>
      </c>
      <c r="Q908" s="74"/>
      <c r="R908" s="76"/>
      <c r="S908" s="84">
        <f t="shared" si="44"/>
        <v>0</v>
      </c>
    </row>
    <row r="909" spans="1:19" ht="18" customHeight="1" x14ac:dyDescent="0.25">
      <c r="A909" s="59"/>
      <c r="B909" s="60"/>
      <c r="C909" s="65"/>
      <c r="D909" s="60"/>
      <c r="E909" s="59"/>
      <c r="F909" s="62"/>
      <c r="G909" s="63"/>
      <c r="H909" s="64"/>
      <c r="I909" s="65"/>
      <c r="J909" s="65"/>
      <c r="K909" s="65"/>
      <c r="L909" s="65"/>
      <c r="M909" s="65"/>
      <c r="N909" s="65"/>
      <c r="O909" s="81">
        <f t="shared" si="42"/>
        <v>0</v>
      </c>
      <c r="P909" s="81">
        <f t="shared" si="43"/>
        <v>0</v>
      </c>
      <c r="Q909" s="65"/>
      <c r="R909" s="67"/>
      <c r="S909" s="83">
        <f t="shared" si="44"/>
        <v>0</v>
      </c>
    </row>
    <row r="910" spans="1:19" ht="18" customHeight="1" x14ac:dyDescent="0.25">
      <c r="A910" s="68"/>
      <c r="B910" s="69"/>
      <c r="C910" s="74"/>
      <c r="D910" s="69"/>
      <c r="E910" s="68"/>
      <c r="F910" s="71"/>
      <c r="G910" s="72"/>
      <c r="H910" s="73"/>
      <c r="I910" s="74"/>
      <c r="J910" s="74"/>
      <c r="K910" s="74"/>
      <c r="L910" s="74"/>
      <c r="M910" s="74"/>
      <c r="N910" s="74"/>
      <c r="O910" s="82">
        <f t="shared" si="42"/>
        <v>0</v>
      </c>
      <c r="P910" s="82">
        <f t="shared" si="43"/>
        <v>0</v>
      </c>
      <c r="Q910" s="74"/>
      <c r="R910" s="76"/>
      <c r="S910" s="84">
        <f t="shared" si="44"/>
        <v>0</v>
      </c>
    </row>
    <row r="911" spans="1:19" ht="18" customHeight="1" x14ac:dyDescent="0.25">
      <c r="A911" s="59"/>
      <c r="B911" s="60"/>
      <c r="C911" s="65"/>
      <c r="D911" s="60"/>
      <c r="E911" s="59"/>
      <c r="F911" s="62"/>
      <c r="G911" s="63"/>
      <c r="H911" s="64"/>
      <c r="I911" s="65"/>
      <c r="J911" s="65"/>
      <c r="K911" s="65"/>
      <c r="L911" s="65"/>
      <c r="M911" s="65"/>
      <c r="N911" s="65"/>
      <c r="O911" s="81">
        <f t="shared" si="42"/>
        <v>0</v>
      </c>
      <c r="P911" s="81">
        <f t="shared" si="43"/>
        <v>0</v>
      </c>
      <c r="Q911" s="65"/>
      <c r="R911" s="67"/>
      <c r="S911" s="83">
        <f t="shared" si="44"/>
        <v>0</v>
      </c>
    </row>
    <row r="912" spans="1:19" ht="18" customHeight="1" x14ac:dyDescent="0.25">
      <c r="A912" s="68"/>
      <c r="B912" s="69"/>
      <c r="C912" s="74"/>
      <c r="D912" s="69"/>
      <c r="E912" s="68"/>
      <c r="F912" s="71"/>
      <c r="G912" s="72"/>
      <c r="H912" s="73"/>
      <c r="I912" s="74"/>
      <c r="J912" s="74"/>
      <c r="K912" s="74"/>
      <c r="L912" s="74"/>
      <c r="M912" s="74"/>
      <c r="N912" s="74"/>
      <c r="O912" s="82">
        <f t="shared" si="42"/>
        <v>0</v>
      </c>
      <c r="P912" s="82">
        <f t="shared" si="43"/>
        <v>0</v>
      </c>
      <c r="Q912" s="74"/>
      <c r="R912" s="76"/>
      <c r="S912" s="84">
        <f t="shared" si="44"/>
        <v>0</v>
      </c>
    </row>
    <row r="913" spans="1:19" ht="18" customHeight="1" x14ac:dyDescent="0.25">
      <c r="A913" s="59"/>
      <c r="B913" s="60"/>
      <c r="C913" s="65"/>
      <c r="D913" s="60"/>
      <c r="E913" s="59"/>
      <c r="F913" s="62"/>
      <c r="G913" s="63"/>
      <c r="H913" s="64"/>
      <c r="I913" s="65"/>
      <c r="J913" s="65"/>
      <c r="K913" s="65"/>
      <c r="L913" s="65"/>
      <c r="M913" s="65"/>
      <c r="N913" s="65"/>
      <c r="O913" s="81">
        <f t="shared" si="42"/>
        <v>0</v>
      </c>
      <c r="P913" s="81">
        <f t="shared" si="43"/>
        <v>0</v>
      </c>
      <c r="Q913" s="65"/>
      <c r="R913" s="67"/>
      <c r="S913" s="83">
        <f t="shared" si="44"/>
        <v>0</v>
      </c>
    </row>
    <row r="914" spans="1:19" ht="18" customHeight="1" x14ac:dyDescent="0.25">
      <c r="A914" s="68"/>
      <c r="B914" s="69"/>
      <c r="C914" s="74"/>
      <c r="D914" s="69"/>
      <c r="E914" s="68"/>
      <c r="F914" s="71"/>
      <c r="G914" s="72"/>
      <c r="H914" s="73"/>
      <c r="I914" s="74"/>
      <c r="J914" s="74"/>
      <c r="K914" s="74"/>
      <c r="L914" s="74"/>
      <c r="M914" s="74"/>
      <c r="N914" s="74"/>
      <c r="O914" s="82">
        <f t="shared" si="42"/>
        <v>0</v>
      </c>
      <c r="P914" s="82">
        <f t="shared" si="43"/>
        <v>0</v>
      </c>
      <c r="Q914" s="74"/>
      <c r="R914" s="76"/>
      <c r="S914" s="84">
        <f t="shared" si="44"/>
        <v>0</v>
      </c>
    </row>
    <row r="915" spans="1:19" ht="18" customHeight="1" x14ac:dyDescent="0.25">
      <c r="A915" s="59"/>
      <c r="B915" s="60"/>
      <c r="C915" s="65"/>
      <c r="D915" s="60"/>
      <c r="E915" s="59"/>
      <c r="F915" s="62"/>
      <c r="G915" s="63"/>
      <c r="H915" s="64"/>
      <c r="I915" s="65"/>
      <c r="J915" s="65"/>
      <c r="K915" s="65"/>
      <c r="L915" s="65"/>
      <c r="M915" s="65"/>
      <c r="N915" s="65"/>
      <c r="O915" s="81">
        <f t="shared" si="42"/>
        <v>0</v>
      </c>
      <c r="P915" s="81">
        <f t="shared" si="43"/>
        <v>0</v>
      </c>
      <c r="Q915" s="65"/>
      <c r="R915" s="67"/>
      <c r="S915" s="83">
        <f t="shared" si="44"/>
        <v>0</v>
      </c>
    </row>
    <row r="916" spans="1:19" ht="18" customHeight="1" x14ac:dyDescent="0.25">
      <c r="A916" s="68"/>
      <c r="B916" s="69"/>
      <c r="C916" s="74"/>
      <c r="D916" s="69"/>
      <c r="E916" s="68"/>
      <c r="F916" s="71"/>
      <c r="G916" s="72"/>
      <c r="H916" s="73"/>
      <c r="I916" s="74"/>
      <c r="J916" s="74"/>
      <c r="K916" s="74"/>
      <c r="L916" s="74"/>
      <c r="M916" s="74"/>
      <c r="N916" s="74"/>
      <c r="O916" s="82">
        <f t="shared" si="42"/>
        <v>0</v>
      </c>
      <c r="P916" s="82">
        <f t="shared" si="43"/>
        <v>0</v>
      </c>
      <c r="Q916" s="74"/>
      <c r="R916" s="76"/>
      <c r="S916" s="84">
        <f t="shared" si="44"/>
        <v>0</v>
      </c>
    </row>
    <row r="917" spans="1:19" ht="18" customHeight="1" x14ac:dyDescent="0.25">
      <c r="A917" s="59"/>
      <c r="B917" s="60"/>
      <c r="C917" s="65"/>
      <c r="D917" s="60"/>
      <c r="E917" s="59"/>
      <c r="F917" s="62"/>
      <c r="G917" s="63"/>
      <c r="H917" s="64"/>
      <c r="I917" s="65"/>
      <c r="J917" s="65"/>
      <c r="K917" s="65"/>
      <c r="L917" s="65"/>
      <c r="M917" s="65"/>
      <c r="N917" s="65"/>
      <c r="O917" s="81">
        <f t="shared" si="42"/>
        <v>0</v>
      </c>
      <c r="P917" s="81">
        <f t="shared" si="43"/>
        <v>0</v>
      </c>
      <c r="Q917" s="65"/>
      <c r="R917" s="67"/>
      <c r="S917" s="83">
        <f t="shared" si="44"/>
        <v>0</v>
      </c>
    </row>
    <row r="918" spans="1:19" ht="18" customHeight="1" x14ac:dyDescent="0.25">
      <c r="A918" s="68"/>
      <c r="B918" s="69"/>
      <c r="C918" s="74"/>
      <c r="D918" s="69"/>
      <c r="E918" s="68"/>
      <c r="F918" s="71"/>
      <c r="G918" s="72"/>
      <c r="H918" s="73"/>
      <c r="I918" s="74"/>
      <c r="J918" s="74"/>
      <c r="K918" s="74"/>
      <c r="L918" s="74"/>
      <c r="M918" s="74"/>
      <c r="N918" s="74"/>
      <c r="O918" s="82">
        <f t="shared" si="42"/>
        <v>0</v>
      </c>
      <c r="P918" s="82">
        <f t="shared" si="43"/>
        <v>0</v>
      </c>
      <c r="Q918" s="74"/>
      <c r="R918" s="76"/>
      <c r="S918" s="84">
        <f t="shared" si="44"/>
        <v>0</v>
      </c>
    </row>
    <row r="919" spans="1:19" ht="18" customHeight="1" x14ac:dyDescent="0.25">
      <c r="A919" s="59"/>
      <c r="B919" s="60"/>
      <c r="C919" s="65"/>
      <c r="D919" s="60"/>
      <c r="E919" s="59"/>
      <c r="F919" s="62"/>
      <c r="G919" s="63"/>
      <c r="H919" s="64"/>
      <c r="I919" s="65"/>
      <c r="J919" s="65"/>
      <c r="K919" s="65"/>
      <c r="L919" s="65"/>
      <c r="M919" s="65"/>
      <c r="N919" s="65"/>
      <c r="O919" s="81">
        <f t="shared" si="42"/>
        <v>0</v>
      </c>
      <c r="P919" s="81">
        <f t="shared" si="43"/>
        <v>0</v>
      </c>
      <c r="Q919" s="65"/>
      <c r="R919" s="67"/>
      <c r="S919" s="83">
        <f t="shared" si="44"/>
        <v>0</v>
      </c>
    </row>
    <row r="920" spans="1:19" ht="18" customHeight="1" x14ac:dyDescent="0.25">
      <c r="A920" s="68"/>
      <c r="B920" s="69"/>
      <c r="C920" s="74"/>
      <c r="D920" s="69"/>
      <c r="E920" s="68"/>
      <c r="F920" s="71"/>
      <c r="G920" s="72"/>
      <c r="H920" s="73"/>
      <c r="I920" s="74"/>
      <c r="J920" s="74"/>
      <c r="K920" s="74"/>
      <c r="L920" s="74"/>
      <c r="M920" s="74"/>
      <c r="N920" s="74"/>
      <c r="O920" s="82">
        <f t="shared" si="42"/>
        <v>0</v>
      </c>
      <c r="P920" s="82">
        <f t="shared" si="43"/>
        <v>0</v>
      </c>
      <c r="Q920" s="74"/>
      <c r="R920" s="76"/>
      <c r="S920" s="84">
        <f t="shared" si="44"/>
        <v>0</v>
      </c>
    </row>
    <row r="921" spans="1:19" ht="18" customHeight="1" x14ac:dyDescent="0.25">
      <c r="A921" s="59"/>
      <c r="B921" s="60"/>
      <c r="C921" s="65"/>
      <c r="D921" s="60"/>
      <c r="E921" s="59"/>
      <c r="F921" s="62"/>
      <c r="G921" s="63"/>
      <c r="H921" s="64"/>
      <c r="I921" s="65"/>
      <c r="J921" s="65"/>
      <c r="K921" s="65"/>
      <c r="L921" s="65"/>
      <c r="M921" s="65"/>
      <c r="N921" s="65"/>
      <c r="O921" s="81">
        <f t="shared" si="42"/>
        <v>0</v>
      </c>
      <c r="P921" s="81">
        <f t="shared" si="43"/>
        <v>0</v>
      </c>
      <c r="Q921" s="65"/>
      <c r="R921" s="67"/>
      <c r="S921" s="83">
        <f t="shared" si="44"/>
        <v>0</v>
      </c>
    </row>
    <row r="922" spans="1:19" ht="18" customHeight="1" x14ac:dyDescent="0.25">
      <c r="A922" s="68"/>
      <c r="B922" s="69"/>
      <c r="C922" s="74"/>
      <c r="D922" s="69"/>
      <c r="E922" s="68"/>
      <c r="F922" s="71"/>
      <c r="G922" s="72"/>
      <c r="H922" s="73"/>
      <c r="I922" s="74"/>
      <c r="J922" s="74"/>
      <c r="K922" s="74"/>
      <c r="L922" s="74"/>
      <c r="M922" s="74"/>
      <c r="N922" s="74"/>
      <c r="O922" s="82">
        <f t="shared" si="42"/>
        <v>0</v>
      </c>
      <c r="P922" s="82">
        <f t="shared" si="43"/>
        <v>0</v>
      </c>
      <c r="Q922" s="74"/>
      <c r="R922" s="76"/>
      <c r="S922" s="84">
        <f t="shared" si="44"/>
        <v>0</v>
      </c>
    </row>
    <row r="923" spans="1:19" ht="18" customHeight="1" x14ac:dyDescent="0.25">
      <c r="A923" s="59"/>
      <c r="B923" s="60"/>
      <c r="C923" s="65"/>
      <c r="D923" s="60"/>
      <c r="E923" s="59"/>
      <c r="F923" s="62"/>
      <c r="G923" s="63"/>
      <c r="H923" s="64"/>
      <c r="I923" s="65"/>
      <c r="J923" s="65"/>
      <c r="K923" s="65"/>
      <c r="L923" s="65"/>
      <c r="M923" s="65"/>
      <c r="N923" s="65"/>
      <c r="O923" s="81">
        <f t="shared" si="42"/>
        <v>0</v>
      </c>
      <c r="P923" s="81">
        <f t="shared" si="43"/>
        <v>0</v>
      </c>
      <c r="Q923" s="65"/>
      <c r="R923" s="67"/>
      <c r="S923" s="83">
        <f t="shared" si="44"/>
        <v>0</v>
      </c>
    </row>
    <row r="924" spans="1:19" ht="18" customHeight="1" x14ac:dyDescent="0.25">
      <c r="A924" s="68"/>
      <c r="B924" s="69"/>
      <c r="C924" s="74"/>
      <c r="D924" s="69"/>
      <c r="E924" s="68"/>
      <c r="F924" s="71"/>
      <c r="G924" s="72"/>
      <c r="H924" s="73"/>
      <c r="I924" s="74"/>
      <c r="J924" s="74"/>
      <c r="K924" s="74"/>
      <c r="L924" s="74"/>
      <c r="M924" s="74"/>
      <c r="N924" s="74"/>
      <c r="O924" s="82">
        <f t="shared" si="42"/>
        <v>0</v>
      </c>
      <c r="P924" s="82">
        <f t="shared" si="43"/>
        <v>0</v>
      </c>
      <c r="Q924" s="74"/>
      <c r="R924" s="76"/>
      <c r="S924" s="84">
        <f t="shared" si="44"/>
        <v>0</v>
      </c>
    </row>
    <row r="925" spans="1:19" ht="18" customHeight="1" x14ac:dyDescent="0.25">
      <c r="A925" s="59"/>
      <c r="B925" s="60"/>
      <c r="C925" s="65"/>
      <c r="D925" s="60"/>
      <c r="E925" s="59"/>
      <c r="F925" s="62"/>
      <c r="G925" s="63"/>
      <c r="H925" s="64"/>
      <c r="I925" s="65"/>
      <c r="J925" s="65"/>
      <c r="K925" s="65"/>
      <c r="L925" s="65"/>
      <c r="M925" s="65"/>
      <c r="N925" s="65"/>
      <c r="O925" s="81">
        <f t="shared" si="42"/>
        <v>0</v>
      </c>
      <c r="P925" s="81">
        <f t="shared" si="43"/>
        <v>0</v>
      </c>
      <c r="Q925" s="65"/>
      <c r="R925" s="67"/>
      <c r="S925" s="83">
        <f t="shared" si="44"/>
        <v>0</v>
      </c>
    </row>
    <row r="926" spans="1:19" ht="18" customHeight="1" x14ac:dyDescent="0.25">
      <c r="A926" s="68"/>
      <c r="B926" s="69"/>
      <c r="C926" s="74"/>
      <c r="D926" s="69"/>
      <c r="E926" s="68"/>
      <c r="F926" s="71"/>
      <c r="G926" s="72"/>
      <c r="H926" s="73"/>
      <c r="I926" s="74"/>
      <c r="J926" s="74"/>
      <c r="K926" s="74"/>
      <c r="L926" s="74"/>
      <c r="M926" s="74"/>
      <c r="N926" s="74"/>
      <c r="O926" s="82">
        <f t="shared" si="42"/>
        <v>0</v>
      </c>
      <c r="P926" s="82">
        <f t="shared" si="43"/>
        <v>0</v>
      </c>
      <c r="Q926" s="74"/>
      <c r="R926" s="76"/>
      <c r="S926" s="84">
        <f t="shared" si="44"/>
        <v>0</v>
      </c>
    </row>
    <row r="927" spans="1:19" ht="18" customHeight="1" x14ac:dyDescent="0.25">
      <c r="A927" s="59"/>
      <c r="B927" s="60"/>
      <c r="C927" s="65"/>
      <c r="D927" s="60"/>
      <c r="E927" s="59"/>
      <c r="F927" s="62"/>
      <c r="G927" s="63"/>
      <c r="H927" s="64"/>
      <c r="I927" s="65"/>
      <c r="J927" s="65"/>
      <c r="K927" s="65"/>
      <c r="L927" s="65"/>
      <c r="M927" s="65"/>
      <c r="N927" s="65"/>
      <c r="O927" s="81">
        <f t="shared" si="42"/>
        <v>0</v>
      </c>
      <c r="P927" s="81">
        <f t="shared" si="43"/>
        <v>0</v>
      </c>
      <c r="Q927" s="65"/>
      <c r="R927" s="67"/>
      <c r="S927" s="83">
        <f t="shared" si="44"/>
        <v>0</v>
      </c>
    </row>
    <row r="928" spans="1:19" ht="18" customHeight="1" x14ac:dyDescent="0.25">
      <c r="A928" s="68"/>
      <c r="B928" s="69"/>
      <c r="C928" s="74"/>
      <c r="D928" s="69"/>
      <c r="E928" s="68"/>
      <c r="F928" s="71"/>
      <c r="G928" s="72"/>
      <c r="H928" s="73"/>
      <c r="I928" s="74"/>
      <c r="J928" s="74"/>
      <c r="K928" s="74"/>
      <c r="L928" s="74"/>
      <c r="M928" s="74"/>
      <c r="N928" s="74"/>
      <c r="O928" s="82">
        <f t="shared" si="42"/>
        <v>0</v>
      </c>
      <c r="P928" s="82">
        <f t="shared" si="43"/>
        <v>0</v>
      </c>
      <c r="Q928" s="74"/>
      <c r="R928" s="76"/>
      <c r="S928" s="84">
        <f t="shared" si="44"/>
        <v>0</v>
      </c>
    </row>
    <row r="929" spans="1:19" ht="18" customHeight="1" x14ac:dyDescent="0.25">
      <c r="A929" s="59"/>
      <c r="B929" s="60"/>
      <c r="C929" s="65"/>
      <c r="D929" s="60"/>
      <c r="E929" s="59"/>
      <c r="F929" s="62"/>
      <c r="G929" s="63"/>
      <c r="H929" s="64"/>
      <c r="I929" s="65"/>
      <c r="J929" s="65"/>
      <c r="K929" s="65"/>
      <c r="L929" s="65"/>
      <c r="M929" s="65"/>
      <c r="N929" s="65"/>
      <c r="O929" s="81">
        <f t="shared" si="42"/>
        <v>0</v>
      </c>
      <c r="P929" s="81">
        <f t="shared" si="43"/>
        <v>0</v>
      </c>
      <c r="Q929" s="65"/>
      <c r="R929" s="67"/>
      <c r="S929" s="83">
        <f t="shared" si="44"/>
        <v>0</v>
      </c>
    </row>
    <row r="930" spans="1:19" ht="18" customHeight="1" x14ac:dyDescent="0.25">
      <c r="A930" s="68"/>
      <c r="B930" s="69"/>
      <c r="C930" s="74"/>
      <c r="D930" s="69"/>
      <c r="E930" s="68"/>
      <c r="F930" s="71"/>
      <c r="G930" s="72"/>
      <c r="H930" s="73"/>
      <c r="I930" s="74"/>
      <c r="J930" s="74"/>
      <c r="K930" s="74"/>
      <c r="L930" s="74"/>
      <c r="M930" s="74"/>
      <c r="N930" s="74"/>
      <c r="O930" s="82">
        <f t="shared" si="42"/>
        <v>0</v>
      </c>
      <c r="P930" s="82">
        <f t="shared" si="43"/>
        <v>0</v>
      </c>
      <c r="Q930" s="74"/>
      <c r="R930" s="76"/>
      <c r="S930" s="84">
        <f t="shared" si="44"/>
        <v>0</v>
      </c>
    </row>
    <row r="931" spans="1:19" ht="18" customHeight="1" x14ac:dyDescent="0.25">
      <c r="A931" s="59"/>
      <c r="B931" s="60"/>
      <c r="C931" s="65"/>
      <c r="D931" s="60"/>
      <c r="E931" s="59"/>
      <c r="F931" s="62"/>
      <c r="G931" s="63"/>
      <c r="H931" s="64"/>
      <c r="I931" s="65"/>
      <c r="J931" s="65"/>
      <c r="K931" s="65"/>
      <c r="L931" s="65"/>
      <c r="M931" s="65"/>
      <c r="N931" s="65"/>
      <c r="O931" s="81">
        <f t="shared" si="42"/>
        <v>0</v>
      </c>
      <c r="P931" s="81">
        <f t="shared" si="43"/>
        <v>0</v>
      </c>
      <c r="Q931" s="65"/>
      <c r="R931" s="67"/>
      <c r="S931" s="83">
        <f t="shared" si="44"/>
        <v>0</v>
      </c>
    </row>
    <row r="932" spans="1:19" ht="18" customHeight="1" x14ac:dyDescent="0.25">
      <c r="A932" s="68"/>
      <c r="B932" s="69"/>
      <c r="C932" s="74"/>
      <c r="D932" s="69"/>
      <c r="E932" s="68"/>
      <c r="F932" s="71"/>
      <c r="G932" s="72"/>
      <c r="H932" s="73"/>
      <c r="I932" s="74"/>
      <c r="J932" s="74"/>
      <c r="K932" s="74"/>
      <c r="L932" s="74"/>
      <c r="M932" s="74"/>
      <c r="N932" s="74"/>
      <c r="O932" s="82">
        <f t="shared" si="42"/>
        <v>0</v>
      </c>
      <c r="P932" s="82">
        <f t="shared" si="43"/>
        <v>0</v>
      </c>
      <c r="Q932" s="74"/>
      <c r="R932" s="76"/>
      <c r="S932" s="84">
        <f t="shared" si="44"/>
        <v>0</v>
      </c>
    </row>
    <row r="933" spans="1:19" ht="18" customHeight="1" x14ac:dyDescent="0.25">
      <c r="A933" s="59"/>
      <c r="B933" s="60"/>
      <c r="C933" s="65"/>
      <c r="D933" s="60"/>
      <c r="E933" s="59"/>
      <c r="F933" s="62"/>
      <c r="G933" s="63"/>
      <c r="H933" s="64"/>
      <c r="I933" s="65"/>
      <c r="J933" s="65"/>
      <c r="K933" s="65"/>
      <c r="L933" s="65"/>
      <c r="M933" s="65"/>
      <c r="N933" s="65"/>
      <c r="O933" s="81">
        <f t="shared" si="42"/>
        <v>0</v>
      </c>
      <c r="P933" s="81">
        <f t="shared" si="43"/>
        <v>0</v>
      </c>
      <c r="Q933" s="65"/>
      <c r="R933" s="67"/>
      <c r="S933" s="83">
        <f t="shared" si="44"/>
        <v>0</v>
      </c>
    </row>
    <row r="934" spans="1:19" ht="18" customHeight="1" x14ac:dyDescent="0.25">
      <c r="A934" s="68"/>
      <c r="B934" s="69"/>
      <c r="C934" s="74"/>
      <c r="D934" s="69"/>
      <c r="E934" s="68"/>
      <c r="F934" s="71"/>
      <c r="G934" s="72"/>
      <c r="H934" s="73"/>
      <c r="I934" s="74"/>
      <c r="J934" s="74"/>
      <c r="K934" s="74"/>
      <c r="L934" s="74"/>
      <c r="M934" s="74"/>
      <c r="N934" s="74"/>
      <c r="O934" s="82">
        <f t="shared" si="42"/>
        <v>0</v>
      </c>
      <c r="P934" s="82">
        <f t="shared" si="43"/>
        <v>0</v>
      </c>
      <c r="Q934" s="74"/>
      <c r="R934" s="76"/>
      <c r="S934" s="84">
        <f t="shared" si="44"/>
        <v>0</v>
      </c>
    </row>
    <row r="935" spans="1:19" ht="18" customHeight="1" x14ac:dyDescent="0.25">
      <c r="A935" s="59"/>
      <c r="B935" s="60"/>
      <c r="C935" s="65"/>
      <c r="D935" s="60"/>
      <c r="E935" s="59"/>
      <c r="F935" s="62"/>
      <c r="G935" s="63"/>
      <c r="H935" s="64"/>
      <c r="I935" s="65"/>
      <c r="J935" s="65"/>
      <c r="K935" s="65"/>
      <c r="L935" s="65"/>
      <c r="M935" s="65"/>
      <c r="N935" s="65"/>
      <c r="O935" s="81">
        <f t="shared" si="42"/>
        <v>0</v>
      </c>
      <c r="P935" s="81">
        <f t="shared" si="43"/>
        <v>0</v>
      </c>
      <c r="Q935" s="65"/>
      <c r="R935" s="67"/>
      <c r="S935" s="83">
        <f t="shared" si="44"/>
        <v>0</v>
      </c>
    </row>
    <row r="936" spans="1:19" ht="18" customHeight="1" x14ac:dyDescent="0.25">
      <c r="A936" s="68"/>
      <c r="B936" s="69"/>
      <c r="C936" s="74"/>
      <c r="D936" s="69"/>
      <c r="E936" s="68"/>
      <c r="F936" s="71"/>
      <c r="G936" s="72"/>
      <c r="H936" s="73"/>
      <c r="I936" s="74"/>
      <c r="J936" s="74"/>
      <c r="K936" s="74"/>
      <c r="L936" s="74"/>
      <c r="M936" s="74"/>
      <c r="N936" s="74"/>
      <c r="O936" s="82">
        <f t="shared" si="42"/>
        <v>0</v>
      </c>
      <c r="P936" s="82">
        <f t="shared" si="43"/>
        <v>0</v>
      </c>
      <c r="Q936" s="74"/>
      <c r="R936" s="76"/>
      <c r="S936" s="84">
        <f t="shared" si="44"/>
        <v>0</v>
      </c>
    </row>
    <row r="937" spans="1:19" ht="18" customHeight="1" x14ac:dyDescent="0.25">
      <c r="A937" s="59"/>
      <c r="B937" s="60"/>
      <c r="C937" s="65"/>
      <c r="D937" s="60"/>
      <c r="E937" s="59"/>
      <c r="F937" s="62"/>
      <c r="G937" s="63"/>
      <c r="H937" s="64"/>
      <c r="I937" s="65"/>
      <c r="J937" s="65"/>
      <c r="K937" s="65"/>
      <c r="L937" s="65"/>
      <c r="M937" s="65"/>
      <c r="N937" s="65"/>
      <c r="O937" s="81">
        <f t="shared" si="42"/>
        <v>0</v>
      </c>
      <c r="P937" s="81">
        <f t="shared" si="43"/>
        <v>0</v>
      </c>
      <c r="Q937" s="65"/>
      <c r="R937" s="67"/>
      <c r="S937" s="83">
        <f t="shared" si="44"/>
        <v>0</v>
      </c>
    </row>
    <row r="938" spans="1:19" ht="18" customHeight="1" x14ac:dyDescent="0.25">
      <c r="A938" s="68"/>
      <c r="B938" s="69"/>
      <c r="C938" s="74"/>
      <c r="D938" s="69"/>
      <c r="E938" s="68"/>
      <c r="F938" s="71"/>
      <c r="G938" s="72"/>
      <c r="H938" s="73"/>
      <c r="I938" s="74"/>
      <c r="J938" s="74"/>
      <c r="K938" s="74"/>
      <c r="L938" s="74"/>
      <c r="M938" s="74"/>
      <c r="N938" s="74"/>
      <c r="O938" s="82">
        <f t="shared" si="42"/>
        <v>0</v>
      </c>
      <c r="P938" s="82">
        <f t="shared" si="43"/>
        <v>0</v>
      </c>
      <c r="Q938" s="74"/>
      <c r="R938" s="76"/>
      <c r="S938" s="84">
        <f t="shared" si="44"/>
        <v>0</v>
      </c>
    </row>
    <row r="939" spans="1:19" ht="18" customHeight="1" x14ac:dyDescent="0.25">
      <c r="A939" s="59"/>
      <c r="B939" s="60"/>
      <c r="C939" s="65"/>
      <c r="D939" s="60"/>
      <c r="E939" s="59"/>
      <c r="F939" s="62"/>
      <c r="G939" s="63"/>
      <c r="H939" s="64"/>
      <c r="I939" s="65"/>
      <c r="J939" s="65"/>
      <c r="K939" s="65"/>
      <c r="L939" s="65"/>
      <c r="M939" s="65"/>
      <c r="N939" s="65"/>
      <c r="O939" s="81">
        <f t="shared" si="42"/>
        <v>0</v>
      </c>
      <c r="P939" s="81">
        <f t="shared" si="43"/>
        <v>0</v>
      </c>
      <c r="Q939" s="65"/>
      <c r="R939" s="67"/>
      <c r="S939" s="83">
        <f t="shared" si="44"/>
        <v>0</v>
      </c>
    </row>
    <row r="940" spans="1:19" ht="18" customHeight="1" x14ac:dyDescent="0.25">
      <c r="A940" s="68"/>
      <c r="B940" s="69"/>
      <c r="C940" s="74"/>
      <c r="D940" s="69"/>
      <c r="E940" s="68"/>
      <c r="F940" s="71"/>
      <c r="G940" s="72"/>
      <c r="H940" s="73"/>
      <c r="I940" s="74"/>
      <c r="J940" s="74"/>
      <c r="K940" s="74"/>
      <c r="L940" s="74"/>
      <c r="M940" s="74"/>
      <c r="N940" s="74"/>
      <c r="O940" s="82">
        <f t="shared" si="42"/>
        <v>0</v>
      </c>
      <c r="P940" s="82">
        <f t="shared" si="43"/>
        <v>0</v>
      </c>
      <c r="Q940" s="74"/>
      <c r="R940" s="76"/>
      <c r="S940" s="84">
        <f t="shared" si="44"/>
        <v>0</v>
      </c>
    </row>
    <row r="941" spans="1:19" ht="18" customHeight="1" x14ac:dyDescent="0.25">
      <c r="A941" s="59"/>
      <c r="B941" s="60"/>
      <c r="C941" s="65"/>
      <c r="D941" s="60"/>
      <c r="E941" s="59"/>
      <c r="F941" s="62"/>
      <c r="G941" s="63"/>
      <c r="H941" s="64"/>
      <c r="I941" s="65"/>
      <c r="J941" s="65"/>
      <c r="K941" s="65"/>
      <c r="L941" s="65"/>
      <c r="M941" s="65"/>
      <c r="N941" s="65"/>
      <c r="O941" s="81">
        <f t="shared" si="42"/>
        <v>0</v>
      </c>
      <c r="P941" s="81">
        <f t="shared" si="43"/>
        <v>0</v>
      </c>
      <c r="Q941" s="65"/>
      <c r="R941" s="67"/>
      <c r="S941" s="83">
        <f t="shared" si="44"/>
        <v>0</v>
      </c>
    </row>
    <row r="942" spans="1:19" ht="18" customHeight="1" x14ac:dyDescent="0.25">
      <c r="A942" s="68"/>
      <c r="B942" s="69"/>
      <c r="C942" s="74"/>
      <c r="D942" s="69"/>
      <c r="E942" s="68"/>
      <c r="F942" s="71"/>
      <c r="G942" s="72"/>
      <c r="H942" s="73"/>
      <c r="I942" s="74"/>
      <c r="J942" s="74"/>
      <c r="K942" s="74"/>
      <c r="L942" s="74"/>
      <c r="M942" s="74"/>
      <c r="N942" s="74"/>
      <c r="O942" s="82">
        <f t="shared" si="42"/>
        <v>0</v>
      </c>
      <c r="P942" s="82">
        <f t="shared" si="43"/>
        <v>0</v>
      </c>
      <c r="Q942" s="74"/>
      <c r="R942" s="76"/>
      <c r="S942" s="84">
        <f t="shared" si="44"/>
        <v>0</v>
      </c>
    </row>
    <row r="943" spans="1:19" ht="18" customHeight="1" x14ac:dyDescent="0.25">
      <c r="A943" s="59"/>
      <c r="B943" s="60"/>
      <c r="C943" s="65"/>
      <c r="D943" s="60"/>
      <c r="E943" s="59"/>
      <c r="F943" s="62"/>
      <c r="G943" s="63"/>
      <c r="H943" s="64"/>
      <c r="I943" s="65"/>
      <c r="J943" s="65"/>
      <c r="K943" s="65"/>
      <c r="L943" s="65"/>
      <c r="M943" s="65"/>
      <c r="N943" s="65"/>
      <c r="O943" s="81">
        <f t="shared" si="42"/>
        <v>0</v>
      </c>
      <c r="P943" s="81">
        <f t="shared" si="43"/>
        <v>0</v>
      </c>
      <c r="Q943" s="65"/>
      <c r="R943" s="67"/>
      <c r="S943" s="83">
        <f t="shared" si="44"/>
        <v>0</v>
      </c>
    </row>
    <row r="944" spans="1:19" ht="18" customHeight="1" x14ac:dyDescent="0.25">
      <c r="A944" s="68"/>
      <c r="B944" s="69"/>
      <c r="C944" s="74"/>
      <c r="D944" s="69"/>
      <c r="E944" s="68"/>
      <c r="F944" s="71"/>
      <c r="G944" s="72"/>
      <c r="H944" s="73"/>
      <c r="I944" s="74"/>
      <c r="J944" s="74"/>
      <c r="K944" s="74"/>
      <c r="L944" s="74"/>
      <c r="M944" s="74"/>
      <c r="N944" s="74"/>
      <c r="O944" s="82">
        <f t="shared" si="42"/>
        <v>0</v>
      </c>
      <c r="P944" s="82">
        <f t="shared" si="43"/>
        <v>0</v>
      </c>
      <c r="Q944" s="74"/>
      <c r="R944" s="76"/>
      <c r="S944" s="84">
        <f t="shared" si="44"/>
        <v>0</v>
      </c>
    </row>
    <row r="945" spans="1:19" ht="18" customHeight="1" x14ac:dyDescent="0.25">
      <c r="A945" s="59"/>
      <c r="B945" s="60"/>
      <c r="C945" s="65"/>
      <c r="D945" s="60"/>
      <c r="E945" s="59"/>
      <c r="F945" s="62"/>
      <c r="G945" s="63"/>
      <c r="H945" s="64"/>
      <c r="I945" s="65"/>
      <c r="J945" s="65"/>
      <c r="K945" s="65"/>
      <c r="L945" s="65"/>
      <c r="M945" s="65"/>
      <c r="N945" s="65"/>
      <c r="O945" s="81">
        <f t="shared" si="42"/>
        <v>0</v>
      </c>
      <c r="P945" s="81">
        <f t="shared" si="43"/>
        <v>0</v>
      </c>
      <c r="Q945" s="65"/>
      <c r="R945" s="67"/>
      <c r="S945" s="83">
        <f t="shared" si="44"/>
        <v>0</v>
      </c>
    </row>
    <row r="946" spans="1:19" ht="18" customHeight="1" x14ac:dyDescent="0.25">
      <c r="A946" s="68"/>
      <c r="B946" s="69"/>
      <c r="C946" s="74"/>
      <c r="D946" s="69"/>
      <c r="E946" s="68"/>
      <c r="F946" s="71"/>
      <c r="G946" s="72"/>
      <c r="H946" s="73"/>
      <c r="I946" s="74"/>
      <c r="J946" s="74"/>
      <c r="K946" s="74"/>
      <c r="L946" s="74"/>
      <c r="M946" s="74"/>
      <c r="N946" s="74"/>
      <c r="O946" s="82">
        <f t="shared" si="42"/>
        <v>0</v>
      </c>
      <c r="P946" s="82">
        <f t="shared" si="43"/>
        <v>0</v>
      </c>
      <c r="Q946" s="74"/>
      <c r="R946" s="76"/>
      <c r="S946" s="84">
        <f t="shared" si="44"/>
        <v>0</v>
      </c>
    </row>
    <row r="947" spans="1:19" ht="18" customHeight="1" x14ac:dyDescent="0.25">
      <c r="A947" s="59"/>
      <c r="B947" s="60"/>
      <c r="C947" s="65"/>
      <c r="D947" s="60"/>
      <c r="E947" s="59"/>
      <c r="F947" s="62"/>
      <c r="G947" s="63"/>
      <c r="H947" s="64"/>
      <c r="I947" s="65"/>
      <c r="J947" s="65"/>
      <c r="K947" s="65"/>
      <c r="L947" s="65"/>
      <c r="M947" s="65"/>
      <c r="N947" s="65"/>
      <c r="O947" s="81">
        <f t="shared" si="42"/>
        <v>0</v>
      </c>
      <c r="P947" s="81">
        <f t="shared" si="43"/>
        <v>0</v>
      </c>
      <c r="Q947" s="65"/>
      <c r="R947" s="67"/>
      <c r="S947" s="83">
        <f t="shared" si="44"/>
        <v>0</v>
      </c>
    </row>
    <row r="948" spans="1:19" ht="18" customHeight="1" x14ac:dyDescent="0.25">
      <c r="A948" s="68"/>
      <c r="B948" s="69"/>
      <c r="C948" s="74"/>
      <c r="D948" s="69"/>
      <c r="E948" s="68"/>
      <c r="F948" s="71"/>
      <c r="G948" s="72"/>
      <c r="H948" s="73"/>
      <c r="I948" s="74"/>
      <c r="J948" s="74"/>
      <c r="K948" s="74"/>
      <c r="L948" s="74"/>
      <c r="M948" s="74"/>
      <c r="N948" s="74"/>
      <c r="O948" s="82">
        <f t="shared" si="42"/>
        <v>0</v>
      </c>
      <c r="P948" s="82">
        <f t="shared" si="43"/>
        <v>0</v>
      </c>
      <c r="Q948" s="74"/>
      <c r="R948" s="76"/>
      <c r="S948" s="84">
        <f t="shared" si="44"/>
        <v>0</v>
      </c>
    </row>
    <row r="949" spans="1:19" ht="18" customHeight="1" x14ac:dyDescent="0.25">
      <c r="A949" s="59"/>
      <c r="B949" s="60"/>
      <c r="C949" s="65"/>
      <c r="D949" s="60"/>
      <c r="E949" s="59"/>
      <c r="F949" s="62"/>
      <c r="G949" s="63"/>
      <c r="H949" s="64"/>
      <c r="I949" s="65"/>
      <c r="J949" s="65"/>
      <c r="K949" s="65"/>
      <c r="L949" s="65"/>
      <c r="M949" s="65"/>
      <c r="N949" s="65"/>
      <c r="O949" s="81">
        <f t="shared" si="42"/>
        <v>0</v>
      </c>
      <c r="P949" s="81">
        <f t="shared" si="43"/>
        <v>0</v>
      </c>
      <c r="Q949" s="65"/>
      <c r="R949" s="67"/>
      <c r="S949" s="83">
        <f t="shared" si="44"/>
        <v>0</v>
      </c>
    </row>
    <row r="950" spans="1:19" ht="18" customHeight="1" x14ac:dyDescent="0.25">
      <c r="A950" s="68"/>
      <c r="B950" s="69"/>
      <c r="C950" s="74"/>
      <c r="D950" s="69"/>
      <c r="E950" s="68"/>
      <c r="F950" s="71"/>
      <c r="G950" s="72"/>
      <c r="H950" s="73"/>
      <c r="I950" s="74"/>
      <c r="J950" s="74"/>
      <c r="K950" s="74"/>
      <c r="L950" s="74"/>
      <c r="M950" s="74"/>
      <c r="N950" s="74"/>
      <c r="O950" s="82">
        <f t="shared" si="42"/>
        <v>0</v>
      </c>
      <c r="P950" s="82">
        <f t="shared" si="43"/>
        <v>0</v>
      </c>
      <c r="Q950" s="74"/>
      <c r="R950" s="76"/>
      <c r="S950" s="84">
        <f t="shared" si="44"/>
        <v>0</v>
      </c>
    </row>
    <row r="951" spans="1:19" ht="18" customHeight="1" x14ac:dyDescent="0.25">
      <c r="A951" s="59"/>
      <c r="B951" s="60"/>
      <c r="C951" s="65"/>
      <c r="D951" s="60"/>
      <c r="E951" s="59"/>
      <c r="F951" s="62"/>
      <c r="G951" s="63"/>
      <c r="H951" s="64"/>
      <c r="I951" s="65"/>
      <c r="J951" s="65"/>
      <c r="K951" s="65"/>
      <c r="L951" s="65"/>
      <c r="M951" s="65"/>
      <c r="N951" s="65"/>
      <c r="O951" s="81">
        <f t="shared" si="42"/>
        <v>0</v>
      </c>
      <c r="P951" s="81">
        <f t="shared" si="43"/>
        <v>0</v>
      </c>
      <c r="Q951" s="65"/>
      <c r="R951" s="67"/>
      <c r="S951" s="83">
        <f t="shared" si="44"/>
        <v>0</v>
      </c>
    </row>
    <row r="952" spans="1:19" ht="18" customHeight="1" x14ac:dyDescent="0.25">
      <c r="A952" s="68"/>
      <c r="B952" s="69"/>
      <c r="C952" s="74"/>
      <c r="D952" s="69"/>
      <c r="E952" s="68"/>
      <c r="F952" s="71"/>
      <c r="G952" s="72"/>
      <c r="H952" s="73"/>
      <c r="I952" s="74"/>
      <c r="J952" s="74"/>
      <c r="K952" s="74"/>
      <c r="L952" s="74"/>
      <c r="M952" s="74"/>
      <c r="N952" s="74"/>
      <c r="O952" s="82">
        <f t="shared" si="42"/>
        <v>0</v>
      </c>
      <c r="P952" s="82">
        <f t="shared" si="43"/>
        <v>0</v>
      </c>
      <c r="Q952" s="74"/>
      <c r="R952" s="76"/>
      <c r="S952" s="84">
        <f t="shared" si="44"/>
        <v>0</v>
      </c>
    </row>
    <row r="953" spans="1:19" ht="18" customHeight="1" x14ac:dyDescent="0.25">
      <c r="A953" s="59"/>
      <c r="B953" s="60"/>
      <c r="C953" s="65"/>
      <c r="D953" s="60"/>
      <c r="E953" s="59"/>
      <c r="F953" s="62"/>
      <c r="G953" s="63"/>
      <c r="H953" s="64"/>
      <c r="I953" s="65"/>
      <c r="J953" s="65"/>
      <c r="K953" s="65"/>
      <c r="L953" s="65"/>
      <c r="M953" s="65"/>
      <c r="N953" s="65"/>
      <c r="O953" s="81">
        <f t="shared" si="42"/>
        <v>0</v>
      </c>
      <c r="P953" s="81">
        <f t="shared" si="43"/>
        <v>0</v>
      </c>
      <c r="Q953" s="65"/>
      <c r="R953" s="67"/>
      <c r="S953" s="83">
        <f t="shared" si="44"/>
        <v>0</v>
      </c>
    </row>
    <row r="954" spans="1:19" ht="18" customHeight="1" x14ac:dyDescent="0.25">
      <c r="A954" s="68"/>
      <c r="B954" s="69"/>
      <c r="C954" s="74"/>
      <c r="D954" s="69"/>
      <c r="E954" s="68"/>
      <c r="F954" s="71"/>
      <c r="G954" s="72"/>
      <c r="H954" s="73"/>
      <c r="I954" s="74"/>
      <c r="J954" s="74"/>
      <c r="K954" s="74"/>
      <c r="L954" s="74"/>
      <c r="M954" s="74"/>
      <c r="N954" s="74"/>
      <c r="O954" s="82">
        <f t="shared" si="42"/>
        <v>0</v>
      </c>
      <c r="P954" s="82">
        <f t="shared" si="43"/>
        <v>0</v>
      </c>
      <c r="Q954" s="74"/>
      <c r="R954" s="76"/>
      <c r="S954" s="84">
        <f t="shared" si="44"/>
        <v>0</v>
      </c>
    </row>
    <row r="955" spans="1:19" ht="18" customHeight="1" x14ac:dyDescent="0.25">
      <c r="A955" s="59"/>
      <c r="B955" s="60"/>
      <c r="C955" s="65"/>
      <c r="D955" s="60"/>
      <c r="E955" s="59"/>
      <c r="F955" s="62"/>
      <c r="G955" s="63"/>
      <c r="H955" s="64"/>
      <c r="I955" s="65"/>
      <c r="J955" s="65"/>
      <c r="K955" s="65"/>
      <c r="L955" s="65"/>
      <c r="M955" s="65"/>
      <c r="N955" s="65"/>
      <c r="O955" s="81">
        <f t="shared" si="42"/>
        <v>0</v>
      </c>
      <c r="P955" s="81">
        <f t="shared" si="43"/>
        <v>0</v>
      </c>
      <c r="Q955" s="65"/>
      <c r="R955" s="67"/>
      <c r="S955" s="83">
        <f t="shared" si="44"/>
        <v>0</v>
      </c>
    </row>
    <row r="956" spans="1:19" ht="18" customHeight="1" x14ac:dyDescent="0.25">
      <c r="A956" s="68"/>
      <c r="B956" s="69"/>
      <c r="C956" s="74"/>
      <c r="D956" s="69"/>
      <c r="E956" s="68"/>
      <c r="F956" s="71"/>
      <c r="G956" s="72"/>
      <c r="H956" s="73"/>
      <c r="I956" s="74"/>
      <c r="J956" s="74"/>
      <c r="K956" s="74"/>
      <c r="L956" s="74"/>
      <c r="M956" s="74"/>
      <c r="N956" s="74"/>
      <c r="O956" s="82">
        <f t="shared" si="42"/>
        <v>0</v>
      </c>
      <c r="P956" s="82">
        <f t="shared" si="43"/>
        <v>0</v>
      </c>
      <c r="Q956" s="74"/>
      <c r="R956" s="76"/>
      <c r="S956" s="84">
        <f t="shared" si="44"/>
        <v>0</v>
      </c>
    </row>
    <row r="957" spans="1:19" ht="18" customHeight="1" x14ac:dyDescent="0.25">
      <c r="A957" s="59"/>
      <c r="B957" s="60"/>
      <c r="C957" s="65"/>
      <c r="D957" s="60"/>
      <c r="E957" s="59"/>
      <c r="F957" s="62"/>
      <c r="G957" s="63"/>
      <c r="H957" s="64"/>
      <c r="I957" s="65"/>
      <c r="J957" s="65"/>
      <c r="K957" s="65"/>
      <c r="L957" s="65"/>
      <c r="M957" s="65"/>
      <c r="N957" s="65"/>
      <c r="O957" s="81">
        <f t="shared" si="42"/>
        <v>0</v>
      </c>
      <c r="P957" s="81">
        <f t="shared" si="43"/>
        <v>0</v>
      </c>
      <c r="Q957" s="65"/>
      <c r="R957" s="67"/>
      <c r="S957" s="83">
        <f t="shared" si="44"/>
        <v>0</v>
      </c>
    </row>
    <row r="958" spans="1:19" ht="18" customHeight="1" x14ac:dyDescent="0.25">
      <c r="A958" s="68"/>
      <c r="B958" s="69"/>
      <c r="C958" s="74"/>
      <c r="D958" s="69"/>
      <c r="E958" s="68"/>
      <c r="F958" s="71"/>
      <c r="G958" s="72"/>
      <c r="H958" s="73"/>
      <c r="I958" s="74"/>
      <c r="J958" s="74"/>
      <c r="K958" s="74"/>
      <c r="L958" s="74"/>
      <c r="M958" s="74"/>
      <c r="N958" s="74"/>
      <c r="O958" s="82">
        <f t="shared" si="42"/>
        <v>0</v>
      </c>
      <c r="P958" s="82">
        <f t="shared" si="43"/>
        <v>0</v>
      </c>
      <c r="Q958" s="74"/>
      <c r="R958" s="76"/>
      <c r="S958" s="84">
        <f t="shared" si="44"/>
        <v>0</v>
      </c>
    </row>
    <row r="959" spans="1:19" ht="18" customHeight="1" x14ac:dyDescent="0.25">
      <c r="A959" s="59"/>
      <c r="B959" s="60"/>
      <c r="C959" s="65"/>
      <c r="D959" s="60"/>
      <c r="E959" s="59"/>
      <c r="F959" s="62"/>
      <c r="G959" s="63"/>
      <c r="H959" s="64"/>
      <c r="I959" s="65"/>
      <c r="J959" s="65"/>
      <c r="K959" s="65"/>
      <c r="L959" s="65"/>
      <c r="M959" s="65"/>
      <c r="N959" s="65"/>
      <c r="O959" s="81">
        <f t="shared" si="42"/>
        <v>0</v>
      </c>
      <c r="P959" s="81">
        <f t="shared" si="43"/>
        <v>0</v>
      </c>
      <c r="Q959" s="65"/>
      <c r="R959" s="67"/>
      <c r="S959" s="83">
        <f t="shared" si="44"/>
        <v>0</v>
      </c>
    </row>
    <row r="960" spans="1:19" ht="18" customHeight="1" x14ac:dyDescent="0.25">
      <c r="A960" s="68"/>
      <c r="B960" s="69"/>
      <c r="C960" s="74"/>
      <c r="D960" s="69"/>
      <c r="E960" s="68"/>
      <c r="F960" s="71"/>
      <c r="G960" s="72"/>
      <c r="H960" s="73"/>
      <c r="I960" s="74"/>
      <c r="J960" s="74"/>
      <c r="K960" s="74"/>
      <c r="L960" s="74"/>
      <c r="M960" s="74"/>
      <c r="N960" s="74"/>
      <c r="O960" s="82">
        <f t="shared" si="42"/>
        <v>0</v>
      </c>
      <c r="P960" s="82">
        <f t="shared" si="43"/>
        <v>0</v>
      </c>
      <c r="Q960" s="74"/>
      <c r="R960" s="76"/>
      <c r="S960" s="84">
        <f t="shared" si="44"/>
        <v>0</v>
      </c>
    </row>
    <row r="961" spans="1:19" ht="18" customHeight="1" x14ac:dyDescent="0.25">
      <c r="A961" s="59"/>
      <c r="B961" s="60"/>
      <c r="C961" s="65"/>
      <c r="D961" s="60"/>
      <c r="E961" s="59"/>
      <c r="F961" s="62"/>
      <c r="G961" s="63"/>
      <c r="H961" s="64"/>
      <c r="I961" s="65"/>
      <c r="J961" s="65"/>
      <c r="K961" s="65"/>
      <c r="L961" s="65"/>
      <c r="M961" s="65"/>
      <c r="N961" s="65"/>
      <c r="O961" s="81">
        <f t="shared" si="42"/>
        <v>0</v>
      </c>
      <c r="P961" s="81">
        <f t="shared" si="43"/>
        <v>0</v>
      </c>
      <c r="Q961" s="65"/>
      <c r="R961" s="67"/>
      <c r="S961" s="83">
        <f t="shared" si="44"/>
        <v>0</v>
      </c>
    </row>
    <row r="962" spans="1:19" ht="18" customHeight="1" x14ac:dyDescent="0.25">
      <c r="A962" s="68"/>
      <c r="B962" s="69"/>
      <c r="C962" s="74"/>
      <c r="D962" s="69"/>
      <c r="E962" s="68"/>
      <c r="F962" s="71"/>
      <c r="G962" s="72"/>
      <c r="H962" s="73"/>
      <c r="I962" s="74"/>
      <c r="J962" s="74"/>
      <c r="K962" s="74"/>
      <c r="L962" s="74"/>
      <c r="M962" s="74"/>
      <c r="N962" s="74"/>
      <c r="O962" s="82">
        <f t="shared" si="42"/>
        <v>0</v>
      </c>
      <c r="P962" s="82">
        <f t="shared" si="43"/>
        <v>0</v>
      </c>
      <c r="Q962" s="74"/>
      <c r="R962" s="76"/>
      <c r="S962" s="84">
        <f t="shared" si="44"/>
        <v>0</v>
      </c>
    </row>
    <row r="963" spans="1:19" ht="18" customHeight="1" x14ac:dyDescent="0.25">
      <c r="A963" s="59"/>
      <c r="B963" s="60"/>
      <c r="C963" s="65"/>
      <c r="D963" s="60"/>
      <c r="E963" s="59"/>
      <c r="F963" s="62"/>
      <c r="G963" s="63"/>
      <c r="H963" s="64"/>
      <c r="I963" s="65"/>
      <c r="J963" s="65"/>
      <c r="K963" s="65"/>
      <c r="L963" s="65"/>
      <c r="M963" s="65"/>
      <c r="N963" s="65"/>
      <c r="O963" s="81">
        <f t="shared" si="42"/>
        <v>0</v>
      </c>
      <c r="P963" s="81">
        <f t="shared" si="43"/>
        <v>0</v>
      </c>
      <c r="Q963" s="65"/>
      <c r="R963" s="67"/>
      <c r="S963" s="83">
        <f t="shared" si="44"/>
        <v>0</v>
      </c>
    </row>
    <row r="964" spans="1:19" ht="18" customHeight="1" x14ac:dyDescent="0.25">
      <c r="A964" s="68"/>
      <c r="B964" s="69"/>
      <c r="C964" s="74"/>
      <c r="D964" s="69"/>
      <c r="E964" s="68"/>
      <c r="F964" s="71"/>
      <c r="G964" s="72"/>
      <c r="H964" s="73"/>
      <c r="I964" s="74"/>
      <c r="J964" s="74"/>
      <c r="K964" s="74"/>
      <c r="L964" s="74"/>
      <c r="M964" s="74"/>
      <c r="N964" s="74"/>
      <c r="O964" s="82">
        <f t="shared" si="42"/>
        <v>0</v>
      </c>
      <c r="P964" s="82">
        <f t="shared" si="43"/>
        <v>0</v>
      </c>
      <c r="Q964" s="74"/>
      <c r="R964" s="76"/>
      <c r="S964" s="84">
        <f t="shared" si="44"/>
        <v>0</v>
      </c>
    </row>
    <row r="965" spans="1:19" ht="18" customHeight="1" x14ac:dyDescent="0.25">
      <c r="A965" s="59"/>
      <c r="B965" s="60"/>
      <c r="C965" s="65"/>
      <c r="D965" s="60"/>
      <c r="E965" s="59"/>
      <c r="F965" s="62"/>
      <c r="G965" s="63"/>
      <c r="H965" s="64"/>
      <c r="I965" s="65"/>
      <c r="J965" s="65"/>
      <c r="K965" s="65"/>
      <c r="L965" s="65"/>
      <c r="M965" s="65"/>
      <c r="N965" s="65"/>
      <c r="O965" s="81">
        <f t="shared" si="42"/>
        <v>0</v>
      </c>
      <c r="P965" s="81">
        <f t="shared" si="43"/>
        <v>0</v>
      </c>
      <c r="Q965" s="65"/>
      <c r="R965" s="67"/>
      <c r="S965" s="83">
        <f t="shared" si="44"/>
        <v>0</v>
      </c>
    </row>
    <row r="966" spans="1:19" ht="18" customHeight="1" x14ac:dyDescent="0.25">
      <c r="A966" s="68"/>
      <c r="B966" s="69"/>
      <c r="C966" s="74"/>
      <c r="D966" s="69"/>
      <c r="E966" s="68"/>
      <c r="F966" s="71"/>
      <c r="G966" s="72"/>
      <c r="H966" s="73"/>
      <c r="I966" s="74"/>
      <c r="J966" s="74"/>
      <c r="K966" s="74"/>
      <c r="L966" s="74"/>
      <c r="M966" s="74"/>
      <c r="N966" s="74"/>
      <c r="O966" s="82" t="e">
        <f>#N/A</f>
        <v>#N/A</v>
      </c>
      <c r="P966" s="82" t="e">
        <f>#N/A</f>
        <v>#N/A</v>
      </c>
      <c r="Q966" s="74"/>
      <c r="R966" s="76"/>
      <c r="S966" s="84">
        <f t="shared" si="44"/>
        <v>0</v>
      </c>
    </row>
    <row r="967" spans="1:19" ht="18" customHeight="1" x14ac:dyDescent="0.25">
      <c r="A967" s="59"/>
      <c r="B967" s="60"/>
      <c r="C967" s="65"/>
      <c r="D967" s="60"/>
      <c r="E967" s="59"/>
      <c r="F967" s="62"/>
      <c r="G967" s="63"/>
      <c r="H967" s="64"/>
      <c r="I967" s="65"/>
      <c r="J967" s="65"/>
      <c r="K967" s="65"/>
      <c r="L967" s="65"/>
      <c r="M967" s="65"/>
      <c r="N967" s="65"/>
      <c r="O967" s="81">
        <f t="shared" ref="O967:O1029" si="45">IF(G967="Reimbursement ","",I967+J967+K967+L967+M967)</f>
        <v>0</v>
      </c>
      <c r="P967" s="81">
        <f t="shared" ref="P967:P1029" si="46">IF(G967="Reimbursement ","",H967-O967)</f>
        <v>0</v>
      </c>
      <c r="Q967" s="65"/>
      <c r="R967" s="67"/>
      <c r="S967" s="83">
        <f t="shared" ref="S967:S1030" si="47">IF(OR(R967="",Q967=""),0,IF(R967&gt;Q967,R967-Q967,0))</f>
        <v>0</v>
      </c>
    </row>
    <row r="968" spans="1:19" ht="18" customHeight="1" x14ac:dyDescent="0.25">
      <c r="A968" s="68"/>
      <c r="B968" s="69"/>
      <c r="C968" s="74"/>
      <c r="D968" s="69"/>
      <c r="E968" s="68"/>
      <c r="F968" s="71"/>
      <c r="G968" s="72"/>
      <c r="H968" s="73"/>
      <c r="I968" s="74"/>
      <c r="J968" s="74"/>
      <c r="K968" s="74"/>
      <c r="L968" s="74"/>
      <c r="M968" s="74"/>
      <c r="N968" s="74"/>
      <c r="O968" s="82">
        <f t="shared" si="45"/>
        <v>0</v>
      </c>
      <c r="P968" s="82">
        <f t="shared" si="46"/>
        <v>0</v>
      </c>
      <c r="Q968" s="74"/>
      <c r="R968" s="76"/>
      <c r="S968" s="84">
        <f t="shared" si="47"/>
        <v>0</v>
      </c>
    </row>
    <row r="969" spans="1:19" ht="18" customHeight="1" x14ac:dyDescent="0.25">
      <c r="A969" s="59"/>
      <c r="B969" s="60"/>
      <c r="C969" s="65"/>
      <c r="D969" s="60"/>
      <c r="E969" s="59"/>
      <c r="F969" s="62"/>
      <c r="G969" s="63"/>
      <c r="H969" s="64"/>
      <c r="I969" s="65"/>
      <c r="J969" s="65"/>
      <c r="K969" s="65"/>
      <c r="L969" s="65"/>
      <c r="M969" s="65"/>
      <c r="N969" s="65"/>
      <c r="O969" s="81">
        <f t="shared" si="45"/>
        <v>0</v>
      </c>
      <c r="P969" s="81">
        <f t="shared" si="46"/>
        <v>0</v>
      </c>
      <c r="Q969" s="65"/>
      <c r="R969" s="67"/>
      <c r="S969" s="83">
        <f t="shared" si="47"/>
        <v>0</v>
      </c>
    </row>
    <row r="970" spans="1:19" ht="18" customHeight="1" x14ac:dyDescent="0.25">
      <c r="A970" s="68"/>
      <c r="B970" s="69"/>
      <c r="C970" s="74"/>
      <c r="D970" s="69"/>
      <c r="E970" s="68"/>
      <c r="F970" s="71"/>
      <c r="G970" s="72"/>
      <c r="H970" s="73"/>
      <c r="I970" s="74"/>
      <c r="J970" s="74"/>
      <c r="K970" s="74"/>
      <c r="L970" s="74"/>
      <c r="M970" s="74"/>
      <c r="N970" s="74"/>
      <c r="O970" s="82">
        <f t="shared" si="45"/>
        <v>0</v>
      </c>
      <c r="P970" s="82">
        <f t="shared" si="46"/>
        <v>0</v>
      </c>
      <c r="Q970" s="74"/>
      <c r="R970" s="76"/>
      <c r="S970" s="84">
        <f t="shared" si="47"/>
        <v>0</v>
      </c>
    </row>
    <row r="971" spans="1:19" ht="18" customHeight="1" x14ac:dyDescent="0.25">
      <c r="A971" s="59"/>
      <c r="B971" s="60"/>
      <c r="C971" s="65"/>
      <c r="D971" s="60"/>
      <c r="E971" s="59"/>
      <c r="F971" s="62"/>
      <c r="G971" s="63"/>
      <c r="H971" s="64"/>
      <c r="I971" s="65"/>
      <c r="J971" s="65"/>
      <c r="K971" s="65"/>
      <c r="L971" s="65"/>
      <c r="M971" s="65"/>
      <c r="N971" s="65"/>
      <c r="O971" s="81">
        <f t="shared" si="45"/>
        <v>0</v>
      </c>
      <c r="P971" s="81">
        <f t="shared" si="46"/>
        <v>0</v>
      </c>
      <c r="Q971" s="65"/>
      <c r="R971" s="67"/>
      <c r="S971" s="83">
        <f t="shared" si="47"/>
        <v>0</v>
      </c>
    </row>
    <row r="972" spans="1:19" ht="18" customHeight="1" x14ac:dyDescent="0.25">
      <c r="A972" s="68"/>
      <c r="B972" s="69"/>
      <c r="C972" s="74"/>
      <c r="D972" s="69"/>
      <c r="E972" s="68"/>
      <c r="F972" s="71"/>
      <c r="G972" s="72"/>
      <c r="H972" s="73"/>
      <c r="I972" s="74"/>
      <c r="J972" s="74"/>
      <c r="K972" s="74"/>
      <c r="L972" s="74"/>
      <c r="M972" s="74"/>
      <c r="N972" s="74"/>
      <c r="O972" s="82">
        <f t="shared" si="45"/>
        <v>0</v>
      </c>
      <c r="P972" s="82">
        <f t="shared" si="46"/>
        <v>0</v>
      </c>
      <c r="Q972" s="74"/>
      <c r="R972" s="76"/>
      <c r="S972" s="84">
        <f t="shared" si="47"/>
        <v>0</v>
      </c>
    </row>
    <row r="973" spans="1:19" ht="18" customHeight="1" x14ac:dyDescent="0.25">
      <c r="A973" s="59"/>
      <c r="B973" s="60"/>
      <c r="C973" s="65"/>
      <c r="D973" s="60"/>
      <c r="E973" s="59"/>
      <c r="F973" s="62"/>
      <c r="G973" s="63"/>
      <c r="H973" s="64"/>
      <c r="I973" s="65"/>
      <c r="J973" s="65"/>
      <c r="K973" s="65"/>
      <c r="L973" s="65"/>
      <c r="M973" s="65"/>
      <c r="N973" s="65"/>
      <c r="O973" s="81">
        <f t="shared" si="45"/>
        <v>0</v>
      </c>
      <c r="P973" s="81">
        <f t="shared" si="46"/>
        <v>0</v>
      </c>
      <c r="Q973" s="65"/>
      <c r="R973" s="67"/>
      <c r="S973" s="83">
        <f t="shared" si="47"/>
        <v>0</v>
      </c>
    </row>
    <row r="974" spans="1:19" ht="18" customHeight="1" x14ac:dyDescent="0.25">
      <c r="A974" s="68"/>
      <c r="B974" s="69"/>
      <c r="C974" s="74"/>
      <c r="D974" s="69"/>
      <c r="E974" s="68"/>
      <c r="F974" s="71"/>
      <c r="G974" s="72"/>
      <c r="H974" s="73"/>
      <c r="I974" s="74"/>
      <c r="J974" s="74"/>
      <c r="K974" s="74"/>
      <c r="L974" s="74"/>
      <c r="M974" s="74"/>
      <c r="N974" s="74"/>
      <c r="O974" s="82">
        <f t="shared" si="45"/>
        <v>0</v>
      </c>
      <c r="P974" s="82">
        <f t="shared" si="46"/>
        <v>0</v>
      </c>
      <c r="Q974" s="74"/>
      <c r="R974" s="76"/>
      <c r="S974" s="84">
        <f t="shared" si="47"/>
        <v>0</v>
      </c>
    </row>
    <row r="975" spans="1:19" ht="18" customHeight="1" x14ac:dyDescent="0.25">
      <c r="A975" s="59"/>
      <c r="B975" s="60"/>
      <c r="C975" s="65"/>
      <c r="D975" s="60"/>
      <c r="E975" s="59"/>
      <c r="F975" s="62"/>
      <c r="G975" s="63"/>
      <c r="H975" s="64"/>
      <c r="I975" s="65"/>
      <c r="J975" s="65"/>
      <c r="K975" s="65"/>
      <c r="L975" s="65"/>
      <c r="M975" s="65"/>
      <c r="N975" s="65"/>
      <c r="O975" s="81">
        <f t="shared" si="45"/>
        <v>0</v>
      </c>
      <c r="P975" s="81">
        <f t="shared" si="46"/>
        <v>0</v>
      </c>
      <c r="Q975" s="65"/>
      <c r="R975" s="67"/>
      <c r="S975" s="83">
        <f t="shared" si="47"/>
        <v>0</v>
      </c>
    </row>
    <row r="976" spans="1:19" ht="18" customHeight="1" x14ac:dyDescent="0.25">
      <c r="A976" s="68"/>
      <c r="B976" s="69"/>
      <c r="C976" s="74"/>
      <c r="D976" s="69"/>
      <c r="E976" s="68"/>
      <c r="F976" s="71"/>
      <c r="G976" s="72"/>
      <c r="H976" s="73"/>
      <c r="I976" s="74"/>
      <c r="J976" s="74"/>
      <c r="K976" s="74"/>
      <c r="L976" s="74"/>
      <c r="M976" s="74"/>
      <c r="N976" s="74"/>
      <c r="O976" s="82">
        <f t="shared" si="45"/>
        <v>0</v>
      </c>
      <c r="P976" s="82">
        <f t="shared" si="46"/>
        <v>0</v>
      </c>
      <c r="Q976" s="74"/>
      <c r="R976" s="76"/>
      <c r="S976" s="84">
        <f t="shared" si="47"/>
        <v>0</v>
      </c>
    </row>
    <row r="977" spans="1:19" ht="18" customHeight="1" x14ac:dyDescent="0.25">
      <c r="A977" s="59"/>
      <c r="B977" s="60"/>
      <c r="C977" s="65"/>
      <c r="D977" s="60"/>
      <c r="E977" s="59"/>
      <c r="F977" s="62"/>
      <c r="G977" s="63"/>
      <c r="H977" s="64"/>
      <c r="I977" s="65"/>
      <c r="J977" s="65"/>
      <c r="K977" s="65"/>
      <c r="L977" s="65"/>
      <c r="M977" s="65"/>
      <c r="N977" s="65"/>
      <c r="O977" s="81">
        <f t="shared" si="45"/>
        <v>0</v>
      </c>
      <c r="P977" s="81">
        <f t="shared" si="46"/>
        <v>0</v>
      </c>
      <c r="Q977" s="65"/>
      <c r="R977" s="67"/>
      <c r="S977" s="83">
        <f t="shared" si="47"/>
        <v>0</v>
      </c>
    </row>
    <row r="978" spans="1:19" ht="18" customHeight="1" x14ac:dyDescent="0.25">
      <c r="A978" s="68"/>
      <c r="B978" s="69"/>
      <c r="C978" s="74"/>
      <c r="D978" s="69"/>
      <c r="E978" s="68"/>
      <c r="F978" s="71"/>
      <c r="G978" s="72"/>
      <c r="H978" s="73"/>
      <c r="I978" s="74"/>
      <c r="J978" s="74"/>
      <c r="K978" s="74"/>
      <c r="L978" s="74"/>
      <c r="M978" s="74"/>
      <c r="N978" s="74"/>
      <c r="O978" s="82">
        <f t="shared" si="45"/>
        <v>0</v>
      </c>
      <c r="P978" s="82">
        <f t="shared" si="46"/>
        <v>0</v>
      </c>
      <c r="Q978" s="74"/>
      <c r="R978" s="76"/>
      <c r="S978" s="84">
        <f t="shared" si="47"/>
        <v>0</v>
      </c>
    </row>
    <row r="979" spans="1:19" ht="18" customHeight="1" x14ac:dyDescent="0.25">
      <c r="A979" s="59"/>
      <c r="B979" s="60"/>
      <c r="C979" s="65"/>
      <c r="D979" s="60"/>
      <c r="E979" s="59"/>
      <c r="F979" s="62"/>
      <c r="G979" s="63"/>
      <c r="H979" s="64"/>
      <c r="I979" s="65"/>
      <c r="J979" s="65"/>
      <c r="K979" s="65"/>
      <c r="L979" s="65"/>
      <c r="M979" s="65"/>
      <c r="N979" s="65"/>
      <c r="O979" s="81">
        <f t="shared" si="45"/>
        <v>0</v>
      </c>
      <c r="P979" s="81">
        <f t="shared" si="46"/>
        <v>0</v>
      </c>
      <c r="Q979" s="65"/>
      <c r="R979" s="67"/>
      <c r="S979" s="83">
        <f t="shared" si="47"/>
        <v>0</v>
      </c>
    </row>
    <row r="980" spans="1:19" ht="18" customHeight="1" x14ac:dyDescent="0.25">
      <c r="A980" s="68"/>
      <c r="B980" s="69"/>
      <c r="C980" s="74"/>
      <c r="D980" s="69"/>
      <c r="E980" s="68"/>
      <c r="F980" s="71"/>
      <c r="G980" s="72"/>
      <c r="H980" s="73"/>
      <c r="I980" s="74"/>
      <c r="J980" s="74"/>
      <c r="K980" s="74"/>
      <c r="L980" s="74"/>
      <c r="M980" s="74"/>
      <c r="N980" s="74"/>
      <c r="O980" s="82">
        <f t="shared" si="45"/>
        <v>0</v>
      </c>
      <c r="P980" s="82">
        <f t="shared" si="46"/>
        <v>0</v>
      </c>
      <c r="Q980" s="74"/>
      <c r="R980" s="76"/>
      <c r="S980" s="84">
        <f t="shared" si="47"/>
        <v>0</v>
      </c>
    </row>
    <row r="981" spans="1:19" ht="18" customHeight="1" x14ac:dyDescent="0.25">
      <c r="A981" s="59"/>
      <c r="B981" s="60"/>
      <c r="C981" s="65"/>
      <c r="D981" s="60"/>
      <c r="E981" s="59"/>
      <c r="F981" s="62"/>
      <c r="G981" s="63"/>
      <c r="H981" s="64"/>
      <c r="I981" s="65"/>
      <c r="J981" s="65"/>
      <c r="K981" s="65"/>
      <c r="L981" s="65"/>
      <c r="M981" s="65"/>
      <c r="N981" s="65"/>
      <c r="O981" s="81">
        <f t="shared" si="45"/>
        <v>0</v>
      </c>
      <c r="P981" s="81">
        <f t="shared" si="46"/>
        <v>0</v>
      </c>
      <c r="Q981" s="65"/>
      <c r="R981" s="67"/>
      <c r="S981" s="83">
        <f t="shared" si="47"/>
        <v>0</v>
      </c>
    </row>
    <row r="982" spans="1:19" ht="18" customHeight="1" x14ac:dyDescent="0.25">
      <c r="A982" s="68"/>
      <c r="B982" s="69"/>
      <c r="C982" s="74"/>
      <c r="D982" s="69"/>
      <c r="E982" s="68"/>
      <c r="F982" s="71"/>
      <c r="G982" s="72"/>
      <c r="H982" s="73"/>
      <c r="I982" s="74"/>
      <c r="J982" s="74"/>
      <c r="K982" s="74"/>
      <c r="L982" s="74"/>
      <c r="M982" s="74"/>
      <c r="N982" s="74"/>
      <c r="O982" s="82">
        <f t="shared" si="45"/>
        <v>0</v>
      </c>
      <c r="P982" s="82">
        <f t="shared" si="46"/>
        <v>0</v>
      </c>
      <c r="Q982" s="74"/>
      <c r="R982" s="76"/>
      <c r="S982" s="84">
        <f t="shared" si="47"/>
        <v>0</v>
      </c>
    </row>
    <row r="983" spans="1:19" ht="18" customHeight="1" x14ac:dyDescent="0.25">
      <c r="A983" s="59"/>
      <c r="B983" s="60"/>
      <c r="C983" s="65"/>
      <c r="D983" s="60"/>
      <c r="E983" s="59"/>
      <c r="F983" s="62"/>
      <c r="G983" s="63"/>
      <c r="H983" s="64"/>
      <c r="I983" s="65"/>
      <c r="J983" s="65"/>
      <c r="K983" s="65"/>
      <c r="L983" s="65"/>
      <c r="M983" s="65"/>
      <c r="N983" s="65"/>
      <c r="O983" s="81">
        <f t="shared" si="45"/>
        <v>0</v>
      </c>
      <c r="P983" s="81">
        <f t="shared" si="46"/>
        <v>0</v>
      </c>
      <c r="Q983" s="65"/>
      <c r="R983" s="67"/>
      <c r="S983" s="83">
        <f t="shared" si="47"/>
        <v>0</v>
      </c>
    </row>
    <row r="984" spans="1:19" ht="18" customHeight="1" x14ac:dyDescent="0.25">
      <c r="A984" s="68"/>
      <c r="B984" s="69"/>
      <c r="C984" s="74"/>
      <c r="D984" s="69"/>
      <c r="E984" s="68"/>
      <c r="F984" s="71"/>
      <c r="G984" s="72"/>
      <c r="H984" s="73"/>
      <c r="I984" s="74"/>
      <c r="J984" s="74"/>
      <c r="K984" s="74"/>
      <c r="L984" s="74"/>
      <c r="M984" s="74"/>
      <c r="N984" s="74"/>
      <c r="O984" s="82">
        <f t="shared" si="45"/>
        <v>0</v>
      </c>
      <c r="P984" s="82">
        <f t="shared" si="46"/>
        <v>0</v>
      </c>
      <c r="Q984" s="74"/>
      <c r="R984" s="76"/>
      <c r="S984" s="84">
        <f t="shared" si="47"/>
        <v>0</v>
      </c>
    </row>
    <row r="985" spans="1:19" ht="18" customHeight="1" x14ac:dyDescent="0.25">
      <c r="A985" s="59"/>
      <c r="B985" s="60"/>
      <c r="C985" s="65"/>
      <c r="D985" s="60"/>
      <c r="E985" s="59"/>
      <c r="F985" s="62"/>
      <c r="G985" s="63"/>
      <c r="H985" s="64"/>
      <c r="I985" s="65"/>
      <c r="J985" s="65"/>
      <c r="K985" s="65"/>
      <c r="L985" s="65"/>
      <c r="M985" s="65"/>
      <c r="N985" s="65"/>
      <c r="O985" s="81">
        <f t="shared" si="45"/>
        <v>0</v>
      </c>
      <c r="P985" s="81">
        <f t="shared" si="46"/>
        <v>0</v>
      </c>
      <c r="Q985" s="65"/>
      <c r="R985" s="67"/>
      <c r="S985" s="83">
        <f t="shared" si="47"/>
        <v>0</v>
      </c>
    </row>
    <row r="986" spans="1:19" ht="18" customHeight="1" x14ac:dyDescent="0.25">
      <c r="A986" s="68"/>
      <c r="B986" s="69"/>
      <c r="C986" s="74"/>
      <c r="D986" s="69"/>
      <c r="E986" s="68"/>
      <c r="F986" s="71"/>
      <c r="G986" s="72"/>
      <c r="H986" s="73"/>
      <c r="I986" s="74"/>
      <c r="J986" s="74"/>
      <c r="K986" s="74"/>
      <c r="L986" s="74"/>
      <c r="M986" s="74"/>
      <c r="N986" s="74"/>
      <c r="O986" s="82">
        <f t="shared" si="45"/>
        <v>0</v>
      </c>
      <c r="P986" s="82">
        <f t="shared" si="46"/>
        <v>0</v>
      </c>
      <c r="Q986" s="74"/>
      <c r="R986" s="76"/>
      <c r="S986" s="84">
        <f t="shared" si="47"/>
        <v>0</v>
      </c>
    </row>
    <row r="987" spans="1:19" ht="18" customHeight="1" x14ac:dyDescent="0.25">
      <c r="A987" s="59"/>
      <c r="B987" s="60"/>
      <c r="C987" s="65"/>
      <c r="D987" s="60"/>
      <c r="E987" s="59"/>
      <c r="F987" s="62"/>
      <c r="G987" s="63"/>
      <c r="H987" s="64"/>
      <c r="I987" s="65"/>
      <c r="J987" s="65"/>
      <c r="K987" s="65"/>
      <c r="L987" s="65"/>
      <c r="M987" s="65"/>
      <c r="N987" s="65"/>
      <c r="O987" s="81">
        <f t="shared" si="45"/>
        <v>0</v>
      </c>
      <c r="P987" s="81">
        <f t="shared" si="46"/>
        <v>0</v>
      </c>
      <c r="Q987" s="65"/>
      <c r="R987" s="67"/>
      <c r="S987" s="83">
        <f t="shared" si="47"/>
        <v>0</v>
      </c>
    </row>
    <row r="988" spans="1:19" ht="18" customHeight="1" x14ac:dyDescent="0.25">
      <c r="A988" s="68"/>
      <c r="B988" s="69"/>
      <c r="C988" s="74"/>
      <c r="D988" s="69"/>
      <c r="E988" s="68"/>
      <c r="F988" s="71"/>
      <c r="G988" s="72"/>
      <c r="H988" s="73"/>
      <c r="I988" s="74"/>
      <c r="J988" s="74"/>
      <c r="K988" s="74"/>
      <c r="L988" s="74"/>
      <c r="M988" s="74"/>
      <c r="N988" s="74"/>
      <c r="O988" s="82">
        <f t="shared" si="45"/>
        <v>0</v>
      </c>
      <c r="P988" s="82">
        <f t="shared" si="46"/>
        <v>0</v>
      </c>
      <c r="Q988" s="74"/>
      <c r="R988" s="76"/>
      <c r="S988" s="84">
        <f t="shared" si="47"/>
        <v>0</v>
      </c>
    </row>
    <row r="989" spans="1:19" ht="18" customHeight="1" x14ac:dyDescent="0.25">
      <c r="A989" s="59"/>
      <c r="B989" s="60"/>
      <c r="C989" s="65"/>
      <c r="D989" s="60"/>
      <c r="E989" s="59"/>
      <c r="F989" s="62"/>
      <c r="G989" s="63"/>
      <c r="H989" s="64"/>
      <c r="I989" s="65"/>
      <c r="J989" s="65"/>
      <c r="K989" s="65"/>
      <c r="L989" s="65"/>
      <c r="M989" s="65"/>
      <c r="N989" s="65"/>
      <c r="O989" s="81">
        <f t="shared" si="45"/>
        <v>0</v>
      </c>
      <c r="P989" s="81">
        <f t="shared" si="46"/>
        <v>0</v>
      </c>
      <c r="Q989" s="65"/>
      <c r="R989" s="67"/>
      <c r="S989" s="83">
        <f t="shared" si="47"/>
        <v>0</v>
      </c>
    </row>
    <row r="990" spans="1:19" ht="18" customHeight="1" x14ac:dyDescent="0.25">
      <c r="A990" s="68"/>
      <c r="B990" s="69"/>
      <c r="C990" s="74"/>
      <c r="D990" s="69"/>
      <c r="E990" s="68"/>
      <c r="F990" s="71"/>
      <c r="G990" s="72"/>
      <c r="H990" s="73"/>
      <c r="I990" s="74"/>
      <c r="J990" s="74"/>
      <c r="K990" s="74"/>
      <c r="L990" s="74"/>
      <c r="M990" s="74"/>
      <c r="N990" s="74"/>
      <c r="O990" s="82">
        <f t="shared" si="45"/>
        <v>0</v>
      </c>
      <c r="P990" s="82">
        <f t="shared" si="46"/>
        <v>0</v>
      </c>
      <c r="Q990" s="74"/>
      <c r="R990" s="76"/>
      <c r="S990" s="84">
        <f t="shared" si="47"/>
        <v>0</v>
      </c>
    </row>
    <row r="991" spans="1:19" ht="18" customHeight="1" x14ac:dyDescent="0.25">
      <c r="A991" s="59"/>
      <c r="B991" s="60"/>
      <c r="C991" s="65"/>
      <c r="D991" s="60"/>
      <c r="E991" s="59"/>
      <c r="F991" s="62"/>
      <c r="G991" s="63"/>
      <c r="H991" s="64"/>
      <c r="I991" s="65"/>
      <c r="J991" s="65"/>
      <c r="K991" s="65"/>
      <c r="L991" s="65"/>
      <c r="M991" s="65"/>
      <c r="N991" s="65"/>
      <c r="O991" s="81">
        <f t="shared" si="45"/>
        <v>0</v>
      </c>
      <c r="P991" s="81">
        <f t="shared" si="46"/>
        <v>0</v>
      </c>
      <c r="Q991" s="65"/>
      <c r="R991" s="67"/>
      <c r="S991" s="83">
        <f t="shared" si="47"/>
        <v>0</v>
      </c>
    </row>
    <row r="992" spans="1:19" ht="18" customHeight="1" x14ac:dyDescent="0.25">
      <c r="A992" s="68"/>
      <c r="B992" s="69"/>
      <c r="C992" s="74"/>
      <c r="D992" s="69"/>
      <c r="E992" s="68"/>
      <c r="F992" s="71"/>
      <c r="G992" s="72"/>
      <c r="H992" s="73"/>
      <c r="I992" s="74"/>
      <c r="J992" s="74"/>
      <c r="K992" s="74"/>
      <c r="L992" s="74"/>
      <c r="M992" s="74"/>
      <c r="N992" s="74"/>
      <c r="O992" s="82">
        <f t="shared" si="45"/>
        <v>0</v>
      </c>
      <c r="P992" s="82">
        <f t="shared" si="46"/>
        <v>0</v>
      </c>
      <c r="Q992" s="74"/>
      <c r="R992" s="76"/>
      <c r="S992" s="84">
        <f t="shared" si="47"/>
        <v>0</v>
      </c>
    </row>
    <row r="993" spans="1:19" ht="18" customHeight="1" x14ac:dyDescent="0.25">
      <c r="A993" s="59"/>
      <c r="B993" s="60"/>
      <c r="C993" s="65"/>
      <c r="D993" s="60"/>
      <c r="E993" s="59"/>
      <c r="F993" s="62"/>
      <c r="G993" s="63"/>
      <c r="H993" s="64"/>
      <c r="I993" s="65"/>
      <c r="J993" s="65"/>
      <c r="K993" s="65"/>
      <c r="L993" s="65"/>
      <c r="M993" s="65"/>
      <c r="N993" s="65"/>
      <c r="O993" s="81">
        <f t="shared" si="45"/>
        <v>0</v>
      </c>
      <c r="P993" s="81">
        <f t="shared" si="46"/>
        <v>0</v>
      </c>
      <c r="Q993" s="65"/>
      <c r="R993" s="67"/>
      <c r="S993" s="83">
        <f t="shared" si="47"/>
        <v>0</v>
      </c>
    </row>
    <row r="994" spans="1:19" ht="18" customHeight="1" x14ac:dyDescent="0.25">
      <c r="A994" s="68"/>
      <c r="B994" s="69"/>
      <c r="C994" s="74"/>
      <c r="D994" s="69"/>
      <c r="E994" s="68"/>
      <c r="F994" s="71"/>
      <c r="G994" s="72"/>
      <c r="H994" s="73"/>
      <c r="I994" s="74"/>
      <c r="J994" s="74"/>
      <c r="K994" s="74"/>
      <c r="L994" s="74"/>
      <c r="M994" s="74"/>
      <c r="N994" s="74"/>
      <c r="O994" s="82">
        <f t="shared" si="45"/>
        <v>0</v>
      </c>
      <c r="P994" s="82">
        <f t="shared" si="46"/>
        <v>0</v>
      </c>
      <c r="Q994" s="74"/>
      <c r="R994" s="76"/>
      <c r="S994" s="84">
        <f t="shared" si="47"/>
        <v>0</v>
      </c>
    </row>
    <row r="995" spans="1:19" ht="18" customHeight="1" x14ac:dyDescent="0.25">
      <c r="A995" s="59"/>
      <c r="B995" s="60"/>
      <c r="C995" s="65"/>
      <c r="D995" s="60"/>
      <c r="E995" s="59"/>
      <c r="F995" s="62"/>
      <c r="G995" s="63"/>
      <c r="H995" s="64"/>
      <c r="I995" s="65"/>
      <c r="J995" s="65"/>
      <c r="K995" s="65"/>
      <c r="L995" s="65"/>
      <c r="M995" s="65"/>
      <c r="N995" s="65"/>
      <c r="O995" s="81">
        <f t="shared" si="45"/>
        <v>0</v>
      </c>
      <c r="P995" s="81">
        <f t="shared" si="46"/>
        <v>0</v>
      </c>
      <c r="Q995" s="65"/>
      <c r="R995" s="67"/>
      <c r="S995" s="83">
        <f t="shared" si="47"/>
        <v>0</v>
      </c>
    </row>
    <row r="996" spans="1:19" ht="18" customHeight="1" x14ac:dyDescent="0.25">
      <c r="A996" s="68"/>
      <c r="B996" s="69"/>
      <c r="C996" s="74"/>
      <c r="D996" s="69"/>
      <c r="E996" s="68"/>
      <c r="F996" s="71"/>
      <c r="G996" s="72"/>
      <c r="H996" s="73"/>
      <c r="I996" s="74"/>
      <c r="J996" s="74"/>
      <c r="K996" s="74"/>
      <c r="L996" s="74"/>
      <c r="M996" s="74"/>
      <c r="N996" s="74"/>
      <c r="O996" s="82">
        <f t="shared" si="45"/>
        <v>0</v>
      </c>
      <c r="P996" s="82">
        <f t="shared" si="46"/>
        <v>0</v>
      </c>
      <c r="Q996" s="74"/>
      <c r="R996" s="76"/>
      <c r="S996" s="84">
        <f t="shared" si="47"/>
        <v>0</v>
      </c>
    </row>
    <row r="997" spans="1:19" ht="18" customHeight="1" x14ac:dyDescent="0.25">
      <c r="A997" s="59"/>
      <c r="B997" s="60"/>
      <c r="C997" s="65"/>
      <c r="D997" s="60"/>
      <c r="E997" s="59"/>
      <c r="F997" s="62"/>
      <c r="G997" s="63"/>
      <c r="H997" s="64"/>
      <c r="I997" s="65"/>
      <c r="J997" s="65"/>
      <c r="K997" s="65"/>
      <c r="L997" s="65"/>
      <c r="M997" s="65"/>
      <c r="N997" s="65"/>
      <c r="O997" s="81">
        <f t="shared" si="45"/>
        <v>0</v>
      </c>
      <c r="P997" s="81">
        <f t="shared" si="46"/>
        <v>0</v>
      </c>
      <c r="Q997" s="65"/>
      <c r="R997" s="67"/>
      <c r="S997" s="83">
        <f t="shared" si="47"/>
        <v>0</v>
      </c>
    </row>
    <row r="998" spans="1:19" ht="18" customHeight="1" x14ac:dyDescent="0.25">
      <c r="A998" s="68"/>
      <c r="B998" s="69"/>
      <c r="C998" s="74"/>
      <c r="D998" s="69"/>
      <c r="E998" s="68"/>
      <c r="F998" s="71"/>
      <c r="G998" s="72"/>
      <c r="H998" s="73"/>
      <c r="I998" s="74"/>
      <c r="J998" s="74"/>
      <c r="K998" s="74"/>
      <c r="L998" s="74"/>
      <c r="M998" s="74"/>
      <c r="N998" s="74"/>
      <c r="O998" s="82">
        <f t="shared" si="45"/>
        <v>0</v>
      </c>
      <c r="P998" s="82">
        <f t="shared" si="46"/>
        <v>0</v>
      </c>
      <c r="Q998" s="74"/>
      <c r="R998" s="76"/>
      <c r="S998" s="84">
        <f t="shared" si="47"/>
        <v>0</v>
      </c>
    </row>
    <row r="999" spans="1:19" ht="18" customHeight="1" x14ac:dyDescent="0.25">
      <c r="A999" s="59"/>
      <c r="B999" s="60"/>
      <c r="C999" s="65"/>
      <c r="D999" s="60"/>
      <c r="E999" s="59"/>
      <c r="F999" s="62"/>
      <c r="G999" s="63"/>
      <c r="H999" s="64"/>
      <c r="I999" s="65"/>
      <c r="J999" s="65"/>
      <c r="K999" s="65"/>
      <c r="L999" s="65"/>
      <c r="M999" s="65"/>
      <c r="N999" s="65"/>
      <c r="O999" s="81">
        <f t="shared" si="45"/>
        <v>0</v>
      </c>
      <c r="P999" s="81">
        <f t="shared" si="46"/>
        <v>0</v>
      </c>
      <c r="Q999" s="65"/>
      <c r="R999" s="67"/>
      <c r="S999" s="83">
        <f t="shared" si="47"/>
        <v>0</v>
      </c>
    </row>
    <row r="1000" spans="1:19" ht="18" customHeight="1" x14ac:dyDescent="0.25">
      <c r="A1000" s="68"/>
      <c r="B1000" s="69"/>
      <c r="C1000" s="74"/>
      <c r="D1000" s="69"/>
      <c r="E1000" s="68"/>
      <c r="F1000" s="71"/>
      <c r="G1000" s="72"/>
      <c r="H1000" s="73"/>
      <c r="I1000" s="74"/>
      <c r="J1000" s="74"/>
      <c r="K1000" s="74"/>
      <c r="L1000" s="74"/>
      <c r="M1000" s="74"/>
      <c r="N1000" s="74"/>
      <c r="O1000" s="82">
        <f t="shared" si="45"/>
        <v>0</v>
      </c>
      <c r="P1000" s="82">
        <f t="shared" si="46"/>
        <v>0</v>
      </c>
      <c r="Q1000" s="74"/>
      <c r="R1000" s="76"/>
      <c r="S1000" s="84">
        <f t="shared" si="47"/>
        <v>0</v>
      </c>
    </row>
    <row r="1001" spans="1:19" ht="18" customHeight="1" x14ac:dyDescent="0.25">
      <c r="A1001" s="59"/>
      <c r="B1001" s="60"/>
      <c r="C1001" s="65"/>
      <c r="D1001" s="60"/>
      <c r="E1001" s="59"/>
      <c r="F1001" s="62"/>
      <c r="G1001" s="63"/>
      <c r="H1001" s="64"/>
      <c r="I1001" s="65"/>
      <c r="J1001" s="65"/>
      <c r="K1001" s="65"/>
      <c r="L1001" s="65"/>
      <c r="M1001" s="65"/>
      <c r="N1001" s="65"/>
      <c r="O1001" s="81">
        <f t="shared" si="45"/>
        <v>0</v>
      </c>
      <c r="P1001" s="81">
        <f t="shared" si="46"/>
        <v>0</v>
      </c>
      <c r="Q1001" s="65"/>
      <c r="R1001" s="67"/>
      <c r="S1001" s="83">
        <f t="shared" si="47"/>
        <v>0</v>
      </c>
    </row>
    <row r="1002" spans="1:19" ht="18" customHeight="1" x14ac:dyDescent="0.25">
      <c r="A1002" s="68"/>
      <c r="B1002" s="69"/>
      <c r="C1002" s="74"/>
      <c r="D1002" s="69"/>
      <c r="E1002" s="68"/>
      <c r="F1002" s="71"/>
      <c r="G1002" s="72"/>
      <c r="H1002" s="73"/>
      <c r="I1002" s="74"/>
      <c r="J1002" s="74"/>
      <c r="K1002" s="74"/>
      <c r="L1002" s="74"/>
      <c r="M1002" s="74"/>
      <c r="N1002" s="74"/>
      <c r="O1002" s="82">
        <f t="shared" si="45"/>
        <v>0</v>
      </c>
      <c r="P1002" s="82">
        <f t="shared" si="46"/>
        <v>0</v>
      </c>
      <c r="Q1002" s="74"/>
      <c r="R1002" s="76"/>
      <c r="S1002" s="84">
        <f t="shared" si="47"/>
        <v>0</v>
      </c>
    </row>
    <row r="1003" spans="1:19" ht="18" customHeight="1" x14ac:dyDescent="0.25">
      <c r="A1003" s="59"/>
      <c r="B1003" s="60"/>
      <c r="C1003" s="65"/>
      <c r="D1003" s="60"/>
      <c r="E1003" s="59"/>
      <c r="F1003" s="62"/>
      <c r="G1003" s="63"/>
      <c r="H1003" s="64"/>
      <c r="I1003" s="65"/>
      <c r="J1003" s="65"/>
      <c r="K1003" s="65"/>
      <c r="L1003" s="65"/>
      <c r="M1003" s="65"/>
      <c r="N1003" s="65"/>
      <c r="O1003" s="81">
        <f t="shared" si="45"/>
        <v>0</v>
      </c>
      <c r="P1003" s="81">
        <f t="shared" si="46"/>
        <v>0</v>
      </c>
      <c r="Q1003" s="65"/>
      <c r="R1003" s="67"/>
      <c r="S1003" s="83">
        <f t="shared" si="47"/>
        <v>0</v>
      </c>
    </row>
    <row r="1004" spans="1:19" ht="18" customHeight="1" x14ac:dyDescent="0.25">
      <c r="A1004" s="68"/>
      <c r="B1004" s="69"/>
      <c r="C1004" s="74"/>
      <c r="D1004" s="69"/>
      <c r="E1004" s="68"/>
      <c r="F1004" s="71"/>
      <c r="G1004" s="72"/>
      <c r="H1004" s="73"/>
      <c r="I1004" s="74"/>
      <c r="J1004" s="74"/>
      <c r="K1004" s="74"/>
      <c r="L1004" s="74"/>
      <c r="M1004" s="74"/>
      <c r="N1004" s="74"/>
      <c r="O1004" s="82">
        <f t="shared" si="45"/>
        <v>0</v>
      </c>
      <c r="P1004" s="82">
        <f t="shared" si="46"/>
        <v>0</v>
      </c>
      <c r="Q1004" s="74"/>
      <c r="R1004" s="76"/>
      <c r="S1004" s="84">
        <f t="shared" si="47"/>
        <v>0</v>
      </c>
    </row>
    <row r="1005" spans="1:19" ht="18" customHeight="1" x14ac:dyDescent="0.25">
      <c r="A1005" s="59"/>
      <c r="B1005" s="60"/>
      <c r="C1005" s="65"/>
      <c r="D1005" s="60"/>
      <c r="E1005" s="59"/>
      <c r="F1005" s="62"/>
      <c r="G1005" s="63"/>
      <c r="H1005" s="64"/>
      <c r="I1005" s="65"/>
      <c r="J1005" s="65"/>
      <c r="K1005" s="65"/>
      <c r="L1005" s="65"/>
      <c r="M1005" s="65"/>
      <c r="N1005" s="65"/>
      <c r="O1005" s="81">
        <f t="shared" si="45"/>
        <v>0</v>
      </c>
      <c r="P1005" s="81">
        <f t="shared" si="46"/>
        <v>0</v>
      </c>
      <c r="Q1005" s="65"/>
      <c r="R1005" s="67"/>
      <c r="S1005" s="83">
        <f t="shared" si="47"/>
        <v>0</v>
      </c>
    </row>
    <row r="1006" spans="1:19" ht="18" customHeight="1" x14ac:dyDescent="0.25">
      <c r="A1006" s="68"/>
      <c r="B1006" s="69"/>
      <c r="C1006" s="74"/>
      <c r="D1006" s="69"/>
      <c r="E1006" s="68"/>
      <c r="F1006" s="71"/>
      <c r="G1006" s="72"/>
      <c r="H1006" s="73"/>
      <c r="I1006" s="74"/>
      <c r="J1006" s="74"/>
      <c r="K1006" s="74"/>
      <c r="L1006" s="74"/>
      <c r="M1006" s="74"/>
      <c r="N1006" s="74"/>
      <c r="O1006" s="82">
        <f t="shared" si="45"/>
        <v>0</v>
      </c>
      <c r="P1006" s="82">
        <f t="shared" si="46"/>
        <v>0</v>
      </c>
      <c r="Q1006" s="74"/>
      <c r="R1006" s="76"/>
      <c r="S1006" s="84">
        <f t="shared" si="47"/>
        <v>0</v>
      </c>
    </row>
    <row r="1007" spans="1:19" ht="18" customHeight="1" x14ac:dyDescent="0.25">
      <c r="A1007" s="59"/>
      <c r="B1007" s="60"/>
      <c r="C1007" s="65"/>
      <c r="D1007" s="60"/>
      <c r="E1007" s="59"/>
      <c r="F1007" s="62"/>
      <c r="G1007" s="63"/>
      <c r="H1007" s="64"/>
      <c r="I1007" s="65"/>
      <c r="J1007" s="65"/>
      <c r="K1007" s="65"/>
      <c r="L1007" s="65"/>
      <c r="M1007" s="65"/>
      <c r="N1007" s="65"/>
      <c r="O1007" s="81">
        <f t="shared" si="45"/>
        <v>0</v>
      </c>
      <c r="P1007" s="81">
        <f t="shared" si="46"/>
        <v>0</v>
      </c>
      <c r="Q1007" s="65"/>
      <c r="R1007" s="67"/>
      <c r="S1007" s="83">
        <f t="shared" si="47"/>
        <v>0</v>
      </c>
    </row>
    <row r="1008" spans="1:19" ht="18" customHeight="1" x14ac:dyDescent="0.25">
      <c r="A1008" s="68"/>
      <c r="B1008" s="69"/>
      <c r="C1008" s="74"/>
      <c r="D1008" s="69"/>
      <c r="E1008" s="68"/>
      <c r="F1008" s="71"/>
      <c r="G1008" s="72"/>
      <c r="H1008" s="73"/>
      <c r="I1008" s="74"/>
      <c r="J1008" s="74"/>
      <c r="K1008" s="74"/>
      <c r="L1008" s="74"/>
      <c r="M1008" s="74"/>
      <c r="N1008" s="74"/>
      <c r="O1008" s="82">
        <f t="shared" si="45"/>
        <v>0</v>
      </c>
      <c r="P1008" s="82">
        <f t="shared" si="46"/>
        <v>0</v>
      </c>
      <c r="Q1008" s="74"/>
      <c r="R1008" s="76"/>
      <c r="S1008" s="84">
        <f t="shared" si="47"/>
        <v>0</v>
      </c>
    </row>
    <row r="1009" spans="1:19" ht="18" customHeight="1" x14ac:dyDescent="0.25">
      <c r="A1009" s="59"/>
      <c r="B1009" s="60"/>
      <c r="C1009" s="65"/>
      <c r="D1009" s="60"/>
      <c r="E1009" s="59"/>
      <c r="F1009" s="62"/>
      <c r="G1009" s="63"/>
      <c r="H1009" s="64"/>
      <c r="I1009" s="65"/>
      <c r="J1009" s="65"/>
      <c r="K1009" s="65"/>
      <c r="L1009" s="65"/>
      <c r="M1009" s="65"/>
      <c r="N1009" s="65"/>
      <c r="O1009" s="81">
        <f t="shared" si="45"/>
        <v>0</v>
      </c>
      <c r="P1009" s="81">
        <f t="shared" si="46"/>
        <v>0</v>
      </c>
      <c r="Q1009" s="65"/>
      <c r="R1009" s="67"/>
      <c r="S1009" s="83">
        <f t="shared" si="47"/>
        <v>0</v>
      </c>
    </row>
    <row r="1010" spans="1:19" ht="18" customHeight="1" x14ac:dyDescent="0.25">
      <c r="A1010" s="68"/>
      <c r="B1010" s="69"/>
      <c r="C1010" s="74"/>
      <c r="D1010" s="69"/>
      <c r="E1010" s="68"/>
      <c r="F1010" s="71"/>
      <c r="G1010" s="72"/>
      <c r="H1010" s="73"/>
      <c r="I1010" s="74"/>
      <c r="J1010" s="74"/>
      <c r="K1010" s="74"/>
      <c r="L1010" s="74"/>
      <c r="M1010" s="74"/>
      <c r="N1010" s="74"/>
      <c r="O1010" s="82">
        <f t="shared" si="45"/>
        <v>0</v>
      </c>
      <c r="P1010" s="82">
        <f t="shared" si="46"/>
        <v>0</v>
      </c>
      <c r="Q1010" s="74"/>
      <c r="R1010" s="76"/>
      <c r="S1010" s="84">
        <f t="shared" si="47"/>
        <v>0</v>
      </c>
    </row>
    <row r="1011" spans="1:19" ht="18" customHeight="1" x14ac:dyDescent="0.25">
      <c r="A1011" s="59"/>
      <c r="B1011" s="60"/>
      <c r="C1011" s="65"/>
      <c r="D1011" s="60"/>
      <c r="E1011" s="59"/>
      <c r="F1011" s="62"/>
      <c r="G1011" s="63"/>
      <c r="H1011" s="64"/>
      <c r="I1011" s="65"/>
      <c r="J1011" s="65"/>
      <c r="K1011" s="65"/>
      <c r="L1011" s="65"/>
      <c r="M1011" s="65"/>
      <c r="N1011" s="65"/>
      <c r="O1011" s="81">
        <f t="shared" si="45"/>
        <v>0</v>
      </c>
      <c r="P1011" s="81">
        <f t="shared" si="46"/>
        <v>0</v>
      </c>
      <c r="Q1011" s="65"/>
      <c r="R1011" s="67"/>
      <c r="S1011" s="83">
        <f t="shared" si="47"/>
        <v>0</v>
      </c>
    </row>
    <row r="1012" spans="1:19" ht="18" customHeight="1" x14ac:dyDescent="0.25">
      <c r="A1012" s="68"/>
      <c r="B1012" s="69"/>
      <c r="C1012" s="74"/>
      <c r="D1012" s="69"/>
      <c r="E1012" s="68"/>
      <c r="F1012" s="71"/>
      <c r="G1012" s="72"/>
      <c r="H1012" s="73"/>
      <c r="I1012" s="74"/>
      <c r="J1012" s="74"/>
      <c r="K1012" s="74"/>
      <c r="L1012" s="74"/>
      <c r="M1012" s="74"/>
      <c r="N1012" s="74"/>
      <c r="O1012" s="82">
        <f t="shared" si="45"/>
        <v>0</v>
      </c>
      <c r="P1012" s="82">
        <f t="shared" si="46"/>
        <v>0</v>
      </c>
      <c r="Q1012" s="74"/>
      <c r="R1012" s="76"/>
      <c r="S1012" s="84">
        <f t="shared" si="47"/>
        <v>0</v>
      </c>
    </row>
    <row r="1013" spans="1:19" ht="18" customHeight="1" x14ac:dyDescent="0.25">
      <c r="A1013" s="59"/>
      <c r="B1013" s="60"/>
      <c r="C1013" s="65"/>
      <c r="D1013" s="60"/>
      <c r="E1013" s="59"/>
      <c r="F1013" s="62"/>
      <c r="G1013" s="63"/>
      <c r="H1013" s="64"/>
      <c r="I1013" s="65"/>
      <c r="J1013" s="65"/>
      <c r="K1013" s="65"/>
      <c r="L1013" s="65"/>
      <c r="M1013" s="65"/>
      <c r="N1013" s="65"/>
      <c r="O1013" s="81">
        <f t="shared" si="45"/>
        <v>0</v>
      </c>
      <c r="P1013" s="81">
        <f t="shared" si="46"/>
        <v>0</v>
      </c>
      <c r="Q1013" s="65"/>
      <c r="R1013" s="67"/>
      <c r="S1013" s="83">
        <f t="shared" si="47"/>
        <v>0</v>
      </c>
    </row>
    <row r="1014" spans="1:19" ht="18" customHeight="1" x14ac:dyDescent="0.25">
      <c r="A1014" s="68"/>
      <c r="B1014" s="69"/>
      <c r="C1014" s="74"/>
      <c r="D1014" s="69"/>
      <c r="E1014" s="68"/>
      <c r="F1014" s="71"/>
      <c r="G1014" s="72"/>
      <c r="H1014" s="73"/>
      <c r="I1014" s="74"/>
      <c r="J1014" s="74"/>
      <c r="K1014" s="74"/>
      <c r="L1014" s="74"/>
      <c r="M1014" s="74"/>
      <c r="N1014" s="74"/>
      <c r="O1014" s="82">
        <f t="shared" si="45"/>
        <v>0</v>
      </c>
      <c r="P1014" s="82">
        <f t="shared" si="46"/>
        <v>0</v>
      </c>
      <c r="Q1014" s="74"/>
      <c r="R1014" s="76"/>
      <c r="S1014" s="84">
        <f t="shared" si="47"/>
        <v>0</v>
      </c>
    </row>
    <row r="1015" spans="1:19" ht="18" customHeight="1" x14ac:dyDescent="0.25">
      <c r="A1015" s="59"/>
      <c r="B1015" s="60"/>
      <c r="C1015" s="65"/>
      <c r="D1015" s="60"/>
      <c r="E1015" s="59"/>
      <c r="F1015" s="62"/>
      <c r="G1015" s="63"/>
      <c r="H1015" s="64"/>
      <c r="I1015" s="65"/>
      <c r="J1015" s="65"/>
      <c r="K1015" s="65"/>
      <c r="L1015" s="65"/>
      <c r="M1015" s="65"/>
      <c r="N1015" s="65"/>
      <c r="O1015" s="81">
        <f t="shared" si="45"/>
        <v>0</v>
      </c>
      <c r="P1015" s="81">
        <f t="shared" si="46"/>
        <v>0</v>
      </c>
      <c r="Q1015" s="65"/>
      <c r="R1015" s="67"/>
      <c r="S1015" s="83">
        <f t="shared" si="47"/>
        <v>0</v>
      </c>
    </row>
    <row r="1016" spans="1:19" ht="18" customHeight="1" x14ac:dyDescent="0.25">
      <c r="A1016" s="68"/>
      <c r="B1016" s="69"/>
      <c r="C1016" s="74"/>
      <c r="D1016" s="69"/>
      <c r="E1016" s="68"/>
      <c r="F1016" s="71"/>
      <c r="G1016" s="72"/>
      <c r="H1016" s="73"/>
      <c r="I1016" s="74"/>
      <c r="J1016" s="74"/>
      <c r="K1016" s="74"/>
      <c r="L1016" s="74"/>
      <c r="M1016" s="74"/>
      <c r="N1016" s="74"/>
      <c r="O1016" s="82">
        <f t="shared" si="45"/>
        <v>0</v>
      </c>
      <c r="P1016" s="82">
        <f t="shared" si="46"/>
        <v>0</v>
      </c>
      <c r="Q1016" s="74"/>
      <c r="R1016" s="76"/>
      <c r="S1016" s="84">
        <f t="shared" si="47"/>
        <v>0</v>
      </c>
    </row>
    <row r="1017" spans="1:19" ht="18" customHeight="1" x14ac:dyDescent="0.25">
      <c r="A1017" s="59"/>
      <c r="B1017" s="60"/>
      <c r="C1017" s="65"/>
      <c r="D1017" s="60"/>
      <c r="E1017" s="59"/>
      <c r="F1017" s="62"/>
      <c r="G1017" s="63"/>
      <c r="H1017" s="64"/>
      <c r="I1017" s="65"/>
      <c r="J1017" s="65"/>
      <c r="K1017" s="65"/>
      <c r="L1017" s="65"/>
      <c r="M1017" s="65"/>
      <c r="N1017" s="65"/>
      <c r="O1017" s="81">
        <f t="shared" si="45"/>
        <v>0</v>
      </c>
      <c r="P1017" s="81">
        <f t="shared" si="46"/>
        <v>0</v>
      </c>
      <c r="Q1017" s="65"/>
      <c r="R1017" s="67"/>
      <c r="S1017" s="83">
        <f t="shared" si="47"/>
        <v>0</v>
      </c>
    </row>
    <row r="1018" spans="1:19" ht="18" customHeight="1" x14ac:dyDescent="0.25">
      <c r="A1018" s="68"/>
      <c r="B1018" s="69"/>
      <c r="C1018" s="74"/>
      <c r="D1018" s="69"/>
      <c r="E1018" s="68"/>
      <c r="F1018" s="71"/>
      <c r="G1018" s="72"/>
      <c r="H1018" s="73"/>
      <c r="I1018" s="74"/>
      <c r="J1018" s="74"/>
      <c r="K1018" s="74"/>
      <c r="L1018" s="74"/>
      <c r="M1018" s="74"/>
      <c r="N1018" s="74"/>
      <c r="O1018" s="82">
        <f t="shared" si="45"/>
        <v>0</v>
      </c>
      <c r="P1018" s="82">
        <f t="shared" si="46"/>
        <v>0</v>
      </c>
      <c r="Q1018" s="74"/>
      <c r="R1018" s="76"/>
      <c r="S1018" s="84">
        <f t="shared" si="47"/>
        <v>0</v>
      </c>
    </row>
    <row r="1019" spans="1:19" ht="18" customHeight="1" x14ac:dyDescent="0.25">
      <c r="A1019" s="59"/>
      <c r="B1019" s="60"/>
      <c r="C1019" s="65"/>
      <c r="D1019" s="60"/>
      <c r="E1019" s="59"/>
      <c r="F1019" s="62"/>
      <c r="G1019" s="63"/>
      <c r="H1019" s="64"/>
      <c r="I1019" s="65"/>
      <c r="J1019" s="65"/>
      <c r="K1019" s="65"/>
      <c r="L1019" s="65"/>
      <c r="M1019" s="65"/>
      <c r="N1019" s="65"/>
      <c r="O1019" s="81">
        <f t="shared" si="45"/>
        <v>0</v>
      </c>
      <c r="P1019" s="81">
        <f t="shared" si="46"/>
        <v>0</v>
      </c>
      <c r="Q1019" s="65"/>
      <c r="R1019" s="67"/>
      <c r="S1019" s="83">
        <f t="shared" si="47"/>
        <v>0</v>
      </c>
    </row>
    <row r="1020" spans="1:19" ht="18" customHeight="1" x14ac:dyDescent="0.25">
      <c r="A1020" s="68"/>
      <c r="B1020" s="69"/>
      <c r="C1020" s="74"/>
      <c r="D1020" s="69"/>
      <c r="E1020" s="68"/>
      <c r="F1020" s="71"/>
      <c r="G1020" s="72"/>
      <c r="H1020" s="73"/>
      <c r="I1020" s="74"/>
      <c r="J1020" s="74"/>
      <c r="K1020" s="74"/>
      <c r="L1020" s="74"/>
      <c r="M1020" s="74"/>
      <c r="N1020" s="74"/>
      <c r="O1020" s="82">
        <f t="shared" si="45"/>
        <v>0</v>
      </c>
      <c r="P1020" s="82">
        <f t="shared" si="46"/>
        <v>0</v>
      </c>
      <c r="Q1020" s="74"/>
      <c r="R1020" s="76"/>
      <c r="S1020" s="84">
        <f t="shared" si="47"/>
        <v>0</v>
      </c>
    </row>
    <row r="1021" spans="1:19" ht="18" customHeight="1" x14ac:dyDescent="0.25">
      <c r="A1021" s="59"/>
      <c r="B1021" s="60"/>
      <c r="C1021" s="65"/>
      <c r="D1021" s="60"/>
      <c r="E1021" s="59"/>
      <c r="F1021" s="62"/>
      <c r="G1021" s="63"/>
      <c r="H1021" s="64"/>
      <c r="I1021" s="65"/>
      <c r="J1021" s="65"/>
      <c r="K1021" s="65"/>
      <c r="L1021" s="65"/>
      <c r="M1021" s="65"/>
      <c r="N1021" s="65"/>
      <c r="O1021" s="81">
        <f t="shared" si="45"/>
        <v>0</v>
      </c>
      <c r="P1021" s="81">
        <f t="shared" si="46"/>
        <v>0</v>
      </c>
      <c r="Q1021" s="65"/>
      <c r="R1021" s="67"/>
      <c r="S1021" s="83">
        <f t="shared" si="47"/>
        <v>0</v>
      </c>
    </row>
    <row r="1022" spans="1:19" ht="18" customHeight="1" x14ac:dyDescent="0.25">
      <c r="A1022" s="68"/>
      <c r="B1022" s="69"/>
      <c r="C1022" s="74"/>
      <c r="D1022" s="69"/>
      <c r="E1022" s="68"/>
      <c r="F1022" s="71"/>
      <c r="G1022" s="72"/>
      <c r="H1022" s="73"/>
      <c r="I1022" s="74"/>
      <c r="J1022" s="74"/>
      <c r="K1022" s="74"/>
      <c r="L1022" s="74"/>
      <c r="M1022" s="74"/>
      <c r="N1022" s="74"/>
      <c r="O1022" s="82">
        <f t="shared" si="45"/>
        <v>0</v>
      </c>
      <c r="P1022" s="82">
        <f t="shared" si="46"/>
        <v>0</v>
      </c>
      <c r="Q1022" s="74"/>
      <c r="R1022" s="76"/>
      <c r="S1022" s="84">
        <f t="shared" si="47"/>
        <v>0</v>
      </c>
    </row>
    <row r="1023" spans="1:19" ht="18" customHeight="1" x14ac:dyDescent="0.25">
      <c r="A1023" s="59"/>
      <c r="B1023" s="60"/>
      <c r="C1023" s="65"/>
      <c r="D1023" s="60"/>
      <c r="E1023" s="59"/>
      <c r="F1023" s="62"/>
      <c r="G1023" s="63"/>
      <c r="H1023" s="64"/>
      <c r="I1023" s="65"/>
      <c r="J1023" s="65"/>
      <c r="K1023" s="65"/>
      <c r="L1023" s="65"/>
      <c r="M1023" s="65"/>
      <c r="N1023" s="65"/>
      <c r="O1023" s="81">
        <f t="shared" si="45"/>
        <v>0</v>
      </c>
      <c r="P1023" s="81">
        <f t="shared" si="46"/>
        <v>0</v>
      </c>
      <c r="Q1023" s="65"/>
      <c r="R1023" s="67"/>
      <c r="S1023" s="83">
        <f t="shared" si="47"/>
        <v>0</v>
      </c>
    </row>
    <row r="1024" spans="1:19" ht="18" customHeight="1" x14ac:dyDescent="0.25">
      <c r="A1024" s="68"/>
      <c r="B1024" s="69"/>
      <c r="C1024" s="74"/>
      <c r="D1024" s="69"/>
      <c r="E1024" s="68"/>
      <c r="F1024" s="71"/>
      <c r="G1024" s="72"/>
      <c r="H1024" s="73"/>
      <c r="I1024" s="74"/>
      <c r="J1024" s="74"/>
      <c r="K1024" s="74"/>
      <c r="L1024" s="74"/>
      <c r="M1024" s="74"/>
      <c r="N1024" s="74"/>
      <c r="O1024" s="82">
        <f t="shared" si="45"/>
        <v>0</v>
      </c>
      <c r="P1024" s="82">
        <f t="shared" si="46"/>
        <v>0</v>
      </c>
      <c r="Q1024" s="74"/>
      <c r="R1024" s="76"/>
      <c r="S1024" s="84">
        <f t="shared" si="47"/>
        <v>0</v>
      </c>
    </row>
    <row r="1025" spans="1:19" ht="18" customHeight="1" x14ac:dyDescent="0.25">
      <c r="A1025" s="59"/>
      <c r="B1025" s="60"/>
      <c r="C1025" s="65"/>
      <c r="D1025" s="60"/>
      <c r="E1025" s="59"/>
      <c r="F1025" s="62"/>
      <c r="G1025" s="63"/>
      <c r="H1025" s="64"/>
      <c r="I1025" s="65"/>
      <c r="J1025" s="65"/>
      <c r="K1025" s="65"/>
      <c r="L1025" s="65"/>
      <c r="M1025" s="65"/>
      <c r="N1025" s="65"/>
      <c r="O1025" s="81">
        <f t="shared" si="45"/>
        <v>0</v>
      </c>
      <c r="P1025" s="81">
        <f t="shared" si="46"/>
        <v>0</v>
      </c>
      <c r="Q1025" s="65"/>
      <c r="R1025" s="67"/>
      <c r="S1025" s="83">
        <f t="shared" si="47"/>
        <v>0</v>
      </c>
    </row>
    <row r="1026" spans="1:19" ht="18" customHeight="1" x14ac:dyDescent="0.25">
      <c r="A1026" s="68"/>
      <c r="B1026" s="69"/>
      <c r="C1026" s="74"/>
      <c r="D1026" s="69"/>
      <c r="E1026" s="68"/>
      <c r="F1026" s="71"/>
      <c r="G1026" s="72"/>
      <c r="H1026" s="73"/>
      <c r="I1026" s="74"/>
      <c r="J1026" s="74"/>
      <c r="K1026" s="74"/>
      <c r="L1026" s="74"/>
      <c r="M1026" s="74"/>
      <c r="N1026" s="74"/>
      <c r="O1026" s="82">
        <f t="shared" si="45"/>
        <v>0</v>
      </c>
      <c r="P1026" s="82">
        <f t="shared" si="46"/>
        <v>0</v>
      </c>
      <c r="Q1026" s="74"/>
      <c r="R1026" s="76"/>
      <c r="S1026" s="84">
        <f t="shared" si="47"/>
        <v>0</v>
      </c>
    </row>
    <row r="1027" spans="1:19" ht="18" customHeight="1" x14ac:dyDescent="0.25">
      <c r="A1027" s="59"/>
      <c r="B1027" s="60"/>
      <c r="C1027" s="65"/>
      <c r="D1027" s="60"/>
      <c r="E1027" s="59"/>
      <c r="F1027" s="62"/>
      <c r="G1027" s="63"/>
      <c r="H1027" s="64"/>
      <c r="I1027" s="65"/>
      <c r="J1027" s="65"/>
      <c r="K1027" s="65"/>
      <c r="L1027" s="65"/>
      <c r="M1027" s="65"/>
      <c r="N1027" s="65"/>
      <c r="O1027" s="81">
        <f t="shared" si="45"/>
        <v>0</v>
      </c>
      <c r="P1027" s="81">
        <f t="shared" si="46"/>
        <v>0</v>
      </c>
      <c r="Q1027" s="65"/>
      <c r="R1027" s="67"/>
      <c r="S1027" s="83">
        <f t="shared" si="47"/>
        <v>0</v>
      </c>
    </row>
    <row r="1028" spans="1:19" ht="18" customHeight="1" x14ac:dyDescent="0.25">
      <c r="A1028" s="68"/>
      <c r="B1028" s="69"/>
      <c r="C1028" s="74"/>
      <c r="D1028" s="69"/>
      <c r="E1028" s="68"/>
      <c r="F1028" s="71"/>
      <c r="G1028" s="72"/>
      <c r="H1028" s="73"/>
      <c r="I1028" s="74"/>
      <c r="J1028" s="74"/>
      <c r="K1028" s="74"/>
      <c r="L1028" s="74"/>
      <c r="M1028" s="74"/>
      <c r="N1028" s="74"/>
      <c r="O1028" s="82">
        <f t="shared" si="45"/>
        <v>0</v>
      </c>
      <c r="P1028" s="82">
        <f t="shared" si="46"/>
        <v>0</v>
      </c>
      <c r="Q1028" s="74"/>
      <c r="R1028" s="76"/>
      <c r="S1028" s="84">
        <f t="shared" si="47"/>
        <v>0</v>
      </c>
    </row>
    <row r="1029" spans="1:19" ht="18" customHeight="1" x14ac:dyDescent="0.25">
      <c r="A1029" s="59"/>
      <c r="B1029" s="60"/>
      <c r="C1029" s="65"/>
      <c r="D1029" s="60"/>
      <c r="E1029" s="59"/>
      <c r="F1029" s="62"/>
      <c r="G1029" s="63"/>
      <c r="H1029" s="64"/>
      <c r="I1029" s="65"/>
      <c r="J1029" s="65"/>
      <c r="K1029" s="65"/>
      <c r="L1029" s="65"/>
      <c r="M1029" s="65"/>
      <c r="N1029" s="65"/>
      <c r="O1029" s="81">
        <f t="shared" si="45"/>
        <v>0</v>
      </c>
      <c r="P1029" s="81">
        <f t="shared" si="46"/>
        <v>0</v>
      </c>
      <c r="Q1029" s="65"/>
      <c r="R1029" s="67"/>
      <c r="S1029" s="83">
        <f t="shared" si="47"/>
        <v>0</v>
      </c>
    </row>
    <row r="1030" spans="1:19" ht="18" customHeight="1" x14ac:dyDescent="0.25">
      <c r="A1030" s="68"/>
      <c r="B1030" s="69"/>
      <c r="C1030" s="74"/>
      <c r="D1030" s="69"/>
      <c r="E1030" s="68"/>
      <c r="F1030" s="71"/>
      <c r="G1030" s="72"/>
      <c r="H1030" s="73"/>
      <c r="I1030" s="74"/>
      <c r="J1030" s="74"/>
      <c r="K1030" s="74"/>
      <c r="L1030" s="74"/>
      <c r="M1030" s="74"/>
      <c r="N1030" s="74"/>
      <c r="O1030" s="82" t="e">
        <f>#N/A</f>
        <v>#N/A</v>
      </c>
      <c r="P1030" s="82" t="e">
        <f>#N/A</f>
        <v>#N/A</v>
      </c>
      <c r="Q1030" s="74"/>
      <c r="R1030" s="76"/>
      <c r="S1030" s="84">
        <f t="shared" si="47"/>
        <v>0</v>
      </c>
    </row>
    <row r="1031" spans="1:19" ht="18" customHeight="1" x14ac:dyDescent="0.25">
      <c r="A1031" s="59"/>
      <c r="B1031" s="60"/>
      <c r="C1031" s="65"/>
      <c r="D1031" s="60"/>
      <c r="E1031" s="59"/>
      <c r="F1031" s="62"/>
      <c r="G1031" s="63"/>
      <c r="H1031" s="64"/>
      <c r="I1031" s="65"/>
      <c r="J1031" s="65"/>
      <c r="K1031" s="65"/>
      <c r="L1031" s="65"/>
      <c r="M1031" s="65"/>
      <c r="N1031" s="65"/>
      <c r="O1031" s="81">
        <f t="shared" ref="O1031:O1093" si="48">IF(G1031="Reimbursement ","",I1031+J1031+K1031+L1031+M1031)</f>
        <v>0</v>
      </c>
      <c r="P1031" s="81">
        <f t="shared" ref="P1031:P1093" si="49">IF(G1031="Reimbursement ","",H1031-O1031)</f>
        <v>0</v>
      </c>
      <c r="Q1031" s="65"/>
      <c r="R1031" s="67"/>
      <c r="S1031" s="83">
        <f t="shared" ref="S1031:S1094" si="50">IF(OR(R1031="",Q1031=""),0,IF(R1031&gt;Q1031,R1031-Q1031,0))</f>
        <v>0</v>
      </c>
    </row>
    <row r="1032" spans="1:19" ht="18" customHeight="1" x14ac:dyDescent="0.25">
      <c r="A1032" s="68"/>
      <c r="B1032" s="69"/>
      <c r="C1032" s="74"/>
      <c r="D1032" s="69"/>
      <c r="E1032" s="68"/>
      <c r="F1032" s="71"/>
      <c r="G1032" s="72"/>
      <c r="H1032" s="73"/>
      <c r="I1032" s="74"/>
      <c r="J1032" s="74"/>
      <c r="K1032" s="74"/>
      <c r="L1032" s="74"/>
      <c r="M1032" s="74"/>
      <c r="N1032" s="74"/>
      <c r="O1032" s="82">
        <f t="shared" si="48"/>
        <v>0</v>
      </c>
      <c r="P1032" s="82">
        <f t="shared" si="49"/>
        <v>0</v>
      </c>
      <c r="Q1032" s="74"/>
      <c r="R1032" s="76"/>
      <c r="S1032" s="84">
        <f t="shared" si="50"/>
        <v>0</v>
      </c>
    </row>
    <row r="1033" spans="1:19" ht="18" customHeight="1" x14ac:dyDescent="0.25">
      <c r="A1033" s="59"/>
      <c r="B1033" s="60"/>
      <c r="C1033" s="65"/>
      <c r="D1033" s="60"/>
      <c r="E1033" s="59"/>
      <c r="F1033" s="62"/>
      <c r="G1033" s="63"/>
      <c r="H1033" s="64"/>
      <c r="I1033" s="65"/>
      <c r="J1033" s="65"/>
      <c r="K1033" s="65"/>
      <c r="L1033" s="65"/>
      <c r="M1033" s="65"/>
      <c r="N1033" s="65"/>
      <c r="O1033" s="81">
        <f t="shared" si="48"/>
        <v>0</v>
      </c>
      <c r="P1033" s="81">
        <f t="shared" si="49"/>
        <v>0</v>
      </c>
      <c r="Q1033" s="65"/>
      <c r="R1033" s="67"/>
      <c r="S1033" s="83">
        <f t="shared" si="50"/>
        <v>0</v>
      </c>
    </row>
    <row r="1034" spans="1:19" ht="18" customHeight="1" x14ac:dyDescent="0.25">
      <c r="A1034" s="68"/>
      <c r="B1034" s="69"/>
      <c r="C1034" s="74"/>
      <c r="D1034" s="69"/>
      <c r="E1034" s="68"/>
      <c r="F1034" s="71"/>
      <c r="G1034" s="72"/>
      <c r="H1034" s="73"/>
      <c r="I1034" s="74"/>
      <c r="J1034" s="74"/>
      <c r="K1034" s="74"/>
      <c r="L1034" s="74"/>
      <c r="M1034" s="74"/>
      <c r="N1034" s="74"/>
      <c r="O1034" s="82">
        <f t="shared" si="48"/>
        <v>0</v>
      </c>
      <c r="P1034" s="82">
        <f t="shared" si="49"/>
        <v>0</v>
      </c>
      <c r="Q1034" s="74"/>
      <c r="R1034" s="76"/>
      <c r="S1034" s="84">
        <f t="shared" si="50"/>
        <v>0</v>
      </c>
    </row>
    <row r="1035" spans="1:19" ht="18" customHeight="1" x14ac:dyDescent="0.25">
      <c r="A1035" s="59"/>
      <c r="B1035" s="60"/>
      <c r="C1035" s="65"/>
      <c r="D1035" s="60"/>
      <c r="E1035" s="59"/>
      <c r="F1035" s="62"/>
      <c r="G1035" s="63"/>
      <c r="H1035" s="64"/>
      <c r="I1035" s="65"/>
      <c r="J1035" s="65"/>
      <c r="K1035" s="65"/>
      <c r="L1035" s="65"/>
      <c r="M1035" s="65"/>
      <c r="N1035" s="65"/>
      <c r="O1035" s="81">
        <f t="shared" si="48"/>
        <v>0</v>
      </c>
      <c r="P1035" s="81">
        <f t="shared" si="49"/>
        <v>0</v>
      </c>
      <c r="Q1035" s="65"/>
      <c r="R1035" s="67"/>
      <c r="S1035" s="83">
        <f t="shared" si="50"/>
        <v>0</v>
      </c>
    </row>
    <row r="1036" spans="1:19" ht="18" customHeight="1" x14ac:dyDescent="0.25">
      <c r="A1036" s="68"/>
      <c r="B1036" s="69"/>
      <c r="C1036" s="74"/>
      <c r="D1036" s="69"/>
      <c r="E1036" s="68"/>
      <c r="F1036" s="71"/>
      <c r="G1036" s="72"/>
      <c r="H1036" s="73"/>
      <c r="I1036" s="74"/>
      <c r="J1036" s="74"/>
      <c r="K1036" s="74"/>
      <c r="L1036" s="74"/>
      <c r="M1036" s="74"/>
      <c r="N1036" s="74"/>
      <c r="O1036" s="82">
        <f t="shared" si="48"/>
        <v>0</v>
      </c>
      <c r="P1036" s="82">
        <f t="shared" si="49"/>
        <v>0</v>
      </c>
      <c r="Q1036" s="74"/>
      <c r="R1036" s="76"/>
      <c r="S1036" s="84">
        <f t="shared" si="50"/>
        <v>0</v>
      </c>
    </row>
    <row r="1037" spans="1:19" ht="18" customHeight="1" x14ac:dyDescent="0.25">
      <c r="A1037" s="59"/>
      <c r="B1037" s="60"/>
      <c r="C1037" s="65"/>
      <c r="D1037" s="60"/>
      <c r="E1037" s="59"/>
      <c r="F1037" s="62"/>
      <c r="G1037" s="63"/>
      <c r="H1037" s="64"/>
      <c r="I1037" s="65"/>
      <c r="J1037" s="65"/>
      <c r="K1037" s="65"/>
      <c r="L1037" s="65"/>
      <c r="M1037" s="65"/>
      <c r="N1037" s="65"/>
      <c r="O1037" s="81">
        <f t="shared" si="48"/>
        <v>0</v>
      </c>
      <c r="P1037" s="81">
        <f t="shared" si="49"/>
        <v>0</v>
      </c>
      <c r="Q1037" s="65"/>
      <c r="R1037" s="67"/>
      <c r="S1037" s="83">
        <f t="shared" si="50"/>
        <v>0</v>
      </c>
    </row>
    <row r="1038" spans="1:19" ht="18" customHeight="1" x14ac:dyDescent="0.25">
      <c r="A1038" s="68"/>
      <c r="B1038" s="69"/>
      <c r="C1038" s="74"/>
      <c r="D1038" s="69"/>
      <c r="E1038" s="68"/>
      <c r="F1038" s="71"/>
      <c r="G1038" s="72"/>
      <c r="H1038" s="73"/>
      <c r="I1038" s="74"/>
      <c r="J1038" s="74"/>
      <c r="K1038" s="74"/>
      <c r="L1038" s="74"/>
      <c r="M1038" s="74"/>
      <c r="N1038" s="74"/>
      <c r="O1038" s="82">
        <f t="shared" si="48"/>
        <v>0</v>
      </c>
      <c r="P1038" s="82">
        <f t="shared" si="49"/>
        <v>0</v>
      </c>
      <c r="Q1038" s="74"/>
      <c r="R1038" s="76"/>
      <c r="S1038" s="84">
        <f t="shared" si="50"/>
        <v>0</v>
      </c>
    </row>
    <row r="1039" spans="1:19" ht="18" customHeight="1" x14ac:dyDescent="0.25">
      <c r="A1039" s="59"/>
      <c r="B1039" s="60"/>
      <c r="C1039" s="65"/>
      <c r="D1039" s="60"/>
      <c r="E1039" s="59"/>
      <c r="F1039" s="62"/>
      <c r="G1039" s="63"/>
      <c r="H1039" s="64"/>
      <c r="I1039" s="65"/>
      <c r="J1039" s="65"/>
      <c r="K1039" s="65"/>
      <c r="L1039" s="65"/>
      <c r="M1039" s="65"/>
      <c r="N1039" s="65"/>
      <c r="O1039" s="81">
        <f t="shared" si="48"/>
        <v>0</v>
      </c>
      <c r="P1039" s="81">
        <f t="shared" si="49"/>
        <v>0</v>
      </c>
      <c r="Q1039" s="65"/>
      <c r="R1039" s="67"/>
      <c r="S1039" s="83">
        <f t="shared" si="50"/>
        <v>0</v>
      </c>
    </row>
    <row r="1040" spans="1:19" ht="18" customHeight="1" x14ac:dyDescent="0.25">
      <c r="A1040" s="68"/>
      <c r="B1040" s="69"/>
      <c r="C1040" s="74"/>
      <c r="D1040" s="69"/>
      <c r="E1040" s="68"/>
      <c r="F1040" s="71"/>
      <c r="G1040" s="72"/>
      <c r="H1040" s="73"/>
      <c r="I1040" s="74"/>
      <c r="J1040" s="74"/>
      <c r="K1040" s="74"/>
      <c r="L1040" s="74"/>
      <c r="M1040" s="74"/>
      <c r="N1040" s="74"/>
      <c r="O1040" s="82">
        <f t="shared" si="48"/>
        <v>0</v>
      </c>
      <c r="P1040" s="82">
        <f t="shared" si="49"/>
        <v>0</v>
      </c>
      <c r="Q1040" s="74"/>
      <c r="R1040" s="76"/>
      <c r="S1040" s="84">
        <f t="shared" si="50"/>
        <v>0</v>
      </c>
    </row>
    <row r="1041" spans="1:19" ht="18" customHeight="1" x14ac:dyDescent="0.25">
      <c r="A1041" s="59"/>
      <c r="B1041" s="60"/>
      <c r="C1041" s="65"/>
      <c r="D1041" s="60"/>
      <c r="E1041" s="59"/>
      <c r="F1041" s="62"/>
      <c r="G1041" s="63"/>
      <c r="H1041" s="64"/>
      <c r="I1041" s="65"/>
      <c r="J1041" s="65"/>
      <c r="K1041" s="65"/>
      <c r="L1041" s="65"/>
      <c r="M1041" s="65"/>
      <c r="N1041" s="65"/>
      <c r="O1041" s="81">
        <f t="shared" si="48"/>
        <v>0</v>
      </c>
      <c r="P1041" s="81">
        <f t="shared" si="49"/>
        <v>0</v>
      </c>
      <c r="Q1041" s="65"/>
      <c r="R1041" s="67"/>
      <c r="S1041" s="83">
        <f t="shared" si="50"/>
        <v>0</v>
      </c>
    </row>
    <row r="1042" spans="1:19" ht="18" customHeight="1" x14ac:dyDescent="0.25">
      <c r="A1042" s="68"/>
      <c r="B1042" s="69"/>
      <c r="C1042" s="74"/>
      <c r="D1042" s="69"/>
      <c r="E1042" s="68"/>
      <c r="F1042" s="71"/>
      <c r="G1042" s="72"/>
      <c r="H1042" s="73"/>
      <c r="I1042" s="74"/>
      <c r="J1042" s="74"/>
      <c r="K1042" s="74"/>
      <c r="L1042" s="74"/>
      <c r="M1042" s="74"/>
      <c r="N1042" s="74"/>
      <c r="O1042" s="82">
        <f t="shared" si="48"/>
        <v>0</v>
      </c>
      <c r="P1042" s="82">
        <f t="shared" si="49"/>
        <v>0</v>
      </c>
      <c r="Q1042" s="74"/>
      <c r="R1042" s="76"/>
      <c r="S1042" s="84">
        <f t="shared" si="50"/>
        <v>0</v>
      </c>
    </row>
    <row r="1043" spans="1:19" ht="18" customHeight="1" x14ac:dyDescent="0.25">
      <c r="A1043" s="59"/>
      <c r="B1043" s="60"/>
      <c r="C1043" s="65"/>
      <c r="D1043" s="60"/>
      <c r="E1043" s="59"/>
      <c r="F1043" s="62"/>
      <c r="G1043" s="63"/>
      <c r="H1043" s="64"/>
      <c r="I1043" s="65"/>
      <c r="J1043" s="65"/>
      <c r="K1043" s="65"/>
      <c r="L1043" s="65"/>
      <c r="M1043" s="65"/>
      <c r="N1043" s="65"/>
      <c r="O1043" s="81">
        <f t="shared" si="48"/>
        <v>0</v>
      </c>
      <c r="P1043" s="81">
        <f t="shared" si="49"/>
        <v>0</v>
      </c>
      <c r="Q1043" s="65"/>
      <c r="R1043" s="67"/>
      <c r="S1043" s="83">
        <f t="shared" si="50"/>
        <v>0</v>
      </c>
    </row>
    <row r="1044" spans="1:19" ht="18" customHeight="1" x14ac:dyDescent="0.25">
      <c r="A1044" s="68"/>
      <c r="B1044" s="69"/>
      <c r="C1044" s="74"/>
      <c r="D1044" s="69"/>
      <c r="E1044" s="68"/>
      <c r="F1044" s="71"/>
      <c r="G1044" s="72"/>
      <c r="H1044" s="73"/>
      <c r="I1044" s="74"/>
      <c r="J1044" s="74"/>
      <c r="K1044" s="74"/>
      <c r="L1044" s="74"/>
      <c r="M1044" s="74"/>
      <c r="N1044" s="74"/>
      <c r="O1044" s="82">
        <f t="shared" si="48"/>
        <v>0</v>
      </c>
      <c r="P1044" s="82">
        <f t="shared" si="49"/>
        <v>0</v>
      </c>
      <c r="Q1044" s="74"/>
      <c r="R1044" s="76"/>
      <c r="S1044" s="84">
        <f t="shared" si="50"/>
        <v>0</v>
      </c>
    </row>
    <row r="1045" spans="1:19" ht="18" customHeight="1" x14ac:dyDescent="0.25">
      <c r="A1045" s="59"/>
      <c r="B1045" s="60"/>
      <c r="C1045" s="65"/>
      <c r="D1045" s="60"/>
      <c r="E1045" s="59"/>
      <c r="F1045" s="62"/>
      <c r="G1045" s="63"/>
      <c r="H1045" s="64"/>
      <c r="I1045" s="65"/>
      <c r="J1045" s="65"/>
      <c r="K1045" s="65"/>
      <c r="L1045" s="65"/>
      <c r="M1045" s="65"/>
      <c r="N1045" s="65"/>
      <c r="O1045" s="81">
        <f t="shared" si="48"/>
        <v>0</v>
      </c>
      <c r="P1045" s="81">
        <f t="shared" si="49"/>
        <v>0</v>
      </c>
      <c r="Q1045" s="65"/>
      <c r="R1045" s="67"/>
      <c r="S1045" s="83">
        <f t="shared" si="50"/>
        <v>0</v>
      </c>
    </row>
    <row r="1046" spans="1:19" ht="18" customHeight="1" x14ac:dyDescent="0.25">
      <c r="A1046" s="68"/>
      <c r="B1046" s="69"/>
      <c r="C1046" s="74"/>
      <c r="D1046" s="69"/>
      <c r="E1046" s="68"/>
      <c r="F1046" s="71"/>
      <c r="G1046" s="72"/>
      <c r="H1046" s="73"/>
      <c r="I1046" s="74"/>
      <c r="J1046" s="74"/>
      <c r="K1046" s="74"/>
      <c r="L1046" s="74"/>
      <c r="M1046" s="74"/>
      <c r="N1046" s="74"/>
      <c r="O1046" s="82">
        <f t="shared" si="48"/>
        <v>0</v>
      </c>
      <c r="P1046" s="82">
        <f t="shared" si="49"/>
        <v>0</v>
      </c>
      <c r="Q1046" s="74"/>
      <c r="R1046" s="76"/>
      <c r="S1046" s="84">
        <f t="shared" si="50"/>
        <v>0</v>
      </c>
    </row>
    <row r="1047" spans="1:19" ht="18" customHeight="1" x14ac:dyDescent="0.25">
      <c r="A1047" s="59"/>
      <c r="B1047" s="60"/>
      <c r="C1047" s="65"/>
      <c r="D1047" s="60"/>
      <c r="E1047" s="59"/>
      <c r="F1047" s="62"/>
      <c r="G1047" s="63"/>
      <c r="H1047" s="64"/>
      <c r="I1047" s="65"/>
      <c r="J1047" s="65"/>
      <c r="K1047" s="65"/>
      <c r="L1047" s="65"/>
      <c r="M1047" s="65"/>
      <c r="N1047" s="65"/>
      <c r="O1047" s="81">
        <f t="shared" si="48"/>
        <v>0</v>
      </c>
      <c r="P1047" s="81">
        <f t="shared" si="49"/>
        <v>0</v>
      </c>
      <c r="Q1047" s="65"/>
      <c r="R1047" s="67"/>
      <c r="S1047" s="83">
        <f t="shared" si="50"/>
        <v>0</v>
      </c>
    </row>
    <row r="1048" spans="1:19" ht="18" customHeight="1" x14ac:dyDescent="0.25">
      <c r="A1048" s="68"/>
      <c r="B1048" s="69"/>
      <c r="C1048" s="74"/>
      <c r="D1048" s="69"/>
      <c r="E1048" s="68"/>
      <c r="F1048" s="71"/>
      <c r="G1048" s="72"/>
      <c r="H1048" s="73"/>
      <c r="I1048" s="74"/>
      <c r="J1048" s="74"/>
      <c r="K1048" s="74"/>
      <c r="L1048" s="74"/>
      <c r="M1048" s="74"/>
      <c r="N1048" s="74"/>
      <c r="O1048" s="82">
        <f t="shared" si="48"/>
        <v>0</v>
      </c>
      <c r="P1048" s="82">
        <f t="shared" si="49"/>
        <v>0</v>
      </c>
      <c r="Q1048" s="74"/>
      <c r="R1048" s="76"/>
      <c r="S1048" s="84">
        <f t="shared" si="50"/>
        <v>0</v>
      </c>
    </row>
    <row r="1049" spans="1:19" ht="18" customHeight="1" x14ac:dyDescent="0.25">
      <c r="A1049" s="59"/>
      <c r="B1049" s="60"/>
      <c r="C1049" s="65"/>
      <c r="D1049" s="60"/>
      <c r="E1049" s="59"/>
      <c r="F1049" s="62"/>
      <c r="G1049" s="63"/>
      <c r="H1049" s="64"/>
      <c r="I1049" s="65"/>
      <c r="J1049" s="65"/>
      <c r="K1049" s="65"/>
      <c r="L1049" s="65"/>
      <c r="M1049" s="65"/>
      <c r="N1049" s="65"/>
      <c r="O1049" s="81">
        <f t="shared" si="48"/>
        <v>0</v>
      </c>
      <c r="P1049" s="81">
        <f t="shared" si="49"/>
        <v>0</v>
      </c>
      <c r="Q1049" s="65"/>
      <c r="R1049" s="67"/>
      <c r="S1049" s="83">
        <f t="shared" si="50"/>
        <v>0</v>
      </c>
    </row>
    <row r="1050" spans="1:19" ht="18" customHeight="1" x14ac:dyDescent="0.25">
      <c r="A1050" s="68"/>
      <c r="B1050" s="69"/>
      <c r="C1050" s="74"/>
      <c r="D1050" s="69"/>
      <c r="E1050" s="68"/>
      <c r="F1050" s="71"/>
      <c r="G1050" s="72"/>
      <c r="H1050" s="73"/>
      <c r="I1050" s="74"/>
      <c r="J1050" s="74"/>
      <c r="K1050" s="74"/>
      <c r="L1050" s="74"/>
      <c r="M1050" s="74"/>
      <c r="N1050" s="74"/>
      <c r="O1050" s="82">
        <f t="shared" si="48"/>
        <v>0</v>
      </c>
      <c r="P1050" s="82">
        <f t="shared" si="49"/>
        <v>0</v>
      </c>
      <c r="Q1050" s="74"/>
      <c r="R1050" s="76"/>
      <c r="S1050" s="84">
        <f t="shared" si="50"/>
        <v>0</v>
      </c>
    </row>
    <row r="1051" spans="1:19" ht="18" customHeight="1" x14ac:dyDescent="0.25">
      <c r="A1051" s="59"/>
      <c r="B1051" s="60"/>
      <c r="C1051" s="65"/>
      <c r="D1051" s="60"/>
      <c r="E1051" s="59"/>
      <c r="F1051" s="62"/>
      <c r="G1051" s="63"/>
      <c r="H1051" s="64"/>
      <c r="I1051" s="65"/>
      <c r="J1051" s="65"/>
      <c r="K1051" s="65"/>
      <c r="L1051" s="65"/>
      <c r="M1051" s="65"/>
      <c r="N1051" s="65"/>
      <c r="O1051" s="81">
        <f t="shared" si="48"/>
        <v>0</v>
      </c>
      <c r="P1051" s="81">
        <f t="shared" si="49"/>
        <v>0</v>
      </c>
      <c r="Q1051" s="65"/>
      <c r="R1051" s="67"/>
      <c r="S1051" s="83">
        <f t="shared" si="50"/>
        <v>0</v>
      </c>
    </row>
    <row r="1052" spans="1:19" ht="18" customHeight="1" x14ac:dyDescent="0.25">
      <c r="A1052" s="68"/>
      <c r="B1052" s="69"/>
      <c r="C1052" s="74"/>
      <c r="D1052" s="69"/>
      <c r="E1052" s="68"/>
      <c r="F1052" s="71"/>
      <c r="G1052" s="72"/>
      <c r="H1052" s="73"/>
      <c r="I1052" s="74"/>
      <c r="J1052" s="74"/>
      <c r="K1052" s="74"/>
      <c r="L1052" s="74"/>
      <c r="M1052" s="74"/>
      <c r="N1052" s="74"/>
      <c r="O1052" s="82">
        <f t="shared" si="48"/>
        <v>0</v>
      </c>
      <c r="P1052" s="82">
        <f t="shared" si="49"/>
        <v>0</v>
      </c>
      <c r="Q1052" s="74"/>
      <c r="R1052" s="76"/>
      <c r="S1052" s="84">
        <f t="shared" si="50"/>
        <v>0</v>
      </c>
    </row>
    <row r="1053" spans="1:19" ht="18" customHeight="1" x14ac:dyDescent="0.25">
      <c r="A1053" s="59"/>
      <c r="B1053" s="60"/>
      <c r="C1053" s="65"/>
      <c r="D1053" s="60"/>
      <c r="E1053" s="59"/>
      <c r="F1053" s="62"/>
      <c r="G1053" s="63"/>
      <c r="H1053" s="64"/>
      <c r="I1053" s="65"/>
      <c r="J1053" s="65"/>
      <c r="K1053" s="65"/>
      <c r="L1053" s="65"/>
      <c r="M1053" s="65"/>
      <c r="N1053" s="65"/>
      <c r="O1053" s="81">
        <f t="shared" si="48"/>
        <v>0</v>
      </c>
      <c r="P1053" s="81">
        <f t="shared" si="49"/>
        <v>0</v>
      </c>
      <c r="Q1053" s="65"/>
      <c r="R1053" s="67"/>
      <c r="S1053" s="83">
        <f t="shared" si="50"/>
        <v>0</v>
      </c>
    </row>
    <row r="1054" spans="1:19" ht="18" customHeight="1" x14ac:dyDescent="0.25">
      <c r="A1054" s="68"/>
      <c r="B1054" s="69"/>
      <c r="C1054" s="74"/>
      <c r="D1054" s="69"/>
      <c r="E1054" s="68"/>
      <c r="F1054" s="71"/>
      <c r="G1054" s="72"/>
      <c r="H1054" s="73"/>
      <c r="I1054" s="74"/>
      <c r="J1054" s="74"/>
      <c r="K1054" s="74"/>
      <c r="L1054" s="74"/>
      <c r="M1054" s="74"/>
      <c r="N1054" s="74"/>
      <c r="O1054" s="82">
        <f t="shared" si="48"/>
        <v>0</v>
      </c>
      <c r="P1054" s="82">
        <f t="shared" si="49"/>
        <v>0</v>
      </c>
      <c r="Q1054" s="74"/>
      <c r="R1054" s="76"/>
      <c r="S1054" s="84">
        <f t="shared" si="50"/>
        <v>0</v>
      </c>
    </row>
    <row r="1055" spans="1:19" ht="18" customHeight="1" x14ac:dyDescent="0.25">
      <c r="A1055" s="59"/>
      <c r="B1055" s="60"/>
      <c r="C1055" s="65"/>
      <c r="D1055" s="60"/>
      <c r="E1055" s="59"/>
      <c r="F1055" s="62"/>
      <c r="G1055" s="63"/>
      <c r="H1055" s="64"/>
      <c r="I1055" s="65"/>
      <c r="J1055" s="65"/>
      <c r="K1055" s="65"/>
      <c r="L1055" s="65"/>
      <c r="M1055" s="65"/>
      <c r="N1055" s="65"/>
      <c r="O1055" s="81">
        <f t="shared" si="48"/>
        <v>0</v>
      </c>
      <c r="P1055" s="81">
        <f t="shared" si="49"/>
        <v>0</v>
      </c>
      <c r="Q1055" s="65"/>
      <c r="R1055" s="67"/>
      <c r="S1055" s="83">
        <f t="shared" si="50"/>
        <v>0</v>
      </c>
    </row>
    <row r="1056" spans="1:19" ht="18" customHeight="1" x14ac:dyDescent="0.25">
      <c r="A1056" s="68"/>
      <c r="B1056" s="69"/>
      <c r="C1056" s="74"/>
      <c r="D1056" s="69"/>
      <c r="E1056" s="68"/>
      <c r="F1056" s="71"/>
      <c r="G1056" s="72"/>
      <c r="H1056" s="73"/>
      <c r="I1056" s="74"/>
      <c r="J1056" s="74"/>
      <c r="K1056" s="74"/>
      <c r="L1056" s="74"/>
      <c r="M1056" s="74"/>
      <c r="N1056" s="74"/>
      <c r="O1056" s="82">
        <f t="shared" si="48"/>
        <v>0</v>
      </c>
      <c r="P1056" s="82">
        <f t="shared" si="49"/>
        <v>0</v>
      </c>
      <c r="Q1056" s="74"/>
      <c r="R1056" s="76"/>
      <c r="S1056" s="84">
        <f t="shared" si="50"/>
        <v>0</v>
      </c>
    </row>
    <row r="1057" spans="1:19" ht="18" customHeight="1" x14ac:dyDescent="0.25">
      <c r="A1057" s="59"/>
      <c r="B1057" s="60"/>
      <c r="C1057" s="65"/>
      <c r="D1057" s="60"/>
      <c r="E1057" s="59"/>
      <c r="F1057" s="62"/>
      <c r="G1057" s="63"/>
      <c r="H1057" s="64"/>
      <c r="I1057" s="65"/>
      <c r="J1057" s="65"/>
      <c r="K1057" s="65"/>
      <c r="L1057" s="65"/>
      <c r="M1057" s="65"/>
      <c r="N1057" s="65"/>
      <c r="O1057" s="81">
        <f t="shared" si="48"/>
        <v>0</v>
      </c>
      <c r="P1057" s="81">
        <f t="shared" si="49"/>
        <v>0</v>
      </c>
      <c r="Q1057" s="65"/>
      <c r="R1057" s="67"/>
      <c r="S1057" s="83">
        <f t="shared" si="50"/>
        <v>0</v>
      </c>
    </row>
    <row r="1058" spans="1:19" ht="18" customHeight="1" x14ac:dyDescent="0.25">
      <c r="A1058" s="68"/>
      <c r="B1058" s="69"/>
      <c r="C1058" s="74"/>
      <c r="D1058" s="69"/>
      <c r="E1058" s="68"/>
      <c r="F1058" s="71"/>
      <c r="G1058" s="72"/>
      <c r="H1058" s="73"/>
      <c r="I1058" s="74"/>
      <c r="J1058" s="74"/>
      <c r="K1058" s="74"/>
      <c r="L1058" s="74"/>
      <c r="M1058" s="74"/>
      <c r="N1058" s="74"/>
      <c r="O1058" s="82">
        <f t="shared" si="48"/>
        <v>0</v>
      </c>
      <c r="P1058" s="82">
        <f t="shared" si="49"/>
        <v>0</v>
      </c>
      <c r="Q1058" s="74"/>
      <c r="R1058" s="76"/>
      <c r="S1058" s="84">
        <f t="shared" si="50"/>
        <v>0</v>
      </c>
    </row>
    <row r="1059" spans="1:19" ht="18" customHeight="1" x14ac:dyDescent="0.25">
      <c r="A1059" s="59"/>
      <c r="B1059" s="60"/>
      <c r="C1059" s="65"/>
      <c r="D1059" s="60"/>
      <c r="E1059" s="59"/>
      <c r="F1059" s="62"/>
      <c r="G1059" s="63"/>
      <c r="H1059" s="64"/>
      <c r="I1059" s="65"/>
      <c r="J1059" s="65"/>
      <c r="K1059" s="65"/>
      <c r="L1059" s="65"/>
      <c r="M1059" s="65"/>
      <c r="N1059" s="65"/>
      <c r="O1059" s="81">
        <f t="shared" si="48"/>
        <v>0</v>
      </c>
      <c r="P1059" s="81">
        <f t="shared" si="49"/>
        <v>0</v>
      </c>
      <c r="Q1059" s="65"/>
      <c r="R1059" s="67"/>
      <c r="S1059" s="83">
        <f t="shared" si="50"/>
        <v>0</v>
      </c>
    </row>
    <row r="1060" spans="1:19" ht="18" customHeight="1" x14ac:dyDescent="0.25">
      <c r="A1060" s="68"/>
      <c r="B1060" s="69"/>
      <c r="C1060" s="74"/>
      <c r="D1060" s="69"/>
      <c r="E1060" s="68"/>
      <c r="F1060" s="71"/>
      <c r="G1060" s="72"/>
      <c r="H1060" s="73"/>
      <c r="I1060" s="74"/>
      <c r="J1060" s="74"/>
      <c r="K1060" s="74"/>
      <c r="L1060" s="74"/>
      <c r="M1060" s="74"/>
      <c r="N1060" s="74"/>
      <c r="O1060" s="82">
        <f t="shared" si="48"/>
        <v>0</v>
      </c>
      <c r="P1060" s="82">
        <f t="shared" si="49"/>
        <v>0</v>
      </c>
      <c r="Q1060" s="74"/>
      <c r="R1060" s="76"/>
      <c r="S1060" s="84">
        <f t="shared" si="50"/>
        <v>0</v>
      </c>
    </row>
    <row r="1061" spans="1:19" ht="18" customHeight="1" x14ac:dyDescent="0.25">
      <c r="A1061" s="59"/>
      <c r="B1061" s="60"/>
      <c r="C1061" s="65"/>
      <c r="D1061" s="60"/>
      <c r="E1061" s="59"/>
      <c r="F1061" s="62"/>
      <c r="G1061" s="63"/>
      <c r="H1061" s="64"/>
      <c r="I1061" s="65"/>
      <c r="J1061" s="65"/>
      <c r="K1061" s="65"/>
      <c r="L1061" s="65"/>
      <c r="M1061" s="65"/>
      <c r="N1061" s="65"/>
      <c r="O1061" s="81">
        <f t="shared" si="48"/>
        <v>0</v>
      </c>
      <c r="P1061" s="81">
        <f t="shared" si="49"/>
        <v>0</v>
      </c>
      <c r="Q1061" s="65"/>
      <c r="R1061" s="67"/>
      <c r="S1061" s="83">
        <f t="shared" si="50"/>
        <v>0</v>
      </c>
    </row>
    <row r="1062" spans="1:19" ht="18" customHeight="1" x14ac:dyDescent="0.25">
      <c r="A1062" s="68"/>
      <c r="B1062" s="69"/>
      <c r="C1062" s="74"/>
      <c r="D1062" s="69"/>
      <c r="E1062" s="68"/>
      <c r="F1062" s="71"/>
      <c r="G1062" s="72"/>
      <c r="H1062" s="73"/>
      <c r="I1062" s="74"/>
      <c r="J1062" s="74"/>
      <c r="K1062" s="74"/>
      <c r="L1062" s="74"/>
      <c r="M1062" s="74"/>
      <c r="N1062" s="74"/>
      <c r="O1062" s="82">
        <f t="shared" si="48"/>
        <v>0</v>
      </c>
      <c r="P1062" s="82">
        <f t="shared" si="49"/>
        <v>0</v>
      </c>
      <c r="Q1062" s="74"/>
      <c r="R1062" s="76"/>
      <c r="S1062" s="84">
        <f t="shared" si="50"/>
        <v>0</v>
      </c>
    </row>
    <row r="1063" spans="1:19" ht="18" customHeight="1" x14ac:dyDescent="0.25">
      <c r="A1063" s="59"/>
      <c r="B1063" s="60"/>
      <c r="C1063" s="65"/>
      <c r="D1063" s="60"/>
      <c r="E1063" s="59"/>
      <c r="F1063" s="62"/>
      <c r="G1063" s="63"/>
      <c r="H1063" s="64"/>
      <c r="I1063" s="65"/>
      <c r="J1063" s="65"/>
      <c r="K1063" s="65"/>
      <c r="L1063" s="65"/>
      <c r="M1063" s="65"/>
      <c r="N1063" s="65"/>
      <c r="O1063" s="81">
        <f t="shared" si="48"/>
        <v>0</v>
      </c>
      <c r="P1063" s="81">
        <f t="shared" si="49"/>
        <v>0</v>
      </c>
      <c r="Q1063" s="65"/>
      <c r="R1063" s="67"/>
      <c r="S1063" s="83">
        <f t="shared" si="50"/>
        <v>0</v>
      </c>
    </row>
    <row r="1064" spans="1:19" ht="18" customHeight="1" x14ac:dyDescent="0.25">
      <c r="A1064" s="68"/>
      <c r="B1064" s="69"/>
      <c r="C1064" s="74"/>
      <c r="D1064" s="69"/>
      <c r="E1064" s="68"/>
      <c r="F1064" s="71"/>
      <c r="G1064" s="72"/>
      <c r="H1064" s="73"/>
      <c r="I1064" s="74"/>
      <c r="J1064" s="74"/>
      <c r="K1064" s="74"/>
      <c r="L1064" s="74"/>
      <c r="M1064" s="74"/>
      <c r="N1064" s="74"/>
      <c r="O1064" s="82">
        <f t="shared" si="48"/>
        <v>0</v>
      </c>
      <c r="P1064" s="82">
        <f t="shared" si="49"/>
        <v>0</v>
      </c>
      <c r="Q1064" s="74"/>
      <c r="R1064" s="76"/>
      <c r="S1064" s="84">
        <f t="shared" si="50"/>
        <v>0</v>
      </c>
    </row>
    <row r="1065" spans="1:19" ht="18" customHeight="1" x14ac:dyDescent="0.25">
      <c r="A1065" s="59"/>
      <c r="B1065" s="60"/>
      <c r="C1065" s="65"/>
      <c r="D1065" s="60"/>
      <c r="E1065" s="59"/>
      <c r="F1065" s="62"/>
      <c r="G1065" s="63"/>
      <c r="H1065" s="64"/>
      <c r="I1065" s="65"/>
      <c r="J1065" s="65"/>
      <c r="K1065" s="65"/>
      <c r="L1065" s="65"/>
      <c r="M1065" s="65"/>
      <c r="N1065" s="65"/>
      <c r="O1065" s="81">
        <f t="shared" si="48"/>
        <v>0</v>
      </c>
      <c r="P1065" s="81">
        <f t="shared" si="49"/>
        <v>0</v>
      </c>
      <c r="Q1065" s="65"/>
      <c r="R1065" s="67"/>
      <c r="S1065" s="83">
        <f t="shared" si="50"/>
        <v>0</v>
      </c>
    </row>
    <row r="1066" spans="1:19" ht="18" customHeight="1" x14ac:dyDescent="0.25">
      <c r="A1066" s="68"/>
      <c r="B1066" s="69"/>
      <c r="C1066" s="74"/>
      <c r="D1066" s="69"/>
      <c r="E1066" s="68"/>
      <c r="F1066" s="71"/>
      <c r="G1066" s="72"/>
      <c r="H1066" s="73"/>
      <c r="I1066" s="74"/>
      <c r="J1066" s="74"/>
      <c r="K1066" s="74"/>
      <c r="L1066" s="74"/>
      <c r="M1066" s="74"/>
      <c r="N1066" s="74"/>
      <c r="O1066" s="82">
        <f t="shared" si="48"/>
        <v>0</v>
      </c>
      <c r="P1066" s="82">
        <f t="shared" si="49"/>
        <v>0</v>
      </c>
      <c r="Q1066" s="74"/>
      <c r="R1066" s="76"/>
      <c r="S1066" s="84">
        <f t="shared" si="50"/>
        <v>0</v>
      </c>
    </row>
    <row r="1067" spans="1:19" ht="18" customHeight="1" x14ac:dyDescent="0.25">
      <c r="A1067" s="59"/>
      <c r="B1067" s="60"/>
      <c r="C1067" s="65"/>
      <c r="D1067" s="60"/>
      <c r="E1067" s="59"/>
      <c r="F1067" s="62"/>
      <c r="G1067" s="63"/>
      <c r="H1067" s="64"/>
      <c r="I1067" s="65"/>
      <c r="J1067" s="65"/>
      <c r="K1067" s="65"/>
      <c r="L1067" s="65"/>
      <c r="M1067" s="65"/>
      <c r="N1067" s="65"/>
      <c r="O1067" s="81">
        <f t="shared" si="48"/>
        <v>0</v>
      </c>
      <c r="P1067" s="81">
        <f t="shared" si="49"/>
        <v>0</v>
      </c>
      <c r="Q1067" s="65"/>
      <c r="R1067" s="67"/>
      <c r="S1067" s="83">
        <f t="shared" si="50"/>
        <v>0</v>
      </c>
    </row>
    <row r="1068" spans="1:19" ht="18" customHeight="1" x14ac:dyDescent="0.25">
      <c r="A1068" s="68"/>
      <c r="B1068" s="69"/>
      <c r="C1068" s="74"/>
      <c r="D1068" s="69"/>
      <c r="E1068" s="68"/>
      <c r="F1068" s="71"/>
      <c r="G1068" s="72"/>
      <c r="H1068" s="73"/>
      <c r="I1068" s="74"/>
      <c r="J1068" s="74"/>
      <c r="K1068" s="74"/>
      <c r="L1068" s="74"/>
      <c r="M1068" s="74"/>
      <c r="N1068" s="74"/>
      <c r="O1068" s="82">
        <f t="shared" si="48"/>
        <v>0</v>
      </c>
      <c r="P1068" s="82">
        <f t="shared" si="49"/>
        <v>0</v>
      </c>
      <c r="Q1068" s="74"/>
      <c r="R1068" s="76"/>
      <c r="S1068" s="84">
        <f t="shared" si="50"/>
        <v>0</v>
      </c>
    </row>
    <row r="1069" spans="1:19" ht="18" customHeight="1" x14ac:dyDescent="0.25">
      <c r="A1069" s="59"/>
      <c r="B1069" s="60"/>
      <c r="C1069" s="65"/>
      <c r="D1069" s="60"/>
      <c r="E1069" s="59"/>
      <c r="F1069" s="62"/>
      <c r="G1069" s="63"/>
      <c r="H1069" s="64"/>
      <c r="I1069" s="65"/>
      <c r="J1069" s="65"/>
      <c r="K1069" s="65"/>
      <c r="L1069" s="65"/>
      <c r="M1069" s="65"/>
      <c r="N1069" s="65"/>
      <c r="O1069" s="81">
        <f t="shared" si="48"/>
        <v>0</v>
      </c>
      <c r="P1069" s="81">
        <f t="shared" si="49"/>
        <v>0</v>
      </c>
      <c r="Q1069" s="65"/>
      <c r="R1069" s="67"/>
      <c r="S1069" s="83">
        <f t="shared" si="50"/>
        <v>0</v>
      </c>
    </row>
    <row r="1070" spans="1:19" ht="18" customHeight="1" x14ac:dyDescent="0.25">
      <c r="A1070" s="68"/>
      <c r="B1070" s="69"/>
      <c r="C1070" s="74"/>
      <c r="D1070" s="69"/>
      <c r="E1070" s="68"/>
      <c r="F1070" s="71"/>
      <c r="G1070" s="72"/>
      <c r="H1070" s="73"/>
      <c r="I1070" s="74"/>
      <c r="J1070" s="74"/>
      <c r="K1070" s="74"/>
      <c r="L1070" s="74"/>
      <c r="M1070" s="74"/>
      <c r="N1070" s="74"/>
      <c r="O1070" s="82">
        <f t="shared" si="48"/>
        <v>0</v>
      </c>
      <c r="P1070" s="82">
        <f t="shared" si="49"/>
        <v>0</v>
      </c>
      <c r="Q1070" s="74"/>
      <c r="R1070" s="76"/>
      <c r="S1070" s="84">
        <f t="shared" si="50"/>
        <v>0</v>
      </c>
    </row>
    <row r="1071" spans="1:19" ht="18" customHeight="1" x14ac:dyDescent="0.25">
      <c r="A1071" s="59"/>
      <c r="B1071" s="60"/>
      <c r="C1071" s="65"/>
      <c r="D1071" s="60"/>
      <c r="E1071" s="59"/>
      <c r="F1071" s="62"/>
      <c r="G1071" s="63"/>
      <c r="H1071" s="64"/>
      <c r="I1071" s="65"/>
      <c r="J1071" s="65"/>
      <c r="K1071" s="65"/>
      <c r="L1071" s="65"/>
      <c r="M1071" s="65"/>
      <c r="N1071" s="65"/>
      <c r="O1071" s="81">
        <f t="shared" si="48"/>
        <v>0</v>
      </c>
      <c r="P1071" s="81">
        <f t="shared" si="49"/>
        <v>0</v>
      </c>
      <c r="Q1071" s="65"/>
      <c r="R1071" s="67"/>
      <c r="S1071" s="83">
        <f t="shared" si="50"/>
        <v>0</v>
      </c>
    </row>
    <row r="1072" spans="1:19" ht="18" customHeight="1" x14ac:dyDescent="0.25">
      <c r="A1072" s="68"/>
      <c r="B1072" s="69"/>
      <c r="C1072" s="74"/>
      <c r="D1072" s="69"/>
      <c r="E1072" s="68"/>
      <c r="F1072" s="71"/>
      <c r="G1072" s="72"/>
      <c r="H1072" s="73"/>
      <c r="I1072" s="74"/>
      <c r="J1072" s="74"/>
      <c r="K1072" s="74"/>
      <c r="L1072" s="74"/>
      <c r="M1072" s="74"/>
      <c r="N1072" s="74"/>
      <c r="O1072" s="82">
        <f t="shared" si="48"/>
        <v>0</v>
      </c>
      <c r="P1072" s="82">
        <f t="shared" si="49"/>
        <v>0</v>
      </c>
      <c r="Q1072" s="74"/>
      <c r="R1072" s="76"/>
      <c r="S1072" s="84">
        <f t="shared" si="50"/>
        <v>0</v>
      </c>
    </row>
    <row r="1073" spans="1:19" ht="18" customHeight="1" x14ac:dyDescent="0.25">
      <c r="A1073" s="59"/>
      <c r="B1073" s="60"/>
      <c r="C1073" s="65"/>
      <c r="D1073" s="60"/>
      <c r="E1073" s="59"/>
      <c r="F1073" s="62"/>
      <c r="G1073" s="63"/>
      <c r="H1073" s="64"/>
      <c r="I1073" s="65"/>
      <c r="J1073" s="65"/>
      <c r="K1073" s="65"/>
      <c r="L1073" s="65"/>
      <c r="M1073" s="65"/>
      <c r="N1073" s="65"/>
      <c r="O1073" s="81">
        <f t="shared" si="48"/>
        <v>0</v>
      </c>
      <c r="P1073" s="81">
        <f t="shared" si="49"/>
        <v>0</v>
      </c>
      <c r="Q1073" s="65"/>
      <c r="R1073" s="67"/>
      <c r="S1073" s="83">
        <f t="shared" si="50"/>
        <v>0</v>
      </c>
    </row>
    <row r="1074" spans="1:19" ht="18" customHeight="1" x14ac:dyDescent="0.25">
      <c r="A1074" s="68"/>
      <c r="B1074" s="69"/>
      <c r="C1074" s="74"/>
      <c r="D1074" s="69"/>
      <c r="E1074" s="68"/>
      <c r="F1074" s="71"/>
      <c r="G1074" s="72"/>
      <c r="H1074" s="73"/>
      <c r="I1074" s="74"/>
      <c r="J1074" s="74"/>
      <c r="K1074" s="74"/>
      <c r="L1074" s="74"/>
      <c r="M1074" s="74"/>
      <c r="N1074" s="74"/>
      <c r="O1074" s="82">
        <f t="shared" si="48"/>
        <v>0</v>
      </c>
      <c r="P1074" s="82">
        <f t="shared" si="49"/>
        <v>0</v>
      </c>
      <c r="Q1074" s="74"/>
      <c r="R1074" s="76"/>
      <c r="S1074" s="84">
        <f t="shared" si="50"/>
        <v>0</v>
      </c>
    </row>
    <row r="1075" spans="1:19" ht="18" customHeight="1" x14ac:dyDescent="0.25">
      <c r="A1075" s="59"/>
      <c r="B1075" s="60"/>
      <c r="C1075" s="65"/>
      <c r="D1075" s="60"/>
      <c r="E1075" s="59"/>
      <c r="F1075" s="62"/>
      <c r="G1075" s="63"/>
      <c r="H1075" s="64"/>
      <c r="I1075" s="65"/>
      <c r="J1075" s="65"/>
      <c r="K1075" s="65"/>
      <c r="L1075" s="65"/>
      <c r="M1075" s="65"/>
      <c r="N1075" s="65"/>
      <c r="O1075" s="81">
        <f t="shared" si="48"/>
        <v>0</v>
      </c>
      <c r="P1075" s="81">
        <f t="shared" si="49"/>
        <v>0</v>
      </c>
      <c r="Q1075" s="65"/>
      <c r="R1075" s="67"/>
      <c r="S1075" s="83">
        <f t="shared" si="50"/>
        <v>0</v>
      </c>
    </row>
    <row r="1076" spans="1:19" ht="18" customHeight="1" x14ac:dyDescent="0.25">
      <c r="A1076" s="68"/>
      <c r="B1076" s="69"/>
      <c r="C1076" s="74"/>
      <c r="D1076" s="69"/>
      <c r="E1076" s="68"/>
      <c r="F1076" s="71"/>
      <c r="G1076" s="72"/>
      <c r="H1076" s="73"/>
      <c r="I1076" s="74"/>
      <c r="J1076" s="74"/>
      <c r="K1076" s="74"/>
      <c r="L1076" s="74"/>
      <c r="M1076" s="74"/>
      <c r="N1076" s="74"/>
      <c r="O1076" s="82">
        <f t="shared" si="48"/>
        <v>0</v>
      </c>
      <c r="P1076" s="82">
        <f t="shared" si="49"/>
        <v>0</v>
      </c>
      <c r="Q1076" s="74"/>
      <c r="R1076" s="76"/>
      <c r="S1076" s="84">
        <f t="shared" si="50"/>
        <v>0</v>
      </c>
    </row>
    <row r="1077" spans="1:19" ht="18" customHeight="1" x14ac:dyDescent="0.25">
      <c r="A1077" s="59"/>
      <c r="B1077" s="60"/>
      <c r="C1077" s="65"/>
      <c r="D1077" s="60"/>
      <c r="E1077" s="59"/>
      <c r="F1077" s="62"/>
      <c r="G1077" s="63"/>
      <c r="H1077" s="64"/>
      <c r="I1077" s="65"/>
      <c r="J1077" s="65"/>
      <c r="K1077" s="65"/>
      <c r="L1077" s="65"/>
      <c r="M1077" s="65"/>
      <c r="N1077" s="65"/>
      <c r="O1077" s="81">
        <f t="shared" si="48"/>
        <v>0</v>
      </c>
      <c r="P1077" s="81">
        <f t="shared" si="49"/>
        <v>0</v>
      </c>
      <c r="Q1077" s="65"/>
      <c r="R1077" s="67"/>
      <c r="S1077" s="83">
        <f t="shared" si="50"/>
        <v>0</v>
      </c>
    </row>
    <row r="1078" spans="1:19" ht="18" customHeight="1" x14ac:dyDescent="0.25">
      <c r="A1078" s="68"/>
      <c r="B1078" s="69"/>
      <c r="C1078" s="74"/>
      <c r="D1078" s="69"/>
      <c r="E1078" s="68"/>
      <c r="F1078" s="71"/>
      <c r="G1078" s="72"/>
      <c r="H1078" s="73"/>
      <c r="I1078" s="74"/>
      <c r="J1078" s="74"/>
      <c r="K1078" s="74"/>
      <c r="L1078" s="74"/>
      <c r="M1078" s="74"/>
      <c r="N1078" s="74"/>
      <c r="O1078" s="82">
        <f t="shared" si="48"/>
        <v>0</v>
      </c>
      <c r="P1078" s="82">
        <f t="shared" si="49"/>
        <v>0</v>
      </c>
      <c r="Q1078" s="74"/>
      <c r="R1078" s="76"/>
      <c r="S1078" s="84">
        <f t="shared" si="50"/>
        <v>0</v>
      </c>
    </row>
    <row r="1079" spans="1:19" ht="18" customHeight="1" x14ac:dyDescent="0.25">
      <c r="A1079" s="59"/>
      <c r="B1079" s="60"/>
      <c r="C1079" s="65"/>
      <c r="D1079" s="60"/>
      <c r="E1079" s="59"/>
      <c r="F1079" s="62"/>
      <c r="G1079" s="63"/>
      <c r="H1079" s="64"/>
      <c r="I1079" s="65"/>
      <c r="J1079" s="65"/>
      <c r="K1079" s="65"/>
      <c r="L1079" s="65"/>
      <c r="M1079" s="65"/>
      <c r="N1079" s="65"/>
      <c r="O1079" s="81">
        <f t="shared" si="48"/>
        <v>0</v>
      </c>
      <c r="P1079" s="81">
        <f t="shared" si="49"/>
        <v>0</v>
      </c>
      <c r="Q1079" s="65"/>
      <c r="R1079" s="67"/>
      <c r="S1079" s="83">
        <f t="shared" si="50"/>
        <v>0</v>
      </c>
    </row>
    <row r="1080" spans="1:19" ht="18" customHeight="1" x14ac:dyDescent="0.25">
      <c r="A1080" s="68"/>
      <c r="B1080" s="69"/>
      <c r="C1080" s="74"/>
      <c r="D1080" s="69"/>
      <c r="E1080" s="68"/>
      <c r="F1080" s="71"/>
      <c r="G1080" s="72"/>
      <c r="H1080" s="73"/>
      <c r="I1080" s="74"/>
      <c r="J1080" s="74"/>
      <c r="K1080" s="74"/>
      <c r="L1080" s="74"/>
      <c r="M1080" s="74"/>
      <c r="N1080" s="74"/>
      <c r="O1080" s="82">
        <f t="shared" si="48"/>
        <v>0</v>
      </c>
      <c r="P1080" s="82">
        <f t="shared" si="49"/>
        <v>0</v>
      </c>
      <c r="Q1080" s="74"/>
      <c r="R1080" s="76"/>
      <c r="S1080" s="84">
        <f t="shared" si="50"/>
        <v>0</v>
      </c>
    </row>
    <row r="1081" spans="1:19" ht="18" customHeight="1" x14ac:dyDescent="0.25">
      <c r="A1081" s="59"/>
      <c r="B1081" s="60"/>
      <c r="C1081" s="65"/>
      <c r="D1081" s="60"/>
      <c r="E1081" s="59"/>
      <c r="F1081" s="62"/>
      <c r="G1081" s="63"/>
      <c r="H1081" s="64"/>
      <c r="I1081" s="65"/>
      <c r="J1081" s="65"/>
      <c r="K1081" s="65"/>
      <c r="L1081" s="65"/>
      <c r="M1081" s="65"/>
      <c r="N1081" s="65"/>
      <c r="O1081" s="81">
        <f t="shared" si="48"/>
        <v>0</v>
      </c>
      <c r="P1081" s="81">
        <f t="shared" si="49"/>
        <v>0</v>
      </c>
      <c r="Q1081" s="65"/>
      <c r="R1081" s="67"/>
      <c r="S1081" s="83">
        <f t="shared" si="50"/>
        <v>0</v>
      </c>
    </row>
    <row r="1082" spans="1:19" ht="18" customHeight="1" x14ac:dyDescent="0.25">
      <c r="A1082" s="68"/>
      <c r="B1082" s="69"/>
      <c r="C1082" s="74"/>
      <c r="D1082" s="69"/>
      <c r="E1082" s="68"/>
      <c r="F1082" s="71"/>
      <c r="G1082" s="72"/>
      <c r="H1082" s="73"/>
      <c r="I1082" s="74"/>
      <c r="J1082" s="74"/>
      <c r="K1082" s="74"/>
      <c r="L1082" s="74"/>
      <c r="M1082" s="74"/>
      <c r="N1082" s="74"/>
      <c r="O1082" s="82">
        <f t="shared" si="48"/>
        <v>0</v>
      </c>
      <c r="P1082" s="82">
        <f t="shared" si="49"/>
        <v>0</v>
      </c>
      <c r="Q1082" s="74"/>
      <c r="R1082" s="76"/>
      <c r="S1082" s="84">
        <f t="shared" si="50"/>
        <v>0</v>
      </c>
    </row>
    <row r="1083" spans="1:19" ht="18" customHeight="1" x14ac:dyDescent="0.25">
      <c r="A1083" s="59"/>
      <c r="B1083" s="60"/>
      <c r="C1083" s="65"/>
      <c r="D1083" s="60"/>
      <c r="E1083" s="59"/>
      <c r="F1083" s="62"/>
      <c r="G1083" s="63"/>
      <c r="H1083" s="64"/>
      <c r="I1083" s="65"/>
      <c r="J1083" s="65"/>
      <c r="K1083" s="65"/>
      <c r="L1083" s="65"/>
      <c r="M1083" s="65"/>
      <c r="N1083" s="65"/>
      <c r="O1083" s="81">
        <f t="shared" si="48"/>
        <v>0</v>
      </c>
      <c r="P1083" s="81">
        <f t="shared" si="49"/>
        <v>0</v>
      </c>
      <c r="Q1083" s="65"/>
      <c r="R1083" s="67"/>
      <c r="S1083" s="83">
        <f t="shared" si="50"/>
        <v>0</v>
      </c>
    </row>
    <row r="1084" spans="1:19" ht="18" customHeight="1" x14ac:dyDescent="0.25">
      <c r="A1084" s="68"/>
      <c r="B1084" s="69"/>
      <c r="C1084" s="74"/>
      <c r="D1084" s="69"/>
      <c r="E1084" s="68"/>
      <c r="F1084" s="71"/>
      <c r="G1084" s="72"/>
      <c r="H1084" s="73"/>
      <c r="I1084" s="74"/>
      <c r="J1084" s="74"/>
      <c r="K1084" s="74"/>
      <c r="L1084" s="74"/>
      <c r="M1084" s="74"/>
      <c r="N1084" s="74"/>
      <c r="O1084" s="82">
        <f t="shared" si="48"/>
        <v>0</v>
      </c>
      <c r="P1084" s="82">
        <f t="shared" si="49"/>
        <v>0</v>
      </c>
      <c r="Q1084" s="74"/>
      <c r="R1084" s="76"/>
      <c r="S1084" s="84">
        <f t="shared" si="50"/>
        <v>0</v>
      </c>
    </row>
    <row r="1085" spans="1:19" ht="18" customHeight="1" x14ac:dyDescent="0.25">
      <c r="A1085" s="59"/>
      <c r="B1085" s="60"/>
      <c r="C1085" s="65"/>
      <c r="D1085" s="60"/>
      <c r="E1085" s="59"/>
      <c r="F1085" s="62"/>
      <c r="G1085" s="63"/>
      <c r="H1085" s="64"/>
      <c r="I1085" s="65"/>
      <c r="J1085" s="65"/>
      <c r="K1085" s="65"/>
      <c r="L1085" s="65"/>
      <c r="M1085" s="65"/>
      <c r="N1085" s="65"/>
      <c r="O1085" s="81">
        <f t="shared" si="48"/>
        <v>0</v>
      </c>
      <c r="P1085" s="81">
        <f t="shared" si="49"/>
        <v>0</v>
      </c>
      <c r="Q1085" s="65"/>
      <c r="R1085" s="67"/>
      <c r="S1085" s="83">
        <f t="shared" si="50"/>
        <v>0</v>
      </c>
    </row>
    <row r="1086" spans="1:19" ht="18" customHeight="1" x14ac:dyDescent="0.25">
      <c r="A1086" s="68"/>
      <c r="B1086" s="69"/>
      <c r="C1086" s="74"/>
      <c r="D1086" s="69"/>
      <c r="E1086" s="68"/>
      <c r="F1086" s="71"/>
      <c r="G1086" s="72"/>
      <c r="H1086" s="73"/>
      <c r="I1086" s="74"/>
      <c r="J1086" s="74"/>
      <c r="K1086" s="74"/>
      <c r="L1086" s="74"/>
      <c r="M1086" s="74"/>
      <c r="N1086" s="74"/>
      <c r="O1086" s="82">
        <f t="shared" si="48"/>
        <v>0</v>
      </c>
      <c r="P1086" s="82">
        <f t="shared" si="49"/>
        <v>0</v>
      </c>
      <c r="Q1086" s="74"/>
      <c r="R1086" s="76"/>
      <c r="S1086" s="84">
        <f t="shared" si="50"/>
        <v>0</v>
      </c>
    </row>
    <row r="1087" spans="1:19" ht="18" customHeight="1" x14ac:dyDescent="0.25">
      <c r="A1087" s="59"/>
      <c r="B1087" s="60"/>
      <c r="C1087" s="65"/>
      <c r="D1087" s="60"/>
      <c r="E1087" s="59"/>
      <c r="F1087" s="62"/>
      <c r="G1087" s="63"/>
      <c r="H1087" s="64"/>
      <c r="I1087" s="65"/>
      <c r="J1087" s="65"/>
      <c r="K1087" s="65"/>
      <c r="L1087" s="65"/>
      <c r="M1087" s="65"/>
      <c r="N1087" s="65"/>
      <c r="O1087" s="81">
        <f t="shared" si="48"/>
        <v>0</v>
      </c>
      <c r="P1087" s="81">
        <f t="shared" si="49"/>
        <v>0</v>
      </c>
      <c r="Q1087" s="65"/>
      <c r="R1087" s="67"/>
      <c r="S1087" s="83">
        <f t="shared" si="50"/>
        <v>0</v>
      </c>
    </row>
    <row r="1088" spans="1:19" ht="18" customHeight="1" x14ac:dyDescent="0.25">
      <c r="A1088" s="68"/>
      <c r="B1088" s="69"/>
      <c r="C1088" s="74"/>
      <c r="D1088" s="69"/>
      <c r="E1088" s="68"/>
      <c r="F1088" s="71"/>
      <c r="G1088" s="72"/>
      <c r="H1088" s="73"/>
      <c r="I1088" s="74"/>
      <c r="J1088" s="74"/>
      <c r="K1088" s="74"/>
      <c r="L1088" s="74"/>
      <c r="M1088" s="74"/>
      <c r="N1088" s="74"/>
      <c r="O1088" s="82">
        <f t="shared" si="48"/>
        <v>0</v>
      </c>
      <c r="P1088" s="82">
        <f t="shared" si="49"/>
        <v>0</v>
      </c>
      <c r="Q1088" s="74"/>
      <c r="R1088" s="76"/>
      <c r="S1088" s="84">
        <f t="shared" si="50"/>
        <v>0</v>
      </c>
    </row>
    <row r="1089" spans="1:19" ht="18" customHeight="1" x14ac:dyDescent="0.25">
      <c r="A1089" s="59"/>
      <c r="B1089" s="60"/>
      <c r="C1089" s="65"/>
      <c r="D1089" s="60"/>
      <c r="E1089" s="59"/>
      <c r="F1089" s="62"/>
      <c r="G1089" s="63"/>
      <c r="H1089" s="64"/>
      <c r="I1089" s="65"/>
      <c r="J1089" s="65"/>
      <c r="K1089" s="65"/>
      <c r="L1089" s="65"/>
      <c r="M1089" s="65"/>
      <c r="N1089" s="65"/>
      <c r="O1089" s="81">
        <f t="shared" si="48"/>
        <v>0</v>
      </c>
      <c r="P1089" s="81">
        <f t="shared" si="49"/>
        <v>0</v>
      </c>
      <c r="Q1089" s="65"/>
      <c r="R1089" s="67"/>
      <c r="S1089" s="83">
        <f t="shared" si="50"/>
        <v>0</v>
      </c>
    </row>
    <row r="1090" spans="1:19" ht="18" customHeight="1" x14ac:dyDescent="0.25">
      <c r="A1090" s="68"/>
      <c r="B1090" s="69"/>
      <c r="C1090" s="74"/>
      <c r="D1090" s="69"/>
      <c r="E1090" s="68"/>
      <c r="F1090" s="71"/>
      <c r="G1090" s="72"/>
      <c r="H1090" s="73"/>
      <c r="I1090" s="74"/>
      <c r="J1090" s="74"/>
      <c r="K1090" s="74"/>
      <c r="L1090" s="74"/>
      <c r="M1090" s="74"/>
      <c r="N1090" s="74"/>
      <c r="O1090" s="82">
        <f t="shared" si="48"/>
        <v>0</v>
      </c>
      <c r="P1090" s="82">
        <f t="shared" si="49"/>
        <v>0</v>
      </c>
      <c r="Q1090" s="74"/>
      <c r="R1090" s="76"/>
      <c r="S1090" s="84">
        <f t="shared" si="50"/>
        <v>0</v>
      </c>
    </row>
    <row r="1091" spans="1:19" ht="18" customHeight="1" x14ac:dyDescent="0.25">
      <c r="A1091" s="59"/>
      <c r="B1091" s="60"/>
      <c r="C1091" s="65"/>
      <c r="D1091" s="60"/>
      <c r="E1091" s="59"/>
      <c r="F1091" s="62"/>
      <c r="G1091" s="63"/>
      <c r="H1091" s="64"/>
      <c r="I1091" s="65"/>
      <c r="J1091" s="65"/>
      <c r="K1091" s="65"/>
      <c r="L1091" s="65"/>
      <c r="M1091" s="65"/>
      <c r="N1091" s="65"/>
      <c r="O1091" s="81">
        <f t="shared" si="48"/>
        <v>0</v>
      </c>
      <c r="P1091" s="81">
        <f t="shared" si="49"/>
        <v>0</v>
      </c>
      <c r="Q1091" s="65"/>
      <c r="R1091" s="67"/>
      <c r="S1091" s="83">
        <f t="shared" si="50"/>
        <v>0</v>
      </c>
    </row>
    <row r="1092" spans="1:19" ht="18" customHeight="1" x14ac:dyDescent="0.25">
      <c r="A1092" s="68"/>
      <c r="B1092" s="69"/>
      <c r="C1092" s="74"/>
      <c r="D1092" s="69"/>
      <c r="E1092" s="68"/>
      <c r="F1092" s="71"/>
      <c r="G1092" s="72"/>
      <c r="H1092" s="73"/>
      <c r="I1092" s="74"/>
      <c r="J1092" s="74"/>
      <c r="K1092" s="74"/>
      <c r="L1092" s="74"/>
      <c r="M1092" s="74"/>
      <c r="N1092" s="74"/>
      <c r="O1092" s="82">
        <f t="shared" si="48"/>
        <v>0</v>
      </c>
      <c r="P1092" s="82">
        <f t="shared" si="49"/>
        <v>0</v>
      </c>
      <c r="Q1092" s="74"/>
      <c r="R1092" s="76"/>
      <c r="S1092" s="84">
        <f t="shared" si="50"/>
        <v>0</v>
      </c>
    </row>
    <row r="1093" spans="1:19" ht="18" customHeight="1" x14ac:dyDescent="0.25">
      <c r="A1093" s="59"/>
      <c r="B1093" s="60"/>
      <c r="C1093" s="65"/>
      <c r="D1093" s="60"/>
      <c r="E1093" s="59"/>
      <c r="F1093" s="62"/>
      <c r="G1093" s="63"/>
      <c r="H1093" s="64"/>
      <c r="I1093" s="65"/>
      <c r="J1093" s="65"/>
      <c r="K1093" s="65"/>
      <c r="L1093" s="65"/>
      <c r="M1093" s="65"/>
      <c r="N1093" s="65"/>
      <c r="O1093" s="81">
        <f t="shared" si="48"/>
        <v>0</v>
      </c>
      <c r="P1093" s="81">
        <f t="shared" si="49"/>
        <v>0</v>
      </c>
      <c r="Q1093" s="65"/>
      <c r="R1093" s="67"/>
      <c r="S1093" s="83">
        <f t="shared" si="50"/>
        <v>0</v>
      </c>
    </row>
    <row r="1094" spans="1:19" ht="18" customHeight="1" x14ac:dyDescent="0.25">
      <c r="A1094" s="68"/>
      <c r="B1094" s="69"/>
      <c r="C1094" s="74"/>
      <c r="D1094" s="69"/>
      <c r="E1094" s="68"/>
      <c r="F1094" s="71"/>
      <c r="G1094" s="72"/>
      <c r="H1094" s="73"/>
      <c r="I1094" s="74"/>
      <c r="J1094" s="74"/>
      <c r="K1094" s="74"/>
      <c r="L1094" s="74"/>
      <c r="M1094" s="74"/>
      <c r="N1094" s="74"/>
      <c r="O1094" s="82" t="e">
        <f>#N/A</f>
        <v>#N/A</v>
      </c>
      <c r="P1094" s="82" t="e">
        <f>#N/A</f>
        <v>#N/A</v>
      </c>
      <c r="Q1094" s="74"/>
      <c r="R1094" s="76"/>
      <c r="S1094" s="84">
        <f t="shared" si="50"/>
        <v>0</v>
      </c>
    </row>
    <row r="1095" spans="1:19" ht="18" customHeight="1" x14ac:dyDescent="0.25">
      <c r="A1095" s="59"/>
      <c r="B1095" s="60"/>
      <c r="C1095" s="65"/>
      <c r="D1095" s="60"/>
      <c r="E1095" s="59"/>
      <c r="F1095" s="62"/>
      <c r="G1095" s="63"/>
      <c r="H1095" s="64"/>
      <c r="I1095" s="65"/>
      <c r="J1095" s="65"/>
      <c r="K1095" s="65"/>
      <c r="L1095" s="65"/>
      <c r="M1095" s="65"/>
      <c r="N1095" s="65"/>
      <c r="O1095" s="81">
        <f t="shared" ref="O1095:O1157" si="51">IF(G1095="Reimbursement ","",I1095+J1095+K1095+L1095+M1095)</f>
        <v>0</v>
      </c>
      <c r="P1095" s="81">
        <f t="shared" ref="P1095:P1157" si="52">IF(G1095="Reimbursement ","",H1095-O1095)</f>
        <v>0</v>
      </c>
      <c r="Q1095" s="65"/>
      <c r="R1095" s="67"/>
      <c r="S1095" s="83">
        <f t="shared" ref="S1095:S1158" si="53">IF(OR(R1095="",Q1095=""),0,IF(R1095&gt;Q1095,R1095-Q1095,0))</f>
        <v>0</v>
      </c>
    </row>
    <row r="1096" spans="1:19" ht="18" customHeight="1" x14ac:dyDescent="0.25">
      <c r="A1096" s="68"/>
      <c r="B1096" s="69"/>
      <c r="C1096" s="74"/>
      <c r="D1096" s="69"/>
      <c r="E1096" s="68"/>
      <c r="F1096" s="71"/>
      <c r="G1096" s="72"/>
      <c r="H1096" s="73"/>
      <c r="I1096" s="74"/>
      <c r="J1096" s="74"/>
      <c r="K1096" s="74"/>
      <c r="L1096" s="74"/>
      <c r="M1096" s="74"/>
      <c r="N1096" s="74"/>
      <c r="O1096" s="82">
        <f t="shared" si="51"/>
        <v>0</v>
      </c>
      <c r="P1096" s="82">
        <f t="shared" si="52"/>
        <v>0</v>
      </c>
      <c r="Q1096" s="74"/>
      <c r="R1096" s="76"/>
      <c r="S1096" s="84">
        <f t="shared" si="53"/>
        <v>0</v>
      </c>
    </row>
    <row r="1097" spans="1:19" ht="18" customHeight="1" x14ac:dyDescent="0.25">
      <c r="A1097" s="59"/>
      <c r="B1097" s="60"/>
      <c r="C1097" s="65"/>
      <c r="D1097" s="60"/>
      <c r="E1097" s="59"/>
      <c r="F1097" s="62"/>
      <c r="G1097" s="63"/>
      <c r="H1097" s="64"/>
      <c r="I1097" s="65"/>
      <c r="J1097" s="65"/>
      <c r="K1097" s="65"/>
      <c r="L1097" s="65"/>
      <c r="M1097" s="65"/>
      <c r="N1097" s="65"/>
      <c r="O1097" s="81">
        <f t="shared" si="51"/>
        <v>0</v>
      </c>
      <c r="P1097" s="81">
        <f t="shared" si="52"/>
        <v>0</v>
      </c>
      <c r="Q1097" s="65"/>
      <c r="R1097" s="67"/>
      <c r="S1097" s="83">
        <f t="shared" si="53"/>
        <v>0</v>
      </c>
    </row>
    <row r="1098" spans="1:19" ht="18" customHeight="1" x14ac:dyDescent="0.25">
      <c r="A1098" s="68"/>
      <c r="B1098" s="69"/>
      <c r="C1098" s="74"/>
      <c r="D1098" s="69"/>
      <c r="E1098" s="68"/>
      <c r="F1098" s="71"/>
      <c r="G1098" s="72"/>
      <c r="H1098" s="73"/>
      <c r="I1098" s="74"/>
      <c r="J1098" s="74"/>
      <c r="K1098" s="74"/>
      <c r="L1098" s="74"/>
      <c r="M1098" s="74"/>
      <c r="N1098" s="74"/>
      <c r="O1098" s="82">
        <f t="shared" si="51"/>
        <v>0</v>
      </c>
      <c r="P1098" s="82">
        <f t="shared" si="52"/>
        <v>0</v>
      </c>
      <c r="Q1098" s="74"/>
      <c r="R1098" s="76"/>
      <c r="S1098" s="84">
        <f t="shared" si="53"/>
        <v>0</v>
      </c>
    </row>
    <row r="1099" spans="1:19" ht="18" customHeight="1" x14ac:dyDescent="0.25">
      <c r="A1099" s="59"/>
      <c r="B1099" s="60"/>
      <c r="C1099" s="65"/>
      <c r="D1099" s="60"/>
      <c r="E1099" s="59"/>
      <c r="F1099" s="62"/>
      <c r="G1099" s="63"/>
      <c r="H1099" s="64"/>
      <c r="I1099" s="65"/>
      <c r="J1099" s="65"/>
      <c r="K1099" s="65"/>
      <c r="L1099" s="65"/>
      <c r="M1099" s="65"/>
      <c r="N1099" s="65"/>
      <c r="O1099" s="81">
        <f t="shared" si="51"/>
        <v>0</v>
      </c>
      <c r="P1099" s="81">
        <f t="shared" si="52"/>
        <v>0</v>
      </c>
      <c r="Q1099" s="65"/>
      <c r="R1099" s="67"/>
      <c r="S1099" s="83">
        <f t="shared" si="53"/>
        <v>0</v>
      </c>
    </row>
    <row r="1100" spans="1:19" ht="18" customHeight="1" x14ac:dyDescent="0.25">
      <c r="A1100" s="68"/>
      <c r="B1100" s="69"/>
      <c r="C1100" s="74"/>
      <c r="D1100" s="69"/>
      <c r="E1100" s="68"/>
      <c r="F1100" s="71"/>
      <c r="G1100" s="72"/>
      <c r="H1100" s="73"/>
      <c r="I1100" s="74"/>
      <c r="J1100" s="74"/>
      <c r="K1100" s="74"/>
      <c r="L1100" s="74"/>
      <c r="M1100" s="74"/>
      <c r="N1100" s="74"/>
      <c r="O1100" s="82">
        <f t="shared" si="51"/>
        <v>0</v>
      </c>
      <c r="P1100" s="82">
        <f t="shared" si="52"/>
        <v>0</v>
      </c>
      <c r="Q1100" s="74"/>
      <c r="R1100" s="76"/>
      <c r="S1100" s="84">
        <f t="shared" si="53"/>
        <v>0</v>
      </c>
    </row>
    <row r="1101" spans="1:19" ht="18" customHeight="1" x14ac:dyDescent="0.25">
      <c r="A1101" s="59"/>
      <c r="B1101" s="60"/>
      <c r="C1101" s="65"/>
      <c r="D1101" s="60"/>
      <c r="E1101" s="59"/>
      <c r="F1101" s="62"/>
      <c r="G1101" s="63"/>
      <c r="H1101" s="64"/>
      <c r="I1101" s="65"/>
      <c r="J1101" s="65"/>
      <c r="K1101" s="65"/>
      <c r="L1101" s="65"/>
      <c r="M1101" s="65"/>
      <c r="N1101" s="65"/>
      <c r="O1101" s="81">
        <f t="shared" si="51"/>
        <v>0</v>
      </c>
      <c r="P1101" s="81">
        <f t="shared" si="52"/>
        <v>0</v>
      </c>
      <c r="Q1101" s="65"/>
      <c r="R1101" s="67"/>
      <c r="S1101" s="83">
        <f t="shared" si="53"/>
        <v>0</v>
      </c>
    </row>
    <row r="1102" spans="1:19" ht="18" customHeight="1" x14ac:dyDescent="0.25">
      <c r="A1102" s="68"/>
      <c r="B1102" s="69"/>
      <c r="C1102" s="74"/>
      <c r="D1102" s="69"/>
      <c r="E1102" s="68"/>
      <c r="F1102" s="71"/>
      <c r="G1102" s="72"/>
      <c r="H1102" s="73"/>
      <c r="I1102" s="74"/>
      <c r="J1102" s="74"/>
      <c r="K1102" s="74"/>
      <c r="L1102" s="74"/>
      <c r="M1102" s="74"/>
      <c r="N1102" s="74"/>
      <c r="O1102" s="82">
        <f t="shared" si="51"/>
        <v>0</v>
      </c>
      <c r="P1102" s="82">
        <f t="shared" si="52"/>
        <v>0</v>
      </c>
      <c r="Q1102" s="74"/>
      <c r="R1102" s="76"/>
      <c r="S1102" s="84">
        <f t="shared" si="53"/>
        <v>0</v>
      </c>
    </row>
    <row r="1103" spans="1:19" ht="18" customHeight="1" x14ac:dyDescent="0.25">
      <c r="A1103" s="59"/>
      <c r="B1103" s="60"/>
      <c r="C1103" s="65"/>
      <c r="D1103" s="60"/>
      <c r="E1103" s="59"/>
      <c r="F1103" s="62"/>
      <c r="G1103" s="63"/>
      <c r="H1103" s="64"/>
      <c r="I1103" s="65"/>
      <c r="J1103" s="65"/>
      <c r="K1103" s="65"/>
      <c r="L1103" s="65"/>
      <c r="M1103" s="65"/>
      <c r="N1103" s="65"/>
      <c r="O1103" s="81">
        <f t="shared" si="51"/>
        <v>0</v>
      </c>
      <c r="P1103" s="81">
        <f t="shared" si="52"/>
        <v>0</v>
      </c>
      <c r="Q1103" s="65"/>
      <c r="R1103" s="67"/>
      <c r="S1103" s="83">
        <f t="shared" si="53"/>
        <v>0</v>
      </c>
    </row>
    <row r="1104" spans="1:19" ht="18" customHeight="1" x14ac:dyDescent="0.25">
      <c r="A1104" s="68"/>
      <c r="B1104" s="69"/>
      <c r="C1104" s="74"/>
      <c r="D1104" s="69"/>
      <c r="E1104" s="68"/>
      <c r="F1104" s="71"/>
      <c r="G1104" s="72"/>
      <c r="H1104" s="73"/>
      <c r="I1104" s="74"/>
      <c r="J1104" s="74"/>
      <c r="K1104" s="74"/>
      <c r="L1104" s="74"/>
      <c r="M1104" s="74"/>
      <c r="N1104" s="74"/>
      <c r="O1104" s="82">
        <f t="shared" si="51"/>
        <v>0</v>
      </c>
      <c r="P1104" s="82">
        <f t="shared" si="52"/>
        <v>0</v>
      </c>
      <c r="Q1104" s="74"/>
      <c r="R1104" s="76"/>
      <c r="S1104" s="84">
        <f t="shared" si="53"/>
        <v>0</v>
      </c>
    </row>
    <row r="1105" spans="1:19" ht="18" customHeight="1" x14ac:dyDescent="0.25">
      <c r="A1105" s="59"/>
      <c r="B1105" s="60"/>
      <c r="C1105" s="65"/>
      <c r="D1105" s="60"/>
      <c r="E1105" s="59"/>
      <c r="F1105" s="62"/>
      <c r="G1105" s="63"/>
      <c r="H1105" s="64"/>
      <c r="I1105" s="65"/>
      <c r="J1105" s="65"/>
      <c r="K1105" s="65"/>
      <c r="L1105" s="65"/>
      <c r="M1105" s="65"/>
      <c r="N1105" s="65"/>
      <c r="O1105" s="81">
        <f t="shared" si="51"/>
        <v>0</v>
      </c>
      <c r="P1105" s="81">
        <f t="shared" si="52"/>
        <v>0</v>
      </c>
      <c r="Q1105" s="65"/>
      <c r="R1105" s="67"/>
      <c r="S1105" s="83">
        <f t="shared" si="53"/>
        <v>0</v>
      </c>
    </row>
    <row r="1106" spans="1:19" ht="18" customHeight="1" x14ac:dyDescent="0.25">
      <c r="A1106" s="68"/>
      <c r="B1106" s="69"/>
      <c r="C1106" s="74"/>
      <c r="D1106" s="69"/>
      <c r="E1106" s="68"/>
      <c r="F1106" s="71"/>
      <c r="G1106" s="72"/>
      <c r="H1106" s="73"/>
      <c r="I1106" s="74"/>
      <c r="J1106" s="74"/>
      <c r="K1106" s="74"/>
      <c r="L1106" s="74"/>
      <c r="M1106" s="74"/>
      <c r="N1106" s="74"/>
      <c r="O1106" s="82">
        <f t="shared" si="51"/>
        <v>0</v>
      </c>
      <c r="P1106" s="82">
        <f t="shared" si="52"/>
        <v>0</v>
      </c>
      <c r="Q1106" s="74"/>
      <c r="R1106" s="76"/>
      <c r="S1106" s="84">
        <f t="shared" si="53"/>
        <v>0</v>
      </c>
    </row>
    <row r="1107" spans="1:19" ht="18" customHeight="1" x14ac:dyDescent="0.25">
      <c r="A1107" s="59"/>
      <c r="B1107" s="60"/>
      <c r="C1107" s="65"/>
      <c r="D1107" s="60"/>
      <c r="E1107" s="59"/>
      <c r="F1107" s="62"/>
      <c r="G1107" s="63"/>
      <c r="H1107" s="64"/>
      <c r="I1107" s="65"/>
      <c r="J1107" s="65"/>
      <c r="K1107" s="65"/>
      <c r="L1107" s="65"/>
      <c r="M1107" s="65"/>
      <c r="N1107" s="65"/>
      <c r="O1107" s="81">
        <f t="shared" si="51"/>
        <v>0</v>
      </c>
      <c r="P1107" s="81">
        <f t="shared" si="52"/>
        <v>0</v>
      </c>
      <c r="Q1107" s="65"/>
      <c r="R1107" s="67"/>
      <c r="S1107" s="83">
        <f t="shared" si="53"/>
        <v>0</v>
      </c>
    </row>
    <row r="1108" spans="1:19" ht="18" customHeight="1" x14ac:dyDescent="0.25">
      <c r="A1108" s="68"/>
      <c r="B1108" s="69"/>
      <c r="C1108" s="74"/>
      <c r="D1108" s="69"/>
      <c r="E1108" s="68"/>
      <c r="F1108" s="71"/>
      <c r="G1108" s="72"/>
      <c r="H1108" s="73"/>
      <c r="I1108" s="74"/>
      <c r="J1108" s="74"/>
      <c r="K1108" s="74"/>
      <c r="L1108" s="74"/>
      <c r="M1108" s="74"/>
      <c r="N1108" s="74"/>
      <c r="O1108" s="82">
        <f t="shared" si="51"/>
        <v>0</v>
      </c>
      <c r="P1108" s="82">
        <f t="shared" si="52"/>
        <v>0</v>
      </c>
      <c r="Q1108" s="74"/>
      <c r="R1108" s="76"/>
      <c r="S1108" s="84">
        <f t="shared" si="53"/>
        <v>0</v>
      </c>
    </row>
    <row r="1109" spans="1:19" ht="18" customHeight="1" x14ac:dyDescent="0.25">
      <c r="A1109" s="59"/>
      <c r="B1109" s="60"/>
      <c r="C1109" s="65"/>
      <c r="D1109" s="60"/>
      <c r="E1109" s="59"/>
      <c r="F1109" s="62"/>
      <c r="G1109" s="63"/>
      <c r="H1109" s="64"/>
      <c r="I1109" s="65"/>
      <c r="J1109" s="65"/>
      <c r="K1109" s="65"/>
      <c r="L1109" s="65"/>
      <c r="M1109" s="65"/>
      <c r="N1109" s="65"/>
      <c r="O1109" s="81">
        <f t="shared" si="51"/>
        <v>0</v>
      </c>
      <c r="P1109" s="81">
        <f t="shared" si="52"/>
        <v>0</v>
      </c>
      <c r="Q1109" s="65"/>
      <c r="R1109" s="67"/>
      <c r="S1109" s="83">
        <f t="shared" si="53"/>
        <v>0</v>
      </c>
    </row>
    <row r="1110" spans="1:19" ht="18" customHeight="1" x14ac:dyDescent="0.25">
      <c r="A1110" s="68"/>
      <c r="B1110" s="69"/>
      <c r="C1110" s="74"/>
      <c r="D1110" s="69"/>
      <c r="E1110" s="68"/>
      <c r="F1110" s="71"/>
      <c r="G1110" s="72"/>
      <c r="H1110" s="73"/>
      <c r="I1110" s="74"/>
      <c r="J1110" s="74"/>
      <c r="K1110" s="74"/>
      <c r="L1110" s="74"/>
      <c r="M1110" s="74"/>
      <c r="N1110" s="74"/>
      <c r="O1110" s="82">
        <f t="shared" si="51"/>
        <v>0</v>
      </c>
      <c r="P1110" s="82">
        <f t="shared" si="52"/>
        <v>0</v>
      </c>
      <c r="Q1110" s="74"/>
      <c r="R1110" s="76"/>
      <c r="S1110" s="84">
        <f t="shared" si="53"/>
        <v>0</v>
      </c>
    </row>
    <row r="1111" spans="1:19" ht="18" customHeight="1" x14ac:dyDescent="0.25">
      <c r="A1111" s="59"/>
      <c r="B1111" s="60"/>
      <c r="C1111" s="65"/>
      <c r="D1111" s="60"/>
      <c r="E1111" s="59"/>
      <c r="F1111" s="62"/>
      <c r="G1111" s="63"/>
      <c r="H1111" s="64"/>
      <c r="I1111" s="65"/>
      <c r="J1111" s="65"/>
      <c r="K1111" s="65"/>
      <c r="L1111" s="65"/>
      <c r="M1111" s="65"/>
      <c r="N1111" s="65"/>
      <c r="O1111" s="81">
        <f t="shared" si="51"/>
        <v>0</v>
      </c>
      <c r="P1111" s="81">
        <f t="shared" si="52"/>
        <v>0</v>
      </c>
      <c r="Q1111" s="65"/>
      <c r="R1111" s="67"/>
      <c r="S1111" s="83">
        <f t="shared" si="53"/>
        <v>0</v>
      </c>
    </row>
    <row r="1112" spans="1:19" ht="18" customHeight="1" x14ac:dyDescent="0.25">
      <c r="A1112" s="68"/>
      <c r="B1112" s="69"/>
      <c r="C1112" s="74"/>
      <c r="D1112" s="69"/>
      <c r="E1112" s="68"/>
      <c r="F1112" s="71"/>
      <c r="G1112" s="72"/>
      <c r="H1112" s="73"/>
      <c r="I1112" s="74"/>
      <c r="J1112" s="74"/>
      <c r="K1112" s="74"/>
      <c r="L1112" s="74"/>
      <c r="M1112" s="74"/>
      <c r="N1112" s="74"/>
      <c r="O1112" s="82">
        <f t="shared" si="51"/>
        <v>0</v>
      </c>
      <c r="P1112" s="82">
        <f t="shared" si="52"/>
        <v>0</v>
      </c>
      <c r="Q1112" s="74"/>
      <c r="R1112" s="76"/>
      <c r="S1112" s="84">
        <f t="shared" si="53"/>
        <v>0</v>
      </c>
    </row>
    <row r="1113" spans="1:19" ht="18" customHeight="1" x14ac:dyDescent="0.25">
      <c r="A1113" s="59"/>
      <c r="B1113" s="60"/>
      <c r="C1113" s="65"/>
      <c r="D1113" s="60"/>
      <c r="E1113" s="59"/>
      <c r="F1113" s="62"/>
      <c r="G1113" s="63"/>
      <c r="H1113" s="64"/>
      <c r="I1113" s="65"/>
      <c r="J1113" s="65"/>
      <c r="K1113" s="65"/>
      <c r="L1113" s="65"/>
      <c r="M1113" s="65"/>
      <c r="N1113" s="65"/>
      <c r="O1113" s="81">
        <f t="shared" si="51"/>
        <v>0</v>
      </c>
      <c r="P1113" s="81">
        <f t="shared" si="52"/>
        <v>0</v>
      </c>
      <c r="Q1113" s="65"/>
      <c r="R1113" s="67"/>
      <c r="S1113" s="83">
        <f t="shared" si="53"/>
        <v>0</v>
      </c>
    </row>
    <row r="1114" spans="1:19" ht="18" customHeight="1" x14ac:dyDescent="0.25">
      <c r="A1114" s="68"/>
      <c r="B1114" s="69"/>
      <c r="C1114" s="74"/>
      <c r="D1114" s="69"/>
      <c r="E1114" s="68"/>
      <c r="F1114" s="71"/>
      <c r="G1114" s="72"/>
      <c r="H1114" s="73"/>
      <c r="I1114" s="74"/>
      <c r="J1114" s="74"/>
      <c r="K1114" s="74"/>
      <c r="L1114" s="74"/>
      <c r="M1114" s="74"/>
      <c r="N1114" s="74"/>
      <c r="O1114" s="82">
        <f t="shared" si="51"/>
        <v>0</v>
      </c>
      <c r="P1114" s="82">
        <f t="shared" si="52"/>
        <v>0</v>
      </c>
      <c r="Q1114" s="74"/>
      <c r="R1114" s="76"/>
      <c r="S1114" s="84">
        <f t="shared" si="53"/>
        <v>0</v>
      </c>
    </row>
    <row r="1115" spans="1:19" ht="18" customHeight="1" x14ac:dyDescent="0.25">
      <c r="A1115" s="59"/>
      <c r="B1115" s="60"/>
      <c r="C1115" s="65"/>
      <c r="D1115" s="60"/>
      <c r="E1115" s="59"/>
      <c r="F1115" s="62"/>
      <c r="G1115" s="63"/>
      <c r="H1115" s="64"/>
      <c r="I1115" s="65"/>
      <c r="J1115" s="65"/>
      <c r="K1115" s="65"/>
      <c r="L1115" s="65"/>
      <c r="M1115" s="65"/>
      <c r="N1115" s="65"/>
      <c r="O1115" s="81">
        <f t="shared" si="51"/>
        <v>0</v>
      </c>
      <c r="P1115" s="81">
        <f t="shared" si="52"/>
        <v>0</v>
      </c>
      <c r="Q1115" s="65"/>
      <c r="R1115" s="67"/>
      <c r="S1115" s="83">
        <f t="shared" si="53"/>
        <v>0</v>
      </c>
    </row>
    <row r="1116" spans="1:19" ht="18" customHeight="1" x14ac:dyDescent="0.25">
      <c r="A1116" s="68"/>
      <c r="B1116" s="69"/>
      <c r="C1116" s="74"/>
      <c r="D1116" s="69"/>
      <c r="E1116" s="68"/>
      <c r="F1116" s="71"/>
      <c r="G1116" s="72"/>
      <c r="H1116" s="73"/>
      <c r="I1116" s="74"/>
      <c r="J1116" s="74"/>
      <c r="K1116" s="74"/>
      <c r="L1116" s="74"/>
      <c r="M1116" s="74"/>
      <c r="N1116" s="74"/>
      <c r="O1116" s="82">
        <f t="shared" si="51"/>
        <v>0</v>
      </c>
      <c r="P1116" s="82">
        <f t="shared" si="52"/>
        <v>0</v>
      </c>
      <c r="Q1116" s="74"/>
      <c r="R1116" s="76"/>
      <c r="S1116" s="84">
        <f t="shared" si="53"/>
        <v>0</v>
      </c>
    </row>
    <row r="1117" spans="1:19" ht="18" customHeight="1" x14ac:dyDescent="0.25">
      <c r="A1117" s="59"/>
      <c r="B1117" s="60"/>
      <c r="C1117" s="65"/>
      <c r="D1117" s="60"/>
      <c r="E1117" s="59"/>
      <c r="F1117" s="62"/>
      <c r="G1117" s="63"/>
      <c r="H1117" s="64"/>
      <c r="I1117" s="65"/>
      <c r="J1117" s="65"/>
      <c r="K1117" s="65"/>
      <c r="L1117" s="65"/>
      <c r="M1117" s="65"/>
      <c r="N1117" s="65"/>
      <c r="O1117" s="81">
        <f t="shared" si="51"/>
        <v>0</v>
      </c>
      <c r="P1117" s="81">
        <f t="shared" si="52"/>
        <v>0</v>
      </c>
      <c r="Q1117" s="65"/>
      <c r="R1117" s="67"/>
      <c r="S1117" s="83">
        <f t="shared" si="53"/>
        <v>0</v>
      </c>
    </row>
    <row r="1118" spans="1:19" ht="18" customHeight="1" x14ac:dyDescent="0.25">
      <c r="A1118" s="68"/>
      <c r="B1118" s="69"/>
      <c r="C1118" s="74"/>
      <c r="D1118" s="69"/>
      <c r="E1118" s="68"/>
      <c r="F1118" s="71"/>
      <c r="G1118" s="72"/>
      <c r="H1118" s="73"/>
      <c r="I1118" s="74"/>
      <c r="J1118" s="74"/>
      <c r="K1118" s="74"/>
      <c r="L1118" s="74"/>
      <c r="M1118" s="74"/>
      <c r="N1118" s="74"/>
      <c r="O1118" s="82">
        <f t="shared" si="51"/>
        <v>0</v>
      </c>
      <c r="P1118" s="82">
        <f t="shared" si="52"/>
        <v>0</v>
      </c>
      <c r="Q1118" s="74"/>
      <c r="R1118" s="76"/>
      <c r="S1118" s="84">
        <f t="shared" si="53"/>
        <v>0</v>
      </c>
    </row>
    <row r="1119" spans="1:19" ht="18" customHeight="1" x14ac:dyDescent="0.25">
      <c r="A1119" s="59"/>
      <c r="B1119" s="60"/>
      <c r="C1119" s="65"/>
      <c r="D1119" s="60"/>
      <c r="E1119" s="59"/>
      <c r="F1119" s="62"/>
      <c r="G1119" s="63"/>
      <c r="H1119" s="64"/>
      <c r="I1119" s="65"/>
      <c r="J1119" s="65"/>
      <c r="K1119" s="65"/>
      <c r="L1119" s="65"/>
      <c r="M1119" s="65"/>
      <c r="N1119" s="65"/>
      <c r="O1119" s="81">
        <f t="shared" si="51"/>
        <v>0</v>
      </c>
      <c r="P1119" s="81">
        <f t="shared" si="52"/>
        <v>0</v>
      </c>
      <c r="Q1119" s="65"/>
      <c r="R1119" s="67"/>
      <c r="S1119" s="83">
        <f t="shared" si="53"/>
        <v>0</v>
      </c>
    </row>
    <row r="1120" spans="1:19" ht="18" customHeight="1" x14ac:dyDescent="0.25">
      <c r="A1120" s="68"/>
      <c r="B1120" s="69"/>
      <c r="C1120" s="74"/>
      <c r="D1120" s="69"/>
      <c r="E1120" s="68"/>
      <c r="F1120" s="71"/>
      <c r="G1120" s="72"/>
      <c r="H1120" s="73"/>
      <c r="I1120" s="74"/>
      <c r="J1120" s="74"/>
      <c r="K1120" s="74"/>
      <c r="L1120" s="74"/>
      <c r="M1120" s="74"/>
      <c r="N1120" s="74"/>
      <c r="O1120" s="82">
        <f t="shared" si="51"/>
        <v>0</v>
      </c>
      <c r="P1120" s="82">
        <f t="shared" si="52"/>
        <v>0</v>
      </c>
      <c r="Q1120" s="74"/>
      <c r="R1120" s="76"/>
      <c r="S1120" s="84">
        <f t="shared" si="53"/>
        <v>0</v>
      </c>
    </row>
    <row r="1121" spans="1:19" ht="18" customHeight="1" x14ac:dyDescent="0.25">
      <c r="A1121" s="59"/>
      <c r="B1121" s="60"/>
      <c r="C1121" s="65"/>
      <c r="D1121" s="60"/>
      <c r="E1121" s="59"/>
      <c r="F1121" s="62"/>
      <c r="G1121" s="63"/>
      <c r="H1121" s="64"/>
      <c r="I1121" s="65"/>
      <c r="J1121" s="65"/>
      <c r="K1121" s="65"/>
      <c r="L1121" s="65"/>
      <c r="M1121" s="65"/>
      <c r="N1121" s="65"/>
      <c r="O1121" s="81">
        <f t="shared" si="51"/>
        <v>0</v>
      </c>
      <c r="P1121" s="81">
        <f t="shared" si="52"/>
        <v>0</v>
      </c>
      <c r="Q1121" s="65"/>
      <c r="R1121" s="67"/>
      <c r="S1121" s="83">
        <f t="shared" si="53"/>
        <v>0</v>
      </c>
    </row>
    <row r="1122" spans="1:19" ht="18" customHeight="1" x14ac:dyDescent="0.25">
      <c r="A1122" s="68"/>
      <c r="B1122" s="69"/>
      <c r="C1122" s="74"/>
      <c r="D1122" s="69"/>
      <c r="E1122" s="68"/>
      <c r="F1122" s="71"/>
      <c r="G1122" s="72"/>
      <c r="H1122" s="73"/>
      <c r="I1122" s="74"/>
      <c r="J1122" s="74"/>
      <c r="K1122" s="74"/>
      <c r="L1122" s="74"/>
      <c r="M1122" s="74"/>
      <c r="N1122" s="74"/>
      <c r="O1122" s="82">
        <f t="shared" si="51"/>
        <v>0</v>
      </c>
      <c r="P1122" s="82">
        <f t="shared" si="52"/>
        <v>0</v>
      </c>
      <c r="Q1122" s="74"/>
      <c r="R1122" s="76"/>
      <c r="S1122" s="84">
        <f t="shared" si="53"/>
        <v>0</v>
      </c>
    </row>
    <row r="1123" spans="1:19" ht="18" customHeight="1" x14ac:dyDescent="0.25">
      <c r="A1123" s="59"/>
      <c r="B1123" s="60"/>
      <c r="C1123" s="65"/>
      <c r="D1123" s="60"/>
      <c r="E1123" s="59"/>
      <c r="F1123" s="62"/>
      <c r="G1123" s="63"/>
      <c r="H1123" s="64"/>
      <c r="I1123" s="65"/>
      <c r="J1123" s="65"/>
      <c r="K1123" s="65"/>
      <c r="L1123" s="65"/>
      <c r="M1123" s="65"/>
      <c r="N1123" s="65"/>
      <c r="O1123" s="81">
        <f t="shared" si="51"/>
        <v>0</v>
      </c>
      <c r="P1123" s="81">
        <f t="shared" si="52"/>
        <v>0</v>
      </c>
      <c r="Q1123" s="65"/>
      <c r="R1123" s="67"/>
      <c r="S1123" s="83">
        <f t="shared" si="53"/>
        <v>0</v>
      </c>
    </row>
    <row r="1124" spans="1:19" ht="18" customHeight="1" x14ac:dyDescent="0.25">
      <c r="A1124" s="68"/>
      <c r="B1124" s="69"/>
      <c r="C1124" s="74"/>
      <c r="D1124" s="69"/>
      <c r="E1124" s="68"/>
      <c r="F1124" s="71"/>
      <c r="G1124" s="72"/>
      <c r="H1124" s="73"/>
      <c r="I1124" s="74"/>
      <c r="J1124" s="74"/>
      <c r="K1124" s="74"/>
      <c r="L1124" s="74"/>
      <c r="M1124" s="74"/>
      <c r="N1124" s="74"/>
      <c r="O1124" s="82">
        <f t="shared" si="51"/>
        <v>0</v>
      </c>
      <c r="P1124" s="82">
        <f t="shared" si="52"/>
        <v>0</v>
      </c>
      <c r="Q1124" s="74"/>
      <c r="R1124" s="76"/>
      <c r="S1124" s="84">
        <f t="shared" si="53"/>
        <v>0</v>
      </c>
    </row>
    <row r="1125" spans="1:19" ht="18" customHeight="1" x14ac:dyDescent="0.25">
      <c r="A1125" s="59"/>
      <c r="B1125" s="60"/>
      <c r="C1125" s="65"/>
      <c r="D1125" s="60"/>
      <c r="E1125" s="59"/>
      <c r="F1125" s="62"/>
      <c r="G1125" s="63"/>
      <c r="H1125" s="64"/>
      <c r="I1125" s="65"/>
      <c r="J1125" s="65"/>
      <c r="K1125" s="65"/>
      <c r="L1125" s="65"/>
      <c r="M1125" s="65"/>
      <c r="N1125" s="65"/>
      <c r="O1125" s="81">
        <f t="shared" si="51"/>
        <v>0</v>
      </c>
      <c r="P1125" s="81">
        <f t="shared" si="52"/>
        <v>0</v>
      </c>
      <c r="Q1125" s="65"/>
      <c r="R1125" s="67"/>
      <c r="S1125" s="83">
        <f t="shared" si="53"/>
        <v>0</v>
      </c>
    </row>
    <row r="1126" spans="1:19" ht="18" customHeight="1" x14ac:dyDescent="0.25">
      <c r="A1126" s="68"/>
      <c r="B1126" s="69"/>
      <c r="C1126" s="74"/>
      <c r="D1126" s="69"/>
      <c r="E1126" s="68"/>
      <c r="F1126" s="71"/>
      <c r="G1126" s="72"/>
      <c r="H1126" s="73"/>
      <c r="I1126" s="74"/>
      <c r="J1126" s="74"/>
      <c r="K1126" s="74"/>
      <c r="L1126" s="74"/>
      <c r="M1126" s="74"/>
      <c r="N1126" s="74"/>
      <c r="O1126" s="82">
        <f t="shared" si="51"/>
        <v>0</v>
      </c>
      <c r="P1126" s="82">
        <f t="shared" si="52"/>
        <v>0</v>
      </c>
      <c r="Q1126" s="74"/>
      <c r="R1126" s="76"/>
      <c r="S1126" s="84">
        <f t="shared" si="53"/>
        <v>0</v>
      </c>
    </row>
    <row r="1127" spans="1:19" ht="18" customHeight="1" x14ac:dyDescent="0.25">
      <c r="A1127" s="59"/>
      <c r="B1127" s="60"/>
      <c r="C1127" s="65"/>
      <c r="D1127" s="60"/>
      <c r="E1127" s="59"/>
      <c r="F1127" s="62"/>
      <c r="G1127" s="63"/>
      <c r="H1127" s="64"/>
      <c r="I1127" s="65"/>
      <c r="J1127" s="65"/>
      <c r="K1127" s="65"/>
      <c r="L1127" s="65"/>
      <c r="M1127" s="65"/>
      <c r="N1127" s="65"/>
      <c r="O1127" s="81">
        <f t="shared" si="51"/>
        <v>0</v>
      </c>
      <c r="P1127" s="81">
        <f t="shared" si="52"/>
        <v>0</v>
      </c>
      <c r="Q1127" s="65"/>
      <c r="R1127" s="67"/>
      <c r="S1127" s="83">
        <f t="shared" si="53"/>
        <v>0</v>
      </c>
    </row>
    <row r="1128" spans="1:19" ht="18" customHeight="1" x14ac:dyDescent="0.25">
      <c r="A1128" s="68"/>
      <c r="B1128" s="69"/>
      <c r="C1128" s="74"/>
      <c r="D1128" s="69"/>
      <c r="E1128" s="68"/>
      <c r="F1128" s="71"/>
      <c r="G1128" s="72"/>
      <c r="H1128" s="73"/>
      <c r="I1128" s="74"/>
      <c r="J1128" s="74"/>
      <c r="K1128" s="74"/>
      <c r="L1128" s="74"/>
      <c r="M1128" s="74"/>
      <c r="N1128" s="74"/>
      <c r="O1128" s="82">
        <f t="shared" si="51"/>
        <v>0</v>
      </c>
      <c r="P1128" s="82">
        <f t="shared" si="52"/>
        <v>0</v>
      </c>
      <c r="Q1128" s="74"/>
      <c r="R1128" s="76"/>
      <c r="S1128" s="84">
        <f t="shared" si="53"/>
        <v>0</v>
      </c>
    </row>
    <row r="1129" spans="1:19" ht="18" customHeight="1" x14ac:dyDescent="0.25">
      <c r="A1129" s="59"/>
      <c r="B1129" s="60"/>
      <c r="C1129" s="65"/>
      <c r="D1129" s="60"/>
      <c r="E1129" s="59"/>
      <c r="F1129" s="62"/>
      <c r="G1129" s="63"/>
      <c r="H1129" s="64"/>
      <c r="I1129" s="65"/>
      <c r="J1129" s="65"/>
      <c r="K1129" s="65"/>
      <c r="L1129" s="65"/>
      <c r="M1129" s="65"/>
      <c r="N1129" s="65"/>
      <c r="O1129" s="81">
        <f t="shared" si="51"/>
        <v>0</v>
      </c>
      <c r="P1129" s="81">
        <f t="shared" si="52"/>
        <v>0</v>
      </c>
      <c r="Q1129" s="65"/>
      <c r="R1129" s="67"/>
      <c r="S1129" s="83">
        <f t="shared" si="53"/>
        <v>0</v>
      </c>
    </row>
    <row r="1130" spans="1:19" ht="18" customHeight="1" x14ac:dyDescent="0.25">
      <c r="A1130" s="68"/>
      <c r="B1130" s="69"/>
      <c r="C1130" s="74"/>
      <c r="D1130" s="69"/>
      <c r="E1130" s="68"/>
      <c r="F1130" s="71"/>
      <c r="G1130" s="72"/>
      <c r="H1130" s="73"/>
      <c r="I1130" s="74"/>
      <c r="J1130" s="74"/>
      <c r="K1130" s="74"/>
      <c r="L1130" s="74"/>
      <c r="M1130" s="74"/>
      <c r="N1130" s="74"/>
      <c r="O1130" s="82">
        <f t="shared" si="51"/>
        <v>0</v>
      </c>
      <c r="P1130" s="82">
        <f t="shared" si="52"/>
        <v>0</v>
      </c>
      <c r="Q1130" s="74"/>
      <c r="R1130" s="76"/>
      <c r="S1130" s="84">
        <f t="shared" si="53"/>
        <v>0</v>
      </c>
    </row>
    <row r="1131" spans="1:19" ht="18" customHeight="1" x14ac:dyDescent="0.25">
      <c r="A1131" s="59"/>
      <c r="B1131" s="60"/>
      <c r="C1131" s="65"/>
      <c r="D1131" s="60"/>
      <c r="E1131" s="59"/>
      <c r="F1131" s="62"/>
      <c r="G1131" s="63"/>
      <c r="H1131" s="64"/>
      <c r="I1131" s="65"/>
      <c r="J1131" s="65"/>
      <c r="K1131" s="65"/>
      <c r="L1131" s="65"/>
      <c r="M1131" s="65"/>
      <c r="N1131" s="65"/>
      <c r="O1131" s="81">
        <f t="shared" si="51"/>
        <v>0</v>
      </c>
      <c r="P1131" s="81">
        <f t="shared" si="52"/>
        <v>0</v>
      </c>
      <c r="Q1131" s="65"/>
      <c r="R1131" s="67"/>
      <c r="S1131" s="83">
        <f t="shared" si="53"/>
        <v>0</v>
      </c>
    </row>
    <row r="1132" spans="1:19" ht="18" customHeight="1" x14ac:dyDescent="0.25">
      <c r="A1132" s="68"/>
      <c r="B1132" s="69"/>
      <c r="C1132" s="74"/>
      <c r="D1132" s="69"/>
      <c r="E1132" s="68"/>
      <c r="F1132" s="71"/>
      <c r="G1132" s="72"/>
      <c r="H1132" s="73"/>
      <c r="I1132" s="74"/>
      <c r="J1132" s="74"/>
      <c r="K1132" s="74"/>
      <c r="L1132" s="74"/>
      <c r="M1132" s="74"/>
      <c r="N1132" s="74"/>
      <c r="O1132" s="82">
        <f t="shared" si="51"/>
        <v>0</v>
      </c>
      <c r="P1132" s="82">
        <f t="shared" si="52"/>
        <v>0</v>
      </c>
      <c r="Q1132" s="74"/>
      <c r="R1132" s="76"/>
      <c r="S1132" s="84">
        <f t="shared" si="53"/>
        <v>0</v>
      </c>
    </row>
    <row r="1133" spans="1:19" ht="18" customHeight="1" x14ac:dyDescent="0.25">
      <c r="A1133" s="59"/>
      <c r="B1133" s="60"/>
      <c r="C1133" s="65"/>
      <c r="D1133" s="60"/>
      <c r="E1133" s="59"/>
      <c r="F1133" s="62"/>
      <c r="G1133" s="63"/>
      <c r="H1133" s="64"/>
      <c r="I1133" s="65"/>
      <c r="J1133" s="65"/>
      <c r="K1133" s="65"/>
      <c r="L1133" s="65"/>
      <c r="M1133" s="65"/>
      <c r="N1133" s="65"/>
      <c r="O1133" s="81">
        <f t="shared" si="51"/>
        <v>0</v>
      </c>
      <c r="P1133" s="81">
        <f t="shared" si="52"/>
        <v>0</v>
      </c>
      <c r="Q1133" s="65"/>
      <c r="R1133" s="67"/>
      <c r="S1133" s="83">
        <f t="shared" si="53"/>
        <v>0</v>
      </c>
    </row>
    <row r="1134" spans="1:19" ht="18" customHeight="1" x14ac:dyDescent="0.25">
      <c r="A1134" s="68"/>
      <c r="B1134" s="69"/>
      <c r="C1134" s="74"/>
      <c r="D1134" s="69"/>
      <c r="E1134" s="68"/>
      <c r="F1134" s="71"/>
      <c r="G1134" s="72"/>
      <c r="H1134" s="73"/>
      <c r="I1134" s="74"/>
      <c r="J1134" s="74"/>
      <c r="K1134" s="74"/>
      <c r="L1134" s="74"/>
      <c r="M1134" s="74"/>
      <c r="N1134" s="74"/>
      <c r="O1134" s="82">
        <f t="shared" si="51"/>
        <v>0</v>
      </c>
      <c r="P1134" s="82">
        <f t="shared" si="52"/>
        <v>0</v>
      </c>
      <c r="Q1134" s="74"/>
      <c r="R1134" s="76"/>
      <c r="S1134" s="84">
        <f t="shared" si="53"/>
        <v>0</v>
      </c>
    </row>
    <row r="1135" spans="1:19" ht="18" customHeight="1" x14ac:dyDescent="0.25">
      <c r="A1135" s="59"/>
      <c r="B1135" s="60"/>
      <c r="C1135" s="65"/>
      <c r="D1135" s="60"/>
      <c r="E1135" s="59"/>
      <c r="F1135" s="62"/>
      <c r="G1135" s="63"/>
      <c r="H1135" s="64"/>
      <c r="I1135" s="65"/>
      <c r="J1135" s="65"/>
      <c r="K1135" s="65"/>
      <c r="L1135" s="65"/>
      <c r="M1135" s="65"/>
      <c r="N1135" s="65"/>
      <c r="O1135" s="81">
        <f t="shared" si="51"/>
        <v>0</v>
      </c>
      <c r="P1135" s="81">
        <f t="shared" si="52"/>
        <v>0</v>
      </c>
      <c r="Q1135" s="65"/>
      <c r="R1135" s="67"/>
      <c r="S1135" s="83">
        <f t="shared" si="53"/>
        <v>0</v>
      </c>
    </row>
    <row r="1136" spans="1:19" ht="18" customHeight="1" x14ac:dyDescent="0.25">
      <c r="A1136" s="68"/>
      <c r="B1136" s="69"/>
      <c r="C1136" s="74"/>
      <c r="D1136" s="69"/>
      <c r="E1136" s="68"/>
      <c r="F1136" s="71"/>
      <c r="G1136" s="72"/>
      <c r="H1136" s="73"/>
      <c r="I1136" s="74"/>
      <c r="J1136" s="74"/>
      <c r="K1136" s="74"/>
      <c r="L1136" s="74"/>
      <c r="M1136" s="74"/>
      <c r="N1136" s="74"/>
      <c r="O1136" s="82">
        <f t="shared" si="51"/>
        <v>0</v>
      </c>
      <c r="P1136" s="82">
        <f t="shared" si="52"/>
        <v>0</v>
      </c>
      <c r="Q1136" s="74"/>
      <c r="R1136" s="76"/>
      <c r="S1136" s="84">
        <f t="shared" si="53"/>
        <v>0</v>
      </c>
    </row>
    <row r="1137" spans="1:19" ht="18" customHeight="1" x14ac:dyDescent="0.25">
      <c r="A1137" s="59"/>
      <c r="B1137" s="60"/>
      <c r="C1137" s="65"/>
      <c r="D1137" s="60"/>
      <c r="E1137" s="59"/>
      <c r="F1137" s="62"/>
      <c r="G1137" s="63"/>
      <c r="H1137" s="64"/>
      <c r="I1137" s="65"/>
      <c r="J1137" s="65"/>
      <c r="K1137" s="65"/>
      <c r="L1137" s="65"/>
      <c r="M1137" s="65"/>
      <c r="N1137" s="65"/>
      <c r="O1137" s="81">
        <f t="shared" si="51"/>
        <v>0</v>
      </c>
      <c r="P1137" s="81">
        <f t="shared" si="52"/>
        <v>0</v>
      </c>
      <c r="Q1137" s="65"/>
      <c r="R1137" s="67"/>
      <c r="S1137" s="83">
        <f t="shared" si="53"/>
        <v>0</v>
      </c>
    </row>
    <row r="1138" spans="1:19" ht="18" customHeight="1" x14ac:dyDescent="0.25">
      <c r="A1138" s="68"/>
      <c r="B1138" s="69"/>
      <c r="C1138" s="74"/>
      <c r="D1138" s="69"/>
      <c r="E1138" s="68"/>
      <c r="F1138" s="71"/>
      <c r="G1138" s="72"/>
      <c r="H1138" s="73"/>
      <c r="I1138" s="74"/>
      <c r="J1138" s="74"/>
      <c r="K1138" s="74"/>
      <c r="L1138" s="74"/>
      <c r="M1138" s="74"/>
      <c r="N1138" s="74"/>
      <c r="O1138" s="82">
        <f t="shared" si="51"/>
        <v>0</v>
      </c>
      <c r="P1138" s="82">
        <f t="shared" si="52"/>
        <v>0</v>
      </c>
      <c r="Q1138" s="74"/>
      <c r="R1138" s="76"/>
      <c r="S1138" s="84">
        <f t="shared" si="53"/>
        <v>0</v>
      </c>
    </row>
    <row r="1139" spans="1:19" ht="18" customHeight="1" x14ac:dyDescent="0.25">
      <c r="A1139" s="59"/>
      <c r="B1139" s="60"/>
      <c r="C1139" s="65"/>
      <c r="D1139" s="60"/>
      <c r="E1139" s="59"/>
      <c r="F1139" s="62"/>
      <c r="G1139" s="63"/>
      <c r="H1139" s="64"/>
      <c r="I1139" s="65"/>
      <c r="J1139" s="65"/>
      <c r="K1139" s="65"/>
      <c r="L1139" s="65"/>
      <c r="M1139" s="65"/>
      <c r="N1139" s="65"/>
      <c r="O1139" s="81">
        <f t="shared" si="51"/>
        <v>0</v>
      </c>
      <c r="P1139" s="81">
        <f t="shared" si="52"/>
        <v>0</v>
      </c>
      <c r="Q1139" s="65"/>
      <c r="R1139" s="67"/>
      <c r="S1139" s="83">
        <f t="shared" si="53"/>
        <v>0</v>
      </c>
    </row>
    <row r="1140" spans="1:19" ht="18" customHeight="1" x14ac:dyDescent="0.25">
      <c r="A1140" s="68"/>
      <c r="B1140" s="69"/>
      <c r="C1140" s="74"/>
      <c r="D1140" s="69"/>
      <c r="E1140" s="68"/>
      <c r="F1140" s="71"/>
      <c r="G1140" s="72"/>
      <c r="H1140" s="73"/>
      <c r="I1140" s="74"/>
      <c r="J1140" s="74"/>
      <c r="K1140" s="74"/>
      <c r="L1140" s="74"/>
      <c r="M1140" s="74"/>
      <c r="N1140" s="74"/>
      <c r="O1140" s="82">
        <f t="shared" si="51"/>
        <v>0</v>
      </c>
      <c r="P1140" s="82">
        <f t="shared" si="52"/>
        <v>0</v>
      </c>
      <c r="Q1140" s="74"/>
      <c r="R1140" s="76"/>
      <c r="S1140" s="84">
        <f t="shared" si="53"/>
        <v>0</v>
      </c>
    </row>
    <row r="1141" spans="1:19" ht="18" customHeight="1" x14ac:dyDescent="0.25">
      <c r="A1141" s="59"/>
      <c r="B1141" s="60"/>
      <c r="C1141" s="65"/>
      <c r="D1141" s="60"/>
      <c r="E1141" s="59"/>
      <c r="F1141" s="62"/>
      <c r="G1141" s="63"/>
      <c r="H1141" s="64"/>
      <c r="I1141" s="65"/>
      <c r="J1141" s="65"/>
      <c r="K1141" s="65"/>
      <c r="L1141" s="65"/>
      <c r="M1141" s="65"/>
      <c r="N1141" s="65"/>
      <c r="O1141" s="81">
        <f t="shared" si="51"/>
        <v>0</v>
      </c>
      <c r="P1141" s="81">
        <f t="shared" si="52"/>
        <v>0</v>
      </c>
      <c r="Q1141" s="65"/>
      <c r="R1141" s="67"/>
      <c r="S1141" s="83">
        <f t="shared" si="53"/>
        <v>0</v>
      </c>
    </row>
    <row r="1142" spans="1:19" ht="18" customHeight="1" x14ac:dyDescent="0.25">
      <c r="A1142" s="68"/>
      <c r="B1142" s="69"/>
      <c r="C1142" s="74"/>
      <c r="D1142" s="69"/>
      <c r="E1142" s="68"/>
      <c r="F1142" s="71"/>
      <c r="G1142" s="72"/>
      <c r="H1142" s="73"/>
      <c r="I1142" s="74"/>
      <c r="J1142" s="74"/>
      <c r="K1142" s="74"/>
      <c r="L1142" s="74"/>
      <c r="M1142" s="74"/>
      <c r="N1142" s="74"/>
      <c r="O1142" s="82">
        <f t="shared" si="51"/>
        <v>0</v>
      </c>
      <c r="P1142" s="82">
        <f t="shared" si="52"/>
        <v>0</v>
      </c>
      <c r="Q1142" s="74"/>
      <c r="R1142" s="76"/>
      <c r="S1142" s="84">
        <f t="shared" si="53"/>
        <v>0</v>
      </c>
    </row>
    <row r="1143" spans="1:19" ht="18" customHeight="1" x14ac:dyDescent="0.25">
      <c r="A1143" s="59"/>
      <c r="B1143" s="60"/>
      <c r="C1143" s="65"/>
      <c r="D1143" s="60"/>
      <c r="E1143" s="59"/>
      <c r="F1143" s="62"/>
      <c r="G1143" s="63"/>
      <c r="H1143" s="64"/>
      <c r="I1143" s="65"/>
      <c r="J1143" s="65"/>
      <c r="K1143" s="65"/>
      <c r="L1143" s="65"/>
      <c r="M1143" s="65"/>
      <c r="N1143" s="65"/>
      <c r="O1143" s="81">
        <f t="shared" si="51"/>
        <v>0</v>
      </c>
      <c r="P1143" s="81">
        <f t="shared" si="52"/>
        <v>0</v>
      </c>
      <c r="Q1143" s="65"/>
      <c r="R1143" s="67"/>
      <c r="S1143" s="83">
        <f t="shared" si="53"/>
        <v>0</v>
      </c>
    </row>
    <row r="1144" spans="1:19" ht="18" customHeight="1" x14ac:dyDescent="0.25">
      <c r="A1144" s="68"/>
      <c r="B1144" s="69"/>
      <c r="C1144" s="74"/>
      <c r="D1144" s="69"/>
      <c r="E1144" s="68"/>
      <c r="F1144" s="71"/>
      <c r="G1144" s="72"/>
      <c r="H1144" s="73"/>
      <c r="I1144" s="74"/>
      <c r="J1144" s="74"/>
      <c r="K1144" s="74"/>
      <c r="L1144" s="74"/>
      <c r="M1144" s="74"/>
      <c r="N1144" s="74"/>
      <c r="O1144" s="82">
        <f t="shared" si="51"/>
        <v>0</v>
      </c>
      <c r="P1144" s="82">
        <f t="shared" si="52"/>
        <v>0</v>
      </c>
      <c r="Q1144" s="74"/>
      <c r="R1144" s="76"/>
      <c r="S1144" s="84">
        <f t="shared" si="53"/>
        <v>0</v>
      </c>
    </row>
    <row r="1145" spans="1:19" ht="18" customHeight="1" x14ac:dyDescent="0.25">
      <c r="A1145" s="59"/>
      <c r="B1145" s="60"/>
      <c r="C1145" s="65"/>
      <c r="D1145" s="60"/>
      <c r="E1145" s="59"/>
      <c r="F1145" s="62"/>
      <c r="G1145" s="63"/>
      <c r="H1145" s="64"/>
      <c r="I1145" s="65"/>
      <c r="J1145" s="65"/>
      <c r="K1145" s="65"/>
      <c r="L1145" s="65"/>
      <c r="M1145" s="65"/>
      <c r="N1145" s="65"/>
      <c r="O1145" s="81">
        <f t="shared" si="51"/>
        <v>0</v>
      </c>
      <c r="P1145" s="81">
        <f t="shared" si="52"/>
        <v>0</v>
      </c>
      <c r="Q1145" s="65"/>
      <c r="R1145" s="67"/>
      <c r="S1145" s="83">
        <f t="shared" si="53"/>
        <v>0</v>
      </c>
    </row>
    <row r="1146" spans="1:19" ht="18" customHeight="1" x14ac:dyDescent="0.25">
      <c r="A1146" s="68"/>
      <c r="B1146" s="69"/>
      <c r="C1146" s="74"/>
      <c r="D1146" s="69"/>
      <c r="E1146" s="68"/>
      <c r="F1146" s="71"/>
      <c r="G1146" s="72"/>
      <c r="H1146" s="73"/>
      <c r="I1146" s="74"/>
      <c r="J1146" s="74"/>
      <c r="K1146" s="74"/>
      <c r="L1146" s="74"/>
      <c r="M1146" s="74"/>
      <c r="N1146" s="74"/>
      <c r="O1146" s="82">
        <f t="shared" si="51"/>
        <v>0</v>
      </c>
      <c r="P1146" s="82">
        <f t="shared" si="52"/>
        <v>0</v>
      </c>
      <c r="Q1146" s="74"/>
      <c r="R1146" s="76"/>
      <c r="S1146" s="84">
        <f t="shared" si="53"/>
        <v>0</v>
      </c>
    </row>
    <row r="1147" spans="1:19" ht="18" customHeight="1" x14ac:dyDescent="0.25">
      <c r="A1147" s="59"/>
      <c r="B1147" s="60"/>
      <c r="C1147" s="65"/>
      <c r="D1147" s="60"/>
      <c r="E1147" s="59"/>
      <c r="F1147" s="62"/>
      <c r="G1147" s="63"/>
      <c r="H1147" s="64"/>
      <c r="I1147" s="65"/>
      <c r="J1147" s="65"/>
      <c r="K1147" s="65"/>
      <c r="L1147" s="65"/>
      <c r="M1147" s="65"/>
      <c r="N1147" s="65"/>
      <c r="O1147" s="81">
        <f t="shared" si="51"/>
        <v>0</v>
      </c>
      <c r="P1147" s="81">
        <f t="shared" si="52"/>
        <v>0</v>
      </c>
      <c r="Q1147" s="65"/>
      <c r="R1147" s="67"/>
      <c r="S1147" s="83">
        <f t="shared" si="53"/>
        <v>0</v>
      </c>
    </row>
    <row r="1148" spans="1:19" ht="18" customHeight="1" x14ac:dyDescent="0.25">
      <c r="A1148" s="68"/>
      <c r="B1148" s="69"/>
      <c r="C1148" s="74"/>
      <c r="D1148" s="69"/>
      <c r="E1148" s="68"/>
      <c r="F1148" s="71"/>
      <c r="G1148" s="72"/>
      <c r="H1148" s="73"/>
      <c r="I1148" s="74"/>
      <c r="J1148" s="74"/>
      <c r="K1148" s="74"/>
      <c r="L1148" s="74"/>
      <c r="M1148" s="74"/>
      <c r="N1148" s="74"/>
      <c r="O1148" s="82">
        <f t="shared" si="51"/>
        <v>0</v>
      </c>
      <c r="P1148" s="82">
        <f t="shared" si="52"/>
        <v>0</v>
      </c>
      <c r="Q1148" s="74"/>
      <c r="R1148" s="76"/>
      <c r="S1148" s="84">
        <f t="shared" si="53"/>
        <v>0</v>
      </c>
    </row>
    <row r="1149" spans="1:19" ht="18" customHeight="1" x14ac:dyDescent="0.25">
      <c r="A1149" s="59"/>
      <c r="B1149" s="60"/>
      <c r="C1149" s="65"/>
      <c r="D1149" s="60"/>
      <c r="E1149" s="59"/>
      <c r="F1149" s="62"/>
      <c r="G1149" s="63"/>
      <c r="H1149" s="64"/>
      <c r="I1149" s="65"/>
      <c r="J1149" s="65"/>
      <c r="K1149" s="65"/>
      <c r="L1149" s="65"/>
      <c r="M1149" s="65"/>
      <c r="N1149" s="65"/>
      <c r="O1149" s="81">
        <f t="shared" si="51"/>
        <v>0</v>
      </c>
      <c r="P1149" s="81">
        <f t="shared" si="52"/>
        <v>0</v>
      </c>
      <c r="Q1149" s="65"/>
      <c r="R1149" s="67"/>
      <c r="S1149" s="83">
        <f t="shared" si="53"/>
        <v>0</v>
      </c>
    </row>
    <row r="1150" spans="1:19" ht="18" customHeight="1" x14ac:dyDescent="0.25">
      <c r="A1150" s="68"/>
      <c r="B1150" s="69"/>
      <c r="C1150" s="74"/>
      <c r="D1150" s="69"/>
      <c r="E1150" s="68"/>
      <c r="F1150" s="71"/>
      <c r="G1150" s="72"/>
      <c r="H1150" s="73"/>
      <c r="I1150" s="74"/>
      <c r="J1150" s="74"/>
      <c r="K1150" s="74"/>
      <c r="L1150" s="74"/>
      <c r="M1150" s="74"/>
      <c r="N1150" s="74"/>
      <c r="O1150" s="82">
        <f t="shared" si="51"/>
        <v>0</v>
      </c>
      <c r="P1150" s="82">
        <f t="shared" si="52"/>
        <v>0</v>
      </c>
      <c r="Q1150" s="74"/>
      <c r="R1150" s="76"/>
      <c r="S1150" s="84">
        <f t="shared" si="53"/>
        <v>0</v>
      </c>
    </row>
    <row r="1151" spans="1:19" ht="18" customHeight="1" x14ac:dyDescent="0.25">
      <c r="A1151" s="59"/>
      <c r="B1151" s="60"/>
      <c r="C1151" s="65"/>
      <c r="D1151" s="60"/>
      <c r="E1151" s="59"/>
      <c r="F1151" s="62"/>
      <c r="G1151" s="63"/>
      <c r="H1151" s="64"/>
      <c r="I1151" s="65"/>
      <c r="J1151" s="65"/>
      <c r="K1151" s="65"/>
      <c r="L1151" s="65"/>
      <c r="M1151" s="65"/>
      <c r="N1151" s="65"/>
      <c r="O1151" s="81">
        <f t="shared" si="51"/>
        <v>0</v>
      </c>
      <c r="P1151" s="81">
        <f t="shared" si="52"/>
        <v>0</v>
      </c>
      <c r="Q1151" s="65"/>
      <c r="R1151" s="67"/>
      <c r="S1151" s="83">
        <f t="shared" si="53"/>
        <v>0</v>
      </c>
    </row>
    <row r="1152" spans="1:19" ht="18" customHeight="1" x14ac:dyDescent="0.25">
      <c r="A1152" s="68"/>
      <c r="B1152" s="69"/>
      <c r="C1152" s="74"/>
      <c r="D1152" s="69"/>
      <c r="E1152" s="68"/>
      <c r="F1152" s="71"/>
      <c r="G1152" s="72"/>
      <c r="H1152" s="73"/>
      <c r="I1152" s="74"/>
      <c r="J1152" s="74"/>
      <c r="K1152" s="74"/>
      <c r="L1152" s="74"/>
      <c r="M1152" s="74"/>
      <c r="N1152" s="74"/>
      <c r="O1152" s="82">
        <f t="shared" si="51"/>
        <v>0</v>
      </c>
      <c r="P1152" s="82">
        <f t="shared" si="52"/>
        <v>0</v>
      </c>
      <c r="Q1152" s="74"/>
      <c r="R1152" s="76"/>
      <c r="S1152" s="84">
        <f t="shared" si="53"/>
        <v>0</v>
      </c>
    </row>
    <row r="1153" spans="1:19" ht="18" customHeight="1" x14ac:dyDescent="0.25">
      <c r="A1153" s="59"/>
      <c r="B1153" s="60"/>
      <c r="C1153" s="65"/>
      <c r="D1153" s="60"/>
      <c r="E1153" s="59"/>
      <c r="F1153" s="62"/>
      <c r="G1153" s="63"/>
      <c r="H1153" s="64"/>
      <c r="I1153" s="65"/>
      <c r="J1153" s="65"/>
      <c r="K1153" s="65"/>
      <c r="L1153" s="65"/>
      <c r="M1153" s="65"/>
      <c r="N1153" s="65"/>
      <c r="O1153" s="81">
        <f t="shared" si="51"/>
        <v>0</v>
      </c>
      <c r="P1153" s="81">
        <f t="shared" si="52"/>
        <v>0</v>
      </c>
      <c r="Q1153" s="65"/>
      <c r="R1153" s="67"/>
      <c r="S1153" s="83">
        <f t="shared" si="53"/>
        <v>0</v>
      </c>
    </row>
    <row r="1154" spans="1:19" ht="18" customHeight="1" x14ac:dyDescent="0.25">
      <c r="A1154" s="68"/>
      <c r="B1154" s="69"/>
      <c r="C1154" s="74"/>
      <c r="D1154" s="69"/>
      <c r="E1154" s="68"/>
      <c r="F1154" s="71"/>
      <c r="G1154" s="72"/>
      <c r="H1154" s="73"/>
      <c r="I1154" s="74"/>
      <c r="J1154" s="74"/>
      <c r="K1154" s="74"/>
      <c r="L1154" s="74"/>
      <c r="M1154" s="74"/>
      <c r="N1154" s="74"/>
      <c r="O1154" s="82">
        <f t="shared" si="51"/>
        <v>0</v>
      </c>
      <c r="P1154" s="82">
        <f t="shared" si="52"/>
        <v>0</v>
      </c>
      <c r="Q1154" s="74"/>
      <c r="R1154" s="76"/>
      <c r="S1154" s="84">
        <f t="shared" si="53"/>
        <v>0</v>
      </c>
    </row>
    <row r="1155" spans="1:19" ht="18" customHeight="1" x14ac:dyDescent="0.25">
      <c r="A1155" s="59"/>
      <c r="B1155" s="60"/>
      <c r="C1155" s="65"/>
      <c r="D1155" s="60"/>
      <c r="E1155" s="59"/>
      <c r="F1155" s="62"/>
      <c r="G1155" s="63"/>
      <c r="H1155" s="64"/>
      <c r="I1155" s="65"/>
      <c r="J1155" s="65"/>
      <c r="K1155" s="65"/>
      <c r="L1155" s="65"/>
      <c r="M1155" s="65"/>
      <c r="N1155" s="65"/>
      <c r="O1155" s="81">
        <f t="shared" si="51"/>
        <v>0</v>
      </c>
      <c r="P1155" s="81">
        <f t="shared" si="52"/>
        <v>0</v>
      </c>
      <c r="Q1155" s="65"/>
      <c r="R1155" s="67"/>
      <c r="S1155" s="83">
        <f t="shared" si="53"/>
        <v>0</v>
      </c>
    </row>
    <row r="1156" spans="1:19" ht="18" customHeight="1" x14ac:dyDescent="0.25">
      <c r="A1156" s="68"/>
      <c r="B1156" s="69"/>
      <c r="C1156" s="74"/>
      <c r="D1156" s="69"/>
      <c r="E1156" s="68"/>
      <c r="F1156" s="71"/>
      <c r="G1156" s="72"/>
      <c r="H1156" s="73"/>
      <c r="I1156" s="74"/>
      <c r="J1156" s="74"/>
      <c r="K1156" s="74"/>
      <c r="L1156" s="74"/>
      <c r="M1156" s="74"/>
      <c r="N1156" s="74"/>
      <c r="O1156" s="82">
        <f t="shared" si="51"/>
        <v>0</v>
      </c>
      <c r="P1156" s="82">
        <f t="shared" si="52"/>
        <v>0</v>
      </c>
      <c r="Q1156" s="74"/>
      <c r="R1156" s="76"/>
      <c r="S1156" s="84">
        <f t="shared" si="53"/>
        <v>0</v>
      </c>
    </row>
    <row r="1157" spans="1:19" ht="18" customHeight="1" x14ac:dyDescent="0.25">
      <c r="A1157" s="59"/>
      <c r="B1157" s="60"/>
      <c r="C1157" s="65"/>
      <c r="D1157" s="60"/>
      <c r="E1157" s="59"/>
      <c r="F1157" s="62"/>
      <c r="G1157" s="63"/>
      <c r="H1157" s="64"/>
      <c r="I1157" s="65"/>
      <c r="J1157" s="65"/>
      <c r="K1157" s="65"/>
      <c r="L1157" s="65"/>
      <c r="M1157" s="65"/>
      <c r="N1157" s="65"/>
      <c r="O1157" s="81">
        <f t="shared" si="51"/>
        <v>0</v>
      </c>
      <c r="P1157" s="81">
        <f t="shared" si="52"/>
        <v>0</v>
      </c>
      <c r="Q1157" s="65"/>
      <c r="R1157" s="67"/>
      <c r="S1157" s="83">
        <f t="shared" si="53"/>
        <v>0</v>
      </c>
    </row>
    <row r="1158" spans="1:19" ht="18" customHeight="1" x14ac:dyDescent="0.25">
      <c r="A1158" s="68"/>
      <c r="B1158" s="69"/>
      <c r="C1158" s="74"/>
      <c r="D1158" s="69"/>
      <c r="E1158" s="68"/>
      <c r="F1158" s="71"/>
      <c r="G1158" s="72"/>
      <c r="H1158" s="73"/>
      <c r="I1158" s="74"/>
      <c r="J1158" s="74"/>
      <c r="K1158" s="74"/>
      <c r="L1158" s="74"/>
      <c r="M1158" s="74"/>
      <c r="N1158" s="74"/>
      <c r="O1158" s="82" t="e">
        <f>#N/A</f>
        <v>#N/A</v>
      </c>
      <c r="P1158" s="82" t="e">
        <f>#N/A</f>
        <v>#N/A</v>
      </c>
      <c r="Q1158" s="74"/>
      <c r="R1158" s="76"/>
      <c r="S1158" s="84">
        <f t="shared" si="53"/>
        <v>0</v>
      </c>
    </row>
    <row r="1159" spans="1:19" ht="18" customHeight="1" x14ac:dyDescent="0.25">
      <c r="A1159" s="59"/>
      <c r="B1159" s="60"/>
      <c r="C1159" s="65"/>
      <c r="D1159" s="60"/>
      <c r="E1159" s="59"/>
      <c r="F1159" s="62"/>
      <c r="G1159" s="63"/>
      <c r="H1159" s="64"/>
      <c r="I1159" s="65"/>
      <c r="J1159" s="65"/>
      <c r="K1159" s="65"/>
      <c r="L1159" s="65"/>
      <c r="M1159" s="65"/>
      <c r="N1159" s="65"/>
      <c r="O1159" s="81">
        <f t="shared" ref="O1159:O1221" si="54">IF(G1159="Reimbursement ","",I1159+J1159+K1159+L1159+M1159)</f>
        <v>0</v>
      </c>
      <c r="P1159" s="81">
        <f t="shared" ref="P1159:P1221" si="55">IF(G1159="Reimbursement ","",H1159-O1159)</f>
        <v>0</v>
      </c>
      <c r="Q1159" s="65"/>
      <c r="R1159" s="67"/>
      <c r="S1159" s="83">
        <f t="shared" ref="S1159:S1222" si="56">IF(OR(R1159="",Q1159=""),0,IF(R1159&gt;Q1159,R1159-Q1159,0))</f>
        <v>0</v>
      </c>
    </row>
    <row r="1160" spans="1:19" ht="18" customHeight="1" x14ac:dyDescent="0.25">
      <c r="A1160" s="68"/>
      <c r="B1160" s="69"/>
      <c r="C1160" s="74"/>
      <c r="D1160" s="69"/>
      <c r="E1160" s="68"/>
      <c r="F1160" s="71"/>
      <c r="G1160" s="72"/>
      <c r="H1160" s="73"/>
      <c r="I1160" s="74"/>
      <c r="J1160" s="74"/>
      <c r="K1160" s="74"/>
      <c r="L1160" s="74"/>
      <c r="M1160" s="74"/>
      <c r="N1160" s="74"/>
      <c r="O1160" s="82">
        <f t="shared" si="54"/>
        <v>0</v>
      </c>
      <c r="P1160" s="82">
        <f t="shared" si="55"/>
        <v>0</v>
      </c>
      <c r="Q1160" s="74"/>
      <c r="R1160" s="76"/>
      <c r="S1160" s="84">
        <f t="shared" si="56"/>
        <v>0</v>
      </c>
    </row>
    <row r="1161" spans="1:19" ht="18" customHeight="1" x14ac:dyDescent="0.25">
      <c r="A1161" s="59"/>
      <c r="B1161" s="60"/>
      <c r="C1161" s="65"/>
      <c r="D1161" s="60"/>
      <c r="E1161" s="59"/>
      <c r="F1161" s="62"/>
      <c r="G1161" s="63"/>
      <c r="H1161" s="64"/>
      <c r="I1161" s="65"/>
      <c r="J1161" s="65"/>
      <c r="K1161" s="65"/>
      <c r="L1161" s="65"/>
      <c r="M1161" s="65"/>
      <c r="N1161" s="65"/>
      <c r="O1161" s="81">
        <f t="shared" si="54"/>
        <v>0</v>
      </c>
      <c r="P1161" s="81">
        <f t="shared" si="55"/>
        <v>0</v>
      </c>
      <c r="Q1161" s="65"/>
      <c r="R1161" s="67"/>
      <c r="S1161" s="83">
        <f t="shared" si="56"/>
        <v>0</v>
      </c>
    </row>
    <row r="1162" spans="1:19" ht="18" customHeight="1" x14ac:dyDescent="0.25">
      <c r="A1162" s="68"/>
      <c r="B1162" s="69"/>
      <c r="C1162" s="74"/>
      <c r="D1162" s="69"/>
      <c r="E1162" s="68"/>
      <c r="F1162" s="71"/>
      <c r="G1162" s="72"/>
      <c r="H1162" s="73"/>
      <c r="I1162" s="74"/>
      <c r="J1162" s="74"/>
      <c r="K1162" s="74"/>
      <c r="L1162" s="74"/>
      <c r="M1162" s="74"/>
      <c r="N1162" s="74"/>
      <c r="O1162" s="82">
        <f t="shared" si="54"/>
        <v>0</v>
      </c>
      <c r="P1162" s="82">
        <f t="shared" si="55"/>
        <v>0</v>
      </c>
      <c r="Q1162" s="74"/>
      <c r="R1162" s="76"/>
      <c r="S1162" s="84">
        <f t="shared" si="56"/>
        <v>0</v>
      </c>
    </row>
    <row r="1163" spans="1:19" ht="18" customHeight="1" x14ac:dyDescent="0.25">
      <c r="A1163" s="59"/>
      <c r="B1163" s="60"/>
      <c r="C1163" s="65"/>
      <c r="D1163" s="60"/>
      <c r="E1163" s="59"/>
      <c r="F1163" s="62"/>
      <c r="G1163" s="63"/>
      <c r="H1163" s="64"/>
      <c r="I1163" s="65"/>
      <c r="J1163" s="65"/>
      <c r="K1163" s="65"/>
      <c r="L1163" s="65"/>
      <c r="M1163" s="65"/>
      <c r="N1163" s="65"/>
      <c r="O1163" s="81">
        <f t="shared" si="54"/>
        <v>0</v>
      </c>
      <c r="P1163" s="81">
        <f t="shared" si="55"/>
        <v>0</v>
      </c>
      <c r="Q1163" s="65"/>
      <c r="R1163" s="67"/>
      <c r="S1163" s="83">
        <f t="shared" si="56"/>
        <v>0</v>
      </c>
    </row>
    <row r="1164" spans="1:19" ht="18" customHeight="1" x14ac:dyDescent="0.25">
      <c r="A1164" s="68"/>
      <c r="B1164" s="69"/>
      <c r="C1164" s="74"/>
      <c r="D1164" s="69"/>
      <c r="E1164" s="68"/>
      <c r="F1164" s="71"/>
      <c r="G1164" s="72"/>
      <c r="H1164" s="73"/>
      <c r="I1164" s="74"/>
      <c r="J1164" s="74"/>
      <c r="K1164" s="74"/>
      <c r="L1164" s="74"/>
      <c r="M1164" s="74"/>
      <c r="N1164" s="74"/>
      <c r="O1164" s="82">
        <f t="shared" si="54"/>
        <v>0</v>
      </c>
      <c r="P1164" s="82">
        <f t="shared" si="55"/>
        <v>0</v>
      </c>
      <c r="Q1164" s="74"/>
      <c r="R1164" s="76"/>
      <c r="S1164" s="84">
        <f t="shared" si="56"/>
        <v>0</v>
      </c>
    </row>
    <row r="1165" spans="1:19" ht="18" customHeight="1" x14ac:dyDescent="0.25">
      <c r="A1165" s="59"/>
      <c r="B1165" s="60"/>
      <c r="C1165" s="65"/>
      <c r="D1165" s="60"/>
      <c r="E1165" s="59"/>
      <c r="F1165" s="62"/>
      <c r="G1165" s="63"/>
      <c r="H1165" s="64"/>
      <c r="I1165" s="65"/>
      <c r="J1165" s="65"/>
      <c r="K1165" s="65"/>
      <c r="L1165" s="65"/>
      <c r="M1165" s="65"/>
      <c r="N1165" s="65"/>
      <c r="O1165" s="81">
        <f t="shared" si="54"/>
        <v>0</v>
      </c>
      <c r="P1165" s="81">
        <f t="shared" si="55"/>
        <v>0</v>
      </c>
      <c r="Q1165" s="65"/>
      <c r="R1165" s="67"/>
      <c r="S1165" s="83">
        <f t="shared" si="56"/>
        <v>0</v>
      </c>
    </row>
    <row r="1166" spans="1:19" ht="18" customHeight="1" x14ac:dyDescent="0.25">
      <c r="A1166" s="68"/>
      <c r="B1166" s="69"/>
      <c r="C1166" s="74"/>
      <c r="D1166" s="69"/>
      <c r="E1166" s="68"/>
      <c r="F1166" s="71"/>
      <c r="G1166" s="72"/>
      <c r="H1166" s="73"/>
      <c r="I1166" s="74"/>
      <c r="J1166" s="74"/>
      <c r="K1166" s="74"/>
      <c r="L1166" s="74"/>
      <c r="M1166" s="74"/>
      <c r="N1166" s="74"/>
      <c r="O1166" s="82">
        <f t="shared" si="54"/>
        <v>0</v>
      </c>
      <c r="P1166" s="82">
        <f t="shared" si="55"/>
        <v>0</v>
      </c>
      <c r="Q1166" s="74"/>
      <c r="R1166" s="76"/>
      <c r="S1166" s="84">
        <f t="shared" si="56"/>
        <v>0</v>
      </c>
    </row>
    <row r="1167" spans="1:19" ht="18" customHeight="1" x14ac:dyDescent="0.25">
      <c r="A1167" s="59"/>
      <c r="B1167" s="60"/>
      <c r="C1167" s="65"/>
      <c r="D1167" s="60"/>
      <c r="E1167" s="59"/>
      <c r="F1167" s="62"/>
      <c r="G1167" s="63"/>
      <c r="H1167" s="64"/>
      <c r="I1167" s="65"/>
      <c r="J1167" s="65"/>
      <c r="K1167" s="65"/>
      <c r="L1167" s="65"/>
      <c r="M1167" s="65"/>
      <c r="N1167" s="65"/>
      <c r="O1167" s="81">
        <f t="shared" si="54"/>
        <v>0</v>
      </c>
      <c r="P1167" s="81">
        <f t="shared" si="55"/>
        <v>0</v>
      </c>
      <c r="Q1167" s="65"/>
      <c r="R1167" s="67"/>
      <c r="S1167" s="83">
        <f t="shared" si="56"/>
        <v>0</v>
      </c>
    </row>
    <row r="1168" spans="1:19" ht="18" customHeight="1" x14ac:dyDescent="0.25">
      <c r="A1168" s="68"/>
      <c r="B1168" s="69"/>
      <c r="C1168" s="74"/>
      <c r="D1168" s="69"/>
      <c r="E1168" s="68"/>
      <c r="F1168" s="71"/>
      <c r="G1168" s="72"/>
      <c r="H1168" s="73"/>
      <c r="I1168" s="74"/>
      <c r="J1168" s="74"/>
      <c r="K1168" s="74"/>
      <c r="L1168" s="74"/>
      <c r="M1168" s="74"/>
      <c r="N1168" s="74"/>
      <c r="O1168" s="82">
        <f t="shared" si="54"/>
        <v>0</v>
      </c>
      <c r="P1168" s="82">
        <f t="shared" si="55"/>
        <v>0</v>
      </c>
      <c r="Q1168" s="74"/>
      <c r="R1168" s="76"/>
      <c r="S1168" s="84">
        <f t="shared" si="56"/>
        <v>0</v>
      </c>
    </row>
    <row r="1169" spans="1:19" ht="18" customHeight="1" x14ac:dyDescent="0.25">
      <c r="A1169" s="59"/>
      <c r="B1169" s="60"/>
      <c r="C1169" s="65"/>
      <c r="D1169" s="60"/>
      <c r="E1169" s="59"/>
      <c r="F1169" s="62"/>
      <c r="G1169" s="63"/>
      <c r="H1169" s="64"/>
      <c r="I1169" s="65"/>
      <c r="J1169" s="65"/>
      <c r="K1169" s="65"/>
      <c r="L1169" s="65"/>
      <c r="M1169" s="65"/>
      <c r="N1169" s="65"/>
      <c r="O1169" s="81">
        <f t="shared" si="54"/>
        <v>0</v>
      </c>
      <c r="P1169" s="81">
        <f t="shared" si="55"/>
        <v>0</v>
      </c>
      <c r="Q1169" s="65"/>
      <c r="R1169" s="67"/>
      <c r="S1169" s="83">
        <f t="shared" si="56"/>
        <v>0</v>
      </c>
    </row>
    <row r="1170" spans="1:19" ht="18" customHeight="1" x14ac:dyDescent="0.25">
      <c r="A1170" s="68"/>
      <c r="B1170" s="69"/>
      <c r="C1170" s="74"/>
      <c r="D1170" s="69"/>
      <c r="E1170" s="68"/>
      <c r="F1170" s="71"/>
      <c r="G1170" s="72"/>
      <c r="H1170" s="73"/>
      <c r="I1170" s="74"/>
      <c r="J1170" s="74"/>
      <c r="K1170" s="74"/>
      <c r="L1170" s="74"/>
      <c r="M1170" s="74"/>
      <c r="N1170" s="74"/>
      <c r="O1170" s="82">
        <f t="shared" si="54"/>
        <v>0</v>
      </c>
      <c r="P1170" s="82">
        <f t="shared" si="55"/>
        <v>0</v>
      </c>
      <c r="Q1170" s="74"/>
      <c r="R1170" s="76"/>
      <c r="S1170" s="84">
        <f t="shared" si="56"/>
        <v>0</v>
      </c>
    </row>
    <row r="1171" spans="1:19" ht="18" customHeight="1" x14ac:dyDescent="0.25">
      <c r="A1171" s="59"/>
      <c r="B1171" s="60"/>
      <c r="C1171" s="65"/>
      <c r="D1171" s="60"/>
      <c r="E1171" s="59"/>
      <c r="F1171" s="62"/>
      <c r="G1171" s="63"/>
      <c r="H1171" s="64"/>
      <c r="I1171" s="65"/>
      <c r="J1171" s="65"/>
      <c r="K1171" s="65"/>
      <c r="L1171" s="65"/>
      <c r="M1171" s="65"/>
      <c r="N1171" s="65"/>
      <c r="O1171" s="81">
        <f t="shared" si="54"/>
        <v>0</v>
      </c>
      <c r="P1171" s="81">
        <f t="shared" si="55"/>
        <v>0</v>
      </c>
      <c r="Q1171" s="65"/>
      <c r="R1171" s="67"/>
      <c r="S1171" s="83">
        <f t="shared" si="56"/>
        <v>0</v>
      </c>
    </row>
    <row r="1172" spans="1:19" ht="18" customHeight="1" x14ac:dyDescent="0.25">
      <c r="A1172" s="68"/>
      <c r="B1172" s="69"/>
      <c r="C1172" s="74"/>
      <c r="D1172" s="69"/>
      <c r="E1172" s="68"/>
      <c r="F1172" s="71"/>
      <c r="G1172" s="72"/>
      <c r="H1172" s="73"/>
      <c r="I1172" s="74"/>
      <c r="J1172" s="74"/>
      <c r="K1172" s="74"/>
      <c r="L1172" s="74"/>
      <c r="M1172" s="74"/>
      <c r="N1172" s="74"/>
      <c r="O1172" s="82">
        <f t="shared" si="54"/>
        <v>0</v>
      </c>
      <c r="P1172" s="82">
        <f t="shared" si="55"/>
        <v>0</v>
      </c>
      <c r="Q1172" s="74"/>
      <c r="R1172" s="76"/>
      <c r="S1172" s="84">
        <f t="shared" si="56"/>
        <v>0</v>
      </c>
    </row>
    <row r="1173" spans="1:19" ht="18" customHeight="1" x14ac:dyDescent="0.25">
      <c r="A1173" s="59"/>
      <c r="B1173" s="60"/>
      <c r="C1173" s="65"/>
      <c r="D1173" s="60"/>
      <c r="E1173" s="59"/>
      <c r="F1173" s="62"/>
      <c r="G1173" s="63"/>
      <c r="H1173" s="64"/>
      <c r="I1173" s="65"/>
      <c r="J1173" s="65"/>
      <c r="K1173" s="65"/>
      <c r="L1173" s="65"/>
      <c r="M1173" s="65"/>
      <c r="N1173" s="65"/>
      <c r="O1173" s="81">
        <f t="shared" si="54"/>
        <v>0</v>
      </c>
      <c r="P1173" s="81">
        <f t="shared" si="55"/>
        <v>0</v>
      </c>
      <c r="Q1173" s="65"/>
      <c r="R1173" s="67"/>
      <c r="S1173" s="83">
        <f t="shared" si="56"/>
        <v>0</v>
      </c>
    </row>
    <row r="1174" spans="1:19" ht="18" customHeight="1" x14ac:dyDescent="0.25">
      <c r="A1174" s="68"/>
      <c r="B1174" s="69"/>
      <c r="C1174" s="74"/>
      <c r="D1174" s="69"/>
      <c r="E1174" s="68"/>
      <c r="F1174" s="71"/>
      <c r="G1174" s="72"/>
      <c r="H1174" s="73"/>
      <c r="I1174" s="74"/>
      <c r="J1174" s="74"/>
      <c r="K1174" s="74"/>
      <c r="L1174" s="74"/>
      <c r="M1174" s="74"/>
      <c r="N1174" s="74"/>
      <c r="O1174" s="82">
        <f t="shared" si="54"/>
        <v>0</v>
      </c>
      <c r="P1174" s="82">
        <f t="shared" si="55"/>
        <v>0</v>
      </c>
      <c r="Q1174" s="74"/>
      <c r="R1174" s="76"/>
      <c r="S1174" s="84">
        <f t="shared" si="56"/>
        <v>0</v>
      </c>
    </row>
    <row r="1175" spans="1:19" ht="18" customHeight="1" x14ac:dyDescent="0.25">
      <c r="A1175" s="59"/>
      <c r="B1175" s="60"/>
      <c r="C1175" s="65"/>
      <c r="D1175" s="60"/>
      <c r="E1175" s="59"/>
      <c r="F1175" s="62"/>
      <c r="G1175" s="63"/>
      <c r="H1175" s="64"/>
      <c r="I1175" s="65"/>
      <c r="J1175" s="65"/>
      <c r="K1175" s="65"/>
      <c r="L1175" s="65"/>
      <c r="M1175" s="65"/>
      <c r="N1175" s="65"/>
      <c r="O1175" s="81">
        <f t="shared" si="54"/>
        <v>0</v>
      </c>
      <c r="P1175" s="81">
        <f t="shared" si="55"/>
        <v>0</v>
      </c>
      <c r="Q1175" s="65"/>
      <c r="R1175" s="67"/>
      <c r="S1175" s="83">
        <f t="shared" si="56"/>
        <v>0</v>
      </c>
    </row>
    <row r="1176" spans="1:19" ht="18" customHeight="1" x14ac:dyDescent="0.25">
      <c r="A1176" s="68"/>
      <c r="B1176" s="69"/>
      <c r="C1176" s="74"/>
      <c r="D1176" s="69"/>
      <c r="E1176" s="68"/>
      <c r="F1176" s="71"/>
      <c r="G1176" s="72"/>
      <c r="H1176" s="73"/>
      <c r="I1176" s="74"/>
      <c r="J1176" s="74"/>
      <c r="K1176" s="74"/>
      <c r="L1176" s="74"/>
      <c r="M1176" s="74"/>
      <c r="N1176" s="74"/>
      <c r="O1176" s="82">
        <f t="shared" si="54"/>
        <v>0</v>
      </c>
      <c r="P1176" s="82">
        <f t="shared" si="55"/>
        <v>0</v>
      </c>
      <c r="Q1176" s="74"/>
      <c r="R1176" s="76"/>
      <c r="S1176" s="84">
        <f t="shared" si="56"/>
        <v>0</v>
      </c>
    </row>
    <row r="1177" spans="1:19" ht="18" customHeight="1" x14ac:dyDescent="0.25">
      <c r="A1177" s="59"/>
      <c r="B1177" s="60"/>
      <c r="C1177" s="65"/>
      <c r="D1177" s="60"/>
      <c r="E1177" s="59"/>
      <c r="F1177" s="62"/>
      <c r="G1177" s="63"/>
      <c r="H1177" s="64"/>
      <c r="I1177" s="65"/>
      <c r="J1177" s="65"/>
      <c r="K1177" s="65"/>
      <c r="L1177" s="65"/>
      <c r="M1177" s="65"/>
      <c r="N1177" s="65"/>
      <c r="O1177" s="81">
        <f t="shared" si="54"/>
        <v>0</v>
      </c>
      <c r="P1177" s="81">
        <f t="shared" si="55"/>
        <v>0</v>
      </c>
      <c r="Q1177" s="65"/>
      <c r="R1177" s="67"/>
      <c r="S1177" s="83">
        <f t="shared" si="56"/>
        <v>0</v>
      </c>
    </row>
    <row r="1178" spans="1:19" ht="18" customHeight="1" x14ac:dyDescent="0.25">
      <c r="A1178" s="68"/>
      <c r="B1178" s="69"/>
      <c r="C1178" s="74"/>
      <c r="D1178" s="69"/>
      <c r="E1178" s="68"/>
      <c r="F1178" s="71"/>
      <c r="G1178" s="72"/>
      <c r="H1178" s="73"/>
      <c r="I1178" s="74"/>
      <c r="J1178" s="74"/>
      <c r="K1178" s="74"/>
      <c r="L1178" s="74"/>
      <c r="M1178" s="74"/>
      <c r="N1178" s="74"/>
      <c r="O1178" s="82">
        <f t="shared" si="54"/>
        <v>0</v>
      </c>
      <c r="P1178" s="82">
        <f t="shared" si="55"/>
        <v>0</v>
      </c>
      <c r="Q1178" s="74"/>
      <c r="R1178" s="76"/>
      <c r="S1178" s="84">
        <f t="shared" si="56"/>
        <v>0</v>
      </c>
    </row>
    <row r="1179" spans="1:19" ht="18" customHeight="1" x14ac:dyDescent="0.25">
      <c r="A1179" s="59"/>
      <c r="B1179" s="60"/>
      <c r="C1179" s="65"/>
      <c r="D1179" s="60"/>
      <c r="E1179" s="59"/>
      <c r="F1179" s="62"/>
      <c r="G1179" s="63"/>
      <c r="H1179" s="64"/>
      <c r="I1179" s="65"/>
      <c r="J1179" s="65"/>
      <c r="K1179" s="65"/>
      <c r="L1179" s="65"/>
      <c r="M1179" s="65"/>
      <c r="N1179" s="65"/>
      <c r="O1179" s="81">
        <f t="shared" si="54"/>
        <v>0</v>
      </c>
      <c r="P1179" s="81">
        <f t="shared" si="55"/>
        <v>0</v>
      </c>
      <c r="Q1179" s="65"/>
      <c r="R1179" s="67"/>
      <c r="S1179" s="83">
        <f t="shared" si="56"/>
        <v>0</v>
      </c>
    </row>
    <row r="1180" spans="1:19" ht="18" customHeight="1" x14ac:dyDescent="0.25">
      <c r="A1180" s="68"/>
      <c r="B1180" s="69"/>
      <c r="C1180" s="74"/>
      <c r="D1180" s="69"/>
      <c r="E1180" s="68"/>
      <c r="F1180" s="71"/>
      <c r="G1180" s="72"/>
      <c r="H1180" s="73"/>
      <c r="I1180" s="74"/>
      <c r="J1180" s="74"/>
      <c r="K1180" s="74"/>
      <c r="L1180" s="74"/>
      <c r="M1180" s="74"/>
      <c r="N1180" s="74"/>
      <c r="O1180" s="82">
        <f t="shared" si="54"/>
        <v>0</v>
      </c>
      <c r="P1180" s="82">
        <f t="shared" si="55"/>
        <v>0</v>
      </c>
      <c r="Q1180" s="74"/>
      <c r="R1180" s="76"/>
      <c r="S1180" s="84">
        <f t="shared" si="56"/>
        <v>0</v>
      </c>
    </row>
    <row r="1181" spans="1:19" ht="18" customHeight="1" x14ac:dyDescent="0.25">
      <c r="A1181" s="59"/>
      <c r="B1181" s="60"/>
      <c r="C1181" s="65"/>
      <c r="D1181" s="60"/>
      <c r="E1181" s="59"/>
      <c r="F1181" s="62"/>
      <c r="G1181" s="63"/>
      <c r="H1181" s="64"/>
      <c r="I1181" s="65"/>
      <c r="J1181" s="65"/>
      <c r="K1181" s="65"/>
      <c r="L1181" s="65"/>
      <c r="M1181" s="65"/>
      <c r="N1181" s="65"/>
      <c r="O1181" s="81">
        <f t="shared" si="54"/>
        <v>0</v>
      </c>
      <c r="P1181" s="81">
        <f t="shared" si="55"/>
        <v>0</v>
      </c>
      <c r="Q1181" s="65"/>
      <c r="R1181" s="67"/>
      <c r="S1181" s="83">
        <f t="shared" si="56"/>
        <v>0</v>
      </c>
    </row>
    <row r="1182" spans="1:19" ht="18" customHeight="1" x14ac:dyDescent="0.25">
      <c r="A1182" s="68"/>
      <c r="B1182" s="69"/>
      <c r="C1182" s="74"/>
      <c r="D1182" s="69"/>
      <c r="E1182" s="68"/>
      <c r="F1182" s="71"/>
      <c r="G1182" s="72"/>
      <c r="H1182" s="73"/>
      <c r="I1182" s="74"/>
      <c r="J1182" s="74"/>
      <c r="K1182" s="74"/>
      <c r="L1182" s="74"/>
      <c r="M1182" s="74"/>
      <c r="N1182" s="74"/>
      <c r="O1182" s="82">
        <f t="shared" si="54"/>
        <v>0</v>
      </c>
      <c r="P1182" s="82">
        <f t="shared" si="55"/>
        <v>0</v>
      </c>
      <c r="Q1182" s="74"/>
      <c r="R1182" s="76"/>
      <c r="S1182" s="84">
        <f t="shared" si="56"/>
        <v>0</v>
      </c>
    </row>
    <row r="1183" spans="1:19" ht="18" customHeight="1" x14ac:dyDescent="0.25">
      <c r="A1183" s="59"/>
      <c r="B1183" s="60"/>
      <c r="C1183" s="65"/>
      <c r="D1183" s="60"/>
      <c r="E1183" s="59"/>
      <c r="F1183" s="62"/>
      <c r="G1183" s="63"/>
      <c r="H1183" s="64"/>
      <c r="I1183" s="65"/>
      <c r="J1183" s="65"/>
      <c r="K1183" s="65"/>
      <c r="L1183" s="65"/>
      <c r="M1183" s="65"/>
      <c r="N1183" s="65"/>
      <c r="O1183" s="81">
        <f t="shared" si="54"/>
        <v>0</v>
      </c>
      <c r="P1183" s="81">
        <f t="shared" si="55"/>
        <v>0</v>
      </c>
      <c r="Q1183" s="65"/>
      <c r="R1183" s="67"/>
      <c r="S1183" s="83">
        <f t="shared" si="56"/>
        <v>0</v>
      </c>
    </row>
    <row r="1184" spans="1:19" ht="18" customHeight="1" x14ac:dyDescent="0.25">
      <c r="A1184" s="68"/>
      <c r="B1184" s="69"/>
      <c r="C1184" s="74"/>
      <c r="D1184" s="69"/>
      <c r="E1184" s="68"/>
      <c r="F1184" s="71"/>
      <c r="G1184" s="72"/>
      <c r="H1184" s="73"/>
      <c r="I1184" s="74"/>
      <c r="J1184" s="74"/>
      <c r="K1184" s="74"/>
      <c r="L1184" s="74"/>
      <c r="M1184" s="74"/>
      <c r="N1184" s="74"/>
      <c r="O1184" s="82">
        <f t="shared" si="54"/>
        <v>0</v>
      </c>
      <c r="P1184" s="82">
        <f t="shared" si="55"/>
        <v>0</v>
      </c>
      <c r="Q1184" s="74"/>
      <c r="R1184" s="76"/>
      <c r="S1184" s="84">
        <f t="shared" si="56"/>
        <v>0</v>
      </c>
    </row>
    <row r="1185" spans="1:19" ht="18" customHeight="1" x14ac:dyDescent="0.25">
      <c r="A1185" s="59"/>
      <c r="B1185" s="60"/>
      <c r="C1185" s="65"/>
      <c r="D1185" s="60"/>
      <c r="E1185" s="59"/>
      <c r="F1185" s="62"/>
      <c r="G1185" s="63"/>
      <c r="H1185" s="64"/>
      <c r="I1185" s="65"/>
      <c r="J1185" s="65"/>
      <c r="K1185" s="65"/>
      <c r="L1185" s="65"/>
      <c r="M1185" s="65"/>
      <c r="N1185" s="65"/>
      <c r="O1185" s="81">
        <f t="shared" si="54"/>
        <v>0</v>
      </c>
      <c r="P1185" s="81">
        <f t="shared" si="55"/>
        <v>0</v>
      </c>
      <c r="Q1185" s="65"/>
      <c r="R1185" s="67"/>
      <c r="S1185" s="83">
        <f t="shared" si="56"/>
        <v>0</v>
      </c>
    </row>
    <row r="1186" spans="1:19" ht="18" customHeight="1" x14ac:dyDescent="0.25">
      <c r="A1186" s="68"/>
      <c r="B1186" s="69"/>
      <c r="C1186" s="74"/>
      <c r="D1186" s="69"/>
      <c r="E1186" s="68"/>
      <c r="F1186" s="71"/>
      <c r="G1186" s="72"/>
      <c r="H1186" s="73"/>
      <c r="I1186" s="74"/>
      <c r="J1186" s="74"/>
      <c r="K1186" s="74"/>
      <c r="L1186" s="74"/>
      <c r="M1186" s="74"/>
      <c r="N1186" s="74"/>
      <c r="O1186" s="82">
        <f t="shared" si="54"/>
        <v>0</v>
      </c>
      <c r="P1186" s="82">
        <f t="shared" si="55"/>
        <v>0</v>
      </c>
      <c r="Q1186" s="74"/>
      <c r="R1186" s="76"/>
      <c r="S1186" s="84">
        <f t="shared" si="56"/>
        <v>0</v>
      </c>
    </row>
    <row r="1187" spans="1:19" ht="18" customHeight="1" x14ac:dyDescent="0.25">
      <c r="A1187" s="59"/>
      <c r="B1187" s="60"/>
      <c r="C1187" s="65"/>
      <c r="D1187" s="60"/>
      <c r="E1187" s="59"/>
      <c r="F1187" s="62"/>
      <c r="G1187" s="63"/>
      <c r="H1187" s="64"/>
      <c r="I1187" s="65"/>
      <c r="J1187" s="65"/>
      <c r="K1187" s="65"/>
      <c r="L1187" s="65"/>
      <c r="M1187" s="65"/>
      <c r="N1187" s="65"/>
      <c r="O1187" s="81">
        <f t="shared" si="54"/>
        <v>0</v>
      </c>
      <c r="P1187" s="81">
        <f t="shared" si="55"/>
        <v>0</v>
      </c>
      <c r="Q1187" s="65"/>
      <c r="R1187" s="67"/>
      <c r="S1187" s="83">
        <f t="shared" si="56"/>
        <v>0</v>
      </c>
    </row>
    <row r="1188" spans="1:19" ht="18" customHeight="1" x14ac:dyDescent="0.25">
      <c r="A1188" s="68"/>
      <c r="B1188" s="69"/>
      <c r="C1188" s="74"/>
      <c r="D1188" s="69"/>
      <c r="E1188" s="68"/>
      <c r="F1188" s="71"/>
      <c r="G1188" s="72"/>
      <c r="H1188" s="73"/>
      <c r="I1188" s="74"/>
      <c r="J1188" s="74"/>
      <c r="K1188" s="74"/>
      <c r="L1188" s="74"/>
      <c r="M1188" s="74"/>
      <c r="N1188" s="74"/>
      <c r="O1188" s="82">
        <f t="shared" si="54"/>
        <v>0</v>
      </c>
      <c r="P1188" s="82">
        <f t="shared" si="55"/>
        <v>0</v>
      </c>
      <c r="Q1188" s="74"/>
      <c r="R1188" s="76"/>
      <c r="S1188" s="84">
        <f t="shared" si="56"/>
        <v>0</v>
      </c>
    </row>
    <row r="1189" spans="1:19" ht="18" customHeight="1" x14ac:dyDescent="0.25">
      <c r="A1189" s="59"/>
      <c r="B1189" s="60"/>
      <c r="C1189" s="65"/>
      <c r="D1189" s="60"/>
      <c r="E1189" s="59"/>
      <c r="F1189" s="62"/>
      <c r="G1189" s="63"/>
      <c r="H1189" s="64"/>
      <c r="I1189" s="65"/>
      <c r="J1189" s="65"/>
      <c r="K1189" s="65"/>
      <c r="L1189" s="65"/>
      <c r="M1189" s="65"/>
      <c r="N1189" s="65"/>
      <c r="O1189" s="81">
        <f t="shared" si="54"/>
        <v>0</v>
      </c>
      <c r="P1189" s="81">
        <f t="shared" si="55"/>
        <v>0</v>
      </c>
      <c r="Q1189" s="65"/>
      <c r="R1189" s="67"/>
      <c r="S1189" s="83">
        <f t="shared" si="56"/>
        <v>0</v>
      </c>
    </row>
    <row r="1190" spans="1:19" ht="18" customHeight="1" x14ac:dyDescent="0.25">
      <c r="A1190" s="68"/>
      <c r="B1190" s="69"/>
      <c r="C1190" s="74"/>
      <c r="D1190" s="69"/>
      <c r="E1190" s="68"/>
      <c r="F1190" s="71"/>
      <c r="G1190" s="72"/>
      <c r="H1190" s="73"/>
      <c r="I1190" s="74"/>
      <c r="J1190" s="74"/>
      <c r="K1190" s="74"/>
      <c r="L1190" s="74"/>
      <c r="M1190" s="74"/>
      <c r="N1190" s="74"/>
      <c r="O1190" s="82">
        <f t="shared" si="54"/>
        <v>0</v>
      </c>
      <c r="P1190" s="82">
        <f t="shared" si="55"/>
        <v>0</v>
      </c>
      <c r="Q1190" s="74"/>
      <c r="R1190" s="76"/>
      <c r="S1190" s="84">
        <f t="shared" si="56"/>
        <v>0</v>
      </c>
    </row>
    <row r="1191" spans="1:19" ht="18" customHeight="1" x14ac:dyDescent="0.25">
      <c r="A1191" s="59"/>
      <c r="B1191" s="60"/>
      <c r="C1191" s="65"/>
      <c r="D1191" s="60"/>
      <c r="E1191" s="59"/>
      <c r="F1191" s="62"/>
      <c r="G1191" s="63"/>
      <c r="H1191" s="64"/>
      <c r="I1191" s="65"/>
      <c r="J1191" s="65"/>
      <c r="K1191" s="65"/>
      <c r="L1191" s="65"/>
      <c r="M1191" s="65"/>
      <c r="N1191" s="65"/>
      <c r="O1191" s="81">
        <f t="shared" si="54"/>
        <v>0</v>
      </c>
      <c r="P1191" s="81">
        <f t="shared" si="55"/>
        <v>0</v>
      </c>
      <c r="Q1191" s="65"/>
      <c r="R1191" s="67"/>
      <c r="S1191" s="83">
        <f t="shared" si="56"/>
        <v>0</v>
      </c>
    </row>
    <row r="1192" spans="1:19" ht="18" customHeight="1" x14ac:dyDescent="0.25">
      <c r="A1192" s="68"/>
      <c r="B1192" s="69"/>
      <c r="C1192" s="74"/>
      <c r="D1192" s="69"/>
      <c r="E1192" s="68"/>
      <c r="F1192" s="71"/>
      <c r="G1192" s="72"/>
      <c r="H1192" s="73"/>
      <c r="I1192" s="74"/>
      <c r="J1192" s="74"/>
      <c r="K1192" s="74"/>
      <c r="L1192" s="74"/>
      <c r="M1192" s="74"/>
      <c r="N1192" s="74"/>
      <c r="O1192" s="82">
        <f t="shared" si="54"/>
        <v>0</v>
      </c>
      <c r="P1192" s="82">
        <f t="shared" si="55"/>
        <v>0</v>
      </c>
      <c r="Q1192" s="74"/>
      <c r="R1192" s="76"/>
      <c r="S1192" s="84">
        <f t="shared" si="56"/>
        <v>0</v>
      </c>
    </row>
    <row r="1193" spans="1:19" ht="18" customHeight="1" x14ac:dyDescent="0.25">
      <c r="A1193" s="59"/>
      <c r="B1193" s="60"/>
      <c r="C1193" s="65"/>
      <c r="D1193" s="60"/>
      <c r="E1193" s="59"/>
      <c r="F1193" s="62"/>
      <c r="G1193" s="63"/>
      <c r="H1193" s="64"/>
      <c r="I1193" s="65"/>
      <c r="J1193" s="65"/>
      <c r="K1193" s="65"/>
      <c r="L1193" s="65"/>
      <c r="M1193" s="65"/>
      <c r="N1193" s="65"/>
      <c r="O1193" s="81">
        <f t="shared" si="54"/>
        <v>0</v>
      </c>
      <c r="P1193" s="81">
        <f t="shared" si="55"/>
        <v>0</v>
      </c>
      <c r="Q1193" s="65"/>
      <c r="R1193" s="67"/>
      <c r="S1193" s="83">
        <f t="shared" si="56"/>
        <v>0</v>
      </c>
    </row>
    <row r="1194" spans="1:19" ht="18" customHeight="1" x14ac:dyDescent="0.25">
      <c r="A1194" s="68"/>
      <c r="B1194" s="69"/>
      <c r="C1194" s="74"/>
      <c r="D1194" s="69"/>
      <c r="E1194" s="68"/>
      <c r="F1194" s="71"/>
      <c r="G1194" s="72"/>
      <c r="H1194" s="73"/>
      <c r="I1194" s="74"/>
      <c r="J1194" s="74"/>
      <c r="K1194" s="74"/>
      <c r="L1194" s="74"/>
      <c r="M1194" s="74"/>
      <c r="N1194" s="74"/>
      <c r="O1194" s="82">
        <f t="shared" si="54"/>
        <v>0</v>
      </c>
      <c r="P1194" s="82">
        <f t="shared" si="55"/>
        <v>0</v>
      </c>
      <c r="Q1194" s="74"/>
      <c r="R1194" s="76"/>
      <c r="S1194" s="84">
        <f t="shared" si="56"/>
        <v>0</v>
      </c>
    </row>
    <row r="1195" spans="1:19" ht="18" customHeight="1" x14ac:dyDescent="0.25">
      <c r="A1195" s="59"/>
      <c r="B1195" s="60"/>
      <c r="C1195" s="65"/>
      <c r="D1195" s="60"/>
      <c r="E1195" s="59"/>
      <c r="F1195" s="62"/>
      <c r="G1195" s="63"/>
      <c r="H1195" s="64"/>
      <c r="I1195" s="65"/>
      <c r="J1195" s="65"/>
      <c r="K1195" s="65"/>
      <c r="L1195" s="65"/>
      <c r="M1195" s="65"/>
      <c r="N1195" s="65"/>
      <c r="O1195" s="81">
        <f t="shared" si="54"/>
        <v>0</v>
      </c>
      <c r="P1195" s="81">
        <f t="shared" si="55"/>
        <v>0</v>
      </c>
      <c r="Q1195" s="65"/>
      <c r="R1195" s="67"/>
      <c r="S1195" s="83">
        <f t="shared" si="56"/>
        <v>0</v>
      </c>
    </row>
    <row r="1196" spans="1:19" ht="18" customHeight="1" x14ac:dyDescent="0.25">
      <c r="A1196" s="68"/>
      <c r="B1196" s="69"/>
      <c r="C1196" s="74"/>
      <c r="D1196" s="69"/>
      <c r="E1196" s="68"/>
      <c r="F1196" s="71"/>
      <c r="G1196" s="72"/>
      <c r="H1196" s="73"/>
      <c r="I1196" s="74"/>
      <c r="J1196" s="74"/>
      <c r="K1196" s="74"/>
      <c r="L1196" s="74"/>
      <c r="M1196" s="74"/>
      <c r="N1196" s="74"/>
      <c r="O1196" s="82">
        <f t="shared" si="54"/>
        <v>0</v>
      </c>
      <c r="P1196" s="82">
        <f t="shared" si="55"/>
        <v>0</v>
      </c>
      <c r="Q1196" s="74"/>
      <c r="R1196" s="76"/>
      <c r="S1196" s="84">
        <f t="shared" si="56"/>
        <v>0</v>
      </c>
    </row>
    <row r="1197" spans="1:19" ht="18" customHeight="1" x14ac:dyDescent="0.25">
      <c r="A1197" s="59"/>
      <c r="B1197" s="60"/>
      <c r="C1197" s="65"/>
      <c r="D1197" s="60"/>
      <c r="E1197" s="59"/>
      <c r="F1197" s="62"/>
      <c r="G1197" s="63"/>
      <c r="H1197" s="64"/>
      <c r="I1197" s="65"/>
      <c r="J1197" s="65"/>
      <c r="K1197" s="65"/>
      <c r="L1197" s="65"/>
      <c r="M1197" s="65"/>
      <c r="N1197" s="65"/>
      <c r="O1197" s="81">
        <f t="shared" si="54"/>
        <v>0</v>
      </c>
      <c r="P1197" s="81">
        <f t="shared" si="55"/>
        <v>0</v>
      </c>
      <c r="Q1197" s="65"/>
      <c r="R1197" s="67"/>
      <c r="S1197" s="83">
        <f t="shared" si="56"/>
        <v>0</v>
      </c>
    </row>
    <row r="1198" spans="1:19" ht="18" customHeight="1" x14ac:dyDescent="0.25">
      <c r="A1198" s="68"/>
      <c r="B1198" s="69"/>
      <c r="C1198" s="74"/>
      <c r="D1198" s="69"/>
      <c r="E1198" s="68"/>
      <c r="F1198" s="71"/>
      <c r="G1198" s="72"/>
      <c r="H1198" s="73"/>
      <c r="I1198" s="74"/>
      <c r="J1198" s="74"/>
      <c r="K1198" s="74"/>
      <c r="L1198" s="74"/>
      <c r="M1198" s="74"/>
      <c r="N1198" s="74"/>
      <c r="O1198" s="82">
        <f t="shared" si="54"/>
        <v>0</v>
      </c>
      <c r="P1198" s="82">
        <f t="shared" si="55"/>
        <v>0</v>
      </c>
      <c r="Q1198" s="74"/>
      <c r="R1198" s="76"/>
      <c r="S1198" s="84">
        <f t="shared" si="56"/>
        <v>0</v>
      </c>
    </row>
    <row r="1199" spans="1:19" ht="18" customHeight="1" x14ac:dyDescent="0.25">
      <c r="A1199" s="59"/>
      <c r="B1199" s="60"/>
      <c r="C1199" s="65"/>
      <c r="D1199" s="60"/>
      <c r="E1199" s="59"/>
      <c r="F1199" s="62"/>
      <c r="G1199" s="63"/>
      <c r="H1199" s="64"/>
      <c r="I1199" s="65"/>
      <c r="J1199" s="65"/>
      <c r="K1199" s="65"/>
      <c r="L1199" s="65"/>
      <c r="M1199" s="65"/>
      <c r="N1199" s="65"/>
      <c r="O1199" s="81">
        <f t="shared" si="54"/>
        <v>0</v>
      </c>
      <c r="P1199" s="81">
        <f t="shared" si="55"/>
        <v>0</v>
      </c>
      <c r="Q1199" s="65"/>
      <c r="R1199" s="67"/>
      <c r="S1199" s="83">
        <f t="shared" si="56"/>
        <v>0</v>
      </c>
    </row>
    <row r="1200" spans="1:19" ht="18" customHeight="1" x14ac:dyDescent="0.25">
      <c r="A1200" s="68"/>
      <c r="B1200" s="69"/>
      <c r="C1200" s="74"/>
      <c r="D1200" s="69"/>
      <c r="E1200" s="68"/>
      <c r="F1200" s="71"/>
      <c r="G1200" s="72"/>
      <c r="H1200" s="73"/>
      <c r="I1200" s="74"/>
      <c r="J1200" s="74"/>
      <c r="K1200" s="74"/>
      <c r="L1200" s="74"/>
      <c r="M1200" s="74"/>
      <c r="N1200" s="74"/>
      <c r="O1200" s="82">
        <f t="shared" si="54"/>
        <v>0</v>
      </c>
      <c r="P1200" s="82">
        <f t="shared" si="55"/>
        <v>0</v>
      </c>
      <c r="Q1200" s="74"/>
      <c r="R1200" s="76"/>
      <c r="S1200" s="84">
        <f t="shared" si="56"/>
        <v>0</v>
      </c>
    </row>
    <row r="1201" spans="1:19" ht="18" customHeight="1" x14ac:dyDescent="0.25">
      <c r="A1201" s="59"/>
      <c r="B1201" s="60"/>
      <c r="C1201" s="65"/>
      <c r="D1201" s="60"/>
      <c r="E1201" s="59"/>
      <c r="F1201" s="62"/>
      <c r="G1201" s="63"/>
      <c r="H1201" s="64"/>
      <c r="I1201" s="65"/>
      <c r="J1201" s="65"/>
      <c r="K1201" s="65"/>
      <c r="L1201" s="65"/>
      <c r="M1201" s="65"/>
      <c r="N1201" s="65"/>
      <c r="O1201" s="81">
        <f t="shared" si="54"/>
        <v>0</v>
      </c>
      <c r="P1201" s="81">
        <f t="shared" si="55"/>
        <v>0</v>
      </c>
      <c r="Q1201" s="65"/>
      <c r="R1201" s="67"/>
      <c r="S1201" s="83">
        <f t="shared" si="56"/>
        <v>0</v>
      </c>
    </row>
    <row r="1202" spans="1:19" ht="18" customHeight="1" x14ac:dyDescent="0.25">
      <c r="A1202" s="68"/>
      <c r="B1202" s="69"/>
      <c r="C1202" s="74"/>
      <c r="D1202" s="69"/>
      <c r="E1202" s="68"/>
      <c r="F1202" s="71"/>
      <c r="G1202" s="72"/>
      <c r="H1202" s="73"/>
      <c r="I1202" s="74"/>
      <c r="J1202" s="74"/>
      <c r="K1202" s="74"/>
      <c r="L1202" s="74"/>
      <c r="M1202" s="74"/>
      <c r="N1202" s="74"/>
      <c r="O1202" s="82">
        <f t="shared" si="54"/>
        <v>0</v>
      </c>
      <c r="P1202" s="82">
        <f t="shared" si="55"/>
        <v>0</v>
      </c>
      <c r="Q1202" s="74"/>
      <c r="R1202" s="76"/>
      <c r="S1202" s="84">
        <f t="shared" si="56"/>
        <v>0</v>
      </c>
    </row>
    <row r="1203" spans="1:19" ht="18" customHeight="1" x14ac:dyDescent="0.25">
      <c r="A1203" s="59"/>
      <c r="B1203" s="60"/>
      <c r="C1203" s="65"/>
      <c r="D1203" s="60"/>
      <c r="E1203" s="59"/>
      <c r="F1203" s="62"/>
      <c r="G1203" s="63"/>
      <c r="H1203" s="64"/>
      <c r="I1203" s="65"/>
      <c r="J1203" s="65"/>
      <c r="K1203" s="65"/>
      <c r="L1203" s="65"/>
      <c r="M1203" s="65"/>
      <c r="N1203" s="65"/>
      <c r="O1203" s="81">
        <f t="shared" si="54"/>
        <v>0</v>
      </c>
      <c r="P1203" s="81">
        <f t="shared" si="55"/>
        <v>0</v>
      </c>
      <c r="Q1203" s="65"/>
      <c r="R1203" s="67"/>
      <c r="S1203" s="83">
        <f t="shared" si="56"/>
        <v>0</v>
      </c>
    </row>
    <row r="1204" spans="1:19" ht="18" customHeight="1" x14ac:dyDescent="0.25">
      <c r="A1204" s="68"/>
      <c r="B1204" s="69"/>
      <c r="C1204" s="74"/>
      <c r="D1204" s="69"/>
      <c r="E1204" s="68"/>
      <c r="F1204" s="71"/>
      <c r="G1204" s="72"/>
      <c r="H1204" s="73"/>
      <c r="I1204" s="74"/>
      <c r="J1204" s="74"/>
      <c r="K1204" s="74"/>
      <c r="L1204" s="74"/>
      <c r="M1204" s="74"/>
      <c r="N1204" s="74"/>
      <c r="O1204" s="82">
        <f t="shared" si="54"/>
        <v>0</v>
      </c>
      <c r="P1204" s="82">
        <f t="shared" si="55"/>
        <v>0</v>
      </c>
      <c r="Q1204" s="74"/>
      <c r="R1204" s="76"/>
      <c r="S1204" s="84">
        <f t="shared" si="56"/>
        <v>0</v>
      </c>
    </row>
    <row r="1205" spans="1:19" ht="18" customHeight="1" x14ac:dyDescent="0.25">
      <c r="A1205" s="59"/>
      <c r="B1205" s="60"/>
      <c r="C1205" s="65"/>
      <c r="D1205" s="60"/>
      <c r="E1205" s="59"/>
      <c r="F1205" s="62"/>
      <c r="G1205" s="63"/>
      <c r="H1205" s="64"/>
      <c r="I1205" s="65"/>
      <c r="J1205" s="65"/>
      <c r="K1205" s="65"/>
      <c r="L1205" s="65"/>
      <c r="M1205" s="65"/>
      <c r="N1205" s="65"/>
      <c r="O1205" s="81">
        <f t="shared" si="54"/>
        <v>0</v>
      </c>
      <c r="P1205" s="81">
        <f t="shared" si="55"/>
        <v>0</v>
      </c>
      <c r="Q1205" s="65"/>
      <c r="R1205" s="67"/>
      <c r="S1205" s="83">
        <f t="shared" si="56"/>
        <v>0</v>
      </c>
    </row>
    <row r="1206" spans="1:19" ht="18" customHeight="1" x14ac:dyDescent="0.25">
      <c r="A1206" s="68"/>
      <c r="B1206" s="69"/>
      <c r="C1206" s="74"/>
      <c r="D1206" s="69"/>
      <c r="E1206" s="68"/>
      <c r="F1206" s="71"/>
      <c r="G1206" s="72"/>
      <c r="H1206" s="73"/>
      <c r="I1206" s="74"/>
      <c r="J1206" s="74"/>
      <c r="K1206" s="74"/>
      <c r="L1206" s="74"/>
      <c r="M1206" s="74"/>
      <c r="N1206" s="74"/>
      <c r="O1206" s="82">
        <f t="shared" si="54"/>
        <v>0</v>
      </c>
      <c r="P1206" s="82">
        <f t="shared" si="55"/>
        <v>0</v>
      </c>
      <c r="Q1206" s="74"/>
      <c r="R1206" s="76"/>
      <c r="S1206" s="84">
        <f t="shared" si="56"/>
        <v>0</v>
      </c>
    </row>
    <row r="1207" spans="1:19" ht="18" customHeight="1" x14ac:dyDescent="0.25">
      <c r="A1207" s="59"/>
      <c r="B1207" s="60"/>
      <c r="C1207" s="65"/>
      <c r="D1207" s="60"/>
      <c r="E1207" s="59"/>
      <c r="F1207" s="62"/>
      <c r="G1207" s="63"/>
      <c r="H1207" s="64"/>
      <c r="I1207" s="65"/>
      <c r="J1207" s="65"/>
      <c r="K1207" s="65"/>
      <c r="L1207" s="65"/>
      <c r="M1207" s="65"/>
      <c r="N1207" s="65"/>
      <c r="O1207" s="81">
        <f t="shared" si="54"/>
        <v>0</v>
      </c>
      <c r="P1207" s="81">
        <f t="shared" si="55"/>
        <v>0</v>
      </c>
      <c r="Q1207" s="65"/>
      <c r="R1207" s="67"/>
      <c r="S1207" s="83">
        <f t="shared" si="56"/>
        <v>0</v>
      </c>
    </row>
    <row r="1208" spans="1:19" ht="18" customHeight="1" x14ac:dyDescent="0.25">
      <c r="A1208" s="68"/>
      <c r="B1208" s="69"/>
      <c r="C1208" s="74"/>
      <c r="D1208" s="69"/>
      <c r="E1208" s="68"/>
      <c r="F1208" s="71"/>
      <c r="G1208" s="72"/>
      <c r="H1208" s="73"/>
      <c r="I1208" s="74"/>
      <c r="J1208" s="74"/>
      <c r="K1208" s="74"/>
      <c r="L1208" s="74"/>
      <c r="M1208" s="74"/>
      <c r="N1208" s="74"/>
      <c r="O1208" s="82">
        <f t="shared" si="54"/>
        <v>0</v>
      </c>
      <c r="P1208" s="82">
        <f t="shared" si="55"/>
        <v>0</v>
      </c>
      <c r="Q1208" s="74"/>
      <c r="R1208" s="76"/>
      <c r="S1208" s="84">
        <f t="shared" si="56"/>
        <v>0</v>
      </c>
    </row>
    <row r="1209" spans="1:19" ht="18" customHeight="1" x14ac:dyDescent="0.25">
      <c r="A1209" s="59"/>
      <c r="B1209" s="60"/>
      <c r="C1209" s="65"/>
      <c r="D1209" s="60"/>
      <c r="E1209" s="59"/>
      <c r="F1209" s="62"/>
      <c r="G1209" s="63"/>
      <c r="H1209" s="64"/>
      <c r="I1209" s="65"/>
      <c r="J1209" s="65"/>
      <c r="K1209" s="65"/>
      <c r="L1209" s="65"/>
      <c r="M1209" s="65"/>
      <c r="N1209" s="65"/>
      <c r="O1209" s="81">
        <f t="shared" si="54"/>
        <v>0</v>
      </c>
      <c r="P1209" s="81">
        <f t="shared" si="55"/>
        <v>0</v>
      </c>
      <c r="Q1209" s="65"/>
      <c r="R1209" s="67"/>
      <c r="S1209" s="83">
        <f t="shared" si="56"/>
        <v>0</v>
      </c>
    </row>
    <row r="1210" spans="1:19" ht="18" customHeight="1" x14ac:dyDescent="0.25">
      <c r="A1210" s="68"/>
      <c r="B1210" s="69"/>
      <c r="C1210" s="74"/>
      <c r="D1210" s="69"/>
      <c r="E1210" s="68"/>
      <c r="F1210" s="71"/>
      <c r="G1210" s="72"/>
      <c r="H1210" s="73"/>
      <c r="I1210" s="74"/>
      <c r="J1210" s="74"/>
      <c r="K1210" s="74"/>
      <c r="L1210" s="74"/>
      <c r="M1210" s="74"/>
      <c r="N1210" s="74"/>
      <c r="O1210" s="82">
        <f t="shared" si="54"/>
        <v>0</v>
      </c>
      <c r="P1210" s="82">
        <f t="shared" si="55"/>
        <v>0</v>
      </c>
      <c r="Q1210" s="74"/>
      <c r="R1210" s="76"/>
      <c r="S1210" s="84">
        <f t="shared" si="56"/>
        <v>0</v>
      </c>
    </row>
    <row r="1211" spans="1:19" ht="18" customHeight="1" x14ac:dyDescent="0.25">
      <c r="A1211" s="59"/>
      <c r="B1211" s="60"/>
      <c r="C1211" s="65"/>
      <c r="D1211" s="60"/>
      <c r="E1211" s="59"/>
      <c r="F1211" s="62"/>
      <c r="G1211" s="63"/>
      <c r="H1211" s="64"/>
      <c r="I1211" s="65"/>
      <c r="J1211" s="65"/>
      <c r="K1211" s="65"/>
      <c r="L1211" s="65"/>
      <c r="M1211" s="65"/>
      <c r="N1211" s="65"/>
      <c r="O1211" s="81">
        <f t="shared" si="54"/>
        <v>0</v>
      </c>
      <c r="P1211" s="81">
        <f t="shared" si="55"/>
        <v>0</v>
      </c>
      <c r="Q1211" s="65"/>
      <c r="R1211" s="67"/>
      <c r="S1211" s="83">
        <f t="shared" si="56"/>
        <v>0</v>
      </c>
    </row>
    <row r="1212" spans="1:19" ht="18" customHeight="1" x14ac:dyDescent="0.25">
      <c r="A1212" s="68"/>
      <c r="B1212" s="69"/>
      <c r="C1212" s="74"/>
      <c r="D1212" s="69"/>
      <c r="E1212" s="68"/>
      <c r="F1212" s="71"/>
      <c r="G1212" s="72"/>
      <c r="H1212" s="73"/>
      <c r="I1212" s="74"/>
      <c r="J1212" s="74"/>
      <c r="K1212" s="74"/>
      <c r="L1212" s="74"/>
      <c r="M1212" s="74"/>
      <c r="N1212" s="74"/>
      <c r="O1212" s="82">
        <f t="shared" si="54"/>
        <v>0</v>
      </c>
      <c r="P1212" s="82">
        <f t="shared" si="55"/>
        <v>0</v>
      </c>
      <c r="Q1212" s="74"/>
      <c r="R1212" s="76"/>
      <c r="S1212" s="84">
        <f t="shared" si="56"/>
        <v>0</v>
      </c>
    </row>
    <row r="1213" spans="1:19" ht="18" customHeight="1" x14ac:dyDescent="0.25">
      <c r="A1213" s="59"/>
      <c r="B1213" s="60"/>
      <c r="C1213" s="65"/>
      <c r="D1213" s="60"/>
      <c r="E1213" s="59"/>
      <c r="F1213" s="62"/>
      <c r="G1213" s="63"/>
      <c r="H1213" s="64"/>
      <c r="I1213" s="65"/>
      <c r="J1213" s="65"/>
      <c r="K1213" s="65"/>
      <c r="L1213" s="65"/>
      <c r="M1213" s="65"/>
      <c r="N1213" s="65"/>
      <c r="O1213" s="81">
        <f t="shared" si="54"/>
        <v>0</v>
      </c>
      <c r="P1213" s="81">
        <f t="shared" si="55"/>
        <v>0</v>
      </c>
      <c r="Q1213" s="65"/>
      <c r="R1213" s="67"/>
      <c r="S1213" s="83">
        <f t="shared" si="56"/>
        <v>0</v>
      </c>
    </row>
    <row r="1214" spans="1:19" ht="18" customHeight="1" x14ac:dyDescent="0.25">
      <c r="A1214" s="68"/>
      <c r="B1214" s="69"/>
      <c r="C1214" s="74"/>
      <c r="D1214" s="69"/>
      <c r="E1214" s="68"/>
      <c r="F1214" s="71"/>
      <c r="G1214" s="72"/>
      <c r="H1214" s="73"/>
      <c r="I1214" s="74"/>
      <c r="J1214" s="74"/>
      <c r="K1214" s="74"/>
      <c r="L1214" s="74"/>
      <c r="M1214" s="74"/>
      <c r="N1214" s="74"/>
      <c r="O1214" s="82">
        <f t="shared" si="54"/>
        <v>0</v>
      </c>
      <c r="P1214" s="82">
        <f t="shared" si="55"/>
        <v>0</v>
      </c>
      <c r="Q1214" s="74"/>
      <c r="R1214" s="76"/>
      <c r="S1214" s="84">
        <f t="shared" si="56"/>
        <v>0</v>
      </c>
    </row>
    <row r="1215" spans="1:19" ht="18" customHeight="1" x14ac:dyDescent="0.25">
      <c r="A1215" s="59"/>
      <c r="B1215" s="60"/>
      <c r="C1215" s="65"/>
      <c r="D1215" s="60"/>
      <c r="E1215" s="59"/>
      <c r="F1215" s="62"/>
      <c r="G1215" s="63"/>
      <c r="H1215" s="64"/>
      <c r="I1215" s="65"/>
      <c r="J1215" s="65"/>
      <c r="K1215" s="65"/>
      <c r="L1215" s="65"/>
      <c r="M1215" s="65"/>
      <c r="N1215" s="65"/>
      <c r="O1215" s="81">
        <f t="shared" si="54"/>
        <v>0</v>
      </c>
      <c r="P1215" s="81">
        <f t="shared" si="55"/>
        <v>0</v>
      </c>
      <c r="Q1215" s="65"/>
      <c r="R1215" s="67"/>
      <c r="S1215" s="83">
        <f t="shared" si="56"/>
        <v>0</v>
      </c>
    </row>
    <row r="1216" spans="1:19" ht="18" customHeight="1" x14ac:dyDescent="0.25">
      <c r="A1216" s="68"/>
      <c r="B1216" s="69"/>
      <c r="C1216" s="74"/>
      <c r="D1216" s="69"/>
      <c r="E1216" s="68"/>
      <c r="F1216" s="71"/>
      <c r="G1216" s="72"/>
      <c r="H1216" s="73"/>
      <c r="I1216" s="74"/>
      <c r="J1216" s="74"/>
      <c r="K1216" s="74"/>
      <c r="L1216" s="74"/>
      <c r="M1216" s="74"/>
      <c r="N1216" s="74"/>
      <c r="O1216" s="82">
        <f t="shared" si="54"/>
        <v>0</v>
      </c>
      <c r="P1216" s="82">
        <f t="shared" si="55"/>
        <v>0</v>
      </c>
      <c r="Q1216" s="74"/>
      <c r="R1216" s="76"/>
      <c r="S1216" s="84">
        <f t="shared" si="56"/>
        <v>0</v>
      </c>
    </row>
    <row r="1217" spans="1:19" ht="18" customHeight="1" x14ac:dyDescent="0.25">
      <c r="A1217" s="59"/>
      <c r="B1217" s="60"/>
      <c r="C1217" s="65"/>
      <c r="D1217" s="60"/>
      <c r="E1217" s="59"/>
      <c r="F1217" s="62"/>
      <c r="G1217" s="63"/>
      <c r="H1217" s="64"/>
      <c r="I1217" s="65"/>
      <c r="J1217" s="65"/>
      <c r="K1217" s="65"/>
      <c r="L1217" s="65"/>
      <c r="M1217" s="65"/>
      <c r="N1217" s="65"/>
      <c r="O1217" s="81">
        <f t="shared" si="54"/>
        <v>0</v>
      </c>
      <c r="P1217" s="81">
        <f t="shared" si="55"/>
        <v>0</v>
      </c>
      <c r="Q1217" s="65"/>
      <c r="R1217" s="67"/>
      <c r="S1217" s="83">
        <f t="shared" si="56"/>
        <v>0</v>
      </c>
    </row>
    <row r="1218" spans="1:19" ht="18" customHeight="1" x14ac:dyDescent="0.25">
      <c r="A1218" s="68"/>
      <c r="B1218" s="69"/>
      <c r="C1218" s="74"/>
      <c r="D1218" s="69"/>
      <c r="E1218" s="68"/>
      <c r="F1218" s="71"/>
      <c r="G1218" s="72"/>
      <c r="H1218" s="73"/>
      <c r="I1218" s="74"/>
      <c r="J1218" s="74"/>
      <c r="K1218" s="74"/>
      <c r="L1218" s="74"/>
      <c r="M1218" s="74"/>
      <c r="N1218" s="74"/>
      <c r="O1218" s="82">
        <f t="shared" si="54"/>
        <v>0</v>
      </c>
      <c r="P1218" s="82">
        <f t="shared" si="55"/>
        <v>0</v>
      </c>
      <c r="Q1218" s="74"/>
      <c r="R1218" s="76"/>
      <c r="S1218" s="84">
        <f t="shared" si="56"/>
        <v>0</v>
      </c>
    </row>
    <row r="1219" spans="1:19" ht="18" customHeight="1" x14ac:dyDescent="0.25">
      <c r="A1219" s="59"/>
      <c r="B1219" s="60"/>
      <c r="C1219" s="65"/>
      <c r="D1219" s="60"/>
      <c r="E1219" s="59"/>
      <c r="F1219" s="62"/>
      <c r="G1219" s="63"/>
      <c r="H1219" s="64"/>
      <c r="I1219" s="65"/>
      <c r="J1219" s="65"/>
      <c r="K1219" s="65"/>
      <c r="L1219" s="65"/>
      <c r="M1219" s="65"/>
      <c r="N1219" s="65"/>
      <c r="O1219" s="81">
        <f t="shared" si="54"/>
        <v>0</v>
      </c>
      <c r="P1219" s="81">
        <f t="shared" si="55"/>
        <v>0</v>
      </c>
      <c r="Q1219" s="65"/>
      <c r="R1219" s="67"/>
      <c r="S1219" s="83">
        <f t="shared" si="56"/>
        <v>0</v>
      </c>
    </row>
    <row r="1220" spans="1:19" ht="18" customHeight="1" x14ac:dyDescent="0.25">
      <c r="A1220" s="68"/>
      <c r="B1220" s="69"/>
      <c r="C1220" s="74"/>
      <c r="D1220" s="69"/>
      <c r="E1220" s="68"/>
      <c r="F1220" s="71"/>
      <c r="G1220" s="72"/>
      <c r="H1220" s="73"/>
      <c r="I1220" s="74"/>
      <c r="J1220" s="74"/>
      <c r="K1220" s="74"/>
      <c r="L1220" s="74"/>
      <c r="M1220" s="74"/>
      <c r="N1220" s="74"/>
      <c r="O1220" s="82">
        <f t="shared" si="54"/>
        <v>0</v>
      </c>
      <c r="P1220" s="82">
        <f t="shared" si="55"/>
        <v>0</v>
      </c>
      <c r="Q1220" s="74"/>
      <c r="R1220" s="76"/>
      <c r="S1220" s="84">
        <f t="shared" si="56"/>
        <v>0</v>
      </c>
    </row>
    <row r="1221" spans="1:19" ht="18" customHeight="1" x14ac:dyDescent="0.25">
      <c r="A1221" s="59"/>
      <c r="B1221" s="60"/>
      <c r="C1221" s="65"/>
      <c r="D1221" s="60"/>
      <c r="E1221" s="59"/>
      <c r="F1221" s="62"/>
      <c r="G1221" s="63"/>
      <c r="H1221" s="64"/>
      <c r="I1221" s="65"/>
      <c r="J1221" s="65"/>
      <c r="K1221" s="65"/>
      <c r="L1221" s="65"/>
      <c r="M1221" s="65"/>
      <c r="N1221" s="65"/>
      <c r="O1221" s="81">
        <f t="shared" si="54"/>
        <v>0</v>
      </c>
      <c r="P1221" s="81">
        <f t="shared" si="55"/>
        <v>0</v>
      </c>
      <c r="Q1221" s="65"/>
      <c r="R1221" s="67"/>
      <c r="S1221" s="83">
        <f t="shared" si="56"/>
        <v>0</v>
      </c>
    </row>
    <row r="1222" spans="1:19" ht="18" customHeight="1" x14ac:dyDescent="0.25">
      <c r="A1222" s="68"/>
      <c r="B1222" s="69"/>
      <c r="C1222" s="74"/>
      <c r="D1222" s="69"/>
      <c r="E1222" s="68"/>
      <c r="F1222" s="71"/>
      <c r="G1222" s="72"/>
      <c r="H1222" s="73"/>
      <c r="I1222" s="74"/>
      <c r="J1222" s="74"/>
      <c r="K1222" s="74"/>
      <c r="L1222" s="74"/>
      <c r="M1222" s="74"/>
      <c r="N1222" s="74"/>
      <c r="O1222" s="82" t="e">
        <f>#N/A</f>
        <v>#N/A</v>
      </c>
      <c r="P1222" s="82" t="e">
        <f>#N/A</f>
        <v>#N/A</v>
      </c>
      <c r="Q1222" s="74"/>
      <c r="R1222" s="76"/>
      <c r="S1222" s="84">
        <f t="shared" si="56"/>
        <v>0</v>
      </c>
    </row>
    <row r="1223" spans="1:19" ht="18" customHeight="1" x14ac:dyDescent="0.25">
      <c r="A1223" s="59"/>
      <c r="B1223" s="60"/>
      <c r="C1223" s="65"/>
      <c r="D1223" s="60"/>
      <c r="E1223" s="59"/>
      <c r="F1223" s="62"/>
      <c r="G1223" s="63"/>
      <c r="H1223" s="64"/>
      <c r="I1223" s="65"/>
      <c r="J1223" s="65"/>
      <c r="K1223" s="65"/>
      <c r="L1223" s="65"/>
      <c r="M1223" s="65"/>
      <c r="N1223" s="65"/>
      <c r="O1223" s="81">
        <f t="shared" ref="O1223:O1285" si="57">IF(G1223="Reimbursement ","",I1223+J1223+K1223+L1223+M1223)</f>
        <v>0</v>
      </c>
      <c r="P1223" s="81">
        <f t="shared" ref="P1223:P1285" si="58">IF(G1223="Reimbursement ","",H1223-O1223)</f>
        <v>0</v>
      </c>
      <c r="Q1223" s="65"/>
      <c r="R1223" s="67"/>
      <c r="S1223" s="83">
        <f t="shared" ref="S1223:S1286" si="59">IF(OR(R1223="",Q1223=""),0,IF(R1223&gt;Q1223,R1223-Q1223,0))</f>
        <v>0</v>
      </c>
    </row>
    <row r="1224" spans="1:19" ht="18" customHeight="1" x14ac:dyDescent="0.25">
      <c r="A1224" s="68"/>
      <c r="B1224" s="69"/>
      <c r="C1224" s="74"/>
      <c r="D1224" s="69"/>
      <c r="E1224" s="68"/>
      <c r="F1224" s="71"/>
      <c r="G1224" s="72"/>
      <c r="H1224" s="73"/>
      <c r="I1224" s="74"/>
      <c r="J1224" s="74"/>
      <c r="K1224" s="74"/>
      <c r="L1224" s="74"/>
      <c r="M1224" s="74"/>
      <c r="N1224" s="74"/>
      <c r="O1224" s="82">
        <f t="shared" si="57"/>
        <v>0</v>
      </c>
      <c r="P1224" s="82">
        <f t="shared" si="58"/>
        <v>0</v>
      </c>
      <c r="Q1224" s="74"/>
      <c r="R1224" s="76"/>
      <c r="S1224" s="84">
        <f t="shared" si="59"/>
        <v>0</v>
      </c>
    </row>
    <row r="1225" spans="1:19" ht="18" customHeight="1" x14ac:dyDescent="0.25">
      <c r="A1225" s="59"/>
      <c r="B1225" s="60"/>
      <c r="C1225" s="65"/>
      <c r="D1225" s="60"/>
      <c r="E1225" s="59"/>
      <c r="F1225" s="62"/>
      <c r="G1225" s="63"/>
      <c r="H1225" s="64"/>
      <c r="I1225" s="65"/>
      <c r="J1225" s="65"/>
      <c r="K1225" s="65"/>
      <c r="L1225" s="65"/>
      <c r="M1225" s="65"/>
      <c r="N1225" s="65"/>
      <c r="O1225" s="81">
        <f t="shared" si="57"/>
        <v>0</v>
      </c>
      <c r="P1225" s="81">
        <f t="shared" si="58"/>
        <v>0</v>
      </c>
      <c r="Q1225" s="65"/>
      <c r="R1225" s="67"/>
      <c r="S1225" s="83">
        <f t="shared" si="59"/>
        <v>0</v>
      </c>
    </row>
    <row r="1226" spans="1:19" ht="18" customHeight="1" x14ac:dyDescent="0.25">
      <c r="A1226" s="68"/>
      <c r="B1226" s="69"/>
      <c r="C1226" s="74"/>
      <c r="D1226" s="69"/>
      <c r="E1226" s="68"/>
      <c r="F1226" s="71"/>
      <c r="G1226" s="72"/>
      <c r="H1226" s="73"/>
      <c r="I1226" s="74"/>
      <c r="J1226" s="74"/>
      <c r="K1226" s="74"/>
      <c r="L1226" s="74"/>
      <c r="M1226" s="74"/>
      <c r="N1226" s="74"/>
      <c r="O1226" s="82">
        <f t="shared" si="57"/>
        <v>0</v>
      </c>
      <c r="P1226" s="82">
        <f t="shared" si="58"/>
        <v>0</v>
      </c>
      <c r="Q1226" s="74"/>
      <c r="R1226" s="76"/>
      <c r="S1226" s="84">
        <f t="shared" si="59"/>
        <v>0</v>
      </c>
    </row>
    <row r="1227" spans="1:19" ht="18" customHeight="1" x14ac:dyDescent="0.25">
      <c r="A1227" s="59"/>
      <c r="B1227" s="60"/>
      <c r="C1227" s="65"/>
      <c r="D1227" s="60"/>
      <c r="E1227" s="59"/>
      <c r="F1227" s="62"/>
      <c r="G1227" s="63"/>
      <c r="H1227" s="64"/>
      <c r="I1227" s="65"/>
      <c r="J1227" s="65"/>
      <c r="K1227" s="65"/>
      <c r="L1227" s="65"/>
      <c r="M1227" s="65"/>
      <c r="N1227" s="65"/>
      <c r="O1227" s="81">
        <f t="shared" si="57"/>
        <v>0</v>
      </c>
      <c r="P1227" s="81">
        <f t="shared" si="58"/>
        <v>0</v>
      </c>
      <c r="Q1227" s="65"/>
      <c r="R1227" s="67"/>
      <c r="S1227" s="83">
        <f t="shared" si="59"/>
        <v>0</v>
      </c>
    </row>
    <row r="1228" spans="1:19" ht="18" customHeight="1" x14ac:dyDescent="0.25">
      <c r="A1228" s="68"/>
      <c r="B1228" s="69"/>
      <c r="C1228" s="74"/>
      <c r="D1228" s="69"/>
      <c r="E1228" s="68"/>
      <c r="F1228" s="71"/>
      <c r="G1228" s="72"/>
      <c r="H1228" s="73"/>
      <c r="I1228" s="74"/>
      <c r="J1228" s="74"/>
      <c r="K1228" s="74"/>
      <c r="L1228" s="74"/>
      <c r="M1228" s="74"/>
      <c r="N1228" s="74"/>
      <c r="O1228" s="82">
        <f t="shared" si="57"/>
        <v>0</v>
      </c>
      <c r="P1228" s="82">
        <f t="shared" si="58"/>
        <v>0</v>
      </c>
      <c r="Q1228" s="74"/>
      <c r="R1228" s="76"/>
      <c r="S1228" s="84">
        <f t="shared" si="59"/>
        <v>0</v>
      </c>
    </row>
    <row r="1229" spans="1:19" ht="18" customHeight="1" x14ac:dyDescent="0.25">
      <c r="A1229" s="59"/>
      <c r="B1229" s="60"/>
      <c r="C1229" s="65"/>
      <c r="D1229" s="60"/>
      <c r="E1229" s="59"/>
      <c r="F1229" s="62"/>
      <c r="G1229" s="63"/>
      <c r="H1229" s="64"/>
      <c r="I1229" s="65"/>
      <c r="J1229" s="65"/>
      <c r="K1229" s="65"/>
      <c r="L1229" s="65"/>
      <c r="M1229" s="65"/>
      <c r="N1229" s="65"/>
      <c r="O1229" s="81">
        <f t="shared" si="57"/>
        <v>0</v>
      </c>
      <c r="P1229" s="81">
        <f t="shared" si="58"/>
        <v>0</v>
      </c>
      <c r="Q1229" s="65"/>
      <c r="R1229" s="67"/>
      <c r="S1229" s="83">
        <f t="shared" si="59"/>
        <v>0</v>
      </c>
    </row>
    <row r="1230" spans="1:19" ht="18" customHeight="1" x14ac:dyDescent="0.25">
      <c r="A1230" s="68"/>
      <c r="B1230" s="69"/>
      <c r="C1230" s="74"/>
      <c r="D1230" s="69"/>
      <c r="E1230" s="68"/>
      <c r="F1230" s="71"/>
      <c r="G1230" s="72"/>
      <c r="H1230" s="73"/>
      <c r="I1230" s="74"/>
      <c r="J1230" s="74"/>
      <c r="K1230" s="74"/>
      <c r="L1230" s="74"/>
      <c r="M1230" s="74"/>
      <c r="N1230" s="74"/>
      <c r="O1230" s="82">
        <f t="shared" si="57"/>
        <v>0</v>
      </c>
      <c r="P1230" s="82">
        <f t="shared" si="58"/>
        <v>0</v>
      </c>
      <c r="Q1230" s="74"/>
      <c r="R1230" s="76"/>
      <c r="S1230" s="84">
        <f t="shared" si="59"/>
        <v>0</v>
      </c>
    </row>
    <row r="1231" spans="1:19" ht="18" customHeight="1" x14ac:dyDescent="0.25">
      <c r="A1231" s="59"/>
      <c r="B1231" s="60"/>
      <c r="C1231" s="65"/>
      <c r="D1231" s="60"/>
      <c r="E1231" s="59"/>
      <c r="F1231" s="62"/>
      <c r="G1231" s="63"/>
      <c r="H1231" s="64"/>
      <c r="I1231" s="65"/>
      <c r="J1231" s="65"/>
      <c r="K1231" s="65"/>
      <c r="L1231" s="65"/>
      <c r="M1231" s="65"/>
      <c r="N1231" s="65"/>
      <c r="O1231" s="81">
        <f t="shared" si="57"/>
        <v>0</v>
      </c>
      <c r="P1231" s="81">
        <f t="shared" si="58"/>
        <v>0</v>
      </c>
      <c r="Q1231" s="65"/>
      <c r="R1231" s="67"/>
      <c r="S1231" s="83">
        <f t="shared" si="59"/>
        <v>0</v>
      </c>
    </row>
    <row r="1232" spans="1:19" ht="18" customHeight="1" x14ac:dyDescent="0.25">
      <c r="A1232" s="68"/>
      <c r="B1232" s="69"/>
      <c r="C1232" s="74"/>
      <c r="D1232" s="69"/>
      <c r="E1232" s="68"/>
      <c r="F1232" s="71"/>
      <c r="G1232" s="72"/>
      <c r="H1232" s="73"/>
      <c r="I1232" s="74"/>
      <c r="J1232" s="74"/>
      <c r="K1232" s="74"/>
      <c r="L1232" s="74"/>
      <c r="M1232" s="74"/>
      <c r="N1232" s="74"/>
      <c r="O1232" s="82">
        <f t="shared" si="57"/>
        <v>0</v>
      </c>
      <c r="P1232" s="82">
        <f t="shared" si="58"/>
        <v>0</v>
      </c>
      <c r="Q1232" s="74"/>
      <c r="R1232" s="76"/>
      <c r="S1232" s="84">
        <f t="shared" si="59"/>
        <v>0</v>
      </c>
    </row>
    <row r="1233" spans="1:19" ht="18" customHeight="1" x14ac:dyDescent="0.25">
      <c r="A1233" s="59"/>
      <c r="B1233" s="60"/>
      <c r="C1233" s="65"/>
      <c r="D1233" s="60"/>
      <c r="E1233" s="59"/>
      <c r="F1233" s="62"/>
      <c r="G1233" s="63"/>
      <c r="H1233" s="64"/>
      <c r="I1233" s="65"/>
      <c r="J1233" s="65"/>
      <c r="K1233" s="65"/>
      <c r="L1233" s="65"/>
      <c r="M1233" s="65"/>
      <c r="N1233" s="65"/>
      <c r="O1233" s="81">
        <f t="shared" si="57"/>
        <v>0</v>
      </c>
      <c r="P1233" s="81">
        <f t="shared" si="58"/>
        <v>0</v>
      </c>
      <c r="Q1233" s="65"/>
      <c r="R1233" s="67"/>
      <c r="S1233" s="83">
        <f t="shared" si="59"/>
        <v>0</v>
      </c>
    </row>
    <row r="1234" spans="1:19" ht="18" customHeight="1" x14ac:dyDescent="0.25">
      <c r="A1234" s="68"/>
      <c r="B1234" s="69"/>
      <c r="C1234" s="74"/>
      <c r="D1234" s="69"/>
      <c r="E1234" s="68"/>
      <c r="F1234" s="71"/>
      <c r="G1234" s="72"/>
      <c r="H1234" s="73"/>
      <c r="I1234" s="74"/>
      <c r="J1234" s="74"/>
      <c r="K1234" s="74"/>
      <c r="L1234" s="74"/>
      <c r="M1234" s="74"/>
      <c r="N1234" s="74"/>
      <c r="O1234" s="82">
        <f t="shared" si="57"/>
        <v>0</v>
      </c>
      <c r="P1234" s="82">
        <f t="shared" si="58"/>
        <v>0</v>
      </c>
      <c r="Q1234" s="74"/>
      <c r="R1234" s="76"/>
      <c r="S1234" s="84">
        <f t="shared" si="59"/>
        <v>0</v>
      </c>
    </row>
    <row r="1235" spans="1:19" ht="18" customHeight="1" x14ac:dyDescent="0.25">
      <c r="A1235" s="59"/>
      <c r="B1235" s="60"/>
      <c r="C1235" s="65"/>
      <c r="D1235" s="60"/>
      <c r="E1235" s="59"/>
      <c r="F1235" s="62"/>
      <c r="G1235" s="63"/>
      <c r="H1235" s="64"/>
      <c r="I1235" s="65"/>
      <c r="J1235" s="65"/>
      <c r="K1235" s="65"/>
      <c r="L1235" s="65"/>
      <c r="M1235" s="65"/>
      <c r="N1235" s="65"/>
      <c r="O1235" s="81">
        <f t="shared" si="57"/>
        <v>0</v>
      </c>
      <c r="P1235" s="81">
        <f t="shared" si="58"/>
        <v>0</v>
      </c>
      <c r="Q1235" s="65"/>
      <c r="R1235" s="67"/>
      <c r="S1235" s="83">
        <f t="shared" si="59"/>
        <v>0</v>
      </c>
    </row>
    <row r="1236" spans="1:19" ht="18" customHeight="1" x14ac:dyDescent="0.25">
      <c r="A1236" s="68"/>
      <c r="B1236" s="69"/>
      <c r="C1236" s="74"/>
      <c r="D1236" s="69"/>
      <c r="E1236" s="68"/>
      <c r="F1236" s="71"/>
      <c r="G1236" s="72"/>
      <c r="H1236" s="73"/>
      <c r="I1236" s="74"/>
      <c r="J1236" s="74"/>
      <c r="K1236" s="74"/>
      <c r="L1236" s="74"/>
      <c r="M1236" s="74"/>
      <c r="N1236" s="74"/>
      <c r="O1236" s="82">
        <f t="shared" si="57"/>
        <v>0</v>
      </c>
      <c r="P1236" s="82">
        <f t="shared" si="58"/>
        <v>0</v>
      </c>
      <c r="Q1236" s="74"/>
      <c r="R1236" s="76"/>
      <c r="S1236" s="84">
        <f t="shared" si="59"/>
        <v>0</v>
      </c>
    </row>
    <row r="1237" spans="1:19" ht="18" customHeight="1" x14ac:dyDescent="0.25">
      <c r="A1237" s="59"/>
      <c r="B1237" s="60"/>
      <c r="C1237" s="65"/>
      <c r="D1237" s="60"/>
      <c r="E1237" s="59"/>
      <c r="F1237" s="62"/>
      <c r="G1237" s="63"/>
      <c r="H1237" s="64"/>
      <c r="I1237" s="65"/>
      <c r="J1237" s="65"/>
      <c r="K1237" s="65"/>
      <c r="L1237" s="65"/>
      <c r="M1237" s="65"/>
      <c r="N1237" s="65"/>
      <c r="O1237" s="81">
        <f t="shared" si="57"/>
        <v>0</v>
      </c>
      <c r="P1237" s="81">
        <f t="shared" si="58"/>
        <v>0</v>
      </c>
      <c r="Q1237" s="65"/>
      <c r="R1237" s="67"/>
      <c r="S1237" s="83">
        <f t="shared" si="59"/>
        <v>0</v>
      </c>
    </row>
    <row r="1238" spans="1:19" ht="18" customHeight="1" x14ac:dyDescent="0.25">
      <c r="A1238" s="68"/>
      <c r="B1238" s="69"/>
      <c r="C1238" s="74"/>
      <c r="D1238" s="69"/>
      <c r="E1238" s="68"/>
      <c r="F1238" s="71"/>
      <c r="G1238" s="72"/>
      <c r="H1238" s="73"/>
      <c r="I1238" s="74"/>
      <c r="J1238" s="74"/>
      <c r="K1238" s="74"/>
      <c r="L1238" s="74"/>
      <c r="M1238" s="74"/>
      <c r="N1238" s="74"/>
      <c r="O1238" s="82">
        <f t="shared" si="57"/>
        <v>0</v>
      </c>
      <c r="P1238" s="82">
        <f t="shared" si="58"/>
        <v>0</v>
      </c>
      <c r="Q1238" s="74"/>
      <c r="R1238" s="76"/>
      <c r="S1238" s="84">
        <f t="shared" si="59"/>
        <v>0</v>
      </c>
    </row>
    <row r="1239" spans="1:19" ht="18" customHeight="1" x14ac:dyDescent="0.25">
      <c r="A1239" s="59"/>
      <c r="B1239" s="60"/>
      <c r="C1239" s="65"/>
      <c r="D1239" s="60"/>
      <c r="E1239" s="59"/>
      <c r="F1239" s="62"/>
      <c r="G1239" s="63"/>
      <c r="H1239" s="64"/>
      <c r="I1239" s="65"/>
      <c r="J1239" s="65"/>
      <c r="K1239" s="65"/>
      <c r="L1239" s="65"/>
      <c r="M1239" s="65"/>
      <c r="N1239" s="65"/>
      <c r="O1239" s="81">
        <f t="shared" si="57"/>
        <v>0</v>
      </c>
      <c r="P1239" s="81">
        <f t="shared" si="58"/>
        <v>0</v>
      </c>
      <c r="Q1239" s="65"/>
      <c r="R1239" s="67"/>
      <c r="S1239" s="83">
        <f t="shared" si="59"/>
        <v>0</v>
      </c>
    </row>
    <row r="1240" spans="1:19" ht="18" customHeight="1" x14ac:dyDescent="0.25">
      <c r="A1240" s="68"/>
      <c r="B1240" s="69"/>
      <c r="C1240" s="74"/>
      <c r="D1240" s="69"/>
      <c r="E1240" s="68"/>
      <c r="F1240" s="71"/>
      <c r="G1240" s="72"/>
      <c r="H1240" s="73"/>
      <c r="I1240" s="74"/>
      <c r="J1240" s="74"/>
      <c r="K1240" s="74"/>
      <c r="L1240" s="74"/>
      <c r="M1240" s="74"/>
      <c r="N1240" s="74"/>
      <c r="O1240" s="82">
        <f t="shared" si="57"/>
        <v>0</v>
      </c>
      <c r="P1240" s="82">
        <f t="shared" si="58"/>
        <v>0</v>
      </c>
      <c r="Q1240" s="74"/>
      <c r="R1240" s="76"/>
      <c r="S1240" s="84">
        <f t="shared" si="59"/>
        <v>0</v>
      </c>
    </row>
    <row r="1241" spans="1:19" ht="18" customHeight="1" x14ac:dyDescent="0.25">
      <c r="A1241" s="59"/>
      <c r="B1241" s="60"/>
      <c r="C1241" s="65"/>
      <c r="D1241" s="60"/>
      <c r="E1241" s="59"/>
      <c r="F1241" s="62"/>
      <c r="G1241" s="63"/>
      <c r="H1241" s="64"/>
      <c r="I1241" s="65"/>
      <c r="J1241" s="65"/>
      <c r="K1241" s="65"/>
      <c r="L1241" s="65"/>
      <c r="M1241" s="65"/>
      <c r="N1241" s="65"/>
      <c r="O1241" s="81">
        <f t="shared" si="57"/>
        <v>0</v>
      </c>
      <c r="P1241" s="81">
        <f t="shared" si="58"/>
        <v>0</v>
      </c>
      <c r="Q1241" s="65"/>
      <c r="R1241" s="67"/>
      <c r="S1241" s="83">
        <f t="shared" si="59"/>
        <v>0</v>
      </c>
    </row>
    <row r="1242" spans="1:19" ht="18" customHeight="1" x14ac:dyDescent="0.25">
      <c r="A1242" s="68"/>
      <c r="B1242" s="69"/>
      <c r="C1242" s="74"/>
      <c r="D1242" s="69"/>
      <c r="E1242" s="68"/>
      <c r="F1242" s="71"/>
      <c r="G1242" s="72"/>
      <c r="H1242" s="73"/>
      <c r="I1242" s="74"/>
      <c r="J1242" s="74"/>
      <c r="K1242" s="74"/>
      <c r="L1242" s="74"/>
      <c r="M1242" s="74"/>
      <c r="N1242" s="74"/>
      <c r="O1242" s="82">
        <f t="shared" si="57"/>
        <v>0</v>
      </c>
      <c r="P1242" s="82">
        <f t="shared" si="58"/>
        <v>0</v>
      </c>
      <c r="Q1242" s="74"/>
      <c r="R1242" s="76"/>
      <c r="S1242" s="84">
        <f t="shared" si="59"/>
        <v>0</v>
      </c>
    </row>
    <row r="1243" spans="1:19" ht="18" customHeight="1" x14ac:dyDescent="0.25">
      <c r="A1243" s="59"/>
      <c r="B1243" s="60"/>
      <c r="C1243" s="65"/>
      <c r="D1243" s="60"/>
      <c r="E1243" s="59"/>
      <c r="F1243" s="62"/>
      <c r="G1243" s="63"/>
      <c r="H1243" s="64"/>
      <c r="I1243" s="65"/>
      <c r="J1243" s="65"/>
      <c r="K1243" s="65"/>
      <c r="L1243" s="65"/>
      <c r="M1243" s="65"/>
      <c r="N1243" s="65"/>
      <c r="O1243" s="81">
        <f t="shared" si="57"/>
        <v>0</v>
      </c>
      <c r="P1243" s="81">
        <f t="shared" si="58"/>
        <v>0</v>
      </c>
      <c r="Q1243" s="65"/>
      <c r="R1243" s="67"/>
      <c r="S1243" s="83">
        <f t="shared" si="59"/>
        <v>0</v>
      </c>
    </row>
    <row r="1244" spans="1:19" ht="18" customHeight="1" x14ac:dyDescent="0.25">
      <c r="A1244" s="68"/>
      <c r="B1244" s="69"/>
      <c r="C1244" s="74"/>
      <c r="D1244" s="69"/>
      <c r="E1244" s="68"/>
      <c r="F1244" s="71"/>
      <c r="G1244" s="72"/>
      <c r="H1244" s="73"/>
      <c r="I1244" s="74"/>
      <c r="J1244" s="74"/>
      <c r="K1244" s="74"/>
      <c r="L1244" s="74"/>
      <c r="M1244" s="74"/>
      <c r="N1244" s="74"/>
      <c r="O1244" s="82">
        <f t="shared" si="57"/>
        <v>0</v>
      </c>
      <c r="P1244" s="82">
        <f t="shared" si="58"/>
        <v>0</v>
      </c>
      <c r="Q1244" s="74"/>
      <c r="R1244" s="76"/>
      <c r="S1244" s="84">
        <f t="shared" si="59"/>
        <v>0</v>
      </c>
    </row>
    <row r="1245" spans="1:19" ht="18" customHeight="1" x14ac:dyDescent="0.25">
      <c r="A1245" s="59"/>
      <c r="B1245" s="60"/>
      <c r="C1245" s="65"/>
      <c r="D1245" s="60"/>
      <c r="E1245" s="59"/>
      <c r="F1245" s="62"/>
      <c r="G1245" s="63"/>
      <c r="H1245" s="64"/>
      <c r="I1245" s="65"/>
      <c r="J1245" s="65"/>
      <c r="K1245" s="65"/>
      <c r="L1245" s="65"/>
      <c r="M1245" s="65"/>
      <c r="N1245" s="65"/>
      <c r="O1245" s="81">
        <f t="shared" si="57"/>
        <v>0</v>
      </c>
      <c r="P1245" s="81">
        <f t="shared" si="58"/>
        <v>0</v>
      </c>
      <c r="Q1245" s="65"/>
      <c r="R1245" s="67"/>
      <c r="S1245" s="83">
        <f t="shared" si="59"/>
        <v>0</v>
      </c>
    </row>
    <row r="1246" spans="1:19" ht="18" customHeight="1" x14ac:dyDescent="0.25">
      <c r="A1246" s="68"/>
      <c r="B1246" s="69"/>
      <c r="C1246" s="74"/>
      <c r="D1246" s="69"/>
      <c r="E1246" s="68"/>
      <c r="F1246" s="71"/>
      <c r="G1246" s="72"/>
      <c r="H1246" s="73"/>
      <c r="I1246" s="74"/>
      <c r="J1246" s="74"/>
      <c r="K1246" s="74"/>
      <c r="L1246" s="74"/>
      <c r="M1246" s="74"/>
      <c r="N1246" s="74"/>
      <c r="O1246" s="82">
        <f t="shared" si="57"/>
        <v>0</v>
      </c>
      <c r="P1246" s="82">
        <f t="shared" si="58"/>
        <v>0</v>
      </c>
      <c r="Q1246" s="74"/>
      <c r="R1246" s="76"/>
      <c r="S1246" s="84">
        <f t="shared" si="59"/>
        <v>0</v>
      </c>
    </row>
    <row r="1247" spans="1:19" ht="18" customHeight="1" x14ac:dyDescent="0.25">
      <c r="A1247" s="59"/>
      <c r="B1247" s="60"/>
      <c r="C1247" s="65"/>
      <c r="D1247" s="60"/>
      <c r="E1247" s="59"/>
      <c r="F1247" s="62"/>
      <c r="G1247" s="63"/>
      <c r="H1247" s="64"/>
      <c r="I1247" s="65"/>
      <c r="J1247" s="65"/>
      <c r="K1247" s="65"/>
      <c r="L1247" s="65"/>
      <c r="M1247" s="65"/>
      <c r="N1247" s="65"/>
      <c r="O1247" s="81">
        <f t="shared" si="57"/>
        <v>0</v>
      </c>
      <c r="P1247" s="81">
        <f t="shared" si="58"/>
        <v>0</v>
      </c>
      <c r="Q1247" s="65"/>
      <c r="R1247" s="67"/>
      <c r="S1247" s="83">
        <f t="shared" si="59"/>
        <v>0</v>
      </c>
    </row>
    <row r="1248" spans="1:19" ht="18" customHeight="1" x14ac:dyDescent="0.25">
      <c r="A1248" s="68"/>
      <c r="B1248" s="69"/>
      <c r="C1248" s="74"/>
      <c r="D1248" s="69"/>
      <c r="E1248" s="68"/>
      <c r="F1248" s="71"/>
      <c r="G1248" s="72"/>
      <c r="H1248" s="73"/>
      <c r="I1248" s="74"/>
      <c r="J1248" s="74"/>
      <c r="K1248" s="74"/>
      <c r="L1248" s="74"/>
      <c r="M1248" s="74"/>
      <c r="N1248" s="74"/>
      <c r="O1248" s="82">
        <f t="shared" si="57"/>
        <v>0</v>
      </c>
      <c r="P1248" s="82">
        <f t="shared" si="58"/>
        <v>0</v>
      </c>
      <c r="Q1248" s="74"/>
      <c r="R1248" s="76"/>
      <c r="S1248" s="84">
        <f t="shared" si="59"/>
        <v>0</v>
      </c>
    </row>
    <row r="1249" spans="1:19" ht="18" customHeight="1" x14ac:dyDescent="0.25">
      <c r="A1249" s="59"/>
      <c r="B1249" s="60"/>
      <c r="C1249" s="65"/>
      <c r="D1249" s="60"/>
      <c r="E1249" s="59"/>
      <c r="F1249" s="62"/>
      <c r="G1249" s="63"/>
      <c r="H1249" s="64"/>
      <c r="I1249" s="65"/>
      <c r="J1249" s="65"/>
      <c r="K1249" s="65"/>
      <c r="L1249" s="65"/>
      <c r="M1249" s="65"/>
      <c r="N1249" s="65"/>
      <c r="O1249" s="81">
        <f t="shared" si="57"/>
        <v>0</v>
      </c>
      <c r="P1249" s="81">
        <f t="shared" si="58"/>
        <v>0</v>
      </c>
      <c r="Q1249" s="65"/>
      <c r="R1249" s="67"/>
      <c r="S1249" s="83">
        <f t="shared" si="59"/>
        <v>0</v>
      </c>
    </row>
    <row r="1250" spans="1:19" ht="18" customHeight="1" x14ac:dyDescent="0.25">
      <c r="A1250" s="68"/>
      <c r="B1250" s="69"/>
      <c r="C1250" s="74"/>
      <c r="D1250" s="69"/>
      <c r="E1250" s="68"/>
      <c r="F1250" s="71"/>
      <c r="G1250" s="72"/>
      <c r="H1250" s="73"/>
      <c r="I1250" s="74"/>
      <c r="J1250" s="74"/>
      <c r="K1250" s="74"/>
      <c r="L1250" s="74"/>
      <c r="M1250" s="74"/>
      <c r="N1250" s="74"/>
      <c r="O1250" s="82">
        <f t="shared" si="57"/>
        <v>0</v>
      </c>
      <c r="P1250" s="82">
        <f t="shared" si="58"/>
        <v>0</v>
      </c>
      <c r="Q1250" s="74"/>
      <c r="R1250" s="76"/>
      <c r="S1250" s="84">
        <f t="shared" si="59"/>
        <v>0</v>
      </c>
    </row>
    <row r="1251" spans="1:19" ht="18" customHeight="1" x14ac:dyDescent="0.25">
      <c r="A1251" s="59"/>
      <c r="B1251" s="60"/>
      <c r="C1251" s="65"/>
      <c r="D1251" s="60"/>
      <c r="E1251" s="59"/>
      <c r="F1251" s="62"/>
      <c r="G1251" s="63"/>
      <c r="H1251" s="64"/>
      <c r="I1251" s="65"/>
      <c r="J1251" s="65"/>
      <c r="K1251" s="65"/>
      <c r="L1251" s="65"/>
      <c r="M1251" s="65"/>
      <c r="N1251" s="65"/>
      <c r="O1251" s="81">
        <f t="shared" si="57"/>
        <v>0</v>
      </c>
      <c r="P1251" s="81">
        <f t="shared" si="58"/>
        <v>0</v>
      </c>
      <c r="Q1251" s="65"/>
      <c r="R1251" s="67"/>
      <c r="S1251" s="83">
        <f t="shared" si="59"/>
        <v>0</v>
      </c>
    </row>
    <row r="1252" spans="1:19" ht="18" customHeight="1" x14ac:dyDescent="0.25">
      <c r="A1252" s="68"/>
      <c r="B1252" s="69"/>
      <c r="C1252" s="74"/>
      <c r="D1252" s="69"/>
      <c r="E1252" s="68"/>
      <c r="F1252" s="71"/>
      <c r="G1252" s="72"/>
      <c r="H1252" s="73"/>
      <c r="I1252" s="74"/>
      <c r="J1252" s="74"/>
      <c r="K1252" s="74"/>
      <c r="L1252" s="74"/>
      <c r="M1252" s="74"/>
      <c r="N1252" s="74"/>
      <c r="O1252" s="82">
        <f t="shared" si="57"/>
        <v>0</v>
      </c>
      <c r="P1252" s="82">
        <f t="shared" si="58"/>
        <v>0</v>
      </c>
      <c r="Q1252" s="74"/>
      <c r="R1252" s="76"/>
      <c r="S1252" s="84">
        <f t="shared" si="59"/>
        <v>0</v>
      </c>
    </row>
    <row r="1253" spans="1:19" ht="18" customHeight="1" x14ac:dyDescent="0.25">
      <c r="A1253" s="59"/>
      <c r="B1253" s="60"/>
      <c r="C1253" s="65"/>
      <c r="D1253" s="60"/>
      <c r="E1253" s="59"/>
      <c r="F1253" s="62"/>
      <c r="G1253" s="63"/>
      <c r="H1253" s="64"/>
      <c r="I1253" s="65"/>
      <c r="J1253" s="65"/>
      <c r="K1253" s="65"/>
      <c r="L1253" s="65"/>
      <c r="M1253" s="65"/>
      <c r="N1253" s="65"/>
      <c r="O1253" s="81">
        <f t="shared" si="57"/>
        <v>0</v>
      </c>
      <c r="P1253" s="81">
        <f t="shared" si="58"/>
        <v>0</v>
      </c>
      <c r="Q1253" s="65"/>
      <c r="R1253" s="67"/>
      <c r="S1253" s="83">
        <f t="shared" si="59"/>
        <v>0</v>
      </c>
    </row>
    <row r="1254" spans="1:19" ht="18" customHeight="1" x14ac:dyDescent="0.25">
      <c r="A1254" s="68"/>
      <c r="B1254" s="69"/>
      <c r="C1254" s="74"/>
      <c r="D1254" s="69"/>
      <c r="E1254" s="68"/>
      <c r="F1254" s="71"/>
      <c r="G1254" s="72"/>
      <c r="H1254" s="73"/>
      <c r="I1254" s="74"/>
      <c r="J1254" s="74"/>
      <c r="K1254" s="74"/>
      <c r="L1254" s="74"/>
      <c r="M1254" s="74"/>
      <c r="N1254" s="74"/>
      <c r="O1254" s="82">
        <f t="shared" si="57"/>
        <v>0</v>
      </c>
      <c r="P1254" s="82">
        <f t="shared" si="58"/>
        <v>0</v>
      </c>
      <c r="Q1254" s="74"/>
      <c r="R1254" s="76"/>
      <c r="S1254" s="84">
        <f t="shared" si="59"/>
        <v>0</v>
      </c>
    </row>
    <row r="1255" spans="1:19" ht="18" customHeight="1" x14ac:dyDescent="0.25">
      <c r="A1255" s="59"/>
      <c r="B1255" s="60"/>
      <c r="C1255" s="65"/>
      <c r="D1255" s="60"/>
      <c r="E1255" s="59"/>
      <c r="F1255" s="62"/>
      <c r="G1255" s="63"/>
      <c r="H1255" s="64"/>
      <c r="I1255" s="65"/>
      <c r="J1255" s="65"/>
      <c r="K1255" s="65"/>
      <c r="L1255" s="65"/>
      <c r="M1255" s="65"/>
      <c r="N1255" s="65"/>
      <c r="O1255" s="81">
        <f t="shared" si="57"/>
        <v>0</v>
      </c>
      <c r="P1255" s="81">
        <f t="shared" si="58"/>
        <v>0</v>
      </c>
      <c r="Q1255" s="65"/>
      <c r="R1255" s="67"/>
      <c r="S1255" s="83">
        <f t="shared" si="59"/>
        <v>0</v>
      </c>
    </row>
    <row r="1256" spans="1:19" ht="18" customHeight="1" x14ac:dyDescent="0.25">
      <c r="A1256" s="68"/>
      <c r="B1256" s="69"/>
      <c r="C1256" s="74"/>
      <c r="D1256" s="69"/>
      <c r="E1256" s="68"/>
      <c r="F1256" s="71"/>
      <c r="G1256" s="72"/>
      <c r="H1256" s="73"/>
      <c r="I1256" s="74"/>
      <c r="J1256" s="74"/>
      <c r="K1256" s="74"/>
      <c r="L1256" s="74"/>
      <c r="M1256" s="74"/>
      <c r="N1256" s="74"/>
      <c r="O1256" s="82">
        <f t="shared" si="57"/>
        <v>0</v>
      </c>
      <c r="P1256" s="82">
        <f t="shared" si="58"/>
        <v>0</v>
      </c>
      <c r="Q1256" s="74"/>
      <c r="R1256" s="76"/>
      <c r="S1256" s="84">
        <f t="shared" si="59"/>
        <v>0</v>
      </c>
    </row>
    <row r="1257" spans="1:19" ht="18" customHeight="1" x14ac:dyDescent="0.25">
      <c r="A1257" s="59"/>
      <c r="B1257" s="60"/>
      <c r="C1257" s="65"/>
      <c r="D1257" s="60"/>
      <c r="E1257" s="59"/>
      <c r="F1257" s="62"/>
      <c r="G1257" s="63"/>
      <c r="H1257" s="64"/>
      <c r="I1257" s="65"/>
      <c r="J1257" s="65"/>
      <c r="K1257" s="65"/>
      <c r="L1257" s="65"/>
      <c r="M1257" s="65"/>
      <c r="N1257" s="65"/>
      <c r="O1257" s="81">
        <f t="shared" si="57"/>
        <v>0</v>
      </c>
      <c r="P1257" s="81">
        <f t="shared" si="58"/>
        <v>0</v>
      </c>
      <c r="Q1257" s="65"/>
      <c r="R1257" s="67"/>
      <c r="S1257" s="83">
        <f t="shared" si="59"/>
        <v>0</v>
      </c>
    </row>
    <row r="1258" spans="1:19" ht="18" customHeight="1" x14ac:dyDescent="0.25">
      <c r="A1258" s="68"/>
      <c r="B1258" s="69"/>
      <c r="C1258" s="74"/>
      <c r="D1258" s="69"/>
      <c r="E1258" s="68"/>
      <c r="F1258" s="71"/>
      <c r="G1258" s="72"/>
      <c r="H1258" s="73"/>
      <c r="I1258" s="74"/>
      <c r="J1258" s="74"/>
      <c r="K1258" s="74"/>
      <c r="L1258" s="74"/>
      <c r="M1258" s="74"/>
      <c r="N1258" s="74"/>
      <c r="O1258" s="82">
        <f t="shared" si="57"/>
        <v>0</v>
      </c>
      <c r="P1258" s="82">
        <f t="shared" si="58"/>
        <v>0</v>
      </c>
      <c r="Q1258" s="74"/>
      <c r="R1258" s="76"/>
      <c r="S1258" s="84">
        <f t="shared" si="59"/>
        <v>0</v>
      </c>
    </row>
    <row r="1259" spans="1:19" ht="18" customHeight="1" x14ac:dyDescent="0.25">
      <c r="A1259" s="59"/>
      <c r="B1259" s="60"/>
      <c r="C1259" s="65"/>
      <c r="D1259" s="60"/>
      <c r="E1259" s="59"/>
      <c r="F1259" s="62"/>
      <c r="G1259" s="63"/>
      <c r="H1259" s="64"/>
      <c r="I1259" s="65"/>
      <c r="J1259" s="65"/>
      <c r="K1259" s="65"/>
      <c r="L1259" s="65"/>
      <c r="M1259" s="65"/>
      <c r="N1259" s="65"/>
      <c r="O1259" s="81">
        <f t="shared" si="57"/>
        <v>0</v>
      </c>
      <c r="P1259" s="81">
        <f t="shared" si="58"/>
        <v>0</v>
      </c>
      <c r="Q1259" s="65"/>
      <c r="R1259" s="67"/>
      <c r="S1259" s="83">
        <f t="shared" si="59"/>
        <v>0</v>
      </c>
    </row>
    <row r="1260" spans="1:19" ht="18" customHeight="1" x14ac:dyDescent="0.25">
      <c r="A1260" s="68"/>
      <c r="B1260" s="69"/>
      <c r="C1260" s="74"/>
      <c r="D1260" s="69"/>
      <c r="E1260" s="68"/>
      <c r="F1260" s="71"/>
      <c r="G1260" s="72"/>
      <c r="H1260" s="73"/>
      <c r="I1260" s="74"/>
      <c r="J1260" s="74"/>
      <c r="K1260" s="74"/>
      <c r="L1260" s="74"/>
      <c r="M1260" s="74"/>
      <c r="N1260" s="74"/>
      <c r="O1260" s="82">
        <f t="shared" si="57"/>
        <v>0</v>
      </c>
      <c r="P1260" s="82">
        <f t="shared" si="58"/>
        <v>0</v>
      </c>
      <c r="Q1260" s="74"/>
      <c r="R1260" s="76"/>
      <c r="S1260" s="84">
        <f t="shared" si="59"/>
        <v>0</v>
      </c>
    </row>
    <row r="1261" spans="1:19" ht="18" customHeight="1" x14ac:dyDescent="0.25">
      <c r="A1261" s="59"/>
      <c r="B1261" s="60"/>
      <c r="C1261" s="65"/>
      <c r="D1261" s="60"/>
      <c r="E1261" s="59"/>
      <c r="F1261" s="62"/>
      <c r="G1261" s="63"/>
      <c r="H1261" s="64"/>
      <c r="I1261" s="65"/>
      <c r="J1261" s="65"/>
      <c r="K1261" s="65"/>
      <c r="L1261" s="65"/>
      <c r="M1261" s="65"/>
      <c r="N1261" s="65"/>
      <c r="O1261" s="81">
        <f t="shared" si="57"/>
        <v>0</v>
      </c>
      <c r="P1261" s="81">
        <f t="shared" si="58"/>
        <v>0</v>
      </c>
      <c r="Q1261" s="65"/>
      <c r="R1261" s="67"/>
      <c r="S1261" s="83">
        <f t="shared" si="59"/>
        <v>0</v>
      </c>
    </row>
    <row r="1262" spans="1:19" ht="18" customHeight="1" x14ac:dyDescent="0.25">
      <c r="A1262" s="68"/>
      <c r="B1262" s="69"/>
      <c r="C1262" s="74"/>
      <c r="D1262" s="69"/>
      <c r="E1262" s="68"/>
      <c r="F1262" s="71"/>
      <c r="G1262" s="72"/>
      <c r="H1262" s="73"/>
      <c r="I1262" s="74"/>
      <c r="J1262" s="74"/>
      <c r="K1262" s="74"/>
      <c r="L1262" s="74"/>
      <c r="M1262" s="74"/>
      <c r="N1262" s="74"/>
      <c r="O1262" s="82">
        <f t="shared" si="57"/>
        <v>0</v>
      </c>
      <c r="P1262" s="82">
        <f t="shared" si="58"/>
        <v>0</v>
      </c>
      <c r="Q1262" s="74"/>
      <c r="R1262" s="76"/>
      <c r="S1262" s="84">
        <f t="shared" si="59"/>
        <v>0</v>
      </c>
    </row>
    <row r="1263" spans="1:19" ht="18" customHeight="1" x14ac:dyDescent="0.25">
      <c r="A1263" s="59"/>
      <c r="B1263" s="60"/>
      <c r="C1263" s="65"/>
      <c r="D1263" s="60"/>
      <c r="E1263" s="59"/>
      <c r="F1263" s="62"/>
      <c r="G1263" s="63"/>
      <c r="H1263" s="64"/>
      <c r="I1263" s="65"/>
      <c r="J1263" s="65"/>
      <c r="K1263" s="65"/>
      <c r="L1263" s="65"/>
      <c r="M1263" s="65"/>
      <c r="N1263" s="65"/>
      <c r="O1263" s="81">
        <f t="shared" si="57"/>
        <v>0</v>
      </c>
      <c r="P1263" s="81">
        <f t="shared" si="58"/>
        <v>0</v>
      </c>
      <c r="Q1263" s="65"/>
      <c r="R1263" s="67"/>
      <c r="S1263" s="83">
        <f t="shared" si="59"/>
        <v>0</v>
      </c>
    </row>
    <row r="1264" spans="1:19" ht="18" customHeight="1" x14ac:dyDescent="0.25">
      <c r="A1264" s="68"/>
      <c r="B1264" s="69"/>
      <c r="C1264" s="74"/>
      <c r="D1264" s="69"/>
      <c r="E1264" s="68"/>
      <c r="F1264" s="71"/>
      <c r="G1264" s="72"/>
      <c r="H1264" s="73"/>
      <c r="I1264" s="74"/>
      <c r="J1264" s="74"/>
      <c r="K1264" s="74"/>
      <c r="L1264" s="74"/>
      <c r="M1264" s="74"/>
      <c r="N1264" s="74"/>
      <c r="O1264" s="82">
        <f t="shared" si="57"/>
        <v>0</v>
      </c>
      <c r="P1264" s="82">
        <f t="shared" si="58"/>
        <v>0</v>
      </c>
      <c r="Q1264" s="74"/>
      <c r="R1264" s="76"/>
      <c r="S1264" s="84">
        <f t="shared" si="59"/>
        <v>0</v>
      </c>
    </row>
    <row r="1265" spans="1:19" ht="18" customHeight="1" x14ac:dyDescent="0.25">
      <c r="A1265" s="59"/>
      <c r="B1265" s="60"/>
      <c r="C1265" s="65"/>
      <c r="D1265" s="60"/>
      <c r="E1265" s="59"/>
      <c r="F1265" s="62"/>
      <c r="G1265" s="63"/>
      <c r="H1265" s="64"/>
      <c r="I1265" s="65"/>
      <c r="J1265" s="65"/>
      <c r="K1265" s="65"/>
      <c r="L1265" s="65"/>
      <c r="M1265" s="65"/>
      <c r="N1265" s="65"/>
      <c r="O1265" s="81">
        <f t="shared" si="57"/>
        <v>0</v>
      </c>
      <c r="P1265" s="81">
        <f t="shared" si="58"/>
        <v>0</v>
      </c>
      <c r="Q1265" s="65"/>
      <c r="R1265" s="67"/>
      <c r="S1265" s="83">
        <f t="shared" si="59"/>
        <v>0</v>
      </c>
    </row>
    <row r="1266" spans="1:19" ht="18" customHeight="1" x14ac:dyDescent="0.25">
      <c r="A1266" s="68"/>
      <c r="B1266" s="69"/>
      <c r="C1266" s="74"/>
      <c r="D1266" s="69"/>
      <c r="E1266" s="68"/>
      <c r="F1266" s="71"/>
      <c r="G1266" s="72"/>
      <c r="H1266" s="73"/>
      <c r="I1266" s="74"/>
      <c r="J1266" s="74"/>
      <c r="K1266" s="74"/>
      <c r="L1266" s="74"/>
      <c r="M1266" s="74"/>
      <c r="N1266" s="74"/>
      <c r="O1266" s="82">
        <f t="shared" si="57"/>
        <v>0</v>
      </c>
      <c r="P1266" s="82">
        <f t="shared" si="58"/>
        <v>0</v>
      </c>
      <c r="Q1266" s="74"/>
      <c r="R1266" s="76"/>
      <c r="S1266" s="84">
        <f t="shared" si="59"/>
        <v>0</v>
      </c>
    </row>
    <row r="1267" spans="1:19" ht="18" customHeight="1" x14ac:dyDescent="0.25">
      <c r="A1267" s="59"/>
      <c r="B1267" s="60"/>
      <c r="C1267" s="65"/>
      <c r="D1267" s="60"/>
      <c r="E1267" s="59"/>
      <c r="F1267" s="62"/>
      <c r="G1267" s="63"/>
      <c r="H1267" s="64"/>
      <c r="I1267" s="65"/>
      <c r="J1267" s="65"/>
      <c r="K1267" s="65"/>
      <c r="L1267" s="65"/>
      <c r="M1267" s="65"/>
      <c r="N1267" s="65"/>
      <c r="O1267" s="81">
        <f t="shared" si="57"/>
        <v>0</v>
      </c>
      <c r="P1267" s="81">
        <f t="shared" si="58"/>
        <v>0</v>
      </c>
      <c r="Q1267" s="65"/>
      <c r="R1267" s="67"/>
      <c r="S1267" s="83">
        <f t="shared" si="59"/>
        <v>0</v>
      </c>
    </row>
    <row r="1268" spans="1:19" ht="18" customHeight="1" x14ac:dyDescent="0.25">
      <c r="A1268" s="68"/>
      <c r="B1268" s="69"/>
      <c r="C1268" s="74"/>
      <c r="D1268" s="69"/>
      <c r="E1268" s="68"/>
      <c r="F1268" s="71"/>
      <c r="G1268" s="72"/>
      <c r="H1268" s="73"/>
      <c r="I1268" s="74"/>
      <c r="J1268" s="74"/>
      <c r="K1268" s="74"/>
      <c r="L1268" s="74"/>
      <c r="M1268" s="74"/>
      <c r="N1268" s="74"/>
      <c r="O1268" s="82">
        <f t="shared" si="57"/>
        <v>0</v>
      </c>
      <c r="P1268" s="82">
        <f t="shared" si="58"/>
        <v>0</v>
      </c>
      <c r="Q1268" s="74"/>
      <c r="R1268" s="76"/>
      <c r="S1268" s="84">
        <f t="shared" si="59"/>
        <v>0</v>
      </c>
    </row>
    <row r="1269" spans="1:19" ht="18" customHeight="1" x14ac:dyDescent="0.25">
      <c r="A1269" s="59"/>
      <c r="B1269" s="60"/>
      <c r="C1269" s="65"/>
      <c r="D1269" s="60"/>
      <c r="E1269" s="59"/>
      <c r="F1269" s="62"/>
      <c r="G1269" s="63"/>
      <c r="H1269" s="64"/>
      <c r="I1269" s="65"/>
      <c r="J1269" s="65"/>
      <c r="K1269" s="65"/>
      <c r="L1269" s="65"/>
      <c r="M1269" s="65"/>
      <c r="N1269" s="65"/>
      <c r="O1269" s="81">
        <f t="shared" si="57"/>
        <v>0</v>
      </c>
      <c r="P1269" s="81">
        <f t="shared" si="58"/>
        <v>0</v>
      </c>
      <c r="Q1269" s="65"/>
      <c r="R1269" s="67"/>
      <c r="S1269" s="83">
        <f t="shared" si="59"/>
        <v>0</v>
      </c>
    </row>
    <row r="1270" spans="1:19" ht="18" customHeight="1" x14ac:dyDescent="0.25">
      <c r="A1270" s="68"/>
      <c r="B1270" s="69"/>
      <c r="C1270" s="74"/>
      <c r="D1270" s="69"/>
      <c r="E1270" s="68"/>
      <c r="F1270" s="71"/>
      <c r="G1270" s="72"/>
      <c r="H1270" s="73"/>
      <c r="I1270" s="74"/>
      <c r="J1270" s="74"/>
      <c r="K1270" s="74"/>
      <c r="L1270" s="74"/>
      <c r="M1270" s="74"/>
      <c r="N1270" s="74"/>
      <c r="O1270" s="82">
        <f t="shared" si="57"/>
        <v>0</v>
      </c>
      <c r="P1270" s="82">
        <f t="shared" si="58"/>
        <v>0</v>
      </c>
      <c r="Q1270" s="74"/>
      <c r="R1270" s="76"/>
      <c r="S1270" s="84">
        <f t="shared" si="59"/>
        <v>0</v>
      </c>
    </row>
    <row r="1271" spans="1:19" ht="18" customHeight="1" x14ac:dyDescent="0.25">
      <c r="A1271" s="59"/>
      <c r="B1271" s="60"/>
      <c r="C1271" s="65"/>
      <c r="D1271" s="60"/>
      <c r="E1271" s="59"/>
      <c r="F1271" s="62"/>
      <c r="G1271" s="63"/>
      <c r="H1271" s="64"/>
      <c r="I1271" s="65"/>
      <c r="J1271" s="65"/>
      <c r="K1271" s="65"/>
      <c r="L1271" s="65"/>
      <c r="M1271" s="65"/>
      <c r="N1271" s="65"/>
      <c r="O1271" s="81">
        <f t="shared" si="57"/>
        <v>0</v>
      </c>
      <c r="P1271" s="81">
        <f t="shared" si="58"/>
        <v>0</v>
      </c>
      <c r="Q1271" s="65"/>
      <c r="R1271" s="67"/>
      <c r="S1271" s="83">
        <f t="shared" si="59"/>
        <v>0</v>
      </c>
    </row>
    <row r="1272" spans="1:19" ht="18" customHeight="1" x14ac:dyDescent="0.25">
      <c r="A1272" s="68"/>
      <c r="B1272" s="69"/>
      <c r="C1272" s="74"/>
      <c r="D1272" s="69"/>
      <c r="E1272" s="68"/>
      <c r="F1272" s="71"/>
      <c r="G1272" s="72"/>
      <c r="H1272" s="73"/>
      <c r="I1272" s="74"/>
      <c r="J1272" s="74"/>
      <c r="K1272" s="74"/>
      <c r="L1272" s="74"/>
      <c r="M1272" s="74"/>
      <c r="N1272" s="74"/>
      <c r="O1272" s="82">
        <f t="shared" si="57"/>
        <v>0</v>
      </c>
      <c r="P1272" s="82">
        <f t="shared" si="58"/>
        <v>0</v>
      </c>
      <c r="Q1272" s="74"/>
      <c r="R1272" s="76"/>
      <c r="S1272" s="84">
        <f t="shared" si="59"/>
        <v>0</v>
      </c>
    </row>
    <row r="1273" spans="1:19" ht="18" customHeight="1" x14ac:dyDescent="0.25">
      <c r="A1273" s="59"/>
      <c r="B1273" s="60"/>
      <c r="C1273" s="65"/>
      <c r="D1273" s="60"/>
      <c r="E1273" s="59"/>
      <c r="F1273" s="62"/>
      <c r="G1273" s="63"/>
      <c r="H1273" s="64"/>
      <c r="I1273" s="65"/>
      <c r="J1273" s="65"/>
      <c r="K1273" s="65"/>
      <c r="L1273" s="65"/>
      <c r="M1273" s="65"/>
      <c r="N1273" s="65"/>
      <c r="O1273" s="81">
        <f t="shared" si="57"/>
        <v>0</v>
      </c>
      <c r="P1273" s="81">
        <f t="shared" si="58"/>
        <v>0</v>
      </c>
      <c r="Q1273" s="65"/>
      <c r="R1273" s="67"/>
      <c r="S1273" s="83">
        <f t="shared" si="59"/>
        <v>0</v>
      </c>
    </row>
    <row r="1274" spans="1:19" ht="18" customHeight="1" x14ac:dyDescent="0.25">
      <c r="A1274" s="68"/>
      <c r="B1274" s="69"/>
      <c r="C1274" s="74"/>
      <c r="D1274" s="69"/>
      <c r="E1274" s="68"/>
      <c r="F1274" s="71"/>
      <c r="G1274" s="72"/>
      <c r="H1274" s="73"/>
      <c r="I1274" s="74"/>
      <c r="J1274" s="74"/>
      <c r="K1274" s="74"/>
      <c r="L1274" s="74"/>
      <c r="M1274" s="74"/>
      <c r="N1274" s="74"/>
      <c r="O1274" s="82">
        <f t="shared" si="57"/>
        <v>0</v>
      </c>
      <c r="P1274" s="82">
        <f t="shared" si="58"/>
        <v>0</v>
      </c>
      <c r="Q1274" s="74"/>
      <c r="R1274" s="76"/>
      <c r="S1274" s="84">
        <f t="shared" si="59"/>
        <v>0</v>
      </c>
    </row>
    <row r="1275" spans="1:19" ht="18" customHeight="1" x14ac:dyDescent="0.25">
      <c r="A1275" s="59"/>
      <c r="B1275" s="60"/>
      <c r="C1275" s="65"/>
      <c r="D1275" s="60"/>
      <c r="E1275" s="59"/>
      <c r="F1275" s="62"/>
      <c r="G1275" s="63"/>
      <c r="H1275" s="64"/>
      <c r="I1275" s="65"/>
      <c r="J1275" s="65"/>
      <c r="K1275" s="65"/>
      <c r="L1275" s="65"/>
      <c r="M1275" s="65"/>
      <c r="N1275" s="65"/>
      <c r="O1275" s="81">
        <f t="shared" si="57"/>
        <v>0</v>
      </c>
      <c r="P1275" s="81">
        <f t="shared" si="58"/>
        <v>0</v>
      </c>
      <c r="Q1275" s="65"/>
      <c r="R1275" s="67"/>
      <c r="S1275" s="83">
        <f t="shared" si="59"/>
        <v>0</v>
      </c>
    </row>
    <row r="1276" spans="1:19" ht="18" customHeight="1" x14ac:dyDescent="0.25">
      <c r="A1276" s="68"/>
      <c r="B1276" s="69"/>
      <c r="C1276" s="74"/>
      <c r="D1276" s="69"/>
      <c r="E1276" s="68"/>
      <c r="F1276" s="71"/>
      <c r="G1276" s="72"/>
      <c r="H1276" s="73"/>
      <c r="I1276" s="74"/>
      <c r="J1276" s="74"/>
      <c r="K1276" s="74"/>
      <c r="L1276" s="74"/>
      <c r="M1276" s="74"/>
      <c r="N1276" s="74"/>
      <c r="O1276" s="82">
        <f t="shared" si="57"/>
        <v>0</v>
      </c>
      <c r="P1276" s="82">
        <f t="shared" si="58"/>
        <v>0</v>
      </c>
      <c r="Q1276" s="74"/>
      <c r="R1276" s="76"/>
      <c r="S1276" s="84">
        <f t="shared" si="59"/>
        <v>0</v>
      </c>
    </row>
    <row r="1277" spans="1:19" ht="18" customHeight="1" x14ac:dyDescent="0.25">
      <c r="A1277" s="59"/>
      <c r="B1277" s="60"/>
      <c r="C1277" s="65"/>
      <c r="D1277" s="60"/>
      <c r="E1277" s="59"/>
      <c r="F1277" s="62"/>
      <c r="G1277" s="63"/>
      <c r="H1277" s="64"/>
      <c r="I1277" s="65"/>
      <c r="J1277" s="65"/>
      <c r="K1277" s="65"/>
      <c r="L1277" s="65"/>
      <c r="M1277" s="65"/>
      <c r="N1277" s="65"/>
      <c r="O1277" s="81">
        <f t="shared" si="57"/>
        <v>0</v>
      </c>
      <c r="P1277" s="81">
        <f t="shared" si="58"/>
        <v>0</v>
      </c>
      <c r="Q1277" s="65"/>
      <c r="R1277" s="67"/>
      <c r="S1277" s="83">
        <f t="shared" si="59"/>
        <v>0</v>
      </c>
    </row>
    <row r="1278" spans="1:19" ht="18" customHeight="1" x14ac:dyDescent="0.25">
      <c r="A1278" s="68"/>
      <c r="B1278" s="69"/>
      <c r="C1278" s="74"/>
      <c r="D1278" s="69"/>
      <c r="E1278" s="68"/>
      <c r="F1278" s="71"/>
      <c r="G1278" s="72"/>
      <c r="H1278" s="73"/>
      <c r="I1278" s="74"/>
      <c r="J1278" s="74"/>
      <c r="K1278" s="74"/>
      <c r="L1278" s="74"/>
      <c r="M1278" s="74"/>
      <c r="N1278" s="74"/>
      <c r="O1278" s="82">
        <f t="shared" si="57"/>
        <v>0</v>
      </c>
      <c r="P1278" s="82">
        <f t="shared" si="58"/>
        <v>0</v>
      </c>
      <c r="Q1278" s="74"/>
      <c r="R1278" s="76"/>
      <c r="S1278" s="84">
        <f t="shared" si="59"/>
        <v>0</v>
      </c>
    </row>
    <row r="1279" spans="1:19" ht="18" customHeight="1" x14ac:dyDescent="0.25">
      <c r="A1279" s="59"/>
      <c r="B1279" s="60"/>
      <c r="C1279" s="65"/>
      <c r="D1279" s="60"/>
      <c r="E1279" s="59"/>
      <c r="F1279" s="62"/>
      <c r="G1279" s="63"/>
      <c r="H1279" s="64"/>
      <c r="I1279" s="65"/>
      <c r="J1279" s="65"/>
      <c r="K1279" s="65"/>
      <c r="L1279" s="65"/>
      <c r="M1279" s="65"/>
      <c r="N1279" s="65"/>
      <c r="O1279" s="81">
        <f t="shared" si="57"/>
        <v>0</v>
      </c>
      <c r="P1279" s="81">
        <f t="shared" si="58"/>
        <v>0</v>
      </c>
      <c r="Q1279" s="65"/>
      <c r="R1279" s="67"/>
      <c r="S1279" s="83">
        <f t="shared" si="59"/>
        <v>0</v>
      </c>
    </row>
    <row r="1280" spans="1:19" ht="18" customHeight="1" x14ac:dyDescent="0.25">
      <c r="A1280" s="68"/>
      <c r="B1280" s="69"/>
      <c r="C1280" s="74"/>
      <c r="D1280" s="69"/>
      <c r="E1280" s="68"/>
      <c r="F1280" s="71"/>
      <c r="G1280" s="72"/>
      <c r="H1280" s="73"/>
      <c r="I1280" s="74"/>
      <c r="J1280" s="74"/>
      <c r="K1280" s="74"/>
      <c r="L1280" s="74"/>
      <c r="M1280" s="74"/>
      <c r="N1280" s="74"/>
      <c r="O1280" s="82">
        <f t="shared" si="57"/>
        <v>0</v>
      </c>
      <c r="P1280" s="82">
        <f t="shared" si="58"/>
        <v>0</v>
      </c>
      <c r="Q1280" s="74"/>
      <c r="R1280" s="76"/>
      <c r="S1280" s="84">
        <f t="shared" si="59"/>
        <v>0</v>
      </c>
    </row>
    <row r="1281" spans="1:19" ht="18" customHeight="1" x14ac:dyDescent="0.25">
      <c r="A1281" s="59"/>
      <c r="B1281" s="60"/>
      <c r="C1281" s="65"/>
      <c r="D1281" s="60"/>
      <c r="E1281" s="59"/>
      <c r="F1281" s="62"/>
      <c r="G1281" s="63"/>
      <c r="H1281" s="64"/>
      <c r="I1281" s="65"/>
      <c r="J1281" s="65"/>
      <c r="K1281" s="65"/>
      <c r="L1281" s="65"/>
      <c r="M1281" s="65"/>
      <c r="N1281" s="65"/>
      <c r="O1281" s="81">
        <f t="shared" si="57"/>
        <v>0</v>
      </c>
      <c r="P1281" s="81">
        <f t="shared" si="58"/>
        <v>0</v>
      </c>
      <c r="Q1281" s="65"/>
      <c r="R1281" s="67"/>
      <c r="S1281" s="83">
        <f t="shared" si="59"/>
        <v>0</v>
      </c>
    </row>
    <row r="1282" spans="1:19" ht="18" customHeight="1" x14ac:dyDescent="0.25">
      <c r="A1282" s="68"/>
      <c r="B1282" s="69"/>
      <c r="C1282" s="74"/>
      <c r="D1282" s="69"/>
      <c r="E1282" s="68"/>
      <c r="F1282" s="71"/>
      <c r="G1282" s="72"/>
      <c r="H1282" s="73"/>
      <c r="I1282" s="74"/>
      <c r="J1282" s="74"/>
      <c r="K1282" s="74"/>
      <c r="L1282" s="74"/>
      <c r="M1282" s="74"/>
      <c r="N1282" s="74"/>
      <c r="O1282" s="82">
        <f t="shared" si="57"/>
        <v>0</v>
      </c>
      <c r="P1282" s="82">
        <f t="shared" si="58"/>
        <v>0</v>
      </c>
      <c r="Q1282" s="74"/>
      <c r="R1282" s="76"/>
      <c r="S1282" s="84">
        <f t="shared" si="59"/>
        <v>0</v>
      </c>
    </row>
    <row r="1283" spans="1:19" ht="18" customHeight="1" x14ac:dyDescent="0.25">
      <c r="A1283" s="59"/>
      <c r="B1283" s="60"/>
      <c r="C1283" s="65"/>
      <c r="D1283" s="60"/>
      <c r="E1283" s="59"/>
      <c r="F1283" s="62"/>
      <c r="G1283" s="63"/>
      <c r="H1283" s="64"/>
      <c r="I1283" s="65"/>
      <c r="J1283" s="65"/>
      <c r="K1283" s="65"/>
      <c r="L1283" s="65"/>
      <c r="M1283" s="65"/>
      <c r="N1283" s="65"/>
      <c r="O1283" s="81">
        <f t="shared" si="57"/>
        <v>0</v>
      </c>
      <c r="P1283" s="81">
        <f t="shared" si="58"/>
        <v>0</v>
      </c>
      <c r="Q1283" s="65"/>
      <c r="R1283" s="67"/>
      <c r="S1283" s="83">
        <f t="shared" si="59"/>
        <v>0</v>
      </c>
    </row>
    <row r="1284" spans="1:19" ht="18" customHeight="1" x14ac:dyDescent="0.25">
      <c r="A1284" s="68"/>
      <c r="B1284" s="69"/>
      <c r="C1284" s="74"/>
      <c r="D1284" s="69"/>
      <c r="E1284" s="68"/>
      <c r="F1284" s="71"/>
      <c r="G1284" s="72"/>
      <c r="H1284" s="73"/>
      <c r="I1284" s="74"/>
      <c r="J1284" s="74"/>
      <c r="K1284" s="74"/>
      <c r="L1284" s="74"/>
      <c r="M1284" s="74"/>
      <c r="N1284" s="74"/>
      <c r="O1284" s="82">
        <f t="shared" si="57"/>
        <v>0</v>
      </c>
      <c r="P1284" s="82">
        <f t="shared" si="58"/>
        <v>0</v>
      </c>
      <c r="Q1284" s="74"/>
      <c r="R1284" s="76"/>
      <c r="S1284" s="84">
        <f t="shared" si="59"/>
        <v>0</v>
      </c>
    </row>
    <row r="1285" spans="1:19" ht="18" customHeight="1" x14ac:dyDescent="0.25">
      <c r="A1285" s="59"/>
      <c r="B1285" s="60"/>
      <c r="C1285" s="65"/>
      <c r="D1285" s="60"/>
      <c r="E1285" s="59"/>
      <c r="F1285" s="62"/>
      <c r="G1285" s="63"/>
      <c r="H1285" s="64"/>
      <c r="I1285" s="65"/>
      <c r="J1285" s="65"/>
      <c r="K1285" s="65"/>
      <c r="L1285" s="65"/>
      <c r="M1285" s="65"/>
      <c r="N1285" s="65"/>
      <c r="O1285" s="81">
        <f t="shared" si="57"/>
        <v>0</v>
      </c>
      <c r="P1285" s="81">
        <f t="shared" si="58"/>
        <v>0</v>
      </c>
      <c r="Q1285" s="65"/>
      <c r="R1285" s="67"/>
      <c r="S1285" s="83">
        <f t="shared" si="59"/>
        <v>0</v>
      </c>
    </row>
    <row r="1286" spans="1:19" ht="18" customHeight="1" x14ac:dyDescent="0.25">
      <c r="A1286" s="68"/>
      <c r="B1286" s="69"/>
      <c r="C1286" s="74"/>
      <c r="D1286" s="69"/>
      <c r="E1286" s="68"/>
      <c r="F1286" s="71"/>
      <c r="G1286" s="72"/>
      <c r="H1286" s="73"/>
      <c r="I1286" s="74"/>
      <c r="J1286" s="74"/>
      <c r="K1286" s="74"/>
      <c r="L1286" s="74"/>
      <c r="M1286" s="74"/>
      <c r="N1286" s="74"/>
      <c r="O1286" s="82" t="e">
        <f>#N/A</f>
        <v>#N/A</v>
      </c>
      <c r="P1286" s="82" t="e">
        <f>#N/A</f>
        <v>#N/A</v>
      </c>
      <c r="Q1286" s="74"/>
      <c r="R1286" s="76"/>
      <c r="S1286" s="84">
        <f t="shared" si="59"/>
        <v>0</v>
      </c>
    </row>
    <row r="1287" spans="1:19" ht="18" customHeight="1" x14ac:dyDescent="0.25">
      <c r="A1287" s="59"/>
      <c r="B1287" s="60"/>
      <c r="C1287" s="65"/>
      <c r="D1287" s="60"/>
      <c r="E1287" s="59"/>
      <c r="F1287" s="62"/>
      <c r="G1287" s="63"/>
      <c r="H1287" s="64"/>
      <c r="I1287" s="65"/>
      <c r="J1287" s="65"/>
      <c r="K1287" s="65"/>
      <c r="L1287" s="65"/>
      <c r="M1287" s="65"/>
      <c r="N1287" s="65"/>
      <c r="O1287" s="81">
        <f t="shared" ref="O1287:O1349" si="60">IF(G1287="Reimbursement ","",I1287+J1287+K1287+L1287+M1287)</f>
        <v>0</v>
      </c>
      <c r="P1287" s="81">
        <f t="shared" ref="P1287:P1349" si="61">IF(G1287="Reimbursement ","",H1287-O1287)</f>
        <v>0</v>
      </c>
      <c r="Q1287" s="65"/>
      <c r="R1287" s="67"/>
      <c r="S1287" s="83">
        <f t="shared" ref="S1287:S1350" si="62">IF(OR(R1287="",Q1287=""),0,IF(R1287&gt;Q1287,R1287-Q1287,0))</f>
        <v>0</v>
      </c>
    </row>
    <row r="1288" spans="1:19" ht="18" customHeight="1" x14ac:dyDescent="0.25">
      <c r="A1288" s="68"/>
      <c r="B1288" s="69"/>
      <c r="C1288" s="74"/>
      <c r="D1288" s="69"/>
      <c r="E1288" s="68"/>
      <c r="F1288" s="71"/>
      <c r="G1288" s="72"/>
      <c r="H1288" s="73"/>
      <c r="I1288" s="74"/>
      <c r="J1288" s="74"/>
      <c r="K1288" s="74"/>
      <c r="L1288" s="74"/>
      <c r="M1288" s="74"/>
      <c r="N1288" s="74"/>
      <c r="O1288" s="82">
        <f t="shared" si="60"/>
        <v>0</v>
      </c>
      <c r="P1288" s="82">
        <f t="shared" si="61"/>
        <v>0</v>
      </c>
      <c r="Q1288" s="74"/>
      <c r="R1288" s="76"/>
      <c r="S1288" s="84">
        <f t="shared" si="62"/>
        <v>0</v>
      </c>
    </row>
    <row r="1289" spans="1:19" ht="18" customHeight="1" x14ac:dyDescent="0.25">
      <c r="A1289" s="59"/>
      <c r="B1289" s="60"/>
      <c r="C1289" s="65"/>
      <c r="D1289" s="60"/>
      <c r="E1289" s="59"/>
      <c r="F1289" s="62"/>
      <c r="G1289" s="63"/>
      <c r="H1289" s="64"/>
      <c r="I1289" s="65"/>
      <c r="J1289" s="65"/>
      <c r="K1289" s="65"/>
      <c r="L1289" s="65"/>
      <c r="M1289" s="65"/>
      <c r="N1289" s="65"/>
      <c r="O1289" s="81">
        <f t="shared" si="60"/>
        <v>0</v>
      </c>
      <c r="P1289" s="81">
        <f t="shared" si="61"/>
        <v>0</v>
      </c>
      <c r="Q1289" s="65"/>
      <c r="R1289" s="67"/>
      <c r="S1289" s="83">
        <f t="shared" si="62"/>
        <v>0</v>
      </c>
    </row>
    <row r="1290" spans="1:19" ht="18" customHeight="1" x14ac:dyDescent="0.25">
      <c r="A1290" s="68"/>
      <c r="B1290" s="69"/>
      <c r="C1290" s="74"/>
      <c r="D1290" s="69"/>
      <c r="E1290" s="68"/>
      <c r="F1290" s="71"/>
      <c r="G1290" s="72"/>
      <c r="H1290" s="73"/>
      <c r="I1290" s="74"/>
      <c r="J1290" s="74"/>
      <c r="K1290" s="74"/>
      <c r="L1290" s="74"/>
      <c r="M1290" s="74"/>
      <c r="N1290" s="74"/>
      <c r="O1290" s="82">
        <f t="shared" si="60"/>
        <v>0</v>
      </c>
      <c r="P1290" s="82">
        <f t="shared" si="61"/>
        <v>0</v>
      </c>
      <c r="Q1290" s="74"/>
      <c r="R1290" s="76"/>
      <c r="S1290" s="84">
        <f t="shared" si="62"/>
        <v>0</v>
      </c>
    </row>
    <row r="1291" spans="1:19" ht="18" customHeight="1" x14ac:dyDescent="0.25">
      <c r="A1291" s="59"/>
      <c r="B1291" s="60"/>
      <c r="C1291" s="65"/>
      <c r="D1291" s="60"/>
      <c r="E1291" s="59"/>
      <c r="F1291" s="62"/>
      <c r="G1291" s="63"/>
      <c r="H1291" s="64"/>
      <c r="I1291" s="65"/>
      <c r="J1291" s="65"/>
      <c r="K1291" s="65"/>
      <c r="L1291" s="65"/>
      <c r="M1291" s="65"/>
      <c r="N1291" s="65"/>
      <c r="O1291" s="81">
        <f t="shared" si="60"/>
        <v>0</v>
      </c>
      <c r="P1291" s="81">
        <f t="shared" si="61"/>
        <v>0</v>
      </c>
      <c r="Q1291" s="65"/>
      <c r="R1291" s="67"/>
      <c r="S1291" s="83">
        <f t="shared" si="62"/>
        <v>0</v>
      </c>
    </row>
    <row r="1292" spans="1:19" ht="18" customHeight="1" x14ac:dyDescent="0.25">
      <c r="A1292" s="68"/>
      <c r="B1292" s="69"/>
      <c r="C1292" s="74"/>
      <c r="D1292" s="69"/>
      <c r="E1292" s="68"/>
      <c r="F1292" s="71"/>
      <c r="G1292" s="72"/>
      <c r="H1292" s="73"/>
      <c r="I1292" s="74"/>
      <c r="J1292" s="74"/>
      <c r="K1292" s="74"/>
      <c r="L1292" s="74"/>
      <c r="M1292" s="74"/>
      <c r="N1292" s="74"/>
      <c r="O1292" s="82">
        <f t="shared" si="60"/>
        <v>0</v>
      </c>
      <c r="P1292" s="82">
        <f t="shared" si="61"/>
        <v>0</v>
      </c>
      <c r="Q1292" s="74"/>
      <c r="R1292" s="76"/>
      <c r="S1292" s="84">
        <f t="shared" si="62"/>
        <v>0</v>
      </c>
    </row>
    <row r="1293" spans="1:19" ht="18" customHeight="1" x14ac:dyDescent="0.25">
      <c r="A1293" s="59"/>
      <c r="B1293" s="60"/>
      <c r="C1293" s="65"/>
      <c r="D1293" s="60"/>
      <c r="E1293" s="59"/>
      <c r="F1293" s="62"/>
      <c r="G1293" s="63"/>
      <c r="H1293" s="64"/>
      <c r="I1293" s="65"/>
      <c r="J1293" s="65"/>
      <c r="K1293" s="65"/>
      <c r="L1293" s="65"/>
      <c r="M1293" s="65"/>
      <c r="N1293" s="65"/>
      <c r="O1293" s="81">
        <f t="shared" si="60"/>
        <v>0</v>
      </c>
      <c r="P1293" s="81">
        <f t="shared" si="61"/>
        <v>0</v>
      </c>
      <c r="Q1293" s="65"/>
      <c r="R1293" s="67"/>
      <c r="S1293" s="83">
        <f t="shared" si="62"/>
        <v>0</v>
      </c>
    </row>
    <row r="1294" spans="1:19" ht="18" customHeight="1" x14ac:dyDescent="0.25">
      <c r="A1294" s="68"/>
      <c r="B1294" s="69"/>
      <c r="C1294" s="74"/>
      <c r="D1294" s="69"/>
      <c r="E1294" s="68"/>
      <c r="F1294" s="71"/>
      <c r="G1294" s="72"/>
      <c r="H1294" s="73"/>
      <c r="I1294" s="74"/>
      <c r="J1294" s="74"/>
      <c r="K1294" s="74"/>
      <c r="L1294" s="74"/>
      <c r="M1294" s="74"/>
      <c r="N1294" s="74"/>
      <c r="O1294" s="82">
        <f t="shared" si="60"/>
        <v>0</v>
      </c>
      <c r="P1294" s="82">
        <f t="shared" si="61"/>
        <v>0</v>
      </c>
      <c r="Q1294" s="74"/>
      <c r="R1294" s="76"/>
      <c r="S1294" s="84">
        <f t="shared" si="62"/>
        <v>0</v>
      </c>
    </row>
    <row r="1295" spans="1:19" ht="18" customHeight="1" x14ac:dyDescent="0.25">
      <c r="A1295" s="59"/>
      <c r="B1295" s="60"/>
      <c r="C1295" s="65"/>
      <c r="D1295" s="60"/>
      <c r="E1295" s="59"/>
      <c r="F1295" s="62"/>
      <c r="G1295" s="63"/>
      <c r="H1295" s="64"/>
      <c r="I1295" s="65"/>
      <c r="J1295" s="65"/>
      <c r="K1295" s="65"/>
      <c r="L1295" s="65"/>
      <c r="M1295" s="65"/>
      <c r="N1295" s="65"/>
      <c r="O1295" s="81">
        <f t="shared" si="60"/>
        <v>0</v>
      </c>
      <c r="P1295" s="81">
        <f t="shared" si="61"/>
        <v>0</v>
      </c>
      <c r="Q1295" s="65"/>
      <c r="R1295" s="67"/>
      <c r="S1295" s="83">
        <f t="shared" si="62"/>
        <v>0</v>
      </c>
    </row>
    <row r="1296" spans="1:19" ht="18" customHeight="1" x14ac:dyDescent="0.25">
      <c r="A1296" s="68"/>
      <c r="B1296" s="69"/>
      <c r="C1296" s="74"/>
      <c r="D1296" s="69"/>
      <c r="E1296" s="68"/>
      <c r="F1296" s="71"/>
      <c r="G1296" s="72"/>
      <c r="H1296" s="73"/>
      <c r="I1296" s="74"/>
      <c r="J1296" s="74"/>
      <c r="K1296" s="74"/>
      <c r="L1296" s="74"/>
      <c r="M1296" s="74"/>
      <c r="N1296" s="74"/>
      <c r="O1296" s="82">
        <f t="shared" si="60"/>
        <v>0</v>
      </c>
      <c r="P1296" s="82">
        <f t="shared" si="61"/>
        <v>0</v>
      </c>
      <c r="Q1296" s="74"/>
      <c r="R1296" s="76"/>
      <c r="S1296" s="84">
        <f t="shared" si="62"/>
        <v>0</v>
      </c>
    </row>
    <row r="1297" spans="1:19" ht="18" customHeight="1" x14ac:dyDescent="0.25">
      <c r="A1297" s="59"/>
      <c r="B1297" s="60"/>
      <c r="C1297" s="65"/>
      <c r="D1297" s="60"/>
      <c r="E1297" s="59"/>
      <c r="F1297" s="62"/>
      <c r="G1297" s="63"/>
      <c r="H1297" s="64"/>
      <c r="I1297" s="65"/>
      <c r="J1297" s="65"/>
      <c r="K1297" s="65"/>
      <c r="L1297" s="65"/>
      <c r="M1297" s="65"/>
      <c r="N1297" s="65"/>
      <c r="O1297" s="81">
        <f t="shared" si="60"/>
        <v>0</v>
      </c>
      <c r="P1297" s="81">
        <f t="shared" si="61"/>
        <v>0</v>
      </c>
      <c r="Q1297" s="65"/>
      <c r="R1297" s="67"/>
      <c r="S1297" s="83">
        <f t="shared" si="62"/>
        <v>0</v>
      </c>
    </row>
    <row r="1298" spans="1:19" ht="18" customHeight="1" x14ac:dyDescent="0.25">
      <c r="A1298" s="68"/>
      <c r="B1298" s="69"/>
      <c r="C1298" s="74"/>
      <c r="D1298" s="69"/>
      <c r="E1298" s="68"/>
      <c r="F1298" s="71"/>
      <c r="G1298" s="72"/>
      <c r="H1298" s="73"/>
      <c r="I1298" s="74"/>
      <c r="J1298" s="74"/>
      <c r="K1298" s="74"/>
      <c r="L1298" s="74"/>
      <c r="M1298" s="74"/>
      <c r="N1298" s="74"/>
      <c r="O1298" s="82">
        <f t="shared" si="60"/>
        <v>0</v>
      </c>
      <c r="P1298" s="82">
        <f t="shared" si="61"/>
        <v>0</v>
      </c>
      <c r="Q1298" s="74"/>
      <c r="R1298" s="76"/>
      <c r="S1298" s="84">
        <f t="shared" si="62"/>
        <v>0</v>
      </c>
    </row>
    <row r="1299" spans="1:19" ht="18" customHeight="1" x14ac:dyDescent="0.25">
      <c r="A1299" s="59"/>
      <c r="B1299" s="60"/>
      <c r="C1299" s="65"/>
      <c r="D1299" s="60"/>
      <c r="E1299" s="59"/>
      <c r="F1299" s="62"/>
      <c r="G1299" s="63"/>
      <c r="H1299" s="64"/>
      <c r="I1299" s="65"/>
      <c r="J1299" s="65"/>
      <c r="K1299" s="65"/>
      <c r="L1299" s="65"/>
      <c r="M1299" s="65"/>
      <c r="N1299" s="65"/>
      <c r="O1299" s="81">
        <f t="shared" si="60"/>
        <v>0</v>
      </c>
      <c r="P1299" s="81">
        <f t="shared" si="61"/>
        <v>0</v>
      </c>
      <c r="Q1299" s="65"/>
      <c r="R1299" s="67"/>
      <c r="S1299" s="83">
        <f t="shared" si="62"/>
        <v>0</v>
      </c>
    </row>
    <row r="1300" spans="1:19" ht="18" customHeight="1" x14ac:dyDescent="0.25">
      <c r="A1300" s="68"/>
      <c r="B1300" s="69"/>
      <c r="C1300" s="74"/>
      <c r="D1300" s="69"/>
      <c r="E1300" s="68"/>
      <c r="F1300" s="71"/>
      <c r="G1300" s="72"/>
      <c r="H1300" s="73"/>
      <c r="I1300" s="74"/>
      <c r="J1300" s="74"/>
      <c r="K1300" s="74"/>
      <c r="L1300" s="74"/>
      <c r="M1300" s="74"/>
      <c r="N1300" s="74"/>
      <c r="O1300" s="82">
        <f t="shared" si="60"/>
        <v>0</v>
      </c>
      <c r="P1300" s="82">
        <f t="shared" si="61"/>
        <v>0</v>
      </c>
      <c r="Q1300" s="74"/>
      <c r="R1300" s="76"/>
      <c r="S1300" s="84">
        <f t="shared" si="62"/>
        <v>0</v>
      </c>
    </row>
    <row r="1301" spans="1:19" ht="18" customHeight="1" x14ac:dyDescent="0.25">
      <c r="A1301" s="59"/>
      <c r="B1301" s="60"/>
      <c r="C1301" s="65"/>
      <c r="D1301" s="60"/>
      <c r="E1301" s="59"/>
      <c r="F1301" s="62"/>
      <c r="G1301" s="63"/>
      <c r="H1301" s="64"/>
      <c r="I1301" s="65"/>
      <c r="J1301" s="65"/>
      <c r="K1301" s="65"/>
      <c r="L1301" s="65"/>
      <c r="M1301" s="65"/>
      <c r="N1301" s="65"/>
      <c r="O1301" s="81">
        <f t="shared" si="60"/>
        <v>0</v>
      </c>
      <c r="P1301" s="81">
        <f t="shared" si="61"/>
        <v>0</v>
      </c>
      <c r="Q1301" s="65"/>
      <c r="R1301" s="67"/>
      <c r="S1301" s="83">
        <f t="shared" si="62"/>
        <v>0</v>
      </c>
    </row>
    <row r="1302" spans="1:19" ht="18" customHeight="1" x14ac:dyDescent="0.25">
      <c r="A1302" s="68"/>
      <c r="B1302" s="69"/>
      <c r="C1302" s="74"/>
      <c r="D1302" s="69"/>
      <c r="E1302" s="68"/>
      <c r="F1302" s="71"/>
      <c r="G1302" s="72"/>
      <c r="H1302" s="73"/>
      <c r="I1302" s="74"/>
      <c r="J1302" s="74"/>
      <c r="K1302" s="74"/>
      <c r="L1302" s="74"/>
      <c r="M1302" s="74"/>
      <c r="N1302" s="74"/>
      <c r="O1302" s="82">
        <f t="shared" si="60"/>
        <v>0</v>
      </c>
      <c r="P1302" s="82">
        <f t="shared" si="61"/>
        <v>0</v>
      </c>
      <c r="Q1302" s="74"/>
      <c r="R1302" s="76"/>
      <c r="S1302" s="84">
        <f t="shared" si="62"/>
        <v>0</v>
      </c>
    </row>
    <row r="1303" spans="1:19" ht="18" customHeight="1" x14ac:dyDescent="0.25">
      <c r="A1303" s="59"/>
      <c r="B1303" s="60"/>
      <c r="C1303" s="65"/>
      <c r="D1303" s="60"/>
      <c r="E1303" s="59"/>
      <c r="F1303" s="62"/>
      <c r="G1303" s="63"/>
      <c r="H1303" s="64"/>
      <c r="I1303" s="65"/>
      <c r="J1303" s="65"/>
      <c r="K1303" s="65"/>
      <c r="L1303" s="65"/>
      <c r="M1303" s="65"/>
      <c r="N1303" s="65"/>
      <c r="O1303" s="81">
        <f t="shared" si="60"/>
        <v>0</v>
      </c>
      <c r="P1303" s="81">
        <f t="shared" si="61"/>
        <v>0</v>
      </c>
      <c r="Q1303" s="65"/>
      <c r="R1303" s="67"/>
      <c r="S1303" s="83">
        <f t="shared" si="62"/>
        <v>0</v>
      </c>
    </row>
    <row r="1304" spans="1:19" ht="18" customHeight="1" x14ac:dyDescent="0.25">
      <c r="A1304" s="68"/>
      <c r="B1304" s="69"/>
      <c r="C1304" s="74"/>
      <c r="D1304" s="69"/>
      <c r="E1304" s="68"/>
      <c r="F1304" s="71"/>
      <c r="G1304" s="72"/>
      <c r="H1304" s="73"/>
      <c r="I1304" s="74"/>
      <c r="J1304" s="74"/>
      <c r="K1304" s="74"/>
      <c r="L1304" s="74"/>
      <c r="M1304" s="74"/>
      <c r="N1304" s="74"/>
      <c r="O1304" s="82">
        <f t="shared" si="60"/>
        <v>0</v>
      </c>
      <c r="P1304" s="82">
        <f t="shared" si="61"/>
        <v>0</v>
      </c>
      <c r="Q1304" s="74"/>
      <c r="R1304" s="76"/>
      <c r="S1304" s="84">
        <f t="shared" si="62"/>
        <v>0</v>
      </c>
    </row>
    <row r="1305" spans="1:19" ht="18" customHeight="1" x14ac:dyDescent="0.25">
      <c r="A1305" s="59"/>
      <c r="B1305" s="60"/>
      <c r="C1305" s="65"/>
      <c r="D1305" s="60"/>
      <c r="E1305" s="59"/>
      <c r="F1305" s="62"/>
      <c r="G1305" s="63"/>
      <c r="H1305" s="64"/>
      <c r="I1305" s="65"/>
      <c r="J1305" s="65"/>
      <c r="K1305" s="65"/>
      <c r="L1305" s="65"/>
      <c r="M1305" s="65"/>
      <c r="N1305" s="65"/>
      <c r="O1305" s="81">
        <f t="shared" si="60"/>
        <v>0</v>
      </c>
      <c r="P1305" s="81">
        <f t="shared" si="61"/>
        <v>0</v>
      </c>
      <c r="Q1305" s="65"/>
      <c r="R1305" s="67"/>
      <c r="S1305" s="83">
        <f t="shared" si="62"/>
        <v>0</v>
      </c>
    </row>
    <row r="1306" spans="1:19" ht="18" customHeight="1" x14ac:dyDescent="0.25">
      <c r="A1306" s="68"/>
      <c r="B1306" s="69"/>
      <c r="C1306" s="74"/>
      <c r="D1306" s="69"/>
      <c r="E1306" s="68"/>
      <c r="F1306" s="71"/>
      <c r="G1306" s="72"/>
      <c r="H1306" s="73"/>
      <c r="I1306" s="74"/>
      <c r="J1306" s="74"/>
      <c r="K1306" s="74"/>
      <c r="L1306" s="74"/>
      <c r="M1306" s="74"/>
      <c r="N1306" s="74"/>
      <c r="O1306" s="82">
        <f t="shared" si="60"/>
        <v>0</v>
      </c>
      <c r="P1306" s="82">
        <f t="shared" si="61"/>
        <v>0</v>
      </c>
      <c r="Q1306" s="74"/>
      <c r="R1306" s="76"/>
      <c r="S1306" s="84">
        <f t="shared" si="62"/>
        <v>0</v>
      </c>
    </row>
    <row r="1307" spans="1:19" ht="18" customHeight="1" x14ac:dyDescent="0.25">
      <c r="A1307" s="59"/>
      <c r="B1307" s="60"/>
      <c r="C1307" s="65"/>
      <c r="D1307" s="60"/>
      <c r="E1307" s="59"/>
      <c r="F1307" s="62"/>
      <c r="G1307" s="63"/>
      <c r="H1307" s="64"/>
      <c r="I1307" s="65"/>
      <c r="J1307" s="65"/>
      <c r="K1307" s="65"/>
      <c r="L1307" s="65"/>
      <c r="M1307" s="65"/>
      <c r="N1307" s="65"/>
      <c r="O1307" s="81">
        <f t="shared" si="60"/>
        <v>0</v>
      </c>
      <c r="P1307" s="81">
        <f t="shared" si="61"/>
        <v>0</v>
      </c>
      <c r="Q1307" s="65"/>
      <c r="R1307" s="67"/>
      <c r="S1307" s="83">
        <f t="shared" si="62"/>
        <v>0</v>
      </c>
    </row>
    <row r="1308" spans="1:19" ht="18" customHeight="1" x14ac:dyDescent="0.25">
      <c r="A1308" s="68"/>
      <c r="B1308" s="69"/>
      <c r="C1308" s="74"/>
      <c r="D1308" s="69"/>
      <c r="E1308" s="68"/>
      <c r="F1308" s="71"/>
      <c r="G1308" s="72"/>
      <c r="H1308" s="73"/>
      <c r="I1308" s="74"/>
      <c r="J1308" s="74"/>
      <c r="K1308" s="74"/>
      <c r="L1308" s="74"/>
      <c r="M1308" s="74"/>
      <c r="N1308" s="74"/>
      <c r="O1308" s="82">
        <f t="shared" si="60"/>
        <v>0</v>
      </c>
      <c r="P1308" s="82">
        <f t="shared" si="61"/>
        <v>0</v>
      </c>
      <c r="Q1308" s="74"/>
      <c r="R1308" s="76"/>
      <c r="S1308" s="84">
        <f t="shared" si="62"/>
        <v>0</v>
      </c>
    </row>
    <row r="1309" spans="1:19" ht="18" customHeight="1" x14ac:dyDescent="0.25">
      <c r="A1309" s="59"/>
      <c r="B1309" s="60"/>
      <c r="C1309" s="65"/>
      <c r="D1309" s="60"/>
      <c r="E1309" s="59"/>
      <c r="F1309" s="62"/>
      <c r="G1309" s="63"/>
      <c r="H1309" s="64"/>
      <c r="I1309" s="65"/>
      <c r="J1309" s="65"/>
      <c r="K1309" s="65"/>
      <c r="L1309" s="65"/>
      <c r="M1309" s="65"/>
      <c r="N1309" s="65"/>
      <c r="O1309" s="81">
        <f t="shared" si="60"/>
        <v>0</v>
      </c>
      <c r="P1309" s="81">
        <f t="shared" si="61"/>
        <v>0</v>
      </c>
      <c r="Q1309" s="65"/>
      <c r="R1309" s="67"/>
      <c r="S1309" s="83">
        <f t="shared" si="62"/>
        <v>0</v>
      </c>
    </row>
    <row r="1310" spans="1:19" ht="18" customHeight="1" x14ac:dyDescent="0.25">
      <c r="A1310" s="68"/>
      <c r="B1310" s="69"/>
      <c r="C1310" s="74"/>
      <c r="D1310" s="69"/>
      <c r="E1310" s="68"/>
      <c r="F1310" s="71"/>
      <c r="G1310" s="72"/>
      <c r="H1310" s="73"/>
      <c r="I1310" s="74"/>
      <c r="J1310" s="74"/>
      <c r="K1310" s="74"/>
      <c r="L1310" s="74"/>
      <c r="M1310" s="74"/>
      <c r="N1310" s="74"/>
      <c r="O1310" s="82">
        <f t="shared" si="60"/>
        <v>0</v>
      </c>
      <c r="P1310" s="82">
        <f t="shared" si="61"/>
        <v>0</v>
      </c>
      <c r="Q1310" s="74"/>
      <c r="R1310" s="76"/>
      <c r="S1310" s="84">
        <f t="shared" si="62"/>
        <v>0</v>
      </c>
    </row>
    <row r="1311" spans="1:19" ht="18" customHeight="1" x14ac:dyDescent="0.25">
      <c r="A1311" s="59"/>
      <c r="B1311" s="60"/>
      <c r="C1311" s="65"/>
      <c r="D1311" s="60"/>
      <c r="E1311" s="59"/>
      <c r="F1311" s="62"/>
      <c r="G1311" s="63"/>
      <c r="H1311" s="64"/>
      <c r="I1311" s="65"/>
      <c r="J1311" s="65"/>
      <c r="K1311" s="65"/>
      <c r="L1311" s="65"/>
      <c r="M1311" s="65"/>
      <c r="N1311" s="65"/>
      <c r="O1311" s="81">
        <f t="shared" si="60"/>
        <v>0</v>
      </c>
      <c r="P1311" s="81">
        <f t="shared" si="61"/>
        <v>0</v>
      </c>
      <c r="Q1311" s="65"/>
      <c r="R1311" s="67"/>
      <c r="S1311" s="83">
        <f t="shared" si="62"/>
        <v>0</v>
      </c>
    </row>
    <row r="1312" spans="1:19" ht="18" customHeight="1" x14ac:dyDescent="0.25">
      <c r="A1312" s="68"/>
      <c r="B1312" s="69"/>
      <c r="C1312" s="74"/>
      <c r="D1312" s="69"/>
      <c r="E1312" s="68"/>
      <c r="F1312" s="71"/>
      <c r="G1312" s="72"/>
      <c r="H1312" s="73"/>
      <c r="I1312" s="74"/>
      <c r="J1312" s="74"/>
      <c r="K1312" s="74"/>
      <c r="L1312" s="74"/>
      <c r="M1312" s="74"/>
      <c r="N1312" s="74"/>
      <c r="O1312" s="82">
        <f t="shared" si="60"/>
        <v>0</v>
      </c>
      <c r="P1312" s="82">
        <f t="shared" si="61"/>
        <v>0</v>
      </c>
      <c r="Q1312" s="74"/>
      <c r="R1312" s="76"/>
      <c r="S1312" s="84">
        <f t="shared" si="62"/>
        <v>0</v>
      </c>
    </row>
    <row r="1313" spans="1:19" ht="18" customHeight="1" x14ac:dyDescent="0.25">
      <c r="A1313" s="59"/>
      <c r="B1313" s="60"/>
      <c r="C1313" s="65"/>
      <c r="D1313" s="60"/>
      <c r="E1313" s="59"/>
      <c r="F1313" s="62"/>
      <c r="G1313" s="63"/>
      <c r="H1313" s="64"/>
      <c r="I1313" s="65"/>
      <c r="J1313" s="65"/>
      <c r="K1313" s="65"/>
      <c r="L1313" s="65"/>
      <c r="M1313" s="65"/>
      <c r="N1313" s="65"/>
      <c r="O1313" s="81">
        <f t="shared" si="60"/>
        <v>0</v>
      </c>
      <c r="P1313" s="81">
        <f t="shared" si="61"/>
        <v>0</v>
      </c>
      <c r="Q1313" s="65"/>
      <c r="R1313" s="67"/>
      <c r="S1313" s="83">
        <f t="shared" si="62"/>
        <v>0</v>
      </c>
    </row>
    <row r="1314" spans="1:19" ht="18" customHeight="1" x14ac:dyDescent="0.25">
      <c r="A1314" s="68"/>
      <c r="B1314" s="69"/>
      <c r="C1314" s="74"/>
      <c r="D1314" s="69"/>
      <c r="E1314" s="68"/>
      <c r="F1314" s="71"/>
      <c r="G1314" s="72"/>
      <c r="H1314" s="73"/>
      <c r="I1314" s="74"/>
      <c r="J1314" s="74"/>
      <c r="K1314" s="74"/>
      <c r="L1314" s="74"/>
      <c r="M1314" s="74"/>
      <c r="N1314" s="74"/>
      <c r="O1314" s="82">
        <f t="shared" si="60"/>
        <v>0</v>
      </c>
      <c r="P1314" s="82">
        <f t="shared" si="61"/>
        <v>0</v>
      </c>
      <c r="Q1314" s="74"/>
      <c r="R1314" s="76"/>
      <c r="S1314" s="84">
        <f t="shared" si="62"/>
        <v>0</v>
      </c>
    </row>
    <row r="1315" spans="1:19" ht="18" customHeight="1" x14ac:dyDescent="0.25">
      <c r="A1315" s="59"/>
      <c r="B1315" s="60"/>
      <c r="C1315" s="65"/>
      <c r="D1315" s="60"/>
      <c r="E1315" s="59"/>
      <c r="F1315" s="62"/>
      <c r="G1315" s="63"/>
      <c r="H1315" s="64"/>
      <c r="I1315" s="65"/>
      <c r="J1315" s="65"/>
      <c r="K1315" s="65"/>
      <c r="L1315" s="65"/>
      <c r="M1315" s="65"/>
      <c r="N1315" s="65"/>
      <c r="O1315" s="81">
        <f t="shared" si="60"/>
        <v>0</v>
      </c>
      <c r="P1315" s="81">
        <f t="shared" si="61"/>
        <v>0</v>
      </c>
      <c r="Q1315" s="65"/>
      <c r="R1315" s="67"/>
      <c r="S1315" s="83">
        <f t="shared" si="62"/>
        <v>0</v>
      </c>
    </row>
    <row r="1316" spans="1:19" ht="18" customHeight="1" x14ac:dyDescent="0.25">
      <c r="A1316" s="68"/>
      <c r="B1316" s="69"/>
      <c r="C1316" s="74"/>
      <c r="D1316" s="69"/>
      <c r="E1316" s="68"/>
      <c r="F1316" s="71"/>
      <c r="G1316" s="72"/>
      <c r="H1316" s="73"/>
      <c r="I1316" s="74"/>
      <c r="J1316" s="74"/>
      <c r="K1316" s="74"/>
      <c r="L1316" s="74"/>
      <c r="M1316" s="74"/>
      <c r="N1316" s="74"/>
      <c r="O1316" s="82">
        <f t="shared" si="60"/>
        <v>0</v>
      </c>
      <c r="P1316" s="82">
        <f t="shared" si="61"/>
        <v>0</v>
      </c>
      <c r="Q1316" s="74"/>
      <c r="R1316" s="76"/>
      <c r="S1316" s="84">
        <f t="shared" si="62"/>
        <v>0</v>
      </c>
    </row>
    <row r="1317" spans="1:19" ht="18" customHeight="1" x14ac:dyDescent="0.25">
      <c r="A1317" s="59"/>
      <c r="B1317" s="60"/>
      <c r="C1317" s="65"/>
      <c r="D1317" s="60"/>
      <c r="E1317" s="59"/>
      <c r="F1317" s="62"/>
      <c r="G1317" s="63"/>
      <c r="H1317" s="64"/>
      <c r="I1317" s="65"/>
      <c r="J1317" s="65"/>
      <c r="K1317" s="65"/>
      <c r="L1317" s="65"/>
      <c r="M1317" s="65"/>
      <c r="N1317" s="65"/>
      <c r="O1317" s="81">
        <f t="shared" si="60"/>
        <v>0</v>
      </c>
      <c r="P1317" s="81">
        <f t="shared" si="61"/>
        <v>0</v>
      </c>
      <c r="Q1317" s="65"/>
      <c r="R1317" s="67"/>
      <c r="S1317" s="83">
        <f t="shared" si="62"/>
        <v>0</v>
      </c>
    </row>
    <row r="1318" spans="1:19" ht="18" customHeight="1" x14ac:dyDescent="0.25">
      <c r="A1318" s="68"/>
      <c r="B1318" s="69"/>
      <c r="C1318" s="74"/>
      <c r="D1318" s="69"/>
      <c r="E1318" s="68"/>
      <c r="F1318" s="71"/>
      <c r="G1318" s="72"/>
      <c r="H1318" s="73"/>
      <c r="I1318" s="74"/>
      <c r="J1318" s="74"/>
      <c r="K1318" s="74"/>
      <c r="L1318" s="74"/>
      <c r="M1318" s="74"/>
      <c r="N1318" s="74"/>
      <c r="O1318" s="82">
        <f t="shared" si="60"/>
        <v>0</v>
      </c>
      <c r="P1318" s="82">
        <f t="shared" si="61"/>
        <v>0</v>
      </c>
      <c r="Q1318" s="74"/>
      <c r="R1318" s="76"/>
      <c r="S1318" s="84">
        <f t="shared" si="62"/>
        <v>0</v>
      </c>
    </row>
    <row r="1319" spans="1:19" ht="18" customHeight="1" x14ac:dyDescent="0.25">
      <c r="A1319" s="59"/>
      <c r="B1319" s="60"/>
      <c r="C1319" s="65"/>
      <c r="D1319" s="60"/>
      <c r="E1319" s="59"/>
      <c r="F1319" s="62"/>
      <c r="G1319" s="63"/>
      <c r="H1319" s="64"/>
      <c r="I1319" s="65"/>
      <c r="J1319" s="65"/>
      <c r="K1319" s="65"/>
      <c r="L1319" s="65"/>
      <c r="M1319" s="65"/>
      <c r="N1319" s="65"/>
      <c r="O1319" s="81">
        <f t="shared" si="60"/>
        <v>0</v>
      </c>
      <c r="P1319" s="81">
        <f t="shared" si="61"/>
        <v>0</v>
      </c>
      <c r="Q1319" s="65"/>
      <c r="R1319" s="67"/>
      <c r="S1319" s="83">
        <f t="shared" si="62"/>
        <v>0</v>
      </c>
    </row>
    <row r="1320" spans="1:19" ht="18" customHeight="1" x14ac:dyDescent="0.25">
      <c r="A1320" s="68"/>
      <c r="B1320" s="69"/>
      <c r="C1320" s="74"/>
      <c r="D1320" s="69"/>
      <c r="E1320" s="68"/>
      <c r="F1320" s="71"/>
      <c r="G1320" s="72"/>
      <c r="H1320" s="73"/>
      <c r="I1320" s="74"/>
      <c r="J1320" s="74"/>
      <c r="K1320" s="74"/>
      <c r="L1320" s="74"/>
      <c r="M1320" s="74"/>
      <c r="N1320" s="74"/>
      <c r="O1320" s="82">
        <f t="shared" si="60"/>
        <v>0</v>
      </c>
      <c r="P1320" s="82">
        <f t="shared" si="61"/>
        <v>0</v>
      </c>
      <c r="Q1320" s="74"/>
      <c r="R1320" s="76"/>
      <c r="S1320" s="84">
        <f t="shared" si="62"/>
        <v>0</v>
      </c>
    </row>
    <row r="1321" spans="1:19" ht="18" customHeight="1" x14ac:dyDescent="0.25">
      <c r="A1321" s="59"/>
      <c r="B1321" s="60"/>
      <c r="C1321" s="65"/>
      <c r="D1321" s="60"/>
      <c r="E1321" s="59"/>
      <c r="F1321" s="62"/>
      <c r="G1321" s="63"/>
      <c r="H1321" s="64"/>
      <c r="I1321" s="65"/>
      <c r="J1321" s="65"/>
      <c r="K1321" s="65"/>
      <c r="L1321" s="65"/>
      <c r="M1321" s="65"/>
      <c r="N1321" s="65"/>
      <c r="O1321" s="81">
        <f t="shared" si="60"/>
        <v>0</v>
      </c>
      <c r="P1321" s="81">
        <f t="shared" si="61"/>
        <v>0</v>
      </c>
      <c r="Q1321" s="65"/>
      <c r="R1321" s="67"/>
      <c r="S1321" s="83">
        <f t="shared" si="62"/>
        <v>0</v>
      </c>
    </row>
    <row r="1322" spans="1:19" ht="18" customHeight="1" x14ac:dyDescent="0.25">
      <c r="A1322" s="68"/>
      <c r="B1322" s="69"/>
      <c r="C1322" s="74"/>
      <c r="D1322" s="69"/>
      <c r="E1322" s="68"/>
      <c r="F1322" s="71"/>
      <c r="G1322" s="72"/>
      <c r="H1322" s="73"/>
      <c r="I1322" s="74"/>
      <c r="J1322" s="74"/>
      <c r="K1322" s="74"/>
      <c r="L1322" s="74"/>
      <c r="M1322" s="74"/>
      <c r="N1322" s="74"/>
      <c r="O1322" s="82">
        <f t="shared" si="60"/>
        <v>0</v>
      </c>
      <c r="P1322" s="82">
        <f t="shared" si="61"/>
        <v>0</v>
      </c>
      <c r="Q1322" s="74"/>
      <c r="R1322" s="76"/>
      <c r="S1322" s="84">
        <f t="shared" si="62"/>
        <v>0</v>
      </c>
    </row>
    <row r="1323" spans="1:19" ht="18" customHeight="1" x14ac:dyDescent="0.25">
      <c r="A1323" s="59"/>
      <c r="B1323" s="60"/>
      <c r="C1323" s="65"/>
      <c r="D1323" s="60"/>
      <c r="E1323" s="59"/>
      <c r="F1323" s="62"/>
      <c r="G1323" s="63"/>
      <c r="H1323" s="64"/>
      <c r="I1323" s="65"/>
      <c r="J1323" s="65"/>
      <c r="K1323" s="65"/>
      <c r="L1323" s="65"/>
      <c r="M1323" s="65"/>
      <c r="N1323" s="65"/>
      <c r="O1323" s="81">
        <f t="shared" si="60"/>
        <v>0</v>
      </c>
      <c r="P1323" s="81">
        <f t="shared" si="61"/>
        <v>0</v>
      </c>
      <c r="Q1323" s="65"/>
      <c r="R1323" s="67"/>
      <c r="S1323" s="83">
        <f t="shared" si="62"/>
        <v>0</v>
      </c>
    </row>
    <row r="1324" spans="1:19" ht="18" customHeight="1" x14ac:dyDescent="0.25">
      <c r="A1324" s="68"/>
      <c r="B1324" s="69"/>
      <c r="C1324" s="74"/>
      <c r="D1324" s="69"/>
      <c r="E1324" s="68"/>
      <c r="F1324" s="71"/>
      <c r="G1324" s="72"/>
      <c r="H1324" s="73"/>
      <c r="I1324" s="74"/>
      <c r="J1324" s="74"/>
      <c r="K1324" s="74"/>
      <c r="L1324" s="74"/>
      <c r="M1324" s="74"/>
      <c r="N1324" s="74"/>
      <c r="O1324" s="82">
        <f t="shared" si="60"/>
        <v>0</v>
      </c>
      <c r="P1324" s="82">
        <f t="shared" si="61"/>
        <v>0</v>
      </c>
      <c r="Q1324" s="74"/>
      <c r="R1324" s="76"/>
      <c r="S1324" s="84">
        <f t="shared" si="62"/>
        <v>0</v>
      </c>
    </row>
    <row r="1325" spans="1:19" ht="18" customHeight="1" x14ac:dyDescent="0.25">
      <c r="A1325" s="59"/>
      <c r="B1325" s="60"/>
      <c r="C1325" s="65"/>
      <c r="D1325" s="60"/>
      <c r="E1325" s="59"/>
      <c r="F1325" s="62"/>
      <c r="G1325" s="63"/>
      <c r="H1325" s="64"/>
      <c r="I1325" s="65"/>
      <c r="J1325" s="65"/>
      <c r="K1325" s="65"/>
      <c r="L1325" s="65"/>
      <c r="M1325" s="65"/>
      <c r="N1325" s="65"/>
      <c r="O1325" s="81">
        <f t="shared" si="60"/>
        <v>0</v>
      </c>
      <c r="P1325" s="81">
        <f t="shared" si="61"/>
        <v>0</v>
      </c>
      <c r="Q1325" s="65"/>
      <c r="R1325" s="67"/>
      <c r="S1325" s="83">
        <f t="shared" si="62"/>
        <v>0</v>
      </c>
    </row>
    <row r="1326" spans="1:19" ht="18" customHeight="1" x14ac:dyDescent="0.25">
      <c r="A1326" s="68"/>
      <c r="B1326" s="69"/>
      <c r="C1326" s="74"/>
      <c r="D1326" s="69"/>
      <c r="E1326" s="68"/>
      <c r="F1326" s="71"/>
      <c r="G1326" s="72"/>
      <c r="H1326" s="73"/>
      <c r="I1326" s="74"/>
      <c r="J1326" s="74"/>
      <c r="K1326" s="74"/>
      <c r="L1326" s="74"/>
      <c r="M1326" s="74"/>
      <c r="N1326" s="74"/>
      <c r="O1326" s="82">
        <f t="shared" si="60"/>
        <v>0</v>
      </c>
      <c r="P1326" s="82">
        <f t="shared" si="61"/>
        <v>0</v>
      </c>
      <c r="Q1326" s="74"/>
      <c r="R1326" s="76"/>
      <c r="S1326" s="84">
        <f t="shared" si="62"/>
        <v>0</v>
      </c>
    </row>
    <row r="1327" spans="1:19" ht="18" customHeight="1" x14ac:dyDescent="0.25">
      <c r="A1327" s="59"/>
      <c r="B1327" s="60"/>
      <c r="C1327" s="65"/>
      <c r="D1327" s="60"/>
      <c r="E1327" s="59"/>
      <c r="F1327" s="62"/>
      <c r="G1327" s="63"/>
      <c r="H1327" s="64"/>
      <c r="I1327" s="65"/>
      <c r="J1327" s="65"/>
      <c r="K1327" s="65"/>
      <c r="L1327" s="65"/>
      <c r="M1327" s="65"/>
      <c r="N1327" s="65"/>
      <c r="O1327" s="81">
        <f t="shared" si="60"/>
        <v>0</v>
      </c>
      <c r="P1327" s="81">
        <f t="shared" si="61"/>
        <v>0</v>
      </c>
      <c r="Q1327" s="65"/>
      <c r="R1327" s="67"/>
      <c r="S1327" s="83">
        <f t="shared" si="62"/>
        <v>0</v>
      </c>
    </row>
    <row r="1328" spans="1:19" ht="18" customHeight="1" x14ac:dyDescent="0.25">
      <c r="A1328" s="68"/>
      <c r="B1328" s="69"/>
      <c r="C1328" s="74"/>
      <c r="D1328" s="69"/>
      <c r="E1328" s="68"/>
      <c r="F1328" s="71"/>
      <c r="G1328" s="72"/>
      <c r="H1328" s="73"/>
      <c r="I1328" s="74"/>
      <c r="J1328" s="74"/>
      <c r="K1328" s="74"/>
      <c r="L1328" s="74"/>
      <c r="M1328" s="74"/>
      <c r="N1328" s="74"/>
      <c r="O1328" s="82">
        <f t="shared" si="60"/>
        <v>0</v>
      </c>
      <c r="P1328" s="82">
        <f t="shared" si="61"/>
        <v>0</v>
      </c>
      <c r="Q1328" s="74"/>
      <c r="R1328" s="76"/>
      <c r="S1328" s="84">
        <f t="shared" si="62"/>
        <v>0</v>
      </c>
    </row>
    <row r="1329" spans="1:19" ht="18" customHeight="1" x14ac:dyDescent="0.25">
      <c r="A1329" s="59"/>
      <c r="B1329" s="60"/>
      <c r="C1329" s="65"/>
      <c r="D1329" s="60"/>
      <c r="E1329" s="59"/>
      <c r="F1329" s="62"/>
      <c r="G1329" s="63"/>
      <c r="H1329" s="64"/>
      <c r="I1329" s="65"/>
      <c r="J1329" s="65"/>
      <c r="K1329" s="65"/>
      <c r="L1329" s="65"/>
      <c r="M1329" s="65"/>
      <c r="N1329" s="65"/>
      <c r="O1329" s="81">
        <f t="shared" si="60"/>
        <v>0</v>
      </c>
      <c r="P1329" s="81">
        <f t="shared" si="61"/>
        <v>0</v>
      </c>
      <c r="Q1329" s="65"/>
      <c r="R1329" s="67"/>
      <c r="S1329" s="83">
        <f t="shared" si="62"/>
        <v>0</v>
      </c>
    </row>
    <row r="1330" spans="1:19" ht="18" customHeight="1" x14ac:dyDescent="0.25">
      <c r="A1330" s="68"/>
      <c r="B1330" s="69"/>
      <c r="C1330" s="74"/>
      <c r="D1330" s="69"/>
      <c r="E1330" s="68"/>
      <c r="F1330" s="71"/>
      <c r="G1330" s="72"/>
      <c r="H1330" s="73"/>
      <c r="I1330" s="74"/>
      <c r="J1330" s="74"/>
      <c r="K1330" s="74"/>
      <c r="L1330" s="74"/>
      <c r="M1330" s="74"/>
      <c r="N1330" s="74"/>
      <c r="O1330" s="82">
        <f t="shared" si="60"/>
        <v>0</v>
      </c>
      <c r="P1330" s="82">
        <f t="shared" si="61"/>
        <v>0</v>
      </c>
      <c r="Q1330" s="74"/>
      <c r="R1330" s="76"/>
      <c r="S1330" s="84">
        <f t="shared" si="62"/>
        <v>0</v>
      </c>
    </row>
    <row r="1331" spans="1:19" ht="18" customHeight="1" x14ac:dyDescent="0.25">
      <c r="A1331" s="59"/>
      <c r="B1331" s="60"/>
      <c r="C1331" s="65"/>
      <c r="D1331" s="60"/>
      <c r="E1331" s="59"/>
      <c r="F1331" s="62"/>
      <c r="G1331" s="63"/>
      <c r="H1331" s="64"/>
      <c r="I1331" s="65"/>
      <c r="J1331" s="65"/>
      <c r="K1331" s="65"/>
      <c r="L1331" s="65"/>
      <c r="M1331" s="65"/>
      <c r="N1331" s="65"/>
      <c r="O1331" s="81">
        <f t="shared" si="60"/>
        <v>0</v>
      </c>
      <c r="P1331" s="81">
        <f t="shared" si="61"/>
        <v>0</v>
      </c>
      <c r="Q1331" s="65"/>
      <c r="R1331" s="67"/>
      <c r="S1331" s="83">
        <f t="shared" si="62"/>
        <v>0</v>
      </c>
    </row>
    <row r="1332" spans="1:19" ht="18" customHeight="1" x14ac:dyDescent="0.25">
      <c r="A1332" s="68"/>
      <c r="B1332" s="69"/>
      <c r="C1332" s="74"/>
      <c r="D1332" s="69"/>
      <c r="E1332" s="68"/>
      <c r="F1332" s="71"/>
      <c r="G1332" s="72"/>
      <c r="H1332" s="73"/>
      <c r="I1332" s="74"/>
      <c r="J1332" s="74"/>
      <c r="K1332" s="74"/>
      <c r="L1332" s="74"/>
      <c r="M1332" s="74"/>
      <c r="N1332" s="74"/>
      <c r="O1332" s="82">
        <f t="shared" si="60"/>
        <v>0</v>
      </c>
      <c r="P1332" s="82">
        <f t="shared" si="61"/>
        <v>0</v>
      </c>
      <c r="Q1332" s="74"/>
      <c r="R1332" s="76"/>
      <c r="S1332" s="84">
        <f t="shared" si="62"/>
        <v>0</v>
      </c>
    </row>
    <row r="1333" spans="1:19" ht="18" customHeight="1" x14ac:dyDescent="0.25">
      <c r="A1333" s="59"/>
      <c r="B1333" s="60"/>
      <c r="C1333" s="65"/>
      <c r="D1333" s="60"/>
      <c r="E1333" s="59"/>
      <c r="F1333" s="62"/>
      <c r="G1333" s="63"/>
      <c r="H1333" s="64"/>
      <c r="I1333" s="65"/>
      <c r="J1333" s="65"/>
      <c r="K1333" s="65"/>
      <c r="L1333" s="65"/>
      <c r="M1333" s="65"/>
      <c r="N1333" s="65"/>
      <c r="O1333" s="81">
        <f t="shared" si="60"/>
        <v>0</v>
      </c>
      <c r="P1333" s="81">
        <f t="shared" si="61"/>
        <v>0</v>
      </c>
      <c r="Q1333" s="65"/>
      <c r="R1333" s="67"/>
      <c r="S1333" s="83">
        <f t="shared" si="62"/>
        <v>0</v>
      </c>
    </row>
    <row r="1334" spans="1:19" ht="18" customHeight="1" x14ac:dyDescent="0.25">
      <c r="A1334" s="68"/>
      <c r="B1334" s="69"/>
      <c r="C1334" s="74"/>
      <c r="D1334" s="69"/>
      <c r="E1334" s="68"/>
      <c r="F1334" s="71"/>
      <c r="G1334" s="72"/>
      <c r="H1334" s="73"/>
      <c r="I1334" s="74"/>
      <c r="J1334" s="74"/>
      <c r="K1334" s="74"/>
      <c r="L1334" s="74"/>
      <c r="M1334" s="74"/>
      <c r="N1334" s="74"/>
      <c r="O1334" s="82">
        <f t="shared" si="60"/>
        <v>0</v>
      </c>
      <c r="P1334" s="82">
        <f t="shared" si="61"/>
        <v>0</v>
      </c>
      <c r="Q1334" s="74"/>
      <c r="R1334" s="76"/>
      <c r="S1334" s="84">
        <f t="shared" si="62"/>
        <v>0</v>
      </c>
    </row>
    <row r="1335" spans="1:19" ht="18" customHeight="1" x14ac:dyDescent="0.25">
      <c r="A1335" s="59"/>
      <c r="B1335" s="60"/>
      <c r="C1335" s="65"/>
      <c r="D1335" s="60"/>
      <c r="E1335" s="59"/>
      <c r="F1335" s="62"/>
      <c r="G1335" s="63"/>
      <c r="H1335" s="64"/>
      <c r="I1335" s="65"/>
      <c r="J1335" s="65"/>
      <c r="K1335" s="65"/>
      <c r="L1335" s="65"/>
      <c r="M1335" s="65"/>
      <c r="N1335" s="65"/>
      <c r="O1335" s="81">
        <f t="shared" si="60"/>
        <v>0</v>
      </c>
      <c r="P1335" s="81">
        <f t="shared" si="61"/>
        <v>0</v>
      </c>
      <c r="Q1335" s="65"/>
      <c r="R1335" s="67"/>
      <c r="S1335" s="83">
        <f t="shared" si="62"/>
        <v>0</v>
      </c>
    </row>
    <row r="1336" spans="1:19" ht="18" customHeight="1" x14ac:dyDescent="0.25">
      <c r="A1336" s="68"/>
      <c r="B1336" s="69"/>
      <c r="C1336" s="74"/>
      <c r="D1336" s="69"/>
      <c r="E1336" s="68"/>
      <c r="F1336" s="71"/>
      <c r="G1336" s="72"/>
      <c r="H1336" s="73"/>
      <c r="I1336" s="74"/>
      <c r="J1336" s="74"/>
      <c r="K1336" s="74"/>
      <c r="L1336" s="74"/>
      <c r="M1336" s="74"/>
      <c r="N1336" s="74"/>
      <c r="O1336" s="82">
        <f t="shared" si="60"/>
        <v>0</v>
      </c>
      <c r="P1336" s="82">
        <f t="shared" si="61"/>
        <v>0</v>
      </c>
      <c r="Q1336" s="74"/>
      <c r="R1336" s="76"/>
      <c r="S1336" s="84">
        <f t="shared" si="62"/>
        <v>0</v>
      </c>
    </row>
    <row r="1337" spans="1:19" ht="18" customHeight="1" x14ac:dyDescent="0.25">
      <c r="A1337" s="59"/>
      <c r="B1337" s="60"/>
      <c r="C1337" s="65"/>
      <c r="D1337" s="60"/>
      <c r="E1337" s="59"/>
      <c r="F1337" s="62"/>
      <c r="G1337" s="63"/>
      <c r="H1337" s="64"/>
      <c r="I1337" s="65"/>
      <c r="J1337" s="65"/>
      <c r="K1337" s="65"/>
      <c r="L1337" s="65"/>
      <c r="M1337" s="65"/>
      <c r="N1337" s="65"/>
      <c r="O1337" s="81">
        <f t="shared" si="60"/>
        <v>0</v>
      </c>
      <c r="P1337" s="81">
        <f t="shared" si="61"/>
        <v>0</v>
      </c>
      <c r="Q1337" s="65"/>
      <c r="R1337" s="67"/>
      <c r="S1337" s="83">
        <f t="shared" si="62"/>
        <v>0</v>
      </c>
    </row>
    <row r="1338" spans="1:19" ht="18" customHeight="1" x14ac:dyDescent="0.25">
      <c r="A1338" s="68"/>
      <c r="B1338" s="69"/>
      <c r="C1338" s="74"/>
      <c r="D1338" s="69"/>
      <c r="E1338" s="68"/>
      <c r="F1338" s="71"/>
      <c r="G1338" s="72"/>
      <c r="H1338" s="73"/>
      <c r="I1338" s="74"/>
      <c r="J1338" s="74"/>
      <c r="K1338" s="74"/>
      <c r="L1338" s="74"/>
      <c r="M1338" s="74"/>
      <c r="N1338" s="74"/>
      <c r="O1338" s="82">
        <f t="shared" si="60"/>
        <v>0</v>
      </c>
      <c r="P1338" s="82">
        <f t="shared" si="61"/>
        <v>0</v>
      </c>
      <c r="Q1338" s="74"/>
      <c r="R1338" s="76"/>
      <c r="S1338" s="84">
        <f t="shared" si="62"/>
        <v>0</v>
      </c>
    </row>
    <row r="1339" spans="1:19" ht="18" customHeight="1" x14ac:dyDescent="0.25">
      <c r="A1339" s="59"/>
      <c r="B1339" s="60"/>
      <c r="C1339" s="65"/>
      <c r="D1339" s="60"/>
      <c r="E1339" s="59"/>
      <c r="F1339" s="62"/>
      <c r="G1339" s="63"/>
      <c r="H1339" s="64"/>
      <c r="I1339" s="65"/>
      <c r="J1339" s="65"/>
      <c r="K1339" s="65"/>
      <c r="L1339" s="65"/>
      <c r="M1339" s="65"/>
      <c r="N1339" s="65"/>
      <c r="O1339" s="81">
        <f t="shared" si="60"/>
        <v>0</v>
      </c>
      <c r="P1339" s="81">
        <f t="shared" si="61"/>
        <v>0</v>
      </c>
      <c r="Q1339" s="65"/>
      <c r="R1339" s="67"/>
      <c r="S1339" s="83">
        <f t="shared" si="62"/>
        <v>0</v>
      </c>
    </row>
    <row r="1340" spans="1:19" ht="18" customHeight="1" x14ac:dyDescent="0.25">
      <c r="A1340" s="68"/>
      <c r="B1340" s="69"/>
      <c r="C1340" s="74"/>
      <c r="D1340" s="69"/>
      <c r="E1340" s="68"/>
      <c r="F1340" s="71"/>
      <c r="G1340" s="72"/>
      <c r="H1340" s="73"/>
      <c r="I1340" s="74"/>
      <c r="J1340" s="74"/>
      <c r="K1340" s="74"/>
      <c r="L1340" s="74"/>
      <c r="M1340" s="74"/>
      <c r="N1340" s="74"/>
      <c r="O1340" s="82">
        <f t="shared" si="60"/>
        <v>0</v>
      </c>
      <c r="P1340" s="82">
        <f t="shared" si="61"/>
        <v>0</v>
      </c>
      <c r="Q1340" s="74"/>
      <c r="R1340" s="76"/>
      <c r="S1340" s="84">
        <f t="shared" si="62"/>
        <v>0</v>
      </c>
    </row>
    <row r="1341" spans="1:19" ht="18" customHeight="1" x14ac:dyDescent="0.25">
      <c r="A1341" s="59"/>
      <c r="B1341" s="60"/>
      <c r="C1341" s="65"/>
      <c r="D1341" s="60"/>
      <c r="E1341" s="59"/>
      <c r="F1341" s="62"/>
      <c r="G1341" s="63"/>
      <c r="H1341" s="64"/>
      <c r="I1341" s="65"/>
      <c r="J1341" s="65"/>
      <c r="K1341" s="65"/>
      <c r="L1341" s="65"/>
      <c r="M1341" s="65"/>
      <c r="N1341" s="65"/>
      <c r="O1341" s="81">
        <f t="shared" si="60"/>
        <v>0</v>
      </c>
      <c r="P1341" s="81">
        <f t="shared" si="61"/>
        <v>0</v>
      </c>
      <c r="Q1341" s="65"/>
      <c r="R1341" s="67"/>
      <c r="S1341" s="83">
        <f t="shared" si="62"/>
        <v>0</v>
      </c>
    </row>
    <row r="1342" spans="1:19" ht="18" customHeight="1" x14ac:dyDescent="0.25">
      <c r="A1342" s="68"/>
      <c r="B1342" s="69"/>
      <c r="C1342" s="74"/>
      <c r="D1342" s="69"/>
      <c r="E1342" s="68"/>
      <c r="F1342" s="71"/>
      <c r="G1342" s="72"/>
      <c r="H1342" s="73"/>
      <c r="I1342" s="74"/>
      <c r="J1342" s="74"/>
      <c r="K1342" s="74"/>
      <c r="L1342" s="74"/>
      <c r="M1342" s="74"/>
      <c r="N1342" s="74"/>
      <c r="O1342" s="82">
        <f t="shared" si="60"/>
        <v>0</v>
      </c>
      <c r="P1342" s="82">
        <f t="shared" si="61"/>
        <v>0</v>
      </c>
      <c r="Q1342" s="74"/>
      <c r="R1342" s="76"/>
      <c r="S1342" s="84">
        <f t="shared" si="62"/>
        <v>0</v>
      </c>
    </row>
    <row r="1343" spans="1:19" ht="18" customHeight="1" x14ac:dyDescent="0.25">
      <c r="A1343" s="59"/>
      <c r="B1343" s="60"/>
      <c r="C1343" s="65"/>
      <c r="D1343" s="60"/>
      <c r="E1343" s="59"/>
      <c r="F1343" s="62"/>
      <c r="G1343" s="63"/>
      <c r="H1343" s="64"/>
      <c r="I1343" s="65"/>
      <c r="J1343" s="65"/>
      <c r="K1343" s="65"/>
      <c r="L1343" s="65"/>
      <c r="M1343" s="65"/>
      <c r="N1343" s="65"/>
      <c r="O1343" s="81">
        <f t="shared" si="60"/>
        <v>0</v>
      </c>
      <c r="P1343" s="81">
        <f t="shared" si="61"/>
        <v>0</v>
      </c>
      <c r="Q1343" s="65"/>
      <c r="R1343" s="67"/>
      <c r="S1343" s="83">
        <f t="shared" si="62"/>
        <v>0</v>
      </c>
    </row>
    <row r="1344" spans="1:19" ht="18" customHeight="1" x14ac:dyDescent="0.25">
      <c r="A1344" s="68"/>
      <c r="B1344" s="69"/>
      <c r="C1344" s="74"/>
      <c r="D1344" s="69"/>
      <c r="E1344" s="68"/>
      <c r="F1344" s="71"/>
      <c r="G1344" s="72"/>
      <c r="H1344" s="73"/>
      <c r="I1344" s="74"/>
      <c r="J1344" s="74"/>
      <c r="K1344" s="74"/>
      <c r="L1344" s="74"/>
      <c r="M1344" s="74"/>
      <c r="N1344" s="74"/>
      <c r="O1344" s="82">
        <f t="shared" si="60"/>
        <v>0</v>
      </c>
      <c r="P1344" s="82">
        <f t="shared" si="61"/>
        <v>0</v>
      </c>
      <c r="Q1344" s="74"/>
      <c r="R1344" s="76"/>
      <c r="S1344" s="84">
        <f t="shared" si="62"/>
        <v>0</v>
      </c>
    </row>
    <row r="1345" spans="1:19" ht="18" customHeight="1" x14ac:dyDescent="0.25">
      <c r="A1345" s="59"/>
      <c r="B1345" s="60"/>
      <c r="C1345" s="65"/>
      <c r="D1345" s="60"/>
      <c r="E1345" s="59"/>
      <c r="F1345" s="62"/>
      <c r="G1345" s="63"/>
      <c r="H1345" s="64"/>
      <c r="I1345" s="65"/>
      <c r="J1345" s="65"/>
      <c r="K1345" s="65"/>
      <c r="L1345" s="65"/>
      <c r="M1345" s="65"/>
      <c r="N1345" s="65"/>
      <c r="O1345" s="81">
        <f t="shared" si="60"/>
        <v>0</v>
      </c>
      <c r="P1345" s="81">
        <f t="shared" si="61"/>
        <v>0</v>
      </c>
      <c r="Q1345" s="65"/>
      <c r="R1345" s="67"/>
      <c r="S1345" s="83">
        <f t="shared" si="62"/>
        <v>0</v>
      </c>
    </row>
    <row r="1346" spans="1:19" ht="18" customHeight="1" x14ac:dyDescent="0.25">
      <c r="A1346" s="68"/>
      <c r="B1346" s="69"/>
      <c r="C1346" s="74"/>
      <c r="D1346" s="69"/>
      <c r="E1346" s="68"/>
      <c r="F1346" s="71"/>
      <c r="G1346" s="72"/>
      <c r="H1346" s="73"/>
      <c r="I1346" s="74"/>
      <c r="J1346" s="74"/>
      <c r="K1346" s="74"/>
      <c r="L1346" s="74"/>
      <c r="M1346" s="74"/>
      <c r="N1346" s="74"/>
      <c r="O1346" s="82">
        <f t="shared" si="60"/>
        <v>0</v>
      </c>
      <c r="P1346" s="82">
        <f t="shared" si="61"/>
        <v>0</v>
      </c>
      <c r="Q1346" s="74"/>
      <c r="R1346" s="76"/>
      <c r="S1346" s="84">
        <f t="shared" si="62"/>
        <v>0</v>
      </c>
    </row>
    <row r="1347" spans="1:19" ht="18" customHeight="1" x14ac:dyDescent="0.25">
      <c r="A1347" s="59"/>
      <c r="B1347" s="60"/>
      <c r="C1347" s="65"/>
      <c r="D1347" s="60"/>
      <c r="E1347" s="59"/>
      <c r="F1347" s="62"/>
      <c r="G1347" s="63"/>
      <c r="H1347" s="64"/>
      <c r="I1347" s="65"/>
      <c r="J1347" s="65"/>
      <c r="K1347" s="65"/>
      <c r="L1347" s="65"/>
      <c r="M1347" s="65"/>
      <c r="N1347" s="65"/>
      <c r="O1347" s="81">
        <f t="shared" si="60"/>
        <v>0</v>
      </c>
      <c r="P1347" s="81">
        <f t="shared" si="61"/>
        <v>0</v>
      </c>
      <c r="Q1347" s="65"/>
      <c r="R1347" s="67"/>
      <c r="S1347" s="83">
        <f t="shared" si="62"/>
        <v>0</v>
      </c>
    </row>
    <row r="1348" spans="1:19" ht="18" customHeight="1" x14ac:dyDescent="0.25">
      <c r="A1348" s="68"/>
      <c r="B1348" s="69"/>
      <c r="C1348" s="74"/>
      <c r="D1348" s="69"/>
      <c r="E1348" s="68"/>
      <c r="F1348" s="71"/>
      <c r="G1348" s="72"/>
      <c r="H1348" s="73"/>
      <c r="I1348" s="74"/>
      <c r="J1348" s="74"/>
      <c r="K1348" s="74"/>
      <c r="L1348" s="74"/>
      <c r="M1348" s="74"/>
      <c r="N1348" s="74"/>
      <c r="O1348" s="82">
        <f t="shared" si="60"/>
        <v>0</v>
      </c>
      <c r="P1348" s="82">
        <f t="shared" si="61"/>
        <v>0</v>
      </c>
      <c r="Q1348" s="74"/>
      <c r="R1348" s="76"/>
      <c r="S1348" s="84">
        <f t="shared" si="62"/>
        <v>0</v>
      </c>
    </row>
    <row r="1349" spans="1:19" ht="18" customHeight="1" x14ac:dyDescent="0.25">
      <c r="A1349" s="59"/>
      <c r="B1349" s="60"/>
      <c r="C1349" s="65"/>
      <c r="D1349" s="60"/>
      <c r="E1349" s="59"/>
      <c r="F1349" s="62"/>
      <c r="G1349" s="63"/>
      <c r="H1349" s="64"/>
      <c r="I1349" s="65"/>
      <c r="J1349" s="65"/>
      <c r="K1349" s="65"/>
      <c r="L1349" s="65"/>
      <c r="M1349" s="65"/>
      <c r="N1349" s="65"/>
      <c r="O1349" s="81">
        <f t="shared" si="60"/>
        <v>0</v>
      </c>
      <c r="P1349" s="81">
        <f t="shared" si="61"/>
        <v>0</v>
      </c>
      <c r="Q1349" s="65"/>
      <c r="R1349" s="67"/>
      <c r="S1349" s="83">
        <f t="shared" si="62"/>
        <v>0</v>
      </c>
    </row>
    <row r="1350" spans="1:19" ht="18" customHeight="1" x14ac:dyDescent="0.25">
      <c r="A1350" s="68"/>
      <c r="B1350" s="69"/>
      <c r="C1350" s="74"/>
      <c r="D1350" s="69"/>
      <c r="E1350" s="68"/>
      <c r="F1350" s="71"/>
      <c r="G1350" s="72"/>
      <c r="H1350" s="73"/>
      <c r="I1350" s="74"/>
      <c r="J1350" s="74"/>
      <c r="K1350" s="74"/>
      <c r="L1350" s="74"/>
      <c r="M1350" s="74"/>
      <c r="N1350" s="74"/>
      <c r="O1350" s="82" t="e">
        <f>#N/A</f>
        <v>#N/A</v>
      </c>
      <c r="P1350" s="82" t="e">
        <f>#N/A</f>
        <v>#N/A</v>
      </c>
      <c r="Q1350" s="74"/>
      <c r="R1350" s="76"/>
      <c r="S1350" s="84">
        <f t="shared" si="62"/>
        <v>0</v>
      </c>
    </row>
    <row r="1351" spans="1:19" ht="18" customHeight="1" x14ac:dyDescent="0.25">
      <c r="A1351" s="59"/>
      <c r="B1351" s="60"/>
      <c r="C1351" s="65"/>
      <c r="D1351" s="60"/>
      <c r="E1351" s="59"/>
      <c r="F1351" s="62"/>
      <c r="G1351" s="63"/>
      <c r="H1351" s="64"/>
      <c r="I1351" s="65"/>
      <c r="J1351" s="65"/>
      <c r="K1351" s="65"/>
      <c r="L1351" s="65"/>
      <c r="M1351" s="65"/>
      <c r="N1351" s="65"/>
      <c r="O1351" s="81">
        <f t="shared" ref="O1351:O1413" si="63">IF(G1351="Reimbursement ","",I1351+J1351+K1351+L1351+M1351)</f>
        <v>0</v>
      </c>
      <c r="P1351" s="81">
        <f t="shared" ref="P1351:P1413" si="64">IF(G1351="Reimbursement ","",H1351-O1351)</f>
        <v>0</v>
      </c>
      <c r="Q1351" s="65"/>
      <c r="R1351" s="67"/>
      <c r="S1351" s="83">
        <f t="shared" ref="S1351:S1414" si="65">IF(OR(R1351="",Q1351=""),0,IF(R1351&gt;Q1351,R1351-Q1351,0))</f>
        <v>0</v>
      </c>
    </row>
    <row r="1352" spans="1:19" ht="18" customHeight="1" x14ac:dyDescent="0.25">
      <c r="A1352" s="68"/>
      <c r="B1352" s="69"/>
      <c r="C1352" s="74"/>
      <c r="D1352" s="69"/>
      <c r="E1352" s="68"/>
      <c r="F1352" s="71"/>
      <c r="G1352" s="72"/>
      <c r="H1352" s="73"/>
      <c r="I1352" s="74"/>
      <c r="J1352" s="74"/>
      <c r="K1352" s="74"/>
      <c r="L1352" s="74"/>
      <c r="M1352" s="74"/>
      <c r="N1352" s="74"/>
      <c r="O1352" s="82">
        <f t="shared" si="63"/>
        <v>0</v>
      </c>
      <c r="P1352" s="82">
        <f t="shared" si="64"/>
        <v>0</v>
      </c>
      <c r="Q1352" s="74"/>
      <c r="R1352" s="76"/>
      <c r="S1352" s="84">
        <f t="shared" si="65"/>
        <v>0</v>
      </c>
    </row>
    <row r="1353" spans="1:19" ht="18" customHeight="1" x14ac:dyDescent="0.25">
      <c r="A1353" s="59"/>
      <c r="B1353" s="60"/>
      <c r="C1353" s="65"/>
      <c r="D1353" s="60"/>
      <c r="E1353" s="59"/>
      <c r="F1353" s="62"/>
      <c r="G1353" s="63"/>
      <c r="H1353" s="64"/>
      <c r="I1353" s="65"/>
      <c r="J1353" s="65"/>
      <c r="K1353" s="65"/>
      <c r="L1353" s="65"/>
      <c r="M1353" s="65"/>
      <c r="N1353" s="65"/>
      <c r="O1353" s="81">
        <f t="shared" si="63"/>
        <v>0</v>
      </c>
      <c r="P1353" s="81">
        <f t="shared" si="64"/>
        <v>0</v>
      </c>
      <c r="Q1353" s="65"/>
      <c r="R1353" s="67"/>
      <c r="S1353" s="83">
        <f t="shared" si="65"/>
        <v>0</v>
      </c>
    </row>
    <row r="1354" spans="1:19" ht="18" customHeight="1" x14ac:dyDescent="0.25">
      <c r="A1354" s="68"/>
      <c r="B1354" s="69"/>
      <c r="C1354" s="74"/>
      <c r="D1354" s="69"/>
      <c r="E1354" s="68"/>
      <c r="F1354" s="71"/>
      <c r="G1354" s="72"/>
      <c r="H1354" s="73"/>
      <c r="I1354" s="74"/>
      <c r="J1354" s="74"/>
      <c r="K1354" s="74"/>
      <c r="L1354" s="74"/>
      <c r="M1354" s="74"/>
      <c r="N1354" s="74"/>
      <c r="O1354" s="82">
        <f t="shared" si="63"/>
        <v>0</v>
      </c>
      <c r="P1354" s="82">
        <f t="shared" si="64"/>
        <v>0</v>
      </c>
      <c r="Q1354" s="74"/>
      <c r="R1354" s="76"/>
      <c r="S1354" s="84">
        <f t="shared" si="65"/>
        <v>0</v>
      </c>
    </row>
    <row r="1355" spans="1:19" ht="18" customHeight="1" x14ac:dyDescent="0.25">
      <c r="A1355" s="59"/>
      <c r="B1355" s="60"/>
      <c r="C1355" s="65"/>
      <c r="D1355" s="60"/>
      <c r="E1355" s="59"/>
      <c r="F1355" s="62"/>
      <c r="G1355" s="63"/>
      <c r="H1355" s="64"/>
      <c r="I1355" s="65"/>
      <c r="J1355" s="65"/>
      <c r="K1355" s="65"/>
      <c r="L1355" s="65"/>
      <c r="M1355" s="65"/>
      <c r="N1355" s="65"/>
      <c r="O1355" s="81">
        <f t="shared" si="63"/>
        <v>0</v>
      </c>
      <c r="P1355" s="81">
        <f t="shared" si="64"/>
        <v>0</v>
      </c>
      <c r="Q1355" s="65"/>
      <c r="R1355" s="67"/>
      <c r="S1355" s="83">
        <f t="shared" si="65"/>
        <v>0</v>
      </c>
    </row>
    <row r="1356" spans="1:19" ht="18" customHeight="1" x14ac:dyDescent="0.25">
      <c r="A1356" s="68"/>
      <c r="B1356" s="69"/>
      <c r="C1356" s="74"/>
      <c r="D1356" s="69"/>
      <c r="E1356" s="68"/>
      <c r="F1356" s="71"/>
      <c r="G1356" s="72"/>
      <c r="H1356" s="73"/>
      <c r="I1356" s="74"/>
      <c r="J1356" s="74"/>
      <c r="K1356" s="74"/>
      <c r="L1356" s="74"/>
      <c r="M1356" s="74"/>
      <c r="N1356" s="74"/>
      <c r="O1356" s="82">
        <f t="shared" si="63"/>
        <v>0</v>
      </c>
      <c r="P1356" s="82">
        <f t="shared" si="64"/>
        <v>0</v>
      </c>
      <c r="Q1356" s="74"/>
      <c r="R1356" s="76"/>
      <c r="S1356" s="84">
        <f t="shared" si="65"/>
        <v>0</v>
      </c>
    </row>
    <row r="1357" spans="1:19" ht="18" customHeight="1" x14ac:dyDescent="0.25">
      <c r="A1357" s="59"/>
      <c r="B1357" s="60"/>
      <c r="C1357" s="65"/>
      <c r="D1357" s="60"/>
      <c r="E1357" s="59"/>
      <c r="F1357" s="62"/>
      <c r="G1357" s="63"/>
      <c r="H1357" s="64"/>
      <c r="I1357" s="65"/>
      <c r="J1357" s="65"/>
      <c r="K1357" s="65"/>
      <c r="L1357" s="65"/>
      <c r="M1357" s="65"/>
      <c r="N1357" s="65"/>
      <c r="O1357" s="81">
        <f t="shared" si="63"/>
        <v>0</v>
      </c>
      <c r="P1357" s="81">
        <f t="shared" si="64"/>
        <v>0</v>
      </c>
      <c r="Q1357" s="65"/>
      <c r="R1357" s="67"/>
      <c r="S1357" s="83">
        <f t="shared" si="65"/>
        <v>0</v>
      </c>
    </row>
    <row r="1358" spans="1:19" ht="18" customHeight="1" x14ac:dyDescent="0.25">
      <c r="A1358" s="68"/>
      <c r="B1358" s="69"/>
      <c r="C1358" s="74"/>
      <c r="D1358" s="69"/>
      <c r="E1358" s="68"/>
      <c r="F1358" s="71"/>
      <c r="G1358" s="72"/>
      <c r="H1358" s="73"/>
      <c r="I1358" s="74"/>
      <c r="J1358" s="74"/>
      <c r="K1358" s="74"/>
      <c r="L1358" s="74"/>
      <c r="M1358" s="74"/>
      <c r="N1358" s="74"/>
      <c r="O1358" s="82">
        <f t="shared" si="63"/>
        <v>0</v>
      </c>
      <c r="P1358" s="82">
        <f t="shared" si="64"/>
        <v>0</v>
      </c>
      <c r="Q1358" s="74"/>
      <c r="R1358" s="76"/>
      <c r="S1358" s="84">
        <f t="shared" si="65"/>
        <v>0</v>
      </c>
    </row>
    <row r="1359" spans="1:19" ht="18" customHeight="1" x14ac:dyDescent="0.25">
      <c r="A1359" s="59"/>
      <c r="B1359" s="60"/>
      <c r="C1359" s="65"/>
      <c r="D1359" s="60"/>
      <c r="E1359" s="59"/>
      <c r="F1359" s="62"/>
      <c r="G1359" s="63"/>
      <c r="H1359" s="64"/>
      <c r="I1359" s="65"/>
      <c r="J1359" s="65"/>
      <c r="K1359" s="65"/>
      <c r="L1359" s="65"/>
      <c r="M1359" s="65"/>
      <c r="N1359" s="65"/>
      <c r="O1359" s="81">
        <f t="shared" si="63"/>
        <v>0</v>
      </c>
      <c r="P1359" s="81">
        <f t="shared" si="64"/>
        <v>0</v>
      </c>
      <c r="Q1359" s="65"/>
      <c r="R1359" s="67"/>
      <c r="S1359" s="83">
        <f t="shared" si="65"/>
        <v>0</v>
      </c>
    </row>
    <row r="1360" spans="1:19" ht="18" customHeight="1" x14ac:dyDescent="0.25">
      <c r="A1360" s="68"/>
      <c r="B1360" s="69"/>
      <c r="C1360" s="74"/>
      <c r="D1360" s="69"/>
      <c r="E1360" s="68"/>
      <c r="F1360" s="71"/>
      <c r="G1360" s="72"/>
      <c r="H1360" s="73"/>
      <c r="I1360" s="74"/>
      <c r="J1360" s="74"/>
      <c r="K1360" s="74"/>
      <c r="L1360" s="74"/>
      <c r="M1360" s="74"/>
      <c r="N1360" s="74"/>
      <c r="O1360" s="82">
        <f t="shared" si="63"/>
        <v>0</v>
      </c>
      <c r="P1360" s="82">
        <f t="shared" si="64"/>
        <v>0</v>
      </c>
      <c r="Q1360" s="74"/>
      <c r="R1360" s="76"/>
      <c r="S1360" s="84">
        <f t="shared" si="65"/>
        <v>0</v>
      </c>
    </row>
    <row r="1361" spans="1:19" ht="18" customHeight="1" x14ac:dyDescent="0.25">
      <c r="A1361" s="59"/>
      <c r="B1361" s="60"/>
      <c r="C1361" s="65"/>
      <c r="D1361" s="60"/>
      <c r="E1361" s="59"/>
      <c r="F1361" s="62"/>
      <c r="G1361" s="63"/>
      <c r="H1361" s="64"/>
      <c r="I1361" s="65"/>
      <c r="J1361" s="65"/>
      <c r="K1361" s="65"/>
      <c r="L1361" s="65"/>
      <c r="M1361" s="65"/>
      <c r="N1361" s="65"/>
      <c r="O1361" s="81">
        <f t="shared" si="63"/>
        <v>0</v>
      </c>
      <c r="P1361" s="81">
        <f t="shared" si="64"/>
        <v>0</v>
      </c>
      <c r="Q1361" s="65"/>
      <c r="R1361" s="67"/>
      <c r="S1361" s="83">
        <f t="shared" si="65"/>
        <v>0</v>
      </c>
    </row>
    <row r="1362" spans="1:19" ht="18" customHeight="1" x14ac:dyDescent="0.25">
      <c r="A1362" s="68"/>
      <c r="B1362" s="69"/>
      <c r="C1362" s="74"/>
      <c r="D1362" s="69"/>
      <c r="E1362" s="68"/>
      <c r="F1362" s="71"/>
      <c r="G1362" s="72"/>
      <c r="H1362" s="73"/>
      <c r="I1362" s="74"/>
      <c r="J1362" s="74"/>
      <c r="K1362" s="74"/>
      <c r="L1362" s="74"/>
      <c r="M1362" s="74"/>
      <c r="N1362" s="74"/>
      <c r="O1362" s="82">
        <f t="shared" si="63"/>
        <v>0</v>
      </c>
      <c r="P1362" s="82">
        <f t="shared" si="64"/>
        <v>0</v>
      </c>
      <c r="Q1362" s="74"/>
      <c r="R1362" s="76"/>
      <c r="S1362" s="84">
        <f t="shared" si="65"/>
        <v>0</v>
      </c>
    </row>
    <row r="1363" spans="1:19" ht="18" customHeight="1" x14ac:dyDescent="0.25">
      <c r="A1363" s="59"/>
      <c r="B1363" s="60"/>
      <c r="C1363" s="65"/>
      <c r="D1363" s="60"/>
      <c r="E1363" s="59"/>
      <c r="F1363" s="62"/>
      <c r="G1363" s="63"/>
      <c r="H1363" s="64"/>
      <c r="I1363" s="65"/>
      <c r="J1363" s="65"/>
      <c r="K1363" s="65"/>
      <c r="L1363" s="65"/>
      <c r="M1363" s="65"/>
      <c r="N1363" s="65"/>
      <c r="O1363" s="81">
        <f t="shared" si="63"/>
        <v>0</v>
      </c>
      <c r="P1363" s="81">
        <f t="shared" si="64"/>
        <v>0</v>
      </c>
      <c r="Q1363" s="65"/>
      <c r="R1363" s="67"/>
      <c r="S1363" s="83">
        <f t="shared" si="65"/>
        <v>0</v>
      </c>
    </row>
    <row r="1364" spans="1:19" ht="18" customHeight="1" x14ac:dyDescent="0.25">
      <c r="A1364" s="68"/>
      <c r="B1364" s="69"/>
      <c r="C1364" s="74"/>
      <c r="D1364" s="69"/>
      <c r="E1364" s="68"/>
      <c r="F1364" s="71"/>
      <c r="G1364" s="72"/>
      <c r="H1364" s="73"/>
      <c r="I1364" s="74"/>
      <c r="J1364" s="74"/>
      <c r="K1364" s="74"/>
      <c r="L1364" s="74"/>
      <c r="M1364" s="74"/>
      <c r="N1364" s="74"/>
      <c r="O1364" s="82">
        <f t="shared" si="63"/>
        <v>0</v>
      </c>
      <c r="P1364" s="82">
        <f t="shared" si="64"/>
        <v>0</v>
      </c>
      <c r="Q1364" s="74"/>
      <c r="R1364" s="76"/>
      <c r="S1364" s="84">
        <f t="shared" si="65"/>
        <v>0</v>
      </c>
    </row>
    <row r="1365" spans="1:19" ht="18" customHeight="1" x14ac:dyDescent="0.25">
      <c r="A1365" s="59"/>
      <c r="B1365" s="60"/>
      <c r="C1365" s="65"/>
      <c r="D1365" s="60"/>
      <c r="E1365" s="59"/>
      <c r="F1365" s="62"/>
      <c r="G1365" s="63"/>
      <c r="H1365" s="64"/>
      <c r="I1365" s="65"/>
      <c r="J1365" s="65"/>
      <c r="K1365" s="65"/>
      <c r="L1365" s="65"/>
      <c r="M1365" s="65"/>
      <c r="N1365" s="65"/>
      <c r="O1365" s="81">
        <f t="shared" si="63"/>
        <v>0</v>
      </c>
      <c r="P1365" s="81">
        <f t="shared" si="64"/>
        <v>0</v>
      </c>
      <c r="Q1365" s="65"/>
      <c r="R1365" s="67"/>
      <c r="S1365" s="83">
        <f t="shared" si="65"/>
        <v>0</v>
      </c>
    </row>
    <row r="1366" spans="1:19" ht="18" customHeight="1" x14ac:dyDescent="0.25">
      <c r="A1366" s="68"/>
      <c r="B1366" s="69"/>
      <c r="C1366" s="74"/>
      <c r="D1366" s="69"/>
      <c r="E1366" s="68"/>
      <c r="F1366" s="71"/>
      <c r="G1366" s="72"/>
      <c r="H1366" s="73"/>
      <c r="I1366" s="74"/>
      <c r="J1366" s="74"/>
      <c r="K1366" s="74"/>
      <c r="L1366" s="74"/>
      <c r="M1366" s="74"/>
      <c r="N1366" s="74"/>
      <c r="O1366" s="82">
        <f t="shared" si="63"/>
        <v>0</v>
      </c>
      <c r="P1366" s="82">
        <f t="shared" si="64"/>
        <v>0</v>
      </c>
      <c r="Q1366" s="74"/>
      <c r="R1366" s="76"/>
      <c r="S1366" s="84">
        <f t="shared" si="65"/>
        <v>0</v>
      </c>
    </row>
    <row r="1367" spans="1:19" ht="18" customHeight="1" x14ac:dyDescent="0.25">
      <c r="A1367" s="59"/>
      <c r="B1367" s="60"/>
      <c r="C1367" s="65"/>
      <c r="D1367" s="60"/>
      <c r="E1367" s="59"/>
      <c r="F1367" s="62"/>
      <c r="G1367" s="63"/>
      <c r="H1367" s="64"/>
      <c r="I1367" s="65"/>
      <c r="J1367" s="65"/>
      <c r="K1367" s="65"/>
      <c r="L1367" s="65"/>
      <c r="M1367" s="65"/>
      <c r="N1367" s="65"/>
      <c r="O1367" s="81">
        <f t="shared" si="63"/>
        <v>0</v>
      </c>
      <c r="P1367" s="81">
        <f t="shared" si="64"/>
        <v>0</v>
      </c>
      <c r="Q1367" s="65"/>
      <c r="R1367" s="67"/>
      <c r="S1367" s="83">
        <f t="shared" si="65"/>
        <v>0</v>
      </c>
    </row>
    <row r="1368" spans="1:19" ht="18" customHeight="1" x14ac:dyDescent="0.25">
      <c r="A1368" s="68"/>
      <c r="B1368" s="69"/>
      <c r="C1368" s="74"/>
      <c r="D1368" s="69"/>
      <c r="E1368" s="68"/>
      <c r="F1368" s="71"/>
      <c r="G1368" s="72"/>
      <c r="H1368" s="73"/>
      <c r="I1368" s="74"/>
      <c r="J1368" s="74"/>
      <c r="K1368" s="74"/>
      <c r="L1368" s="74"/>
      <c r="M1368" s="74"/>
      <c r="N1368" s="74"/>
      <c r="O1368" s="82">
        <f t="shared" si="63"/>
        <v>0</v>
      </c>
      <c r="P1368" s="82">
        <f t="shared" si="64"/>
        <v>0</v>
      </c>
      <c r="Q1368" s="74"/>
      <c r="R1368" s="76"/>
      <c r="S1368" s="84">
        <f t="shared" si="65"/>
        <v>0</v>
      </c>
    </row>
    <row r="1369" spans="1:19" ht="18" customHeight="1" x14ac:dyDescent="0.25">
      <c r="A1369" s="59"/>
      <c r="B1369" s="60"/>
      <c r="C1369" s="65"/>
      <c r="D1369" s="60"/>
      <c r="E1369" s="59"/>
      <c r="F1369" s="62"/>
      <c r="G1369" s="63"/>
      <c r="H1369" s="64"/>
      <c r="I1369" s="65"/>
      <c r="J1369" s="65"/>
      <c r="K1369" s="65"/>
      <c r="L1369" s="65"/>
      <c r="M1369" s="65"/>
      <c r="N1369" s="65"/>
      <c r="O1369" s="81">
        <f t="shared" si="63"/>
        <v>0</v>
      </c>
      <c r="P1369" s="81">
        <f t="shared" si="64"/>
        <v>0</v>
      </c>
      <c r="Q1369" s="65"/>
      <c r="R1369" s="67"/>
      <c r="S1369" s="83">
        <f t="shared" si="65"/>
        <v>0</v>
      </c>
    </row>
    <row r="1370" spans="1:19" ht="18" customHeight="1" x14ac:dyDescent="0.25">
      <c r="A1370" s="68"/>
      <c r="B1370" s="69"/>
      <c r="C1370" s="74"/>
      <c r="D1370" s="69"/>
      <c r="E1370" s="68"/>
      <c r="F1370" s="71"/>
      <c r="G1370" s="72"/>
      <c r="H1370" s="73"/>
      <c r="I1370" s="74"/>
      <c r="J1370" s="74"/>
      <c r="K1370" s="74"/>
      <c r="L1370" s="74"/>
      <c r="M1370" s="74"/>
      <c r="N1370" s="74"/>
      <c r="O1370" s="82">
        <f t="shared" si="63"/>
        <v>0</v>
      </c>
      <c r="P1370" s="82">
        <f t="shared" si="64"/>
        <v>0</v>
      </c>
      <c r="Q1370" s="74"/>
      <c r="R1370" s="76"/>
      <c r="S1370" s="84">
        <f t="shared" si="65"/>
        <v>0</v>
      </c>
    </row>
    <row r="1371" spans="1:19" ht="18" customHeight="1" x14ac:dyDescent="0.25">
      <c r="A1371" s="59"/>
      <c r="B1371" s="60"/>
      <c r="C1371" s="65"/>
      <c r="D1371" s="60"/>
      <c r="E1371" s="59"/>
      <c r="F1371" s="62"/>
      <c r="G1371" s="63"/>
      <c r="H1371" s="64"/>
      <c r="I1371" s="65"/>
      <c r="J1371" s="65"/>
      <c r="K1371" s="65"/>
      <c r="L1371" s="65"/>
      <c r="M1371" s="65"/>
      <c r="N1371" s="65"/>
      <c r="O1371" s="81">
        <f t="shared" si="63"/>
        <v>0</v>
      </c>
      <c r="P1371" s="81">
        <f t="shared" si="64"/>
        <v>0</v>
      </c>
      <c r="Q1371" s="65"/>
      <c r="R1371" s="67"/>
      <c r="S1371" s="83">
        <f t="shared" si="65"/>
        <v>0</v>
      </c>
    </row>
    <row r="1372" spans="1:19" ht="18" customHeight="1" x14ac:dyDescent="0.25">
      <c r="A1372" s="68"/>
      <c r="B1372" s="69"/>
      <c r="C1372" s="74"/>
      <c r="D1372" s="69"/>
      <c r="E1372" s="68"/>
      <c r="F1372" s="71"/>
      <c r="G1372" s="72"/>
      <c r="H1372" s="73"/>
      <c r="I1372" s="74"/>
      <c r="J1372" s="74"/>
      <c r="K1372" s="74"/>
      <c r="L1372" s="74"/>
      <c r="M1372" s="74"/>
      <c r="N1372" s="74"/>
      <c r="O1372" s="82">
        <f t="shared" si="63"/>
        <v>0</v>
      </c>
      <c r="P1372" s="82">
        <f t="shared" si="64"/>
        <v>0</v>
      </c>
      <c r="Q1372" s="74"/>
      <c r="R1372" s="76"/>
      <c r="S1372" s="84">
        <f t="shared" si="65"/>
        <v>0</v>
      </c>
    </row>
    <row r="1373" spans="1:19" ht="18" customHeight="1" x14ac:dyDescent="0.25">
      <c r="A1373" s="59"/>
      <c r="B1373" s="60"/>
      <c r="C1373" s="65"/>
      <c r="D1373" s="60"/>
      <c r="E1373" s="59"/>
      <c r="F1373" s="62"/>
      <c r="G1373" s="63"/>
      <c r="H1373" s="64"/>
      <c r="I1373" s="65"/>
      <c r="J1373" s="65"/>
      <c r="K1373" s="65"/>
      <c r="L1373" s="65"/>
      <c r="M1373" s="65"/>
      <c r="N1373" s="65"/>
      <c r="O1373" s="81">
        <f t="shared" si="63"/>
        <v>0</v>
      </c>
      <c r="P1373" s="81">
        <f t="shared" si="64"/>
        <v>0</v>
      </c>
      <c r="Q1373" s="65"/>
      <c r="R1373" s="67"/>
      <c r="S1373" s="83">
        <f t="shared" si="65"/>
        <v>0</v>
      </c>
    </row>
    <row r="1374" spans="1:19" ht="18" customHeight="1" x14ac:dyDescent="0.25">
      <c r="A1374" s="68"/>
      <c r="B1374" s="69"/>
      <c r="C1374" s="74"/>
      <c r="D1374" s="69"/>
      <c r="E1374" s="68"/>
      <c r="F1374" s="71"/>
      <c r="G1374" s="72"/>
      <c r="H1374" s="73"/>
      <c r="I1374" s="74"/>
      <c r="J1374" s="74"/>
      <c r="K1374" s="74"/>
      <c r="L1374" s="74"/>
      <c r="M1374" s="74"/>
      <c r="N1374" s="74"/>
      <c r="O1374" s="82">
        <f t="shared" si="63"/>
        <v>0</v>
      </c>
      <c r="P1374" s="82">
        <f t="shared" si="64"/>
        <v>0</v>
      </c>
      <c r="Q1374" s="74"/>
      <c r="R1374" s="76"/>
      <c r="S1374" s="84">
        <f t="shared" si="65"/>
        <v>0</v>
      </c>
    </row>
    <row r="1375" spans="1:19" ht="18" customHeight="1" x14ac:dyDescent="0.25">
      <c r="A1375" s="59"/>
      <c r="B1375" s="60"/>
      <c r="C1375" s="65"/>
      <c r="D1375" s="60"/>
      <c r="E1375" s="59"/>
      <c r="F1375" s="62"/>
      <c r="G1375" s="63"/>
      <c r="H1375" s="64"/>
      <c r="I1375" s="65"/>
      <c r="J1375" s="65"/>
      <c r="K1375" s="65"/>
      <c r="L1375" s="65"/>
      <c r="M1375" s="65"/>
      <c r="N1375" s="65"/>
      <c r="O1375" s="81">
        <f t="shared" si="63"/>
        <v>0</v>
      </c>
      <c r="P1375" s="81">
        <f t="shared" si="64"/>
        <v>0</v>
      </c>
      <c r="Q1375" s="65"/>
      <c r="R1375" s="67"/>
      <c r="S1375" s="83">
        <f t="shared" si="65"/>
        <v>0</v>
      </c>
    </row>
    <row r="1376" spans="1:19" ht="18" customHeight="1" x14ac:dyDescent="0.25">
      <c r="A1376" s="68"/>
      <c r="B1376" s="69"/>
      <c r="C1376" s="74"/>
      <c r="D1376" s="69"/>
      <c r="E1376" s="68"/>
      <c r="F1376" s="71"/>
      <c r="G1376" s="72"/>
      <c r="H1376" s="73"/>
      <c r="I1376" s="74"/>
      <c r="J1376" s="74"/>
      <c r="K1376" s="74"/>
      <c r="L1376" s="74"/>
      <c r="M1376" s="74"/>
      <c r="N1376" s="74"/>
      <c r="O1376" s="82">
        <f t="shared" si="63"/>
        <v>0</v>
      </c>
      <c r="P1376" s="82">
        <f t="shared" si="64"/>
        <v>0</v>
      </c>
      <c r="Q1376" s="74"/>
      <c r="R1376" s="76"/>
      <c r="S1376" s="84">
        <f t="shared" si="65"/>
        <v>0</v>
      </c>
    </row>
    <row r="1377" spans="1:19" ht="18" customHeight="1" x14ac:dyDescent="0.25">
      <c r="A1377" s="59"/>
      <c r="B1377" s="60"/>
      <c r="C1377" s="65"/>
      <c r="D1377" s="60"/>
      <c r="E1377" s="59"/>
      <c r="F1377" s="62"/>
      <c r="G1377" s="63"/>
      <c r="H1377" s="64"/>
      <c r="I1377" s="65"/>
      <c r="J1377" s="65"/>
      <c r="K1377" s="65"/>
      <c r="L1377" s="65"/>
      <c r="M1377" s="65"/>
      <c r="N1377" s="65"/>
      <c r="O1377" s="81">
        <f t="shared" si="63"/>
        <v>0</v>
      </c>
      <c r="P1377" s="81">
        <f t="shared" si="64"/>
        <v>0</v>
      </c>
      <c r="Q1377" s="65"/>
      <c r="R1377" s="67"/>
      <c r="S1377" s="83">
        <f t="shared" si="65"/>
        <v>0</v>
      </c>
    </row>
    <row r="1378" spans="1:19" ht="18" customHeight="1" x14ac:dyDescent="0.25">
      <c r="A1378" s="68"/>
      <c r="B1378" s="69"/>
      <c r="C1378" s="74"/>
      <c r="D1378" s="69"/>
      <c r="E1378" s="68"/>
      <c r="F1378" s="71"/>
      <c r="G1378" s="72"/>
      <c r="H1378" s="73"/>
      <c r="I1378" s="74"/>
      <c r="J1378" s="74"/>
      <c r="K1378" s="74"/>
      <c r="L1378" s="74"/>
      <c r="M1378" s="74"/>
      <c r="N1378" s="74"/>
      <c r="O1378" s="82">
        <f t="shared" si="63"/>
        <v>0</v>
      </c>
      <c r="P1378" s="82">
        <f t="shared" si="64"/>
        <v>0</v>
      </c>
      <c r="Q1378" s="74"/>
      <c r="R1378" s="76"/>
      <c r="S1378" s="84">
        <f t="shared" si="65"/>
        <v>0</v>
      </c>
    </row>
    <row r="1379" spans="1:19" ht="18" customHeight="1" x14ac:dyDescent="0.25">
      <c r="A1379" s="59"/>
      <c r="B1379" s="60"/>
      <c r="C1379" s="65"/>
      <c r="D1379" s="60"/>
      <c r="E1379" s="59"/>
      <c r="F1379" s="62"/>
      <c r="G1379" s="63"/>
      <c r="H1379" s="64"/>
      <c r="I1379" s="65"/>
      <c r="J1379" s="65"/>
      <c r="K1379" s="65"/>
      <c r="L1379" s="65"/>
      <c r="M1379" s="65"/>
      <c r="N1379" s="65"/>
      <c r="O1379" s="81">
        <f t="shared" si="63"/>
        <v>0</v>
      </c>
      <c r="P1379" s="81">
        <f t="shared" si="64"/>
        <v>0</v>
      </c>
      <c r="Q1379" s="65"/>
      <c r="R1379" s="67"/>
      <c r="S1379" s="83">
        <f t="shared" si="65"/>
        <v>0</v>
      </c>
    </row>
    <row r="1380" spans="1:19" ht="18" customHeight="1" x14ac:dyDescent="0.25">
      <c r="A1380" s="68"/>
      <c r="B1380" s="69"/>
      <c r="C1380" s="74"/>
      <c r="D1380" s="69"/>
      <c r="E1380" s="68"/>
      <c r="F1380" s="71"/>
      <c r="G1380" s="72"/>
      <c r="H1380" s="73"/>
      <c r="I1380" s="74"/>
      <c r="J1380" s="74"/>
      <c r="K1380" s="74"/>
      <c r="L1380" s="74"/>
      <c r="M1380" s="74"/>
      <c r="N1380" s="74"/>
      <c r="O1380" s="82">
        <f t="shared" si="63"/>
        <v>0</v>
      </c>
      <c r="P1380" s="82">
        <f t="shared" si="64"/>
        <v>0</v>
      </c>
      <c r="Q1380" s="74"/>
      <c r="R1380" s="76"/>
      <c r="S1380" s="84">
        <f t="shared" si="65"/>
        <v>0</v>
      </c>
    </row>
    <row r="1381" spans="1:19" ht="18" customHeight="1" x14ac:dyDescent="0.25">
      <c r="A1381" s="59"/>
      <c r="B1381" s="60"/>
      <c r="C1381" s="65"/>
      <c r="D1381" s="60"/>
      <c r="E1381" s="59"/>
      <c r="F1381" s="62"/>
      <c r="G1381" s="63"/>
      <c r="H1381" s="64"/>
      <c r="I1381" s="65"/>
      <c r="J1381" s="65"/>
      <c r="K1381" s="65"/>
      <c r="L1381" s="65"/>
      <c r="M1381" s="65"/>
      <c r="N1381" s="65"/>
      <c r="O1381" s="81">
        <f t="shared" si="63"/>
        <v>0</v>
      </c>
      <c r="P1381" s="81">
        <f t="shared" si="64"/>
        <v>0</v>
      </c>
      <c r="Q1381" s="65"/>
      <c r="R1381" s="67"/>
      <c r="S1381" s="83">
        <f t="shared" si="65"/>
        <v>0</v>
      </c>
    </row>
    <row r="1382" spans="1:19" ht="18" customHeight="1" x14ac:dyDescent="0.25">
      <c r="A1382" s="68"/>
      <c r="B1382" s="69"/>
      <c r="C1382" s="74"/>
      <c r="D1382" s="69"/>
      <c r="E1382" s="68"/>
      <c r="F1382" s="71"/>
      <c r="G1382" s="72"/>
      <c r="H1382" s="73"/>
      <c r="I1382" s="74"/>
      <c r="J1382" s="74"/>
      <c r="K1382" s="74"/>
      <c r="L1382" s="74"/>
      <c r="M1382" s="74"/>
      <c r="N1382" s="74"/>
      <c r="O1382" s="82">
        <f t="shared" si="63"/>
        <v>0</v>
      </c>
      <c r="P1382" s="82">
        <f t="shared" si="64"/>
        <v>0</v>
      </c>
      <c r="Q1382" s="74"/>
      <c r="R1382" s="76"/>
      <c r="S1382" s="84">
        <f t="shared" si="65"/>
        <v>0</v>
      </c>
    </row>
    <row r="1383" spans="1:19" ht="18" customHeight="1" x14ac:dyDescent="0.25">
      <c r="A1383" s="59"/>
      <c r="B1383" s="60"/>
      <c r="C1383" s="65"/>
      <c r="D1383" s="60"/>
      <c r="E1383" s="59"/>
      <c r="F1383" s="62"/>
      <c r="G1383" s="63"/>
      <c r="H1383" s="64"/>
      <c r="I1383" s="65"/>
      <c r="J1383" s="65"/>
      <c r="K1383" s="65"/>
      <c r="L1383" s="65"/>
      <c r="M1383" s="65"/>
      <c r="N1383" s="65"/>
      <c r="O1383" s="81">
        <f t="shared" si="63"/>
        <v>0</v>
      </c>
      <c r="P1383" s="81">
        <f t="shared" si="64"/>
        <v>0</v>
      </c>
      <c r="Q1383" s="65"/>
      <c r="R1383" s="67"/>
      <c r="S1383" s="83">
        <f t="shared" si="65"/>
        <v>0</v>
      </c>
    </row>
    <row r="1384" spans="1:19" ht="18" customHeight="1" x14ac:dyDescent="0.25">
      <c r="A1384" s="68"/>
      <c r="B1384" s="69"/>
      <c r="C1384" s="74"/>
      <c r="D1384" s="69"/>
      <c r="E1384" s="68"/>
      <c r="F1384" s="71"/>
      <c r="G1384" s="72"/>
      <c r="H1384" s="73"/>
      <c r="I1384" s="74"/>
      <c r="J1384" s="74"/>
      <c r="K1384" s="74"/>
      <c r="L1384" s="74"/>
      <c r="M1384" s="74"/>
      <c r="N1384" s="74"/>
      <c r="O1384" s="82">
        <f t="shared" si="63"/>
        <v>0</v>
      </c>
      <c r="P1384" s="82">
        <f t="shared" si="64"/>
        <v>0</v>
      </c>
      <c r="Q1384" s="74"/>
      <c r="R1384" s="76"/>
      <c r="S1384" s="84">
        <f t="shared" si="65"/>
        <v>0</v>
      </c>
    </row>
    <row r="1385" spans="1:19" ht="18" customHeight="1" x14ac:dyDescent="0.25">
      <c r="A1385" s="59"/>
      <c r="B1385" s="60"/>
      <c r="C1385" s="65"/>
      <c r="D1385" s="60"/>
      <c r="E1385" s="59"/>
      <c r="F1385" s="62"/>
      <c r="G1385" s="63"/>
      <c r="H1385" s="64"/>
      <c r="I1385" s="65"/>
      <c r="J1385" s="65"/>
      <c r="K1385" s="65"/>
      <c r="L1385" s="65"/>
      <c r="M1385" s="65"/>
      <c r="N1385" s="65"/>
      <c r="O1385" s="81">
        <f t="shared" si="63"/>
        <v>0</v>
      </c>
      <c r="P1385" s="81">
        <f t="shared" si="64"/>
        <v>0</v>
      </c>
      <c r="Q1385" s="65"/>
      <c r="R1385" s="67"/>
      <c r="S1385" s="83">
        <f t="shared" si="65"/>
        <v>0</v>
      </c>
    </row>
    <row r="1386" spans="1:19" ht="18" customHeight="1" x14ac:dyDescent="0.25">
      <c r="A1386" s="68"/>
      <c r="B1386" s="69"/>
      <c r="C1386" s="74"/>
      <c r="D1386" s="69"/>
      <c r="E1386" s="68"/>
      <c r="F1386" s="71"/>
      <c r="G1386" s="72"/>
      <c r="H1386" s="73"/>
      <c r="I1386" s="74"/>
      <c r="J1386" s="74"/>
      <c r="K1386" s="74"/>
      <c r="L1386" s="74"/>
      <c r="M1386" s="74"/>
      <c r="N1386" s="74"/>
      <c r="O1386" s="82">
        <f t="shared" si="63"/>
        <v>0</v>
      </c>
      <c r="P1386" s="82">
        <f t="shared" si="64"/>
        <v>0</v>
      </c>
      <c r="Q1386" s="74"/>
      <c r="R1386" s="76"/>
      <c r="S1386" s="84">
        <f t="shared" si="65"/>
        <v>0</v>
      </c>
    </row>
    <row r="1387" spans="1:19" ht="18" customHeight="1" x14ac:dyDescent="0.25">
      <c r="A1387" s="59"/>
      <c r="B1387" s="60"/>
      <c r="C1387" s="65"/>
      <c r="D1387" s="60"/>
      <c r="E1387" s="59"/>
      <c r="F1387" s="62"/>
      <c r="G1387" s="63"/>
      <c r="H1387" s="64"/>
      <c r="I1387" s="65"/>
      <c r="J1387" s="65"/>
      <c r="K1387" s="65"/>
      <c r="L1387" s="65"/>
      <c r="M1387" s="65"/>
      <c r="N1387" s="65"/>
      <c r="O1387" s="81">
        <f t="shared" si="63"/>
        <v>0</v>
      </c>
      <c r="P1387" s="81">
        <f t="shared" si="64"/>
        <v>0</v>
      </c>
      <c r="Q1387" s="65"/>
      <c r="R1387" s="67"/>
      <c r="S1387" s="83">
        <f t="shared" si="65"/>
        <v>0</v>
      </c>
    </row>
    <row r="1388" spans="1:19" ht="18" customHeight="1" x14ac:dyDescent="0.25">
      <c r="A1388" s="68"/>
      <c r="B1388" s="69"/>
      <c r="C1388" s="74"/>
      <c r="D1388" s="69"/>
      <c r="E1388" s="68"/>
      <c r="F1388" s="71"/>
      <c r="G1388" s="72"/>
      <c r="H1388" s="73"/>
      <c r="I1388" s="74"/>
      <c r="J1388" s="74"/>
      <c r="K1388" s="74"/>
      <c r="L1388" s="74"/>
      <c r="M1388" s="74"/>
      <c r="N1388" s="74"/>
      <c r="O1388" s="82">
        <f t="shared" si="63"/>
        <v>0</v>
      </c>
      <c r="P1388" s="82">
        <f t="shared" si="64"/>
        <v>0</v>
      </c>
      <c r="Q1388" s="74"/>
      <c r="R1388" s="76"/>
      <c r="S1388" s="84">
        <f t="shared" si="65"/>
        <v>0</v>
      </c>
    </row>
    <row r="1389" spans="1:19" ht="18" customHeight="1" x14ac:dyDescent="0.25">
      <c r="A1389" s="59"/>
      <c r="B1389" s="60"/>
      <c r="C1389" s="65"/>
      <c r="D1389" s="60"/>
      <c r="E1389" s="59"/>
      <c r="F1389" s="62"/>
      <c r="G1389" s="63"/>
      <c r="H1389" s="64"/>
      <c r="I1389" s="65"/>
      <c r="J1389" s="65"/>
      <c r="K1389" s="65"/>
      <c r="L1389" s="65"/>
      <c r="M1389" s="65"/>
      <c r="N1389" s="65"/>
      <c r="O1389" s="81">
        <f t="shared" si="63"/>
        <v>0</v>
      </c>
      <c r="P1389" s="81">
        <f t="shared" si="64"/>
        <v>0</v>
      </c>
      <c r="Q1389" s="65"/>
      <c r="R1389" s="67"/>
      <c r="S1389" s="83">
        <f t="shared" si="65"/>
        <v>0</v>
      </c>
    </row>
    <row r="1390" spans="1:19" ht="18" customHeight="1" x14ac:dyDescent="0.25">
      <c r="A1390" s="68"/>
      <c r="B1390" s="69"/>
      <c r="C1390" s="74"/>
      <c r="D1390" s="69"/>
      <c r="E1390" s="68"/>
      <c r="F1390" s="71"/>
      <c r="G1390" s="72"/>
      <c r="H1390" s="73"/>
      <c r="I1390" s="74"/>
      <c r="J1390" s="74"/>
      <c r="K1390" s="74"/>
      <c r="L1390" s="74"/>
      <c r="M1390" s="74"/>
      <c r="N1390" s="74"/>
      <c r="O1390" s="82">
        <f t="shared" si="63"/>
        <v>0</v>
      </c>
      <c r="P1390" s="82">
        <f t="shared" si="64"/>
        <v>0</v>
      </c>
      <c r="Q1390" s="74"/>
      <c r="R1390" s="76"/>
      <c r="S1390" s="84">
        <f t="shared" si="65"/>
        <v>0</v>
      </c>
    </row>
    <row r="1391" spans="1:19" ht="18" customHeight="1" x14ac:dyDescent="0.25">
      <c r="A1391" s="59"/>
      <c r="B1391" s="60"/>
      <c r="C1391" s="65"/>
      <c r="D1391" s="60"/>
      <c r="E1391" s="59"/>
      <c r="F1391" s="62"/>
      <c r="G1391" s="63"/>
      <c r="H1391" s="64"/>
      <c r="I1391" s="65"/>
      <c r="J1391" s="65"/>
      <c r="K1391" s="65"/>
      <c r="L1391" s="65"/>
      <c r="M1391" s="65"/>
      <c r="N1391" s="65"/>
      <c r="O1391" s="81">
        <f t="shared" si="63"/>
        <v>0</v>
      </c>
      <c r="P1391" s="81">
        <f t="shared" si="64"/>
        <v>0</v>
      </c>
      <c r="Q1391" s="65"/>
      <c r="R1391" s="67"/>
      <c r="S1391" s="83">
        <f t="shared" si="65"/>
        <v>0</v>
      </c>
    </row>
    <row r="1392" spans="1:19" ht="18" customHeight="1" x14ac:dyDescent="0.25">
      <c r="A1392" s="68"/>
      <c r="B1392" s="69"/>
      <c r="C1392" s="74"/>
      <c r="D1392" s="69"/>
      <c r="E1392" s="68"/>
      <c r="F1392" s="71"/>
      <c r="G1392" s="72"/>
      <c r="H1392" s="73"/>
      <c r="I1392" s="74"/>
      <c r="J1392" s="74"/>
      <c r="K1392" s="74"/>
      <c r="L1392" s="74"/>
      <c r="M1392" s="74"/>
      <c r="N1392" s="74"/>
      <c r="O1392" s="82">
        <f t="shared" si="63"/>
        <v>0</v>
      </c>
      <c r="P1392" s="82">
        <f t="shared" si="64"/>
        <v>0</v>
      </c>
      <c r="Q1392" s="74"/>
      <c r="R1392" s="76"/>
      <c r="S1392" s="84">
        <f t="shared" si="65"/>
        <v>0</v>
      </c>
    </row>
    <row r="1393" spans="1:19" ht="18" customHeight="1" x14ac:dyDescent="0.25">
      <c r="A1393" s="59"/>
      <c r="B1393" s="60"/>
      <c r="C1393" s="65"/>
      <c r="D1393" s="60"/>
      <c r="E1393" s="59"/>
      <c r="F1393" s="62"/>
      <c r="G1393" s="63"/>
      <c r="H1393" s="64"/>
      <c r="I1393" s="65"/>
      <c r="J1393" s="65"/>
      <c r="K1393" s="65"/>
      <c r="L1393" s="65"/>
      <c r="M1393" s="65"/>
      <c r="N1393" s="65"/>
      <c r="O1393" s="81">
        <f t="shared" si="63"/>
        <v>0</v>
      </c>
      <c r="P1393" s="81">
        <f t="shared" si="64"/>
        <v>0</v>
      </c>
      <c r="Q1393" s="65"/>
      <c r="R1393" s="67"/>
      <c r="S1393" s="83">
        <f t="shared" si="65"/>
        <v>0</v>
      </c>
    </row>
    <row r="1394" spans="1:19" ht="18" customHeight="1" x14ac:dyDescent="0.25">
      <c r="A1394" s="68"/>
      <c r="B1394" s="69"/>
      <c r="C1394" s="74"/>
      <c r="D1394" s="69"/>
      <c r="E1394" s="68"/>
      <c r="F1394" s="71"/>
      <c r="G1394" s="72"/>
      <c r="H1394" s="73"/>
      <c r="I1394" s="74"/>
      <c r="J1394" s="74"/>
      <c r="K1394" s="74"/>
      <c r="L1394" s="74"/>
      <c r="M1394" s="74"/>
      <c r="N1394" s="74"/>
      <c r="O1394" s="82">
        <f t="shared" si="63"/>
        <v>0</v>
      </c>
      <c r="P1394" s="82">
        <f t="shared" si="64"/>
        <v>0</v>
      </c>
      <c r="Q1394" s="74"/>
      <c r="R1394" s="76"/>
      <c r="S1394" s="84">
        <f t="shared" si="65"/>
        <v>0</v>
      </c>
    </row>
    <row r="1395" spans="1:19" ht="18" customHeight="1" x14ac:dyDescent="0.25">
      <c r="A1395" s="59"/>
      <c r="B1395" s="60"/>
      <c r="C1395" s="65"/>
      <c r="D1395" s="60"/>
      <c r="E1395" s="59"/>
      <c r="F1395" s="62"/>
      <c r="G1395" s="63"/>
      <c r="H1395" s="64"/>
      <c r="I1395" s="65"/>
      <c r="J1395" s="65"/>
      <c r="K1395" s="65"/>
      <c r="L1395" s="65"/>
      <c r="M1395" s="65"/>
      <c r="N1395" s="65"/>
      <c r="O1395" s="81">
        <f t="shared" si="63"/>
        <v>0</v>
      </c>
      <c r="P1395" s="81">
        <f t="shared" si="64"/>
        <v>0</v>
      </c>
      <c r="Q1395" s="65"/>
      <c r="R1395" s="67"/>
      <c r="S1395" s="83">
        <f t="shared" si="65"/>
        <v>0</v>
      </c>
    </row>
    <row r="1396" spans="1:19" ht="18" customHeight="1" x14ac:dyDescent="0.25">
      <c r="A1396" s="68"/>
      <c r="B1396" s="69"/>
      <c r="C1396" s="74"/>
      <c r="D1396" s="69"/>
      <c r="E1396" s="68"/>
      <c r="F1396" s="71"/>
      <c r="G1396" s="72"/>
      <c r="H1396" s="73"/>
      <c r="I1396" s="74"/>
      <c r="J1396" s="74"/>
      <c r="K1396" s="74"/>
      <c r="L1396" s="74"/>
      <c r="M1396" s="74"/>
      <c r="N1396" s="74"/>
      <c r="O1396" s="82">
        <f t="shared" si="63"/>
        <v>0</v>
      </c>
      <c r="P1396" s="82">
        <f t="shared" si="64"/>
        <v>0</v>
      </c>
      <c r="Q1396" s="74"/>
      <c r="R1396" s="76"/>
      <c r="S1396" s="84">
        <f t="shared" si="65"/>
        <v>0</v>
      </c>
    </row>
    <row r="1397" spans="1:19" ht="18" customHeight="1" x14ac:dyDescent="0.25">
      <c r="A1397" s="59"/>
      <c r="B1397" s="60"/>
      <c r="C1397" s="65"/>
      <c r="D1397" s="60"/>
      <c r="E1397" s="59"/>
      <c r="F1397" s="62"/>
      <c r="G1397" s="63"/>
      <c r="H1397" s="64"/>
      <c r="I1397" s="65"/>
      <c r="J1397" s="65"/>
      <c r="K1397" s="65"/>
      <c r="L1397" s="65"/>
      <c r="M1397" s="65"/>
      <c r="N1397" s="65"/>
      <c r="O1397" s="81">
        <f t="shared" si="63"/>
        <v>0</v>
      </c>
      <c r="P1397" s="81">
        <f t="shared" si="64"/>
        <v>0</v>
      </c>
      <c r="Q1397" s="65"/>
      <c r="R1397" s="67"/>
      <c r="S1397" s="83">
        <f t="shared" si="65"/>
        <v>0</v>
      </c>
    </row>
    <row r="1398" spans="1:19" ht="18" customHeight="1" x14ac:dyDescent="0.25">
      <c r="A1398" s="68"/>
      <c r="B1398" s="69"/>
      <c r="C1398" s="74"/>
      <c r="D1398" s="69"/>
      <c r="E1398" s="68"/>
      <c r="F1398" s="71"/>
      <c r="G1398" s="72"/>
      <c r="H1398" s="73"/>
      <c r="I1398" s="74"/>
      <c r="J1398" s="74"/>
      <c r="K1398" s="74"/>
      <c r="L1398" s="74"/>
      <c r="M1398" s="74"/>
      <c r="N1398" s="74"/>
      <c r="O1398" s="82">
        <f t="shared" si="63"/>
        <v>0</v>
      </c>
      <c r="P1398" s="82">
        <f t="shared" si="64"/>
        <v>0</v>
      </c>
      <c r="Q1398" s="74"/>
      <c r="R1398" s="76"/>
      <c r="S1398" s="84">
        <f t="shared" si="65"/>
        <v>0</v>
      </c>
    </row>
    <row r="1399" spans="1:19" ht="18" customHeight="1" x14ac:dyDescent="0.25">
      <c r="A1399" s="59"/>
      <c r="B1399" s="60"/>
      <c r="C1399" s="65"/>
      <c r="D1399" s="60"/>
      <c r="E1399" s="59"/>
      <c r="F1399" s="62"/>
      <c r="G1399" s="63"/>
      <c r="H1399" s="64"/>
      <c r="I1399" s="65"/>
      <c r="J1399" s="65"/>
      <c r="K1399" s="65"/>
      <c r="L1399" s="65"/>
      <c r="M1399" s="65"/>
      <c r="N1399" s="65"/>
      <c r="O1399" s="81">
        <f t="shared" si="63"/>
        <v>0</v>
      </c>
      <c r="P1399" s="81">
        <f t="shared" si="64"/>
        <v>0</v>
      </c>
      <c r="Q1399" s="65"/>
      <c r="R1399" s="67"/>
      <c r="S1399" s="83">
        <f t="shared" si="65"/>
        <v>0</v>
      </c>
    </row>
    <row r="1400" spans="1:19" ht="18" customHeight="1" x14ac:dyDescent="0.25">
      <c r="A1400" s="68"/>
      <c r="B1400" s="69"/>
      <c r="C1400" s="74"/>
      <c r="D1400" s="69"/>
      <c r="E1400" s="68"/>
      <c r="F1400" s="71"/>
      <c r="G1400" s="72"/>
      <c r="H1400" s="73"/>
      <c r="I1400" s="74"/>
      <c r="J1400" s="74"/>
      <c r="K1400" s="74"/>
      <c r="L1400" s="74"/>
      <c r="M1400" s="74"/>
      <c r="N1400" s="74"/>
      <c r="O1400" s="82">
        <f t="shared" si="63"/>
        <v>0</v>
      </c>
      <c r="P1400" s="82">
        <f t="shared" si="64"/>
        <v>0</v>
      </c>
      <c r="Q1400" s="74"/>
      <c r="R1400" s="76"/>
      <c r="S1400" s="84">
        <f t="shared" si="65"/>
        <v>0</v>
      </c>
    </row>
    <row r="1401" spans="1:19" ht="18" customHeight="1" x14ac:dyDescent="0.25">
      <c r="A1401" s="59"/>
      <c r="B1401" s="60"/>
      <c r="C1401" s="65"/>
      <c r="D1401" s="60"/>
      <c r="E1401" s="59"/>
      <c r="F1401" s="62"/>
      <c r="G1401" s="63"/>
      <c r="H1401" s="64"/>
      <c r="I1401" s="65"/>
      <c r="J1401" s="65"/>
      <c r="K1401" s="65"/>
      <c r="L1401" s="65"/>
      <c r="M1401" s="65"/>
      <c r="N1401" s="65"/>
      <c r="O1401" s="81">
        <f t="shared" si="63"/>
        <v>0</v>
      </c>
      <c r="P1401" s="81">
        <f t="shared" si="64"/>
        <v>0</v>
      </c>
      <c r="Q1401" s="65"/>
      <c r="R1401" s="67"/>
      <c r="S1401" s="83">
        <f t="shared" si="65"/>
        <v>0</v>
      </c>
    </row>
    <row r="1402" spans="1:19" ht="18" customHeight="1" x14ac:dyDescent="0.25">
      <c r="A1402" s="68"/>
      <c r="B1402" s="69"/>
      <c r="C1402" s="74"/>
      <c r="D1402" s="69"/>
      <c r="E1402" s="68"/>
      <c r="F1402" s="71"/>
      <c r="G1402" s="72"/>
      <c r="H1402" s="73"/>
      <c r="I1402" s="74"/>
      <c r="J1402" s="74"/>
      <c r="K1402" s="74"/>
      <c r="L1402" s="74"/>
      <c r="M1402" s="74"/>
      <c r="N1402" s="74"/>
      <c r="O1402" s="82">
        <f t="shared" si="63"/>
        <v>0</v>
      </c>
      <c r="P1402" s="82">
        <f t="shared" si="64"/>
        <v>0</v>
      </c>
      <c r="Q1402" s="74"/>
      <c r="R1402" s="76"/>
      <c r="S1402" s="84">
        <f t="shared" si="65"/>
        <v>0</v>
      </c>
    </row>
    <row r="1403" spans="1:19" ht="18" customHeight="1" x14ac:dyDescent="0.25">
      <c r="A1403" s="59"/>
      <c r="B1403" s="60"/>
      <c r="C1403" s="65"/>
      <c r="D1403" s="60"/>
      <c r="E1403" s="59"/>
      <c r="F1403" s="62"/>
      <c r="G1403" s="63"/>
      <c r="H1403" s="64"/>
      <c r="I1403" s="65"/>
      <c r="J1403" s="65"/>
      <c r="K1403" s="65"/>
      <c r="L1403" s="65"/>
      <c r="M1403" s="65"/>
      <c r="N1403" s="65"/>
      <c r="O1403" s="81">
        <f t="shared" si="63"/>
        <v>0</v>
      </c>
      <c r="P1403" s="81">
        <f t="shared" si="64"/>
        <v>0</v>
      </c>
      <c r="Q1403" s="65"/>
      <c r="R1403" s="67"/>
      <c r="S1403" s="83">
        <f t="shared" si="65"/>
        <v>0</v>
      </c>
    </row>
    <row r="1404" spans="1:19" ht="18" customHeight="1" x14ac:dyDescent="0.25">
      <c r="A1404" s="68"/>
      <c r="B1404" s="69"/>
      <c r="C1404" s="74"/>
      <c r="D1404" s="69"/>
      <c r="E1404" s="68"/>
      <c r="F1404" s="71"/>
      <c r="G1404" s="72"/>
      <c r="H1404" s="73"/>
      <c r="I1404" s="74"/>
      <c r="J1404" s="74"/>
      <c r="K1404" s="74"/>
      <c r="L1404" s="74"/>
      <c r="M1404" s="74"/>
      <c r="N1404" s="74"/>
      <c r="O1404" s="82">
        <f t="shared" si="63"/>
        <v>0</v>
      </c>
      <c r="P1404" s="82">
        <f t="shared" si="64"/>
        <v>0</v>
      </c>
      <c r="Q1404" s="74"/>
      <c r="R1404" s="76"/>
      <c r="S1404" s="84">
        <f t="shared" si="65"/>
        <v>0</v>
      </c>
    </row>
    <row r="1405" spans="1:19" ht="18" customHeight="1" x14ac:dyDescent="0.25">
      <c r="A1405" s="59"/>
      <c r="B1405" s="60"/>
      <c r="C1405" s="65"/>
      <c r="D1405" s="60"/>
      <c r="E1405" s="59"/>
      <c r="F1405" s="62"/>
      <c r="G1405" s="63"/>
      <c r="H1405" s="64"/>
      <c r="I1405" s="65"/>
      <c r="J1405" s="65"/>
      <c r="K1405" s="65"/>
      <c r="L1405" s="65"/>
      <c r="M1405" s="65"/>
      <c r="N1405" s="65"/>
      <c r="O1405" s="81">
        <f t="shared" si="63"/>
        <v>0</v>
      </c>
      <c r="P1405" s="81">
        <f t="shared" si="64"/>
        <v>0</v>
      </c>
      <c r="Q1405" s="65"/>
      <c r="R1405" s="67"/>
      <c r="S1405" s="83">
        <f t="shared" si="65"/>
        <v>0</v>
      </c>
    </row>
    <row r="1406" spans="1:19" ht="18" customHeight="1" x14ac:dyDescent="0.25">
      <c r="A1406" s="68"/>
      <c r="B1406" s="69"/>
      <c r="C1406" s="74"/>
      <c r="D1406" s="69"/>
      <c r="E1406" s="68"/>
      <c r="F1406" s="71"/>
      <c r="G1406" s="72"/>
      <c r="H1406" s="73"/>
      <c r="I1406" s="74"/>
      <c r="J1406" s="74"/>
      <c r="K1406" s="74"/>
      <c r="L1406" s="74"/>
      <c r="M1406" s="74"/>
      <c r="N1406" s="74"/>
      <c r="O1406" s="82">
        <f t="shared" si="63"/>
        <v>0</v>
      </c>
      <c r="P1406" s="82">
        <f t="shared" si="64"/>
        <v>0</v>
      </c>
      <c r="Q1406" s="74"/>
      <c r="R1406" s="76"/>
      <c r="S1406" s="84">
        <f t="shared" si="65"/>
        <v>0</v>
      </c>
    </row>
    <row r="1407" spans="1:19" ht="18" customHeight="1" x14ac:dyDescent="0.25">
      <c r="A1407" s="59"/>
      <c r="B1407" s="60"/>
      <c r="C1407" s="65"/>
      <c r="D1407" s="60"/>
      <c r="E1407" s="59"/>
      <c r="F1407" s="62"/>
      <c r="G1407" s="63"/>
      <c r="H1407" s="64"/>
      <c r="I1407" s="65"/>
      <c r="J1407" s="65"/>
      <c r="K1407" s="65"/>
      <c r="L1407" s="65"/>
      <c r="M1407" s="65"/>
      <c r="N1407" s="65"/>
      <c r="O1407" s="81">
        <f t="shared" si="63"/>
        <v>0</v>
      </c>
      <c r="P1407" s="81">
        <f t="shared" si="64"/>
        <v>0</v>
      </c>
      <c r="Q1407" s="65"/>
      <c r="R1407" s="67"/>
      <c r="S1407" s="83">
        <f t="shared" si="65"/>
        <v>0</v>
      </c>
    </row>
    <row r="1408" spans="1:19" ht="18" customHeight="1" x14ac:dyDescent="0.25">
      <c r="A1408" s="68"/>
      <c r="B1408" s="69"/>
      <c r="C1408" s="74"/>
      <c r="D1408" s="69"/>
      <c r="E1408" s="68"/>
      <c r="F1408" s="71"/>
      <c r="G1408" s="72"/>
      <c r="H1408" s="73"/>
      <c r="I1408" s="74"/>
      <c r="J1408" s="74"/>
      <c r="K1408" s="74"/>
      <c r="L1408" s="74"/>
      <c r="M1408" s="74"/>
      <c r="N1408" s="74"/>
      <c r="O1408" s="82">
        <f t="shared" si="63"/>
        <v>0</v>
      </c>
      <c r="P1408" s="82">
        <f t="shared" si="64"/>
        <v>0</v>
      </c>
      <c r="Q1408" s="74"/>
      <c r="R1408" s="76"/>
      <c r="S1408" s="84">
        <f t="shared" si="65"/>
        <v>0</v>
      </c>
    </row>
    <row r="1409" spans="1:19" ht="18" customHeight="1" x14ac:dyDescent="0.25">
      <c r="A1409" s="59"/>
      <c r="B1409" s="60"/>
      <c r="C1409" s="65"/>
      <c r="D1409" s="60"/>
      <c r="E1409" s="59"/>
      <c r="F1409" s="62"/>
      <c r="G1409" s="63"/>
      <c r="H1409" s="64"/>
      <c r="I1409" s="65"/>
      <c r="J1409" s="65"/>
      <c r="K1409" s="65"/>
      <c r="L1409" s="65"/>
      <c r="M1409" s="65"/>
      <c r="N1409" s="65"/>
      <c r="O1409" s="81">
        <f t="shared" si="63"/>
        <v>0</v>
      </c>
      <c r="P1409" s="81">
        <f t="shared" si="64"/>
        <v>0</v>
      </c>
      <c r="Q1409" s="65"/>
      <c r="R1409" s="67"/>
      <c r="S1409" s="83">
        <f t="shared" si="65"/>
        <v>0</v>
      </c>
    </row>
    <row r="1410" spans="1:19" ht="18" customHeight="1" x14ac:dyDescent="0.25">
      <c r="A1410" s="68"/>
      <c r="B1410" s="69"/>
      <c r="C1410" s="74"/>
      <c r="D1410" s="69"/>
      <c r="E1410" s="68"/>
      <c r="F1410" s="71"/>
      <c r="G1410" s="72"/>
      <c r="H1410" s="73"/>
      <c r="I1410" s="74"/>
      <c r="J1410" s="74"/>
      <c r="K1410" s="74"/>
      <c r="L1410" s="74"/>
      <c r="M1410" s="74"/>
      <c r="N1410" s="74"/>
      <c r="O1410" s="82">
        <f t="shared" si="63"/>
        <v>0</v>
      </c>
      <c r="P1410" s="82">
        <f t="shared" si="64"/>
        <v>0</v>
      </c>
      <c r="Q1410" s="74"/>
      <c r="R1410" s="76"/>
      <c r="S1410" s="84">
        <f t="shared" si="65"/>
        <v>0</v>
      </c>
    </row>
    <row r="1411" spans="1:19" ht="18" customHeight="1" x14ac:dyDescent="0.25">
      <c r="A1411" s="59"/>
      <c r="B1411" s="60"/>
      <c r="C1411" s="65"/>
      <c r="D1411" s="60"/>
      <c r="E1411" s="59"/>
      <c r="F1411" s="62"/>
      <c r="G1411" s="63"/>
      <c r="H1411" s="64"/>
      <c r="I1411" s="65"/>
      <c r="J1411" s="65"/>
      <c r="K1411" s="65"/>
      <c r="L1411" s="65"/>
      <c r="M1411" s="65"/>
      <c r="N1411" s="65"/>
      <c r="O1411" s="81">
        <f t="shared" si="63"/>
        <v>0</v>
      </c>
      <c r="P1411" s="81">
        <f t="shared" si="64"/>
        <v>0</v>
      </c>
      <c r="Q1411" s="65"/>
      <c r="R1411" s="67"/>
      <c r="S1411" s="83">
        <f t="shared" si="65"/>
        <v>0</v>
      </c>
    </row>
    <row r="1412" spans="1:19" ht="18" customHeight="1" x14ac:dyDescent="0.25">
      <c r="A1412" s="68"/>
      <c r="B1412" s="69"/>
      <c r="C1412" s="74"/>
      <c r="D1412" s="69"/>
      <c r="E1412" s="68"/>
      <c r="F1412" s="71"/>
      <c r="G1412" s="72"/>
      <c r="H1412" s="73"/>
      <c r="I1412" s="74"/>
      <c r="J1412" s="74"/>
      <c r="K1412" s="74"/>
      <c r="L1412" s="74"/>
      <c r="M1412" s="74"/>
      <c r="N1412" s="74"/>
      <c r="O1412" s="82">
        <f t="shared" si="63"/>
        <v>0</v>
      </c>
      <c r="P1412" s="82">
        <f t="shared" si="64"/>
        <v>0</v>
      </c>
      <c r="Q1412" s="74"/>
      <c r="R1412" s="76"/>
      <c r="S1412" s="84">
        <f t="shared" si="65"/>
        <v>0</v>
      </c>
    </row>
    <row r="1413" spans="1:19" ht="18" customHeight="1" x14ac:dyDescent="0.25">
      <c r="A1413" s="59"/>
      <c r="B1413" s="60"/>
      <c r="C1413" s="65"/>
      <c r="D1413" s="60"/>
      <c r="E1413" s="59"/>
      <c r="F1413" s="62"/>
      <c r="G1413" s="63"/>
      <c r="H1413" s="64"/>
      <c r="I1413" s="65"/>
      <c r="J1413" s="65"/>
      <c r="K1413" s="65"/>
      <c r="L1413" s="65"/>
      <c r="M1413" s="65"/>
      <c r="N1413" s="65"/>
      <c r="O1413" s="81">
        <f t="shared" si="63"/>
        <v>0</v>
      </c>
      <c r="P1413" s="81">
        <f t="shared" si="64"/>
        <v>0</v>
      </c>
      <c r="Q1413" s="65"/>
      <c r="R1413" s="67"/>
      <c r="S1413" s="83">
        <f t="shared" si="65"/>
        <v>0</v>
      </c>
    </row>
    <row r="1414" spans="1:19" ht="18" customHeight="1" x14ac:dyDescent="0.25">
      <c r="A1414" s="68"/>
      <c r="B1414" s="69"/>
      <c r="C1414" s="74"/>
      <c r="D1414" s="69"/>
      <c r="E1414" s="68"/>
      <c r="F1414" s="71"/>
      <c r="G1414" s="72"/>
      <c r="H1414" s="73"/>
      <c r="I1414" s="74"/>
      <c r="J1414" s="74"/>
      <c r="K1414" s="74"/>
      <c r="L1414" s="74"/>
      <c r="M1414" s="74"/>
      <c r="N1414" s="74"/>
      <c r="O1414" s="82" t="e">
        <f>#N/A</f>
        <v>#N/A</v>
      </c>
      <c r="P1414" s="82" t="e">
        <f>#N/A</f>
        <v>#N/A</v>
      </c>
      <c r="Q1414" s="74"/>
      <c r="R1414" s="76"/>
      <c r="S1414" s="84">
        <f t="shared" si="65"/>
        <v>0</v>
      </c>
    </row>
    <row r="1415" spans="1:19" ht="18" customHeight="1" x14ac:dyDescent="0.25">
      <c r="A1415" s="59"/>
      <c r="B1415" s="60"/>
      <c r="C1415" s="65"/>
      <c r="D1415" s="60"/>
      <c r="E1415" s="59"/>
      <c r="F1415" s="62"/>
      <c r="G1415" s="63"/>
      <c r="H1415" s="64"/>
      <c r="I1415" s="65"/>
      <c r="J1415" s="65"/>
      <c r="K1415" s="65"/>
      <c r="L1415" s="65"/>
      <c r="M1415" s="65"/>
      <c r="N1415" s="65"/>
      <c r="O1415" s="81">
        <f t="shared" ref="O1415:O1477" si="66">IF(G1415="Reimbursement ","",I1415+J1415+K1415+L1415+M1415)</f>
        <v>0</v>
      </c>
      <c r="P1415" s="81">
        <f t="shared" ref="P1415:P1477" si="67">IF(G1415="Reimbursement ","",H1415-O1415)</f>
        <v>0</v>
      </c>
      <c r="Q1415" s="65"/>
      <c r="R1415" s="67"/>
      <c r="S1415" s="83">
        <f t="shared" ref="S1415:S1478" si="68">IF(OR(R1415="",Q1415=""),0,IF(R1415&gt;Q1415,R1415-Q1415,0))</f>
        <v>0</v>
      </c>
    </row>
    <row r="1416" spans="1:19" ht="18" customHeight="1" x14ac:dyDescent="0.25">
      <c r="A1416" s="68"/>
      <c r="B1416" s="69"/>
      <c r="C1416" s="74"/>
      <c r="D1416" s="69"/>
      <c r="E1416" s="68"/>
      <c r="F1416" s="71"/>
      <c r="G1416" s="72"/>
      <c r="H1416" s="73"/>
      <c r="I1416" s="74"/>
      <c r="J1416" s="74"/>
      <c r="K1416" s="74"/>
      <c r="L1416" s="74"/>
      <c r="M1416" s="74"/>
      <c r="N1416" s="74"/>
      <c r="O1416" s="82">
        <f t="shared" si="66"/>
        <v>0</v>
      </c>
      <c r="P1416" s="82">
        <f t="shared" si="67"/>
        <v>0</v>
      </c>
      <c r="Q1416" s="74"/>
      <c r="R1416" s="76"/>
      <c r="S1416" s="84">
        <f t="shared" si="68"/>
        <v>0</v>
      </c>
    </row>
    <row r="1417" spans="1:19" ht="18" customHeight="1" x14ac:dyDescent="0.25">
      <c r="A1417" s="59"/>
      <c r="B1417" s="60"/>
      <c r="C1417" s="65"/>
      <c r="D1417" s="60"/>
      <c r="E1417" s="59"/>
      <c r="F1417" s="62"/>
      <c r="G1417" s="63"/>
      <c r="H1417" s="64"/>
      <c r="I1417" s="65"/>
      <c r="J1417" s="65"/>
      <c r="K1417" s="65"/>
      <c r="L1417" s="65"/>
      <c r="M1417" s="65"/>
      <c r="N1417" s="65"/>
      <c r="O1417" s="81">
        <f t="shared" si="66"/>
        <v>0</v>
      </c>
      <c r="P1417" s="81">
        <f t="shared" si="67"/>
        <v>0</v>
      </c>
      <c r="Q1417" s="65"/>
      <c r="R1417" s="67"/>
      <c r="S1417" s="83">
        <f t="shared" si="68"/>
        <v>0</v>
      </c>
    </row>
    <row r="1418" spans="1:19" ht="18" customHeight="1" x14ac:dyDescent="0.25">
      <c r="A1418" s="68"/>
      <c r="B1418" s="69"/>
      <c r="C1418" s="74"/>
      <c r="D1418" s="69"/>
      <c r="E1418" s="68"/>
      <c r="F1418" s="71"/>
      <c r="G1418" s="72"/>
      <c r="H1418" s="73"/>
      <c r="I1418" s="74"/>
      <c r="J1418" s="74"/>
      <c r="K1418" s="74"/>
      <c r="L1418" s="74"/>
      <c r="M1418" s="74"/>
      <c r="N1418" s="74"/>
      <c r="O1418" s="82">
        <f t="shared" si="66"/>
        <v>0</v>
      </c>
      <c r="P1418" s="82">
        <f t="shared" si="67"/>
        <v>0</v>
      </c>
      <c r="Q1418" s="74"/>
      <c r="R1418" s="76"/>
      <c r="S1418" s="84">
        <f t="shared" si="68"/>
        <v>0</v>
      </c>
    </row>
    <row r="1419" spans="1:19" ht="18" customHeight="1" x14ac:dyDescent="0.25">
      <c r="A1419" s="59"/>
      <c r="B1419" s="60"/>
      <c r="C1419" s="65"/>
      <c r="D1419" s="60"/>
      <c r="E1419" s="59"/>
      <c r="F1419" s="62"/>
      <c r="G1419" s="63"/>
      <c r="H1419" s="64"/>
      <c r="I1419" s="65"/>
      <c r="J1419" s="65"/>
      <c r="K1419" s="65"/>
      <c r="L1419" s="65"/>
      <c r="M1419" s="65"/>
      <c r="N1419" s="65"/>
      <c r="O1419" s="81">
        <f t="shared" si="66"/>
        <v>0</v>
      </c>
      <c r="P1419" s="81">
        <f t="shared" si="67"/>
        <v>0</v>
      </c>
      <c r="Q1419" s="65"/>
      <c r="R1419" s="67"/>
      <c r="S1419" s="83">
        <f t="shared" si="68"/>
        <v>0</v>
      </c>
    </row>
    <row r="1420" spans="1:19" ht="18" customHeight="1" x14ac:dyDescent="0.25">
      <c r="A1420" s="68"/>
      <c r="B1420" s="69"/>
      <c r="C1420" s="74"/>
      <c r="D1420" s="69"/>
      <c r="E1420" s="68"/>
      <c r="F1420" s="71"/>
      <c r="G1420" s="72"/>
      <c r="H1420" s="73"/>
      <c r="I1420" s="74"/>
      <c r="J1420" s="74"/>
      <c r="K1420" s="74"/>
      <c r="L1420" s="74"/>
      <c r="M1420" s="74"/>
      <c r="N1420" s="74"/>
      <c r="O1420" s="82">
        <f t="shared" si="66"/>
        <v>0</v>
      </c>
      <c r="P1420" s="82">
        <f t="shared" si="67"/>
        <v>0</v>
      </c>
      <c r="Q1420" s="74"/>
      <c r="R1420" s="76"/>
      <c r="S1420" s="84">
        <f t="shared" si="68"/>
        <v>0</v>
      </c>
    </row>
    <row r="1421" spans="1:19" ht="18" customHeight="1" x14ac:dyDescent="0.25">
      <c r="A1421" s="59"/>
      <c r="B1421" s="60"/>
      <c r="C1421" s="65"/>
      <c r="D1421" s="60"/>
      <c r="E1421" s="59"/>
      <c r="F1421" s="62"/>
      <c r="G1421" s="63"/>
      <c r="H1421" s="64"/>
      <c r="I1421" s="65"/>
      <c r="J1421" s="65"/>
      <c r="K1421" s="65"/>
      <c r="L1421" s="65"/>
      <c r="M1421" s="65"/>
      <c r="N1421" s="65"/>
      <c r="O1421" s="81">
        <f t="shared" si="66"/>
        <v>0</v>
      </c>
      <c r="P1421" s="81">
        <f t="shared" si="67"/>
        <v>0</v>
      </c>
      <c r="Q1421" s="65"/>
      <c r="R1421" s="67"/>
      <c r="S1421" s="83">
        <f t="shared" si="68"/>
        <v>0</v>
      </c>
    </row>
    <row r="1422" spans="1:19" ht="18" customHeight="1" x14ac:dyDescent="0.25">
      <c r="A1422" s="68"/>
      <c r="B1422" s="69"/>
      <c r="C1422" s="74"/>
      <c r="D1422" s="69"/>
      <c r="E1422" s="68"/>
      <c r="F1422" s="71"/>
      <c r="G1422" s="72"/>
      <c r="H1422" s="73"/>
      <c r="I1422" s="74"/>
      <c r="J1422" s="74"/>
      <c r="K1422" s="74"/>
      <c r="L1422" s="74"/>
      <c r="M1422" s="74"/>
      <c r="N1422" s="74"/>
      <c r="O1422" s="82">
        <f t="shared" si="66"/>
        <v>0</v>
      </c>
      <c r="P1422" s="82">
        <f t="shared" si="67"/>
        <v>0</v>
      </c>
      <c r="Q1422" s="74"/>
      <c r="R1422" s="76"/>
      <c r="S1422" s="84">
        <f t="shared" si="68"/>
        <v>0</v>
      </c>
    </row>
    <row r="1423" spans="1:19" ht="18" customHeight="1" x14ac:dyDescent="0.25">
      <c r="A1423" s="59"/>
      <c r="B1423" s="60"/>
      <c r="C1423" s="65"/>
      <c r="D1423" s="60"/>
      <c r="E1423" s="59"/>
      <c r="F1423" s="62"/>
      <c r="G1423" s="63"/>
      <c r="H1423" s="64"/>
      <c r="I1423" s="65"/>
      <c r="J1423" s="65"/>
      <c r="K1423" s="65"/>
      <c r="L1423" s="65"/>
      <c r="M1423" s="65"/>
      <c r="N1423" s="65"/>
      <c r="O1423" s="81">
        <f t="shared" si="66"/>
        <v>0</v>
      </c>
      <c r="P1423" s="81">
        <f t="shared" si="67"/>
        <v>0</v>
      </c>
      <c r="Q1423" s="65"/>
      <c r="R1423" s="67"/>
      <c r="S1423" s="83">
        <f t="shared" si="68"/>
        <v>0</v>
      </c>
    </row>
    <row r="1424" spans="1:19" ht="18" customHeight="1" x14ac:dyDescent="0.25">
      <c r="A1424" s="68"/>
      <c r="B1424" s="69"/>
      <c r="C1424" s="74"/>
      <c r="D1424" s="69"/>
      <c r="E1424" s="68"/>
      <c r="F1424" s="71"/>
      <c r="G1424" s="72"/>
      <c r="H1424" s="73"/>
      <c r="I1424" s="74"/>
      <c r="J1424" s="74"/>
      <c r="K1424" s="74"/>
      <c r="L1424" s="74"/>
      <c r="M1424" s="74"/>
      <c r="N1424" s="74"/>
      <c r="O1424" s="82">
        <f t="shared" si="66"/>
        <v>0</v>
      </c>
      <c r="P1424" s="82">
        <f t="shared" si="67"/>
        <v>0</v>
      </c>
      <c r="Q1424" s="74"/>
      <c r="R1424" s="76"/>
      <c r="S1424" s="84">
        <f t="shared" si="68"/>
        <v>0</v>
      </c>
    </row>
    <row r="1425" spans="1:19" ht="18" customHeight="1" x14ac:dyDescent="0.25">
      <c r="A1425" s="59"/>
      <c r="B1425" s="60"/>
      <c r="C1425" s="65"/>
      <c r="D1425" s="60"/>
      <c r="E1425" s="59"/>
      <c r="F1425" s="62"/>
      <c r="G1425" s="63"/>
      <c r="H1425" s="64"/>
      <c r="I1425" s="65"/>
      <c r="J1425" s="65"/>
      <c r="K1425" s="65"/>
      <c r="L1425" s="65"/>
      <c r="M1425" s="65"/>
      <c r="N1425" s="65"/>
      <c r="O1425" s="81">
        <f t="shared" si="66"/>
        <v>0</v>
      </c>
      <c r="P1425" s="81">
        <f t="shared" si="67"/>
        <v>0</v>
      </c>
      <c r="Q1425" s="65"/>
      <c r="R1425" s="67"/>
      <c r="S1425" s="83">
        <f t="shared" si="68"/>
        <v>0</v>
      </c>
    </row>
    <row r="1426" spans="1:19" ht="18" customHeight="1" x14ac:dyDescent="0.25">
      <c r="A1426" s="68"/>
      <c r="B1426" s="69"/>
      <c r="C1426" s="74"/>
      <c r="D1426" s="69"/>
      <c r="E1426" s="68"/>
      <c r="F1426" s="71"/>
      <c r="G1426" s="72"/>
      <c r="H1426" s="73"/>
      <c r="I1426" s="74"/>
      <c r="J1426" s="74"/>
      <c r="K1426" s="74"/>
      <c r="L1426" s="74"/>
      <c r="M1426" s="74"/>
      <c r="N1426" s="74"/>
      <c r="O1426" s="82">
        <f t="shared" si="66"/>
        <v>0</v>
      </c>
      <c r="P1426" s="82">
        <f t="shared" si="67"/>
        <v>0</v>
      </c>
      <c r="Q1426" s="74"/>
      <c r="R1426" s="76"/>
      <c r="S1426" s="84">
        <f t="shared" si="68"/>
        <v>0</v>
      </c>
    </row>
    <row r="1427" spans="1:19" ht="18" customHeight="1" x14ac:dyDescent="0.25">
      <c r="A1427" s="59"/>
      <c r="B1427" s="60"/>
      <c r="C1427" s="65"/>
      <c r="D1427" s="60"/>
      <c r="E1427" s="59"/>
      <c r="F1427" s="62"/>
      <c r="G1427" s="63"/>
      <c r="H1427" s="64"/>
      <c r="I1427" s="65"/>
      <c r="J1427" s="65"/>
      <c r="K1427" s="65"/>
      <c r="L1427" s="65"/>
      <c r="M1427" s="65"/>
      <c r="N1427" s="65"/>
      <c r="O1427" s="81">
        <f t="shared" si="66"/>
        <v>0</v>
      </c>
      <c r="P1427" s="81">
        <f t="shared" si="67"/>
        <v>0</v>
      </c>
      <c r="Q1427" s="65"/>
      <c r="R1427" s="67"/>
      <c r="S1427" s="83">
        <f t="shared" si="68"/>
        <v>0</v>
      </c>
    </row>
    <row r="1428" spans="1:19" ht="18" customHeight="1" x14ac:dyDescent="0.25">
      <c r="A1428" s="68"/>
      <c r="B1428" s="69"/>
      <c r="C1428" s="74"/>
      <c r="D1428" s="69"/>
      <c r="E1428" s="68"/>
      <c r="F1428" s="71"/>
      <c r="G1428" s="72"/>
      <c r="H1428" s="73"/>
      <c r="I1428" s="74"/>
      <c r="J1428" s="74"/>
      <c r="K1428" s="74"/>
      <c r="L1428" s="74"/>
      <c r="M1428" s="74"/>
      <c r="N1428" s="74"/>
      <c r="O1428" s="82">
        <f t="shared" si="66"/>
        <v>0</v>
      </c>
      <c r="P1428" s="82">
        <f t="shared" si="67"/>
        <v>0</v>
      </c>
      <c r="Q1428" s="74"/>
      <c r="R1428" s="76"/>
      <c r="S1428" s="84">
        <f t="shared" si="68"/>
        <v>0</v>
      </c>
    </row>
    <row r="1429" spans="1:19" ht="18" customHeight="1" x14ac:dyDescent="0.25">
      <c r="A1429" s="59"/>
      <c r="B1429" s="60"/>
      <c r="C1429" s="65"/>
      <c r="D1429" s="60"/>
      <c r="E1429" s="59"/>
      <c r="F1429" s="62"/>
      <c r="G1429" s="63"/>
      <c r="H1429" s="64"/>
      <c r="I1429" s="65"/>
      <c r="J1429" s="65"/>
      <c r="K1429" s="65"/>
      <c r="L1429" s="65"/>
      <c r="M1429" s="65"/>
      <c r="N1429" s="65"/>
      <c r="O1429" s="81">
        <f t="shared" si="66"/>
        <v>0</v>
      </c>
      <c r="P1429" s="81">
        <f t="shared" si="67"/>
        <v>0</v>
      </c>
      <c r="Q1429" s="65"/>
      <c r="R1429" s="67"/>
      <c r="S1429" s="83">
        <f t="shared" si="68"/>
        <v>0</v>
      </c>
    </row>
    <row r="1430" spans="1:19" ht="18" customHeight="1" x14ac:dyDescent="0.25">
      <c r="A1430" s="68"/>
      <c r="B1430" s="69"/>
      <c r="C1430" s="74"/>
      <c r="D1430" s="69"/>
      <c r="E1430" s="68"/>
      <c r="F1430" s="71"/>
      <c r="G1430" s="72"/>
      <c r="H1430" s="73"/>
      <c r="I1430" s="74"/>
      <c r="J1430" s="74"/>
      <c r="K1430" s="74"/>
      <c r="L1430" s="74"/>
      <c r="M1430" s="74"/>
      <c r="N1430" s="74"/>
      <c r="O1430" s="82">
        <f t="shared" si="66"/>
        <v>0</v>
      </c>
      <c r="P1430" s="82">
        <f t="shared" si="67"/>
        <v>0</v>
      </c>
      <c r="Q1430" s="74"/>
      <c r="R1430" s="76"/>
      <c r="S1430" s="84">
        <f t="shared" si="68"/>
        <v>0</v>
      </c>
    </row>
    <row r="1431" spans="1:19" ht="18" customHeight="1" x14ac:dyDescent="0.25">
      <c r="A1431" s="59"/>
      <c r="B1431" s="60"/>
      <c r="C1431" s="65"/>
      <c r="D1431" s="60"/>
      <c r="E1431" s="59"/>
      <c r="F1431" s="62"/>
      <c r="G1431" s="63"/>
      <c r="H1431" s="64"/>
      <c r="I1431" s="65"/>
      <c r="J1431" s="65"/>
      <c r="K1431" s="65"/>
      <c r="L1431" s="65"/>
      <c r="M1431" s="65"/>
      <c r="N1431" s="65"/>
      <c r="O1431" s="81">
        <f t="shared" si="66"/>
        <v>0</v>
      </c>
      <c r="P1431" s="81">
        <f t="shared" si="67"/>
        <v>0</v>
      </c>
      <c r="Q1431" s="65"/>
      <c r="R1431" s="67"/>
      <c r="S1431" s="83">
        <f t="shared" si="68"/>
        <v>0</v>
      </c>
    </row>
    <row r="1432" spans="1:19" ht="18" customHeight="1" x14ac:dyDescent="0.25">
      <c r="A1432" s="68"/>
      <c r="B1432" s="69"/>
      <c r="C1432" s="74"/>
      <c r="D1432" s="69"/>
      <c r="E1432" s="68"/>
      <c r="F1432" s="71"/>
      <c r="G1432" s="72"/>
      <c r="H1432" s="73"/>
      <c r="I1432" s="74"/>
      <c r="J1432" s="74"/>
      <c r="K1432" s="74"/>
      <c r="L1432" s="74"/>
      <c r="M1432" s="74"/>
      <c r="N1432" s="74"/>
      <c r="O1432" s="82">
        <f t="shared" si="66"/>
        <v>0</v>
      </c>
      <c r="P1432" s="82">
        <f t="shared" si="67"/>
        <v>0</v>
      </c>
      <c r="Q1432" s="74"/>
      <c r="R1432" s="76"/>
      <c r="S1432" s="84">
        <f t="shared" si="68"/>
        <v>0</v>
      </c>
    </row>
    <row r="1433" spans="1:19" ht="18" customHeight="1" x14ac:dyDescent="0.25">
      <c r="A1433" s="59"/>
      <c r="B1433" s="60"/>
      <c r="C1433" s="65"/>
      <c r="D1433" s="60"/>
      <c r="E1433" s="59"/>
      <c r="F1433" s="62"/>
      <c r="G1433" s="63"/>
      <c r="H1433" s="64"/>
      <c r="I1433" s="65"/>
      <c r="J1433" s="65"/>
      <c r="K1433" s="65"/>
      <c r="L1433" s="65"/>
      <c r="M1433" s="65"/>
      <c r="N1433" s="65"/>
      <c r="O1433" s="81">
        <f t="shared" si="66"/>
        <v>0</v>
      </c>
      <c r="P1433" s="81">
        <f t="shared" si="67"/>
        <v>0</v>
      </c>
      <c r="Q1433" s="65"/>
      <c r="R1433" s="67"/>
      <c r="S1433" s="83">
        <f t="shared" si="68"/>
        <v>0</v>
      </c>
    </row>
    <row r="1434" spans="1:19" ht="18" customHeight="1" x14ac:dyDescent="0.25">
      <c r="A1434" s="68"/>
      <c r="B1434" s="69"/>
      <c r="C1434" s="74"/>
      <c r="D1434" s="69"/>
      <c r="E1434" s="68"/>
      <c r="F1434" s="71"/>
      <c r="G1434" s="72"/>
      <c r="H1434" s="73"/>
      <c r="I1434" s="74"/>
      <c r="J1434" s="74"/>
      <c r="K1434" s="74"/>
      <c r="L1434" s="74"/>
      <c r="M1434" s="74"/>
      <c r="N1434" s="74"/>
      <c r="O1434" s="82">
        <f t="shared" si="66"/>
        <v>0</v>
      </c>
      <c r="P1434" s="82">
        <f t="shared" si="67"/>
        <v>0</v>
      </c>
      <c r="Q1434" s="74"/>
      <c r="R1434" s="76"/>
      <c r="S1434" s="84">
        <f t="shared" si="68"/>
        <v>0</v>
      </c>
    </row>
    <row r="1435" spans="1:19" ht="18" customHeight="1" x14ac:dyDescent="0.25">
      <c r="A1435" s="59"/>
      <c r="B1435" s="60"/>
      <c r="C1435" s="65"/>
      <c r="D1435" s="60"/>
      <c r="E1435" s="59"/>
      <c r="F1435" s="62"/>
      <c r="G1435" s="63"/>
      <c r="H1435" s="64"/>
      <c r="I1435" s="65"/>
      <c r="J1435" s="65"/>
      <c r="K1435" s="65"/>
      <c r="L1435" s="65"/>
      <c r="M1435" s="65"/>
      <c r="N1435" s="65"/>
      <c r="O1435" s="81">
        <f t="shared" si="66"/>
        <v>0</v>
      </c>
      <c r="P1435" s="81">
        <f t="shared" si="67"/>
        <v>0</v>
      </c>
      <c r="Q1435" s="65"/>
      <c r="R1435" s="67"/>
      <c r="S1435" s="83">
        <f t="shared" si="68"/>
        <v>0</v>
      </c>
    </row>
    <row r="1436" spans="1:19" ht="18" customHeight="1" x14ac:dyDescent="0.25">
      <c r="A1436" s="68"/>
      <c r="B1436" s="69"/>
      <c r="C1436" s="74"/>
      <c r="D1436" s="69"/>
      <c r="E1436" s="68"/>
      <c r="F1436" s="71"/>
      <c r="G1436" s="72"/>
      <c r="H1436" s="73"/>
      <c r="I1436" s="74"/>
      <c r="J1436" s="74"/>
      <c r="K1436" s="74"/>
      <c r="L1436" s="74"/>
      <c r="M1436" s="74"/>
      <c r="N1436" s="74"/>
      <c r="O1436" s="82">
        <f t="shared" si="66"/>
        <v>0</v>
      </c>
      <c r="P1436" s="82">
        <f t="shared" si="67"/>
        <v>0</v>
      </c>
      <c r="Q1436" s="74"/>
      <c r="R1436" s="76"/>
      <c r="S1436" s="84">
        <f t="shared" si="68"/>
        <v>0</v>
      </c>
    </row>
    <row r="1437" spans="1:19" ht="18" customHeight="1" x14ac:dyDescent="0.25">
      <c r="A1437" s="59"/>
      <c r="B1437" s="60"/>
      <c r="C1437" s="65"/>
      <c r="D1437" s="60"/>
      <c r="E1437" s="59"/>
      <c r="F1437" s="62"/>
      <c r="G1437" s="63"/>
      <c r="H1437" s="64"/>
      <c r="I1437" s="65"/>
      <c r="J1437" s="65"/>
      <c r="K1437" s="65"/>
      <c r="L1437" s="65"/>
      <c r="M1437" s="65"/>
      <c r="N1437" s="65"/>
      <c r="O1437" s="81">
        <f t="shared" si="66"/>
        <v>0</v>
      </c>
      <c r="P1437" s="81">
        <f t="shared" si="67"/>
        <v>0</v>
      </c>
      <c r="Q1437" s="65"/>
      <c r="R1437" s="67"/>
      <c r="S1437" s="83">
        <f t="shared" si="68"/>
        <v>0</v>
      </c>
    </row>
    <row r="1438" spans="1:19" ht="18" customHeight="1" x14ac:dyDescent="0.25">
      <c r="A1438" s="68"/>
      <c r="B1438" s="69"/>
      <c r="C1438" s="74"/>
      <c r="D1438" s="69"/>
      <c r="E1438" s="68"/>
      <c r="F1438" s="71"/>
      <c r="G1438" s="72"/>
      <c r="H1438" s="73"/>
      <c r="I1438" s="74"/>
      <c r="J1438" s="74"/>
      <c r="K1438" s="74"/>
      <c r="L1438" s="74"/>
      <c r="M1438" s="74"/>
      <c r="N1438" s="74"/>
      <c r="O1438" s="82">
        <f t="shared" si="66"/>
        <v>0</v>
      </c>
      <c r="P1438" s="82">
        <f t="shared" si="67"/>
        <v>0</v>
      </c>
      <c r="Q1438" s="74"/>
      <c r="R1438" s="76"/>
      <c r="S1438" s="84">
        <f t="shared" si="68"/>
        <v>0</v>
      </c>
    </row>
    <row r="1439" spans="1:19" ht="18" customHeight="1" x14ac:dyDescent="0.25">
      <c r="A1439" s="59"/>
      <c r="B1439" s="60"/>
      <c r="C1439" s="65"/>
      <c r="D1439" s="60"/>
      <c r="E1439" s="59"/>
      <c r="F1439" s="62"/>
      <c r="G1439" s="63"/>
      <c r="H1439" s="64"/>
      <c r="I1439" s="65"/>
      <c r="J1439" s="65"/>
      <c r="K1439" s="65"/>
      <c r="L1439" s="65"/>
      <c r="M1439" s="65"/>
      <c r="N1439" s="65"/>
      <c r="O1439" s="81">
        <f t="shared" si="66"/>
        <v>0</v>
      </c>
      <c r="P1439" s="81">
        <f t="shared" si="67"/>
        <v>0</v>
      </c>
      <c r="Q1439" s="65"/>
      <c r="R1439" s="67"/>
      <c r="S1439" s="83">
        <f t="shared" si="68"/>
        <v>0</v>
      </c>
    </row>
    <row r="1440" spans="1:19" ht="18" customHeight="1" x14ac:dyDescent="0.25">
      <c r="A1440" s="68"/>
      <c r="B1440" s="69"/>
      <c r="C1440" s="74"/>
      <c r="D1440" s="69"/>
      <c r="E1440" s="68"/>
      <c r="F1440" s="71"/>
      <c r="G1440" s="72"/>
      <c r="H1440" s="73"/>
      <c r="I1440" s="74"/>
      <c r="J1440" s="74"/>
      <c r="K1440" s="74"/>
      <c r="L1440" s="74"/>
      <c r="M1440" s="74"/>
      <c r="N1440" s="74"/>
      <c r="O1440" s="82">
        <f t="shared" si="66"/>
        <v>0</v>
      </c>
      <c r="P1440" s="82">
        <f t="shared" si="67"/>
        <v>0</v>
      </c>
      <c r="Q1440" s="74"/>
      <c r="R1440" s="76"/>
      <c r="S1440" s="84">
        <f t="shared" si="68"/>
        <v>0</v>
      </c>
    </row>
    <row r="1441" spans="1:19" ht="18" customHeight="1" x14ac:dyDescent="0.25">
      <c r="A1441" s="59"/>
      <c r="B1441" s="60"/>
      <c r="C1441" s="65"/>
      <c r="D1441" s="60"/>
      <c r="E1441" s="59"/>
      <c r="F1441" s="62"/>
      <c r="G1441" s="63"/>
      <c r="H1441" s="64"/>
      <c r="I1441" s="65"/>
      <c r="J1441" s="65"/>
      <c r="K1441" s="65"/>
      <c r="L1441" s="65"/>
      <c r="M1441" s="65"/>
      <c r="N1441" s="65"/>
      <c r="O1441" s="81">
        <f t="shared" si="66"/>
        <v>0</v>
      </c>
      <c r="P1441" s="81">
        <f t="shared" si="67"/>
        <v>0</v>
      </c>
      <c r="Q1441" s="65"/>
      <c r="R1441" s="67"/>
      <c r="S1441" s="83">
        <f t="shared" si="68"/>
        <v>0</v>
      </c>
    </row>
    <row r="1442" spans="1:19" ht="18" customHeight="1" x14ac:dyDescent="0.25">
      <c r="A1442" s="68"/>
      <c r="B1442" s="69"/>
      <c r="C1442" s="74"/>
      <c r="D1442" s="69"/>
      <c r="E1442" s="68"/>
      <c r="F1442" s="71"/>
      <c r="G1442" s="72"/>
      <c r="H1442" s="73"/>
      <c r="I1442" s="74"/>
      <c r="J1442" s="74"/>
      <c r="K1442" s="74"/>
      <c r="L1442" s="74"/>
      <c r="M1442" s="74"/>
      <c r="N1442" s="74"/>
      <c r="O1442" s="82">
        <f t="shared" si="66"/>
        <v>0</v>
      </c>
      <c r="P1442" s="82">
        <f t="shared" si="67"/>
        <v>0</v>
      </c>
      <c r="Q1442" s="74"/>
      <c r="R1442" s="76"/>
      <c r="S1442" s="84">
        <f t="shared" si="68"/>
        <v>0</v>
      </c>
    </row>
    <row r="1443" spans="1:19" ht="18" customHeight="1" x14ac:dyDescent="0.25">
      <c r="A1443" s="59"/>
      <c r="B1443" s="60"/>
      <c r="C1443" s="65"/>
      <c r="D1443" s="60"/>
      <c r="E1443" s="59"/>
      <c r="F1443" s="62"/>
      <c r="G1443" s="63"/>
      <c r="H1443" s="64"/>
      <c r="I1443" s="65"/>
      <c r="J1443" s="65"/>
      <c r="K1443" s="65"/>
      <c r="L1443" s="65"/>
      <c r="M1443" s="65"/>
      <c r="N1443" s="65"/>
      <c r="O1443" s="81">
        <f t="shared" si="66"/>
        <v>0</v>
      </c>
      <c r="P1443" s="81">
        <f t="shared" si="67"/>
        <v>0</v>
      </c>
      <c r="Q1443" s="65"/>
      <c r="R1443" s="67"/>
      <c r="S1443" s="83">
        <f t="shared" si="68"/>
        <v>0</v>
      </c>
    </row>
    <row r="1444" spans="1:19" ht="18" customHeight="1" x14ac:dyDescent="0.25">
      <c r="A1444" s="68"/>
      <c r="B1444" s="69"/>
      <c r="C1444" s="74"/>
      <c r="D1444" s="69"/>
      <c r="E1444" s="68"/>
      <c r="F1444" s="71"/>
      <c r="G1444" s="72"/>
      <c r="H1444" s="73"/>
      <c r="I1444" s="74"/>
      <c r="J1444" s="74"/>
      <c r="K1444" s="74"/>
      <c r="L1444" s="74"/>
      <c r="M1444" s="74"/>
      <c r="N1444" s="74"/>
      <c r="O1444" s="82">
        <f t="shared" si="66"/>
        <v>0</v>
      </c>
      <c r="P1444" s="82">
        <f t="shared" si="67"/>
        <v>0</v>
      </c>
      <c r="Q1444" s="74"/>
      <c r="R1444" s="76"/>
      <c r="S1444" s="84">
        <f t="shared" si="68"/>
        <v>0</v>
      </c>
    </row>
    <row r="1445" spans="1:19" ht="18" customHeight="1" x14ac:dyDescent="0.25">
      <c r="A1445" s="59"/>
      <c r="B1445" s="60"/>
      <c r="C1445" s="65"/>
      <c r="D1445" s="60"/>
      <c r="E1445" s="59"/>
      <c r="F1445" s="62"/>
      <c r="G1445" s="63"/>
      <c r="H1445" s="64"/>
      <c r="I1445" s="65"/>
      <c r="J1445" s="65"/>
      <c r="K1445" s="65"/>
      <c r="L1445" s="65"/>
      <c r="M1445" s="65"/>
      <c r="N1445" s="65"/>
      <c r="O1445" s="81">
        <f t="shared" si="66"/>
        <v>0</v>
      </c>
      <c r="P1445" s="81">
        <f t="shared" si="67"/>
        <v>0</v>
      </c>
      <c r="Q1445" s="65"/>
      <c r="R1445" s="67"/>
      <c r="S1445" s="83">
        <f t="shared" si="68"/>
        <v>0</v>
      </c>
    </row>
    <row r="1446" spans="1:19" ht="18" customHeight="1" x14ac:dyDescent="0.25">
      <c r="A1446" s="68"/>
      <c r="B1446" s="69"/>
      <c r="C1446" s="74"/>
      <c r="D1446" s="69"/>
      <c r="E1446" s="68"/>
      <c r="F1446" s="71"/>
      <c r="G1446" s="72"/>
      <c r="H1446" s="73"/>
      <c r="I1446" s="74"/>
      <c r="J1446" s="74"/>
      <c r="K1446" s="74"/>
      <c r="L1446" s="74"/>
      <c r="M1446" s="74"/>
      <c r="N1446" s="74"/>
      <c r="O1446" s="82">
        <f t="shared" si="66"/>
        <v>0</v>
      </c>
      <c r="P1446" s="82">
        <f t="shared" si="67"/>
        <v>0</v>
      </c>
      <c r="Q1446" s="74"/>
      <c r="R1446" s="76"/>
      <c r="S1446" s="84">
        <f t="shared" si="68"/>
        <v>0</v>
      </c>
    </row>
    <row r="1447" spans="1:19" ht="18" customHeight="1" x14ac:dyDescent="0.25">
      <c r="A1447" s="59"/>
      <c r="B1447" s="60"/>
      <c r="C1447" s="65"/>
      <c r="D1447" s="60"/>
      <c r="E1447" s="59"/>
      <c r="F1447" s="62"/>
      <c r="G1447" s="63"/>
      <c r="H1447" s="64"/>
      <c r="I1447" s="65"/>
      <c r="J1447" s="65"/>
      <c r="K1447" s="65"/>
      <c r="L1447" s="65"/>
      <c r="M1447" s="65"/>
      <c r="N1447" s="65"/>
      <c r="O1447" s="81">
        <f t="shared" si="66"/>
        <v>0</v>
      </c>
      <c r="P1447" s="81">
        <f t="shared" si="67"/>
        <v>0</v>
      </c>
      <c r="Q1447" s="65"/>
      <c r="R1447" s="67"/>
      <c r="S1447" s="83">
        <f t="shared" si="68"/>
        <v>0</v>
      </c>
    </row>
    <row r="1448" spans="1:19" ht="18" customHeight="1" x14ac:dyDescent="0.25">
      <c r="A1448" s="68"/>
      <c r="B1448" s="69"/>
      <c r="C1448" s="74"/>
      <c r="D1448" s="69"/>
      <c r="E1448" s="68"/>
      <c r="F1448" s="71"/>
      <c r="G1448" s="72"/>
      <c r="H1448" s="73"/>
      <c r="I1448" s="74"/>
      <c r="J1448" s="74"/>
      <c r="K1448" s="74"/>
      <c r="L1448" s="74"/>
      <c r="M1448" s="74"/>
      <c r="N1448" s="74"/>
      <c r="O1448" s="82">
        <f t="shared" si="66"/>
        <v>0</v>
      </c>
      <c r="P1448" s="82">
        <f t="shared" si="67"/>
        <v>0</v>
      </c>
      <c r="Q1448" s="74"/>
      <c r="R1448" s="76"/>
      <c r="S1448" s="84">
        <f t="shared" si="68"/>
        <v>0</v>
      </c>
    </row>
    <row r="1449" spans="1:19" ht="18" customHeight="1" x14ac:dyDescent="0.25">
      <c r="A1449" s="59"/>
      <c r="B1449" s="60"/>
      <c r="C1449" s="65"/>
      <c r="D1449" s="60"/>
      <c r="E1449" s="59"/>
      <c r="F1449" s="62"/>
      <c r="G1449" s="63"/>
      <c r="H1449" s="64"/>
      <c r="I1449" s="65"/>
      <c r="J1449" s="65"/>
      <c r="K1449" s="65"/>
      <c r="L1449" s="65"/>
      <c r="M1449" s="65"/>
      <c r="N1449" s="65"/>
      <c r="O1449" s="81">
        <f t="shared" si="66"/>
        <v>0</v>
      </c>
      <c r="P1449" s="81">
        <f t="shared" si="67"/>
        <v>0</v>
      </c>
      <c r="Q1449" s="65"/>
      <c r="R1449" s="67"/>
      <c r="S1449" s="83">
        <f t="shared" si="68"/>
        <v>0</v>
      </c>
    </row>
    <row r="1450" spans="1:19" ht="18" customHeight="1" x14ac:dyDescent="0.25">
      <c r="A1450" s="68"/>
      <c r="B1450" s="69"/>
      <c r="C1450" s="74"/>
      <c r="D1450" s="69"/>
      <c r="E1450" s="68"/>
      <c r="F1450" s="71"/>
      <c r="G1450" s="72"/>
      <c r="H1450" s="73"/>
      <c r="I1450" s="74"/>
      <c r="J1450" s="74"/>
      <c r="K1450" s="74"/>
      <c r="L1450" s="74"/>
      <c r="M1450" s="74"/>
      <c r="N1450" s="74"/>
      <c r="O1450" s="82">
        <f t="shared" si="66"/>
        <v>0</v>
      </c>
      <c r="P1450" s="82">
        <f t="shared" si="67"/>
        <v>0</v>
      </c>
      <c r="Q1450" s="74"/>
      <c r="R1450" s="76"/>
      <c r="S1450" s="84">
        <f t="shared" si="68"/>
        <v>0</v>
      </c>
    </row>
    <row r="1451" spans="1:19" ht="18" customHeight="1" x14ac:dyDescent="0.25">
      <c r="A1451" s="59"/>
      <c r="B1451" s="60"/>
      <c r="C1451" s="65"/>
      <c r="D1451" s="60"/>
      <c r="E1451" s="59"/>
      <c r="F1451" s="62"/>
      <c r="G1451" s="63"/>
      <c r="H1451" s="64"/>
      <c r="I1451" s="65"/>
      <c r="J1451" s="65"/>
      <c r="K1451" s="65"/>
      <c r="L1451" s="65"/>
      <c r="M1451" s="65"/>
      <c r="N1451" s="65"/>
      <c r="O1451" s="81">
        <f t="shared" si="66"/>
        <v>0</v>
      </c>
      <c r="P1451" s="81">
        <f t="shared" si="67"/>
        <v>0</v>
      </c>
      <c r="Q1451" s="65"/>
      <c r="R1451" s="67"/>
      <c r="S1451" s="83">
        <f t="shared" si="68"/>
        <v>0</v>
      </c>
    </row>
    <row r="1452" spans="1:19" ht="18" customHeight="1" x14ac:dyDescent="0.25">
      <c r="A1452" s="68"/>
      <c r="B1452" s="69"/>
      <c r="C1452" s="74"/>
      <c r="D1452" s="69"/>
      <c r="E1452" s="68"/>
      <c r="F1452" s="71"/>
      <c r="G1452" s="72"/>
      <c r="H1452" s="73"/>
      <c r="I1452" s="74"/>
      <c r="J1452" s="74"/>
      <c r="K1452" s="74"/>
      <c r="L1452" s="74"/>
      <c r="M1452" s="74"/>
      <c r="N1452" s="74"/>
      <c r="O1452" s="82">
        <f t="shared" si="66"/>
        <v>0</v>
      </c>
      <c r="P1452" s="82">
        <f t="shared" si="67"/>
        <v>0</v>
      </c>
      <c r="Q1452" s="74"/>
      <c r="R1452" s="76"/>
      <c r="S1452" s="84">
        <f t="shared" si="68"/>
        <v>0</v>
      </c>
    </row>
    <row r="1453" spans="1:19" ht="18" customHeight="1" x14ac:dyDescent="0.25">
      <c r="A1453" s="59"/>
      <c r="B1453" s="60"/>
      <c r="C1453" s="65"/>
      <c r="D1453" s="60"/>
      <c r="E1453" s="59"/>
      <c r="F1453" s="62"/>
      <c r="G1453" s="63"/>
      <c r="H1453" s="64"/>
      <c r="I1453" s="65"/>
      <c r="J1453" s="65"/>
      <c r="K1453" s="65"/>
      <c r="L1453" s="65"/>
      <c r="M1453" s="65"/>
      <c r="N1453" s="65"/>
      <c r="O1453" s="81">
        <f t="shared" si="66"/>
        <v>0</v>
      </c>
      <c r="P1453" s="81">
        <f t="shared" si="67"/>
        <v>0</v>
      </c>
      <c r="Q1453" s="65"/>
      <c r="R1453" s="67"/>
      <c r="S1453" s="83">
        <f t="shared" si="68"/>
        <v>0</v>
      </c>
    </row>
    <row r="1454" spans="1:19" ht="18" customHeight="1" x14ac:dyDescent="0.25">
      <c r="A1454" s="68"/>
      <c r="B1454" s="69"/>
      <c r="C1454" s="74"/>
      <c r="D1454" s="69"/>
      <c r="E1454" s="68"/>
      <c r="F1454" s="71"/>
      <c r="G1454" s="72"/>
      <c r="H1454" s="73"/>
      <c r="I1454" s="74"/>
      <c r="J1454" s="74"/>
      <c r="K1454" s="74"/>
      <c r="L1454" s="74"/>
      <c r="M1454" s="74"/>
      <c r="N1454" s="74"/>
      <c r="O1454" s="82">
        <f t="shared" si="66"/>
        <v>0</v>
      </c>
      <c r="P1454" s="82">
        <f t="shared" si="67"/>
        <v>0</v>
      </c>
      <c r="Q1454" s="74"/>
      <c r="R1454" s="76"/>
      <c r="S1454" s="84">
        <f t="shared" si="68"/>
        <v>0</v>
      </c>
    </row>
    <row r="1455" spans="1:19" ht="18" customHeight="1" x14ac:dyDescent="0.25">
      <c r="A1455" s="59"/>
      <c r="B1455" s="60"/>
      <c r="C1455" s="65"/>
      <c r="D1455" s="60"/>
      <c r="E1455" s="59"/>
      <c r="F1455" s="62"/>
      <c r="G1455" s="63"/>
      <c r="H1455" s="64"/>
      <c r="I1455" s="65"/>
      <c r="J1455" s="65"/>
      <c r="K1455" s="65"/>
      <c r="L1455" s="65"/>
      <c r="M1455" s="65"/>
      <c r="N1455" s="65"/>
      <c r="O1455" s="81">
        <f t="shared" si="66"/>
        <v>0</v>
      </c>
      <c r="P1455" s="81">
        <f t="shared" si="67"/>
        <v>0</v>
      </c>
      <c r="Q1455" s="65"/>
      <c r="R1455" s="67"/>
      <c r="S1455" s="83">
        <f t="shared" si="68"/>
        <v>0</v>
      </c>
    </row>
    <row r="1456" spans="1:19" ht="18" customHeight="1" x14ac:dyDescent="0.25">
      <c r="A1456" s="68"/>
      <c r="B1456" s="69"/>
      <c r="C1456" s="74"/>
      <c r="D1456" s="69"/>
      <c r="E1456" s="68"/>
      <c r="F1456" s="71"/>
      <c r="G1456" s="72"/>
      <c r="H1456" s="73"/>
      <c r="I1456" s="74"/>
      <c r="J1456" s="74"/>
      <c r="K1456" s="74"/>
      <c r="L1456" s="74"/>
      <c r="M1456" s="74"/>
      <c r="N1456" s="74"/>
      <c r="O1456" s="82">
        <f t="shared" si="66"/>
        <v>0</v>
      </c>
      <c r="P1456" s="82">
        <f t="shared" si="67"/>
        <v>0</v>
      </c>
      <c r="Q1456" s="74"/>
      <c r="R1456" s="76"/>
      <c r="S1456" s="84">
        <f t="shared" si="68"/>
        <v>0</v>
      </c>
    </row>
    <row r="1457" spans="1:19" ht="18" customHeight="1" x14ac:dyDescent="0.25">
      <c r="A1457" s="59"/>
      <c r="B1457" s="60"/>
      <c r="C1457" s="65"/>
      <c r="D1457" s="60"/>
      <c r="E1457" s="59"/>
      <c r="F1457" s="62"/>
      <c r="G1457" s="63"/>
      <c r="H1457" s="64"/>
      <c r="I1457" s="65"/>
      <c r="J1457" s="65"/>
      <c r="K1457" s="65"/>
      <c r="L1457" s="65"/>
      <c r="M1457" s="65"/>
      <c r="N1457" s="65"/>
      <c r="O1457" s="81">
        <f t="shared" si="66"/>
        <v>0</v>
      </c>
      <c r="P1457" s="81">
        <f t="shared" si="67"/>
        <v>0</v>
      </c>
      <c r="Q1457" s="65"/>
      <c r="R1457" s="67"/>
      <c r="S1457" s="83">
        <f t="shared" si="68"/>
        <v>0</v>
      </c>
    </row>
    <row r="1458" spans="1:19" ht="18" customHeight="1" x14ac:dyDescent="0.25">
      <c r="A1458" s="68"/>
      <c r="B1458" s="69"/>
      <c r="C1458" s="74"/>
      <c r="D1458" s="69"/>
      <c r="E1458" s="68"/>
      <c r="F1458" s="71"/>
      <c r="G1458" s="72"/>
      <c r="H1458" s="73"/>
      <c r="I1458" s="74"/>
      <c r="J1458" s="74"/>
      <c r="K1458" s="74"/>
      <c r="L1458" s="74"/>
      <c r="M1458" s="74"/>
      <c r="N1458" s="74"/>
      <c r="O1458" s="82">
        <f t="shared" si="66"/>
        <v>0</v>
      </c>
      <c r="P1458" s="82">
        <f t="shared" si="67"/>
        <v>0</v>
      </c>
      <c r="Q1458" s="74"/>
      <c r="R1458" s="76"/>
      <c r="S1458" s="84">
        <f t="shared" si="68"/>
        <v>0</v>
      </c>
    </row>
    <row r="1459" spans="1:19" ht="18" customHeight="1" x14ac:dyDescent="0.25">
      <c r="A1459" s="59"/>
      <c r="B1459" s="60"/>
      <c r="C1459" s="65"/>
      <c r="D1459" s="60"/>
      <c r="E1459" s="59"/>
      <c r="F1459" s="62"/>
      <c r="G1459" s="63"/>
      <c r="H1459" s="64"/>
      <c r="I1459" s="65"/>
      <c r="J1459" s="65"/>
      <c r="K1459" s="65"/>
      <c r="L1459" s="65"/>
      <c r="M1459" s="65"/>
      <c r="N1459" s="65"/>
      <c r="O1459" s="81">
        <f t="shared" si="66"/>
        <v>0</v>
      </c>
      <c r="P1459" s="81">
        <f t="shared" si="67"/>
        <v>0</v>
      </c>
      <c r="Q1459" s="65"/>
      <c r="R1459" s="67"/>
      <c r="S1459" s="83">
        <f t="shared" si="68"/>
        <v>0</v>
      </c>
    </row>
    <row r="1460" spans="1:19" ht="18" customHeight="1" x14ac:dyDescent="0.25">
      <c r="A1460" s="68"/>
      <c r="B1460" s="69"/>
      <c r="C1460" s="74"/>
      <c r="D1460" s="69"/>
      <c r="E1460" s="68"/>
      <c r="F1460" s="71"/>
      <c r="G1460" s="72"/>
      <c r="H1460" s="73"/>
      <c r="I1460" s="74"/>
      <c r="J1460" s="74"/>
      <c r="K1460" s="74"/>
      <c r="L1460" s="74"/>
      <c r="M1460" s="74"/>
      <c r="N1460" s="74"/>
      <c r="O1460" s="82">
        <f t="shared" si="66"/>
        <v>0</v>
      </c>
      <c r="P1460" s="82">
        <f t="shared" si="67"/>
        <v>0</v>
      </c>
      <c r="Q1460" s="74"/>
      <c r="R1460" s="76"/>
      <c r="S1460" s="84">
        <f t="shared" si="68"/>
        <v>0</v>
      </c>
    </row>
    <row r="1461" spans="1:19" ht="18" customHeight="1" x14ac:dyDescent="0.25">
      <c r="A1461" s="59"/>
      <c r="B1461" s="60"/>
      <c r="C1461" s="65"/>
      <c r="D1461" s="60"/>
      <c r="E1461" s="59"/>
      <c r="F1461" s="62"/>
      <c r="G1461" s="63"/>
      <c r="H1461" s="64"/>
      <c r="I1461" s="65"/>
      <c r="J1461" s="65"/>
      <c r="K1461" s="65"/>
      <c r="L1461" s="65"/>
      <c r="M1461" s="65"/>
      <c r="N1461" s="65"/>
      <c r="O1461" s="81">
        <f t="shared" si="66"/>
        <v>0</v>
      </c>
      <c r="P1461" s="81">
        <f t="shared" si="67"/>
        <v>0</v>
      </c>
      <c r="Q1461" s="65"/>
      <c r="R1461" s="67"/>
      <c r="S1461" s="83">
        <f t="shared" si="68"/>
        <v>0</v>
      </c>
    </row>
    <row r="1462" spans="1:19" ht="18" customHeight="1" x14ac:dyDescent="0.25">
      <c r="A1462" s="68"/>
      <c r="B1462" s="69"/>
      <c r="C1462" s="74"/>
      <c r="D1462" s="69"/>
      <c r="E1462" s="68"/>
      <c r="F1462" s="71"/>
      <c r="G1462" s="72"/>
      <c r="H1462" s="73"/>
      <c r="I1462" s="74"/>
      <c r="J1462" s="74"/>
      <c r="K1462" s="74"/>
      <c r="L1462" s="74"/>
      <c r="M1462" s="74"/>
      <c r="N1462" s="74"/>
      <c r="O1462" s="82">
        <f t="shared" si="66"/>
        <v>0</v>
      </c>
      <c r="P1462" s="82">
        <f t="shared" si="67"/>
        <v>0</v>
      </c>
      <c r="Q1462" s="74"/>
      <c r="R1462" s="76"/>
      <c r="S1462" s="84">
        <f t="shared" si="68"/>
        <v>0</v>
      </c>
    </row>
    <row r="1463" spans="1:19" ht="18" customHeight="1" x14ac:dyDescent="0.25">
      <c r="A1463" s="59"/>
      <c r="B1463" s="60"/>
      <c r="C1463" s="65"/>
      <c r="D1463" s="60"/>
      <c r="E1463" s="59"/>
      <c r="F1463" s="62"/>
      <c r="G1463" s="63"/>
      <c r="H1463" s="64"/>
      <c r="I1463" s="65"/>
      <c r="J1463" s="65"/>
      <c r="K1463" s="65"/>
      <c r="L1463" s="65"/>
      <c r="M1463" s="65"/>
      <c r="N1463" s="65"/>
      <c r="O1463" s="81">
        <f t="shared" si="66"/>
        <v>0</v>
      </c>
      <c r="P1463" s="81">
        <f t="shared" si="67"/>
        <v>0</v>
      </c>
      <c r="Q1463" s="65"/>
      <c r="R1463" s="67"/>
      <c r="S1463" s="83">
        <f t="shared" si="68"/>
        <v>0</v>
      </c>
    </row>
    <row r="1464" spans="1:19" ht="18" customHeight="1" x14ac:dyDescent="0.25">
      <c r="A1464" s="68"/>
      <c r="B1464" s="69"/>
      <c r="C1464" s="74"/>
      <c r="D1464" s="69"/>
      <c r="E1464" s="68"/>
      <c r="F1464" s="71"/>
      <c r="G1464" s="72"/>
      <c r="H1464" s="73"/>
      <c r="I1464" s="74"/>
      <c r="J1464" s="74"/>
      <c r="K1464" s="74"/>
      <c r="L1464" s="74"/>
      <c r="M1464" s="74"/>
      <c r="N1464" s="74"/>
      <c r="O1464" s="82">
        <f t="shared" si="66"/>
        <v>0</v>
      </c>
      <c r="P1464" s="82">
        <f t="shared" si="67"/>
        <v>0</v>
      </c>
      <c r="Q1464" s="74"/>
      <c r="R1464" s="76"/>
      <c r="S1464" s="84">
        <f t="shared" si="68"/>
        <v>0</v>
      </c>
    </row>
    <row r="1465" spans="1:19" ht="18" customHeight="1" x14ac:dyDescent="0.25">
      <c r="A1465" s="59"/>
      <c r="B1465" s="60"/>
      <c r="C1465" s="65"/>
      <c r="D1465" s="60"/>
      <c r="E1465" s="59"/>
      <c r="F1465" s="62"/>
      <c r="G1465" s="63"/>
      <c r="H1465" s="64"/>
      <c r="I1465" s="65"/>
      <c r="J1465" s="65"/>
      <c r="K1465" s="65"/>
      <c r="L1465" s="65"/>
      <c r="M1465" s="65"/>
      <c r="N1465" s="65"/>
      <c r="O1465" s="81">
        <f t="shared" si="66"/>
        <v>0</v>
      </c>
      <c r="P1465" s="81">
        <f t="shared" si="67"/>
        <v>0</v>
      </c>
      <c r="Q1465" s="65"/>
      <c r="R1465" s="67"/>
      <c r="S1465" s="83">
        <f t="shared" si="68"/>
        <v>0</v>
      </c>
    </row>
    <row r="1466" spans="1:19" ht="18" customHeight="1" x14ac:dyDescent="0.25">
      <c r="A1466" s="68"/>
      <c r="B1466" s="69"/>
      <c r="C1466" s="74"/>
      <c r="D1466" s="69"/>
      <c r="E1466" s="68"/>
      <c r="F1466" s="71"/>
      <c r="G1466" s="72"/>
      <c r="H1466" s="73"/>
      <c r="I1466" s="74"/>
      <c r="J1466" s="74"/>
      <c r="K1466" s="74"/>
      <c r="L1466" s="74"/>
      <c r="M1466" s="74"/>
      <c r="N1466" s="74"/>
      <c r="O1466" s="82">
        <f t="shared" si="66"/>
        <v>0</v>
      </c>
      <c r="P1466" s="82">
        <f t="shared" si="67"/>
        <v>0</v>
      </c>
      <c r="Q1466" s="74"/>
      <c r="R1466" s="76"/>
      <c r="S1466" s="84">
        <f t="shared" si="68"/>
        <v>0</v>
      </c>
    </row>
    <row r="1467" spans="1:19" ht="18" customHeight="1" x14ac:dyDescent="0.25">
      <c r="A1467" s="59"/>
      <c r="B1467" s="60"/>
      <c r="C1467" s="65"/>
      <c r="D1467" s="60"/>
      <c r="E1467" s="59"/>
      <c r="F1467" s="62"/>
      <c r="G1467" s="63"/>
      <c r="H1467" s="64"/>
      <c r="I1467" s="65"/>
      <c r="J1467" s="65"/>
      <c r="K1467" s="65"/>
      <c r="L1467" s="65"/>
      <c r="M1467" s="65"/>
      <c r="N1467" s="65"/>
      <c r="O1467" s="81">
        <f t="shared" si="66"/>
        <v>0</v>
      </c>
      <c r="P1467" s="81">
        <f t="shared" si="67"/>
        <v>0</v>
      </c>
      <c r="Q1467" s="65"/>
      <c r="R1467" s="67"/>
      <c r="S1467" s="83">
        <f t="shared" si="68"/>
        <v>0</v>
      </c>
    </row>
    <row r="1468" spans="1:19" ht="18" customHeight="1" x14ac:dyDescent="0.25">
      <c r="A1468" s="68"/>
      <c r="B1468" s="69"/>
      <c r="C1468" s="74"/>
      <c r="D1468" s="69"/>
      <c r="E1468" s="68"/>
      <c r="F1468" s="71"/>
      <c r="G1468" s="72"/>
      <c r="H1468" s="73"/>
      <c r="I1468" s="74"/>
      <c r="J1468" s="74"/>
      <c r="K1468" s="74"/>
      <c r="L1468" s="74"/>
      <c r="M1468" s="74"/>
      <c r="N1468" s="74"/>
      <c r="O1468" s="82">
        <f t="shared" si="66"/>
        <v>0</v>
      </c>
      <c r="P1468" s="82">
        <f t="shared" si="67"/>
        <v>0</v>
      </c>
      <c r="Q1468" s="74"/>
      <c r="R1468" s="76"/>
      <c r="S1468" s="84">
        <f t="shared" si="68"/>
        <v>0</v>
      </c>
    </row>
    <row r="1469" spans="1:19" ht="18" customHeight="1" x14ac:dyDescent="0.25">
      <c r="A1469" s="59"/>
      <c r="B1469" s="60"/>
      <c r="C1469" s="65"/>
      <c r="D1469" s="60"/>
      <c r="E1469" s="59"/>
      <c r="F1469" s="62"/>
      <c r="G1469" s="63"/>
      <c r="H1469" s="64"/>
      <c r="I1469" s="65"/>
      <c r="J1469" s="65"/>
      <c r="K1469" s="65"/>
      <c r="L1469" s="65"/>
      <c r="M1469" s="65"/>
      <c r="N1469" s="65"/>
      <c r="O1469" s="81">
        <f t="shared" si="66"/>
        <v>0</v>
      </c>
      <c r="P1469" s="81">
        <f t="shared" si="67"/>
        <v>0</v>
      </c>
      <c r="Q1469" s="65"/>
      <c r="R1469" s="67"/>
      <c r="S1469" s="83">
        <f t="shared" si="68"/>
        <v>0</v>
      </c>
    </row>
    <row r="1470" spans="1:19" ht="18" customHeight="1" x14ac:dyDescent="0.25">
      <c r="A1470" s="68"/>
      <c r="B1470" s="69"/>
      <c r="C1470" s="74"/>
      <c r="D1470" s="69"/>
      <c r="E1470" s="68"/>
      <c r="F1470" s="71"/>
      <c r="G1470" s="72"/>
      <c r="H1470" s="73"/>
      <c r="I1470" s="74"/>
      <c r="J1470" s="74"/>
      <c r="K1470" s="74"/>
      <c r="L1470" s="74"/>
      <c r="M1470" s="74"/>
      <c r="N1470" s="74"/>
      <c r="O1470" s="82">
        <f t="shared" si="66"/>
        <v>0</v>
      </c>
      <c r="P1470" s="82">
        <f t="shared" si="67"/>
        <v>0</v>
      </c>
      <c r="Q1470" s="74"/>
      <c r="R1470" s="76"/>
      <c r="S1470" s="84">
        <f t="shared" si="68"/>
        <v>0</v>
      </c>
    </row>
    <row r="1471" spans="1:19" ht="18" customHeight="1" x14ac:dyDescent="0.25">
      <c r="A1471" s="59"/>
      <c r="B1471" s="60"/>
      <c r="C1471" s="65"/>
      <c r="D1471" s="60"/>
      <c r="E1471" s="59"/>
      <c r="F1471" s="62"/>
      <c r="G1471" s="63"/>
      <c r="H1471" s="64"/>
      <c r="I1471" s="65"/>
      <c r="J1471" s="65"/>
      <c r="K1471" s="65"/>
      <c r="L1471" s="65"/>
      <c r="M1471" s="65"/>
      <c r="N1471" s="65"/>
      <c r="O1471" s="81">
        <f t="shared" si="66"/>
        <v>0</v>
      </c>
      <c r="P1471" s="81">
        <f t="shared" si="67"/>
        <v>0</v>
      </c>
      <c r="Q1471" s="65"/>
      <c r="R1471" s="67"/>
      <c r="S1471" s="83">
        <f t="shared" si="68"/>
        <v>0</v>
      </c>
    </row>
    <row r="1472" spans="1:19" ht="18" customHeight="1" x14ac:dyDescent="0.25">
      <c r="A1472" s="68"/>
      <c r="B1472" s="69"/>
      <c r="C1472" s="74"/>
      <c r="D1472" s="69"/>
      <c r="E1472" s="68"/>
      <c r="F1472" s="71"/>
      <c r="G1472" s="72"/>
      <c r="H1472" s="73"/>
      <c r="I1472" s="74"/>
      <c r="J1472" s="74"/>
      <c r="K1472" s="74"/>
      <c r="L1472" s="74"/>
      <c r="M1472" s="74"/>
      <c r="N1472" s="74"/>
      <c r="O1472" s="82">
        <f t="shared" si="66"/>
        <v>0</v>
      </c>
      <c r="P1472" s="82">
        <f t="shared" si="67"/>
        <v>0</v>
      </c>
      <c r="Q1472" s="74"/>
      <c r="R1472" s="76"/>
      <c r="S1472" s="84">
        <f t="shared" si="68"/>
        <v>0</v>
      </c>
    </row>
    <row r="1473" spans="1:19" ht="18" customHeight="1" x14ac:dyDescent="0.25">
      <c r="A1473" s="59"/>
      <c r="B1473" s="60"/>
      <c r="C1473" s="65"/>
      <c r="D1473" s="60"/>
      <c r="E1473" s="59"/>
      <c r="F1473" s="62"/>
      <c r="G1473" s="63"/>
      <c r="H1473" s="64"/>
      <c r="I1473" s="65"/>
      <c r="J1473" s="65"/>
      <c r="K1473" s="65"/>
      <c r="L1473" s="65"/>
      <c r="M1473" s="65"/>
      <c r="N1473" s="65"/>
      <c r="O1473" s="81">
        <f t="shared" si="66"/>
        <v>0</v>
      </c>
      <c r="P1473" s="81">
        <f t="shared" si="67"/>
        <v>0</v>
      </c>
      <c r="Q1473" s="65"/>
      <c r="R1473" s="67"/>
      <c r="S1473" s="83">
        <f t="shared" si="68"/>
        <v>0</v>
      </c>
    </row>
    <row r="1474" spans="1:19" ht="18" customHeight="1" x14ac:dyDescent="0.25">
      <c r="A1474" s="68"/>
      <c r="B1474" s="69"/>
      <c r="C1474" s="74"/>
      <c r="D1474" s="69"/>
      <c r="E1474" s="68"/>
      <c r="F1474" s="71"/>
      <c r="G1474" s="72"/>
      <c r="H1474" s="73"/>
      <c r="I1474" s="74"/>
      <c r="J1474" s="74"/>
      <c r="K1474" s="74"/>
      <c r="L1474" s="74"/>
      <c r="M1474" s="74"/>
      <c r="N1474" s="74"/>
      <c r="O1474" s="82">
        <f t="shared" si="66"/>
        <v>0</v>
      </c>
      <c r="P1474" s="82">
        <f t="shared" si="67"/>
        <v>0</v>
      </c>
      <c r="Q1474" s="74"/>
      <c r="R1474" s="76"/>
      <c r="S1474" s="84">
        <f t="shared" si="68"/>
        <v>0</v>
      </c>
    </row>
    <row r="1475" spans="1:19" ht="18" customHeight="1" x14ac:dyDescent="0.25">
      <c r="A1475" s="59"/>
      <c r="B1475" s="60"/>
      <c r="C1475" s="65"/>
      <c r="D1475" s="60"/>
      <c r="E1475" s="59"/>
      <c r="F1475" s="62"/>
      <c r="G1475" s="63"/>
      <c r="H1475" s="64"/>
      <c r="I1475" s="65"/>
      <c r="J1475" s="65"/>
      <c r="K1475" s="65"/>
      <c r="L1475" s="65"/>
      <c r="M1475" s="65"/>
      <c r="N1475" s="65"/>
      <c r="O1475" s="81">
        <f t="shared" si="66"/>
        <v>0</v>
      </c>
      <c r="P1475" s="81">
        <f t="shared" si="67"/>
        <v>0</v>
      </c>
      <c r="Q1475" s="65"/>
      <c r="R1475" s="67"/>
      <c r="S1475" s="83">
        <f t="shared" si="68"/>
        <v>0</v>
      </c>
    </row>
    <row r="1476" spans="1:19" ht="18" customHeight="1" x14ac:dyDescent="0.25">
      <c r="A1476" s="68"/>
      <c r="B1476" s="69"/>
      <c r="C1476" s="74"/>
      <c r="D1476" s="69"/>
      <c r="E1476" s="68"/>
      <c r="F1476" s="71"/>
      <c r="G1476" s="72"/>
      <c r="H1476" s="73"/>
      <c r="I1476" s="74"/>
      <c r="J1476" s="74"/>
      <c r="K1476" s="74"/>
      <c r="L1476" s="74"/>
      <c r="M1476" s="74"/>
      <c r="N1476" s="74"/>
      <c r="O1476" s="82">
        <f t="shared" si="66"/>
        <v>0</v>
      </c>
      <c r="P1476" s="82">
        <f t="shared" si="67"/>
        <v>0</v>
      </c>
      <c r="Q1476" s="74"/>
      <c r="R1476" s="76"/>
      <c r="S1476" s="84">
        <f t="shared" si="68"/>
        <v>0</v>
      </c>
    </row>
    <row r="1477" spans="1:19" ht="18" customHeight="1" x14ac:dyDescent="0.25">
      <c r="A1477" s="59"/>
      <c r="B1477" s="60"/>
      <c r="C1477" s="65"/>
      <c r="D1477" s="60"/>
      <c r="E1477" s="59"/>
      <c r="F1477" s="62"/>
      <c r="G1477" s="63"/>
      <c r="H1477" s="64"/>
      <c r="I1477" s="65"/>
      <c r="J1477" s="65"/>
      <c r="K1477" s="65"/>
      <c r="L1477" s="65"/>
      <c r="M1477" s="65"/>
      <c r="N1477" s="65"/>
      <c r="O1477" s="81">
        <f t="shared" si="66"/>
        <v>0</v>
      </c>
      <c r="P1477" s="81">
        <f t="shared" si="67"/>
        <v>0</v>
      </c>
      <c r="Q1477" s="65"/>
      <c r="R1477" s="67"/>
      <c r="S1477" s="83">
        <f t="shared" si="68"/>
        <v>0</v>
      </c>
    </row>
    <row r="1478" spans="1:19" ht="18" customHeight="1" x14ac:dyDescent="0.25">
      <c r="A1478" s="68"/>
      <c r="B1478" s="69"/>
      <c r="C1478" s="74"/>
      <c r="D1478" s="69"/>
      <c r="E1478" s="68"/>
      <c r="F1478" s="71"/>
      <c r="G1478" s="72"/>
      <c r="H1478" s="73"/>
      <c r="I1478" s="74"/>
      <c r="J1478" s="74"/>
      <c r="K1478" s="74"/>
      <c r="L1478" s="74"/>
      <c r="M1478" s="74"/>
      <c r="N1478" s="74"/>
      <c r="O1478" s="82" t="e">
        <f>#N/A</f>
        <v>#N/A</v>
      </c>
      <c r="P1478" s="82" t="e">
        <f>#N/A</f>
        <v>#N/A</v>
      </c>
      <c r="Q1478" s="74"/>
      <c r="R1478" s="76"/>
      <c r="S1478" s="84">
        <f t="shared" si="68"/>
        <v>0</v>
      </c>
    </row>
    <row r="1479" spans="1:19" ht="18" customHeight="1" x14ac:dyDescent="0.25">
      <c r="A1479" s="59"/>
      <c r="B1479" s="60"/>
      <c r="C1479" s="65"/>
      <c r="D1479" s="60"/>
      <c r="E1479" s="59"/>
      <c r="F1479" s="62"/>
      <c r="G1479" s="63"/>
      <c r="H1479" s="64"/>
      <c r="I1479" s="65"/>
      <c r="J1479" s="65"/>
      <c r="K1479" s="65"/>
      <c r="L1479" s="65"/>
      <c r="M1479" s="65"/>
      <c r="N1479" s="65"/>
      <c r="O1479" s="81">
        <f t="shared" ref="O1479:O1541" si="69">IF(G1479="Reimbursement ","",I1479+J1479+K1479+L1479+M1479)</f>
        <v>0</v>
      </c>
      <c r="P1479" s="81">
        <f t="shared" ref="P1479:P1541" si="70">IF(G1479="Reimbursement ","",H1479-O1479)</f>
        <v>0</v>
      </c>
      <c r="Q1479" s="65"/>
      <c r="R1479" s="67"/>
      <c r="S1479" s="83">
        <f t="shared" ref="S1479:S1542" si="71">IF(OR(R1479="",Q1479=""),0,IF(R1479&gt;Q1479,R1479-Q1479,0))</f>
        <v>0</v>
      </c>
    </row>
    <row r="1480" spans="1:19" ht="18" customHeight="1" x14ac:dyDescent="0.25">
      <c r="A1480" s="68"/>
      <c r="B1480" s="69"/>
      <c r="C1480" s="74"/>
      <c r="D1480" s="69"/>
      <c r="E1480" s="68"/>
      <c r="F1480" s="71"/>
      <c r="G1480" s="72"/>
      <c r="H1480" s="73"/>
      <c r="I1480" s="74"/>
      <c r="J1480" s="74"/>
      <c r="K1480" s="74"/>
      <c r="L1480" s="74"/>
      <c r="M1480" s="74"/>
      <c r="N1480" s="74"/>
      <c r="O1480" s="82">
        <f t="shared" si="69"/>
        <v>0</v>
      </c>
      <c r="P1480" s="82">
        <f t="shared" si="70"/>
        <v>0</v>
      </c>
      <c r="Q1480" s="74"/>
      <c r="R1480" s="76"/>
      <c r="S1480" s="84">
        <f t="shared" si="71"/>
        <v>0</v>
      </c>
    </row>
    <row r="1481" spans="1:19" ht="18" customHeight="1" x14ac:dyDescent="0.25">
      <c r="A1481" s="59"/>
      <c r="B1481" s="60"/>
      <c r="C1481" s="65"/>
      <c r="D1481" s="60"/>
      <c r="E1481" s="59"/>
      <c r="F1481" s="62"/>
      <c r="G1481" s="63"/>
      <c r="H1481" s="64"/>
      <c r="I1481" s="65"/>
      <c r="J1481" s="65"/>
      <c r="K1481" s="65"/>
      <c r="L1481" s="65"/>
      <c r="M1481" s="65"/>
      <c r="N1481" s="65"/>
      <c r="O1481" s="81">
        <f t="shared" si="69"/>
        <v>0</v>
      </c>
      <c r="P1481" s="81">
        <f t="shared" si="70"/>
        <v>0</v>
      </c>
      <c r="Q1481" s="65"/>
      <c r="R1481" s="67"/>
      <c r="S1481" s="83">
        <f t="shared" si="71"/>
        <v>0</v>
      </c>
    </row>
    <row r="1482" spans="1:19" ht="18" customHeight="1" x14ac:dyDescent="0.25">
      <c r="A1482" s="68"/>
      <c r="B1482" s="69"/>
      <c r="C1482" s="74"/>
      <c r="D1482" s="69"/>
      <c r="E1482" s="68"/>
      <c r="F1482" s="71"/>
      <c r="G1482" s="72"/>
      <c r="H1482" s="73"/>
      <c r="I1482" s="74"/>
      <c r="J1482" s="74"/>
      <c r="K1482" s="74"/>
      <c r="L1482" s="74"/>
      <c r="M1482" s="74"/>
      <c r="N1482" s="74"/>
      <c r="O1482" s="82">
        <f t="shared" si="69"/>
        <v>0</v>
      </c>
      <c r="P1482" s="82">
        <f t="shared" si="70"/>
        <v>0</v>
      </c>
      <c r="Q1482" s="74"/>
      <c r="R1482" s="76"/>
      <c r="S1482" s="84">
        <f t="shared" si="71"/>
        <v>0</v>
      </c>
    </row>
    <row r="1483" spans="1:19" ht="18" customHeight="1" x14ac:dyDescent="0.25">
      <c r="A1483" s="59"/>
      <c r="B1483" s="60"/>
      <c r="C1483" s="65"/>
      <c r="D1483" s="60"/>
      <c r="E1483" s="59"/>
      <c r="F1483" s="62"/>
      <c r="G1483" s="63"/>
      <c r="H1483" s="64"/>
      <c r="I1483" s="65"/>
      <c r="J1483" s="65"/>
      <c r="K1483" s="65"/>
      <c r="L1483" s="65"/>
      <c r="M1483" s="65"/>
      <c r="N1483" s="65"/>
      <c r="O1483" s="81">
        <f t="shared" si="69"/>
        <v>0</v>
      </c>
      <c r="P1483" s="81">
        <f t="shared" si="70"/>
        <v>0</v>
      </c>
      <c r="Q1483" s="65"/>
      <c r="R1483" s="67"/>
      <c r="S1483" s="83">
        <f t="shared" si="71"/>
        <v>0</v>
      </c>
    </row>
    <row r="1484" spans="1:19" ht="18" customHeight="1" x14ac:dyDescent="0.25">
      <c r="A1484" s="68"/>
      <c r="B1484" s="69"/>
      <c r="C1484" s="74"/>
      <c r="D1484" s="69"/>
      <c r="E1484" s="68"/>
      <c r="F1484" s="71"/>
      <c r="G1484" s="72"/>
      <c r="H1484" s="73"/>
      <c r="I1484" s="74"/>
      <c r="J1484" s="74"/>
      <c r="K1484" s="74"/>
      <c r="L1484" s="74"/>
      <c r="M1484" s="74"/>
      <c r="N1484" s="74"/>
      <c r="O1484" s="82">
        <f t="shared" si="69"/>
        <v>0</v>
      </c>
      <c r="P1484" s="82">
        <f t="shared" si="70"/>
        <v>0</v>
      </c>
      <c r="Q1484" s="74"/>
      <c r="R1484" s="76"/>
      <c r="S1484" s="84">
        <f t="shared" si="71"/>
        <v>0</v>
      </c>
    </row>
    <row r="1485" spans="1:19" ht="18" customHeight="1" x14ac:dyDescent="0.25">
      <c r="A1485" s="59"/>
      <c r="B1485" s="60"/>
      <c r="C1485" s="65"/>
      <c r="D1485" s="60"/>
      <c r="E1485" s="59"/>
      <c r="F1485" s="62"/>
      <c r="G1485" s="63"/>
      <c r="H1485" s="64"/>
      <c r="I1485" s="65"/>
      <c r="J1485" s="65"/>
      <c r="K1485" s="65"/>
      <c r="L1485" s="65"/>
      <c r="M1485" s="65"/>
      <c r="N1485" s="65"/>
      <c r="O1485" s="81">
        <f t="shared" si="69"/>
        <v>0</v>
      </c>
      <c r="P1485" s="81">
        <f t="shared" si="70"/>
        <v>0</v>
      </c>
      <c r="Q1485" s="65"/>
      <c r="R1485" s="67"/>
      <c r="S1485" s="83">
        <f t="shared" si="71"/>
        <v>0</v>
      </c>
    </row>
    <row r="1486" spans="1:19" ht="18" customHeight="1" x14ac:dyDescent="0.25">
      <c r="A1486" s="68"/>
      <c r="B1486" s="69"/>
      <c r="C1486" s="74"/>
      <c r="D1486" s="69"/>
      <c r="E1486" s="68"/>
      <c r="F1486" s="71"/>
      <c r="G1486" s="72"/>
      <c r="H1486" s="73"/>
      <c r="I1486" s="74"/>
      <c r="J1486" s="74"/>
      <c r="K1486" s="74"/>
      <c r="L1486" s="74"/>
      <c r="M1486" s="74"/>
      <c r="N1486" s="74"/>
      <c r="O1486" s="82">
        <f t="shared" si="69"/>
        <v>0</v>
      </c>
      <c r="P1486" s="82">
        <f t="shared" si="70"/>
        <v>0</v>
      </c>
      <c r="Q1486" s="74"/>
      <c r="R1486" s="76"/>
      <c r="S1486" s="84">
        <f t="shared" si="71"/>
        <v>0</v>
      </c>
    </row>
    <row r="1487" spans="1:19" ht="18" customHeight="1" x14ac:dyDescent="0.25">
      <c r="A1487" s="59"/>
      <c r="B1487" s="60"/>
      <c r="C1487" s="65"/>
      <c r="D1487" s="60"/>
      <c r="E1487" s="59"/>
      <c r="F1487" s="62"/>
      <c r="G1487" s="63"/>
      <c r="H1487" s="64"/>
      <c r="I1487" s="65"/>
      <c r="J1487" s="65"/>
      <c r="K1487" s="65"/>
      <c r="L1487" s="65"/>
      <c r="M1487" s="65"/>
      <c r="N1487" s="65"/>
      <c r="O1487" s="81">
        <f t="shared" si="69"/>
        <v>0</v>
      </c>
      <c r="P1487" s="81">
        <f t="shared" si="70"/>
        <v>0</v>
      </c>
      <c r="Q1487" s="65"/>
      <c r="R1487" s="67"/>
      <c r="S1487" s="83">
        <f t="shared" si="71"/>
        <v>0</v>
      </c>
    </row>
    <row r="1488" spans="1:19" ht="18" customHeight="1" x14ac:dyDescent="0.25">
      <c r="A1488" s="68"/>
      <c r="B1488" s="69"/>
      <c r="C1488" s="74"/>
      <c r="D1488" s="69"/>
      <c r="E1488" s="68"/>
      <c r="F1488" s="71"/>
      <c r="G1488" s="72"/>
      <c r="H1488" s="73"/>
      <c r="I1488" s="74"/>
      <c r="J1488" s="74"/>
      <c r="K1488" s="74"/>
      <c r="L1488" s="74"/>
      <c r="M1488" s="74"/>
      <c r="N1488" s="74"/>
      <c r="O1488" s="82">
        <f t="shared" si="69"/>
        <v>0</v>
      </c>
      <c r="P1488" s="82">
        <f t="shared" si="70"/>
        <v>0</v>
      </c>
      <c r="Q1488" s="74"/>
      <c r="R1488" s="76"/>
      <c r="S1488" s="84">
        <f t="shared" si="71"/>
        <v>0</v>
      </c>
    </row>
    <row r="1489" spans="1:19" ht="18" customHeight="1" x14ac:dyDescent="0.25">
      <c r="A1489" s="59"/>
      <c r="B1489" s="60"/>
      <c r="C1489" s="65"/>
      <c r="D1489" s="60"/>
      <c r="E1489" s="59"/>
      <c r="F1489" s="62"/>
      <c r="G1489" s="63"/>
      <c r="H1489" s="64"/>
      <c r="I1489" s="65"/>
      <c r="J1489" s="65"/>
      <c r="K1489" s="65"/>
      <c r="L1489" s="65"/>
      <c r="M1489" s="65"/>
      <c r="N1489" s="65"/>
      <c r="O1489" s="81">
        <f t="shared" si="69"/>
        <v>0</v>
      </c>
      <c r="P1489" s="81">
        <f t="shared" si="70"/>
        <v>0</v>
      </c>
      <c r="Q1489" s="65"/>
      <c r="R1489" s="67"/>
      <c r="S1489" s="83">
        <f t="shared" si="71"/>
        <v>0</v>
      </c>
    </row>
    <row r="1490" spans="1:19" ht="18" customHeight="1" x14ac:dyDescent="0.25">
      <c r="A1490" s="68"/>
      <c r="B1490" s="69"/>
      <c r="C1490" s="74"/>
      <c r="D1490" s="69"/>
      <c r="E1490" s="68"/>
      <c r="F1490" s="71"/>
      <c r="G1490" s="72"/>
      <c r="H1490" s="73"/>
      <c r="I1490" s="74"/>
      <c r="J1490" s="74"/>
      <c r="K1490" s="74"/>
      <c r="L1490" s="74"/>
      <c r="M1490" s="74"/>
      <c r="N1490" s="74"/>
      <c r="O1490" s="82">
        <f t="shared" si="69"/>
        <v>0</v>
      </c>
      <c r="P1490" s="82">
        <f t="shared" si="70"/>
        <v>0</v>
      </c>
      <c r="Q1490" s="74"/>
      <c r="R1490" s="76"/>
      <c r="S1490" s="84">
        <f t="shared" si="71"/>
        <v>0</v>
      </c>
    </row>
    <row r="1491" spans="1:19" ht="18" customHeight="1" x14ac:dyDescent="0.25">
      <c r="A1491" s="59"/>
      <c r="B1491" s="60"/>
      <c r="C1491" s="65"/>
      <c r="D1491" s="60"/>
      <c r="E1491" s="59"/>
      <c r="F1491" s="62"/>
      <c r="G1491" s="63"/>
      <c r="H1491" s="64"/>
      <c r="I1491" s="65"/>
      <c r="J1491" s="65"/>
      <c r="K1491" s="65"/>
      <c r="L1491" s="65"/>
      <c r="M1491" s="65"/>
      <c r="N1491" s="65"/>
      <c r="O1491" s="81">
        <f t="shared" si="69"/>
        <v>0</v>
      </c>
      <c r="P1491" s="81">
        <f t="shared" si="70"/>
        <v>0</v>
      </c>
      <c r="Q1491" s="65"/>
      <c r="R1491" s="67"/>
      <c r="S1491" s="83">
        <f t="shared" si="71"/>
        <v>0</v>
      </c>
    </row>
    <row r="1492" spans="1:19" ht="18" customHeight="1" x14ac:dyDescent="0.25">
      <c r="A1492" s="68"/>
      <c r="B1492" s="69"/>
      <c r="C1492" s="74"/>
      <c r="D1492" s="69"/>
      <c r="E1492" s="68"/>
      <c r="F1492" s="71"/>
      <c r="G1492" s="72"/>
      <c r="H1492" s="73"/>
      <c r="I1492" s="74"/>
      <c r="J1492" s="74"/>
      <c r="K1492" s="74"/>
      <c r="L1492" s="74"/>
      <c r="M1492" s="74"/>
      <c r="N1492" s="74"/>
      <c r="O1492" s="82">
        <f t="shared" si="69"/>
        <v>0</v>
      </c>
      <c r="P1492" s="82">
        <f t="shared" si="70"/>
        <v>0</v>
      </c>
      <c r="Q1492" s="74"/>
      <c r="R1492" s="76"/>
      <c r="S1492" s="84">
        <f t="shared" si="71"/>
        <v>0</v>
      </c>
    </row>
    <row r="1493" spans="1:19" ht="18" customHeight="1" x14ac:dyDescent="0.25">
      <c r="A1493" s="59"/>
      <c r="B1493" s="60"/>
      <c r="C1493" s="65"/>
      <c r="D1493" s="60"/>
      <c r="E1493" s="59"/>
      <c r="F1493" s="62"/>
      <c r="G1493" s="63"/>
      <c r="H1493" s="64"/>
      <c r="I1493" s="65"/>
      <c r="J1493" s="65"/>
      <c r="K1493" s="65"/>
      <c r="L1493" s="65"/>
      <c r="M1493" s="65"/>
      <c r="N1493" s="65"/>
      <c r="O1493" s="81">
        <f t="shared" si="69"/>
        <v>0</v>
      </c>
      <c r="P1493" s="81">
        <f t="shared" si="70"/>
        <v>0</v>
      </c>
      <c r="Q1493" s="65"/>
      <c r="R1493" s="67"/>
      <c r="S1493" s="83">
        <f t="shared" si="71"/>
        <v>0</v>
      </c>
    </row>
    <row r="1494" spans="1:19" ht="18" customHeight="1" x14ac:dyDescent="0.25">
      <c r="A1494" s="68"/>
      <c r="B1494" s="69"/>
      <c r="C1494" s="74"/>
      <c r="D1494" s="69"/>
      <c r="E1494" s="68"/>
      <c r="F1494" s="71"/>
      <c r="G1494" s="72"/>
      <c r="H1494" s="73"/>
      <c r="I1494" s="74"/>
      <c r="J1494" s="74"/>
      <c r="K1494" s="74"/>
      <c r="L1494" s="74"/>
      <c r="M1494" s="74"/>
      <c r="N1494" s="74"/>
      <c r="O1494" s="82">
        <f t="shared" si="69"/>
        <v>0</v>
      </c>
      <c r="P1494" s="82">
        <f t="shared" si="70"/>
        <v>0</v>
      </c>
      <c r="Q1494" s="74"/>
      <c r="R1494" s="76"/>
      <c r="S1494" s="84">
        <f t="shared" si="71"/>
        <v>0</v>
      </c>
    </row>
    <row r="1495" spans="1:19" ht="18" customHeight="1" x14ac:dyDescent="0.25">
      <c r="A1495" s="59"/>
      <c r="B1495" s="60"/>
      <c r="C1495" s="65"/>
      <c r="D1495" s="60"/>
      <c r="E1495" s="59"/>
      <c r="F1495" s="62"/>
      <c r="G1495" s="63"/>
      <c r="H1495" s="64"/>
      <c r="I1495" s="65"/>
      <c r="J1495" s="65"/>
      <c r="K1495" s="65"/>
      <c r="L1495" s="65"/>
      <c r="M1495" s="65"/>
      <c r="N1495" s="65"/>
      <c r="O1495" s="81">
        <f t="shared" si="69"/>
        <v>0</v>
      </c>
      <c r="P1495" s="81">
        <f t="shared" si="70"/>
        <v>0</v>
      </c>
      <c r="Q1495" s="65"/>
      <c r="R1495" s="67"/>
      <c r="S1495" s="83">
        <f t="shared" si="71"/>
        <v>0</v>
      </c>
    </row>
    <row r="1496" spans="1:19" ht="18" customHeight="1" x14ac:dyDescent="0.25">
      <c r="A1496" s="68"/>
      <c r="B1496" s="69"/>
      <c r="C1496" s="74"/>
      <c r="D1496" s="69"/>
      <c r="E1496" s="68"/>
      <c r="F1496" s="71"/>
      <c r="G1496" s="72"/>
      <c r="H1496" s="73"/>
      <c r="I1496" s="74"/>
      <c r="J1496" s="74"/>
      <c r="K1496" s="74"/>
      <c r="L1496" s="74"/>
      <c r="M1496" s="74"/>
      <c r="N1496" s="74"/>
      <c r="O1496" s="82">
        <f t="shared" si="69"/>
        <v>0</v>
      </c>
      <c r="P1496" s="82">
        <f t="shared" si="70"/>
        <v>0</v>
      </c>
      <c r="Q1496" s="74"/>
      <c r="R1496" s="76"/>
      <c r="S1496" s="84">
        <f t="shared" si="71"/>
        <v>0</v>
      </c>
    </row>
    <row r="1497" spans="1:19" ht="18" customHeight="1" x14ac:dyDescent="0.25">
      <c r="A1497" s="59"/>
      <c r="B1497" s="60"/>
      <c r="C1497" s="65"/>
      <c r="D1497" s="60"/>
      <c r="E1497" s="59"/>
      <c r="F1497" s="62"/>
      <c r="G1497" s="63"/>
      <c r="H1497" s="64"/>
      <c r="I1497" s="65"/>
      <c r="J1497" s="65"/>
      <c r="K1497" s="65"/>
      <c r="L1497" s="65"/>
      <c r="M1497" s="65"/>
      <c r="N1497" s="65"/>
      <c r="O1497" s="81">
        <f t="shared" si="69"/>
        <v>0</v>
      </c>
      <c r="P1497" s="81">
        <f t="shared" si="70"/>
        <v>0</v>
      </c>
      <c r="Q1497" s="65"/>
      <c r="R1497" s="67"/>
      <c r="S1497" s="83">
        <f t="shared" si="71"/>
        <v>0</v>
      </c>
    </row>
    <row r="1498" spans="1:19" ht="18" customHeight="1" x14ac:dyDescent="0.25">
      <c r="A1498" s="68"/>
      <c r="B1498" s="69"/>
      <c r="C1498" s="74"/>
      <c r="D1498" s="69"/>
      <c r="E1498" s="68"/>
      <c r="F1498" s="71"/>
      <c r="G1498" s="72"/>
      <c r="H1498" s="73"/>
      <c r="I1498" s="74"/>
      <c r="J1498" s="74"/>
      <c r="K1498" s="74"/>
      <c r="L1498" s="74"/>
      <c r="M1498" s="74"/>
      <c r="N1498" s="74"/>
      <c r="O1498" s="82">
        <f t="shared" si="69"/>
        <v>0</v>
      </c>
      <c r="P1498" s="82">
        <f t="shared" si="70"/>
        <v>0</v>
      </c>
      <c r="Q1498" s="74"/>
      <c r="R1498" s="76"/>
      <c r="S1498" s="84">
        <f t="shared" si="71"/>
        <v>0</v>
      </c>
    </row>
    <row r="1499" spans="1:19" ht="18" customHeight="1" x14ac:dyDescent="0.25">
      <c r="A1499" s="59"/>
      <c r="B1499" s="60"/>
      <c r="C1499" s="65"/>
      <c r="D1499" s="60"/>
      <c r="E1499" s="59"/>
      <c r="F1499" s="62"/>
      <c r="G1499" s="63"/>
      <c r="H1499" s="64"/>
      <c r="I1499" s="65"/>
      <c r="J1499" s="65"/>
      <c r="K1499" s="65"/>
      <c r="L1499" s="65"/>
      <c r="M1499" s="65"/>
      <c r="N1499" s="65"/>
      <c r="O1499" s="81">
        <f t="shared" si="69"/>
        <v>0</v>
      </c>
      <c r="P1499" s="81">
        <f t="shared" si="70"/>
        <v>0</v>
      </c>
      <c r="Q1499" s="65"/>
      <c r="R1499" s="67"/>
      <c r="S1499" s="83">
        <f t="shared" si="71"/>
        <v>0</v>
      </c>
    </row>
    <row r="1500" spans="1:19" ht="18" customHeight="1" x14ac:dyDescent="0.25">
      <c r="A1500" s="68"/>
      <c r="B1500" s="69"/>
      <c r="C1500" s="74"/>
      <c r="D1500" s="69"/>
      <c r="E1500" s="68"/>
      <c r="F1500" s="71"/>
      <c r="G1500" s="72"/>
      <c r="H1500" s="73"/>
      <c r="I1500" s="74"/>
      <c r="J1500" s="74"/>
      <c r="K1500" s="74"/>
      <c r="L1500" s="74"/>
      <c r="M1500" s="74"/>
      <c r="N1500" s="74"/>
      <c r="O1500" s="82">
        <f t="shared" si="69"/>
        <v>0</v>
      </c>
      <c r="P1500" s="82">
        <f t="shared" si="70"/>
        <v>0</v>
      </c>
      <c r="Q1500" s="74"/>
      <c r="R1500" s="76"/>
      <c r="S1500" s="84">
        <f t="shared" si="71"/>
        <v>0</v>
      </c>
    </row>
    <row r="1501" spans="1:19" ht="18" customHeight="1" x14ac:dyDescent="0.25">
      <c r="A1501" s="59"/>
      <c r="B1501" s="60"/>
      <c r="C1501" s="65"/>
      <c r="D1501" s="60"/>
      <c r="E1501" s="59"/>
      <c r="F1501" s="62"/>
      <c r="G1501" s="63"/>
      <c r="H1501" s="64"/>
      <c r="I1501" s="65"/>
      <c r="J1501" s="65"/>
      <c r="K1501" s="65"/>
      <c r="L1501" s="65"/>
      <c r="M1501" s="65"/>
      <c r="N1501" s="65"/>
      <c r="O1501" s="81">
        <f t="shared" si="69"/>
        <v>0</v>
      </c>
      <c r="P1501" s="81">
        <f t="shared" si="70"/>
        <v>0</v>
      </c>
      <c r="Q1501" s="65"/>
      <c r="R1501" s="67"/>
      <c r="S1501" s="83">
        <f t="shared" si="71"/>
        <v>0</v>
      </c>
    </row>
    <row r="1502" spans="1:19" ht="18" customHeight="1" x14ac:dyDescent="0.25">
      <c r="A1502" s="68"/>
      <c r="B1502" s="69"/>
      <c r="C1502" s="74"/>
      <c r="D1502" s="69"/>
      <c r="E1502" s="68"/>
      <c r="F1502" s="71"/>
      <c r="G1502" s="72"/>
      <c r="H1502" s="73"/>
      <c r="I1502" s="74"/>
      <c r="J1502" s="74"/>
      <c r="K1502" s="74"/>
      <c r="L1502" s="74"/>
      <c r="M1502" s="74"/>
      <c r="N1502" s="74"/>
      <c r="O1502" s="82">
        <f t="shared" si="69"/>
        <v>0</v>
      </c>
      <c r="P1502" s="82">
        <f t="shared" si="70"/>
        <v>0</v>
      </c>
      <c r="Q1502" s="74"/>
      <c r="R1502" s="76"/>
      <c r="S1502" s="84">
        <f t="shared" si="71"/>
        <v>0</v>
      </c>
    </row>
    <row r="1503" spans="1:19" ht="18" customHeight="1" x14ac:dyDescent="0.25">
      <c r="A1503" s="59"/>
      <c r="B1503" s="60"/>
      <c r="C1503" s="65"/>
      <c r="D1503" s="60"/>
      <c r="E1503" s="59"/>
      <c r="F1503" s="62"/>
      <c r="G1503" s="63"/>
      <c r="H1503" s="64"/>
      <c r="I1503" s="65"/>
      <c r="J1503" s="65"/>
      <c r="K1503" s="65"/>
      <c r="L1503" s="65"/>
      <c r="M1503" s="65"/>
      <c r="N1503" s="65"/>
      <c r="O1503" s="81">
        <f t="shared" si="69"/>
        <v>0</v>
      </c>
      <c r="P1503" s="81">
        <f t="shared" si="70"/>
        <v>0</v>
      </c>
      <c r="Q1503" s="65"/>
      <c r="R1503" s="67"/>
      <c r="S1503" s="83">
        <f t="shared" si="71"/>
        <v>0</v>
      </c>
    </row>
    <row r="1504" spans="1:19" ht="18" customHeight="1" x14ac:dyDescent="0.25">
      <c r="A1504" s="68"/>
      <c r="B1504" s="69"/>
      <c r="C1504" s="74"/>
      <c r="D1504" s="69"/>
      <c r="E1504" s="68"/>
      <c r="F1504" s="71"/>
      <c r="G1504" s="72"/>
      <c r="H1504" s="73"/>
      <c r="I1504" s="74"/>
      <c r="J1504" s="74"/>
      <c r="K1504" s="74"/>
      <c r="L1504" s="74"/>
      <c r="M1504" s="74"/>
      <c r="N1504" s="74"/>
      <c r="O1504" s="82">
        <f t="shared" si="69"/>
        <v>0</v>
      </c>
      <c r="P1504" s="82">
        <f t="shared" si="70"/>
        <v>0</v>
      </c>
      <c r="Q1504" s="74"/>
      <c r="R1504" s="76"/>
      <c r="S1504" s="84">
        <f t="shared" si="71"/>
        <v>0</v>
      </c>
    </row>
    <row r="1505" spans="1:19" ht="18" customHeight="1" x14ac:dyDescent="0.25">
      <c r="A1505" s="59"/>
      <c r="B1505" s="60"/>
      <c r="C1505" s="65"/>
      <c r="D1505" s="60"/>
      <c r="E1505" s="59"/>
      <c r="F1505" s="62"/>
      <c r="G1505" s="63"/>
      <c r="H1505" s="64"/>
      <c r="I1505" s="65"/>
      <c r="J1505" s="65"/>
      <c r="K1505" s="65"/>
      <c r="L1505" s="65"/>
      <c r="M1505" s="65"/>
      <c r="N1505" s="65"/>
      <c r="O1505" s="81">
        <f t="shared" si="69"/>
        <v>0</v>
      </c>
      <c r="P1505" s="81">
        <f t="shared" si="70"/>
        <v>0</v>
      </c>
      <c r="Q1505" s="65"/>
      <c r="R1505" s="67"/>
      <c r="S1505" s="83">
        <f t="shared" si="71"/>
        <v>0</v>
      </c>
    </row>
    <row r="1506" spans="1:19" ht="18" customHeight="1" x14ac:dyDescent="0.25">
      <c r="A1506" s="68"/>
      <c r="B1506" s="69"/>
      <c r="C1506" s="74"/>
      <c r="D1506" s="69"/>
      <c r="E1506" s="68"/>
      <c r="F1506" s="71"/>
      <c r="G1506" s="72"/>
      <c r="H1506" s="73"/>
      <c r="I1506" s="74"/>
      <c r="J1506" s="74"/>
      <c r="K1506" s="74"/>
      <c r="L1506" s="74"/>
      <c r="M1506" s="74"/>
      <c r="N1506" s="74"/>
      <c r="O1506" s="82">
        <f t="shared" si="69"/>
        <v>0</v>
      </c>
      <c r="P1506" s="82">
        <f t="shared" si="70"/>
        <v>0</v>
      </c>
      <c r="Q1506" s="74"/>
      <c r="R1506" s="76"/>
      <c r="S1506" s="84">
        <f t="shared" si="71"/>
        <v>0</v>
      </c>
    </row>
    <row r="1507" spans="1:19" ht="18" customHeight="1" x14ac:dyDescent="0.25">
      <c r="A1507" s="59"/>
      <c r="B1507" s="60"/>
      <c r="C1507" s="65"/>
      <c r="D1507" s="60"/>
      <c r="E1507" s="59"/>
      <c r="F1507" s="62"/>
      <c r="G1507" s="63"/>
      <c r="H1507" s="64"/>
      <c r="I1507" s="65"/>
      <c r="J1507" s="65"/>
      <c r="K1507" s="65"/>
      <c r="L1507" s="65"/>
      <c r="M1507" s="65"/>
      <c r="N1507" s="65"/>
      <c r="O1507" s="81">
        <f t="shared" si="69"/>
        <v>0</v>
      </c>
      <c r="P1507" s="81">
        <f t="shared" si="70"/>
        <v>0</v>
      </c>
      <c r="Q1507" s="65"/>
      <c r="R1507" s="67"/>
      <c r="S1507" s="83">
        <f t="shared" si="71"/>
        <v>0</v>
      </c>
    </row>
    <row r="1508" spans="1:19" ht="18" customHeight="1" x14ac:dyDescent="0.25">
      <c r="A1508" s="68"/>
      <c r="B1508" s="69"/>
      <c r="C1508" s="74"/>
      <c r="D1508" s="69"/>
      <c r="E1508" s="68"/>
      <c r="F1508" s="71"/>
      <c r="G1508" s="72"/>
      <c r="H1508" s="73"/>
      <c r="I1508" s="74"/>
      <c r="J1508" s="74"/>
      <c r="K1508" s="74"/>
      <c r="L1508" s="74"/>
      <c r="M1508" s="74"/>
      <c r="N1508" s="74"/>
      <c r="O1508" s="82">
        <f t="shared" si="69"/>
        <v>0</v>
      </c>
      <c r="P1508" s="82">
        <f t="shared" si="70"/>
        <v>0</v>
      </c>
      <c r="Q1508" s="74"/>
      <c r="R1508" s="76"/>
      <c r="S1508" s="84">
        <f t="shared" si="71"/>
        <v>0</v>
      </c>
    </row>
    <row r="1509" spans="1:19" ht="18" customHeight="1" x14ac:dyDescent="0.25">
      <c r="A1509" s="59"/>
      <c r="B1509" s="60"/>
      <c r="C1509" s="65"/>
      <c r="D1509" s="60"/>
      <c r="E1509" s="59"/>
      <c r="F1509" s="62"/>
      <c r="G1509" s="63"/>
      <c r="H1509" s="64"/>
      <c r="I1509" s="65"/>
      <c r="J1509" s="65"/>
      <c r="K1509" s="65"/>
      <c r="L1509" s="65"/>
      <c r="M1509" s="65"/>
      <c r="N1509" s="65"/>
      <c r="O1509" s="81">
        <f t="shared" si="69"/>
        <v>0</v>
      </c>
      <c r="P1509" s="81">
        <f t="shared" si="70"/>
        <v>0</v>
      </c>
      <c r="Q1509" s="65"/>
      <c r="R1509" s="67"/>
      <c r="S1509" s="83">
        <f t="shared" si="71"/>
        <v>0</v>
      </c>
    </row>
    <row r="1510" spans="1:19" ht="18" customHeight="1" x14ac:dyDescent="0.25">
      <c r="A1510" s="68"/>
      <c r="B1510" s="69"/>
      <c r="C1510" s="74"/>
      <c r="D1510" s="69"/>
      <c r="E1510" s="68"/>
      <c r="F1510" s="71"/>
      <c r="G1510" s="72"/>
      <c r="H1510" s="73"/>
      <c r="I1510" s="74"/>
      <c r="J1510" s="74"/>
      <c r="K1510" s="74"/>
      <c r="L1510" s="74"/>
      <c r="M1510" s="74"/>
      <c r="N1510" s="74"/>
      <c r="O1510" s="82">
        <f t="shared" si="69"/>
        <v>0</v>
      </c>
      <c r="P1510" s="82">
        <f t="shared" si="70"/>
        <v>0</v>
      </c>
      <c r="Q1510" s="74"/>
      <c r="R1510" s="76"/>
      <c r="S1510" s="84">
        <f t="shared" si="71"/>
        <v>0</v>
      </c>
    </row>
    <row r="1511" spans="1:19" ht="18" customHeight="1" x14ac:dyDescent="0.25">
      <c r="A1511" s="59"/>
      <c r="B1511" s="60"/>
      <c r="C1511" s="65"/>
      <c r="D1511" s="60"/>
      <c r="E1511" s="59"/>
      <c r="F1511" s="62"/>
      <c r="G1511" s="63"/>
      <c r="H1511" s="64"/>
      <c r="I1511" s="65"/>
      <c r="J1511" s="65"/>
      <c r="K1511" s="65"/>
      <c r="L1511" s="65"/>
      <c r="M1511" s="65"/>
      <c r="N1511" s="65"/>
      <c r="O1511" s="81">
        <f t="shared" si="69"/>
        <v>0</v>
      </c>
      <c r="P1511" s="81">
        <f t="shared" si="70"/>
        <v>0</v>
      </c>
      <c r="Q1511" s="65"/>
      <c r="R1511" s="67"/>
      <c r="S1511" s="83">
        <f t="shared" si="71"/>
        <v>0</v>
      </c>
    </row>
    <row r="1512" spans="1:19" ht="18" customHeight="1" x14ac:dyDescent="0.25">
      <c r="A1512" s="68"/>
      <c r="B1512" s="69"/>
      <c r="C1512" s="74"/>
      <c r="D1512" s="69"/>
      <c r="E1512" s="68"/>
      <c r="F1512" s="71"/>
      <c r="G1512" s="72"/>
      <c r="H1512" s="73"/>
      <c r="I1512" s="74"/>
      <c r="J1512" s="74"/>
      <c r="K1512" s="74"/>
      <c r="L1512" s="74"/>
      <c r="M1512" s="74"/>
      <c r="N1512" s="74"/>
      <c r="O1512" s="82">
        <f t="shared" si="69"/>
        <v>0</v>
      </c>
      <c r="P1512" s="82">
        <f t="shared" si="70"/>
        <v>0</v>
      </c>
      <c r="Q1512" s="74"/>
      <c r="R1512" s="76"/>
      <c r="S1512" s="84">
        <f t="shared" si="71"/>
        <v>0</v>
      </c>
    </row>
    <row r="1513" spans="1:19" ht="18" customHeight="1" x14ac:dyDescent="0.25">
      <c r="A1513" s="59"/>
      <c r="B1513" s="60"/>
      <c r="C1513" s="65"/>
      <c r="D1513" s="60"/>
      <c r="E1513" s="59"/>
      <c r="F1513" s="62"/>
      <c r="G1513" s="63"/>
      <c r="H1513" s="64"/>
      <c r="I1513" s="65"/>
      <c r="J1513" s="65"/>
      <c r="K1513" s="65"/>
      <c r="L1513" s="65"/>
      <c r="M1513" s="65"/>
      <c r="N1513" s="65"/>
      <c r="O1513" s="81">
        <f t="shared" si="69"/>
        <v>0</v>
      </c>
      <c r="P1513" s="81">
        <f t="shared" si="70"/>
        <v>0</v>
      </c>
      <c r="Q1513" s="65"/>
      <c r="R1513" s="67"/>
      <c r="S1513" s="83">
        <f t="shared" si="71"/>
        <v>0</v>
      </c>
    </row>
    <row r="1514" spans="1:19" ht="18" customHeight="1" x14ac:dyDescent="0.25">
      <c r="A1514" s="68"/>
      <c r="B1514" s="69"/>
      <c r="C1514" s="74"/>
      <c r="D1514" s="69"/>
      <c r="E1514" s="68"/>
      <c r="F1514" s="71"/>
      <c r="G1514" s="72"/>
      <c r="H1514" s="73"/>
      <c r="I1514" s="74"/>
      <c r="J1514" s="74"/>
      <c r="K1514" s="74"/>
      <c r="L1514" s="74"/>
      <c r="M1514" s="74"/>
      <c r="N1514" s="74"/>
      <c r="O1514" s="82">
        <f t="shared" si="69"/>
        <v>0</v>
      </c>
      <c r="P1514" s="82">
        <f t="shared" si="70"/>
        <v>0</v>
      </c>
      <c r="Q1514" s="74"/>
      <c r="R1514" s="76"/>
      <c r="S1514" s="84">
        <f t="shared" si="71"/>
        <v>0</v>
      </c>
    </row>
    <row r="1515" spans="1:19" ht="18" customHeight="1" x14ac:dyDescent="0.25">
      <c r="A1515" s="59"/>
      <c r="B1515" s="60"/>
      <c r="C1515" s="65"/>
      <c r="D1515" s="60"/>
      <c r="E1515" s="59"/>
      <c r="F1515" s="62"/>
      <c r="G1515" s="63"/>
      <c r="H1515" s="64"/>
      <c r="I1515" s="65"/>
      <c r="J1515" s="65"/>
      <c r="K1515" s="65"/>
      <c r="L1515" s="65"/>
      <c r="M1515" s="65"/>
      <c r="N1515" s="65"/>
      <c r="O1515" s="81">
        <f t="shared" si="69"/>
        <v>0</v>
      </c>
      <c r="P1515" s="81">
        <f t="shared" si="70"/>
        <v>0</v>
      </c>
      <c r="Q1515" s="65"/>
      <c r="R1515" s="67"/>
      <c r="S1515" s="83">
        <f t="shared" si="71"/>
        <v>0</v>
      </c>
    </row>
    <row r="1516" spans="1:19" ht="18" customHeight="1" x14ac:dyDescent="0.25">
      <c r="A1516" s="68"/>
      <c r="B1516" s="69"/>
      <c r="C1516" s="74"/>
      <c r="D1516" s="69"/>
      <c r="E1516" s="68"/>
      <c r="F1516" s="71"/>
      <c r="G1516" s="72"/>
      <c r="H1516" s="73"/>
      <c r="I1516" s="74"/>
      <c r="J1516" s="74"/>
      <c r="K1516" s="74"/>
      <c r="L1516" s="74"/>
      <c r="M1516" s="74"/>
      <c r="N1516" s="74"/>
      <c r="O1516" s="82">
        <f t="shared" si="69"/>
        <v>0</v>
      </c>
      <c r="P1516" s="82">
        <f t="shared" si="70"/>
        <v>0</v>
      </c>
      <c r="Q1516" s="74"/>
      <c r="R1516" s="76"/>
      <c r="S1516" s="84">
        <f t="shared" si="71"/>
        <v>0</v>
      </c>
    </row>
    <row r="1517" spans="1:19" ht="18" customHeight="1" x14ac:dyDescent="0.25">
      <c r="A1517" s="59"/>
      <c r="B1517" s="60"/>
      <c r="C1517" s="65"/>
      <c r="D1517" s="60"/>
      <c r="E1517" s="59"/>
      <c r="F1517" s="62"/>
      <c r="G1517" s="63"/>
      <c r="H1517" s="64"/>
      <c r="I1517" s="65"/>
      <c r="J1517" s="65"/>
      <c r="K1517" s="65"/>
      <c r="L1517" s="65"/>
      <c r="M1517" s="65"/>
      <c r="N1517" s="65"/>
      <c r="O1517" s="81">
        <f t="shared" si="69"/>
        <v>0</v>
      </c>
      <c r="P1517" s="81">
        <f t="shared" si="70"/>
        <v>0</v>
      </c>
      <c r="Q1517" s="65"/>
      <c r="R1517" s="67"/>
      <c r="S1517" s="83">
        <f t="shared" si="71"/>
        <v>0</v>
      </c>
    </row>
    <row r="1518" spans="1:19" ht="18" customHeight="1" x14ac:dyDescent="0.25">
      <c r="A1518" s="68"/>
      <c r="B1518" s="69"/>
      <c r="C1518" s="74"/>
      <c r="D1518" s="69"/>
      <c r="E1518" s="68"/>
      <c r="F1518" s="71"/>
      <c r="G1518" s="72"/>
      <c r="H1518" s="73"/>
      <c r="I1518" s="74"/>
      <c r="J1518" s="74"/>
      <c r="K1518" s="74"/>
      <c r="L1518" s="74"/>
      <c r="M1518" s="74"/>
      <c r="N1518" s="74"/>
      <c r="O1518" s="82">
        <f t="shared" si="69"/>
        <v>0</v>
      </c>
      <c r="P1518" s="82">
        <f t="shared" si="70"/>
        <v>0</v>
      </c>
      <c r="Q1518" s="74"/>
      <c r="R1518" s="76"/>
      <c r="S1518" s="84">
        <f t="shared" si="71"/>
        <v>0</v>
      </c>
    </row>
    <row r="1519" spans="1:19" ht="18" customHeight="1" x14ac:dyDescent="0.25">
      <c r="A1519" s="59"/>
      <c r="B1519" s="60"/>
      <c r="C1519" s="65"/>
      <c r="D1519" s="60"/>
      <c r="E1519" s="59"/>
      <c r="F1519" s="62"/>
      <c r="G1519" s="63"/>
      <c r="H1519" s="64"/>
      <c r="I1519" s="65"/>
      <c r="J1519" s="65"/>
      <c r="K1519" s="65"/>
      <c r="L1519" s="65"/>
      <c r="M1519" s="65"/>
      <c r="N1519" s="65"/>
      <c r="O1519" s="81">
        <f t="shared" si="69"/>
        <v>0</v>
      </c>
      <c r="P1519" s="81">
        <f t="shared" si="70"/>
        <v>0</v>
      </c>
      <c r="Q1519" s="65"/>
      <c r="R1519" s="67"/>
      <c r="S1519" s="83">
        <f t="shared" si="71"/>
        <v>0</v>
      </c>
    </row>
    <row r="1520" spans="1:19" ht="18" customHeight="1" x14ac:dyDescent="0.25">
      <c r="A1520" s="68"/>
      <c r="B1520" s="69"/>
      <c r="C1520" s="74"/>
      <c r="D1520" s="69"/>
      <c r="E1520" s="68"/>
      <c r="F1520" s="71"/>
      <c r="G1520" s="72"/>
      <c r="H1520" s="73"/>
      <c r="I1520" s="74"/>
      <c r="J1520" s="74"/>
      <c r="K1520" s="74"/>
      <c r="L1520" s="74"/>
      <c r="M1520" s="74"/>
      <c r="N1520" s="74"/>
      <c r="O1520" s="82">
        <f t="shared" si="69"/>
        <v>0</v>
      </c>
      <c r="P1520" s="82">
        <f t="shared" si="70"/>
        <v>0</v>
      </c>
      <c r="Q1520" s="74"/>
      <c r="R1520" s="76"/>
      <c r="S1520" s="84">
        <f t="shared" si="71"/>
        <v>0</v>
      </c>
    </row>
    <row r="1521" spans="1:19" ht="18" customHeight="1" x14ac:dyDescent="0.25">
      <c r="A1521" s="59"/>
      <c r="B1521" s="60"/>
      <c r="C1521" s="65"/>
      <c r="D1521" s="60"/>
      <c r="E1521" s="59"/>
      <c r="F1521" s="62"/>
      <c r="G1521" s="63"/>
      <c r="H1521" s="64"/>
      <c r="I1521" s="65"/>
      <c r="J1521" s="65"/>
      <c r="K1521" s="65"/>
      <c r="L1521" s="65"/>
      <c r="M1521" s="65"/>
      <c r="N1521" s="65"/>
      <c r="O1521" s="81">
        <f t="shared" si="69"/>
        <v>0</v>
      </c>
      <c r="P1521" s="81">
        <f t="shared" si="70"/>
        <v>0</v>
      </c>
      <c r="Q1521" s="65"/>
      <c r="R1521" s="67"/>
      <c r="S1521" s="83">
        <f t="shared" si="71"/>
        <v>0</v>
      </c>
    </row>
    <row r="1522" spans="1:19" ht="18" customHeight="1" x14ac:dyDescent="0.25">
      <c r="A1522" s="68"/>
      <c r="B1522" s="69"/>
      <c r="C1522" s="74"/>
      <c r="D1522" s="69"/>
      <c r="E1522" s="68"/>
      <c r="F1522" s="71"/>
      <c r="G1522" s="72"/>
      <c r="H1522" s="73"/>
      <c r="I1522" s="74"/>
      <c r="J1522" s="74"/>
      <c r="K1522" s="74"/>
      <c r="L1522" s="74"/>
      <c r="M1522" s="74"/>
      <c r="N1522" s="74"/>
      <c r="O1522" s="82">
        <f t="shared" si="69"/>
        <v>0</v>
      </c>
      <c r="P1522" s="82">
        <f t="shared" si="70"/>
        <v>0</v>
      </c>
      <c r="Q1522" s="74"/>
      <c r="R1522" s="76"/>
      <c r="S1522" s="84">
        <f t="shared" si="71"/>
        <v>0</v>
      </c>
    </row>
    <row r="1523" spans="1:19" ht="18" customHeight="1" x14ac:dyDescent="0.25">
      <c r="A1523" s="59"/>
      <c r="B1523" s="60"/>
      <c r="C1523" s="65"/>
      <c r="D1523" s="60"/>
      <c r="E1523" s="59"/>
      <c r="F1523" s="62"/>
      <c r="G1523" s="63"/>
      <c r="H1523" s="64"/>
      <c r="I1523" s="65"/>
      <c r="J1523" s="65"/>
      <c r="K1523" s="65"/>
      <c r="L1523" s="65"/>
      <c r="M1523" s="65"/>
      <c r="N1523" s="65"/>
      <c r="O1523" s="81">
        <f t="shared" si="69"/>
        <v>0</v>
      </c>
      <c r="P1523" s="81">
        <f t="shared" si="70"/>
        <v>0</v>
      </c>
      <c r="Q1523" s="65"/>
      <c r="R1523" s="67"/>
      <c r="S1523" s="83">
        <f t="shared" si="71"/>
        <v>0</v>
      </c>
    </row>
    <row r="1524" spans="1:19" ht="18" customHeight="1" x14ac:dyDescent="0.25">
      <c r="A1524" s="68"/>
      <c r="B1524" s="69"/>
      <c r="C1524" s="74"/>
      <c r="D1524" s="69"/>
      <c r="E1524" s="68"/>
      <c r="F1524" s="71"/>
      <c r="G1524" s="72"/>
      <c r="H1524" s="73"/>
      <c r="I1524" s="74"/>
      <c r="J1524" s="74"/>
      <c r="K1524" s="74"/>
      <c r="L1524" s="74"/>
      <c r="M1524" s="74"/>
      <c r="N1524" s="74"/>
      <c r="O1524" s="82">
        <f t="shared" si="69"/>
        <v>0</v>
      </c>
      <c r="P1524" s="82">
        <f t="shared" si="70"/>
        <v>0</v>
      </c>
      <c r="Q1524" s="74"/>
      <c r="R1524" s="76"/>
      <c r="S1524" s="84">
        <f t="shared" si="71"/>
        <v>0</v>
      </c>
    </row>
    <row r="1525" spans="1:19" ht="18" customHeight="1" x14ac:dyDescent="0.25">
      <c r="A1525" s="59"/>
      <c r="B1525" s="60"/>
      <c r="C1525" s="65"/>
      <c r="D1525" s="60"/>
      <c r="E1525" s="59"/>
      <c r="F1525" s="62"/>
      <c r="G1525" s="63"/>
      <c r="H1525" s="64"/>
      <c r="I1525" s="65"/>
      <c r="J1525" s="65"/>
      <c r="K1525" s="65"/>
      <c r="L1525" s="65"/>
      <c r="M1525" s="65"/>
      <c r="N1525" s="65"/>
      <c r="O1525" s="81">
        <f t="shared" si="69"/>
        <v>0</v>
      </c>
      <c r="P1525" s="81">
        <f t="shared" si="70"/>
        <v>0</v>
      </c>
      <c r="Q1525" s="65"/>
      <c r="R1525" s="67"/>
      <c r="S1525" s="83">
        <f t="shared" si="71"/>
        <v>0</v>
      </c>
    </row>
    <row r="1526" spans="1:19" ht="18" customHeight="1" x14ac:dyDescent="0.25">
      <c r="A1526" s="68"/>
      <c r="B1526" s="69"/>
      <c r="C1526" s="74"/>
      <c r="D1526" s="69"/>
      <c r="E1526" s="68"/>
      <c r="F1526" s="71"/>
      <c r="G1526" s="72"/>
      <c r="H1526" s="73"/>
      <c r="I1526" s="74"/>
      <c r="J1526" s="74"/>
      <c r="K1526" s="74"/>
      <c r="L1526" s="74"/>
      <c r="M1526" s="74"/>
      <c r="N1526" s="74"/>
      <c r="O1526" s="82">
        <f t="shared" si="69"/>
        <v>0</v>
      </c>
      <c r="P1526" s="82">
        <f t="shared" si="70"/>
        <v>0</v>
      </c>
      <c r="Q1526" s="74"/>
      <c r="R1526" s="76"/>
      <c r="S1526" s="84">
        <f t="shared" si="71"/>
        <v>0</v>
      </c>
    </row>
    <row r="1527" spans="1:19" ht="18" customHeight="1" x14ac:dyDescent="0.25">
      <c r="A1527" s="59"/>
      <c r="B1527" s="60"/>
      <c r="C1527" s="65"/>
      <c r="D1527" s="60"/>
      <c r="E1527" s="59"/>
      <c r="F1527" s="62"/>
      <c r="G1527" s="63"/>
      <c r="H1527" s="64"/>
      <c r="I1527" s="65"/>
      <c r="J1527" s="65"/>
      <c r="K1527" s="65"/>
      <c r="L1527" s="65"/>
      <c r="M1527" s="65"/>
      <c r="N1527" s="65"/>
      <c r="O1527" s="81">
        <f t="shared" si="69"/>
        <v>0</v>
      </c>
      <c r="P1527" s="81">
        <f t="shared" si="70"/>
        <v>0</v>
      </c>
      <c r="Q1527" s="65"/>
      <c r="R1527" s="67"/>
      <c r="S1527" s="83">
        <f t="shared" si="71"/>
        <v>0</v>
      </c>
    </row>
    <row r="1528" spans="1:19" ht="18" customHeight="1" x14ac:dyDescent="0.25">
      <c r="A1528" s="68"/>
      <c r="B1528" s="69"/>
      <c r="C1528" s="74"/>
      <c r="D1528" s="69"/>
      <c r="E1528" s="68"/>
      <c r="F1528" s="71"/>
      <c r="G1528" s="72"/>
      <c r="H1528" s="73"/>
      <c r="I1528" s="74"/>
      <c r="J1528" s="74"/>
      <c r="K1528" s="74"/>
      <c r="L1528" s="74"/>
      <c r="M1528" s="74"/>
      <c r="N1528" s="74"/>
      <c r="O1528" s="82">
        <f t="shared" si="69"/>
        <v>0</v>
      </c>
      <c r="P1528" s="82">
        <f t="shared" si="70"/>
        <v>0</v>
      </c>
      <c r="Q1528" s="74"/>
      <c r="R1528" s="76"/>
      <c r="S1528" s="84">
        <f t="shared" si="71"/>
        <v>0</v>
      </c>
    </row>
    <row r="1529" spans="1:19" ht="18" customHeight="1" x14ac:dyDescent="0.25">
      <c r="A1529" s="59"/>
      <c r="B1529" s="60"/>
      <c r="C1529" s="65"/>
      <c r="D1529" s="60"/>
      <c r="E1529" s="59"/>
      <c r="F1529" s="62"/>
      <c r="G1529" s="63"/>
      <c r="H1529" s="64"/>
      <c r="I1529" s="65"/>
      <c r="J1529" s="65"/>
      <c r="K1529" s="65"/>
      <c r="L1529" s="65"/>
      <c r="M1529" s="65"/>
      <c r="N1529" s="65"/>
      <c r="O1529" s="81">
        <f t="shared" si="69"/>
        <v>0</v>
      </c>
      <c r="P1529" s="81">
        <f t="shared" si="70"/>
        <v>0</v>
      </c>
      <c r="Q1529" s="65"/>
      <c r="R1529" s="67"/>
      <c r="S1529" s="83">
        <f t="shared" si="71"/>
        <v>0</v>
      </c>
    </row>
    <row r="1530" spans="1:19" ht="18" customHeight="1" x14ac:dyDescent="0.25">
      <c r="A1530" s="68"/>
      <c r="B1530" s="69"/>
      <c r="C1530" s="74"/>
      <c r="D1530" s="69"/>
      <c r="E1530" s="68"/>
      <c r="F1530" s="71"/>
      <c r="G1530" s="72"/>
      <c r="H1530" s="73"/>
      <c r="I1530" s="74"/>
      <c r="J1530" s="74"/>
      <c r="K1530" s="74"/>
      <c r="L1530" s="74"/>
      <c r="M1530" s="74"/>
      <c r="N1530" s="74"/>
      <c r="O1530" s="82">
        <f t="shared" si="69"/>
        <v>0</v>
      </c>
      <c r="P1530" s="82">
        <f t="shared" si="70"/>
        <v>0</v>
      </c>
      <c r="Q1530" s="74"/>
      <c r="R1530" s="76"/>
      <c r="S1530" s="84">
        <f t="shared" si="71"/>
        <v>0</v>
      </c>
    </row>
    <row r="1531" spans="1:19" ht="18" customHeight="1" x14ac:dyDescent="0.25">
      <c r="A1531" s="59"/>
      <c r="B1531" s="60"/>
      <c r="C1531" s="65"/>
      <c r="D1531" s="60"/>
      <c r="E1531" s="59"/>
      <c r="F1531" s="62"/>
      <c r="G1531" s="63"/>
      <c r="H1531" s="64"/>
      <c r="I1531" s="65"/>
      <c r="J1531" s="65"/>
      <c r="K1531" s="65"/>
      <c r="L1531" s="65"/>
      <c r="M1531" s="65"/>
      <c r="N1531" s="65"/>
      <c r="O1531" s="81">
        <f t="shared" si="69"/>
        <v>0</v>
      </c>
      <c r="P1531" s="81">
        <f t="shared" si="70"/>
        <v>0</v>
      </c>
      <c r="Q1531" s="65"/>
      <c r="R1531" s="67"/>
      <c r="S1531" s="83">
        <f t="shared" si="71"/>
        <v>0</v>
      </c>
    </row>
    <row r="1532" spans="1:19" ht="18" customHeight="1" x14ac:dyDescent="0.25">
      <c r="A1532" s="68"/>
      <c r="B1532" s="69"/>
      <c r="C1532" s="74"/>
      <c r="D1532" s="69"/>
      <c r="E1532" s="68"/>
      <c r="F1532" s="71"/>
      <c r="G1532" s="72"/>
      <c r="H1532" s="73"/>
      <c r="I1532" s="74"/>
      <c r="J1532" s="74"/>
      <c r="K1532" s="74"/>
      <c r="L1532" s="74"/>
      <c r="M1532" s="74"/>
      <c r="N1532" s="74"/>
      <c r="O1532" s="82">
        <f t="shared" si="69"/>
        <v>0</v>
      </c>
      <c r="P1532" s="82">
        <f t="shared" si="70"/>
        <v>0</v>
      </c>
      <c r="Q1532" s="74"/>
      <c r="R1532" s="76"/>
      <c r="S1532" s="84">
        <f t="shared" si="71"/>
        <v>0</v>
      </c>
    </row>
    <row r="1533" spans="1:19" ht="18" customHeight="1" x14ac:dyDescent="0.25">
      <c r="A1533" s="59"/>
      <c r="B1533" s="60"/>
      <c r="C1533" s="65"/>
      <c r="D1533" s="60"/>
      <c r="E1533" s="59"/>
      <c r="F1533" s="62"/>
      <c r="G1533" s="63"/>
      <c r="H1533" s="64"/>
      <c r="I1533" s="65"/>
      <c r="J1533" s="65"/>
      <c r="K1533" s="65"/>
      <c r="L1533" s="65"/>
      <c r="M1533" s="65"/>
      <c r="N1533" s="65"/>
      <c r="O1533" s="81">
        <f t="shared" si="69"/>
        <v>0</v>
      </c>
      <c r="P1533" s="81">
        <f t="shared" si="70"/>
        <v>0</v>
      </c>
      <c r="Q1533" s="65"/>
      <c r="R1533" s="67"/>
      <c r="S1533" s="83">
        <f t="shared" si="71"/>
        <v>0</v>
      </c>
    </row>
    <row r="1534" spans="1:19" ht="18" customHeight="1" x14ac:dyDescent="0.25">
      <c r="A1534" s="68"/>
      <c r="B1534" s="69"/>
      <c r="C1534" s="74"/>
      <c r="D1534" s="69"/>
      <c r="E1534" s="68"/>
      <c r="F1534" s="71"/>
      <c r="G1534" s="72"/>
      <c r="H1534" s="73"/>
      <c r="I1534" s="74"/>
      <c r="J1534" s="74"/>
      <c r="K1534" s="74"/>
      <c r="L1534" s="74"/>
      <c r="M1534" s="74"/>
      <c r="N1534" s="74"/>
      <c r="O1534" s="82">
        <f t="shared" si="69"/>
        <v>0</v>
      </c>
      <c r="P1534" s="82">
        <f t="shared" si="70"/>
        <v>0</v>
      </c>
      <c r="Q1534" s="74"/>
      <c r="R1534" s="76"/>
      <c r="S1534" s="84">
        <f t="shared" si="71"/>
        <v>0</v>
      </c>
    </row>
    <row r="1535" spans="1:19" ht="18" customHeight="1" x14ac:dyDescent="0.25">
      <c r="A1535" s="59"/>
      <c r="B1535" s="60"/>
      <c r="C1535" s="65"/>
      <c r="D1535" s="60"/>
      <c r="E1535" s="59"/>
      <c r="F1535" s="62"/>
      <c r="G1535" s="63"/>
      <c r="H1535" s="64"/>
      <c r="I1535" s="65"/>
      <c r="J1535" s="65"/>
      <c r="K1535" s="65"/>
      <c r="L1535" s="65"/>
      <c r="M1535" s="65"/>
      <c r="N1535" s="65"/>
      <c r="O1535" s="81">
        <f t="shared" si="69"/>
        <v>0</v>
      </c>
      <c r="P1535" s="81">
        <f t="shared" si="70"/>
        <v>0</v>
      </c>
      <c r="Q1535" s="65"/>
      <c r="R1535" s="67"/>
      <c r="S1535" s="83">
        <f t="shared" si="71"/>
        <v>0</v>
      </c>
    </row>
    <row r="1536" spans="1:19" ht="18" customHeight="1" x14ac:dyDescent="0.25">
      <c r="A1536" s="68"/>
      <c r="B1536" s="69"/>
      <c r="C1536" s="74"/>
      <c r="D1536" s="69"/>
      <c r="E1536" s="68"/>
      <c r="F1536" s="71"/>
      <c r="G1536" s="72"/>
      <c r="H1536" s="73"/>
      <c r="I1536" s="74"/>
      <c r="J1536" s="74"/>
      <c r="K1536" s="74"/>
      <c r="L1536" s="74"/>
      <c r="M1536" s="74"/>
      <c r="N1536" s="74"/>
      <c r="O1536" s="82">
        <f t="shared" si="69"/>
        <v>0</v>
      </c>
      <c r="P1536" s="82">
        <f t="shared" si="70"/>
        <v>0</v>
      </c>
      <c r="Q1536" s="74"/>
      <c r="R1536" s="76"/>
      <c r="S1536" s="84">
        <f t="shared" si="71"/>
        <v>0</v>
      </c>
    </row>
    <row r="1537" spans="1:19" ht="18" customHeight="1" x14ac:dyDescent="0.25">
      <c r="A1537" s="59"/>
      <c r="B1537" s="60"/>
      <c r="C1537" s="65"/>
      <c r="D1537" s="60"/>
      <c r="E1537" s="59"/>
      <c r="F1537" s="62"/>
      <c r="G1537" s="63"/>
      <c r="H1537" s="64"/>
      <c r="I1537" s="65"/>
      <c r="J1537" s="65"/>
      <c r="K1537" s="65"/>
      <c r="L1537" s="65"/>
      <c r="M1537" s="65"/>
      <c r="N1537" s="65"/>
      <c r="O1537" s="81">
        <f t="shared" si="69"/>
        <v>0</v>
      </c>
      <c r="P1537" s="81">
        <f t="shared" si="70"/>
        <v>0</v>
      </c>
      <c r="Q1537" s="65"/>
      <c r="R1537" s="67"/>
      <c r="S1537" s="83">
        <f t="shared" si="71"/>
        <v>0</v>
      </c>
    </row>
    <row r="1538" spans="1:19" ht="18" customHeight="1" x14ac:dyDescent="0.25">
      <c r="A1538" s="68"/>
      <c r="B1538" s="69"/>
      <c r="C1538" s="74"/>
      <c r="D1538" s="69"/>
      <c r="E1538" s="68"/>
      <c r="F1538" s="71"/>
      <c r="G1538" s="72"/>
      <c r="H1538" s="73"/>
      <c r="I1538" s="74"/>
      <c r="J1538" s="74"/>
      <c r="K1538" s="74"/>
      <c r="L1538" s="74"/>
      <c r="M1538" s="74"/>
      <c r="N1538" s="74"/>
      <c r="O1538" s="82">
        <f t="shared" si="69"/>
        <v>0</v>
      </c>
      <c r="P1538" s="82">
        <f t="shared" si="70"/>
        <v>0</v>
      </c>
      <c r="Q1538" s="74"/>
      <c r="R1538" s="76"/>
      <c r="S1538" s="84">
        <f t="shared" si="71"/>
        <v>0</v>
      </c>
    </row>
    <row r="1539" spans="1:19" ht="18" customHeight="1" x14ac:dyDescent="0.25">
      <c r="A1539" s="59"/>
      <c r="B1539" s="60"/>
      <c r="C1539" s="65"/>
      <c r="D1539" s="60"/>
      <c r="E1539" s="59"/>
      <c r="F1539" s="62"/>
      <c r="G1539" s="63"/>
      <c r="H1539" s="64"/>
      <c r="I1539" s="65"/>
      <c r="J1539" s="65"/>
      <c r="K1539" s="65"/>
      <c r="L1539" s="65"/>
      <c r="M1539" s="65"/>
      <c r="N1539" s="65"/>
      <c r="O1539" s="81">
        <f t="shared" si="69"/>
        <v>0</v>
      </c>
      <c r="P1539" s="81">
        <f t="shared" si="70"/>
        <v>0</v>
      </c>
      <c r="Q1539" s="65"/>
      <c r="R1539" s="67"/>
      <c r="S1539" s="83">
        <f t="shared" si="71"/>
        <v>0</v>
      </c>
    </row>
    <row r="1540" spans="1:19" ht="18" customHeight="1" x14ac:dyDescent="0.25">
      <c r="A1540" s="68"/>
      <c r="B1540" s="69"/>
      <c r="C1540" s="74"/>
      <c r="D1540" s="69"/>
      <c r="E1540" s="68"/>
      <c r="F1540" s="71"/>
      <c r="G1540" s="72"/>
      <c r="H1540" s="73"/>
      <c r="I1540" s="74"/>
      <c r="J1540" s="74"/>
      <c r="K1540" s="74"/>
      <c r="L1540" s="74"/>
      <c r="M1540" s="74"/>
      <c r="N1540" s="74"/>
      <c r="O1540" s="82">
        <f t="shared" si="69"/>
        <v>0</v>
      </c>
      <c r="P1540" s="82">
        <f t="shared" si="70"/>
        <v>0</v>
      </c>
      <c r="Q1540" s="74"/>
      <c r="R1540" s="76"/>
      <c r="S1540" s="84">
        <f t="shared" si="71"/>
        <v>0</v>
      </c>
    </row>
    <row r="1541" spans="1:19" ht="18" customHeight="1" x14ac:dyDescent="0.25">
      <c r="A1541" s="59"/>
      <c r="B1541" s="60"/>
      <c r="C1541" s="65"/>
      <c r="D1541" s="60"/>
      <c r="E1541" s="59"/>
      <c r="F1541" s="62"/>
      <c r="G1541" s="63"/>
      <c r="H1541" s="64"/>
      <c r="I1541" s="65"/>
      <c r="J1541" s="65"/>
      <c r="K1541" s="65"/>
      <c r="L1541" s="65"/>
      <c r="M1541" s="65"/>
      <c r="N1541" s="65"/>
      <c r="O1541" s="81">
        <f t="shared" si="69"/>
        <v>0</v>
      </c>
      <c r="P1541" s="81">
        <f t="shared" si="70"/>
        <v>0</v>
      </c>
      <c r="Q1541" s="65"/>
      <c r="R1541" s="67"/>
      <c r="S1541" s="83">
        <f t="shared" si="71"/>
        <v>0</v>
      </c>
    </row>
    <row r="1542" spans="1:19" ht="18" customHeight="1" x14ac:dyDescent="0.25">
      <c r="A1542" s="68"/>
      <c r="B1542" s="69"/>
      <c r="C1542" s="74"/>
      <c r="D1542" s="69"/>
      <c r="E1542" s="68"/>
      <c r="F1542" s="71"/>
      <c r="G1542" s="72"/>
      <c r="H1542" s="73"/>
      <c r="I1542" s="74"/>
      <c r="J1542" s="74"/>
      <c r="K1542" s="74"/>
      <c r="L1542" s="74"/>
      <c r="M1542" s="74"/>
      <c r="N1542" s="74"/>
      <c r="O1542" s="82" t="e">
        <f>#N/A</f>
        <v>#N/A</v>
      </c>
      <c r="P1542" s="82" t="e">
        <f>#N/A</f>
        <v>#N/A</v>
      </c>
      <c r="Q1542" s="74"/>
      <c r="R1542" s="76"/>
      <c r="S1542" s="84">
        <f t="shared" si="71"/>
        <v>0</v>
      </c>
    </row>
    <row r="1543" spans="1:19" ht="18" customHeight="1" x14ac:dyDescent="0.25">
      <c r="A1543" s="59"/>
      <c r="B1543" s="60"/>
      <c r="C1543" s="65"/>
      <c r="D1543" s="60"/>
      <c r="E1543" s="59"/>
      <c r="F1543" s="62"/>
      <c r="G1543" s="63"/>
      <c r="H1543" s="64"/>
      <c r="I1543" s="65"/>
      <c r="J1543" s="65"/>
      <c r="K1543" s="65"/>
      <c r="L1543" s="65"/>
      <c r="M1543" s="65"/>
      <c r="N1543" s="65"/>
      <c r="O1543" s="81">
        <f t="shared" ref="O1543:O1605" si="72">IF(G1543="Reimbursement ","",I1543+J1543+K1543+L1543+M1543)</f>
        <v>0</v>
      </c>
      <c r="P1543" s="81">
        <f t="shared" ref="P1543:P1605" si="73">IF(G1543="Reimbursement ","",H1543-O1543)</f>
        <v>0</v>
      </c>
      <c r="Q1543" s="65"/>
      <c r="R1543" s="67"/>
      <c r="S1543" s="83">
        <f t="shared" ref="S1543:S1606" si="74">IF(OR(R1543="",Q1543=""),0,IF(R1543&gt;Q1543,R1543-Q1543,0))</f>
        <v>0</v>
      </c>
    </row>
    <row r="1544" spans="1:19" ht="18" customHeight="1" x14ac:dyDescent="0.25">
      <c r="A1544" s="68"/>
      <c r="B1544" s="69"/>
      <c r="C1544" s="74"/>
      <c r="D1544" s="69"/>
      <c r="E1544" s="68"/>
      <c r="F1544" s="71"/>
      <c r="G1544" s="72"/>
      <c r="H1544" s="73"/>
      <c r="I1544" s="74"/>
      <c r="J1544" s="74"/>
      <c r="K1544" s="74"/>
      <c r="L1544" s="74"/>
      <c r="M1544" s="74"/>
      <c r="N1544" s="74"/>
      <c r="O1544" s="82">
        <f t="shared" si="72"/>
        <v>0</v>
      </c>
      <c r="P1544" s="82">
        <f t="shared" si="73"/>
        <v>0</v>
      </c>
      <c r="Q1544" s="74"/>
      <c r="R1544" s="76"/>
      <c r="S1544" s="84">
        <f t="shared" si="74"/>
        <v>0</v>
      </c>
    </row>
    <row r="1545" spans="1:19" ht="18" customHeight="1" x14ac:dyDescent="0.25">
      <c r="A1545" s="59"/>
      <c r="B1545" s="60"/>
      <c r="C1545" s="65"/>
      <c r="D1545" s="60"/>
      <c r="E1545" s="59"/>
      <c r="F1545" s="62"/>
      <c r="G1545" s="63"/>
      <c r="H1545" s="64"/>
      <c r="I1545" s="65"/>
      <c r="J1545" s="65"/>
      <c r="K1545" s="65"/>
      <c r="L1545" s="65"/>
      <c r="M1545" s="65"/>
      <c r="N1545" s="65"/>
      <c r="O1545" s="81">
        <f t="shared" si="72"/>
        <v>0</v>
      </c>
      <c r="P1545" s="81">
        <f t="shared" si="73"/>
        <v>0</v>
      </c>
      <c r="Q1545" s="65"/>
      <c r="R1545" s="67"/>
      <c r="S1545" s="83">
        <f t="shared" si="74"/>
        <v>0</v>
      </c>
    </row>
    <row r="1546" spans="1:19" ht="18" customHeight="1" x14ac:dyDescent="0.25">
      <c r="A1546" s="68"/>
      <c r="B1546" s="69"/>
      <c r="C1546" s="74"/>
      <c r="D1546" s="69"/>
      <c r="E1546" s="68"/>
      <c r="F1546" s="71"/>
      <c r="G1546" s="72"/>
      <c r="H1546" s="73"/>
      <c r="I1546" s="74"/>
      <c r="J1546" s="74"/>
      <c r="K1546" s="74"/>
      <c r="L1546" s="74"/>
      <c r="M1546" s="74"/>
      <c r="N1546" s="74"/>
      <c r="O1546" s="82">
        <f t="shared" si="72"/>
        <v>0</v>
      </c>
      <c r="P1546" s="82">
        <f t="shared" si="73"/>
        <v>0</v>
      </c>
      <c r="Q1546" s="74"/>
      <c r="R1546" s="76"/>
      <c r="S1546" s="84">
        <f t="shared" si="74"/>
        <v>0</v>
      </c>
    </row>
    <row r="1547" spans="1:19" ht="18" customHeight="1" x14ac:dyDescent="0.25">
      <c r="A1547" s="59"/>
      <c r="B1547" s="60"/>
      <c r="C1547" s="65"/>
      <c r="D1547" s="60"/>
      <c r="E1547" s="59"/>
      <c r="F1547" s="62"/>
      <c r="G1547" s="63"/>
      <c r="H1547" s="64"/>
      <c r="I1547" s="65"/>
      <c r="J1547" s="65"/>
      <c r="K1547" s="65"/>
      <c r="L1547" s="65"/>
      <c r="M1547" s="65"/>
      <c r="N1547" s="65"/>
      <c r="O1547" s="81">
        <f t="shared" si="72"/>
        <v>0</v>
      </c>
      <c r="P1547" s="81">
        <f t="shared" si="73"/>
        <v>0</v>
      </c>
      <c r="Q1547" s="65"/>
      <c r="R1547" s="67"/>
      <c r="S1547" s="83">
        <f t="shared" si="74"/>
        <v>0</v>
      </c>
    </row>
    <row r="1548" spans="1:19" ht="18" customHeight="1" x14ac:dyDescent="0.25">
      <c r="A1548" s="68"/>
      <c r="B1548" s="69"/>
      <c r="C1548" s="74"/>
      <c r="D1548" s="69"/>
      <c r="E1548" s="68"/>
      <c r="F1548" s="71"/>
      <c r="G1548" s="72"/>
      <c r="H1548" s="73"/>
      <c r="I1548" s="74"/>
      <c r="J1548" s="74"/>
      <c r="K1548" s="74"/>
      <c r="L1548" s="74"/>
      <c r="M1548" s="74"/>
      <c r="N1548" s="74"/>
      <c r="O1548" s="82">
        <f t="shared" si="72"/>
        <v>0</v>
      </c>
      <c r="P1548" s="82">
        <f t="shared" si="73"/>
        <v>0</v>
      </c>
      <c r="Q1548" s="74"/>
      <c r="R1548" s="76"/>
      <c r="S1548" s="84">
        <f t="shared" si="74"/>
        <v>0</v>
      </c>
    </row>
    <row r="1549" spans="1:19" ht="18" customHeight="1" x14ac:dyDescent="0.25">
      <c r="A1549" s="59"/>
      <c r="B1549" s="60"/>
      <c r="C1549" s="65"/>
      <c r="D1549" s="60"/>
      <c r="E1549" s="59"/>
      <c r="F1549" s="62"/>
      <c r="G1549" s="63"/>
      <c r="H1549" s="64"/>
      <c r="I1549" s="65"/>
      <c r="J1549" s="65"/>
      <c r="K1549" s="65"/>
      <c r="L1549" s="65"/>
      <c r="M1549" s="65"/>
      <c r="N1549" s="65"/>
      <c r="O1549" s="81">
        <f t="shared" si="72"/>
        <v>0</v>
      </c>
      <c r="P1549" s="81">
        <f t="shared" si="73"/>
        <v>0</v>
      </c>
      <c r="Q1549" s="65"/>
      <c r="R1549" s="67"/>
      <c r="S1549" s="83">
        <f t="shared" si="74"/>
        <v>0</v>
      </c>
    </row>
    <row r="1550" spans="1:19" ht="18" customHeight="1" x14ac:dyDescent="0.25">
      <c r="A1550" s="68"/>
      <c r="B1550" s="69"/>
      <c r="C1550" s="74"/>
      <c r="D1550" s="69"/>
      <c r="E1550" s="68"/>
      <c r="F1550" s="71"/>
      <c r="G1550" s="72"/>
      <c r="H1550" s="73"/>
      <c r="I1550" s="74"/>
      <c r="J1550" s="74"/>
      <c r="K1550" s="74"/>
      <c r="L1550" s="74"/>
      <c r="M1550" s="74"/>
      <c r="N1550" s="74"/>
      <c r="O1550" s="82">
        <f t="shared" si="72"/>
        <v>0</v>
      </c>
      <c r="P1550" s="82">
        <f t="shared" si="73"/>
        <v>0</v>
      </c>
      <c r="Q1550" s="74"/>
      <c r="R1550" s="76"/>
      <c r="S1550" s="84">
        <f t="shared" si="74"/>
        <v>0</v>
      </c>
    </row>
    <row r="1551" spans="1:19" ht="18" customHeight="1" x14ac:dyDescent="0.25">
      <c r="A1551" s="59"/>
      <c r="B1551" s="60"/>
      <c r="C1551" s="65"/>
      <c r="D1551" s="60"/>
      <c r="E1551" s="59"/>
      <c r="F1551" s="62"/>
      <c r="G1551" s="63"/>
      <c r="H1551" s="64"/>
      <c r="I1551" s="65"/>
      <c r="J1551" s="65"/>
      <c r="K1551" s="65"/>
      <c r="L1551" s="65"/>
      <c r="M1551" s="65"/>
      <c r="N1551" s="65"/>
      <c r="O1551" s="81">
        <f t="shared" si="72"/>
        <v>0</v>
      </c>
      <c r="P1551" s="81">
        <f t="shared" si="73"/>
        <v>0</v>
      </c>
      <c r="Q1551" s="65"/>
      <c r="R1551" s="67"/>
      <c r="S1551" s="83">
        <f t="shared" si="74"/>
        <v>0</v>
      </c>
    </row>
    <row r="1552" spans="1:19" ht="18" customHeight="1" x14ac:dyDescent="0.25">
      <c r="A1552" s="68"/>
      <c r="B1552" s="69"/>
      <c r="C1552" s="74"/>
      <c r="D1552" s="69"/>
      <c r="E1552" s="68"/>
      <c r="F1552" s="71"/>
      <c r="G1552" s="72"/>
      <c r="H1552" s="73"/>
      <c r="I1552" s="74"/>
      <c r="J1552" s="74"/>
      <c r="K1552" s="74"/>
      <c r="L1552" s="74"/>
      <c r="M1552" s="74"/>
      <c r="N1552" s="74"/>
      <c r="O1552" s="82">
        <f t="shared" si="72"/>
        <v>0</v>
      </c>
      <c r="P1552" s="82">
        <f t="shared" si="73"/>
        <v>0</v>
      </c>
      <c r="Q1552" s="74"/>
      <c r="R1552" s="76"/>
      <c r="S1552" s="84">
        <f t="shared" si="74"/>
        <v>0</v>
      </c>
    </row>
    <row r="1553" spans="1:19" ht="18" customHeight="1" x14ac:dyDescent="0.25">
      <c r="A1553" s="59"/>
      <c r="B1553" s="60"/>
      <c r="C1553" s="65"/>
      <c r="D1553" s="60"/>
      <c r="E1553" s="59"/>
      <c r="F1553" s="62"/>
      <c r="G1553" s="63"/>
      <c r="H1553" s="64"/>
      <c r="I1553" s="65"/>
      <c r="J1553" s="65"/>
      <c r="K1553" s="65"/>
      <c r="L1553" s="65"/>
      <c r="M1553" s="65"/>
      <c r="N1553" s="65"/>
      <c r="O1553" s="81">
        <f t="shared" si="72"/>
        <v>0</v>
      </c>
      <c r="P1553" s="81">
        <f t="shared" si="73"/>
        <v>0</v>
      </c>
      <c r="Q1553" s="65"/>
      <c r="R1553" s="67"/>
      <c r="S1553" s="83">
        <f t="shared" si="74"/>
        <v>0</v>
      </c>
    </row>
    <row r="1554" spans="1:19" ht="18" customHeight="1" x14ac:dyDescent="0.25">
      <c r="A1554" s="68"/>
      <c r="B1554" s="69"/>
      <c r="C1554" s="74"/>
      <c r="D1554" s="69"/>
      <c r="E1554" s="68"/>
      <c r="F1554" s="71"/>
      <c r="G1554" s="72"/>
      <c r="H1554" s="73"/>
      <c r="I1554" s="74"/>
      <c r="J1554" s="74"/>
      <c r="K1554" s="74"/>
      <c r="L1554" s="74"/>
      <c r="M1554" s="74"/>
      <c r="N1554" s="74"/>
      <c r="O1554" s="82">
        <f t="shared" si="72"/>
        <v>0</v>
      </c>
      <c r="P1554" s="82">
        <f t="shared" si="73"/>
        <v>0</v>
      </c>
      <c r="Q1554" s="74"/>
      <c r="R1554" s="76"/>
      <c r="S1554" s="84">
        <f t="shared" si="74"/>
        <v>0</v>
      </c>
    </row>
    <row r="1555" spans="1:19" ht="18" customHeight="1" x14ac:dyDescent="0.25">
      <c r="A1555" s="59"/>
      <c r="B1555" s="60"/>
      <c r="C1555" s="65"/>
      <c r="D1555" s="60"/>
      <c r="E1555" s="59"/>
      <c r="F1555" s="62"/>
      <c r="G1555" s="63"/>
      <c r="H1555" s="64"/>
      <c r="I1555" s="65"/>
      <c r="J1555" s="65"/>
      <c r="K1555" s="65"/>
      <c r="L1555" s="65"/>
      <c r="M1555" s="65"/>
      <c r="N1555" s="65"/>
      <c r="O1555" s="81">
        <f t="shared" si="72"/>
        <v>0</v>
      </c>
      <c r="P1555" s="81">
        <f t="shared" si="73"/>
        <v>0</v>
      </c>
      <c r="Q1555" s="65"/>
      <c r="R1555" s="67"/>
      <c r="S1555" s="83">
        <f t="shared" si="74"/>
        <v>0</v>
      </c>
    </row>
    <row r="1556" spans="1:19" ht="18" customHeight="1" x14ac:dyDescent="0.25">
      <c r="A1556" s="68"/>
      <c r="B1556" s="69"/>
      <c r="C1556" s="74"/>
      <c r="D1556" s="69"/>
      <c r="E1556" s="68"/>
      <c r="F1556" s="71"/>
      <c r="G1556" s="72"/>
      <c r="H1556" s="73"/>
      <c r="I1556" s="74"/>
      <c r="J1556" s="74"/>
      <c r="K1556" s="74"/>
      <c r="L1556" s="74"/>
      <c r="M1556" s="74"/>
      <c r="N1556" s="74"/>
      <c r="O1556" s="82">
        <f t="shared" si="72"/>
        <v>0</v>
      </c>
      <c r="P1556" s="82">
        <f t="shared" si="73"/>
        <v>0</v>
      </c>
      <c r="Q1556" s="74"/>
      <c r="R1556" s="76"/>
      <c r="S1556" s="84">
        <f t="shared" si="74"/>
        <v>0</v>
      </c>
    </row>
    <row r="1557" spans="1:19" ht="18" customHeight="1" x14ac:dyDescent="0.25">
      <c r="A1557" s="59"/>
      <c r="B1557" s="60"/>
      <c r="C1557" s="65"/>
      <c r="D1557" s="60"/>
      <c r="E1557" s="59"/>
      <c r="F1557" s="62"/>
      <c r="G1557" s="63"/>
      <c r="H1557" s="64"/>
      <c r="I1557" s="65"/>
      <c r="J1557" s="65"/>
      <c r="K1557" s="65"/>
      <c r="L1557" s="65"/>
      <c r="M1557" s="65"/>
      <c r="N1557" s="65"/>
      <c r="O1557" s="81">
        <f t="shared" si="72"/>
        <v>0</v>
      </c>
      <c r="P1557" s="81">
        <f t="shared" si="73"/>
        <v>0</v>
      </c>
      <c r="Q1557" s="65"/>
      <c r="R1557" s="67"/>
      <c r="S1557" s="83">
        <f t="shared" si="74"/>
        <v>0</v>
      </c>
    </row>
    <row r="1558" spans="1:19" ht="18" customHeight="1" x14ac:dyDescent="0.25">
      <c r="A1558" s="68"/>
      <c r="B1558" s="69"/>
      <c r="C1558" s="74"/>
      <c r="D1558" s="69"/>
      <c r="E1558" s="68"/>
      <c r="F1558" s="71"/>
      <c r="G1558" s="72"/>
      <c r="H1558" s="73"/>
      <c r="I1558" s="74"/>
      <c r="J1558" s="74"/>
      <c r="K1558" s="74"/>
      <c r="L1558" s="74"/>
      <c r="M1558" s="74"/>
      <c r="N1558" s="74"/>
      <c r="O1558" s="82">
        <f t="shared" si="72"/>
        <v>0</v>
      </c>
      <c r="P1558" s="82">
        <f t="shared" si="73"/>
        <v>0</v>
      </c>
      <c r="Q1558" s="74"/>
      <c r="R1558" s="76"/>
      <c r="S1558" s="84">
        <f t="shared" si="74"/>
        <v>0</v>
      </c>
    </row>
    <row r="1559" spans="1:19" ht="18" customHeight="1" x14ac:dyDescent="0.25">
      <c r="A1559" s="59"/>
      <c r="B1559" s="60"/>
      <c r="C1559" s="65"/>
      <c r="D1559" s="60"/>
      <c r="E1559" s="59"/>
      <c r="F1559" s="62"/>
      <c r="G1559" s="63"/>
      <c r="H1559" s="64"/>
      <c r="I1559" s="65"/>
      <c r="J1559" s="65"/>
      <c r="K1559" s="65"/>
      <c r="L1559" s="65"/>
      <c r="M1559" s="65"/>
      <c r="N1559" s="65"/>
      <c r="O1559" s="81">
        <f t="shared" si="72"/>
        <v>0</v>
      </c>
      <c r="P1559" s="81">
        <f t="shared" si="73"/>
        <v>0</v>
      </c>
      <c r="Q1559" s="65"/>
      <c r="R1559" s="67"/>
      <c r="S1559" s="83">
        <f t="shared" si="74"/>
        <v>0</v>
      </c>
    </row>
    <row r="1560" spans="1:19" ht="18" customHeight="1" x14ac:dyDescent="0.25">
      <c r="A1560" s="68"/>
      <c r="B1560" s="69"/>
      <c r="C1560" s="74"/>
      <c r="D1560" s="69"/>
      <c r="E1560" s="68"/>
      <c r="F1560" s="71"/>
      <c r="G1560" s="72"/>
      <c r="H1560" s="73"/>
      <c r="I1560" s="74"/>
      <c r="J1560" s="74"/>
      <c r="K1560" s="74"/>
      <c r="L1560" s="74"/>
      <c r="M1560" s="74"/>
      <c r="N1560" s="74"/>
      <c r="O1560" s="82">
        <f t="shared" si="72"/>
        <v>0</v>
      </c>
      <c r="P1560" s="82">
        <f t="shared" si="73"/>
        <v>0</v>
      </c>
      <c r="Q1560" s="74"/>
      <c r="R1560" s="76"/>
      <c r="S1560" s="84">
        <f t="shared" si="74"/>
        <v>0</v>
      </c>
    </row>
    <row r="1561" spans="1:19" ht="18" customHeight="1" x14ac:dyDescent="0.25">
      <c r="A1561" s="59"/>
      <c r="B1561" s="60"/>
      <c r="C1561" s="65"/>
      <c r="D1561" s="60"/>
      <c r="E1561" s="59"/>
      <c r="F1561" s="62"/>
      <c r="G1561" s="63"/>
      <c r="H1561" s="64"/>
      <c r="I1561" s="65"/>
      <c r="J1561" s="65"/>
      <c r="K1561" s="65"/>
      <c r="L1561" s="65"/>
      <c r="M1561" s="65"/>
      <c r="N1561" s="65"/>
      <c r="O1561" s="81">
        <f t="shared" si="72"/>
        <v>0</v>
      </c>
      <c r="P1561" s="81">
        <f t="shared" si="73"/>
        <v>0</v>
      </c>
      <c r="Q1561" s="65"/>
      <c r="R1561" s="67"/>
      <c r="S1561" s="83">
        <f t="shared" si="74"/>
        <v>0</v>
      </c>
    </row>
    <row r="1562" spans="1:19" ht="18" customHeight="1" x14ac:dyDescent="0.25">
      <c r="A1562" s="68"/>
      <c r="B1562" s="69"/>
      <c r="C1562" s="74"/>
      <c r="D1562" s="69"/>
      <c r="E1562" s="68"/>
      <c r="F1562" s="71"/>
      <c r="G1562" s="72"/>
      <c r="H1562" s="73"/>
      <c r="I1562" s="74"/>
      <c r="J1562" s="74"/>
      <c r="K1562" s="74"/>
      <c r="L1562" s="74"/>
      <c r="M1562" s="74"/>
      <c r="N1562" s="74"/>
      <c r="O1562" s="82">
        <f t="shared" si="72"/>
        <v>0</v>
      </c>
      <c r="P1562" s="82">
        <f t="shared" si="73"/>
        <v>0</v>
      </c>
      <c r="Q1562" s="74"/>
      <c r="R1562" s="76"/>
      <c r="S1562" s="84">
        <f t="shared" si="74"/>
        <v>0</v>
      </c>
    </row>
    <row r="1563" spans="1:19" ht="18" customHeight="1" x14ac:dyDescent="0.25">
      <c r="A1563" s="59"/>
      <c r="B1563" s="60"/>
      <c r="C1563" s="65"/>
      <c r="D1563" s="60"/>
      <c r="E1563" s="59"/>
      <c r="F1563" s="62"/>
      <c r="G1563" s="63"/>
      <c r="H1563" s="64"/>
      <c r="I1563" s="65"/>
      <c r="J1563" s="65"/>
      <c r="K1563" s="65"/>
      <c r="L1563" s="65"/>
      <c r="M1563" s="65"/>
      <c r="N1563" s="65"/>
      <c r="O1563" s="81">
        <f t="shared" si="72"/>
        <v>0</v>
      </c>
      <c r="P1563" s="81">
        <f t="shared" si="73"/>
        <v>0</v>
      </c>
      <c r="Q1563" s="65"/>
      <c r="R1563" s="67"/>
      <c r="S1563" s="83">
        <f t="shared" si="74"/>
        <v>0</v>
      </c>
    </row>
    <row r="1564" spans="1:19" ht="18" customHeight="1" x14ac:dyDescent="0.25">
      <c r="A1564" s="68"/>
      <c r="B1564" s="69"/>
      <c r="C1564" s="74"/>
      <c r="D1564" s="69"/>
      <c r="E1564" s="68"/>
      <c r="F1564" s="71"/>
      <c r="G1564" s="72"/>
      <c r="H1564" s="73"/>
      <c r="I1564" s="74"/>
      <c r="J1564" s="74"/>
      <c r="K1564" s="74"/>
      <c r="L1564" s="74"/>
      <c r="M1564" s="74"/>
      <c r="N1564" s="74"/>
      <c r="O1564" s="82">
        <f t="shared" si="72"/>
        <v>0</v>
      </c>
      <c r="P1564" s="82">
        <f t="shared" si="73"/>
        <v>0</v>
      </c>
      <c r="Q1564" s="74"/>
      <c r="R1564" s="76"/>
      <c r="S1564" s="84">
        <f t="shared" si="74"/>
        <v>0</v>
      </c>
    </row>
    <row r="1565" spans="1:19" ht="18" customHeight="1" x14ac:dyDescent="0.25">
      <c r="A1565" s="59"/>
      <c r="B1565" s="60"/>
      <c r="C1565" s="65"/>
      <c r="D1565" s="60"/>
      <c r="E1565" s="59"/>
      <c r="F1565" s="62"/>
      <c r="G1565" s="63"/>
      <c r="H1565" s="64"/>
      <c r="I1565" s="65"/>
      <c r="J1565" s="65"/>
      <c r="K1565" s="65"/>
      <c r="L1565" s="65"/>
      <c r="M1565" s="65"/>
      <c r="N1565" s="65"/>
      <c r="O1565" s="81">
        <f t="shared" si="72"/>
        <v>0</v>
      </c>
      <c r="P1565" s="81">
        <f t="shared" si="73"/>
        <v>0</v>
      </c>
      <c r="Q1565" s="65"/>
      <c r="R1565" s="67"/>
      <c r="S1565" s="83">
        <f t="shared" si="74"/>
        <v>0</v>
      </c>
    </row>
    <row r="1566" spans="1:19" ht="18" customHeight="1" x14ac:dyDescent="0.25">
      <c r="A1566" s="68"/>
      <c r="B1566" s="69"/>
      <c r="C1566" s="74"/>
      <c r="D1566" s="69"/>
      <c r="E1566" s="68"/>
      <c r="F1566" s="71"/>
      <c r="G1566" s="72"/>
      <c r="H1566" s="73"/>
      <c r="I1566" s="74"/>
      <c r="J1566" s="74"/>
      <c r="K1566" s="74"/>
      <c r="L1566" s="74"/>
      <c r="M1566" s="74"/>
      <c r="N1566" s="74"/>
      <c r="O1566" s="82">
        <f t="shared" si="72"/>
        <v>0</v>
      </c>
      <c r="P1566" s="82">
        <f t="shared" si="73"/>
        <v>0</v>
      </c>
      <c r="Q1566" s="74"/>
      <c r="R1566" s="76"/>
      <c r="S1566" s="84">
        <f t="shared" si="74"/>
        <v>0</v>
      </c>
    </row>
    <row r="1567" spans="1:19" ht="18" customHeight="1" x14ac:dyDescent="0.25">
      <c r="A1567" s="59"/>
      <c r="B1567" s="60"/>
      <c r="C1567" s="65"/>
      <c r="D1567" s="60"/>
      <c r="E1567" s="59"/>
      <c r="F1567" s="62"/>
      <c r="G1567" s="63"/>
      <c r="H1567" s="64"/>
      <c r="I1567" s="65"/>
      <c r="J1567" s="65"/>
      <c r="K1567" s="65"/>
      <c r="L1567" s="65"/>
      <c r="M1567" s="65"/>
      <c r="N1567" s="65"/>
      <c r="O1567" s="81">
        <f t="shared" si="72"/>
        <v>0</v>
      </c>
      <c r="P1567" s="81">
        <f t="shared" si="73"/>
        <v>0</v>
      </c>
      <c r="Q1567" s="65"/>
      <c r="R1567" s="67"/>
      <c r="S1567" s="83">
        <f t="shared" si="74"/>
        <v>0</v>
      </c>
    </row>
    <row r="1568" spans="1:19" ht="18" customHeight="1" x14ac:dyDescent="0.25">
      <c r="A1568" s="68"/>
      <c r="B1568" s="69"/>
      <c r="C1568" s="74"/>
      <c r="D1568" s="69"/>
      <c r="E1568" s="68"/>
      <c r="F1568" s="71"/>
      <c r="G1568" s="72"/>
      <c r="H1568" s="73"/>
      <c r="I1568" s="74"/>
      <c r="J1568" s="74"/>
      <c r="K1568" s="74"/>
      <c r="L1568" s="74"/>
      <c r="M1568" s="74"/>
      <c r="N1568" s="74"/>
      <c r="O1568" s="82">
        <f t="shared" si="72"/>
        <v>0</v>
      </c>
      <c r="P1568" s="82">
        <f t="shared" si="73"/>
        <v>0</v>
      </c>
      <c r="Q1568" s="74"/>
      <c r="R1568" s="76"/>
      <c r="S1568" s="84">
        <f t="shared" si="74"/>
        <v>0</v>
      </c>
    </row>
    <row r="1569" spans="1:19" ht="18" customHeight="1" x14ac:dyDescent="0.25">
      <c r="A1569" s="59"/>
      <c r="B1569" s="60"/>
      <c r="C1569" s="65"/>
      <c r="D1569" s="60"/>
      <c r="E1569" s="59"/>
      <c r="F1569" s="62"/>
      <c r="G1569" s="63"/>
      <c r="H1569" s="64"/>
      <c r="I1569" s="65"/>
      <c r="J1569" s="65"/>
      <c r="K1569" s="65"/>
      <c r="L1569" s="65"/>
      <c r="M1569" s="65"/>
      <c r="N1569" s="65"/>
      <c r="O1569" s="81">
        <f t="shared" si="72"/>
        <v>0</v>
      </c>
      <c r="P1569" s="81">
        <f t="shared" si="73"/>
        <v>0</v>
      </c>
      <c r="Q1569" s="65"/>
      <c r="R1569" s="67"/>
      <c r="S1569" s="83">
        <f t="shared" si="74"/>
        <v>0</v>
      </c>
    </row>
    <row r="1570" spans="1:19" ht="18" customHeight="1" x14ac:dyDescent="0.25">
      <c r="A1570" s="68"/>
      <c r="B1570" s="69"/>
      <c r="C1570" s="74"/>
      <c r="D1570" s="69"/>
      <c r="E1570" s="68"/>
      <c r="F1570" s="71"/>
      <c r="G1570" s="72"/>
      <c r="H1570" s="73"/>
      <c r="I1570" s="74"/>
      <c r="J1570" s="74"/>
      <c r="K1570" s="74"/>
      <c r="L1570" s="74"/>
      <c r="M1570" s="74"/>
      <c r="N1570" s="74"/>
      <c r="O1570" s="82">
        <f t="shared" si="72"/>
        <v>0</v>
      </c>
      <c r="P1570" s="82">
        <f t="shared" si="73"/>
        <v>0</v>
      </c>
      <c r="Q1570" s="74"/>
      <c r="R1570" s="76"/>
      <c r="S1570" s="84">
        <f t="shared" si="74"/>
        <v>0</v>
      </c>
    </row>
    <row r="1571" spans="1:19" ht="18" customHeight="1" x14ac:dyDescent="0.25">
      <c r="A1571" s="59"/>
      <c r="B1571" s="60"/>
      <c r="C1571" s="65"/>
      <c r="D1571" s="60"/>
      <c r="E1571" s="59"/>
      <c r="F1571" s="62"/>
      <c r="G1571" s="63"/>
      <c r="H1571" s="64"/>
      <c r="I1571" s="65"/>
      <c r="J1571" s="65"/>
      <c r="K1571" s="65"/>
      <c r="L1571" s="65"/>
      <c r="M1571" s="65"/>
      <c r="N1571" s="65"/>
      <c r="O1571" s="81">
        <f t="shared" si="72"/>
        <v>0</v>
      </c>
      <c r="P1571" s="81">
        <f t="shared" si="73"/>
        <v>0</v>
      </c>
      <c r="Q1571" s="65"/>
      <c r="R1571" s="67"/>
      <c r="S1571" s="83">
        <f t="shared" si="74"/>
        <v>0</v>
      </c>
    </row>
    <row r="1572" spans="1:19" ht="18" customHeight="1" x14ac:dyDescent="0.25">
      <c r="A1572" s="68"/>
      <c r="B1572" s="69"/>
      <c r="C1572" s="74"/>
      <c r="D1572" s="69"/>
      <c r="E1572" s="68"/>
      <c r="F1572" s="71"/>
      <c r="G1572" s="72"/>
      <c r="H1572" s="73"/>
      <c r="I1572" s="74"/>
      <c r="J1572" s="74"/>
      <c r="K1572" s="74"/>
      <c r="L1572" s="74"/>
      <c r="M1572" s="74"/>
      <c r="N1572" s="74"/>
      <c r="O1572" s="82">
        <f t="shared" si="72"/>
        <v>0</v>
      </c>
      <c r="P1572" s="82">
        <f t="shared" si="73"/>
        <v>0</v>
      </c>
      <c r="Q1572" s="74"/>
      <c r="R1572" s="76"/>
      <c r="S1572" s="84">
        <f t="shared" si="74"/>
        <v>0</v>
      </c>
    </row>
    <row r="1573" spans="1:19" ht="18" customHeight="1" x14ac:dyDescent="0.25">
      <c r="A1573" s="59"/>
      <c r="B1573" s="60"/>
      <c r="C1573" s="65"/>
      <c r="D1573" s="60"/>
      <c r="E1573" s="59"/>
      <c r="F1573" s="62"/>
      <c r="G1573" s="63"/>
      <c r="H1573" s="64"/>
      <c r="I1573" s="65"/>
      <c r="J1573" s="65"/>
      <c r="K1573" s="65"/>
      <c r="L1573" s="65"/>
      <c r="M1573" s="65"/>
      <c r="N1573" s="65"/>
      <c r="O1573" s="81">
        <f t="shared" si="72"/>
        <v>0</v>
      </c>
      <c r="P1573" s="81">
        <f t="shared" si="73"/>
        <v>0</v>
      </c>
      <c r="Q1573" s="65"/>
      <c r="R1573" s="67"/>
      <c r="S1573" s="83">
        <f t="shared" si="74"/>
        <v>0</v>
      </c>
    </row>
    <row r="1574" spans="1:19" ht="18" customHeight="1" x14ac:dyDescent="0.25">
      <c r="A1574" s="68"/>
      <c r="B1574" s="69"/>
      <c r="C1574" s="74"/>
      <c r="D1574" s="69"/>
      <c r="E1574" s="68"/>
      <c r="F1574" s="71"/>
      <c r="G1574" s="72"/>
      <c r="H1574" s="73"/>
      <c r="I1574" s="74"/>
      <c r="J1574" s="74"/>
      <c r="K1574" s="74"/>
      <c r="L1574" s="74"/>
      <c r="M1574" s="74"/>
      <c r="N1574" s="74"/>
      <c r="O1574" s="82">
        <f t="shared" si="72"/>
        <v>0</v>
      </c>
      <c r="P1574" s="82">
        <f t="shared" si="73"/>
        <v>0</v>
      </c>
      <c r="Q1574" s="74"/>
      <c r="R1574" s="76"/>
      <c r="S1574" s="84">
        <f t="shared" si="74"/>
        <v>0</v>
      </c>
    </row>
    <row r="1575" spans="1:19" ht="18" customHeight="1" x14ac:dyDescent="0.25">
      <c r="A1575" s="59"/>
      <c r="B1575" s="60"/>
      <c r="C1575" s="65"/>
      <c r="D1575" s="60"/>
      <c r="E1575" s="59"/>
      <c r="F1575" s="62"/>
      <c r="G1575" s="63"/>
      <c r="H1575" s="64"/>
      <c r="I1575" s="65"/>
      <c r="J1575" s="65"/>
      <c r="K1575" s="65"/>
      <c r="L1575" s="65"/>
      <c r="M1575" s="65"/>
      <c r="N1575" s="65"/>
      <c r="O1575" s="81">
        <f t="shared" si="72"/>
        <v>0</v>
      </c>
      <c r="P1575" s="81">
        <f t="shared" si="73"/>
        <v>0</v>
      </c>
      <c r="Q1575" s="65"/>
      <c r="R1575" s="67"/>
      <c r="S1575" s="83">
        <f t="shared" si="74"/>
        <v>0</v>
      </c>
    </row>
    <row r="1576" spans="1:19" ht="18" customHeight="1" x14ac:dyDescent="0.25">
      <c r="A1576" s="68"/>
      <c r="B1576" s="69"/>
      <c r="C1576" s="74"/>
      <c r="D1576" s="69"/>
      <c r="E1576" s="68"/>
      <c r="F1576" s="71"/>
      <c r="G1576" s="72"/>
      <c r="H1576" s="73"/>
      <c r="I1576" s="74"/>
      <c r="J1576" s="74"/>
      <c r="K1576" s="74"/>
      <c r="L1576" s="74"/>
      <c r="M1576" s="74"/>
      <c r="N1576" s="74"/>
      <c r="O1576" s="82">
        <f t="shared" si="72"/>
        <v>0</v>
      </c>
      <c r="P1576" s="82">
        <f t="shared" si="73"/>
        <v>0</v>
      </c>
      <c r="Q1576" s="74"/>
      <c r="R1576" s="76"/>
      <c r="S1576" s="84">
        <f t="shared" si="74"/>
        <v>0</v>
      </c>
    </row>
    <row r="1577" spans="1:19" ht="18" customHeight="1" x14ac:dyDescent="0.25">
      <c r="A1577" s="59"/>
      <c r="B1577" s="60"/>
      <c r="C1577" s="65"/>
      <c r="D1577" s="60"/>
      <c r="E1577" s="59"/>
      <c r="F1577" s="62"/>
      <c r="G1577" s="63"/>
      <c r="H1577" s="64"/>
      <c r="I1577" s="65"/>
      <c r="J1577" s="65"/>
      <c r="K1577" s="65"/>
      <c r="L1577" s="65"/>
      <c r="M1577" s="65"/>
      <c r="N1577" s="65"/>
      <c r="O1577" s="81">
        <f t="shared" si="72"/>
        <v>0</v>
      </c>
      <c r="P1577" s="81">
        <f t="shared" si="73"/>
        <v>0</v>
      </c>
      <c r="Q1577" s="65"/>
      <c r="R1577" s="67"/>
      <c r="S1577" s="83">
        <f t="shared" si="74"/>
        <v>0</v>
      </c>
    </row>
    <row r="1578" spans="1:19" ht="18" customHeight="1" x14ac:dyDescent="0.25">
      <c r="A1578" s="68"/>
      <c r="B1578" s="69"/>
      <c r="C1578" s="74"/>
      <c r="D1578" s="69"/>
      <c r="E1578" s="68"/>
      <c r="F1578" s="71"/>
      <c r="G1578" s="72"/>
      <c r="H1578" s="73"/>
      <c r="I1578" s="74"/>
      <c r="J1578" s="74"/>
      <c r="K1578" s="74"/>
      <c r="L1578" s="74"/>
      <c r="M1578" s="74"/>
      <c r="N1578" s="74"/>
      <c r="O1578" s="82">
        <f t="shared" si="72"/>
        <v>0</v>
      </c>
      <c r="P1578" s="82">
        <f t="shared" si="73"/>
        <v>0</v>
      </c>
      <c r="Q1578" s="74"/>
      <c r="R1578" s="76"/>
      <c r="S1578" s="84">
        <f t="shared" si="74"/>
        <v>0</v>
      </c>
    </row>
    <row r="1579" spans="1:19" ht="18" customHeight="1" x14ac:dyDescent="0.25">
      <c r="A1579" s="59"/>
      <c r="B1579" s="60"/>
      <c r="C1579" s="65"/>
      <c r="D1579" s="60"/>
      <c r="E1579" s="59"/>
      <c r="F1579" s="62"/>
      <c r="G1579" s="63"/>
      <c r="H1579" s="64"/>
      <c r="I1579" s="65"/>
      <c r="J1579" s="65"/>
      <c r="K1579" s="65"/>
      <c r="L1579" s="65"/>
      <c r="M1579" s="65"/>
      <c r="N1579" s="65"/>
      <c r="O1579" s="81">
        <f t="shared" si="72"/>
        <v>0</v>
      </c>
      <c r="P1579" s="81">
        <f t="shared" si="73"/>
        <v>0</v>
      </c>
      <c r="Q1579" s="65"/>
      <c r="R1579" s="67"/>
      <c r="S1579" s="83">
        <f t="shared" si="74"/>
        <v>0</v>
      </c>
    </row>
    <row r="1580" spans="1:19" ht="18" customHeight="1" x14ac:dyDescent="0.25">
      <c r="A1580" s="68"/>
      <c r="B1580" s="69"/>
      <c r="C1580" s="74"/>
      <c r="D1580" s="69"/>
      <c r="E1580" s="68"/>
      <c r="F1580" s="71"/>
      <c r="G1580" s="72"/>
      <c r="H1580" s="73"/>
      <c r="I1580" s="74"/>
      <c r="J1580" s="74"/>
      <c r="K1580" s="74"/>
      <c r="L1580" s="74"/>
      <c r="M1580" s="74"/>
      <c r="N1580" s="74"/>
      <c r="O1580" s="82">
        <f t="shared" si="72"/>
        <v>0</v>
      </c>
      <c r="P1580" s="82">
        <f t="shared" si="73"/>
        <v>0</v>
      </c>
      <c r="Q1580" s="74"/>
      <c r="R1580" s="76"/>
      <c r="S1580" s="84">
        <f t="shared" si="74"/>
        <v>0</v>
      </c>
    </row>
    <row r="1581" spans="1:19" ht="18" customHeight="1" x14ac:dyDescent="0.25">
      <c r="A1581" s="59"/>
      <c r="B1581" s="60"/>
      <c r="C1581" s="65"/>
      <c r="D1581" s="60"/>
      <c r="E1581" s="59"/>
      <c r="F1581" s="62"/>
      <c r="G1581" s="63"/>
      <c r="H1581" s="64"/>
      <c r="I1581" s="65"/>
      <c r="J1581" s="65"/>
      <c r="K1581" s="65"/>
      <c r="L1581" s="65"/>
      <c r="M1581" s="65"/>
      <c r="N1581" s="65"/>
      <c r="O1581" s="81">
        <f t="shared" si="72"/>
        <v>0</v>
      </c>
      <c r="P1581" s="81">
        <f t="shared" si="73"/>
        <v>0</v>
      </c>
      <c r="Q1581" s="65"/>
      <c r="R1581" s="67"/>
      <c r="S1581" s="83">
        <f t="shared" si="74"/>
        <v>0</v>
      </c>
    </row>
    <row r="1582" spans="1:19" ht="18" customHeight="1" x14ac:dyDescent="0.25">
      <c r="A1582" s="68"/>
      <c r="B1582" s="69"/>
      <c r="C1582" s="74"/>
      <c r="D1582" s="69"/>
      <c r="E1582" s="68"/>
      <c r="F1582" s="71"/>
      <c r="G1582" s="72"/>
      <c r="H1582" s="73"/>
      <c r="I1582" s="74"/>
      <c r="J1582" s="74"/>
      <c r="K1582" s="74"/>
      <c r="L1582" s="74"/>
      <c r="M1582" s="74"/>
      <c r="N1582" s="74"/>
      <c r="O1582" s="82">
        <f t="shared" si="72"/>
        <v>0</v>
      </c>
      <c r="P1582" s="82">
        <f t="shared" si="73"/>
        <v>0</v>
      </c>
      <c r="Q1582" s="74"/>
      <c r="R1582" s="76"/>
      <c r="S1582" s="84">
        <f t="shared" si="74"/>
        <v>0</v>
      </c>
    </row>
    <row r="1583" spans="1:19" ht="18" customHeight="1" x14ac:dyDescent="0.25">
      <c r="A1583" s="59"/>
      <c r="B1583" s="60"/>
      <c r="C1583" s="65"/>
      <c r="D1583" s="60"/>
      <c r="E1583" s="59"/>
      <c r="F1583" s="62"/>
      <c r="G1583" s="63"/>
      <c r="H1583" s="64"/>
      <c r="I1583" s="65"/>
      <c r="J1583" s="65"/>
      <c r="K1583" s="65"/>
      <c r="L1583" s="65"/>
      <c r="M1583" s="65"/>
      <c r="N1583" s="65"/>
      <c r="O1583" s="81">
        <f t="shared" si="72"/>
        <v>0</v>
      </c>
      <c r="P1583" s="81">
        <f t="shared" si="73"/>
        <v>0</v>
      </c>
      <c r="Q1583" s="65"/>
      <c r="R1583" s="67"/>
      <c r="S1583" s="83">
        <f t="shared" si="74"/>
        <v>0</v>
      </c>
    </row>
    <row r="1584" spans="1:19" ht="18" customHeight="1" x14ac:dyDescent="0.25">
      <c r="A1584" s="68"/>
      <c r="B1584" s="69"/>
      <c r="C1584" s="74"/>
      <c r="D1584" s="69"/>
      <c r="E1584" s="68"/>
      <c r="F1584" s="71"/>
      <c r="G1584" s="72"/>
      <c r="H1584" s="73"/>
      <c r="I1584" s="74"/>
      <c r="J1584" s="74"/>
      <c r="K1584" s="74"/>
      <c r="L1584" s="74"/>
      <c r="M1584" s="74"/>
      <c r="N1584" s="74"/>
      <c r="O1584" s="82">
        <f t="shared" si="72"/>
        <v>0</v>
      </c>
      <c r="P1584" s="82">
        <f t="shared" si="73"/>
        <v>0</v>
      </c>
      <c r="Q1584" s="74"/>
      <c r="R1584" s="76"/>
      <c r="S1584" s="84">
        <f t="shared" si="74"/>
        <v>0</v>
      </c>
    </row>
    <row r="1585" spans="1:19" ht="18" customHeight="1" x14ac:dyDescent="0.25">
      <c r="A1585" s="59"/>
      <c r="B1585" s="60"/>
      <c r="C1585" s="65"/>
      <c r="D1585" s="60"/>
      <c r="E1585" s="59"/>
      <c r="F1585" s="62"/>
      <c r="G1585" s="63"/>
      <c r="H1585" s="64"/>
      <c r="I1585" s="65"/>
      <c r="J1585" s="65"/>
      <c r="K1585" s="65"/>
      <c r="L1585" s="65"/>
      <c r="M1585" s="65"/>
      <c r="N1585" s="65"/>
      <c r="O1585" s="81">
        <f t="shared" si="72"/>
        <v>0</v>
      </c>
      <c r="P1585" s="81">
        <f t="shared" si="73"/>
        <v>0</v>
      </c>
      <c r="Q1585" s="65"/>
      <c r="R1585" s="67"/>
      <c r="S1585" s="83">
        <f t="shared" si="74"/>
        <v>0</v>
      </c>
    </row>
    <row r="1586" spans="1:19" ht="18" customHeight="1" x14ac:dyDescent="0.25">
      <c r="A1586" s="68"/>
      <c r="B1586" s="69"/>
      <c r="C1586" s="74"/>
      <c r="D1586" s="69"/>
      <c r="E1586" s="68"/>
      <c r="F1586" s="71"/>
      <c r="G1586" s="72"/>
      <c r="H1586" s="73"/>
      <c r="I1586" s="74"/>
      <c r="J1586" s="74"/>
      <c r="K1586" s="74"/>
      <c r="L1586" s="74"/>
      <c r="M1586" s="74"/>
      <c r="N1586" s="74"/>
      <c r="O1586" s="82">
        <f t="shared" si="72"/>
        <v>0</v>
      </c>
      <c r="P1586" s="82">
        <f t="shared" si="73"/>
        <v>0</v>
      </c>
      <c r="Q1586" s="74"/>
      <c r="R1586" s="76"/>
      <c r="S1586" s="84">
        <f t="shared" si="74"/>
        <v>0</v>
      </c>
    </row>
    <row r="1587" spans="1:19" ht="18" customHeight="1" x14ac:dyDescent="0.25">
      <c r="A1587" s="59"/>
      <c r="B1587" s="60"/>
      <c r="C1587" s="65"/>
      <c r="D1587" s="60"/>
      <c r="E1587" s="59"/>
      <c r="F1587" s="62"/>
      <c r="G1587" s="63"/>
      <c r="H1587" s="64"/>
      <c r="I1587" s="65"/>
      <c r="J1587" s="65"/>
      <c r="K1587" s="65"/>
      <c r="L1587" s="65"/>
      <c r="M1587" s="65"/>
      <c r="N1587" s="65"/>
      <c r="O1587" s="81">
        <f t="shared" si="72"/>
        <v>0</v>
      </c>
      <c r="P1587" s="81">
        <f t="shared" si="73"/>
        <v>0</v>
      </c>
      <c r="Q1587" s="65"/>
      <c r="R1587" s="67"/>
      <c r="S1587" s="83">
        <f t="shared" si="74"/>
        <v>0</v>
      </c>
    </row>
    <row r="1588" spans="1:19" ht="18" customHeight="1" x14ac:dyDescent="0.25">
      <c r="A1588" s="68"/>
      <c r="B1588" s="69"/>
      <c r="C1588" s="74"/>
      <c r="D1588" s="69"/>
      <c r="E1588" s="68"/>
      <c r="F1588" s="71"/>
      <c r="G1588" s="72"/>
      <c r="H1588" s="73"/>
      <c r="I1588" s="74"/>
      <c r="J1588" s="74"/>
      <c r="K1588" s="74"/>
      <c r="L1588" s="74"/>
      <c r="M1588" s="74"/>
      <c r="N1588" s="74"/>
      <c r="O1588" s="82">
        <f t="shared" si="72"/>
        <v>0</v>
      </c>
      <c r="P1588" s="82">
        <f t="shared" si="73"/>
        <v>0</v>
      </c>
      <c r="Q1588" s="74"/>
      <c r="R1588" s="76"/>
      <c r="S1588" s="84">
        <f t="shared" si="74"/>
        <v>0</v>
      </c>
    </row>
    <row r="1589" spans="1:19" ht="18" customHeight="1" x14ac:dyDescent="0.25">
      <c r="A1589" s="59"/>
      <c r="B1589" s="60"/>
      <c r="C1589" s="65"/>
      <c r="D1589" s="60"/>
      <c r="E1589" s="59"/>
      <c r="F1589" s="62"/>
      <c r="G1589" s="63"/>
      <c r="H1589" s="64"/>
      <c r="I1589" s="65"/>
      <c r="J1589" s="65"/>
      <c r="K1589" s="65"/>
      <c r="L1589" s="65"/>
      <c r="M1589" s="65"/>
      <c r="N1589" s="65"/>
      <c r="O1589" s="81">
        <f t="shared" si="72"/>
        <v>0</v>
      </c>
      <c r="P1589" s="81">
        <f t="shared" si="73"/>
        <v>0</v>
      </c>
      <c r="Q1589" s="65"/>
      <c r="R1589" s="67"/>
      <c r="S1589" s="83">
        <f t="shared" si="74"/>
        <v>0</v>
      </c>
    </row>
    <row r="1590" spans="1:19" ht="18" customHeight="1" x14ac:dyDescent="0.25">
      <c r="A1590" s="68"/>
      <c r="B1590" s="69"/>
      <c r="C1590" s="74"/>
      <c r="D1590" s="69"/>
      <c r="E1590" s="68"/>
      <c r="F1590" s="71"/>
      <c r="G1590" s="72"/>
      <c r="H1590" s="73"/>
      <c r="I1590" s="74"/>
      <c r="J1590" s="74"/>
      <c r="K1590" s="74"/>
      <c r="L1590" s="74"/>
      <c r="M1590" s="74"/>
      <c r="N1590" s="74"/>
      <c r="O1590" s="82">
        <f t="shared" si="72"/>
        <v>0</v>
      </c>
      <c r="P1590" s="82">
        <f t="shared" si="73"/>
        <v>0</v>
      </c>
      <c r="Q1590" s="74"/>
      <c r="R1590" s="76"/>
      <c r="S1590" s="84">
        <f t="shared" si="74"/>
        <v>0</v>
      </c>
    </row>
    <row r="1591" spans="1:19" ht="18" customHeight="1" x14ac:dyDescent="0.25">
      <c r="A1591" s="59"/>
      <c r="B1591" s="60"/>
      <c r="C1591" s="65"/>
      <c r="D1591" s="60"/>
      <c r="E1591" s="59"/>
      <c r="F1591" s="62"/>
      <c r="G1591" s="63"/>
      <c r="H1591" s="64"/>
      <c r="I1591" s="65"/>
      <c r="J1591" s="65"/>
      <c r="K1591" s="65"/>
      <c r="L1591" s="65"/>
      <c r="M1591" s="65"/>
      <c r="N1591" s="65"/>
      <c r="O1591" s="81">
        <f t="shared" si="72"/>
        <v>0</v>
      </c>
      <c r="P1591" s="81">
        <f t="shared" si="73"/>
        <v>0</v>
      </c>
      <c r="Q1591" s="65"/>
      <c r="R1591" s="67"/>
      <c r="S1591" s="83">
        <f t="shared" si="74"/>
        <v>0</v>
      </c>
    </row>
    <row r="1592" spans="1:19" ht="18" customHeight="1" x14ac:dyDescent="0.25">
      <c r="A1592" s="68"/>
      <c r="B1592" s="69"/>
      <c r="C1592" s="74"/>
      <c r="D1592" s="69"/>
      <c r="E1592" s="68"/>
      <c r="F1592" s="71"/>
      <c r="G1592" s="72"/>
      <c r="H1592" s="73"/>
      <c r="I1592" s="74"/>
      <c r="J1592" s="74"/>
      <c r="K1592" s="74"/>
      <c r="L1592" s="74"/>
      <c r="M1592" s="74"/>
      <c r="N1592" s="74"/>
      <c r="O1592" s="82">
        <f t="shared" si="72"/>
        <v>0</v>
      </c>
      <c r="P1592" s="82">
        <f t="shared" si="73"/>
        <v>0</v>
      </c>
      <c r="Q1592" s="74"/>
      <c r="R1592" s="76"/>
      <c r="S1592" s="84">
        <f t="shared" si="74"/>
        <v>0</v>
      </c>
    </row>
    <row r="1593" spans="1:19" ht="18" customHeight="1" x14ac:dyDescent="0.25">
      <c r="A1593" s="59"/>
      <c r="B1593" s="60"/>
      <c r="C1593" s="65"/>
      <c r="D1593" s="60"/>
      <c r="E1593" s="59"/>
      <c r="F1593" s="62"/>
      <c r="G1593" s="63"/>
      <c r="H1593" s="64"/>
      <c r="I1593" s="65"/>
      <c r="J1593" s="65"/>
      <c r="K1593" s="65"/>
      <c r="L1593" s="65"/>
      <c r="M1593" s="65"/>
      <c r="N1593" s="65"/>
      <c r="O1593" s="81">
        <f t="shared" si="72"/>
        <v>0</v>
      </c>
      <c r="P1593" s="81">
        <f t="shared" si="73"/>
        <v>0</v>
      </c>
      <c r="Q1593" s="65"/>
      <c r="R1593" s="67"/>
      <c r="S1593" s="83">
        <f t="shared" si="74"/>
        <v>0</v>
      </c>
    </row>
    <row r="1594" spans="1:19" ht="18" customHeight="1" x14ac:dyDescent="0.25">
      <c r="A1594" s="68"/>
      <c r="B1594" s="69"/>
      <c r="C1594" s="74"/>
      <c r="D1594" s="69"/>
      <c r="E1594" s="68"/>
      <c r="F1594" s="71"/>
      <c r="G1594" s="72"/>
      <c r="H1594" s="73"/>
      <c r="I1594" s="74"/>
      <c r="J1594" s="74"/>
      <c r="K1594" s="74"/>
      <c r="L1594" s="74"/>
      <c r="M1594" s="74"/>
      <c r="N1594" s="74"/>
      <c r="O1594" s="82">
        <f t="shared" si="72"/>
        <v>0</v>
      </c>
      <c r="P1594" s="82">
        <f t="shared" si="73"/>
        <v>0</v>
      </c>
      <c r="Q1594" s="74"/>
      <c r="R1594" s="76"/>
      <c r="S1594" s="84">
        <f t="shared" si="74"/>
        <v>0</v>
      </c>
    </row>
    <row r="1595" spans="1:19" ht="18" customHeight="1" x14ac:dyDescent="0.25">
      <c r="A1595" s="59"/>
      <c r="B1595" s="60"/>
      <c r="C1595" s="65"/>
      <c r="D1595" s="60"/>
      <c r="E1595" s="59"/>
      <c r="F1595" s="62"/>
      <c r="G1595" s="63"/>
      <c r="H1595" s="64"/>
      <c r="I1595" s="65"/>
      <c r="J1595" s="65"/>
      <c r="K1595" s="65"/>
      <c r="L1595" s="65"/>
      <c r="M1595" s="65"/>
      <c r="N1595" s="65"/>
      <c r="O1595" s="81">
        <f t="shared" si="72"/>
        <v>0</v>
      </c>
      <c r="P1595" s="81">
        <f t="shared" si="73"/>
        <v>0</v>
      </c>
      <c r="Q1595" s="65"/>
      <c r="R1595" s="67"/>
      <c r="S1595" s="83">
        <f t="shared" si="74"/>
        <v>0</v>
      </c>
    </row>
    <row r="1596" spans="1:19" ht="18" customHeight="1" x14ac:dyDescent="0.25">
      <c r="A1596" s="68"/>
      <c r="B1596" s="69"/>
      <c r="C1596" s="74"/>
      <c r="D1596" s="69"/>
      <c r="E1596" s="68"/>
      <c r="F1596" s="71"/>
      <c r="G1596" s="72"/>
      <c r="H1596" s="73"/>
      <c r="I1596" s="74"/>
      <c r="J1596" s="74"/>
      <c r="K1596" s="74"/>
      <c r="L1596" s="74"/>
      <c r="M1596" s="74"/>
      <c r="N1596" s="74"/>
      <c r="O1596" s="82">
        <f t="shared" si="72"/>
        <v>0</v>
      </c>
      <c r="P1596" s="82">
        <f t="shared" si="73"/>
        <v>0</v>
      </c>
      <c r="Q1596" s="74"/>
      <c r="R1596" s="76"/>
      <c r="S1596" s="84">
        <f t="shared" si="74"/>
        <v>0</v>
      </c>
    </row>
    <row r="1597" spans="1:19" ht="18" customHeight="1" x14ac:dyDescent="0.25">
      <c r="A1597" s="59"/>
      <c r="B1597" s="60"/>
      <c r="C1597" s="65"/>
      <c r="D1597" s="60"/>
      <c r="E1597" s="59"/>
      <c r="F1597" s="62"/>
      <c r="G1597" s="63"/>
      <c r="H1597" s="64"/>
      <c r="I1597" s="65"/>
      <c r="J1597" s="65"/>
      <c r="K1597" s="65"/>
      <c r="L1597" s="65"/>
      <c r="M1597" s="65"/>
      <c r="N1597" s="65"/>
      <c r="O1597" s="81">
        <f t="shared" si="72"/>
        <v>0</v>
      </c>
      <c r="P1597" s="81">
        <f t="shared" si="73"/>
        <v>0</v>
      </c>
      <c r="Q1597" s="65"/>
      <c r="R1597" s="67"/>
      <c r="S1597" s="83">
        <f t="shared" si="74"/>
        <v>0</v>
      </c>
    </row>
    <row r="1598" spans="1:19" ht="18" customHeight="1" x14ac:dyDescent="0.25">
      <c r="A1598" s="68"/>
      <c r="B1598" s="69"/>
      <c r="C1598" s="74"/>
      <c r="D1598" s="69"/>
      <c r="E1598" s="68"/>
      <c r="F1598" s="71"/>
      <c r="G1598" s="72"/>
      <c r="H1598" s="73"/>
      <c r="I1598" s="74"/>
      <c r="J1598" s="74"/>
      <c r="K1598" s="74"/>
      <c r="L1598" s="74"/>
      <c r="M1598" s="74"/>
      <c r="N1598" s="74"/>
      <c r="O1598" s="82">
        <f t="shared" si="72"/>
        <v>0</v>
      </c>
      <c r="P1598" s="82">
        <f t="shared" si="73"/>
        <v>0</v>
      </c>
      <c r="Q1598" s="74"/>
      <c r="R1598" s="76"/>
      <c r="S1598" s="84">
        <f t="shared" si="74"/>
        <v>0</v>
      </c>
    </row>
    <row r="1599" spans="1:19" ht="18" customHeight="1" x14ac:dyDescent="0.25">
      <c r="A1599" s="59"/>
      <c r="B1599" s="60"/>
      <c r="C1599" s="65"/>
      <c r="D1599" s="60"/>
      <c r="E1599" s="59"/>
      <c r="F1599" s="62"/>
      <c r="G1599" s="63"/>
      <c r="H1599" s="64"/>
      <c r="I1599" s="65"/>
      <c r="J1599" s="65"/>
      <c r="K1599" s="65"/>
      <c r="L1599" s="65"/>
      <c r="M1599" s="65"/>
      <c r="N1599" s="65"/>
      <c r="O1599" s="81">
        <f t="shared" si="72"/>
        <v>0</v>
      </c>
      <c r="P1599" s="81">
        <f t="shared" si="73"/>
        <v>0</v>
      </c>
      <c r="Q1599" s="65"/>
      <c r="R1599" s="67"/>
      <c r="S1599" s="83">
        <f t="shared" si="74"/>
        <v>0</v>
      </c>
    </row>
    <row r="1600" spans="1:19" ht="18" customHeight="1" x14ac:dyDescent="0.25">
      <c r="A1600" s="68"/>
      <c r="B1600" s="69"/>
      <c r="C1600" s="74"/>
      <c r="D1600" s="69"/>
      <c r="E1600" s="68"/>
      <c r="F1600" s="71"/>
      <c r="G1600" s="72"/>
      <c r="H1600" s="73"/>
      <c r="I1600" s="74"/>
      <c r="J1600" s="74"/>
      <c r="K1600" s="74"/>
      <c r="L1600" s="74"/>
      <c r="M1600" s="74"/>
      <c r="N1600" s="74"/>
      <c r="O1600" s="82">
        <f t="shared" si="72"/>
        <v>0</v>
      </c>
      <c r="P1600" s="82">
        <f t="shared" si="73"/>
        <v>0</v>
      </c>
      <c r="Q1600" s="74"/>
      <c r="R1600" s="76"/>
      <c r="S1600" s="84">
        <f t="shared" si="74"/>
        <v>0</v>
      </c>
    </row>
    <row r="1601" spans="1:19" ht="18" customHeight="1" x14ac:dyDescent="0.25">
      <c r="A1601" s="59"/>
      <c r="B1601" s="60"/>
      <c r="C1601" s="65"/>
      <c r="D1601" s="60"/>
      <c r="E1601" s="59"/>
      <c r="F1601" s="62"/>
      <c r="G1601" s="63"/>
      <c r="H1601" s="64"/>
      <c r="I1601" s="65"/>
      <c r="J1601" s="65"/>
      <c r="K1601" s="65"/>
      <c r="L1601" s="65"/>
      <c r="M1601" s="65"/>
      <c r="N1601" s="65"/>
      <c r="O1601" s="81">
        <f t="shared" si="72"/>
        <v>0</v>
      </c>
      <c r="P1601" s="81">
        <f t="shared" si="73"/>
        <v>0</v>
      </c>
      <c r="Q1601" s="65"/>
      <c r="R1601" s="67"/>
      <c r="S1601" s="83">
        <f t="shared" si="74"/>
        <v>0</v>
      </c>
    </row>
    <row r="1602" spans="1:19" ht="18" customHeight="1" x14ac:dyDescent="0.25">
      <c r="A1602" s="68"/>
      <c r="B1602" s="69"/>
      <c r="C1602" s="74"/>
      <c r="D1602" s="69"/>
      <c r="E1602" s="68"/>
      <c r="F1602" s="71"/>
      <c r="G1602" s="72"/>
      <c r="H1602" s="73"/>
      <c r="I1602" s="74"/>
      <c r="J1602" s="74"/>
      <c r="K1602" s="74"/>
      <c r="L1602" s="74"/>
      <c r="M1602" s="74"/>
      <c r="N1602" s="74"/>
      <c r="O1602" s="82">
        <f t="shared" si="72"/>
        <v>0</v>
      </c>
      <c r="P1602" s="82">
        <f t="shared" si="73"/>
        <v>0</v>
      </c>
      <c r="Q1602" s="74"/>
      <c r="R1602" s="76"/>
      <c r="S1602" s="84">
        <f t="shared" si="74"/>
        <v>0</v>
      </c>
    </row>
    <row r="1603" spans="1:19" ht="18" customHeight="1" x14ac:dyDescent="0.25">
      <c r="A1603" s="59"/>
      <c r="B1603" s="60"/>
      <c r="C1603" s="65"/>
      <c r="D1603" s="60"/>
      <c r="E1603" s="59"/>
      <c r="F1603" s="62"/>
      <c r="G1603" s="63"/>
      <c r="H1603" s="64"/>
      <c r="I1603" s="65"/>
      <c r="J1603" s="65"/>
      <c r="K1603" s="65"/>
      <c r="L1603" s="65"/>
      <c r="M1603" s="65"/>
      <c r="N1603" s="65"/>
      <c r="O1603" s="81">
        <f t="shared" si="72"/>
        <v>0</v>
      </c>
      <c r="P1603" s="81">
        <f t="shared" si="73"/>
        <v>0</v>
      </c>
      <c r="Q1603" s="65"/>
      <c r="R1603" s="67"/>
      <c r="S1603" s="83">
        <f t="shared" si="74"/>
        <v>0</v>
      </c>
    </row>
    <row r="1604" spans="1:19" ht="18" customHeight="1" x14ac:dyDescent="0.25">
      <c r="A1604" s="68"/>
      <c r="B1604" s="69"/>
      <c r="C1604" s="74"/>
      <c r="D1604" s="69"/>
      <c r="E1604" s="68"/>
      <c r="F1604" s="71"/>
      <c r="G1604" s="72"/>
      <c r="H1604" s="73"/>
      <c r="I1604" s="74"/>
      <c r="J1604" s="74"/>
      <c r="K1604" s="74"/>
      <c r="L1604" s="74"/>
      <c r="M1604" s="74"/>
      <c r="N1604" s="74"/>
      <c r="O1604" s="82">
        <f t="shared" si="72"/>
        <v>0</v>
      </c>
      <c r="P1604" s="82">
        <f t="shared" si="73"/>
        <v>0</v>
      </c>
      <c r="Q1604" s="74"/>
      <c r="R1604" s="76"/>
      <c r="S1604" s="84">
        <f t="shared" si="74"/>
        <v>0</v>
      </c>
    </row>
    <row r="1605" spans="1:19" ht="18" customHeight="1" x14ac:dyDescent="0.25">
      <c r="A1605" s="59"/>
      <c r="B1605" s="60"/>
      <c r="C1605" s="65"/>
      <c r="D1605" s="60"/>
      <c r="E1605" s="59"/>
      <c r="F1605" s="62"/>
      <c r="G1605" s="63"/>
      <c r="H1605" s="64"/>
      <c r="I1605" s="65"/>
      <c r="J1605" s="65"/>
      <c r="K1605" s="65"/>
      <c r="L1605" s="65"/>
      <c r="M1605" s="65"/>
      <c r="N1605" s="65"/>
      <c r="O1605" s="81">
        <f t="shared" si="72"/>
        <v>0</v>
      </c>
      <c r="P1605" s="81">
        <f t="shared" si="73"/>
        <v>0</v>
      </c>
      <c r="Q1605" s="65"/>
      <c r="R1605" s="67"/>
      <c r="S1605" s="83">
        <f t="shared" si="74"/>
        <v>0</v>
      </c>
    </row>
    <row r="1606" spans="1:19" ht="18" customHeight="1" x14ac:dyDescent="0.25">
      <c r="A1606" s="68"/>
      <c r="B1606" s="69"/>
      <c r="C1606" s="74"/>
      <c r="D1606" s="69"/>
      <c r="E1606" s="68"/>
      <c r="F1606" s="71"/>
      <c r="G1606" s="72"/>
      <c r="H1606" s="73"/>
      <c r="I1606" s="74"/>
      <c r="J1606" s="74"/>
      <c r="K1606" s="74"/>
      <c r="L1606" s="74"/>
      <c r="M1606" s="74"/>
      <c r="N1606" s="74"/>
      <c r="O1606" s="82" t="e">
        <f>#N/A</f>
        <v>#N/A</v>
      </c>
      <c r="P1606" s="82" t="e">
        <f>#N/A</f>
        <v>#N/A</v>
      </c>
      <c r="Q1606" s="74"/>
      <c r="R1606" s="76"/>
      <c r="S1606" s="84">
        <f t="shared" si="74"/>
        <v>0</v>
      </c>
    </row>
    <row r="1607" spans="1:19" ht="18" customHeight="1" x14ac:dyDescent="0.25">
      <c r="A1607" s="59"/>
      <c r="B1607" s="60"/>
      <c r="C1607" s="65"/>
      <c r="D1607" s="60"/>
      <c r="E1607" s="59"/>
      <c r="F1607" s="62"/>
      <c r="G1607" s="63"/>
      <c r="H1607" s="64"/>
      <c r="I1607" s="65"/>
      <c r="J1607" s="65"/>
      <c r="K1607" s="65"/>
      <c r="L1607" s="65"/>
      <c r="M1607" s="65"/>
      <c r="N1607" s="65"/>
      <c r="O1607" s="81">
        <f t="shared" ref="O1607:O1669" si="75">IF(G1607="Reimbursement ","",I1607+J1607+K1607+L1607+M1607)</f>
        <v>0</v>
      </c>
      <c r="P1607" s="81">
        <f t="shared" ref="P1607:P1669" si="76">IF(G1607="Reimbursement ","",H1607-O1607)</f>
        <v>0</v>
      </c>
      <c r="Q1607" s="65"/>
      <c r="R1607" s="67"/>
      <c r="S1607" s="83">
        <f t="shared" ref="S1607:S1670" si="77">IF(OR(R1607="",Q1607=""),0,IF(R1607&gt;Q1607,R1607-Q1607,0))</f>
        <v>0</v>
      </c>
    </row>
    <row r="1608" spans="1:19" ht="18" customHeight="1" x14ac:dyDescent="0.25">
      <c r="A1608" s="68"/>
      <c r="B1608" s="69"/>
      <c r="C1608" s="74"/>
      <c r="D1608" s="69"/>
      <c r="E1608" s="68"/>
      <c r="F1608" s="71"/>
      <c r="G1608" s="72"/>
      <c r="H1608" s="73"/>
      <c r="I1608" s="74"/>
      <c r="J1608" s="74"/>
      <c r="K1608" s="74"/>
      <c r="L1608" s="74"/>
      <c r="M1608" s="74"/>
      <c r="N1608" s="74"/>
      <c r="O1608" s="82">
        <f t="shared" si="75"/>
        <v>0</v>
      </c>
      <c r="P1608" s="82">
        <f t="shared" si="76"/>
        <v>0</v>
      </c>
      <c r="Q1608" s="74"/>
      <c r="R1608" s="76"/>
      <c r="S1608" s="84">
        <f t="shared" si="77"/>
        <v>0</v>
      </c>
    </row>
    <row r="1609" spans="1:19" ht="18" customHeight="1" x14ac:dyDescent="0.25">
      <c r="A1609" s="59"/>
      <c r="B1609" s="60"/>
      <c r="C1609" s="65"/>
      <c r="D1609" s="60"/>
      <c r="E1609" s="59"/>
      <c r="F1609" s="62"/>
      <c r="G1609" s="63"/>
      <c r="H1609" s="64"/>
      <c r="I1609" s="65"/>
      <c r="J1609" s="65"/>
      <c r="K1609" s="65"/>
      <c r="L1609" s="65"/>
      <c r="M1609" s="65"/>
      <c r="N1609" s="65"/>
      <c r="O1609" s="81">
        <f t="shared" si="75"/>
        <v>0</v>
      </c>
      <c r="P1609" s="81">
        <f t="shared" si="76"/>
        <v>0</v>
      </c>
      <c r="Q1609" s="65"/>
      <c r="R1609" s="67"/>
      <c r="S1609" s="83">
        <f t="shared" si="77"/>
        <v>0</v>
      </c>
    </row>
    <row r="1610" spans="1:19" ht="18" customHeight="1" x14ac:dyDescent="0.25">
      <c r="A1610" s="68"/>
      <c r="B1610" s="69"/>
      <c r="C1610" s="74"/>
      <c r="D1610" s="69"/>
      <c r="E1610" s="68"/>
      <c r="F1610" s="71"/>
      <c r="G1610" s="72"/>
      <c r="H1610" s="73"/>
      <c r="I1610" s="74"/>
      <c r="J1610" s="74"/>
      <c r="K1610" s="74"/>
      <c r="L1610" s="74"/>
      <c r="M1610" s="74"/>
      <c r="N1610" s="74"/>
      <c r="O1610" s="82">
        <f t="shared" si="75"/>
        <v>0</v>
      </c>
      <c r="P1610" s="82">
        <f t="shared" si="76"/>
        <v>0</v>
      </c>
      <c r="Q1610" s="74"/>
      <c r="R1610" s="76"/>
      <c r="S1610" s="84">
        <f t="shared" si="77"/>
        <v>0</v>
      </c>
    </row>
    <row r="1611" spans="1:19" ht="18" customHeight="1" x14ac:dyDescent="0.25">
      <c r="A1611" s="59"/>
      <c r="B1611" s="60"/>
      <c r="C1611" s="65"/>
      <c r="D1611" s="60"/>
      <c r="E1611" s="59"/>
      <c r="F1611" s="62"/>
      <c r="G1611" s="63"/>
      <c r="H1611" s="64"/>
      <c r="I1611" s="65"/>
      <c r="J1611" s="65"/>
      <c r="K1611" s="65"/>
      <c r="L1611" s="65"/>
      <c r="M1611" s="65"/>
      <c r="N1611" s="65"/>
      <c r="O1611" s="81">
        <f t="shared" si="75"/>
        <v>0</v>
      </c>
      <c r="P1611" s="81">
        <f t="shared" si="76"/>
        <v>0</v>
      </c>
      <c r="Q1611" s="65"/>
      <c r="R1611" s="67"/>
      <c r="S1611" s="83">
        <f t="shared" si="77"/>
        <v>0</v>
      </c>
    </row>
    <row r="1612" spans="1:19" ht="18" customHeight="1" x14ac:dyDescent="0.25">
      <c r="A1612" s="68"/>
      <c r="B1612" s="69"/>
      <c r="C1612" s="74"/>
      <c r="D1612" s="69"/>
      <c r="E1612" s="68"/>
      <c r="F1612" s="71"/>
      <c r="G1612" s="72"/>
      <c r="H1612" s="73"/>
      <c r="I1612" s="74"/>
      <c r="J1612" s="74"/>
      <c r="K1612" s="74"/>
      <c r="L1612" s="74"/>
      <c r="M1612" s="74"/>
      <c r="N1612" s="74"/>
      <c r="O1612" s="82">
        <f t="shared" si="75"/>
        <v>0</v>
      </c>
      <c r="P1612" s="82">
        <f t="shared" si="76"/>
        <v>0</v>
      </c>
      <c r="Q1612" s="74"/>
      <c r="R1612" s="76"/>
      <c r="S1612" s="84">
        <f t="shared" si="77"/>
        <v>0</v>
      </c>
    </row>
    <row r="1613" spans="1:19" ht="18" customHeight="1" x14ac:dyDescent="0.25">
      <c r="A1613" s="59"/>
      <c r="B1613" s="60"/>
      <c r="C1613" s="65"/>
      <c r="D1613" s="60"/>
      <c r="E1613" s="59"/>
      <c r="F1613" s="62"/>
      <c r="G1613" s="63"/>
      <c r="H1613" s="64"/>
      <c r="I1613" s="65"/>
      <c r="J1613" s="65"/>
      <c r="K1613" s="65"/>
      <c r="L1613" s="65"/>
      <c r="M1613" s="65"/>
      <c r="N1613" s="65"/>
      <c r="O1613" s="81">
        <f t="shared" si="75"/>
        <v>0</v>
      </c>
      <c r="P1613" s="81">
        <f t="shared" si="76"/>
        <v>0</v>
      </c>
      <c r="Q1613" s="65"/>
      <c r="R1613" s="67"/>
      <c r="S1613" s="83">
        <f t="shared" si="77"/>
        <v>0</v>
      </c>
    </row>
    <row r="1614" spans="1:19" ht="18" customHeight="1" x14ac:dyDescent="0.25">
      <c r="A1614" s="68"/>
      <c r="B1614" s="69"/>
      <c r="C1614" s="74"/>
      <c r="D1614" s="69"/>
      <c r="E1614" s="68"/>
      <c r="F1614" s="71"/>
      <c r="G1614" s="72"/>
      <c r="H1614" s="73"/>
      <c r="I1614" s="74"/>
      <c r="J1614" s="74"/>
      <c r="K1614" s="74"/>
      <c r="L1614" s="74"/>
      <c r="M1614" s="74"/>
      <c r="N1614" s="74"/>
      <c r="O1614" s="82">
        <f t="shared" si="75"/>
        <v>0</v>
      </c>
      <c r="P1614" s="82">
        <f t="shared" si="76"/>
        <v>0</v>
      </c>
      <c r="Q1614" s="74"/>
      <c r="R1614" s="76"/>
      <c r="S1614" s="84">
        <f t="shared" si="77"/>
        <v>0</v>
      </c>
    </row>
    <row r="1615" spans="1:19" ht="18" customHeight="1" x14ac:dyDescent="0.25">
      <c r="A1615" s="59"/>
      <c r="B1615" s="60"/>
      <c r="C1615" s="65"/>
      <c r="D1615" s="60"/>
      <c r="E1615" s="59"/>
      <c r="F1615" s="62"/>
      <c r="G1615" s="63"/>
      <c r="H1615" s="64"/>
      <c r="I1615" s="65"/>
      <c r="J1615" s="65"/>
      <c r="K1615" s="65"/>
      <c r="L1615" s="65"/>
      <c r="M1615" s="65"/>
      <c r="N1615" s="65"/>
      <c r="O1615" s="81">
        <f t="shared" si="75"/>
        <v>0</v>
      </c>
      <c r="P1615" s="81">
        <f t="shared" si="76"/>
        <v>0</v>
      </c>
      <c r="Q1615" s="65"/>
      <c r="R1615" s="67"/>
      <c r="S1615" s="83">
        <f t="shared" si="77"/>
        <v>0</v>
      </c>
    </row>
    <row r="1616" spans="1:19" ht="18" customHeight="1" x14ac:dyDescent="0.25">
      <c r="A1616" s="68"/>
      <c r="B1616" s="69"/>
      <c r="C1616" s="74"/>
      <c r="D1616" s="69"/>
      <c r="E1616" s="68"/>
      <c r="F1616" s="71"/>
      <c r="G1616" s="72"/>
      <c r="H1616" s="73"/>
      <c r="I1616" s="74"/>
      <c r="J1616" s="74"/>
      <c r="K1616" s="74"/>
      <c r="L1616" s="74"/>
      <c r="M1616" s="74"/>
      <c r="N1616" s="74"/>
      <c r="O1616" s="82">
        <f t="shared" si="75"/>
        <v>0</v>
      </c>
      <c r="P1616" s="82">
        <f t="shared" si="76"/>
        <v>0</v>
      </c>
      <c r="Q1616" s="74"/>
      <c r="R1616" s="76"/>
      <c r="S1616" s="84">
        <f t="shared" si="77"/>
        <v>0</v>
      </c>
    </row>
    <row r="1617" spans="1:19" ht="18" customHeight="1" x14ac:dyDescent="0.25">
      <c r="A1617" s="59"/>
      <c r="B1617" s="60"/>
      <c r="C1617" s="65"/>
      <c r="D1617" s="60"/>
      <c r="E1617" s="59"/>
      <c r="F1617" s="62"/>
      <c r="G1617" s="63"/>
      <c r="H1617" s="64"/>
      <c r="I1617" s="65"/>
      <c r="J1617" s="65"/>
      <c r="K1617" s="65"/>
      <c r="L1617" s="65"/>
      <c r="M1617" s="65"/>
      <c r="N1617" s="65"/>
      <c r="O1617" s="81">
        <f t="shared" si="75"/>
        <v>0</v>
      </c>
      <c r="P1617" s="81">
        <f t="shared" si="76"/>
        <v>0</v>
      </c>
      <c r="Q1617" s="65"/>
      <c r="R1617" s="67"/>
      <c r="S1617" s="83">
        <f t="shared" si="77"/>
        <v>0</v>
      </c>
    </row>
    <row r="1618" spans="1:19" ht="18" customHeight="1" x14ac:dyDescent="0.25">
      <c r="A1618" s="68"/>
      <c r="B1618" s="69"/>
      <c r="C1618" s="74"/>
      <c r="D1618" s="69"/>
      <c r="E1618" s="68"/>
      <c r="F1618" s="71"/>
      <c r="G1618" s="72"/>
      <c r="H1618" s="73"/>
      <c r="I1618" s="74"/>
      <c r="J1618" s="74"/>
      <c r="K1618" s="74"/>
      <c r="L1618" s="74"/>
      <c r="M1618" s="74"/>
      <c r="N1618" s="74"/>
      <c r="O1618" s="82">
        <f t="shared" si="75"/>
        <v>0</v>
      </c>
      <c r="P1618" s="82">
        <f t="shared" si="76"/>
        <v>0</v>
      </c>
      <c r="Q1618" s="74"/>
      <c r="R1618" s="76"/>
      <c r="S1618" s="84">
        <f t="shared" si="77"/>
        <v>0</v>
      </c>
    </row>
    <row r="1619" spans="1:19" ht="18" customHeight="1" x14ac:dyDescent="0.25">
      <c r="A1619" s="59"/>
      <c r="B1619" s="60"/>
      <c r="C1619" s="65"/>
      <c r="D1619" s="60"/>
      <c r="E1619" s="59"/>
      <c r="F1619" s="62"/>
      <c r="G1619" s="63"/>
      <c r="H1619" s="64"/>
      <c r="I1619" s="65"/>
      <c r="J1619" s="65"/>
      <c r="K1619" s="65"/>
      <c r="L1619" s="65"/>
      <c r="M1619" s="65"/>
      <c r="N1619" s="65"/>
      <c r="O1619" s="81">
        <f t="shared" si="75"/>
        <v>0</v>
      </c>
      <c r="P1619" s="81">
        <f t="shared" si="76"/>
        <v>0</v>
      </c>
      <c r="Q1619" s="65"/>
      <c r="R1619" s="67"/>
      <c r="S1619" s="83">
        <f t="shared" si="77"/>
        <v>0</v>
      </c>
    </row>
    <row r="1620" spans="1:19" ht="18" customHeight="1" x14ac:dyDescent="0.25">
      <c r="A1620" s="68"/>
      <c r="B1620" s="69"/>
      <c r="C1620" s="74"/>
      <c r="D1620" s="69"/>
      <c r="E1620" s="68"/>
      <c r="F1620" s="71"/>
      <c r="G1620" s="72"/>
      <c r="H1620" s="73"/>
      <c r="I1620" s="74"/>
      <c r="J1620" s="74"/>
      <c r="K1620" s="74"/>
      <c r="L1620" s="74"/>
      <c r="M1620" s="74"/>
      <c r="N1620" s="74"/>
      <c r="O1620" s="82">
        <f t="shared" si="75"/>
        <v>0</v>
      </c>
      <c r="P1620" s="82">
        <f t="shared" si="76"/>
        <v>0</v>
      </c>
      <c r="Q1620" s="74"/>
      <c r="R1620" s="76"/>
      <c r="S1620" s="84">
        <f t="shared" si="77"/>
        <v>0</v>
      </c>
    </row>
    <row r="1621" spans="1:19" ht="18" customHeight="1" x14ac:dyDescent="0.25">
      <c r="A1621" s="59"/>
      <c r="B1621" s="60"/>
      <c r="C1621" s="65"/>
      <c r="D1621" s="60"/>
      <c r="E1621" s="59"/>
      <c r="F1621" s="62"/>
      <c r="G1621" s="63"/>
      <c r="H1621" s="64"/>
      <c r="I1621" s="65"/>
      <c r="J1621" s="65"/>
      <c r="K1621" s="65"/>
      <c r="L1621" s="65"/>
      <c r="M1621" s="65"/>
      <c r="N1621" s="65"/>
      <c r="O1621" s="81">
        <f t="shared" si="75"/>
        <v>0</v>
      </c>
      <c r="P1621" s="81">
        <f t="shared" si="76"/>
        <v>0</v>
      </c>
      <c r="Q1621" s="65"/>
      <c r="R1621" s="67"/>
      <c r="S1621" s="83">
        <f t="shared" si="77"/>
        <v>0</v>
      </c>
    </row>
    <row r="1622" spans="1:19" ht="18" customHeight="1" x14ac:dyDescent="0.25">
      <c r="A1622" s="68"/>
      <c r="B1622" s="69"/>
      <c r="C1622" s="74"/>
      <c r="D1622" s="69"/>
      <c r="E1622" s="68"/>
      <c r="F1622" s="71"/>
      <c r="G1622" s="72"/>
      <c r="H1622" s="73"/>
      <c r="I1622" s="74"/>
      <c r="J1622" s="74"/>
      <c r="K1622" s="74"/>
      <c r="L1622" s="74"/>
      <c r="M1622" s="74"/>
      <c r="N1622" s="74"/>
      <c r="O1622" s="82">
        <f t="shared" si="75"/>
        <v>0</v>
      </c>
      <c r="P1622" s="82">
        <f t="shared" si="76"/>
        <v>0</v>
      </c>
      <c r="Q1622" s="74"/>
      <c r="R1622" s="76"/>
      <c r="S1622" s="84">
        <f t="shared" si="77"/>
        <v>0</v>
      </c>
    </row>
    <row r="1623" spans="1:19" ht="18" customHeight="1" x14ac:dyDescent="0.25">
      <c r="A1623" s="59"/>
      <c r="B1623" s="60"/>
      <c r="C1623" s="65"/>
      <c r="D1623" s="60"/>
      <c r="E1623" s="59"/>
      <c r="F1623" s="62"/>
      <c r="G1623" s="63"/>
      <c r="H1623" s="64"/>
      <c r="I1623" s="65"/>
      <c r="J1623" s="65"/>
      <c r="K1623" s="65"/>
      <c r="L1623" s="65"/>
      <c r="M1623" s="65"/>
      <c r="N1623" s="65"/>
      <c r="O1623" s="81">
        <f t="shared" si="75"/>
        <v>0</v>
      </c>
      <c r="P1623" s="81">
        <f t="shared" si="76"/>
        <v>0</v>
      </c>
      <c r="Q1623" s="65"/>
      <c r="R1623" s="67"/>
      <c r="S1623" s="83">
        <f t="shared" si="77"/>
        <v>0</v>
      </c>
    </row>
    <row r="1624" spans="1:19" ht="18" customHeight="1" x14ac:dyDescent="0.25">
      <c r="A1624" s="68"/>
      <c r="B1624" s="69"/>
      <c r="C1624" s="74"/>
      <c r="D1624" s="69"/>
      <c r="E1624" s="68"/>
      <c r="F1624" s="71"/>
      <c r="G1624" s="72"/>
      <c r="H1624" s="73"/>
      <c r="I1624" s="74"/>
      <c r="J1624" s="74"/>
      <c r="K1624" s="74"/>
      <c r="L1624" s="74"/>
      <c r="M1624" s="74"/>
      <c r="N1624" s="74"/>
      <c r="O1624" s="82">
        <f t="shared" si="75"/>
        <v>0</v>
      </c>
      <c r="P1624" s="82">
        <f t="shared" si="76"/>
        <v>0</v>
      </c>
      <c r="Q1624" s="74"/>
      <c r="R1624" s="76"/>
      <c r="S1624" s="84">
        <f t="shared" si="77"/>
        <v>0</v>
      </c>
    </row>
    <row r="1625" spans="1:19" ht="18" customHeight="1" x14ac:dyDescent="0.25">
      <c r="A1625" s="59"/>
      <c r="B1625" s="60"/>
      <c r="C1625" s="65"/>
      <c r="D1625" s="60"/>
      <c r="E1625" s="59"/>
      <c r="F1625" s="62"/>
      <c r="G1625" s="63"/>
      <c r="H1625" s="64"/>
      <c r="I1625" s="65"/>
      <c r="J1625" s="65"/>
      <c r="K1625" s="65"/>
      <c r="L1625" s="65"/>
      <c r="M1625" s="65"/>
      <c r="N1625" s="65"/>
      <c r="O1625" s="81">
        <f t="shared" si="75"/>
        <v>0</v>
      </c>
      <c r="P1625" s="81">
        <f t="shared" si="76"/>
        <v>0</v>
      </c>
      <c r="Q1625" s="65"/>
      <c r="R1625" s="67"/>
      <c r="S1625" s="83">
        <f t="shared" si="77"/>
        <v>0</v>
      </c>
    </row>
    <row r="1626" spans="1:19" ht="18" customHeight="1" x14ac:dyDescent="0.25">
      <c r="A1626" s="68"/>
      <c r="B1626" s="69"/>
      <c r="C1626" s="74"/>
      <c r="D1626" s="69"/>
      <c r="E1626" s="68"/>
      <c r="F1626" s="71"/>
      <c r="G1626" s="72"/>
      <c r="H1626" s="73"/>
      <c r="I1626" s="74"/>
      <c r="J1626" s="74"/>
      <c r="K1626" s="74"/>
      <c r="L1626" s="74"/>
      <c r="M1626" s="74"/>
      <c r="N1626" s="74"/>
      <c r="O1626" s="82">
        <f t="shared" si="75"/>
        <v>0</v>
      </c>
      <c r="P1626" s="82">
        <f t="shared" si="76"/>
        <v>0</v>
      </c>
      <c r="Q1626" s="74"/>
      <c r="R1626" s="76"/>
      <c r="S1626" s="84">
        <f t="shared" si="77"/>
        <v>0</v>
      </c>
    </row>
    <row r="1627" spans="1:19" ht="18" customHeight="1" x14ac:dyDescent="0.25">
      <c r="A1627" s="59"/>
      <c r="B1627" s="60"/>
      <c r="C1627" s="65"/>
      <c r="D1627" s="60"/>
      <c r="E1627" s="59"/>
      <c r="F1627" s="62"/>
      <c r="G1627" s="63"/>
      <c r="H1627" s="64"/>
      <c r="I1627" s="65"/>
      <c r="J1627" s="65"/>
      <c r="K1627" s="65"/>
      <c r="L1627" s="65"/>
      <c r="M1627" s="65"/>
      <c r="N1627" s="65"/>
      <c r="O1627" s="81">
        <f t="shared" si="75"/>
        <v>0</v>
      </c>
      <c r="P1627" s="81">
        <f t="shared" si="76"/>
        <v>0</v>
      </c>
      <c r="Q1627" s="65"/>
      <c r="R1627" s="67"/>
      <c r="S1627" s="83">
        <f t="shared" si="77"/>
        <v>0</v>
      </c>
    </row>
    <row r="1628" spans="1:19" ht="18" customHeight="1" x14ac:dyDescent="0.25">
      <c r="A1628" s="68"/>
      <c r="B1628" s="69"/>
      <c r="C1628" s="74"/>
      <c r="D1628" s="69"/>
      <c r="E1628" s="68"/>
      <c r="F1628" s="71"/>
      <c r="G1628" s="72"/>
      <c r="H1628" s="73"/>
      <c r="I1628" s="74"/>
      <c r="J1628" s="74"/>
      <c r="K1628" s="74"/>
      <c r="L1628" s="74"/>
      <c r="M1628" s="74"/>
      <c r="N1628" s="74"/>
      <c r="O1628" s="82">
        <f t="shared" si="75"/>
        <v>0</v>
      </c>
      <c r="P1628" s="82">
        <f t="shared" si="76"/>
        <v>0</v>
      </c>
      <c r="Q1628" s="74"/>
      <c r="R1628" s="76"/>
      <c r="S1628" s="84">
        <f t="shared" si="77"/>
        <v>0</v>
      </c>
    </row>
    <row r="1629" spans="1:19" ht="18" customHeight="1" x14ac:dyDescent="0.25">
      <c r="A1629" s="59"/>
      <c r="B1629" s="60"/>
      <c r="C1629" s="65"/>
      <c r="D1629" s="60"/>
      <c r="E1629" s="59"/>
      <c r="F1629" s="62"/>
      <c r="G1629" s="63"/>
      <c r="H1629" s="64"/>
      <c r="I1629" s="65"/>
      <c r="J1629" s="65"/>
      <c r="K1629" s="65"/>
      <c r="L1629" s="65"/>
      <c r="M1629" s="65"/>
      <c r="N1629" s="65"/>
      <c r="O1629" s="81">
        <f t="shared" si="75"/>
        <v>0</v>
      </c>
      <c r="P1629" s="81">
        <f t="shared" si="76"/>
        <v>0</v>
      </c>
      <c r="Q1629" s="65"/>
      <c r="R1629" s="67"/>
      <c r="S1629" s="83">
        <f t="shared" si="77"/>
        <v>0</v>
      </c>
    </row>
    <row r="1630" spans="1:19" ht="18" customHeight="1" x14ac:dyDescent="0.25">
      <c r="A1630" s="68"/>
      <c r="B1630" s="69"/>
      <c r="C1630" s="74"/>
      <c r="D1630" s="69"/>
      <c r="E1630" s="68"/>
      <c r="F1630" s="71"/>
      <c r="G1630" s="72"/>
      <c r="H1630" s="73"/>
      <c r="I1630" s="74"/>
      <c r="J1630" s="74"/>
      <c r="K1630" s="74"/>
      <c r="L1630" s="74"/>
      <c r="M1630" s="74"/>
      <c r="N1630" s="74"/>
      <c r="O1630" s="82">
        <f t="shared" si="75"/>
        <v>0</v>
      </c>
      <c r="P1630" s="82">
        <f t="shared" si="76"/>
        <v>0</v>
      </c>
      <c r="Q1630" s="74"/>
      <c r="R1630" s="76"/>
      <c r="S1630" s="84">
        <f t="shared" si="77"/>
        <v>0</v>
      </c>
    </row>
    <row r="1631" spans="1:19" ht="18" customHeight="1" x14ac:dyDescent="0.25">
      <c r="A1631" s="59"/>
      <c r="B1631" s="60"/>
      <c r="C1631" s="65"/>
      <c r="D1631" s="60"/>
      <c r="E1631" s="59"/>
      <c r="F1631" s="62"/>
      <c r="G1631" s="63"/>
      <c r="H1631" s="64"/>
      <c r="I1631" s="65"/>
      <c r="J1631" s="65"/>
      <c r="K1631" s="65"/>
      <c r="L1631" s="65"/>
      <c r="M1631" s="65"/>
      <c r="N1631" s="65"/>
      <c r="O1631" s="81">
        <f t="shared" si="75"/>
        <v>0</v>
      </c>
      <c r="P1631" s="81">
        <f t="shared" si="76"/>
        <v>0</v>
      </c>
      <c r="Q1631" s="65"/>
      <c r="R1631" s="67"/>
      <c r="S1631" s="83">
        <f t="shared" si="77"/>
        <v>0</v>
      </c>
    </row>
    <row r="1632" spans="1:19" ht="18" customHeight="1" x14ac:dyDescent="0.25">
      <c r="A1632" s="68"/>
      <c r="B1632" s="69"/>
      <c r="C1632" s="74"/>
      <c r="D1632" s="69"/>
      <c r="E1632" s="68"/>
      <c r="F1632" s="71"/>
      <c r="G1632" s="72"/>
      <c r="H1632" s="73"/>
      <c r="I1632" s="74"/>
      <c r="J1632" s="74"/>
      <c r="K1632" s="74"/>
      <c r="L1632" s="74"/>
      <c r="M1632" s="74"/>
      <c r="N1632" s="74"/>
      <c r="O1632" s="82">
        <f t="shared" si="75"/>
        <v>0</v>
      </c>
      <c r="P1632" s="82">
        <f t="shared" si="76"/>
        <v>0</v>
      </c>
      <c r="Q1632" s="74"/>
      <c r="R1632" s="76"/>
      <c r="S1632" s="84">
        <f t="shared" si="77"/>
        <v>0</v>
      </c>
    </row>
    <row r="1633" spans="1:19" ht="18" customHeight="1" x14ac:dyDescent="0.25">
      <c r="A1633" s="59"/>
      <c r="B1633" s="60"/>
      <c r="C1633" s="65"/>
      <c r="D1633" s="60"/>
      <c r="E1633" s="59"/>
      <c r="F1633" s="62"/>
      <c r="G1633" s="63"/>
      <c r="H1633" s="64"/>
      <c r="I1633" s="65"/>
      <c r="J1633" s="65"/>
      <c r="K1633" s="65"/>
      <c r="L1633" s="65"/>
      <c r="M1633" s="65"/>
      <c r="N1633" s="65"/>
      <c r="O1633" s="81">
        <f t="shared" si="75"/>
        <v>0</v>
      </c>
      <c r="P1633" s="81">
        <f t="shared" si="76"/>
        <v>0</v>
      </c>
      <c r="Q1633" s="65"/>
      <c r="R1633" s="67"/>
      <c r="S1633" s="83">
        <f t="shared" si="77"/>
        <v>0</v>
      </c>
    </row>
    <row r="1634" spans="1:19" ht="18" customHeight="1" x14ac:dyDescent="0.25">
      <c r="A1634" s="68"/>
      <c r="B1634" s="69"/>
      <c r="C1634" s="74"/>
      <c r="D1634" s="69"/>
      <c r="E1634" s="68"/>
      <c r="F1634" s="71"/>
      <c r="G1634" s="72"/>
      <c r="H1634" s="73"/>
      <c r="I1634" s="74"/>
      <c r="J1634" s="74"/>
      <c r="K1634" s="74"/>
      <c r="L1634" s="74"/>
      <c r="M1634" s="74"/>
      <c r="N1634" s="74"/>
      <c r="O1634" s="82">
        <f t="shared" si="75"/>
        <v>0</v>
      </c>
      <c r="P1634" s="82">
        <f t="shared" si="76"/>
        <v>0</v>
      </c>
      <c r="Q1634" s="74"/>
      <c r="R1634" s="76"/>
      <c r="S1634" s="84">
        <f t="shared" si="77"/>
        <v>0</v>
      </c>
    </row>
    <row r="1635" spans="1:19" ht="18" customHeight="1" x14ac:dyDescent="0.25">
      <c r="A1635" s="59"/>
      <c r="B1635" s="60"/>
      <c r="C1635" s="65"/>
      <c r="D1635" s="60"/>
      <c r="E1635" s="59"/>
      <c r="F1635" s="62"/>
      <c r="G1635" s="63"/>
      <c r="H1635" s="64"/>
      <c r="I1635" s="65"/>
      <c r="J1635" s="65"/>
      <c r="K1635" s="65"/>
      <c r="L1635" s="65"/>
      <c r="M1635" s="65"/>
      <c r="N1635" s="65"/>
      <c r="O1635" s="81">
        <f t="shared" si="75"/>
        <v>0</v>
      </c>
      <c r="P1635" s="81">
        <f t="shared" si="76"/>
        <v>0</v>
      </c>
      <c r="Q1635" s="65"/>
      <c r="R1635" s="67"/>
      <c r="S1635" s="83">
        <f t="shared" si="77"/>
        <v>0</v>
      </c>
    </row>
    <row r="1636" spans="1:19" ht="18" customHeight="1" x14ac:dyDescent="0.25">
      <c r="A1636" s="68"/>
      <c r="B1636" s="69"/>
      <c r="C1636" s="74"/>
      <c r="D1636" s="69"/>
      <c r="E1636" s="68"/>
      <c r="F1636" s="71"/>
      <c r="G1636" s="72"/>
      <c r="H1636" s="73"/>
      <c r="I1636" s="74"/>
      <c r="J1636" s="74"/>
      <c r="K1636" s="74"/>
      <c r="L1636" s="74"/>
      <c r="M1636" s="74"/>
      <c r="N1636" s="74"/>
      <c r="O1636" s="82">
        <f t="shared" si="75"/>
        <v>0</v>
      </c>
      <c r="P1636" s="82">
        <f t="shared" si="76"/>
        <v>0</v>
      </c>
      <c r="Q1636" s="74"/>
      <c r="R1636" s="76"/>
      <c r="S1636" s="84">
        <f t="shared" si="77"/>
        <v>0</v>
      </c>
    </row>
    <row r="1637" spans="1:19" ht="18" customHeight="1" x14ac:dyDescent="0.25">
      <c r="A1637" s="59"/>
      <c r="B1637" s="60"/>
      <c r="C1637" s="65"/>
      <c r="D1637" s="60"/>
      <c r="E1637" s="59"/>
      <c r="F1637" s="62"/>
      <c r="G1637" s="63"/>
      <c r="H1637" s="64"/>
      <c r="I1637" s="65"/>
      <c r="J1637" s="65"/>
      <c r="K1637" s="65"/>
      <c r="L1637" s="65"/>
      <c r="M1637" s="65"/>
      <c r="N1637" s="65"/>
      <c r="O1637" s="81">
        <f t="shared" si="75"/>
        <v>0</v>
      </c>
      <c r="P1637" s="81">
        <f t="shared" si="76"/>
        <v>0</v>
      </c>
      <c r="Q1637" s="65"/>
      <c r="R1637" s="67"/>
      <c r="S1637" s="83">
        <f t="shared" si="77"/>
        <v>0</v>
      </c>
    </row>
    <row r="1638" spans="1:19" ht="18" customHeight="1" x14ac:dyDescent="0.25">
      <c r="A1638" s="68"/>
      <c r="B1638" s="69"/>
      <c r="C1638" s="74"/>
      <c r="D1638" s="69"/>
      <c r="E1638" s="68"/>
      <c r="F1638" s="71"/>
      <c r="G1638" s="72"/>
      <c r="H1638" s="73"/>
      <c r="I1638" s="74"/>
      <c r="J1638" s="74"/>
      <c r="K1638" s="74"/>
      <c r="L1638" s="74"/>
      <c r="M1638" s="74"/>
      <c r="N1638" s="74"/>
      <c r="O1638" s="82">
        <f t="shared" si="75"/>
        <v>0</v>
      </c>
      <c r="P1638" s="82">
        <f t="shared" si="76"/>
        <v>0</v>
      </c>
      <c r="Q1638" s="74"/>
      <c r="R1638" s="76"/>
      <c r="S1638" s="84">
        <f t="shared" si="77"/>
        <v>0</v>
      </c>
    </row>
    <row r="1639" spans="1:19" ht="18" customHeight="1" x14ac:dyDescent="0.25">
      <c r="A1639" s="59"/>
      <c r="B1639" s="60"/>
      <c r="C1639" s="65"/>
      <c r="D1639" s="60"/>
      <c r="E1639" s="59"/>
      <c r="F1639" s="62"/>
      <c r="G1639" s="63"/>
      <c r="H1639" s="64"/>
      <c r="I1639" s="65"/>
      <c r="J1639" s="65"/>
      <c r="K1639" s="65"/>
      <c r="L1639" s="65"/>
      <c r="M1639" s="65"/>
      <c r="N1639" s="65"/>
      <c r="O1639" s="81">
        <f t="shared" si="75"/>
        <v>0</v>
      </c>
      <c r="P1639" s="81">
        <f t="shared" si="76"/>
        <v>0</v>
      </c>
      <c r="Q1639" s="65"/>
      <c r="R1639" s="67"/>
      <c r="S1639" s="83">
        <f t="shared" si="77"/>
        <v>0</v>
      </c>
    </row>
    <row r="1640" spans="1:19" ht="18" customHeight="1" x14ac:dyDescent="0.25">
      <c r="A1640" s="68"/>
      <c r="B1640" s="69"/>
      <c r="C1640" s="74"/>
      <c r="D1640" s="69"/>
      <c r="E1640" s="68"/>
      <c r="F1640" s="71"/>
      <c r="G1640" s="72"/>
      <c r="H1640" s="73"/>
      <c r="I1640" s="74"/>
      <c r="J1640" s="74"/>
      <c r="K1640" s="74"/>
      <c r="L1640" s="74"/>
      <c r="M1640" s="74"/>
      <c r="N1640" s="74"/>
      <c r="O1640" s="82">
        <f t="shared" si="75"/>
        <v>0</v>
      </c>
      <c r="P1640" s="82">
        <f t="shared" si="76"/>
        <v>0</v>
      </c>
      <c r="Q1640" s="74"/>
      <c r="R1640" s="76"/>
      <c r="S1640" s="84">
        <f t="shared" si="77"/>
        <v>0</v>
      </c>
    </row>
    <row r="1641" spans="1:19" ht="18" customHeight="1" x14ac:dyDescent="0.25">
      <c r="A1641" s="59"/>
      <c r="B1641" s="60"/>
      <c r="C1641" s="65"/>
      <c r="D1641" s="60"/>
      <c r="E1641" s="59"/>
      <c r="F1641" s="62"/>
      <c r="G1641" s="63"/>
      <c r="H1641" s="64"/>
      <c r="I1641" s="65"/>
      <c r="J1641" s="65"/>
      <c r="K1641" s="65"/>
      <c r="L1641" s="65"/>
      <c r="M1641" s="65"/>
      <c r="N1641" s="65"/>
      <c r="O1641" s="81">
        <f t="shared" si="75"/>
        <v>0</v>
      </c>
      <c r="P1641" s="81">
        <f t="shared" si="76"/>
        <v>0</v>
      </c>
      <c r="Q1641" s="65"/>
      <c r="R1641" s="67"/>
      <c r="S1641" s="83">
        <f t="shared" si="77"/>
        <v>0</v>
      </c>
    </row>
    <row r="1642" spans="1:19" ht="18" customHeight="1" x14ac:dyDescent="0.25">
      <c r="A1642" s="68"/>
      <c r="B1642" s="69"/>
      <c r="C1642" s="74"/>
      <c r="D1642" s="69"/>
      <c r="E1642" s="68"/>
      <c r="F1642" s="71"/>
      <c r="G1642" s="72"/>
      <c r="H1642" s="73"/>
      <c r="I1642" s="74"/>
      <c r="J1642" s="74"/>
      <c r="K1642" s="74"/>
      <c r="L1642" s="74"/>
      <c r="M1642" s="74"/>
      <c r="N1642" s="74"/>
      <c r="O1642" s="82">
        <f t="shared" si="75"/>
        <v>0</v>
      </c>
      <c r="P1642" s="82">
        <f t="shared" si="76"/>
        <v>0</v>
      </c>
      <c r="Q1642" s="74"/>
      <c r="R1642" s="76"/>
      <c r="S1642" s="84">
        <f t="shared" si="77"/>
        <v>0</v>
      </c>
    </row>
    <row r="1643" spans="1:19" ht="18" customHeight="1" x14ac:dyDescent="0.25">
      <c r="A1643" s="59"/>
      <c r="B1643" s="60"/>
      <c r="C1643" s="65"/>
      <c r="D1643" s="60"/>
      <c r="E1643" s="59"/>
      <c r="F1643" s="62"/>
      <c r="G1643" s="63"/>
      <c r="H1643" s="64"/>
      <c r="I1643" s="65"/>
      <c r="J1643" s="65"/>
      <c r="K1643" s="65"/>
      <c r="L1643" s="65"/>
      <c r="M1643" s="65"/>
      <c r="N1643" s="65"/>
      <c r="O1643" s="81">
        <f t="shared" si="75"/>
        <v>0</v>
      </c>
      <c r="P1643" s="81">
        <f t="shared" si="76"/>
        <v>0</v>
      </c>
      <c r="Q1643" s="65"/>
      <c r="R1643" s="67"/>
      <c r="S1643" s="83">
        <f t="shared" si="77"/>
        <v>0</v>
      </c>
    </row>
    <row r="1644" spans="1:19" ht="18" customHeight="1" x14ac:dyDescent="0.25">
      <c r="A1644" s="68"/>
      <c r="B1644" s="69"/>
      <c r="C1644" s="74"/>
      <c r="D1644" s="69"/>
      <c r="E1644" s="68"/>
      <c r="F1644" s="71"/>
      <c r="G1644" s="72"/>
      <c r="H1644" s="73"/>
      <c r="I1644" s="74"/>
      <c r="J1644" s="74"/>
      <c r="K1644" s="74"/>
      <c r="L1644" s="74"/>
      <c r="M1644" s="74"/>
      <c r="N1644" s="74"/>
      <c r="O1644" s="82">
        <f t="shared" si="75"/>
        <v>0</v>
      </c>
      <c r="P1644" s="82">
        <f t="shared" si="76"/>
        <v>0</v>
      </c>
      <c r="Q1644" s="74"/>
      <c r="R1644" s="76"/>
      <c r="S1644" s="84">
        <f t="shared" si="77"/>
        <v>0</v>
      </c>
    </row>
    <row r="1645" spans="1:19" ht="18" customHeight="1" x14ac:dyDescent="0.25">
      <c r="A1645" s="59"/>
      <c r="B1645" s="60"/>
      <c r="C1645" s="65"/>
      <c r="D1645" s="60"/>
      <c r="E1645" s="59"/>
      <c r="F1645" s="62"/>
      <c r="G1645" s="63"/>
      <c r="H1645" s="64"/>
      <c r="I1645" s="65"/>
      <c r="J1645" s="65"/>
      <c r="K1645" s="65"/>
      <c r="L1645" s="65"/>
      <c r="M1645" s="65"/>
      <c r="N1645" s="65"/>
      <c r="O1645" s="81">
        <f t="shared" si="75"/>
        <v>0</v>
      </c>
      <c r="P1645" s="81">
        <f t="shared" si="76"/>
        <v>0</v>
      </c>
      <c r="Q1645" s="65"/>
      <c r="R1645" s="67"/>
      <c r="S1645" s="83">
        <f t="shared" si="77"/>
        <v>0</v>
      </c>
    </row>
    <row r="1646" spans="1:19" ht="18" customHeight="1" x14ac:dyDescent="0.25">
      <c r="A1646" s="68"/>
      <c r="B1646" s="69"/>
      <c r="C1646" s="74"/>
      <c r="D1646" s="69"/>
      <c r="E1646" s="68"/>
      <c r="F1646" s="71"/>
      <c r="G1646" s="72"/>
      <c r="H1646" s="73"/>
      <c r="I1646" s="74"/>
      <c r="J1646" s="74"/>
      <c r="K1646" s="74"/>
      <c r="L1646" s="74"/>
      <c r="M1646" s="74"/>
      <c r="N1646" s="74"/>
      <c r="O1646" s="82">
        <f t="shared" si="75"/>
        <v>0</v>
      </c>
      <c r="P1646" s="82">
        <f t="shared" si="76"/>
        <v>0</v>
      </c>
      <c r="Q1646" s="74"/>
      <c r="R1646" s="76"/>
      <c r="S1646" s="84">
        <f t="shared" si="77"/>
        <v>0</v>
      </c>
    </row>
    <row r="1647" spans="1:19" ht="18" customHeight="1" x14ac:dyDescent="0.25">
      <c r="A1647" s="59"/>
      <c r="B1647" s="60"/>
      <c r="C1647" s="65"/>
      <c r="D1647" s="60"/>
      <c r="E1647" s="59"/>
      <c r="F1647" s="62"/>
      <c r="G1647" s="63"/>
      <c r="H1647" s="64"/>
      <c r="I1647" s="65"/>
      <c r="J1647" s="65"/>
      <c r="K1647" s="65"/>
      <c r="L1647" s="65"/>
      <c r="M1647" s="65"/>
      <c r="N1647" s="65"/>
      <c r="O1647" s="81">
        <f t="shared" si="75"/>
        <v>0</v>
      </c>
      <c r="P1647" s="81">
        <f t="shared" si="76"/>
        <v>0</v>
      </c>
      <c r="Q1647" s="65"/>
      <c r="R1647" s="67"/>
      <c r="S1647" s="83">
        <f t="shared" si="77"/>
        <v>0</v>
      </c>
    </row>
    <row r="1648" spans="1:19" ht="18" customHeight="1" x14ac:dyDescent="0.25">
      <c r="A1648" s="68"/>
      <c r="B1648" s="69"/>
      <c r="C1648" s="74"/>
      <c r="D1648" s="69"/>
      <c r="E1648" s="68"/>
      <c r="F1648" s="71"/>
      <c r="G1648" s="72"/>
      <c r="H1648" s="73"/>
      <c r="I1648" s="74"/>
      <c r="J1648" s="74"/>
      <c r="K1648" s="74"/>
      <c r="L1648" s="74"/>
      <c r="M1648" s="74"/>
      <c r="N1648" s="74"/>
      <c r="O1648" s="82">
        <f t="shared" si="75"/>
        <v>0</v>
      </c>
      <c r="P1648" s="82">
        <f t="shared" si="76"/>
        <v>0</v>
      </c>
      <c r="Q1648" s="74"/>
      <c r="R1648" s="76"/>
      <c r="S1648" s="84">
        <f t="shared" si="77"/>
        <v>0</v>
      </c>
    </row>
    <row r="1649" spans="1:19" ht="18" customHeight="1" x14ac:dyDescent="0.25">
      <c r="A1649" s="59"/>
      <c r="B1649" s="60"/>
      <c r="C1649" s="65"/>
      <c r="D1649" s="60"/>
      <c r="E1649" s="59"/>
      <c r="F1649" s="62"/>
      <c r="G1649" s="63"/>
      <c r="H1649" s="64"/>
      <c r="I1649" s="65"/>
      <c r="J1649" s="65"/>
      <c r="K1649" s="65"/>
      <c r="L1649" s="65"/>
      <c r="M1649" s="65"/>
      <c r="N1649" s="65"/>
      <c r="O1649" s="81">
        <f t="shared" si="75"/>
        <v>0</v>
      </c>
      <c r="P1649" s="81">
        <f t="shared" si="76"/>
        <v>0</v>
      </c>
      <c r="Q1649" s="65"/>
      <c r="R1649" s="67"/>
      <c r="S1649" s="83">
        <f t="shared" si="77"/>
        <v>0</v>
      </c>
    </row>
    <row r="1650" spans="1:19" ht="18" customHeight="1" x14ac:dyDescent="0.25">
      <c r="A1650" s="68"/>
      <c r="B1650" s="69"/>
      <c r="C1650" s="74"/>
      <c r="D1650" s="69"/>
      <c r="E1650" s="68"/>
      <c r="F1650" s="71"/>
      <c r="G1650" s="72"/>
      <c r="H1650" s="73"/>
      <c r="I1650" s="74"/>
      <c r="J1650" s="74"/>
      <c r="K1650" s="74"/>
      <c r="L1650" s="74"/>
      <c r="M1650" s="74"/>
      <c r="N1650" s="74"/>
      <c r="O1650" s="82">
        <f t="shared" si="75"/>
        <v>0</v>
      </c>
      <c r="P1650" s="82">
        <f t="shared" si="76"/>
        <v>0</v>
      </c>
      <c r="Q1650" s="74"/>
      <c r="R1650" s="76"/>
      <c r="S1650" s="84">
        <f t="shared" si="77"/>
        <v>0</v>
      </c>
    </row>
    <row r="1651" spans="1:19" ht="18" customHeight="1" x14ac:dyDescent="0.25">
      <c r="A1651" s="59"/>
      <c r="B1651" s="60"/>
      <c r="C1651" s="65"/>
      <c r="D1651" s="60"/>
      <c r="E1651" s="59"/>
      <c r="F1651" s="62"/>
      <c r="G1651" s="63"/>
      <c r="H1651" s="64"/>
      <c r="I1651" s="65"/>
      <c r="J1651" s="65"/>
      <c r="K1651" s="65"/>
      <c r="L1651" s="65"/>
      <c r="M1651" s="65"/>
      <c r="N1651" s="65"/>
      <c r="O1651" s="81">
        <f t="shared" si="75"/>
        <v>0</v>
      </c>
      <c r="P1651" s="81">
        <f t="shared" si="76"/>
        <v>0</v>
      </c>
      <c r="Q1651" s="65"/>
      <c r="R1651" s="67"/>
      <c r="S1651" s="83">
        <f t="shared" si="77"/>
        <v>0</v>
      </c>
    </row>
    <row r="1652" spans="1:19" ht="18" customHeight="1" x14ac:dyDescent="0.25">
      <c r="A1652" s="68"/>
      <c r="B1652" s="69"/>
      <c r="C1652" s="74"/>
      <c r="D1652" s="69"/>
      <c r="E1652" s="68"/>
      <c r="F1652" s="71"/>
      <c r="G1652" s="72"/>
      <c r="H1652" s="73"/>
      <c r="I1652" s="74"/>
      <c r="J1652" s="74"/>
      <c r="K1652" s="74"/>
      <c r="L1652" s="74"/>
      <c r="M1652" s="74"/>
      <c r="N1652" s="74"/>
      <c r="O1652" s="82">
        <f t="shared" si="75"/>
        <v>0</v>
      </c>
      <c r="P1652" s="82">
        <f t="shared" si="76"/>
        <v>0</v>
      </c>
      <c r="Q1652" s="74"/>
      <c r="R1652" s="76"/>
      <c r="S1652" s="84">
        <f t="shared" si="77"/>
        <v>0</v>
      </c>
    </row>
    <row r="1653" spans="1:19" ht="18" customHeight="1" x14ac:dyDescent="0.25">
      <c r="A1653" s="59"/>
      <c r="B1653" s="60"/>
      <c r="C1653" s="65"/>
      <c r="D1653" s="60"/>
      <c r="E1653" s="59"/>
      <c r="F1653" s="62"/>
      <c r="G1653" s="63"/>
      <c r="H1653" s="64"/>
      <c r="I1653" s="65"/>
      <c r="J1653" s="65"/>
      <c r="K1653" s="65"/>
      <c r="L1653" s="65"/>
      <c r="M1653" s="65"/>
      <c r="N1653" s="65"/>
      <c r="O1653" s="81">
        <f t="shared" si="75"/>
        <v>0</v>
      </c>
      <c r="P1653" s="81">
        <f t="shared" si="76"/>
        <v>0</v>
      </c>
      <c r="Q1653" s="65"/>
      <c r="R1653" s="67"/>
      <c r="S1653" s="83">
        <f t="shared" si="77"/>
        <v>0</v>
      </c>
    </row>
    <row r="1654" spans="1:19" ht="18" customHeight="1" x14ac:dyDescent="0.25">
      <c r="A1654" s="68"/>
      <c r="B1654" s="69"/>
      <c r="C1654" s="74"/>
      <c r="D1654" s="69"/>
      <c r="E1654" s="68"/>
      <c r="F1654" s="71"/>
      <c r="G1654" s="72"/>
      <c r="H1654" s="73"/>
      <c r="I1654" s="74"/>
      <c r="J1654" s="74"/>
      <c r="K1654" s="74"/>
      <c r="L1654" s="74"/>
      <c r="M1654" s="74"/>
      <c r="N1654" s="74"/>
      <c r="O1654" s="82">
        <f t="shared" si="75"/>
        <v>0</v>
      </c>
      <c r="P1654" s="82">
        <f t="shared" si="76"/>
        <v>0</v>
      </c>
      <c r="Q1654" s="74"/>
      <c r="R1654" s="76"/>
      <c r="S1654" s="84">
        <f t="shared" si="77"/>
        <v>0</v>
      </c>
    </row>
    <row r="1655" spans="1:19" ht="18" customHeight="1" x14ac:dyDescent="0.25">
      <c r="A1655" s="59"/>
      <c r="B1655" s="60"/>
      <c r="C1655" s="65"/>
      <c r="D1655" s="60"/>
      <c r="E1655" s="59"/>
      <c r="F1655" s="62"/>
      <c r="G1655" s="63"/>
      <c r="H1655" s="64"/>
      <c r="I1655" s="65"/>
      <c r="J1655" s="65"/>
      <c r="K1655" s="65"/>
      <c r="L1655" s="65"/>
      <c r="M1655" s="65"/>
      <c r="N1655" s="65"/>
      <c r="O1655" s="81">
        <f t="shared" si="75"/>
        <v>0</v>
      </c>
      <c r="P1655" s="81">
        <f t="shared" si="76"/>
        <v>0</v>
      </c>
      <c r="Q1655" s="65"/>
      <c r="R1655" s="67"/>
      <c r="S1655" s="83">
        <f t="shared" si="77"/>
        <v>0</v>
      </c>
    </row>
    <row r="1656" spans="1:19" ht="18" customHeight="1" x14ac:dyDescent="0.25">
      <c r="A1656" s="68"/>
      <c r="B1656" s="69"/>
      <c r="C1656" s="74"/>
      <c r="D1656" s="69"/>
      <c r="E1656" s="68"/>
      <c r="F1656" s="71"/>
      <c r="G1656" s="72"/>
      <c r="H1656" s="73"/>
      <c r="I1656" s="74"/>
      <c r="J1656" s="74"/>
      <c r="K1656" s="74"/>
      <c r="L1656" s="74"/>
      <c r="M1656" s="74"/>
      <c r="N1656" s="74"/>
      <c r="O1656" s="82">
        <f t="shared" si="75"/>
        <v>0</v>
      </c>
      <c r="P1656" s="82">
        <f t="shared" si="76"/>
        <v>0</v>
      </c>
      <c r="Q1656" s="74"/>
      <c r="R1656" s="76"/>
      <c r="S1656" s="84">
        <f t="shared" si="77"/>
        <v>0</v>
      </c>
    </row>
    <row r="1657" spans="1:19" ht="18" customHeight="1" x14ac:dyDescent="0.25">
      <c r="A1657" s="59"/>
      <c r="B1657" s="60"/>
      <c r="C1657" s="65"/>
      <c r="D1657" s="60"/>
      <c r="E1657" s="59"/>
      <c r="F1657" s="62"/>
      <c r="G1657" s="63"/>
      <c r="H1657" s="64"/>
      <c r="I1657" s="65"/>
      <c r="J1657" s="65"/>
      <c r="K1657" s="65"/>
      <c r="L1657" s="65"/>
      <c r="M1657" s="65"/>
      <c r="N1657" s="65"/>
      <c r="O1657" s="81">
        <f t="shared" si="75"/>
        <v>0</v>
      </c>
      <c r="P1657" s="81">
        <f t="shared" si="76"/>
        <v>0</v>
      </c>
      <c r="Q1657" s="65"/>
      <c r="R1657" s="67"/>
      <c r="S1657" s="83">
        <f t="shared" si="77"/>
        <v>0</v>
      </c>
    </row>
    <row r="1658" spans="1:19" ht="18" customHeight="1" x14ac:dyDescent="0.25">
      <c r="A1658" s="68"/>
      <c r="B1658" s="69"/>
      <c r="C1658" s="74"/>
      <c r="D1658" s="69"/>
      <c r="E1658" s="68"/>
      <c r="F1658" s="71"/>
      <c r="G1658" s="72"/>
      <c r="H1658" s="73"/>
      <c r="I1658" s="74"/>
      <c r="J1658" s="74"/>
      <c r="K1658" s="74"/>
      <c r="L1658" s="74"/>
      <c r="M1658" s="74"/>
      <c r="N1658" s="74"/>
      <c r="O1658" s="82">
        <f t="shared" si="75"/>
        <v>0</v>
      </c>
      <c r="P1658" s="82">
        <f t="shared" si="76"/>
        <v>0</v>
      </c>
      <c r="Q1658" s="74"/>
      <c r="R1658" s="76"/>
      <c r="S1658" s="84">
        <f t="shared" si="77"/>
        <v>0</v>
      </c>
    </row>
    <row r="1659" spans="1:19" ht="18" customHeight="1" x14ac:dyDescent="0.25">
      <c r="A1659" s="59"/>
      <c r="B1659" s="60"/>
      <c r="C1659" s="65"/>
      <c r="D1659" s="60"/>
      <c r="E1659" s="59"/>
      <c r="F1659" s="62"/>
      <c r="G1659" s="63"/>
      <c r="H1659" s="64"/>
      <c r="I1659" s="65"/>
      <c r="J1659" s="65"/>
      <c r="K1659" s="65"/>
      <c r="L1659" s="65"/>
      <c r="M1659" s="65"/>
      <c r="N1659" s="65"/>
      <c r="O1659" s="81">
        <f t="shared" si="75"/>
        <v>0</v>
      </c>
      <c r="P1659" s="81">
        <f t="shared" si="76"/>
        <v>0</v>
      </c>
      <c r="Q1659" s="65"/>
      <c r="R1659" s="67"/>
      <c r="S1659" s="83">
        <f t="shared" si="77"/>
        <v>0</v>
      </c>
    </row>
    <row r="1660" spans="1:19" ht="18" customHeight="1" x14ac:dyDescent="0.25">
      <c r="A1660" s="68"/>
      <c r="B1660" s="69"/>
      <c r="C1660" s="74"/>
      <c r="D1660" s="69"/>
      <c r="E1660" s="68"/>
      <c r="F1660" s="71"/>
      <c r="G1660" s="72"/>
      <c r="H1660" s="73"/>
      <c r="I1660" s="74"/>
      <c r="J1660" s="74"/>
      <c r="K1660" s="74"/>
      <c r="L1660" s="74"/>
      <c r="M1660" s="74"/>
      <c r="N1660" s="74"/>
      <c r="O1660" s="82">
        <f t="shared" si="75"/>
        <v>0</v>
      </c>
      <c r="P1660" s="82">
        <f t="shared" si="76"/>
        <v>0</v>
      </c>
      <c r="Q1660" s="74"/>
      <c r="R1660" s="76"/>
      <c r="S1660" s="84">
        <f t="shared" si="77"/>
        <v>0</v>
      </c>
    </row>
    <row r="1661" spans="1:19" ht="18" customHeight="1" x14ac:dyDescent="0.25">
      <c r="A1661" s="59"/>
      <c r="B1661" s="60"/>
      <c r="C1661" s="65"/>
      <c r="D1661" s="60"/>
      <c r="E1661" s="59"/>
      <c r="F1661" s="62"/>
      <c r="G1661" s="63"/>
      <c r="H1661" s="64"/>
      <c r="I1661" s="65"/>
      <c r="J1661" s="65"/>
      <c r="K1661" s="65"/>
      <c r="L1661" s="65"/>
      <c r="M1661" s="65"/>
      <c r="N1661" s="65"/>
      <c r="O1661" s="81">
        <f t="shared" si="75"/>
        <v>0</v>
      </c>
      <c r="P1661" s="81">
        <f t="shared" si="76"/>
        <v>0</v>
      </c>
      <c r="Q1661" s="65"/>
      <c r="R1661" s="67"/>
      <c r="S1661" s="83">
        <f t="shared" si="77"/>
        <v>0</v>
      </c>
    </row>
    <row r="1662" spans="1:19" ht="18" customHeight="1" x14ac:dyDescent="0.25">
      <c r="A1662" s="68"/>
      <c r="B1662" s="69"/>
      <c r="C1662" s="74"/>
      <c r="D1662" s="69"/>
      <c r="E1662" s="68"/>
      <c r="F1662" s="71"/>
      <c r="G1662" s="72"/>
      <c r="H1662" s="73"/>
      <c r="I1662" s="74"/>
      <c r="J1662" s="74"/>
      <c r="K1662" s="74"/>
      <c r="L1662" s="74"/>
      <c r="M1662" s="74"/>
      <c r="N1662" s="74"/>
      <c r="O1662" s="82">
        <f t="shared" si="75"/>
        <v>0</v>
      </c>
      <c r="P1662" s="82">
        <f t="shared" si="76"/>
        <v>0</v>
      </c>
      <c r="Q1662" s="74"/>
      <c r="R1662" s="76"/>
      <c r="S1662" s="84">
        <f t="shared" si="77"/>
        <v>0</v>
      </c>
    </row>
    <row r="1663" spans="1:19" ht="18" customHeight="1" x14ac:dyDescent="0.25">
      <c r="A1663" s="59"/>
      <c r="B1663" s="60"/>
      <c r="C1663" s="65"/>
      <c r="D1663" s="60"/>
      <c r="E1663" s="59"/>
      <c r="F1663" s="62"/>
      <c r="G1663" s="63"/>
      <c r="H1663" s="64"/>
      <c r="I1663" s="65"/>
      <c r="J1663" s="65"/>
      <c r="K1663" s="65"/>
      <c r="L1663" s="65"/>
      <c r="M1663" s="65"/>
      <c r="N1663" s="65"/>
      <c r="O1663" s="81">
        <f t="shared" si="75"/>
        <v>0</v>
      </c>
      <c r="P1663" s="81">
        <f t="shared" si="76"/>
        <v>0</v>
      </c>
      <c r="Q1663" s="65"/>
      <c r="R1663" s="67"/>
      <c r="S1663" s="83">
        <f t="shared" si="77"/>
        <v>0</v>
      </c>
    </row>
    <row r="1664" spans="1:19" ht="18" customHeight="1" x14ac:dyDescent="0.25">
      <c r="A1664" s="68"/>
      <c r="B1664" s="69"/>
      <c r="C1664" s="74"/>
      <c r="D1664" s="69"/>
      <c r="E1664" s="68"/>
      <c r="F1664" s="71"/>
      <c r="G1664" s="72"/>
      <c r="H1664" s="73"/>
      <c r="I1664" s="74"/>
      <c r="J1664" s="74"/>
      <c r="K1664" s="74"/>
      <c r="L1664" s="74"/>
      <c r="M1664" s="74"/>
      <c r="N1664" s="74"/>
      <c r="O1664" s="82">
        <f t="shared" si="75"/>
        <v>0</v>
      </c>
      <c r="P1664" s="82">
        <f t="shared" si="76"/>
        <v>0</v>
      </c>
      <c r="Q1664" s="74"/>
      <c r="R1664" s="76"/>
      <c r="S1664" s="84">
        <f t="shared" si="77"/>
        <v>0</v>
      </c>
    </row>
    <row r="1665" spans="1:19" ht="18" customHeight="1" x14ac:dyDescent="0.25">
      <c r="A1665" s="59"/>
      <c r="B1665" s="60"/>
      <c r="C1665" s="65"/>
      <c r="D1665" s="60"/>
      <c r="E1665" s="59"/>
      <c r="F1665" s="62"/>
      <c r="G1665" s="63"/>
      <c r="H1665" s="64"/>
      <c r="I1665" s="65"/>
      <c r="J1665" s="65"/>
      <c r="K1665" s="65"/>
      <c r="L1665" s="65"/>
      <c r="M1665" s="65"/>
      <c r="N1665" s="65"/>
      <c r="O1665" s="81">
        <f t="shared" si="75"/>
        <v>0</v>
      </c>
      <c r="P1665" s="81">
        <f t="shared" si="76"/>
        <v>0</v>
      </c>
      <c r="Q1665" s="65"/>
      <c r="R1665" s="67"/>
      <c r="S1665" s="83">
        <f t="shared" si="77"/>
        <v>0</v>
      </c>
    </row>
    <row r="1666" spans="1:19" ht="18" customHeight="1" x14ac:dyDescent="0.25">
      <c r="A1666" s="68"/>
      <c r="B1666" s="69"/>
      <c r="C1666" s="74"/>
      <c r="D1666" s="69"/>
      <c r="E1666" s="68"/>
      <c r="F1666" s="71"/>
      <c r="G1666" s="72"/>
      <c r="H1666" s="73"/>
      <c r="I1666" s="74"/>
      <c r="J1666" s="74"/>
      <c r="K1666" s="74"/>
      <c r="L1666" s="74"/>
      <c r="M1666" s="74"/>
      <c r="N1666" s="74"/>
      <c r="O1666" s="82">
        <f t="shared" si="75"/>
        <v>0</v>
      </c>
      <c r="P1666" s="82">
        <f t="shared" si="76"/>
        <v>0</v>
      </c>
      <c r="Q1666" s="74"/>
      <c r="R1666" s="76"/>
      <c r="S1666" s="84">
        <f t="shared" si="77"/>
        <v>0</v>
      </c>
    </row>
    <row r="1667" spans="1:19" ht="18" customHeight="1" x14ac:dyDescent="0.25">
      <c r="A1667" s="59"/>
      <c r="B1667" s="60"/>
      <c r="C1667" s="65"/>
      <c r="D1667" s="60"/>
      <c r="E1667" s="59"/>
      <c r="F1667" s="62"/>
      <c r="G1667" s="63"/>
      <c r="H1667" s="64"/>
      <c r="I1667" s="65"/>
      <c r="J1667" s="65"/>
      <c r="K1667" s="65"/>
      <c r="L1667" s="65"/>
      <c r="M1667" s="65"/>
      <c r="N1667" s="65"/>
      <c r="O1667" s="81">
        <f t="shared" si="75"/>
        <v>0</v>
      </c>
      <c r="P1667" s="81">
        <f t="shared" si="76"/>
        <v>0</v>
      </c>
      <c r="Q1667" s="65"/>
      <c r="R1667" s="67"/>
      <c r="S1667" s="83">
        <f t="shared" si="77"/>
        <v>0</v>
      </c>
    </row>
    <row r="1668" spans="1:19" ht="18" customHeight="1" x14ac:dyDescent="0.25">
      <c r="A1668" s="68"/>
      <c r="B1668" s="69"/>
      <c r="C1668" s="74"/>
      <c r="D1668" s="69"/>
      <c r="E1668" s="68"/>
      <c r="F1668" s="71"/>
      <c r="G1668" s="72"/>
      <c r="H1668" s="73"/>
      <c r="I1668" s="74"/>
      <c r="J1668" s="74"/>
      <c r="K1668" s="74"/>
      <c r="L1668" s="74"/>
      <c r="M1668" s="74"/>
      <c r="N1668" s="74"/>
      <c r="O1668" s="82">
        <f t="shared" si="75"/>
        <v>0</v>
      </c>
      <c r="P1668" s="82">
        <f t="shared" si="76"/>
        <v>0</v>
      </c>
      <c r="Q1668" s="74"/>
      <c r="R1668" s="76"/>
      <c r="S1668" s="84">
        <f t="shared" si="77"/>
        <v>0</v>
      </c>
    </row>
    <row r="1669" spans="1:19" ht="18" customHeight="1" x14ac:dyDescent="0.25">
      <c r="A1669" s="59"/>
      <c r="B1669" s="60"/>
      <c r="C1669" s="65"/>
      <c r="D1669" s="60"/>
      <c r="E1669" s="59"/>
      <c r="F1669" s="62"/>
      <c r="G1669" s="63"/>
      <c r="H1669" s="64"/>
      <c r="I1669" s="65"/>
      <c r="J1669" s="65"/>
      <c r="K1669" s="65"/>
      <c r="L1669" s="65"/>
      <c r="M1669" s="65"/>
      <c r="N1669" s="65"/>
      <c r="O1669" s="81">
        <f t="shared" si="75"/>
        <v>0</v>
      </c>
      <c r="P1669" s="81">
        <f t="shared" si="76"/>
        <v>0</v>
      </c>
      <c r="Q1669" s="65"/>
      <c r="R1669" s="67"/>
      <c r="S1669" s="83">
        <f t="shared" si="77"/>
        <v>0</v>
      </c>
    </row>
    <row r="1670" spans="1:19" ht="18" customHeight="1" x14ac:dyDescent="0.25">
      <c r="A1670" s="68"/>
      <c r="B1670" s="69"/>
      <c r="C1670" s="74"/>
      <c r="D1670" s="69"/>
      <c r="E1670" s="68"/>
      <c r="F1670" s="71"/>
      <c r="G1670" s="72"/>
      <c r="H1670" s="73"/>
      <c r="I1670" s="74"/>
      <c r="J1670" s="74"/>
      <c r="K1670" s="74"/>
      <c r="L1670" s="74"/>
      <c r="M1670" s="74"/>
      <c r="N1670" s="74"/>
      <c r="O1670" s="82" t="e">
        <f>#N/A</f>
        <v>#N/A</v>
      </c>
      <c r="P1670" s="82" t="e">
        <f>#N/A</f>
        <v>#N/A</v>
      </c>
      <c r="Q1670" s="74"/>
      <c r="R1670" s="76"/>
      <c r="S1670" s="84">
        <f t="shared" si="77"/>
        <v>0</v>
      </c>
    </row>
    <row r="1671" spans="1:19" ht="18" customHeight="1" x14ac:dyDescent="0.25">
      <c r="A1671" s="59"/>
      <c r="B1671" s="60"/>
      <c r="C1671" s="65"/>
      <c r="D1671" s="60"/>
      <c r="E1671" s="59"/>
      <c r="F1671" s="62"/>
      <c r="G1671" s="63"/>
      <c r="H1671" s="64"/>
      <c r="I1671" s="65"/>
      <c r="J1671" s="65"/>
      <c r="K1671" s="65"/>
      <c r="L1671" s="65"/>
      <c r="M1671" s="65"/>
      <c r="N1671" s="65"/>
      <c r="O1671" s="81">
        <f t="shared" ref="O1671:O1733" si="78">IF(G1671="Reimbursement ","",I1671+J1671+K1671+L1671+M1671)</f>
        <v>0</v>
      </c>
      <c r="P1671" s="81">
        <f t="shared" ref="P1671:P1733" si="79">IF(G1671="Reimbursement ","",H1671-O1671)</f>
        <v>0</v>
      </c>
      <c r="Q1671" s="65"/>
      <c r="R1671" s="67"/>
      <c r="S1671" s="83">
        <f t="shared" ref="S1671:S1734" si="80">IF(OR(R1671="",Q1671=""),0,IF(R1671&gt;Q1671,R1671-Q1671,0))</f>
        <v>0</v>
      </c>
    </row>
    <row r="1672" spans="1:19" ht="18" customHeight="1" x14ac:dyDescent="0.25">
      <c r="A1672" s="68"/>
      <c r="B1672" s="69"/>
      <c r="C1672" s="74"/>
      <c r="D1672" s="69"/>
      <c r="E1672" s="68"/>
      <c r="F1672" s="71"/>
      <c r="G1672" s="72"/>
      <c r="H1672" s="73"/>
      <c r="I1672" s="74"/>
      <c r="J1672" s="74"/>
      <c r="K1672" s="74"/>
      <c r="L1672" s="74"/>
      <c r="M1672" s="74"/>
      <c r="N1672" s="74"/>
      <c r="O1672" s="82">
        <f t="shared" si="78"/>
        <v>0</v>
      </c>
      <c r="P1672" s="82">
        <f t="shared" si="79"/>
        <v>0</v>
      </c>
      <c r="Q1672" s="74"/>
      <c r="R1672" s="76"/>
      <c r="S1672" s="84">
        <f t="shared" si="80"/>
        <v>0</v>
      </c>
    </row>
    <row r="1673" spans="1:19" ht="18" customHeight="1" x14ac:dyDescent="0.25">
      <c r="A1673" s="59"/>
      <c r="B1673" s="60"/>
      <c r="C1673" s="65"/>
      <c r="D1673" s="60"/>
      <c r="E1673" s="59"/>
      <c r="F1673" s="62"/>
      <c r="G1673" s="63"/>
      <c r="H1673" s="64"/>
      <c r="I1673" s="65"/>
      <c r="J1673" s="65"/>
      <c r="K1673" s="65"/>
      <c r="L1673" s="65"/>
      <c r="M1673" s="65"/>
      <c r="N1673" s="65"/>
      <c r="O1673" s="81">
        <f t="shared" si="78"/>
        <v>0</v>
      </c>
      <c r="P1673" s="81">
        <f t="shared" si="79"/>
        <v>0</v>
      </c>
      <c r="Q1673" s="65"/>
      <c r="R1673" s="67"/>
      <c r="S1673" s="83">
        <f t="shared" si="80"/>
        <v>0</v>
      </c>
    </row>
    <row r="1674" spans="1:19" ht="18" customHeight="1" x14ac:dyDescent="0.25">
      <c r="A1674" s="68"/>
      <c r="B1674" s="69"/>
      <c r="C1674" s="74"/>
      <c r="D1674" s="69"/>
      <c r="E1674" s="68"/>
      <c r="F1674" s="71"/>
      <c r="G1674" s="72"/>
      <c r="H1674" s="73"/>
      <c r="I1674" s="74"/>
      <c r="J1674" s="74"/>
      <c r="K1674" s="74"/>
      <c r="L1674" s="74"/>
      <c r="M1674" s="74"/>
      <c r="N1674" s="74"/>
      <c r="O1674" s="82">
        <f t="shared" si="78"/>
        <v>0</v>
      </c>
      <c r="P1674" s="82">
        <f t="shared" si="79"/>
        <v>0</v>
      </c>
      <c r="Q1674" s="74"/>
      <c r="R1674" s="76"/>
      <c r="S1674" s="84">
        <f t="shared" si="80"/>
        <v>0</v>
      </c>
    </row>
    <row r="1675" spans="1:19" ht="18" customHeight="1" x14ac:dyDescent="0.25">
      <c r="A1675" s="59"/>
      <c r="B1675" s="60"/>
      <c r="C1675" s="65"/>
      <c r="D1675" s="60"/>
      <c r="E1675" s="59"/>
      <c r="F1675" s="62"/>
      <c r="G1675" s="63"/>
      <c r="H1675" s="64"/>
      <c r="I1675" s="65"/>
      <c r="J1675" s="65"/>
      <c r="K1675" s="65"/>
      <c r="L1675" s="65"/>
      <c r="M1675" s="65"/>
      <c r="N1675" s="65"/>
      <c r="O1675" s="81">
        <f t="shared" si="78"/>
        <v>0</v>
      </c>
      <c r="P1675" s="81">
        <f t="shared" si="79"/>
        <v>0</v>
      </c>
      <c r="Q1675" s="65"/>
      <c r="R1675" s="67"/>
      <c r="S1675" s="83">
        <f t="shared" si="80"/>
        <v>0</v>
      </c>
    </row>
    <row r="1676" spans="1:19" ht="18" customHeight="1" x14ac:dyDescent="0.25">
      <c r="A1676" s="68"/>
      <c r="B1676" s="69"/>
      <c r="C1676" s="74"/>
      <c r="D1676" s="69"/>
      <c r="E1676" s="68"/>
      <c r="F1676" s="71"/>
      <c r="G1676" s="72"/>
      <c r="H1676" s="73"/>
      <c r="I1676" s="74"/>
      <c r="J1676" s="74"/>
      <c r="K1676" s="74"/>
      <c r="L1676" s="74"/>
      <c r="M1676" s="74"/>
      <c r="N1676" s="74"/>
      <c r="O1676" s="82">
        <f t="shared" si="78"/>
        <v>0</v>
      </c>
      <c r="P1676" s="82">
        <f t="shared" si="79"/>
        <v>0</v>
      </c>
      <c r="Q1676" s="74"/>
      <c r="R1676" s="76"/>
      <c r="S1676" s="84">
        <f t="shared" si="80"/>
        <v>0</v>
      </c>
    </row>
    <row r="1677" spans="1:19" ht="18" customHeight="1" x14ac:dyDescent="0.25">
      <c r="A1677" s="59"/>
      <c r="B1677" s="60"/>
      <c r="C1677" s="65"/>
      <c r="D1677" s="60"/>
      <c r="E1677" s="59"/>
      <c r="F1677" s="62"/>
      <c r="G1677" s="63"/>
      <c r="H1677" s="64"/>
      <c r="I1677" s="65"/>
      <c r="J1677" s="65"/>
      <c r="K1677" s="65"/>
      <c r="L1677" s="65"/>
      <c r="M1677" s="65"/>
      <c r="N1677" s="65"/>
      <c r="O1677" s="81">
        <f t="shared" si="78"/>
        <v>0</v>
      </c>
      <c r="P1677" s="81">
        <f t="shared" si="79"/>
        <v>0</v>
      </c>
      <c r="Q1677" s="65"/>
      <c r="R1677" s="67"/>
      <c r="S1677" s="83">
        <f t="shared" si="80"/>
        <v>0</v>
      </c>
    </row>
    <row r="1678" spans="1:19" ht="18" customHeight="1" x14ac:dyDescent="0.25">
      <c r="A1678" s="68"/>
      <c r="B1678" s="69"/>
      <c r="C1678" s="74"/>
      <c r="D1678" s="69"/>
      <c r="E1678" s="68"/>
      <c r="F1678" s="71"/>
      <c r="G1678" s="72"/>
      <c r="H1678" s="73"/>
      <c r="I1678" s="74"/>
      <c r="J1678" s="74"/>
      <c r="K1678" s="74"/>
      <c r="L1678" s="74"/>
      <c r="M1678" s="74"/>
      <c r="N1678" s="74"/>
      <c r="O1678" s="82">
        <f t="shared" si="78"/>
        <v>0</v>
      </c>
      <c r="P1678" s="82">
        <f t="shared" si="79"/>
        <v>0</v>
      </c>
      <c r="Q1678" s="74"/>
      <c r="R1678" s="76"/>
      <c r="S1678" s="84">
        <f t="shared" si="80"/>
        <v>0</v>
      </c>
    </row>
    <row r="1679" spans="1:19" ht="18" customHeight="1" x14ac:dyDescent="0.25">
      <c r="A1679" s="59"/>
      <c r="B1679" s="60"/>
      <c r="C1679" s="65"/>
      <c r="D1679" s="60"/>
      <c r="E1679" s="59"/>
      <c r="F1679" s="62"/>
      <c r="G1679" s="63"/>
      <c r="H1679" s="64"/>
      <c r="I1679" s="65"/>
      <c r="J1679" s="65"/>
      <c r="K1679" s="65"/>
      <c r="L1679" s="65"/>
      <c r="M1679" s="65"/>
      <c r="N1679" s="65"/>
      <c r="O1679" s="81">
        <f t="shared" si="78"/>
        <v>0</v>
      </c>
      <c r="P1679" s="81">
        <f t="shared" si="79"/>
        <v>0</v>
      </c>
      <c r="Q1679" s="65"/>
      <c r="R1679" s="67"/>
      <c r="S1679" s="83">
        <f t="shared" si="80"/>
        <v>0</v>
      </c>
    </row>
    <row r="1680" spans="1:19" ht="18" customHeight="1" x14ac:dyDescent="0.25">
      <c r="A1680" s="68"/>
      <c r="B1680" s="69"/>
      <c r="C1680" s="74"/>
      <c r="D1680" s="69"/>
      <c r="E1680" s="68"/>
      <c r="F1680" s="71"/>
      <c r="G1680" s="72"/>
      <c r="H1680" s="73"/>
      <c r="I1680" s="74"/>
      <c r="J1680" s="74"/>
      <c r="K1680" s="74"/>
      <c r="L1680" s="74"/>
      <c r="M1680" s="74"/>
      <c r="N1680" s="74"/>
      <c r="O1680" s="82">
        <f t="shared" si="78"/>
        <v>0</v>
      </c>
      <c r="P1680" s="82">
        <f t="shared" si="79"/>
        <v>0</v>
      </c>
      <c r="Q1680" s="74"/>
      <c r="R1680" s="76"/>
      <c r="S1680" s="84">
        <f t="shared" si="80"/>
        <v>0</v>
      </c>
    </row>
    <row r="1681" spans="1:19" ht="18" customHeight="1" x14ac:dyDescent="0.25">
      <c r="A1681" s="59"/>
      <c r="B1681" s="60"/>
      <c r="C1681" s="65"/>
      <c r="D1681" s="60"/>
      <c r="E1681" s="59"/>
      <c r="F1681" s="62"/>
      <c r="G1681" s="63"/>
      <c r="H1681" s="64"/>
      <c r="I1681" s="65"/>
      <c r="J1681" s="65"/>
      <c r="K1681" s="65"/>
      <c r="L1681" s="65"/>
      <c r="M1681" s="65"/>
      <c r="N1681" s="65"/>
      <c r="O1681" s="81">
        <f t="shared" si="78"/>
        <v>0</v>
      </c>
      <c r="P1681" s="81">
        <f t="shared" si="79"/>
        <v>0</v>
      </c>
      <c r="Q1681" s="65"/>
      <c r="R1681" s="67"/>
      <c r="S1681" s="83">
        <f t="shared" si="80"/>
        <v>0</v>
      </c>
    </row>
    <row r="1682" spans="1:19" ht="18" customHeight="1" x14ac:dyDescent="0.25">
      <c r="A1682" s="68"/>
      <c r="B1682" s="69"/>
      <c r="C1682" s="74"/>
      <c r="D1682" s="69"/>
      <c r="E1682" s="68"/>
      <c r="F1682" s="71"/>
      <c r="G1682" s="72"/>
      <c r="H1682" s="73"/>
      <c r="I1682" s="74"/>
      <c r="J1682" s="74"/>
      <c r="K1682" s="74"/>
      <c r="L1682" s="74"/>
      <c r="M1682" s="74"/>
      <c r="N1682" s="74"/>
      <c r="O1682" s="82">
        <f t="shared" si="78"/>
        <v>0</v>
      </c>
      <c r="P1682" s="82">
        <f t="shared" si="79"/>
        <v>0</v>
      </c>
      <c r="Q1682" s="74"/>
      <c r="R1682" s="76"/>
      <c r="S1682" s="84">
        <f t="shared" si="80"/>
        <v>0</v>
      </c>
    </row>
    <row r="1683" spans="1:19" ht="18" customHeight="1" x14ac:dyDescent="0.25">
      <c r="A1683" s="59"/>
      <c r="B1683" s="60"/>
      <c r="C1683" s="65"/>
      <c r="D1683" s="60"/>
      <c r="E1683" s="59"/>
      <c r="F1683" s="62"/>
      <c r="G1683" s="63"/>
      <c r="H1683" s="64"/>
      <c r="I1683" s="65"/>
      <c r="J1683" s="65"/>
      <c r="K1683" s="65"/>
      <c r="L1683" s="65"/>
      <c r="M1683" s="65"/>
      <c r="N1683" s="65"/>
      <c r="O1683" s="81">
        <f t="shared" si="78"/>
        <v>0</v>
      </c>
      <c r="P1683" s="81">
        <f t="shared" si="79"/>
        <v>0</v>
      </c>
      <c r="Q1683" s="65"/>
      <c r="R1683" s="67"/>
      <c r="S1683" s="83">
        <f t="shared" si="80"/>
        <v>0</v>
      </c>
    </row>
    <row r="1684" spans="1:19" ht="18" customHeight="1" x14ac:dyDescent="0.25">
      <c r="A1684" s="68"/>
      <c r="B1684" s="69"/>
      <c r="C1684" s="74"/>
      <c r="D1684" s="69"/>
      <c r="E1684" s="68"/>
      <c r="F1684" s="71"/>
      <c r="G1684" s="72"/>
      <c r="H1684" s="73"/>
      <c r="I1684" s="74"/>
      <c r="J1684" s="74"/>
      <c r="K1684" s="74"/>
      <c r="L1684" s="74"/>
      <c r="M1684" s="74"/>
      <c r="N1684" s="74"/>
      <c r="O1684" s="82">
        <f t="shared" si="78"/>
        <v>0</v>
      </c>
      <c r="P1684" s="82">
        <f t="shared" si="79"/>
        <v>0</v>
      </c>
      <c r="Q1684" s="74"/>
      <c r="R1684" s="76"/>
      <c r="S1684" s="84">
        <f t="shared" si="80"/>
        <v>0</v>
      </c>
    </row>
    <row r="1685" spans="1:19" ht="18" customHeight="1" x14ac:dyDescent="0.25">
      <c r="A1685" s="59"/>
      <c r="B1685" s="60"/>
      <c r="C1685" s="65"/>
      <c r="D1685" s="60"/>
      <c r="E1685" s="59"/>
      <c r="F1685" s="62"/>
      <c r="G1685" s="63"/>
      <c r="H1685" s="64"/>
      <c r="I1685" s="65"/>
      <c r="J1685" s="65"/>
      <c r="K1685" s="65"/>
      <c r="L1685" s="65"/>
      <c r="M1685" s="65"/>
      <c r="N1685" s="65"/>
      <c r="O1685" s="81">
        <f t="shared" si="78"/>
        <v>0</v>
      </c>
      <c r="P1685" s="81">
        <f t="shared" si="79"/>
        <v>0</v>
      </c>
      <c r="Q1685" s="65"/>
      <c r="R1685" s="67"/>
      <c r="S1685" s="83">
        <f t="shared" si="80"/>
        <v>0</v>
      </c>
    </row>
    <row r="1686" spans="1:19" ht="18" customHeight="1" x14ac:dyDescent="0.25">
      <c r="A1686" s="68"/>
      <c r="B1686" s="69"/>
      <c r="C1686" s="74"/>
      <c r="D1686" s="69"/>
      <c r="E1686" s="68"/>
      <c r="F1686" s="71"/>
      <c r="G1686" s="72"/>
      <c r="H1686" s="73"/>
      <c r="I1686" s="74"/>
      <c r="J1686" s="74"/>
      <c r="K1686" s="74"/>
      <c r="L1686" s="74"/>
      <c r="M1686" s="74"/>
      <c r="N1686" s="74"/>
      <c r="O1686" s="82">
        <f t="shared" si="78"/>
        <v>0</v>
      </c>
      <c r="P1686" s="82">
        <f t="shared" si="79"/>
        <v>0</v>
      </c>
      <c r="Q1686" s="74"/>
      <c r="R1686" s="76"/>
      <c r="S1686" s="84">
        <f t="shared" si="80"/>
        <v>0</v>
      </c>
    </row>
    <row r="1687" spans="1:19" ht="18" customHeight="1" x14ac:dyDescent="0.25">
      <c r="A1687" s="59"/>
      <c r="B1687" s="60"/>
      <c r="C1687" s="65"/>
      <c r="D1687" s="60"/>
      <c r="E1687" s="59"/>
      <c r="F1687" s="62"/>
      <c r="G1687" s="63"/>
      <c r="H1687" s="64"/>
      <c r="I1687" s="65"/>
      <c r="J1687" s="65"/>
      <c r="K1687" s="65"/>
      <c r="L1687" s="65"/>
      <c r="M1687" s="65"/>
      <c r="N1687" s="65"/>
      <c r="O1687" s="81">
        <f t="shared" si="78"/>
        <v>0</v>
      </c>
      <c r="P1687" s="81">
        <f t="shared" si="79"/>
        <v>0</v>
      </c>
      <c r="Q1687" s="65"/>
      <c r="R1687" s="67"/>
      <c r="S1687" s="83">
        <f t="shared" si="80"/>
        <v>0</v>
      </c>
    </row>
    <row r="1688" spans="1:19" ht="18" customHeight="1" x14ac:dyDescent="0.25">
      <c r="A1688" s="68"/>
      <c r="B1688" s="69"/>
      <c r="C1688" s="74"/>
      <c r="D1688" s="69"/>
      <c r="E1688" s="68"/>
      <c r="F1688" s="71"/>
      <c r="G1688" s="72"/>
      <c r="H1688" s="73"/>
      <c r="I1688" s="74"/>
      <c r="J1688" s="74"/>
      <c r="K1688" s="74"/>
      <c r="L1688" s="74"/>
      <c r="M1688" s="74"/>
      <c r="N1688" s="74"/>
      <c r="O1688" s="82">
        <f t="shared" si="78"/>
        <v>0</v>
      </c>
      <c r="P1688" s="82">
        <f t="shared" si="79"/>
        <v>0</v>
      </c>
      <c r="Q1688" s="74"/>
      <c r="R1688" s="76"/>
      <c r="S1688" s="84">
        <f t="shared" si="80"/>
        <v>0</v>
      </c>
    </row>
    <row r="1689" spans="1:19" ht="18" customHeight="1" x14ac:dyDescent="0.25">
      <c r="A1689" s="59"/>
      <c r="B1689" s="60"/>
      <c r="C1689" s="65"/>
      <c r="D1689" s="60"/>
      <c r="E1689" s="59"/>
      <c r="F1689" s="62"/>
      <c r="G1689" s="63"/>
      <c r="H1689" s="64"/>
      <c r="I1689" s="65"/>
      <c r="J1689" s="65"/>
      <c r="K1689" s="65"/>
      <c r="L1689" s="65"/>
      <c r="M1689" s="65"/>
      <c r="N1689" s="65"/>
      <c r="O1689" s="81">
        <f t="shared" si="78"/>
        <v>0</v>
      </c>
      <c r="P1689" s="81">
        <f t="shared" si="79"/>
        <v>0</v>
      </c>
      <c r="Q1689" s="65"/>
      <c r="R1689" s="67"/>
      <c r="S1689" s="83">
        <f t="shared" si="80"/>
        <v>0</v>
      </c>
    </row>
    <row r="1690" spans="1:19" ht="18" customHeight="1" x14ac:dyDescent="0.25">
      <c r="A1690" s="68"/>
      <c r="B1690" s="69"/>
      <c r="C1690" s="74"/>
      <c r="D1690" s="69"/>
      <c r="E1690" s="68"/>
      <c r="F1690" s="71"/>
      <c r="G1690" s="72"/>
      <c r="H1690" s="73"/>
      <c r="I1690" s="74"/>
      <c r="J1690" s="74"/>
      <c r="K1690" s="74"/>
      <c r="L1690" s="74"/>
      <c r="M1690" s="74"/>
      <c r="N1690" s="74"/>
      <c r="O1690" s="82">
        <f t="shared" si="78"/>
        <v>0</v>
      </c>
      <c r="P1690" s="82">
        <f t="shared" si="79"/>
        <v>0</v>
      </c>
      <c r="Q1690" s="74"/>
      <c r="R1690" s="76"/>
      <c r="S1690" s="84">
        <f t="shared" si="80"/>
        <v>0</v>
      </c>
    </row>
    <row r="1691" spans="1:19" ht="18" customHeight="1" x14ac:dyDescent="0.25">
      <c r="A1691" s="59"/>
      <c r="B1691" s="60"/>
      <c r="C1691" s="65"/>
      <c r="D1691" s="60"/>
      <c r="E1691" s="59"/>
      <c r="F1691" s="62"/>
      <c r="G1691" s="63"/>
      <c r="H1691" s="64"/>
      <c r="I1691" s="65"/>
      <c r="J1691" s="65"/>
      <c r="K1691" s="65"/>
      <c r="L1691" s="65"/>
      <c r="M1691" s="65"/>
      <c r="N1691" s="65"/>
      <c r="O1691" s="81">
        <f t="shared" si="78"/>
        <v>0</v>
      </c>
      <c r="P1691" s="81">
        <f t="shared" si="79"/>
        <v>0</v>
      </c>
      <c r="Q1691" s="65"/>
      <c r="R1691" s="67"/>
      <c r="S1691" s="83">
        <f t="shared" si="80"/>
        <v>0</v>
      </c>
    </row>
    <row r="1692" spans="1:19" ht="18" customHeight="1" x14ac:dyDescent="0.25">
      <c r="A1692" s="68"/>
      <c r="B1692" s="69"/>
      <c r="C1692" s="74"/>
      <c r="D1692" s="69"/>
      <c r="E1692" s="68"/>
      <c r="F1692" s="71"/>
      <c r="G1692" s="72"/>
      <c r="H1692" s="73"/>
      <c r="I1692" s="74"/>
      <c r="J1692" s="74"/>
      <c r="K1692" s="74"/>
      <c r="L1692" s="74"/>
      <c r="M1692" s="74"/>
      <c r="N1692" s="74"/>
      <c r="O1692" s="82">
        <f t="shared" si="78"/>
        <v>0</v>
      </c>
      <c r="P1692" s="82">
        <f t="shared" si="79"/>
        <v>0</v>
      </c>
      <c r="Q1692" s="74"/>
      <c r="R1692" s="76"/>
      <c r="S1692" s="84">
        <f t="shared" si="80"/>
        <v>0</v>
      </c>
    </row>
    <row r="1693" spans="1:19" ht="18" customHeight="1" x14ac:dyDescent="0.25">
      <c r="A1693" s="59"/>
      <c r="B1693" s="60"/>
      <c r="C1693" s="65"/>
      <c r="D1693" s="60"/>
      <c r="E1693" s="59"/>
      <c r="F1693" s="62"/>
      <c r="G1693" s="63"/>
      <c r="H1693" s="64"/>
      <c r="I1693" s="65"/>
      <c r="J1693" s="65"/>
      <c r="K1693" s="65"/>
      <c r="L1693" s="65"/>
      <c r="M1693" s="65"/>
      <c r="N1693" s="65"/>
      <c r="O1693" s="81">
        <f t="shared" si="78"/>
        <v>0</v>
      </c>
      <c r="P1693" s="81">
        <f t="shared" si="79"/>
        <v>0</v>
      </c>
      <c r="Q1693" s="65"/>
      <c r="R1693" s="67"/>
      <c r="S1693" s="83">
        <f t="shared" si="80"/>
        <v>0</v>
      </c>
    </row>
    <row r="1694" spans="1:19" ht="18" customHeight="1" x14ac:dyDescent="0.25">
      <c r="A1694" s="68"/>
      <c r="B1694" s="69"/>
      <c r="C1694" s="74"/>
      <c r="D1694" s="69"/>
      <c r="E1694" s="68"/>
      <c r="F1694" s="71"/>
      <c r="G1694" s="72"/>
      <c r="H1694" s="73"/>
      <c r="I1694" s="74"/>
      <c r="J1694" s="74"/>
      <c r="K1694" s="74"/>
      <c r="L1694" s="74"/>
      <c r="M1694" s="74"/>
      <c r="N1694" s="74"/>
      <c r="O1694" s="82">
        <f t="shared" si="78"/>
        <v>0</v>
      </c>
      <c r="P1694" s="82">
        <f t="shared" si="79"/>
        <v>0</v>
      </c>
      <c r="Q1694" s="74"/>
      <c r="R1694" s="76"/>
      <c r="S1694" s="84">
        <f t="shared" si="80"/>
        <v>0</v>
      </c>
    </row>
    <row r="1695" spans="1:19" ht="18" customHeight="1" x14ac:dyDescent="0.25">
      <c r="A1695" s="59"/>
      <c r="B1695" s="60"/>
      <c r="C1695" s="65"/>
      <c r="D1695" s="60"/>
      <c r="E1695" s="59"/>
      <c r="F1695" s="62"/>
      <c r="G1695" s="63"/>
      <c r="H1695" s="64"/>
      <c r="I1695" s="65"/>
      <c r="J1695" s="65"/>
      <c r="K1695" s="65"/>
      <c r="L1695" s="65"/>
      <c r="M1695" s="65"/>
      <c r="N1695" s="65"/>
      <c r="O1695" s="81">
        <f t="shared" si="78"/>
        <v>0</v>
      </c>
      <c r="P1695" s="81">
        <f t="shared" si="79"/>
        <v>0</v>
      </c>
      <c r="Q1695" s="65"/>
      <c r="R1695" s="67"/>
      <c r="S1695" s="83">
        <f t="shared" si="80"/>
        <v>0</v>
      </c>
    </row>
    <row r="1696" spans="1:19" ht="18" customHeight="1" x14ac:dyDescent="0.25">
      <c r="A1696" s="68"/>
      <c r="B1696" s="69"/>
      <c r="C1696" s="74"/>
      <c r="D1696" s="69"/>
      <c r="E1696" s="68"/>
      <c r="F1696" s="71"/>
      <c r="G1696" s="72"/>
      <c r="H1696" s="73"/>
      <c r="I1696" s="74"/>
      <c r="J1696" s="74"/>
      <c r="K1696" s="74"/>
      <c r="L1696" s="74"/>
      <c r="M1696" s="74"/>
      <c r="N1696" s="74"/>
      <c r="O1696" s="82">
        <f t="shared" si="78"/>
        <v>0</v>
      </c>
      <c r="P1696" s="82">
        <f t="shared" si="79"/>
        <v>0</v>
      </c>
      <c r="Q1696" s="74"/>
      <c r="R1696" s="76"/>
      <c r="S1696" s="84">
        <f t="shared" si="80"/>
        <v>0</v>
      </c>
    </row>
    <row r="1697" spans="1:19" ht="18" customHeight="1" x14ac:dyDescent="0.25">
      <c r="A1697" s="59"/>
      <c r="B1697" s="60"/>
      <c r="C1697" s="65"/>
      <c r="D1697" s="60"/>
      <c r="E1697" s="59"/>
      <c r="F1697" s="62"/>
      <c r="G1697" s="63"/>
      <c r="H1697" s="64"/>
      <c r="I1697" s="65"/>
      <c r="J1697" s="65"/>
      <c r="K1697" s="65"/>
      <c r="L1697" s="65"/>
      <c r="M1697" s="65"/>
      <c r="N1697" s="65"/>
      <c r="O1697" s="81">
        <f t="shared" si="78"/>
        <v>0</v>
      </c>
      <c r="P1697" s="81">
        <f t="shared" si="79"/>
        <v>0</v>
      </c>
      <c r="Q1697" s="65"/>
      <c r="R1697" s="67"/>
      <c r="S1697" s="83">
        <f t="shared" si="80"/>
        <v>0</v>
      </c>
    </row>
    <row r="1698" spans="1:19" ht="18" customHeight="1" x14ac:dyDescent="0.25">
      <c r="A1698" s="68"/>
      <c r="B1698" s="69"/>
      <c r="C1698" s="74"/>
      <c r="D1698" s="69"/>
      <c r="E1698" s="68"/>
      <c r="F1698" s="71"/>
      <c r="G1698" s="72"/>
      <c r="H1698" s="73"/>
      <c r="I1698" s="74"/>
      <c r="J1698" s="74"/>
      <c r="K1698" s="74"/>
      <c r="L1698" s="74"/>
      <c r="M1698" s="74"/>
      <c r="N1698" s="74"/>
      <c r="O1698" s="82">
        <f t="shared" si="78"/>
        <v>0</v>
      </c>
      <c r="P1698" s="82">
        <f t="shared" si="79"/>
        <v>0</v>
      </c>
      <c r="Q1698" s="74"/>
      <c r="R1698" s="76"/>
      <c r="S1698" s="84">
        <f t="shared" si="80"/>
        <v>0</v>
      </c>
    </row>
    <row r="1699" spans="1:19" ht="18" customHeight="1" x14ac:dyDescent="0.25">
      <c r="A1699" s="59"/>
      <c r="B1699" s="60"/>
      <c r="C1699" s="65"/>
      <c r="D1699" s="60"/>
      <c r="E1699" s="59"/>
      <c r="F1699" s="62"/>
      <c r="G1699" s="63"/>
      <c r="H1699" s="64"/>
      <c r="I1699" s="65"/>
      <c r="J1699" s="65"/>
      <c r="K1699" s="65"/>
      <c r="L1699" s="65"/>
      <c r="M1699" s="65"/>
      <c r="N1699" s="65"/>
      <c r="O1699" s="81">
        <f t="shared" si="78"/>
        <v>0</v>
      </c>
      <c r="P1699" s="81">
        <f t="shared" si="79"/>
        <v>0</v>
      </c>
      <c r="Q1699" s="65"/>
      <c r="R1699" s="67"/>
      <c r="S1699" s="83">
        <f t="shared" si="80"/>
        <v>0</v>
      </c>
    </row>
    <row r="1700" spans="1:19" ht="18" customHeight="1" x14ac:dyDescent="0.25">
      <c r="A1700" s="68"/>
      <c r="B1700" s="69"/>
      <c r="C1700" s="74"/>
      <c r="D1700" s="69"/>
      <c r="E1700" s="68"/>
      <c r="F1700" s="71"/>
      <c r="G1700" s="72"/>
      <c r="H1700" s="73"/>
      <c r="I1700" s="74"/>
      <c r="J1700" s="74"/>
      <c r="K1700" s="74"/>
      <c r="L1700" s="74"/>
      <c r="M1700" s="74"/>
      <c r="N1700" s="74"/>
      <c r="O1700" s="82">
        <f t="shared" si="78"/>
        <v>0</v>
      </c>
      <c r="P1700" s="82">
        <f t="shared" si="79"/>
        <v>0</v>
      </c>
      <c r="Q1700" s="74"/>
      <c r="R1700" s="76"/>
      <c r="S1700" s="84">
        <f t="shared" si="80"/>
        <v>0</v>
      </c>
    </row>
    <row r="1701" spans="1:19" ht="18" customHeight="1" x14ac:dyDescent="0.25">
      <c r="A1701" s="59"/>
      <c r="B1701" s="60"/>
      <c r="C1701" s="65"/>
      <c r="D1701" s="60"/>
      <c r="E1701" s="59"/>
      <c r="F1701" s="62"/>
      <c r="G1701" s="63"/>
      <c r="H1701" s="64"/>
      <c r="I1701" s="65"/>
      <c r="J1701" s="65"/>
      <c r="K1701" s="65"/>
      <c r="L1701" s="65"/>
      <c r="M1701" s="65"/>
      <c r="N1701" s="65"/>
      <c r="O1701" s="81">
        <f t="shared" si="78"/>
        <v>0</v>
      </c>
      <c r="P1701" s="81">
        <f t="shared" si="79"/>
        <v>0</v>
      </c>
      <c r="Q1701" s="65"/>
      <c r="R1701" s="67"/>
      <c r="S1701" s="83">
        <f t="shared" si="80"/>
        <v>0</v>
      </c>
    </row>
    <row r="1702" spans="1:19" ht="18" customHeight="1" x14ac:dyDescent="0.25">
      <c r="A1702" s="68"/>
      <c r="B1702" s="69"/>
      <c r="C1702" s="74"/>
      <c r="D1702" s="69"/>
      <c r="E1702" s="68"/>
      <c r="F1702" s="71"/>
      <c r="G1702" s="72"/>
      <c r="H1702" s="73"/>
      <c r="I1702" s="74"/>
      <c r="J1702" s="74"/>
      <c r="K1702" s="74"/>
      <c r="L1702" s="74"/>
      <c r="M1702" s="74"/>
      <c r="N1702" s="74"/>
      <c r="O1702" s="82">
        <f t="shared" si="78"/>
        <v>0</v>
      </c>
      <c r="P1702" s="82">
        <f t="shared" si="79"/>
        <v>0</v>
      </c>
      <c r="Q1702" s="74"/>
      <c r="R1702" s="76"/>
      <c r="S1702" s="84">
        <f t="shared" si="80"/>
        <v>0</v>
      </c>
    </row>
    <row r="1703" spans="1:19" ht="18" customHeight="1" x14ac:dyDescent="0.25">
      <c r="A1703" s="59"/>
      <c r="B1703" s="60"/>
      <c r="C1703" s="65"/>
      <c r="D1703" s="60"/>
      <c r="E1703" s="59"/>
      <c r="F1703" s="62"/>
      <c r="G1703" s="63"/>
      <c r="H1703" s="64"/>
      <c r="I1703" s="65"/>
      <c r="J1703" s="65"/>
      <c r="K1703" s="65"/>
      <c r="L1703" s="65"/>
      <c r="M1703" s="65"/>
      <c r="N1703" s="65"/>
      <c r="O1703" s="81">
        <f t="shared" si="78"/>
        <v>0</v>
      </c>
      <c r="P1703" s="81">
        <f t="shared" si="79"/>
        <v>0</v>
      </c>
      <c r="Q1703" s="65"/>
      <c r="R1703" s="67"/>
      <c r="S1703" s="83">
        <f t="shared" si="80"/>
        <v>0</v>
      </c>
    </row>
    <row r="1704" spans="1:19" ht="18" customHeight="1" x14ac:dyDescent="0.25">
      <c r="A1704" s="68"/>
      <c r="B1704" s="69"/>
      <c r="C1704" s="74"/>
      <c r="D1704" s="69"/>
      <c r="E1704" s="68"/>
      <c r="F1704" s="71"/>
      <c r="G1704" s="72"/>
      <c r="H1704" s="73"/>
      <c r="I1704" s="74"/>
      <c r="J1704" s="74"/>
      <c r="K1704" s="74"/>
      <c r="L1704" s="74"/>
      <c r="M1704" s="74"/>
      <c r="N1704" s="74"/>
      <c r="O1704" s="82">
        <f t="shared" si="78"/>
        <v>0</v>
      </c>
      <c r="P1704" s="82">
        <f t="shared" si="79"/>
        <v>0</v>
      </c>
      <c r="Q1704" s="74"/>
      <c r="R1704" s="76"/>
      <c r="S1704" s="84">
        <f t="shared" si="80"/>
        <v>0</v>
      </c>
    </row>
    <row r="1705" spans="1:19" ht="18" customHeight="1" x14ac:dyDescent="0.25">
      <c r="A1705" s="59"/>
      <c r="B1705" s="60"/>
      <c r="C1705" s="65"/>
      <c r="D1705" s="60"/>
      <c r="E1705" s="59"/>
      <c r="F1705" s="62"/>
      <c r="G1705" s="63"/>
      <c r="H1705" s="64"/>
      <c r="I1705" s="65"/>
      <c r="J1705" s="65"/>
      <c r="K1705" s="65"/>
      <c r="L1705" s="65"/>
      <c r="M1705" s="65"/>
      <c r="N1705" s="65"/>
      <c r="O1705" s="81">
        <f t="shared" si="78"/>
        <v>0</v>
      </c>
      <c r="P1705" s="81">
        <f t="shared" si="79"/>
        <v>0</v>
      </c>
      <c r="Q1705" s="65"/>
      <c r="R1705" s="67"/>
      <c r="S1705" s="83">
        <f t="shared" si="80"/>
        <v>0</v>
      </c>
    </row>
    <row r="1706" spans="1:19" ht="18" customHeight="1" x14ac:dyDescent="0.25">
      <c r="A1706" s="68"/>
      <c r="B1706" s="69"/>
      <c r="C1706" s="74"/>
      <c r="D1706" s="69"/>
      <c r="E1706" s="68"/>
      <c r="F1706" s="71"/>
      <c r="G1706" s="72"/>
      <c r="H1706" s="73"/>
      <c r="I1706" s="74"/>
      <c r="J1706" s="74"/>
      <c r="K1706" s="74"/>
      <c r="L1706" s="74"/>
      <c r="M1706" s="74"/>
      <c r="N1706" s="74"/>
      <c r="O1706" s="82">
        <f t="shared" si="78"/>
        <v>0</v>
      </c>
      <c r="P1706" s="82">
        <f t="shared" si="79"/>
        <v>0</v>
      </c>
      <c r="Q1706" s="74"/>
      <c r="R1706" s="76"/>
      <c r="S1706" s="84">
        <f t="shared" si="80"/>
        <v>0</v>
      </c>
    </row>
    <row r="1707" spans="1:19" ht="18" customHeight="1" x14ac:dyDescent="0.25">
      <c r="A1707" s="59"/>
      <c r="B1707" s="60"/>
      <c r="C1707" s="65"/>
      <c r="D1707" s="60"/>
      <c r="E1707" s="59"/>
      <c r="F1707" s="62"/>
      <c r="G1707" s="63"/>
      <c r="H1707" s="64"/>
      <c r="I1707" s="65"/>
      <c r="J1707" s="65"/>
      <c r="K1707" s="65"/>
      <c r="L1707" s="65"/>
      <c r="M1707" s="65"/>
      <c r="N1707" s="65"/>
      <c r="O1707" s="81">
        <f t="shared" si="78"/>
        <v>0</v>
      </c>
      <c r="P1707" s="81">
        <f t="shared" si="79"/>
        <v>0</v>
      </c>
      <c r="Q1707" s="65"/>
      <c r="R1707" s="67"/>
      <c r="S1707" s="83">
        <f t="shared" si="80"/>
        <v>0</v>
      </c>
    </row>
    <row r="1708" spans="1:19" ht="18" customHeight="1" x14ac:dyDescent="0.25">
      <c r="A1708" s="68"/>
      <c r="B1708" s="69"/>
      <c r="C1708" s="74"/>
      <c r="D1708" s="69"/>
      <c r="E1708" s="68"/>
      <c r="F1708" s="71"/>
      <c r="G1708" s="72"/>
      <c r="H1708" s="73"/>
      <c r="I1708" s="74"/>
      <c r="J1708" s="74"/>
      <c r="K1708" s="74"/>
      <c r="L1708" s="74"/>
      <c r="M1708" s="74"/>
      <c r="N1708" s="74"/>
      <c r="O1708" s="82">
        <f t="shared" si="78"/>
        <v>0</v>
      </c>
      <c r="P1708" s="82">
        <f t="shared" si="79"/>
        <v>0</v>
      </c>
      <c r="Q1708" s="74"/>
      <c r="R1708" s="76"/>
      <c r="S1708" s="84">
        <f t="shared" si="80"/>
        <v>0</v>
      </c>
    </row>
    <row r="1709" spans="1:19" ht="18" customHeight="1" x14ac:dyDescent="0.25">
      <c r="A1709" s="59"/>
      <c r="B1709" s="60"/>
      <c r="C1709" s="65"/>
      <c r="D1709" s="60"/>
      <c r="E1709" s="59"/>
      <c r="F1709" s="62"/>
      <c r="G1709" s="63"/>
      <c r="H1709" s="64"/>
      <c r="I1709" s="65"/>
      <c r="J1709" s="65"/>
      <c r="K1709" s="65"/>
      <c r="L1709" s="65"/>
      <c r="M1709" s="65"/>
      <c r="N1709" s="65"/>
      <c r="O1709" s="81">
        <f t="shared" si="78"/>
        <v>0</v>
      </c>
      <c r="P1709" s="81">
        <f t="shared" si="79"/>
        <v>0</v>
      </c>
      <c r="Q1709" s="65"/>
      <c r="R1709" s="67"/>
      <c r="S1709" s="83">
        <f t="shared" si="80"/>
        <v>0</v>
      </c>
    </row>
    <row r="1710" spans="1:19" ht="18" customHeight="1" x14ac:dyDescent="0.25">
      <c r="A1710" s="68"/>
      <c r="B1710" s="69"/>
      <c r="C1710" s="74"/>
      <c r="D1710" s="69"/>
      <c r="E1710" s="68"/>
      <c r="F1710" s="71"/>
      <c r="G1710" s="72"/>
      <c r="H1710" s="73"/>
      <c r="I1710" s="74"/>
      <c r="J1710" s="74"/>
      <c r="K1710" s="74"/>
      <c r="L1710" s="74"/>
      <c r="M1710" s="74"/>
      <c r="N1710" s="74"/>
      <c r="O1710" s="82">
        <f t="shared" si="78"/>
        <v>0</v>
      </c>
      <c r="P1710" s="82">
        <f t="shared" si="79"/>
        <v>0</v>
      </c>
      <c r="Q1710" s="74"/>
      <c r="R1710" s="76"/>
      <c r="S1710" s="84">
        <f t="shared" si="80"/>
        <v>0</v>
      </c>
    </row>
    <row r="1711" spans="1:19" ht="18" customHeight="1" x14ac:dyDescent="0.25">
      <c r="A1711" s="59"/>
      <c r="B1711" s="60"/>
      <c r="C1711" s="65"/>
      <c r="D1711" s="60"/>
      <c r="E1711" s="59"/>
      <c r="F1711" s="62"/>
      <c r="G1711" s="63"/>
      <c r="H1711" s="64"/>
      <c r="I1711" s="65"/>
      <c r="J1711" s="65"/>
      <c r="K1711" s="65"/>
      <c r="L1711" s="65"/>
      <c r="M1711" s="65"/>
      <c r="N1711" s="65"/>
      <c r="O1711" s="81">
        <f t="shared" si="78"/>
        <v>0</v>
      </c>
      <c r="P1711" s="81">
        <f t="shared" si="79"/>
        <v>0</v>
      </c>
      <c r="Q1711" s="65"/>
      <c r="R1711" s="67"/>
      <c r="S1711" s="83">
        <f t="shared" si="80"/>
        <v>0</v>
      </c>
    </row>
    <row r="1712" spans="1:19" ht="18" customHeight="1" x14ac:dyDescent="0.25">
      <c r="A1712" s="68"/>
      <c r="B1712" s="69"/>
      <c r="C1712" s="74"/>
      <c r="D1712" s="69"/>
      <c r="E1712" s="68"/>
      <c r="F1712" s="71"/>
      <c r="G1712" s="72"/>
      <c r="H1712" s="73"/>
      <c r="I1712" s="74"/>
      <c r="J1712" s="74"/>
      <c r="K1712" s="74"/>
      <c r="L1712" s="74"/>
      <c r="M1712" s="74"/>
      <c r="N1712" s="74"/>
      <c r="O1712" s="82">
        <f t="shared" si="78"/>
        <v>0</v>
      </c>
      <c r="P1712" s="82">
        <f t="shared" si="79"/>
        <v>0</v>
      </c>
      <c r="Q1712" s="74"/>
      <c r="R1712" s="76"/>
      <c r="S1712" s="84">
        <f t="shared" si="80"/>
        <v>0</v>
      </c>
    </row>
    <row r="1713" spans="1:19" ht="18" customHeight="1" x14ac:dyDescent="0.25">
      <c r="A1713" s="59"/>
      <c r="B1713" s="60"/>
      <c r="C1713" s="65"/>
      <c r="D1713" s="60"/>
      <c r="E1713" s="59"/>
      <c r="F1713" s="62"/>
      <c r="G1713" s="63"/>
      <c r="H1713" s="64"/>
      <c r="I1713" s="65"/>
      <c r="J1713" s="65"/>
      <c r="K1713" s="65"/>
      <c r="L1713" s="65"/>
      <c r="M1713" s="65"/>
      <c r="N1713" s="65"/>
      <c r="O1713" s="81">
        <f t="shared" si="78"/>
        <v>0</v>
      </c>
      <c r="P1713" s="81">
        <f t="shared" si="79"/>
        <v>0</v>
      </c>
      <c r="Q1713" s="65"/>
      <c r="R1713" s="67"/>
      <c r="S1713" s="83">
        <f t="shared" si="80"/>
        <v>0</v>
      </c>
    </row>
    <row r="1714" spans="1:19" ht="18" customHeight="1" x14ac:dyDescent="0.25">
      <c r="A1714" s="68"/>
      <c r="B1714" s="69"/>
      <c r="C1714" s="74"/>
      <c r="D1714" s="69"/>
      <c r="E1714" s="68"/>
      <c r="F1714" s="71"/>
      <c r="G1714" s="72"/>
      <c r="H1714" s="73"/>
      <c r="I1714" s="74"/>
      <c r="J1714" s="74"/>
      <c r="K1714" s="74"/>
      <c r="L1714" s="74"/>
      <c r="M1714" s="74"/>
      <c r="N1714" s="74"/>
      <c r="O1714" s="82">
        <f t="shared" si="78"/>
        <v>0</v>
      </c>
      <c r="P1714" s="82">
        <f t="shared" si="79"/>
        <v>0</v>
      </c>
      <c r="Q1714" s="74"/>
      <c r="R1714" s="76"/>
      <c r="S1714" s="84">
        <f t="shared" si="80"/>
        <v>0</v>
      </c>
    </row>
    <row r="1715" spans="1:19" ht="18" customHeight="1" x14ac:dyDescent="0.25">
      <c r="A1715" s="59"/>
      <c r="B1715" s="60"/>
      <c r="C1715" s="65"/>
      <c r="D1715" s="60"/>
      <c r="E1715" s="59"/>
      <c r="F1715" s="62"/>
      <c r="G1715" s="63"/>
      <c r="H1715" s="64"/>
      <c r="I1715" s="65"/>
      <c r="J1715" s="65"/>
      <c r="K1715" s="65"/>
      <c r="L1715" s="65"/>
      <c r="M1715" s="65"/>
      <c r="N1715" s="65"/>
      <c r="O1715" s="81">
        <f t="shared" si="78"/>
        <v>0</v>
      </c>
      <c r="P1715" s="81">
        <f t="shared" si="79"/>
        <v>0</v>
      </c>
      <c r="Q1715" s="65"/>
      <c r="R1715" s="67"/>
      <c r="S1715" s="83">
        <f t="shared" si="80"/>
        <v>0</v>
      </c>
    </row>
    <row r="1716" spans="1:19" ht="18" customHeight="1" x14ac:dyDescent="0.25">
      <c r="A1716" s="68"/>
      <c r="B1716" s="69"/>
      <c r="C1716" s="74"/>
      <c r="D1716" s="69"/>
      <c r="E1716" s="68"/>
      <c r="F1716" s="71"/>
      <c r="G1716" s="72"/>
      <c r="H1716" s="73"/>
      <c r="I1716" s="74"/>
      <c r="J1716" s="74"/>
      <c r="K1716" s="74"/>
      <c r="L1716" s="74"/>
      <c r="M1716" s="74"/>
      <c r="N1716" s="74"/>
      <c r="O1716" s="82">
        <f t="shared" si="78"/>
        <v>0</v>
      </c>
      <c r="P1716" s="82">
        <f t="shared" si="79"/>
        <v>0</v>
      </c>
      <c r="Q1716" s="74"/>
      <c r="R1716" s="76"/>
      <c r="S1716" s="84">
        <f t="shared" si="80"/>
        <v>0</v>
      </c>
    </row>
    <row r="1717" spans="1:19" ht="18" customHeight="1" x14ac:dyDescent="0.25">
      <c r="A1717" s="59"/>
      <c r="B1717" s="60"/>
      <c r="C1717" s="65"/>
      <c r="D1717" s="60"/>
      <c r="E1717" s="59"/>
      <c r="F1717" s="62"/>
      <c r="G1717" s="63"/>
      <c r="H1717" s="64"/>
      <c r="I1717" s="65"/>
      <c r="J1717" s="65"/>
      <c r="K1717" s="65"/>
      <c r="L1717" s="65"/>
      <c r="M1717" s="65"/>
      <c r="N1717" s="65"/>
      <c r="O1717" s="81">
        <f t="shared" si="78"/>
        <v>0</v>
      </c>
      <c r="P1717" s="81">
        <f t="shared" si="79"/>
        <v>0</v>
      </c>
      <c r="Q1717" s="65"/>
      <c r="R1717" s="67"/>
      <c r="S1717" s="83">
        <f t="shared" si="80"/>
        <v>0</v>
      </c>
    </row>
    <row r="1718" spans="1:19" ht="18" customHeight="1" x14ac:dyDescent="0.25">
      <c r="A1718" s="68"/>
      <c r="B1718" s="69"/>
      <c r="C1718" s="74"/>
      <c r="D1718" s="69"/>
      <c r="E1718" s="68"/>
      <c r="F1718" s="71"/>
      <c r="G1718" s="72"/>
      <c r="H1718" s="73"/>
      <c r="I1718" s="74"/>
      <c r="J1718" s="74"/>
      <c r="K1718" s="74"/>
      <c r="L1718" s="74"/>
      <c r="M1718" s="74"/>
      <c r="N1718" s="74"/>
      <c r="O1718" s="82">
        <f t="shared" si="78"/>
        <v>0</v>
      </c>
      <c r="P1718" s="82">
        <f t="shared" si="79"/>
        <v>0</v>
      </c>
      <c r="Q1718" s="74"/>
      <c r="R1718" s="76"/>
      <c r="S1718" s="84">
        <f t="shared" si="80"/>
        <v>0</v>
      </c>
    </row>
    <row r="1719" spans="1:19" ht="18" customHeight="1" x14ac:dyDescent="0.25">
      <c r="A1719" s="59"/>
      <c r="B1719" s="60"/>
      <c r="C1719" s="65"/>
      <c r="D1719" s="60"/>
      <c r="E1719" s="59"/>
      <c r="F1719" s="62"/>
      <c r="G1719" s="63"/>
      <c r="H1719" s="64"/>
      <c r="I1719" s="65"/>
      <c r="J1719" s="65"/>
      <c r="K1719" s="65"/>
      <c r="L1719" s="65"/>
      <c r="M1719" s="65"/>
      <c r="N1719" s="65"/>
      <c r="O1719" s="81">
        <f t="shared" si="78"/>
        <v>0</v>
      </c>
      <c r="P1719" s="81">
        <f t="shared" si="79"/>
        <v>0</v>
      </c>
      <c r="Q1719" s="65"/>
      <c r="R1719" s="67"/>
      <c r="S1719" s="83">
        <f t="shared" si="80"/>
        <v>0</v>
      </c>
    </row>
    <row r="1720" spans="1:19" ht="18" customHeight="1" x14ac:dyDescent="0.25">
      <c r="A1720" s="68"/>
      <c r="B1720" s="69"/>
      <c r="C1720" s="74"/>
      <c r="D1720" s="69"/>
      <c r="E1720" s="68"/>
      <c r="F1720" s="71"/>
      <c r="G1720" s="72"/>
      <c r="H1720" s="73"/>
      <c r="I1720" s="74"/>
      <c r="J1720" s="74"/>
      <c r="K1720" s="74"/>
      <c r="L1720" s="74"/>
      <c r="M1720" s="74"/>
      <c r="N1720" s="74"/>
      <c r="O1720" s="82">
        <f t="shared" si="78"/>
        <v>0</v>
      </c>
      <c r="P1720" s="82">
        <f t="shared" si="79"/>
        <v>0</v>
      </c>
      <c r="Q1720" s="74"/>
      <c r="R1720" s="76"/>
      <c r="S1720" s="84">
        <f t="shared" si="80"/>
        <v>0</v>
      </c>
    </row>
    <row r="1721" spans="1:19" ht="18" customHeight="1" x14ac:dyDescent="0.25">
      <c r="A1721" s="59"/>
      <c r="B1721" s="60"/>
      <c r="C1721" s="65"/>
      <c r="D1721" s="60"/>
      <c r="E1721" s="59"/>
      <c r="F1721" s="62"/>
      <c r="G1721" s="63"/>
      <c r="H1721" s="64"/>
      <c r="I1721" s="65"/>
      <c r="J1721" s="65"/>
      <c r="K1721" s="65"/>
      <c r="L1721" s="65"/>
      <c r="M1721" s="65"/>
      <c r="N1721" s="65"/>
      <c r="O1721" s="81">
        <f t="shared" si="78"/>
        <v>0</v>
      </c>
      <c r="P1721" s="81">
        <f t="shared" si="79"/>
        <v>0</v>
      </c>
      <c r="Q1721" s="65"/>
      <c r="R1721" s="67"/>
      <c r="S1721" s="83">
        <f t="shared" si="80"/>
        <v>0</v>
      </c>
    </row>
    <row r="1722" spans="1:19" ht="18" customHeight="1" x14ac:dyDescent="0.25">
      <c r="A1722" s="68"/>
      <c r="B1722" s="69"/>
      <c r="C1722" s="74"/>
      <c r="D1722" s="69"/>
      <c r="E1722" s="68"/>
      <c r="F1722" s="71"/>
      <c r="G1722" s="72"/>
      <c r="H1722" s="73"/>
      <c r="I1722" s="74"/>
      <c r="J1722" s="74"/>
      <c r="K1722" s="74"/>
      <c r="L1722" s="74"/>
      <c r="M1722" s="74"/>
      <c r="N1722" s="74"/>
      <c r="O1722" s="82">
        <f t="shared" si="78"/>
        <v>0</v>
      </c>
      <c r="P1722" s="82">
        <f t="shared" si="79"/>
        <v>0</v>
      </c>
      <c r="Q1722" s="74"/>
      <c r="R1722" s="76"/>
      <c r="S1722" s="84">
        <f t="shared" si="80"/>
        <v>0</v>
      </c>
    </row>
    <row r="1723" spans="1:19" ht="18" customHeight="1" x14ac:dyDescent="0.25">
      <c r="A1723" s="59"/>
      <c r="B1723" s="60"/>
      <c r="C1723" s="65"/>
      <c r="D1723" s="60"/>
      <c r="E1723" s="59"/>
      <c r="F1723" s="62"/>
      <c r="G1723" s="63"/>
      <c r="H1723" s="64"/>
      <c r="I1723" s="65"/>
      <c r="J1723" s="65"/>
      <c r="K1723" s="65"/>
      <c r="L1723" s="65"/>
      <c r="M1723" s="65"/>
      <c r="N1723" s="65"/>
      <c r="O1723" s="81">
        <f t="shared" si="78"/>
        <v>0</v>
      </c>
      <c r="P1723" s="81">
        <f t="shared" si="79"/>
        <v>0</v>
      </c>
      <c r="Q1723" s="65"/>
      <c r="R1723" s="67"/>
      <c r="S1723" s="83">
        <f t="shared" si="80"/>
        <v>0</v>
      </c>
    </row>
    <row r="1724" spans="1:19" ht="18" customHeight="1" x14ac:dyDescent="0.25">
      <c r="A1724" s="68"/>
      <c r="B1724" s="69"/>
      <c r="C1724" s="74"/>
      <c r="D1724" s="69"/>
      <c r="E1724" s="68"/>
      <c r="F1724" s="71"/>
      <c r="G1724" s="72"/>
      <c r="H1724" s="73"/>
      <c r="I1724" s="74"/>
      <c r="J1724" s="74"/>
      <c r="K1724" s="74"/>
      <c r="L1724" s="74"/>
      <c r="M1724" s="74"/>
      <c r="N1724" s="74"/>
      <c r="O1724" s="82">
        <f t="shared" si="78"/>
        <v>0</v>
      </c>
      <c r="P1724" s="82">
        <f t="shared" si="79"/>
        <v>0</v>
      </c>
      <c r="Q1724" s="74"/>
      <c r="R1724" s="76"/>
      <c r="S1724" s="84">
        <f t="shared" si="80"/>
        <v>0</v>
      </c>
    </row>
    <row r="1725" spans="1:19" ht="18" customHeight="1" x14ac:dyDescent="0.25">
      <c r="A1725" s="59"/>
      <c r="B1725" s="60"/>
      <c r="C1725" s="65"/>
      <c r="D1725" s="60"/>
      <c r="E1725" s="59"/>
      <c r="F1725" s="62"/>
      <c r="G1725" s="63"/>
      <c r="H1725" s="64"/>
      <c r="I1725" s="65"/>
      <c r="J1725" s="65"/>
      <c r="K1725" s="65"/>
      <c r="L1725" s="65"/>
      <c r="M1725" s="65"/>
      <c r="N1725" s="65"/>
      <c r="O1725" s="81">
        <f t="shared" si="78"/>
        <v>0</v>
      </c>
      <c r="P1725" s="81">
        <f t="shared" si="79"/>
        <v>0</v>
      </c>
      <c r="Q1725" s="65"/>
      <c r="R1725" s="67"/>
      <c r="S1725" s="83">
        <f t="shared" si="80"/>
        <v>0</v>
      </c>
    </row>
    <row r="1726" spans="1:19" ht="18" customHeight="1" x14ac:dyDescent="0.25">
      <c r="A1726" s="68"/>
      <c r="B1726" s="69"/>
      <c r="C1726" s="74"/>
      <c r="D1726" s="69"/>
      <c r="E1726" s="68"/>
      <c r="F1726" s="71"/>
      <c r="G1726" s="72"/>
      <c r="H1726" s="73"/>
      <c r="I1726" s="74"/>
      <c r="J1726" s="74"/>
      <c r="K1726" s="74"/>
      <c r="L1726" s="74"/>
      <c r="M1726" s="74"/>
      <c r="N1726" s="74"/>
      <c r="O1726" s="82">
        <f t="shared" si="78"/>
        <v>0</v>
      </c>
      <c r="P1726" s="82">
        <f t="shared" si="79"/>
        <v>0</v>
      </c>
      <c r="Q1726" s="74"/>
      <c r="R1726" s="76"/>
      <c r="S1726" s="84">
        <f t="shared" si="80"/>
        <v>0</v>
      </c>
    </row>
    <row r="1727" spans="1:19" ht="18" customHeight="1" x14ac:dyDescent="0.25">
      <c r="A1727" s="59"/>
      <c r="B1727" s="60"/>
      <c r="C1727" s="65"/>
      <c r="D1727" s="60"/>
      <c r="E1727" s="59"/>
      <c r="F1727" s="62"/>
      <c r="G1727" s="63"/>
      <c r="H1727" s="64"/>
      <c r="I1727" s="65"/>
      <c r="J1727" s="65"/>
      <c r="K1727" s="65"/>
      <c r="L1727" s="65"/>
      <c r="M1727" s="65"/>
      <c r="N1727" s="65"/>
      <c r="O1727" s="81">
        <f t="shared" si="78"/>
        <v>0</v>
      </c>
      <c r="P1727" s="81">
        <f t="shared" si="79"/>
        <v>0</v>
      </c>
      <c r="Q1727" s="65"/>
      <c r="R1727" s="67"/>
      <c r="S1727" s="83">
        <f t="shared" si="80"/>
        <v>0</v>
      </c>
    </row>
    <row r="1728" spans="1:19" ht="18" customHeight="1" x14ac:dyDescent="0.25">
      <c r="A1728" s="68"/>
      <c r="B1728" s="69"/>
      <c r="C1728" s="74"/>
      <c r="D1728" s="69"/>
      <c r="E1728" s="68"/>
      <c r="F1728" s="71"/>
      <c r="G1728" s="72"/>
      <c r="H1728" s="73"/>
      <c r="I1728" s="74"/>
      <c r="J1728" s="74"/>
      <c r="K1728" s="74"/>
      <c r="L1728" s="74"/>
      <c r="M1728" s="74"/>
      <c r="N1728" s="74"/>
      <c r="O1728" s="82">
        <f t="shared" si="78"/>
        <v>0</v>
      </c>
      <c r="P1728" s="82">
        <f t="shared" si="79"/>
        <v>0</v>
      </c>
      <c r="Q1728" s="74"/>
      <c r="R1728" s="76"/>
      <c r="S1728" s="84">
        <f t="shared" si="80"/>
        <v>0</v>
      </c>
    </row>
    <row r="1729" spans="1:19" ht="18" customHeight="1" x14ac:dyDescent="0.25">
      <c r="A1729" s="59"/>
      <c r="B1729" s="60"/>
      <c r="C1729" s="65"/>
      <c r="D1729" s="60"/>
      <c r="E1729" s="59"/>
      <c r="F1729" s="62"/>
      <c r="G1729" s="63"/>
      <c r="H1729" s="64"/>
      <c r="I1729" s="65"/>
      <c r="J1729" s="65"/>
      <c r="K1729" s="65"/>
      <c r="L1729" s="65"/>
      <c r="M1729" s="65"/>
      <c r="N1729" s="65"/>
      <c r="O1729" s="81">
        <f t="shared" si="78"/>
        <v>0</v>
      </c>
      <c r="P1729" s="81">
        <f t="shared" si="79"/>
        <v>0</v>
      </c>
      <c r="Q1729" s="65"/>
      <c r="R1729" s="67"/>
      <c r="S1729" s="83">
        <f t="shared" si="80"/>
        <v>0</v>
      </c>
    </row>
    <row r="1730" spans="1:19" ht="18" customHeight="1" x14ac:dyDescent="0.25">
      <c r="A1730" s="68"/>
      <c r="B1730" s="69"/>
      <c r="C1730" s="74"/>
      <c r="D1730" s="69"/>
      <c r="E1730" s="68"/>
      <c r="F1730" s="71"/>
      <c r="G1730" s="72"/>
      <c r="H1730" s="73"/>
      <c r="I1730" s="74"/>
      <c r="J1730" s="74"/>
      <c r="K1730" s="74"/>
      <c r="L1730" s="74"/>
      <c r="M1730" s="74"/>
      <c r="N1730" s="74"/>
      <c r="O1730" s="82">
        <f t="shared" si="78"/>
        <v>0</v>
      </c>
      <c r="P1730" s="82">
        <f t="shared" si="79"/>
        <v>0</v>
      </c>
      <c r="Q1730" s="74"/>
      <c r="R1730" s="76"/>
      <c r="S1730" s="84">
        <f t="shared" si="80"/>
        <v>0</v>
      </c>
    </row>
    <row r="1731" spans="1:19" ht="18" customHeight="1" x14ac:dyDescent="0.25">
      <c r="A1731" s="59"/>
      <c r="B1731" s="60"/>
      <c r="C1731" s="65"/>
      <c r="D1731" s="60"/>
      <c r="E1731" s="59"/>
      <c r="F1731" s="62"/>
      <c r="G1731" s="63"/>
      <c r="H1731" s="64"/>
      <c r="I1731" s="65"/>
      <c r="J1731" s="65"/>
      <c r="K1731" s="65"/>
      <c r="L1731" s="65"/>
      <c r="M1731" s="65"/>
      <c r="N1731" s="65"/>
      <c r="O1731" s="81">
        <f t="shared" si="78"/>
        <v>0</v>
      </c>
      <c r="P1731" s="81">
        <f t="shared" si="79"/>
        <v>0</v>
      </c>
      <c r="Q1731" s="65"/>
      <c r="R1731" s="67"/>
      <c r="S1731" s="83">
        <f t="shared" si="80"/>
        <v>0</v>
      </c>
    </row>
    <row r="1732" spans="1:19" ht="18" customHeight="1" x14ac:dyDescent="0.25">
      <c r="A1732" s="68"/>
      <c r="B1732" s="69"/>
      <c r="C1732" s="74"/>
      <c r="D1732" s="69"/>
      <c r="E1732" s="68"/>
      <c r="F1732" s="71"/>
      <c r="G1732" s="72"/>
      <c r="H1732" s="73"/>
      <c r="I1732" s="74"/>
      <c r="J1732" s="74"/>
      <c r="K1732" s="74"/>
      <c r="L1732" s="74"/>
      <c r="M1732" s="74"/>
      <c r="N1732" s="74"/>
      <c r="O1732" s="82">
        <f t="shared" si="78"/>
        <v>0</v>
      </c>
      <c r="P1732" s="82">
        <f t="shared" si="79"/>
        <v>0</v>
      </c>
      <c r="Q1732" s="74"/>
      <c r="R1732" s="76"/>
      <c r="S1732" s="84">
        <f t="shared" si="80"/>
        <v>0</v>
      </c>
    </row>
    <row r="1733" spans="1:19" ht="18" customHeight="1" x14ac:dyDescent="0.25">
      <c r="A1733" s="59"/>
      <c r="B1733" s="60"/>
      <c r="C1733" s="65"/>
      <c r="D1733" s="60"/>
      <c r="E1733" s="59"/>
      <c r="F1733" s="62"/>
      <c r="G1733" s="63"/>
      <c r="H1733" s="64"/>
      <c r="I1733" s="65"/>
      <c r="J1733" s="65"/>
      <c r="K1733" s="65"/>
      <c r="L1733" s="65"/>
      <c r="M1733" s="65"/>
      <c r="N1733" s="65"/>
      <c r="O1733" s="81">
        <f t="shared" si="78"/>
        <v>0</v>
      </c>
      <c r="P1733" s="81">
        <f t="shared" si="79"/>
        <v>0</v>
      </c>
      <c r="Q1733" s="65"/>
      <c r="R1733" s="67"/>
      <c r="S1733" s="83">
        <f t="shared" si="80"/>
        <v>0</v>
      </c>
    </row>
    <row r="1734" spans="1:19" ht="18" customHeight="1" x14ac:dyDescent="0.25">
      <c r="A1734" s="68"/>
      <c r="B1734" s="69"/>
      <c r="C1734" s="74"/>
      <c r="D1734" s="69"/>
      <c r="E1734" s="68"/>
      <c r="F1734" s="71"/>
      <c r="G1734" s="72"/>
      <c r="H1734" s="73"/>
      <c r="I1734" s="74"/>
      <c r="J1734" s="74"/>
      <c r="K1734" s="74"/>
      <c r="L1734" s="74"/>
      <c r="M1734" s="74"/>
      <c r="N1734" s="74"/>
      <c r="O1734" s="82" t="e">
        <f>#N/A</f>
        <v>#N/A</v>
      </c>
      <c r="P1734" s="82" t="e">
        <f>#N/A</f>
        <v>#N/A</v>
      </c>
      <c r="Q1734" s="74"/>
      <c r="R1734" s="76"/>
      <c r="S1734" s="84">
        <f t="shared" si="80"/>
        <v>0</v>
      </c>
    </row>
    <row r="1735" spans="1:19" ht="18" customHeight="1" x14ac:dyDescent="0.25">
      <c r="A1735" s="59"/>
      <c r="B1735" s="60"/>
      <c r="C1735" s="65"/>
      <c r="D1735" s="60"/>
      <c r="E1735" s="59"/>
      <c r="F1735" s="62"/>
      <c r="G1735" s="63"/>
      <c r="H1735" s="64"/>
      <c r="I1735" s="65"/>
      <c r="J1735" s="65"/>
      <c r="K1735" s="65"/>
      <c r="L1735" s="65"/>
      <c r="M1735" s="65"/>
      <c r="N1735" s="65"/>
      <c r="O1735" s="81">
        <f t="shared" ref="O1735:O1797" si="81">IF(G1735="Reimbursement ","",I1735+J1735+K1735+L1735+M1735)</f>
        <v>0</v>
      </c>
      <c r="P1735" s="81">
        <f t="shared" ref="P1735:P1797" si="82">IF(G1735="Reimbursement ","",H1735-O1735)</f>
        <v>0</v>
      </c>
      <c r="Q1735" s="65"/>
      <c r="R1735" s="67"/>
      <c r="S1735" s="83">
        <f t="shared" ref="S1735:S1798" si="83">IF(OR(R1735="",Q1735=""),0,IF(R1735&gt;Q1735,R1735-Q1735,0))</f>
        <v>0</v>
      </c>
    </row>
    <row r="1736" spans="1:19" ht="18" customHeight="1" x14ac:dyDescent="0.25">
      <c r="A1736" s="68"/>
      <c r="B1736" s="69"/>
      <c r="C1736" s="74"/>
      <c r="D1736" s="69"/>
      <c r="E1736" s="68"/>
      <c r="F1736" s="71"/>
      <c r="G1736" s="72"/>
      <c r="H1736" s="73"/>
      <c r="I1736" s="74"/>
      <c r="J1736" s="74"/>
      <c r="K1736" s="74"/>
      <c r="L1736" s="74"/>
      <c r="M1736" s="74"/>
      <c r="N1736" s="74"/>
      <c r="O1736" s="82">
        <f t="shared" si="81"/>
        <v>0</v>
      </c>
      <c r="P1736" s="82">
        <f t="shared" si="82"/>
        <v>0</v>
      </c>
      <c r="Q1736" s="74"/>
      <c r="R1736" s="76"/>
      <c r="S1736" s="84">
        <f t="shared" si="83"/>
        <v>0</v>
      </c>
    </row>
    <row r="1737" spans="1:19" ht="18" customHeight="1" x14ac:dyDescent="0.25">
      <c r="A1737" s="59"/>
      <c r="B1737" s="60"/>
      <c r="C1737" s="65"/>
      <c r="D1737" s="60"/>
      <c r="E1737" s="59"/>
      <c r="F1737" s="62"/>
      <c r="G1737" s="63"/>
      <c r="H1737" s="64"/>
      <c r="I1737" s="65"/>
      <c r="J1737" s="65"/>
      <c r="K1737" s="65"/>
      <c r="L1737" s="65"/>
      <c r="M1737" s="65"/>
      <c r="N1737" s="65"/>
      <c r="O1737" s="81">
        <f t="shared" si="81"/>
        <v>0</v>
      </c>
      <c r="P1737" s="81">
        <f t="shared" si="82"/>
        <v>0</v>
      </c>
      <c r="Q1737" s="65"/>
      <c r="R1737" s="67"/>
      <c r="S1737" s="83">
        <f t="shared" si="83"/>
        <v>0</v>
      </c>
    </row>
    <row r="1738" spans="1:19" ht="18" customHeight="1" x14ac:dyDescent="0.25">
      <c r="A1738" s="68"/>
      <c r="B1738" s="69"/>
      <c r="C1738" s="74"/>
      <c r="D1738" s="69"/>
      <c r="E1738" s="68"/>
      <c r="F1738" s="71"/>
      <c r="G1738" s="72"/>
      <c r="H1738" s="73"/>
      <c r="I1738" s="74"/>
      <c r="J1738" s="74"/>
      <c r="K1738" s="74"/>
      <c r="L1738" s="74"/>
      <c r="M1738" s="74"/>
      <c r="N1738" s="74"/>
      <c r="O1738" s="82">
        <f t="shared" si="81"/>
        <v>0</v>
      </c>
      <c r="P1738" s="82">
        <f t="shared" si="82"/>
        <v>0</v>
      </c>
      <c r="Q1738" s="74"/>
      <c r="R1738" s="76"/>
      <c r="S1738" s="84">
        <f t="shared" si="83"/>
        <v>0</v>
      </c>
    </row>
    <row r="1739" spans="1:19" ht="18" customHeight="1" x14ac:dyDescent="0.25">
      <c r="A1739" s="59"/>
      <c r="B1739" s="60"/>
      <c r="C1739" s="65"/>
      <c r="D1739" s="60"/>
      <c r="E1739" s="59"/>
      <c r="F1739" s="62"/>
      <c r="G1739" s="63"/>
      <c r="H1739" s="64"/>
      <c r="I1739" s="65"/>
      <c r="J1739" s="65"/>
      <c r="K1739" s="65"/>
      <c r="L1739" s="65"/>
      <c r="M1739" s="65"/>
      <c r="N1739" s="65"/>
      <c r="O1739" s="81">
        <f t="shared" si="81"/>
        <v>0</v>
      </c>
      <c r="P1739" s="81">
        <f t="shared" si="82"/>
        <v>0</v>
      </c>
      <c r="Q1739" s="65"/>
      <c r="R1739" s="67"/>
      <c r="S1739" s="83">
        <f t="shared" si="83"/>
        <v>0</v>
      </c>
    </row>
    <row r="1740" spans="1:19" ht="18" customHeight="1" x14ac:dyDescent="0.25">
      <c r="A1740" s="68"/>
      <c r="B1740" s="69"/>
      <c r="C1740" s="74"/>
      <c r="D1740" s="69"/>
      <c r="E1740" s="68"/>
      <c r="F1740" s="71"/>
      <c r="G1740" s="72"/>
      <c r="H1740" s="73"/>
      <c r="I1740" s="74"/>
      <c r="J1740" s="74"/>
      <c r="K1740" s="74"/>
      <c r="L1740" s="74"/>
      <c r="M1740" s="74"/>
      <c r="N1740" s="74"/>
      <c r="O1740" s="82">
        <f t="shared" si="81"/>
        <v>0</v>
      </c>
      <c r="P1740" s="82">
        <f t="shared" si="82"/>
        <v>0</v>
      </c>
      <c r="Q1740" s="74"/>
      <c r="R1740" s="76"/>
      <c r="S1740" s="84">
        <f t="shared" si="83"/>
        <v>0</v>
      </c>
    </row>
    <row r="1741" spans="1:19" ht="18" customHeight="1" x14ac:dyDescent="0.25">
      <c r="A1741" s="59"/>
      <c r="B1741" s="60"/>
      <c r="C1741" s="65"/>
      <c r="D1741" s="60"/>
      <c r="E1741" s="59"/>
      <c r="F1741" s="62"/>
      <c r="G1741" s="63"/>
      <c r="H1741" s="64"/>
      <c r="I1741" s="65"/>
      <c r="J1741" s="65"/>
      <c r="K1741" s="65"/>
      <c r="L1741" s="65"/>
      <c r="M1741" s="65"/>
      <c r="N1741" s="65"/>
      <c r="O1741" s="81">
        <f t="shared" si="81"/>
        <v>0</v>
      </c>
      <c r="P1741" s="81">
        <f t="shared" si="82"/>
        <v>0</v>
      </c>
      <c r="Q1741" s="65"/>
      <c r="R1741" s="67"/>
      <c r="S1741" s="83">
        <f t="shared" si="83"/>
        <v>0</v>
      </c>
    </row>
    <row r="1742" spans="1:19" ht="18" customHeight="1" x14ac:dyDescent="0.25">
      <c r="A1742" s="68"/>
      <c r="B1742" s="69"/>
      <c r="C1742" s="74"/>
      <c r="D1742" s="69"/>
      <c r="E1742" s="68"/>
      <c r="F1742" s="71"/>
      <c r="G1742" s="72"/>
      <c r="H1742" s="73"/>
      <c r="I1742" s="74"/>
      <c r="J1742" s="74"/>
      <c r="K1742" s="74"/>
      <c r="L1742" s="74"/>
      <c r="M1742" s="74"/>
      <c r="N1742" s="74"/>
      <c r="O1742" s="82">
        <f t="shared" si="81"/>
        <v>0</v>
      </c>
      <c r="P1742" s="82">
        <f t="shared" si="82"/>
        <v>0</v>
      </c>
      <c r="Q1742" s="74"/>
      <c r="R1742" s="76"/>
      <c r="S1742" s="84">
        <f t="shared" si="83"/>
        <v>0</v>
      </c>
    </row>
    <row r="1743" spans="1:19" ht="18" customHeight="1" x14ac:dyDescent="0.25">
      <c r="A1743" s="59"/>
      <c r="B1743" s="60"/>
      <c r="C1743" s="65"/>
      <c r="D1743" s="60"/>
      <c r="E1743" s="59"/>
      <c r="F1743" s="62"/>
      <c r="G1743" s="63"/>
      <c r="H1743" s="64"/>
      <c r="I1743" s="65"/>
      <c r="J1743" s="65"/>
      <c r="K1743" s="65"/>
      <c r="L1743" s="65"/>
      <c r="M1743" s="65"/>
      <c r="N1743" s="65"/>
      <c r="O1743" s="81">
        <f t="shared" si="81"/>
        <v>0</v>
      </c>
      <c r="P1743" s="81">
        <f t="shared" si="82"/>
        <v>0</v>
      </c>
      <c r="Q1743" s="65"/>
      <c r="R1743" s="67"/>
      <c r="S1743" s="83">
        <f t="shared" si="83"/>
        <v>0</v>
      </c>
    </row>
    <row r="1744" spans="1:19" ht="18" customHeight="1" x14ac:dyDescent="0.25">
      <c r="A1744" s="68"/>
      <c r="B1744" s="69"/>
      <c r="C1744" s="74"/>
      <c r="D1744" s="69"/>
      <c r="E1744" s="68"/>
      <c r="F1744" s="71"/>
      <c r="G1744" s="72"/>
      <c r="H1744" s="73"/>
      <c r="I1744" s="74"/>
      <c r="J1744" s="74"/>
      <c r="K1744" s="74"/>
      <c r="L1744" s="74"/>
      <c r="M1744" s="74"/>
      <c r="N1744" s="74"/>
      <c r="O1744" s="82">
        <f t="shared" si="81"/>
        <v>0</v>
      </c>
      <c r="P1744" s="82">
        <f t="shared" si="82"/>
        <v>0</v>
      </c>
      <c r="Q1744" s="74"/>
      <c r="R1744" s="76"/>
      <c r="S1744" s="84">
        <f t="shared" si="83"/>
        <v>0</v>
      </c>
    </row>
    <row r="1745" spans="1:19" ht="18" customHeight="1" x14ac:dyDescent="0.25">
      <c r="A1745" s="59"/>
      <c r="B1745" s="60"/>
      <c r="C1745" s="65"/>
      <c r="D1745" s="60"/>
      <c r="E1745" s="59"/>
      <c r="F1745" s="62"/>
      <c r="G1745" s="63"/>
      <c r="H1745" s="64"/>
      <c r="I1745" s="65"/>
      <c r="J1745" s="65"/>
      <c r="K1745" s="65"/>
      <c r="L1745" s="65"/>
      <c r="M1745" s="65"/>
      <c r="N1745" s="65"/>
      <c r="O1745" s="81">
        <f t="shared" si="81"/>
        <v>0</v>
      </c>
      <c r="P1745" s="81">
        <f t="shared" si="82"/>
        <v>0</v>
      </c>
      <c r="Q1745" s="65"/>
      <c r="R1745" s="67"/>
      <c r="S1745" s="83">
        <f t="shared" si="83"/>
        <v>0</v>
      </c>
    </row>
    <row r="1746" spans="1:19" ht="18" customHeight="1" x14ac:dyDescent="0.25">
      <c r="A1746" s="68"/>
      <c r="B1746" s="69"/>
      <c r="C1746" s="74"/>
      <c r="D1746" s="69"/>
      <c r="E1746" s="68"/>
      <c r="F1746" s="71"/>
      <c r="G1746" s="72"/>
      <c r="H1746" s="73"/>
      <c r="I1746" s="74"/>
      <c r="J1746" s="74"/>
      <c r="K1746" s="74"/>
      <c r="L1746" s="74"/>
      <c r="M1746" s="74"/>
      <c r="N1746" s="74"/>
      <c r="O1746" s="82">
        <f t="shared" si="81"/>
        <v>0</v>
      </c>
      <c r="P1746" s="82">
        <f t="shared" si="82"/>
        <v>0</v>
      </c>
      <c r="Q1746" s="74"/>
      <c r="R1746" s="76"/>
      <c r="S1746" s="84">
        <f t="shared" si="83"/>
        <v>0</v>
      </c>
    </row>
    <row r="1747" spans="1:19" ht="18" customHeight="1" x14ac:dyDescent="0.25">
      <c r="A1747" s="59"/>
      <c r="B1747" s="60"/>
      <c r="C1747" s="65"/>
      <c r="D1747" s="60"/>
      <c r="E1747" s="59"/>
      <c r="F1747" s="62"/>
      <c r="G1747" s="63"/>
      <c r="H1747" s="64"/>
      <c r="I1747" s="65"/>
      <c r="J1747" s="65"/>
      <c r="K1747" s="65"/>
      <c r="L1747" s="65"/>
      <c r="M1747" s="65"/>
      <c r="N1747" s="65"/>
      <c r="O1747" s="81">
        <f t="shared" si="81"/>
        <v>0</v>
      </c>
      <c r="P1747" s="81">
        <f t="shared" si="82"/>
        <v>0</v>
      </c>
      <c r="Q1747" s="65"/>
      <c r="R1747" s="67"/>
      <c r="S1747" s="83">
        <f t="shared" si="83"/>
        <v>0</v>
      </c>
    </row>
    <row r="1748" spans="1:19" ht="18" customHeight="1" x14ac:dyDescent="0.25">
      <c r="A1748" s="68"/>
      <c r="B1748" s="69"/>
      <c r="C1748" s="74"/>
      <c r="D1748" s="69"/>
      <c r="E1748" s="68"/>
      <c r="F1748" s="71"/>
      <c r="G1748" s="72"/>
      <c r="H1748" s="73"/>
      <c r="I1748" s="74"/>
      <c r="J1748" s="74"/>
      <c r="K1748" s="74"/>
      <c r="L1748" s="74"/>
      <c r="M1748" s="74"/>
      <c r="N1748" s="74"/>
      <c r="O1748" s="82">
        <f t="shared" si="81"/>
        <v>0</v>
      </c>
      <c r="P1748" s="82">
        <f t="shared" si="82"/>
        <v>0</v>
      </c>
      <c r="Q1748" s="74"/>
      <c r="R1748" s="76"/>
      <c r="S1748" s="84">
        <f t="shared" si="83"/>
        <v>0</v>
      </c>
    </row>
    <row r="1749" spans="1:19" ht="18" customHeight="1" x14ac:dyDescent="0.25">
      <c r="A1749" s="59"/>
      <c r="B1749" s="60"/>
      <c r="C1749" s="65"/>
      <c r="D1749" s="60"/>
      <c r="E1749" s="59"/>
      <c r="F1749" s="62"/>
      <c r="G1749" s="63"/>
      <c r="H1749" s="64"/>
      <c r="I1749" s="65"/>
      <c r="J1749" s="65"/>
      <c r="K1749" s="65"/>
      <c r="L1749" s="65"/>
      <c r="M1749" s="65"/>
      <c r="N1749" s="65"/>
      <c r="O1749" s="81">
        <f t="shared" si="81"/>
        <v>0</v>
      </c>
      <c r="P1749" s="81">
        <f t="shared" si="82"/>
        <v>0</v>
      </c>
      <c r="Q1749" s="65"/>
      <c r="R1749" s="67"/>
      <c r="S1749" s="83">
        <f t="shared" si="83"/>
        <v>0</v>
      </c>
    </row>
    <row r="1750" spans="1:19" ht="18" customHeight="1" x14ac:dyDescent="0.25">
      <c r="A1750" s="68"/>
      <c r="B1750" s="69"/>
      <c r="C1750" s="74"/>
      <c r="D1750" s="69"/>
      <c r="E1750" s="68"/>
      <c r="F1750" s="71"/>
      <c r="G1750" s="72"/>
      <c r="H1750" s="73"/>
      <c r="I1750" s="74"/>
      <c r="J1750" s="74"/>
      <c r="K1750" s="74"/>
      <c r="L1750" s="74"/>
      <c r="M1750" s="74"/>
      <c r="N1750" s="74"/>
      <c r="O1750" s="82">
        <f t="shared" si="81"/>
        <v>0</v>
      </c>
      <c r="P1750" s="82">
        <f t="shared" si="82"/>
        <v>0</v>
      </c>
      <c r="Q1750" s="74"/>
      <c r="R1750" s="76"/>
      <c r="S1750" s="84">
        <f t="shared" si="83"/>
        <v>0</v>
      </c>
    </row>
    <row r="1751" spans="1:19" ht="18" customHeight="1" x14ac:dyDescent="0.25">
      <c r="A1751" s="59"/>
      <c r="B1751" s="60"/>
      <c r="C1751" s="65"/>
      <c r="D1751" s="60"/>
      <c r="E1751" s="59"/>
      <c r="F1751" s="62"/>
      <c r="G1751" s="63"/>
      <c r="H1751" s="64"/>
      <c r="I1751" s="65"/>
      <c r="J1751" s="65"/>
      <c r="K1751" s="65"/>
      <c r="L1751" s="65"/>
      <c r="M1751" s="65"/>
      <c r="N1751" s="65"/>
      <c r="O1751" s="81">
        <f t="shared" si="81"/>
        <v>0</v>
      </c>
      <c r="P1751" s="81">
        <f t="shared" si="82"/>
        <v>0</v>
      </c>
      <c r="Q1751" s="65"/>
      <c r="R1751" s="67"/>
      <c r="S1751" s="83">
        <f t="shared" si="83"/>
        <v>0</v>
      </c>
    </row>
    <row r="1752" spans="1:19" ht="18" customHeight="1" x14ac:dyDescent="0.25">
      <c r="A1752" s="68"/>
      <c r="B1752" s="69"/>
      <c r="C1752" s="74"/>
      <c r="D1752" s="69"/>
      <c r="E1752" s="68"/>
      <c r="F1752" s="71"/>
      <c r="G1752" s="72"/>
      <c r="H1752" s="73"/>
      <c r="I1752" s="74"/>
      <c r="J1752" s="74"/>
      <c r="K1752" s="74"/>
      <c r="L1752" s="74"/>
      <c r="M1752" s="74"/>
      <c r="N1752" s="74"/>
      <c r="O1752" s="82">
        <f t="shared" si="81"/>
        <v>0</v>
      </c>
      <c r="P1752" s="82">
        <f t="shared" si="82"/>
        <v>0</v>
      </c>
      <c r="Q1752" s="74"/>
      <c r="R1752" s="76"/>
      <c r="S1752" s="84">
        <f t="shared" si="83"/>
        <v>0</v>
      </c>
    </row>
    <row r="1753" spans="1:19" ht="18" customHeight="1" x14ac:dyDescent="0.25">
      <c r="A1753" s="59"/>
      <c r="B1753" s="60"/>
      <c r="C1753" s="65"/>
      <c r="D1753" s="60"/>
      <c r="E1753" s="59"/>
      <c r="F1753" s="62"/>
      <c r="G1753" s="63"/>
      <c r="H1753" s="64"/>
      <c r="I1753" s="65"/>
      <c r="J1753" s="65"/>
      <c r="K1753" s="65"/>
      <c r="L1753" s="65"/>
      <c r="M1753" s="65"/>
      <c r="N1753" s="65"/>
      <c r="O1753" s="81">
        <f t="shared" si="81"/>
        <v>0</v>
      </c>
      <c r="P1753" s="81">
        <f t="shared" si="82"/>
        <v>0</v>
      </c>
      <c r="Q1753" s="65"/>
      <c r="R1753" s="67"/>
      <c r="S1753" s="83">
        <f t="shared" si="83"/>
        <v>0</v>
      </c>
    </row>
    <row r="1754" spans="1:19" ht="18" customHeight="1" x14ac:dyDescent="0.25">
      <c r="A1754" s="68"/>
      <c r="B1754" s="69"/>
      <c r="C1754" s="74"/>
      <c r="D1754" s="69"/>
      <c r="E1754" s="68"/>
      <c r="F1754" s="71"/>
      <c r="G1754" s="72"/>
      <c r="H1754" s="73"/>
      <c r="I1754" s="74"/>
      <c r="J1754" s="74"/>
      <c r="K1754" s="74"/>
      <c r="L1754" s="74"/>
      <c r="M1754" s="74"/>
      <c r="N1754" s="74"/>
      <c r="O1754" s="82">
        <f t="shared" si="81"/>
        <v>0</v>
      </c>
      <c r="P1754" s="82">
        <f t="shared" si="82"/>
        <v>0</v>
      </c>
      <c r="Q1754" s="74"/>
      <c r="R1754" s="76"/>
      <c r="S1754" s="84">
        <f t="shared" si="83"/>
        <v>0</v>
      </c>
    </row>
    <row r="1755" spans="1:19" ht="18" customHeight="1" x14ac:dyDescent="0.25">
      <c r="A1755" s="59"/>
      <c r="B1755" s="60"/>
      <c r="C1755" s="65"/>
      <c r="D1755" s="60"/>
      <c r="E1755" s="59"/>
      <c r="F1755" s="62"/>
      <c r="G1755" s="63"/>
      <c r="H1755" s="64"/>
      <c r="I1755" s="65"/>
      <c r="J1755" s="65"/>
      <c r="K1755" s="65"/>
      <c r="L1755" s="65"/>
      <c r="M1755" s="65"/>
      <c r="N1755" s="65"/>
      <c r="O1755" s="81">
        <f t="shared" si="81"/>
        <v>0</v>
      </c>
      <c r="P1755" s="81">
        <f t="shared" si="82"/>
        <v>0</v>
      </c>
      <c r="Q1755" s="65"/>
      <c r="R1755" s="67"/>
      <c r="S1755" s="83">
        <f t="shared" si="83"/>
        <v>0</v>
      </c>
    </row>
    <row r="1756" spans="1:19" ht="18" customHeight="1" x14ac:dyDescent="0.25">
      <c r="A1756" s="68"/>
      <c r="B1756" s="69"/>
      <c r="C1756" s="74"/>
      <c r="D1756" s="69"/>
      <c r="E1756" s="68"/>
      <c r="F1756" s="71"/>
      <c r="G1756" s="72"/>
      <c r="H1756" s="73"/>
      <c r="I1756" s="74"/>
      <c r="J1756" s="74"/>
      <c r="K1756" s="74"/>
      <c r="L1756" s="74"/>
      <c r="M1756" s="74"/>
      <c r="N1756" s="74"/>
      <c r="O1756" s="82">
        <f t="shared" si="81"/>
        <v>0</v>
      </c>
      <c r="P1756" s="82">
        <f t="shared" si="82"/>
        <v>0</v>
      </c>
      <c r="Q1756" s="74"/>
      <c r="R1756" s="76"/>
      <c r="S1756" s="84">
        <f t="shared" si="83"/>
        <v>0</v>
      </c>
    </row>
    <row r="1757" spans="1:19" ht="18" customHeight="1" x14ac:dyDescent="0.25">
      <c r="A1757" s="59"/>
      <c r="B1757" s="60"/>
      <c r="C1757" s="65"/>
      <c r="D1757" s="60"/>
      <c r="E1757" s="59"/>
      <c r="F1757" s="62"/>
      <c r="G1757" s="63"/>
      <c r="H1757" s="64"/>
      <c r="I1757" s="65"/>
      <c r="J1757" s="65"/>
      <c r="K1757" s="65"/>
      <c r="L1757" s="65"/>
      <c r="M1757" s="65"/>
      <c r="N1757" s="65"/>
      <c r="O1757" s="81">
        <f t="shared" si="81"/>
        <v>0</v>
      </c>
      <c r="P1757" s="81">
        <f t="shared" si="82"/>
        <v>0</v>
      </c>
      <c r="Q1757" s="65"/>
      <c r="R1757" s="67"/>
      <c r="S1757" s="83">
        <f t="shared" si="83"/>
        <v>0</v>
      </c>
    </row>
    <row r="1758" spans="1:19" ht="18" customHeight="1" x14ac:dyDescent="0.25">
      <c r="A1758" s="68"/>
      <c r="B1758" s="69"/>
      <c r="C1758" s="74"/>
      <c r="D1758" s="69"/>
      <c r="E1758" s="68"/>
      <c r="F1758" s="71"/>
      <c r="G1758" s="72"/>
      <c r="H1758" s="73"/>
      <c r="I1758" s="74"/>
      <c r="J1758" s="74"/>
      <c r="K1758" s="74"/>
      <c r="L1758" s="74"/>
      <c r="M1758" s="74"/>
      <c r="N1758" s="74"/>
      <c r="O1758" s="82">
        <f t="shared" si="81"/>
        <v>0</v>
      </c>
      <c r="P1758" s="82">
        <f t="shared" si="82"/>
        <v>0</v>
      </c>
      <c r="Q1758" s="74"/>
      <c r="R1758" s="76"/>
      <c r="S1758" s="84">
        <f t="shared" si="83"/>
        <v>0</v>
      </c>
    </row>
    <row r="1759" spans="1:19" ht="18" customHeight="1" x14ac:dyDescent="0.25">
      <c r="A1759" s="59"/>
      <c r="B1759" s="60"/>
      <c r="C1759" s="65"/>
      <c r="D1759" s="60"/>
      <c r="E1759" s="59"/>
      <c r="F1759" s="62"/>
      <c r="G1759" s="63"/>
      <c r="H1759" s="64"/>
      <c r="I1759" s="65"/>
      <c r="J1759" s="65"/>
      <c r="K1759" s="65"/>
      <c r="L1759" s="65"/>
      <c r="M1759" s="65"/>
      <c r="N1759" s="65"/>
      <c r="O1759" s="81">
        <f t="shared" si="81"/>
        <v>0</v>
      </c>
      <c r="P1759" s="81">
        <f t="shared" si="82"/>
        <v>0</v>
      </c>
      <c r="Q1759" s="65"/>
      <c r="R1759" s="67"/>
      <c r="S1759" s="83">
        <f t="shared" si="83"/>
        <v>0</v>
      </c>
    </row>
    <row r="1760" spans="1:19" ht="18" customHeight="1" x14ac:dyDescent="0.25">
      <c r="A1760" s="68"/>
      <c r="B1760" s="69"/>
      <c r="C1760" s="74"/>
      <c r="D1760" s="69"/>
      <c r="E1760" s="68"/>
      <c r="F1760" s="71"/>
      <c r="G1760" s="72"/>
      <c r="H1760" s="73"/>
      <c r="I1760" s="74"/>
      <c r="J1760" s="74"/>
      <c r="K1760" s="74"/>
      <c r="L1760" s="74"/>
      <c r="M1760" s="74"/>
      <c r="N1760" s="74"/>
      <c r="O1760" s="82">
        <f t="shared" si="81"/>
        <v>0</v>
      </c>
      <c r="P1760" s="82">
        <f t="shared" si="82"/>
        <v>0</v>
      </c>
      <c r="Q1760" s="74"/>
      <c r="R1760" s="76"/>
      <c r="S1760" s="84">
        <f t="shared" si="83"/>
        <v>0</v>
      </c>
    </row>
    <row r="1761" spans="1:19" ht="18" customHeight="1" x14ac:dyDescent="0.25">
      <c r="A1761" s="59"/>
      <c r="B1761" s="60"/>
      <c r="C1761" s="65"/>
      <c r="D1761" s="60"/>
      <c r="E1761" s="59"/>
      <c r="F1761" s="62"/>
      <c r="G1761" s="63"/>
      <c r="H1761" s="64"/>
      <c r="I1761" s="65"/>
      <c r="J1761" s="65"/>
      <c r="K1761" s="65"/>
      <c r="L1761" s="65"/>
      <c r="M1761" s="65"/>
      <c r="N1761" s="65"/>
      <c r="O1761" s="81">
        <f t="shared" si="81"/>
        <v>0</v>
      </c>
      <c r="P1761" s="81">
        <f t="shared" si="82"/>
        <v>0</v>
      </c>
      <c r="Q1761" s="65"/>
      <c r="R1761" s="67"/>
      <c r="S1761" s="83">
        <f t="shared" si="83"/>
        <v>0</v>
      </c>
    </row>
    <row r="1762" spans="1:19" ht="18" customHeight="1" x14ac:dyDescent="0.25">
      <c r="A1762" s="68"/>
      <c r="B1762" s="69"/>
      <c r="C1762" s="74"/>
      <c r="D1762" s="69"/>
      <c r="E1762" s="68"/>
      <c r="F1762" s="71"/>
      <c r="G1762" s="72"/>
      <c r="H1762" s="73"/>
      <c r="I1762" s="74"/>
      <c r="J1762" s="74"/>
      <c r="K1762" s="74"/>
      <c r="L1762" s="74"/>
      <c r="M1762" s="74"/>
      <c r="N1762" s="74"/>
      <c r="O1762" s="82">
        <f t="shared" si="81"/>
        <v>0</v>
      </c>
      <c r="P1762" s="82">
        <f t="shared" si="82"/>
        <v>0</v>
      </c>
      <c r="Q1762" s="74"/>
      <c r="R1762" s="76"/>
      <c r="S1762" s="84">
        <f t="shared" si="83"/>
        <v>0</v>
      </c>
    </row>
    <row r="1763" spans="1:19" ht="18" customHeight="1" x14ac:dyDescent="0.25">
      <c r="A1763" s="59"/>
      <c r="B1763" s="60"/>
      <c r="C1763" s="65"/>
      <c r="D1763" s="60"/>
      <c r="E1763" s="59"/>
      <c r="F1763" s="62"/>
      <c r="G1763" s="63"/>
      <c r="H1763" s="64"/>
      <c r="I1763" s="65"/>
      <c r="J1763" s="65"/>
      <c r="K1763" s="65"/>
      <c r="L1763" s="65"/>
      <c r="M1763" s="65"/>
      <c r="N1763" s="65"/>
      <c r="O1763" s="81">
        <f t="shared" si="81"/>
        <v>0</v>
      </c>
      <c r="P1763" s="81">
        <f t="shared" si="82"/>
        <v>0</v>
      </c>
      <c r="Q1763" s="65"/>
      <c r="R1763" s="67"/>
      <c r="S1763" s="83">
        <f t="shared" si="83"/>
        <v>0</v>
      </c>
    </row>
    <row r="1764" spans="1:19" ht="18" customHeight="1" x14ac:dyDescent="0.25">
      <c r="A1764" s="68"/>
      <c r="B1764" s="69"/>
      <c r="C1764" s="74"/>
      <c r="D1764" s="69"/>
      <c r="E1764" s="68"/>
      <c r="F1764" s="71"/>
      <c r="G1764" s="72"/>
      <c r="H1764" s="73"/>
      <c r="I1764" s="74"/>
      <c r="J1764" s="74"/>
      <c r="K1764" s="74"/>
      <c r="L1764" s="74"/>
      <c r="M1764" s="74"/>
      <c r="N1764" s="74"/>
      <c r="O1764" s="82">
        <f t="shared" si="81"/>
        <v>0</v>
      </c>
      <c r="P1764" s="82">
        <f t="shared" si="82"/>
        <v>0</v>
      </c>
      <c r="Q1764" s="74"/>
      <c r="R1764" s="76"/>
      <c r="S1764" s="84">
        <f t="shared" si="83"/>
        <v>0</v>
      </c>
    </row>
    <row r="1765" spans="1:19" ht="18" customHeight="1" x14ac:dyDescent="0.25">
      <c r="A1765" s="59"/>
      <c r="B1765" s="60"/>
      <c r="C1765" s="65"/>
      <c r="D1765" s="60"/>
      <c r="E1765" s="59"/>
      <c r="F1765" s="62"/>
      <c r="G1765" s="63"/>
      <c r="H1765" s="64"/>
      <c r="I1765" s="65"/>
      <c r="J1765" s="65"/>
      <c r="K1765" s="65"/>
      <c r="L1765" s="65"/>
      <c r="M1765" s="65"/>
      <c r="N1765" s="65"/>
      <c r="O1765" s="81">
        <f t="shared" si="81"/>
        <v>0</v>
      </c>
      <c r="P1765" s="81">
        <f t="shared" si="82"/>
        <v>0</v>
      </c>
      <c r="Q1765" s="65"/>
      <c r="R1765" s="67"/>
      <c r="S1765" s="83">
        <f t="shared" si="83"/>
        <v>0</v>
      </c>
    </row>
    <row r="1766" spans="1:19" ht="18" customHeight="1" x14ac:dyDescent="0.25">
      <c r="A1766" s="68"/>
      <c r="B1766" s="69"/>
      <c r="C1766" s="74"/>
      <c r="D1766" s="69"/>
      <c r="E1766" s="68"/>
      <c r="F1766" s="71"/>
      <c r="G1766" s="72"/>
      <c r="H1766" s="73"/>
      <c r="I1766" s="74"/>
      <c r="J1766" s="74"/>
      <c r="K1766" s="74"/>
      <c r="L1766" s="74"/>
      <c r="M1766" s="74"/>
      <c r="N1766" s="74"/>
      <c r="O1766" s="82">
        <f t="shared" si="81"/>
        <v>0</v>
      </c>
      <c r="P1766" s="82">
        <f t="shared" si="82"/>
        <v>0</v>
      </c>
      <c r="Q1766" s="74"/>
      <c r="R1766" s="76"/>
      <c r="S1766" s="84">
        <f t="shared" si="83"/>
        <v>0</v>
      </c>
    </row>
    <row r="1767" spans="1:19" ht="18" customHeight="1" x14ac:dyDescent="0.25">
      <c r="A1767" s="59"/>
      <c r="B1767" s="60"/>
      <c r="C1767" s="65"/>
      <c r="D1767" s="60"/>
      <c r="E1767" s="59"/>
      <c r="F1767" s="62"/>
      <c r="G1767" s="63"/>
      <c r="H1767" s="64"/>
      <c r="I1767" s="65"/>
      <c r="J1767" s="65"/>
      <c r="K1767" s="65"/>
      <c r="L1767" s="65"/>
      <c r="M1767" s="65"/>
      <c r="N1767" s="65"/>
      <c r="O1767" s="81">
        <f t="shared" si="81"/>
        <v>0</v>
      </c>
      <c r="P1767" s="81">
        <f t="shared" si="82"/>
        <v>0</v>
      </c>
      <c r="Q1767" s="65"/>
      <c r="R1767" s="67"/>
      <c r="S1767" s="83">
        <f t="shared" si="83"/>
        <v>0</v>
      </c>
    </row>
    <row r="1768" spans="1:19" ht="18" customHeight="1" x14ac:dyDescent="0.25">
      <c r="A1768" s="68"/>
      <c r="B1768" s="69"/>
      <c r="C1768" s="74"/>
      <c r="D1768" s="69"/>
      <c r="E1768" s="68"/>
      <c r="F1768" s="71"/>
      <c r="G1768" s="72"/>
      <c r="H1768" s="73"/>
      <c r="I1768" s="74"/>
      <c r="J1768" s="74"/>
      <c r="K1768" s="74"/>
      <c r="L1768" s="74"/>
      <c r="M1768" s="74"/>
      <c r="N1768" s="74"/>
      <c r="O1768" s="82">
        <f t="shared" si="81"/>
        <v>0</v>
      </c>
      <c r="P1768" s="82">
        <f t="shared" si="82"/>
        <v>0</v>
      </c>
      <c r="Q1768" s="74"/>
      <c r="R1768" s="76"/>
      <c r="S1768" s="84">
        <f t="shared" si="83"/>
        <v>0</v>
      </c>
    </row>
    <row r="1769" spans="1:19" ht="18" customHeight="1" x14ac:dyDescent="0.25">
      <c r="A1769" s="59"/>
      <c r="B1769" s="60"/>
      <c r="C1769" s="65"/>
      <c r="D1769" s="60"/>
      <c r="E1769" s="59"/>
      <c r="F1769" s="62"/>
      <c r="G1769" s="63"/>
      <c r="H1769" s="64"/>
      <c r="I1769" s="65"/>
      <c r="J1769" s="65"/>
      <c r="K1769" s="65"/>
      <c r="L1769" s="65"/>
      <c r="M1769" s="65"/>
      <c r="N1769" s="65"/>
      <c r="O1769" s="81">
        <f t="shared" si="81"/>
        <v>0</v>
      </c>
      <c r="P1769" s="81">
        <f t="shared" si="82"/>
        <v>0</v>
      </c>
      <c r="Q1769" s="65"/>
      <c r="R1769" s="67"/>
      <c r="S1769" s="83">
        <f t="shared" si="83"/>
        <v>0</v>
      </c>
    </row>
    <row r="1770" spans="1:19" ht="18" customHeight="1" x14ac:dyDescent="0.25">
      <c r="A1770" s="68"/>
      <c r="B1770" s="69"/>
      <c r="C1770" s="74"/>
      <c r="D1770" s="69"/>
      <c r="E1770" s="68"/>
      <c r="F1770" s="71"/>
      <c r="G1770" s="72"/>
      <c r="H1770" s="73"/>
      <c r="I1770" s="74"/>
      <c r="J1770" s="74"/>
      <c r="K1770" s="74"/>
      <c r="L1770" s="74"/>
      <c r="M1770" s="74"/>
      <c r="N1770" s="74"/>
      <c r="O1770" s="82">
        <f t="shared" si="81"/>
        <v>0</v>
      </c>
      <c r="P1770" s="82">
        <f t="shared" si="82"/>
        <v>0</v>
      </c>
      <c r="Q1770" s="74"/>
      <c r="R1770" s="76"/>
      <c r="S1770" s="84">
        <f t="shared" si="83"/>
        <v>0</v>
      </c>
    </row>
    <row r="1771" spans="1:19" ht="18" customHeight="1" x14ac:dyDescent="0.25">
      <c r="A1771" s="59"/>
      <c r="B1771" s="60"/>
      <c r="C1771" s="65"/>
      <c r="D1771" s="60"/>
      <c r="E1771" s="59"/>
      <c r="F1771" s="62"/>
      <c r="G1771" s="63"/>
      <c r="H1771" s="64"/>
      <c r="I1771" s="65"/>
      <c r="J1771" s="65"/>
      <c r="K1771" s="65"/>
      <c r="L1771" s="65"/>
      <c r="M1771" s="65"/>
      <c r="N1771" s="65"/>
      <c r="O1771" s="81">
        <f t="shared" si="81"/>
        <v>0</v>
      </c>
      <c r="P1771" s="81">
        <f t="shared" si="82"/>
        <v>0</v>
      </c>
      <c r="Q1771" s="65"/>
      <c r="R1771" s="67"/>
      <c r="S1771" s="83">
        <f t="shared" si="83"/>
        <v>0</v>
      </c>
    </row>
    <row r="1772" spans="1:19" ht="18" customHeight="1" x14ac:dyDescent="0.25">
      <c r="A1772" s="68"/>
      <c r="B1772" s="69"/>
      <c r="C1772" s="74"/>
      <c r="D1772" s="69"/>
      <c r="E1772" s="68"/>
      <c r="F1772" s="71"/>
      <c r="G1772" s="72"/>
      <c r="H1772" s="73"/>
      <c r="I1772" s="74"/>
      <c r="J1772" s="74"/>
      <c r="K1772" s="74"/>
      <c r="L1772" s="74"/>
      <c r="M1772" s="74"/>
      <c r="N1772" s="74"/>
      <c r="O1772" s="82">
        <f t="shared" si="81"/>
        <v>0</v>
      </c>
      <c r="P1772" s="82">
        <f t="shared" si="82"/>
        <v>0</v>
      </c>
      <c r="Q1772" s="74"/>
      <c r="R1772" s="76"/>
      <c r="S1772" s="84">
        <f t="shared" si="83"/>
        <v>0</v>
      </c>
    </row>
    <row r="1773" spans="1:19" ht="18" customHeight="1" x14ac:dyDescent="0.25">
      <c r="A1773" s="59"/>
      <c r="B1773" s="60"/>
      <c r="C1773" s="65"/>
      <c r="D1773" s="60"/>
      <c r="E1773" s="59"/>
      <c r="F1773" s="62"/>
      <c r="G1773" s="63"/>
      <c r="H1773" s="64"/>
      <c r="I1773" s="65"/>
      <c r="J1773" s="65"/>
      <c r="K1773" s="65"/>
      <c r="L1773" s="65"/>
      <c r="M1773" s="65"/>
      <c r="N1773" s="65"/>
      <c r="O1773" s="81">
        <f t="shared" si="81"/>
        <v>0</v>
      </c>
      <c r="P1773" s="81">
        <f t="shared" si="82"/>
        <v>0</v>
      </c>
      <c r="Q1773" s="65"/>
      <c r="R1773" s="67"/>
      <c r="S1773" s="83">
        <f t="shared" si="83"/>
        <v>0</v>
      </c>
    </row>
    <row r="1774" spans="1:19" ht="18" customHeight="1" x14ac:dyDescent="0.25">
      <c r="A1774" s="68"/>
      <c r="B1774" s="69"/>
      <c r="C1774" s="74"/>
      <c r="D1774" s="69"/>
      <c r="E1774" s="68"/>
      <c r="F1774" s="71"/>
      <c r="G1774" s="72"/>
      <c r="H1774" s="73"/>
      <c r="I1774" s="74"/>
      <c r="J1774" s="74"/>
      <c r="K1774" s="74"/>
      <c r="L1774" s="74"/>
      <c r="M1774" s="74"/>
      <c r="N1774" s="74"/>
      <c r="O1774" s="82">
        <f t="shared" si="81"/>
        <v>0</v>
      </c>
      <c r="P1774" s="82">
        <f t="shared" si="82"/>
        <v>0</v>
      </c>
      <c r="Q1774" s="74"/>
      <c r="R1774" s="76"/>
      <c r="S1774" s="84">
        <f t="shared" si="83"/>
        <v>0</v>
      </c>
    </row>
    <row r="1775" spans="1:19" ht="18" customHeight="1" x14ac:dyDescent="0.25">
      <c r="A1775" s="59"/>
      <c r="B1775" s="60"/>
      <c r="C1775" s="65"/>
      <c r="D1775" s="60"/>
      <c r="E1775" s="59"/>
      <c r="F1775" s="62"/>
      <c r="G1775" s="63"/>
      <c r="H1775" s="64"/>
      <c r="I1775" s="65"/>
      <c r="J1775" s="65"/>
      <c r="K1775" s="65"/>
      <c r="L1775" s="65"/>
      <c r="M1775" s="65"/>
      <c r="N1775" s="65"/>
      <c r="O1775" s="81">
        <f t="shared" si="81"/>
        <v>0</v>
      </c>
      <c r="P1775" s="81">
        <f t="shared" si="82"/>
        <v>0</v>
      </c>
      <c r="Q1775" s="65"/>
      <c r="R1775" s="67"/>
      <c r="S1775" s="83">
        <f t="shared" si="83"/>
        <v>0</v>
      </c>
    </row>
    <row r="1776" spans="1:19" ht="18" customHeight="1" x14ac:dyDescent="0.25">
      <c r="A1776" s="68"/>
      <c r="B1776" s="69"/>
      <c r="C1776" s="74"/>
      <c r="D1776" s="69"/>
      <c r="E1776" s="68"/>
      <c r="F1776" s="71"/>
      <c r="G1776" s="72"/>
      <c r="H1776" s="73"/>
      <c r="I1776" s="74"/>
      <c r="J1776" s="74"/>
      <c r="K1776" s="74"/>
      <c r="L1776" s="74"/>
      <c r="M1776" s="74"/>
      <c r="N1776" s="74"/>
      <c r="O1776" s="82">
        <f t="shared" si="81"/>
        <v>0</v>
      </c>
      <c r="P1776" s="82">
        <f t="shared" si="82"/>
        <v>0</v>
      </c>
      <c r="Q1776" s="74"/>
      <c r="R1776" s="76"/>
      <c r="S1776" s="84">
        <f t="shared" si="83"/>
        <v>0</v>
      </c>
    </row>
    <row r="1777" spans="1:19" ht="18" customHeight="1" x14ac:dyDescent="0.25">
      <c r="A1777" s="59"/>
      <c r="B1777" s="60"/>
      <c r="C1777" s="65"/>
      <c r="D1777" s="60"/>
      <c r="E1777" s="59"/>
      <c r="F1777" s="62"/>
      <c r="G1777" s="63"/>
      <c r="H1777" s="64"/>
      <c r="I1777" s="65"/>
      <c r="J1777" s="65"/>
      <c r="K1777" s="65"/>
      <c r="L1777" s="65"/>
      <c r="M1777" s="65"/>
      <c r="N1777" s="65"/>
      <c r="O1777" s="81">
        <f t="shared" si="81"/>
        <v>0</v>
      </c>
      <c r="P1777" s="81">
        <f t="shared" si="82"/>
        <v>0</v>
      </c>
      <c r="Q1777" s="65"/>
      <c r="R1777" s="67"/>
      <c r="S1777" s="83">
        <f t="shared" si="83"/>
        <v>0</v>
      </c>
    </row>
    <row r="1778" spans="1:19" ht="18" customHeight="1" x14ac:dyDescent="0.25">
      <c r="A1778" s="68"/>
      <c r="B1778" s="69"/>
      <c r="C1778" s="74"/>
      <c r="D1778" s="69"/>
      <c r="E1778" s="68"/>
      <c r="F1778" s="71"/>
      <c r="G1778" s="72"/>
      <c r="H1778" s="73"/>
      <c r="I1778" s="74"/>
      <c r="J1778" s="74"/>
      <c r="K1778" s="74"/>
      <c r="L1778" s="74"/>
      <c r="M1778" s="74"/>
      <c r="N1778" s="74"/>
      <c r="O1778" s="82">
        <f t="shared" si="81"/>
        <v>0</v>
      </c>
      <c r="P1778" s="82">
        <f t="shared" si="82"/>
        <v>0</v>
      </c>
      <c r="Q1778" s="74"/>
      <c r="R1778" s="76"/>
      <c r="S1778" s="84">
        <f t="shared" si="83"/>
        <v>0</v>
      </c>
    </row>
    <row r="1779" spans="1:19" ht="18" customHeight="1" x14ac:dyDescent="0.25">
      <c r="A1779" s="59"/>
      <c r="B1779" s="60"/>
      <c r="C1779" s="65"/>
      <c r="D1779" s="60"/>
      <c r="E1779" s="59"/>
      <c r="F1779" s="62"/>
      <c r="G1779" s="63"/>
      <c r="H1779" s="64"/>
      <c r="I1779" s="65"/>
      <c r="J1779" s="65"/>
      <c r="K1779" s="65"/>
      <c r="L1779" s="65"/>
      <c r="M1779" s="65"/>
      <c r="N1779" s="65"/>
      <c r="O1779" s="81">
        <f t="shared" si="81"/>
        <v>0</v>
      </c>
      <c r="P1779" s="81">
        <f t="shared" si="82"/>
        <v>0</v>
      </c>
      <c r="Q1779" s="65"/>
      <c r="R1779" s="67"/>
      <c r="S1779" s="83">
        <f t="shared" si="83"/>
        <v>0</v>
      </c>
    </row>
    <row r="1780" spans="1:19" ht="18" customHeight="1" x14ac:dyDescent="0.25">
      <c r="A1780" s="68"/>
      <c r="B1780" s="69"/>
      <c r="C1780" s="74"/>
      <c r="D1780" s="69"/>
      <c r="E1780" s="68"/>
      <c r="F1780" s="71"/>
      <c r="G1780" s="72"/>
      <c r="H1780" s="73"/>
      <c r="I1780" s="74"/>
      <c r="J1780" s="74"/>
      <c r="K1780" s="74"/>
      <c r="L1780" s="74"/>
      <c r="M1780" s="74"/>
      <c r="N1780" s="74"/>
      <c r="O1780" s="82">
        <f t="shared" si="81"/>
        <v>0</v>
      </c>
      <c r="P1780" s="82">
        <f t="shared" si="82"/>
        <v>0</v>
      </c>
      <c r="Q1780" s="74"/>
      <c r="R1780" s="76"/>
      <c r="S1780" s="84">
        <f t="shared" si="83"/>
        <v>0</v>
      </c>
    </row>
    <row r="1781" spans="1:19" ht="18" customHeight="1" x14ac:dyDescent="0.25">
      <c r="A1781" s="59"/>
      <c r="B1781" s="60"/>
      <c r="C1781" s="65"/>
      <c r="D1781" s="60"/>
      <c r="E1781" s="59"/>
      <c r="F1781" s="62"/>
      <c r="G1781" s="63"/>
      <c r="H1781" s="64"/>
      <c r="I1781" s="65"/>
      <c r="J1781" s="65"/>
      <c r="K1781" s="65"/>
      <c r="L1781" s="65"/>
      <c r="M1781" s="65"/>
      <c r="N1781" s="65"/>
      <c r="O1781" s="81">
        <f t="shared" si="81"/>
        <v>0</v>
      </c>
      <c r="P1781" s="81">
        <f t="shared" si="82"/>
        <v>0</v>
      </c>
      <c r="Q1781" s="65"/>
      <c r="R1781" s="67"/>
      <c r="S1781" s="83">
        <f t="shared" si="83"/>
        <v>0</v>
      </c>
    </row>
    <row r="1782" spans="1:19" ht="18" customHeight="1" x14ac:dyDescent="0.25">
      <c r="A1782" s="68"/>
      <c r="B1782" s="69"/>
      <c r="C1782" s="74"/>
      <c r="D1782" s="69"/>
      <c r="E1782" s="68"/>
      <c r="F1782" s="71"/>
      <c r="G1782" s="72"/>
      <c r="H1782" s="73"/>
      <c r="I1782" s="74"/>
      <c r="J1782" s="74"/>
      <c r="K1782" s="74"/>
      <c r="L1782" s="74"/>
      <c r="M1782" s="74"/>
      <c r="N1782" s="74"/>
      <c r="O1782" s="82">
        <f t="shared" si="81"/>
        <v>0</v>
      </c>
      <c r="P1782" s="82">
        <f t="shared" si="82"/>
        <v>0</v>
      </c>
      <c r="Q1782" s="74"/>
      <c r="R1782" s="76"/>
      <c r="S1782" s="84">
        <f t="shared" si="83"/>
        <v>0</v>
      </c>
    </row>
    <row r="1783" spans="1:19" ht="18" customHeight="1" x14ac:dyDescent="0.25">
      <c r="A1783" s="59"/>
      <c r="B1783" s="60"/>
      <c r="C1783" s="65"/>
      <c r="D1783" s="60"/>
      <c r="E1783" s="59"/>
      <c r="F1783" s="62"/>
      <c r="G1783" s="63"/>
      <c r="H1783" s="64"/>
      <c r="I1783" s="65"/>
      <c r="J1783" s="65"/>
      <c r="K1783" s="65"/>
      <c r="L1783" s="65"/>
      <c r="M1783" s="65"/>
      <c r="N1783" s="65"/>
      <c r="O1783" s="81">
        <f t="shared" si="81"/>
        <v>0</v>
      </c>
      <c r="P1783" s="81">
        <f t="shared" si="82"/>
        <v>0</v>
      </c>
      <c r="Q1783" s="65"/>
      <c r="R1783" s="67"/>
      <c r="S1783" s="83">
        <f t="shared" si="83"/>
        <v>0</v>
      </c>
    </row>
    <row r="1784" spans="1:19" ht="18" customHeight="1" x14ac:dyDescent="0.25">
      <c r="A1784" s="68"/>
      <c r="B1784" s="69"/>
      <c r="C1784" s="74"/>
      <c r="D1784" s="69"/>
      <c r="E1784" s="68"/>
      <c r="F1784" s="71"/>
      <c r="G1784" s="72"/>
      <c r="H1784" s="73"/>
      <c r="I1784" s="74"/>
      <c r="J1784" s="74"/>
      <c r="K1784" s="74"/>
      <c r="L1784" s="74"/>
      <c r="M1784" s="74"/>
      <c r="N1784" s="74"/>
      <c r="O1784" s="82">
        <f t="shared" si="81"/>
        <v>0</v>
      </c>
      <c r="P1784" s="82">
        <f t="shared" si="82"/>
        <v>0</v>
      </c>
      <c r="Q1784" s="74"/>
      <c r="R1784" s="76"/>
      <c r="S1784" s="84">
        <f t="shared" si="83"/>
        <v>0</v>
      </c>
    </row>
    <row r="1785" spans="1:19" ht="18" customHeight="1" x14ac:dyDescent="0.25">
      <c r="A1785" s="59"/>
      <c r="B1785" s="60"/>
      <c r="C1785" s="65"/>
      <c r="D1785" s="60"/>
      <c r="E1785" s="59"/>
      <c r="F1785" s="62"/>
      <c r="G1785" s="63"/>
      <c r="H1785" s="64"/>
      <c r="I1785" s="65"/>
      <c r="J1785" s="65"/>
      <c r="K1785" s="65"/>
      <c r="L1785" s="65"/>
      <c r="M1785" s="65"/>
      <c r="N1785" s="65"/>
      <c r="O1785" s="81">
        <f t="shared" si="81"/>
        <v>0</v>
      </c>
      <c r="P1785" s="81">
        <f t="shared" si="82"/>
        <v>0</v>
      </c>
      <c r="Q1785" s="65"/>
      <c r="R1785" s="67"/>
      <c r="S1785" s="83">
        <f t="shared" si="83"/>
        <v>0</v>
      </c>
    </row>
    <row r="1786" spans="1:19" ht="18" customHeight="1" x14ac:dyDescent="0.25">
      <c r="A1786" s="68"/>
      <c r="B1786" s="69"/>
      <c r="C1786" s="74"/>
      <c r="D1786" s="69"/>
      <c r="E1786" s="68"/>
      <c r="F1786" s="71"/>
      <c r="G1786" s="72"/>
      <c r="H1786" s="73"/>
      <c r="I1786" s="74"/>
      <c r="J1786" s="74"/>
      <c r="K1786" s="74"/>
      <c r="L1786" s="74"/>
      <c r="M1786" s="74"/>
      <c r="N1786" s="74"/>
      <c r="O1786" s="82">
        <f t="shared" si="81"/>
        <v>0</v>
      </c>
      <c r="P1786" s="82">
        <f t="shared" si="82"/>
        <v>0</v>
      </c>
      <c r="Q1786" s="74"/>
      <c r="R1786" s="76"/>
      <c r="S1786" s="84">
        <f t="shared" si="83"/>
        <v>0</v>
      </c>
    </row>
    <row r="1787" spans="1:19" ht="18" customHeight="1" x14ac:dyDescent="0.25">
      <c r="A1787" s="59"/>
      <c r="B1787" s="60"/>
      <c r="C1787" s="65"/>
      <c r="D1787" s="60"/>
      <c r="E1787" s="59"/>
      <c r="F1787" s="62"/>
      <c r="G1787" s="63"/>
      <c r="H1787" s="64"/>
      <c r="I1787" s="65"/>
      <c r="J1787" s="65"/>
      <c r="K1787" s="65"/>
      <c r="L1787" s="65"/>
      <c r="M1787" s="65"/>
      <c r="N1787" s="65"/>
      <c r="O1787" s="81">
        <f t="shared" si="81"/>
        <v>0</v>
      </c>
      <c r="P1787" s="81">
        <f t="shared" si="82"/>
        <v>0</v>
      </c>
      <c r="Q1787" s="65"/>
      <c r="R1787" s="67"/>
      <c r="S1787" s="83">
        <f t="shared" si="83"/>
        <v>0</v>
      </c>
    </row>
    <row r="1788" spans="1:19" ht="18" customHeight="1" x14ac:dyDescent="0.25">
      <c r="A1788" s="68"/>
      <c r="B1788" s="69"/>
      <c r="C1788" s="74"/>
      <c r="D1788" s="69"/>
      <c r="E1788" s="68"/>
      <c r="F1788" s="71"/>
      <c r="G1788" s="72"/>
      <c r="H1788" s="73"/>
      <c r="I1788" s="74"/>
      <c r="J1788" s="74"/>
      <c r="K1788" s="74"/>
      <c r="L1788" s="74"/>
      <c r="M1788" s="74"/>
      <c r="N1788" s="74"/>
      <c r="O1788" s="82">
        <f t="shared" si="81"/>
        <v>0</v>
      </c>
      <c r="P1788" s="82">
        <f t="shared" si="82"/>
        <v>0</v>
      </c>
      <c r="Q1788" s="74"/>
      <c r="R1788" s="76"/>
      <c r="S1788" s="84">
        <f t="shared" si="83"/>
        <v>0</v>
      </c>
    </row>
    <row r="1789" spans="1:19" ht="18" customHeight="1" x14ac:dyDescent="0.25">
      <c r="A1789" s="59"/>
      <c r="B1789" s="60"/>
      <c r="C1789" s="65"/>
      <c r="D1789" s="60"/>
      <c r="E1789" s="59"/>
      <c r="F1789" s="62"/>
      <c r="G1789" s="63"/>
      <c r="H1789" s="64"/>
      <c r="I1789" s="65"/>
      <c r="J1789" s="65"/>
      <c r="K1789" s="65"/>
      <c r="L1789" s="65"/>
      <c r="M1789" s="65"/>
      <c r="N1789" s="65"/>
      <c r="O1789" s="81">
        <f t="shared" si="81"/>
        <v>0</v>
      </c>
      <c r="P1789" s="81">
        <f t="shared" si="82"/>
        <v>0</v>
      </c>
      <c r="Q1789" s="65"/>
      <c r="R1789" s="67"/>
      <c r="S1789" s="83">
        <f t="shared" si="83"/>
        <v>0</v>
      </c>
    </row>
    <row r="1790" spans="1:19" ht="18" customHeight="1" x14ac:dyDescent="0.25">
      <c r="A1790" s="68"/>
      <c r="B1790" s="69"/>
      <c r="C1790" s="74"/>
      <c r="D1790" s="69"/>
      <c r="E1790" s="68"/>
      <c r="F1790" s="71"/>
      <c r="G1790" s="72"/>
      <c r="H1790" s="73"/>
      <c r="I1790" s="74"/>
      <c r="J1790" s="74"/>
      <c r="K1790" s="74"/>
      <c r="L1790" s="74"/>
      <c r="M1790" s="74"/>
      <c r="N1790" s="74"/>
      <c r="O1790" s="82">
        <f t="shared" si="81"/>
        <v>0</v>
      </c>
      <c r="P1790" s="82">
        <f t="shared" si="82"/>
        <v>0</v>
      </c>
      <c r="Q1790" s="74"/>
      <c r="R1790" s="76"/>
      <c r="S1790" s="84">
        <f t="shared" si="83"/>
        <v>0</v>
      </c>
    </row>
    <row r="1791" spans="1:19" ht="18" customHeight="1" x14ac:dyDescent="0.25">
      <c r="A1791" s="59"/>
      <c r="B1791" s="60"/>
      <c r="C1791" s="65"/>
      <c r="D1791" s="60"/>
      <c r="E1791" s="59"/>
      <c r="F1791" s="62"/>
      <c r="G1791" s="63"/>
      <c r="H1791" s="64"/>
      <c r="I1791" s="65"/>
      <c r="J1791" s="65"/>
      <c r="K1791" s="65"/>
      <c r="L1791" s="65"/>
      <c r="M1791" s="65"/>
      <c r="N1791" s="65"/>
      <c r="O1791" s="81">
        <f t="shared" si="81"/>
        <v>0</v>
      </c>
      <c r="P1791" s="81">
        <f t="shared" si="82"/>
        <v>0</v>
      </c>
      <c r="Q1791" s="65"/>
      <c r="R1791" s="67"/>
      <c r="S1791" s="83">
        <f t="shared" si="83"/>
        <v>0</v>
      </c>
    </row>
    <row r="1792" spans="1:19" ht="18" customHeight="1" x14ac:dyDescent="0.25">
      <c r="A1792" s="68"/>
      <c r="B1792" s="69"/>
      <c r="C1792" s="74"/>
      <c r="D1792" s="69"/>
      <c r="E1792" s="68"/>
      <c r="F1792" s="71"/>
      <c r="G1792" s="72"/>
      <c r="H1792" s="73"/>
      <c r="I1792" s="74"/>
      <c r="J1792" s="74"/>
      <c r="K1792" s="74"/>
      <c r="L1792" s="74"/>
      <c r="M1792" s="74"/>
      <c r="N1792" s="74"/>
      <c r="O1792" s="82">
        <f t="shared" si="81"/>
        <v>0</v>
      </c>
      <c r="P1792" s="82">
        <f t="shared" si="82"/>
        <v>0</v>
      </c>
      <c r="Q1792" s="74"/>
      <c r="R1792" s="76"/>
      <c r="S1792" s="84">
        <f t="shared" si="83"/>
        <v>0</v>
      </c>
    </row>
    <row r="1793" spans="1:19" ht="18" customHeight="1" x14ac:dyDescent="0.25">
      <c r="A1793" s="59"/>
      <c r="B1793" s="60"/>
      <c r="C1793" s="65"/>
      <c r="D1793" s="60"/>
      <c r="E1793" s="59"/>
      <c r="F1793" s="62"/>
      <c r="G1793" s="63"/>
      <c r="H1793" s="64"/>
      <c r="I1793" s="65"/>
      <c r="J1793" s="65"/>
      <c r="K1793" s="65"/>
      <c r="L1793" s="65"/>
      <c r="M1793" s="65"/>
      <c r="N1793" s="65"/>
      <c r="O1793" s="81">
        <f t="shared" si="81"/>
        <v>0</v>
      </c>
      <c r="P1793" s="81">
        <f t="shared" si="82"/>
        <v>0</v>
      </c>
      <c r="Q1793" s="65"/>
      <c r="R1793" s="67"/>
      <c r="S1793" s="83">
        <f t="shared" si="83"/>
        <v>0</v>
      </c>
    </row>
    <row r="1794" spans="1:19" ht="18" customHeight="1" x14ac:dyDescent="0.25">
      <c r="A1794" s="68"/>
      <c r="B1794" s="69"/>
      <c r="C1794" s="74"/>
      <c r="D1794" s="69"/>
      <c r="E1794" s="68"/>
      <c r="F1794" s="71"/>
      <c r="G1794" s="72"/>
      <c r="H1794" s="73"/>
      <c r="I1794" s="74"/>
      <c r="J1794" s="74"/>
      <c r="K1794" s="74"/>
      <c r="L1794" s="74"/>
      <c r="M1794" s="74"/>
      <c r="N1794" s="74"/>
      <c r="O1794" s="82">
        <f t="shared" si="81"/>
        <v>0</v>
      </c>
      <c r="P1794" s="82">
        <f t="shared" si="82"/>
        <v>0</v>
      </c>
      <c r="Q1794" s="74"/>
      <c r="R1794" s="76"/>
      <c r="S1794" s="84">
        <f t="shared" si="83"/>
        <v>0</v>
      </c>
    </row>
    <row r="1795" spans="1:19" ht="18" customHeight="1" x14ac:dyDescent="0.25">
      <c r="A1795" s="59"/>
      <c r="B1795" s="60"/>
      <c r="C1795" s="65"/>
      <c r="D1795" s="60"/>
      <c r="E1795" s="59"/>
      <c r="F1795" s="62"/>
      <c r="G1795" s="63"/>
      <c r="H1795" s="64"/>
      <c r="I1795" s="65"/>
      <c r="J1795" s="65"/>
      <c r="K1795" s="65"/>
      <c r="L1795" s="65"/>
      <c r="M1795" s="65"/>
      <c r="N1795" s="65"/>
      <c r="O1795" s="81">
        <f t="shared" si="81"/>
        <v>0</v>
      </c>
      <c r="P1795" s="81">
        <f t="shared" si="82"/>
        <v>0</v>
      </c>
      <c r="Q1795" s="65"/>
      <c r="R1795" s="67"/>
      <c r="S1795" s="83">
        <f t="shared" si="83"/>
        <v>0</v>
      </c>
    </row>
    <row r="1796" spans="1:19" ht="18" customHeight="1" x14ac:dyDescent="0.25">
      <c r="A1796" s="68"/>
      <c r="B1796" s="69"/>
      <c r="C1796" s="74"/>
      <c r="D1796" s="69"/>
      <c r="E1796" s="68"/>
      <c r="F1796" s="71"/>
      <c r="G1796" s="72"/>
      <c r="H1796" s="73"/>
      <c r="I1796" s="74"/>
      <c r="J1796" s="74"/>
      <c r="K1796" s="74"/>
      <c r="L1796" s="74"/>
      <c r="M1796" s="74"/>
      <c r="N1796" s="74"/>
      <c r="O1796" s="82">
        <f t="shared" si="81"/>
        <v>0</v>
      </c>
      <c r="P1796" s="82">
        <f t="shared" si="82"/>
        <v>0</v>
      </c>
      <c r="Q1796" s="74"/>
      <c r="R1796" s="76"/>
      <c r="S1796" s="84">
        <f t="shared" si="83"/>
        <v>0</v>
      </c>
    </row>
    <row r="1797" spans="1:19" ht="18" customHeight="1" x14ac:dyDescent="0.25">
      <c r="A1797" s="59"/>
      <c r="B1797" s="60"/>
      <c r="C1797" s="65"/>
      <c r="D1797" s="60"/>
      <c r="E1797" s="59"/>
      <c r="F1797" s="62"/>
      <c r="G1797" s="63"/>
      <c r="H1797" s="64"/>
      <c r="I1797" s="65"/>
      <c r="J1797" s="65"/>
      <c r="K1797" s="65"/>
      <c r="L1797" s="65"/>
      <c r="M1797" s="65"/>
      <c r="N1797" s="65"/>
      <c r="O1797" s="81">
        <f t="shared" si="81"/>
        <v>0</v>
      </c>
      <c r="P1797" s="81">
        <f t="shared" si="82"/>
        <v>0</v>
      </c>
      <c r="Q1797" s="65"/>
      <c r="R1797" s="67"/>
      <c r="S1797" s="83">
        <f t="shared" si="83"/>
        <v>0</v>
      </c>
    </row>
    <row r="1798" spans="1:19" ht="18" customHeight="1" x14ac:dyDescent="0.25">
      <c r="A1798" s="68"/>
      <c r="B1798" s="69"/>
      <c r="C1798" s="74"/>
      <c r="D1798" s="69"/>
      <c r="E1798" s="68"/>
      <c r="F1798" s="71"/>
      <c r="G1798" s="72"/>
      <c r="H1798" s="73"/>
      <c r="I1798" s="74"/>
      <c r="J1798" s="74"/>
      <c r="K1798" s="74"/>
      <c r="L1798" s="74"/>
      <c r="M1798" s="74"/>
      <c r="N1798" s="74"/>
      <c r="O1798" s="82" t="e">
        <f>#N/A</f>
        <v>#N/A</v>
      </c>
      <c r="P1798" s="82" t="e">
        <f>#N/A</f>
        <v>#N/A</v>
      </c>
      <c r="Q1798" s="74"/>
      <c r="R1798" s="76"/>
      <c r="S1798" s="84">
        <f t="shared" si="83"/>
        <v>0</v>
      </c>
    </row>
    <row r="1799" spans="1:19" ht="18" customHeight="1" x14ac:dyDescent="0.25">
      <c r="A1799" s="59"/>
      <c r="B1799" s="60"/>
      <c r="C1799" s="65"/>
      <c r="D1799" s="60"/>
      <c r="E1799" s="59"/>
      <c r="F1799" s="62"/>
      <c r="G1799" s="63"/>
      <c r="H1799" s="64"/>
      <c r="I1799" s="65"/>
      <c r="J1799" s="65"/>
      <c r="K1799" s="65"/>
      <c r="L1799" s="65"/>
      <c r="M1799" s="65"/>
      <c r="N1799" s="65"/>
      <c r="O1799" s="81">
        <f t="shared" ref="O1799:O1861" si="84">IF(G1799="Reimbursement ","",I1799+J1799+K1799+L1799+M1799)</f>
        <v>0</v>
      </c>
      <c r="P1799" s="81">
        <f t="shared" ref="P1799:P1861" si="85">IF(G1799="Reimbursement ","",H1799-O1799)</f>
        <v>0</v>
      </c>
      <c r="Q1799" s="65"/>
      <c r="R1799" s="67"/>
      <c r="S1799" s="83">
        <f t="shared" ref="S1799:S1862" si="86">IF(OR(R1799="",Q1799=""),0,IF(R1799&gt;Q1799,R1799-Q1799,0))</f>
        <v>0</v>
      </c>
    </row>
    <row r="1800" spans="1:19" ht="18" customHeight="1" x14ac:dyDescent="0.25">
      <c r="A1800" s="68"/>
      <c r="B1800" s="69"/>
      <c r="C1800" s="74"/>
      <c r="D1800" s="69"/>
      <c r="E1800" s="68"/>
      <c r="F1800" s="71"/>
      <c r="G1800" s="72"/>
      <c r="H1800" s="73"/>
      <c r="I1800" s="74"/>
      <c r="J1800" s="74"/>
      <c r="K1800" s="74"/>
      <c r="L1800" s="74"/>
      <c r="M1800" s="74"/>
      <c r="N1800" s="74"/>
      <c r="O1800" s="82">
        <f t="shared" si="84"/>
        <v>0</v>
      </c>
      <c r="P1800" s="82">
        <f t="shared" si="85"/>
        <v>0</v>
      </c>
      <c r="Q1800" s="74"/>
      <c r="R1800" s="76"/>
      <c r="S1800" s="84">
        <f t="shared" si="86"/>
        <v>0</v>
      </c>
    </row>
    <row r="1801" spans="1:19" ht="18" customHeight="1" x14ac:dyDescent="0.25">
      <c r="A1801" s="59"/>
      <c r="B1801" s="60"/>
      <c r="C1801" s="65"/>
      <c r="D1801" s="60"/>
      <c r="E1801" s="59"/>
      <c r="F1801" s="62"/>
      <c r="G1801" s="63"/>
      <c r="H1801" s="64"/>
      <c r="I1801" s="65"/>
      <c r="J1801" s="65"/>
      <c r="K1801" s="65"/>
      <c r="L1801" s="65"/>
      <c r="M1801" s="65"/>
      <c r="N1801" s="65"/>
      <c r="O1801" s="81">
        <f t="shared" si="84"/>
        <v>0</v>
      </c>
      <c r="P1801" s="81">
        <f t="shared" si="85"/>
        <v>0</v>
      </c>
      <c r="Q1801" s="65"/>
      <c r="R1801" s="67"/>
      <c r="S1801" s="83">
        <f t="shared" si="86"/>
        <v>0</v>
      </c>
    </row>
    <row r="1802" spans="1:19" ht="18" customHeight="1" x14ac:dyDescent="0.25">
      <c r="A1802" s="68"/>
      <c r="B1802" s="69"/>
      <c r="C1802" s="74"/>
      <c r="D1802" s="69"/>
      <c r="E1802" s="68"/>
      <c r="F1802" s="71"/>
      <c r="G1802" s="72"/>
      <c r="H1802" s="73"/>
      <c r="I1802" s="74"/>
      <c r="J1802" s="74"/>
      <c r="K1802" s="74"/>
      <c r="L1802" s="74"/>
      <c r="M1802" s="74"/>
      <c r="N1802" s="74"/>
      <c r="O1802" s="82">
        <f t="shared" si="84"/>
        <v>0</v>
      </c>
      <c r="P1802" s="82">
        <f t="shared" si="85"/>
        <v>0</v>
      </c>
      <c r="Q1802" s="74"/>
      <c r="R1802" s="76"/>
      <c r="S1802" s="84">
        <f t="shared" si="86"/>
        <v>0</v>
      </c>
    </row>
    <row r="1803" spans="1:19" ht="18" customHeight="1" x14ac:dyDescent="0.25">
      <c r="A1803" s="59"/>
      <c r="B1803" s="60"/>
      <c r="C1803" s="65"/>
      <c r="D1803" s="60"/>
      <c r="E1803" s="59"/>
      <c r="F1803" s="62"/>
      <c r="G1803" s="63"/>
      <c r="H1803" s="64"/>
      <c r="I1803" s="65"/>
      <c r="J1803" s="65"/>
      <c r="K1803" s="65"/>
      <c r="L1803" s="65"/>
      <c r="M1803" s="65"/>
      <c r="N1803" s="65"/>
      <c r="O1803" s="81">
        <f t="shared" si="84"/>
        <v>0</v>
      </c>
      <c r="P1803" s="81">
        <f t="shared" si="85"/>
        <v>0</v>
      </c>
      <c r="Q1803" s="65"/>
      <c r="R1803" s="67"/>
      <c r="S1803" s="83">
        <f t="shared" si="86"/>
        <v>0</v>
      </c>
    </row>
    <row r="1804" spans="1:19" ht="18" customHeight="1" x14ac:dyDescent="0.25">
      <c r="A1804" s="68"/>
      <c r="B1804" s="69"/>
      <c r="C1804" s="74"/>
      <c r="D1804" s="69"/>
      <c r="E1804" s="68"/>
      <c r="F1804" s="71"/>
      <c r="G1804" s="72"/>
      <c r="H1804" s="73"/>
      <c r="I1804" s="74"/>
      <c r="J1804" s="74"/>
      <c r="K1804" s="74"/>
      <c r="L1804" s="74"/>
      <c r="M1804" s="74"/>
      <c r="N1804" s="74"/>
      <c r="O1804" s="82">
        <f t="shared" si="84"/>
        <v>0</v>
      </c>
      <c r="P1804" s="82">
        <f t="shared" si="85"/>
        <v>0</v>
      </c>
      <c r="Q1804" s="74"/>
      <c r="R1804" s="76"/>
      <c r="S1804" s="84">
        <f t="shared" si="86"/>
        <v>0</v>
      </c>
    </row>
    <row r="1805" spans="1:19" ht="18" customHeight="1" x14ac:dyDescent="0.25">
      <c r="A1805" s="59"/>
      <c r="B1805" s="60"/>
      <c r="C1805" s="65"/>
      <c r="D1805" s="60"/>
      <c r="E1805" s="59"/>
      <c r="F1805" s="62"/>
      <c r="G1805" s="63"/>
      <c r="H1805" s="64"/>
      <c r="I1805" s="65"/>
      <c r="J1805" s="65"/>
      <c r="K1805" s="65"/>
      <c r="L1805" s="65"/>
      <c r="M1805" s="65"/>
      <c r="N1805" s="65"/>
      <c r="O1805" s="81">
        <f t="shared" si="84"/>
        <v>0</v>
      </c>
      <c r="P1805" s="81">
        <f t="shared" si="85"/>
        <v>0</v>
      </c>
      <c r="Q1805" s="65"/>
      <c r="R1805" s="67"/>
      <c r="S1805" s="83">
        <f t="shared" si="86"/>
        <v>0</v>
      </c>
    </row>
    <row r="1806" spans="1:19" ht="18" customHeight="1" x14ac:dyDescent="0.25">
      <c r="A1806" s="68"/>
      <c r="B1806" s="69"/>
      <c r="C1806" s="74"/>
      <c r="D1806" s="69"/>
      <c r="E1806" s="68"/>
      <c r="F1806" s="71"/>
      <c r="G1806" s="72"/>
      <c r="H1806" s="73"/>
      <c r="I1806" s="74"/>
      <c r="J1806" s="74"/>
      <c r="K1806" s="74"/>
      <c r="L1806" s="74"/>
      <c r="M1806" s="74"/>
      <c r="N1806" s="74"/>
      <c r="O1806" s="82">
        <f t="shared" si="84"/>
        <v>0</v>
      </c>
      <c r="P1806" s="82">
        <f t="shared" si="85"/>
        <v>0</v>
      </c>
      <c r="Q1806" s="74"/>
      <c r="R1806" s="76"/>
      <c r="S1806" s="84">
        <f t="shared" si="86"/>
        <v>0</v>
      </c>
    </row>
    <row r="1807" spans="1:19" ht="18" customHeight="1" x14ac:dyDescent="0.25">
      <c r="A1807" s="59"/>
      <c r="B1807" s="60"/>
      <c r="C1807" s="65"/>
      <c r="D1807" s="60"/>
      <c r="E1807" s="59"/>
      <c r="F1807" s="62"/>
      <c r="G1807" s="63"/>
      <c r="H1807" s="64"/>
      <c r="I1807" s="65"/>
      <c r="J1807" s="65"/>
      <c r="K1807" s="65"/>
      <c r="L1807" s="65"/>
      <c r="M1807" s="65"/>
      <c r="N1807" s="65"/>
      <c r="O1807" s="81">
        <f t="shared" si="84"/>
        <v>0</v>
      </c>
      <c r="P1807" s="81">
        <f t="shared" si="85"/>
        <v>0</v>
      </c>
      <c r="Q1807" s="65"/>
      <c r="R1807" s="67"/>
      <c r="S1807" s="83">
        <f t="shared" si="86"/>
        <v>0</v>
      </c>
    </row>
    <row r="1808" spans="1:19" ht="18" customHeight="1" x14ac:dyDescent="0.25">
      <c r="A1808" s="68"/>
      <c r="B1808" s="69"/>
      <c r="C1808" s="74"/>
      <c r="D1808" s="69"/>
      <c r="E1808" s="68"/>
      <c r="F1808" s="71"/>
      <c r="G1808" s="72"/>
      <c r="H1808" s="73"/>
      <c r="I1808" s="74"/>
      <c r="J1808" s="74"/>
      <c r="K1808" s="74"/>
      <c r="L1808" s="74"/>
      <c r="M1808" s="74"/>
      <c r="N1808" s="74"/>
      <c r="O1808" s="82">
        <f t="shared" si="84"/>
        <v>0</v>
      </c>
      <c r="P1808" s="82">
        <f t="shared" si="85"/>
        <v>0</v>
      </c>
      <c r="Q1808" s="74"/>
      <c r="R1808" s="76"/>
      <c r="S1808" s="84">
        <f t="shared" si="86"/>
        <v>0</v>
      </c>
    </row>
    <row r="1809" spans="1:19" ht="18" customHeight="1" x14ac:dyDescent="0.25">
      <c r="A1809" s="59"/>
      <c r="B1809" s="60"/>
      <c r="C1809" s="65"/>
      <c r="D1809" s="60"/>
      <c r="E1809" s="59"/>
      <c r="F1809" s="62"/>
      <c r="G1809" s="63"/>
      <c r="H1809" s="64"/>
      <c r="I1809" s="65"/>
      <c r="J1809" s="65"/>
      <c r="K1809" s="65"/>
      <c r="L1809" s="65"/>
      <c r="M1809" s="65"/>
      <c r="N1809" s="65"/>
      <c r="O1809" s="81">
        <f t="shared" si="84"/>
        <v>0</v>
      </c>
      <c r="P1809" s="81">
        <f t="shared" si="85"/>
        <v>0</v>
      </c>
      <c r="Q1809" s="65"/>
      <c r="R1809" s="67"/>
      <c r="S1809" s="83">
        <f t="shared" si="86"/>
        <v>0</v>
      </c>
    </row>
    <row r="1810" spans="1:19" ht="18" customHeight="1" x14ac:dyDescent="0.25">
      <c r="A1810" s="68"/>
      <c r="B1810" s="69"/>
      <c r="C1810" s="74"/>
      <c r="D1810" s="69"/>
      <c r="E1810" s="68"/>
      <c r="F1810" s="71"/>
      <c r="G1810" s="72"/>
      <c r="H1810" s="73"/>
      <c r="I1810" s="74"/>
      <c r="J1810" s="74"/>
      <c r="K1810" s="74"/>
      <c r="L1810" s="74"/>
      <c r="M1810" s="74"/>
      <c r="N1810" s="74"/>
      <c r="O1810" s="82">
        <f t="shared" si="84"/>
        <v>0</v>
      </c>
      <c r="P1810" s="82">
        <f t="shared" si="85"/>
        <v>0</v>
      </c>
      <c r="Q1810" s="74"/>
      <c r="R1810" s="76"/>
      <c r="S1810" s="84">
        <f t="shared" si="86"/>
        <v>0</v>
      </c>
    </row>
    <row r="1811" spans="1:19" ht="18" customHeight="1" x14ac:dyDescent="0.25">
      <c r="A1811" s="59"/>
      <c r="B1811" s="60"/>
      <c r="C1811" s="65"/>
      <c r="D1811" s="60"/>
      <c r="E1811" s="59"/>
      <c r="F1811" s="62"/>
      <c r="G1811" s="63"/>
      <c r="H1811" s="64"/>
      <c r="I1811" s="65"/>
      <c r="J1811" s="65"/>
      <c r="K1811" s="65"/>
      <c r="L1811" s="65"/>
      <c r="M1811" s="65"/>
      <c r="N1811" s="65"/>
      <c r="O1811" s="81">
        <f t="shared" si="84"/>
        <v>0</v>
      </c>
      <c r="P1811" s="81">
        <f t="shared" si="85"/>
        <v>0</v>
      </c>
      <c r="Q1811" s="65"/>
      <c r="R1811" s="67"/>
      <c r="S1811" s="83">
        <f t="shared" si="86"/>
        <v>0</v>
      </c>
    </row>
    <row r="1812" spans="1:19" ht="18" customHeight="1" x14ac:dyDescent="0.25">
      <c r="A1812" s="68"/>
      <c r="B1812" s="69"/>
      <c r="C1812" s="74"/>
      <c r="D1812" s="69"/>
      <c r="E1812" s="68"/>
      <c r="F1812" s="71"/>
      <c r="G1812" s="72"/>
      <c r="H1812" s="73"/>
      <c r="I1812" s="74"/>
      <c r="J1812" s="74"/>
      <c r="K1812" s="74"/>
      <c r="L1812" s="74"/>
      <c r="M1812" s="74"/>
      <c r="N1812" s="74"/>
      <c r="O1812" s="82">
        <f t="shared" si="84"/>
        <v>0</v>
      </c>
      <c r="P1812" s="82">
        <f t="shared" si="85"/>
        <v>0</v>
      </c>
      <c r="Q1812" s="74"/>
      <c r="R1812" s="76"/>
      <c r="S1812" s="84">
        <f t="shared" si="86"/>
        <v>0</v>
      </c>
    </row>
    <row r="1813" spans="1:19" ht="18" customHeight="1" x14ac:dyDescent="0.25">
      <c r="A1813" s="59"/>
      <c r="B1813" s="60"/>
      <c r="C1813" s="65"/>
      <c r="D1813" s="60"/>
      <c r="E1813" s="59"/>
      <c r="F1813" s="62"/>
      <c r="G1813" s="63"/>
      <c r="H1813" s="64"/>
      <c r="I1813" s="65"/>
      <c r="J1813" s="65"/>
      <c r="K1813" s="65"/>
      <c r="L1813" s="65"/>
      <c r="M1813" s="65"/>
      <c r="N1813" s="65"/>
      <c r="O1813" s="81">
        <f t="shared" si="84"/>
        <v>0</v>
      </c>
      <c r="P1813" s="81">
        <f t="shared" si="85"/>
        <v>0</v>
      </c>
      <c r="Q1813" s="65"/>
      <c r="R1813" s="67"/>
      <c r="S1813" s="83">
        <f t="shared" si="86"/>
        <v>0</v>
      </c>
    </row>
    <row r="1814" spans="1:19" ht="18" customHeight="1" x14ac:dyDescent="0.25">
      <c r="A1814" s="68"/>
      <c r="B1814" s="69"/>
      <c r="C1814" s="74"/>
      <c r="D1814" s="69"/>
      <c r="E1814" s="68"/>
      <c r="F1814" s="71"/>
      <c r="G1814" s="72"/>
      <c r="H1814" s="73"/>
      <c r="I1814" s="74"/>
      <c r="J1814" s="74"/>
      <c r="K1814" s="74"/>
      <c r="L1814" s="74"/>
      <c r="M1814" s="74"/>
      <c r="N1814" s="74"/>
      <c r="O1814" s="82">
        <f t="shared" si="84"/>
        <v>0</v>
      </c>
      <c r="P1814" s="82">
        <f t="shared" si="85"/>
        <v>0</v>
      </c>
      <c r="Q1814" s="74"/>
      <c r="R1814" s="76"/>
      <c r="S1814" s="84">
        <f t="shared" si="86"/>
        <v>0</v>
      </c>
    </row>
    <row r="1815" spans="1:19" ht="18" customHeight="1" x14ac:dyDescent="0.25">
      <c r="A1815" s="59"/>
      <c r="B1815" s="60"/>
      <c r="C1815" s="65"/>
      <c r="D1815" s="60"/>
      <c r="E1815" s="59"/>
      <c r="F1815" s="62"/>
      <c r="G1815" s="63"/>
      <c r="H1815" s="64"/>
      <c r="I1815" s="65"/>
      <c r="J1815" s="65"/>
      <c r="K1815" s="65"/>
      <c r="L1815" s="65"/>
      <c r="M1815" s="65"/>
      <c r="N1815" s="65"/>
      <c r="O1815" s="81">
        <f t="shared" si="84"/>
        <v>0</v>
      </c>
      <c r="P1815" s="81">
        <f t="shared" si="85"/>
        <v>0</v>
      </c>
      <c r="Q1815" s="65"/>
      <c r="R1815" s="67"/>
      <c r="S1815" s="83">
        <f t="shared" si="86"/>
        <v>0</v>
      </c>
    </row>
    <row r="1816" spans="1:19" ht="18" customHeight="1" x14ac:dyDescent="0.25">
      <c r="A1816" s="68"/>
      <c r="B1816" s="69"/>
      <c r="C1816" s="74"/>
      <c r="D1816" s="69"/>
      <c r="E1816" s="68"/>
      <c r="F1816" s="71"/>
      <c r="G1816" s="72"/>
      <c r="H1816" s="73"/>
      <c r="I1816" s="74"/>
      <c r="J1816" s="74"/>
      <c r="K1816" s="74"/>
      <c r="L1816" s="74"/>
      <c r="M1816" s="74"/>
      <c r="N1816" s="74"/>
      <c r="O1816" s="82">
        <f t="shared" si="84"/>
        <v>0</v>
      </c>
      <c r="P1816" s="82">
        <f t="shared" si="85"/>
        <v>0</v>
      </c>
      <c r="Q1816" s="74"/>
      <c r="R1816" s="76"/>
      <c r="S1816" s="84">
        <f t="shared" si="86"/>
        <v>0</v>
      </c>
    </row>
    <row r="1817" spans="1:19" ht="18" customHeight="1" x14ac:dyDescent="0.25">
      <c r="A1817" s="59"/>
      <c r="B1817" s="60"/>
      <c r="C1817" s="65"/>
      <c r="D1817" s="60"/>
      <c r="E1817" s="59"/>
      <c r="F1817" s="62"/>
      <c r="G1817" s="63"/>
      <c r="H1817" s="64"/>
      <c r="I1817" s="65"/>
      <c r="J1817" s="65"/>
      <c r="K1817" s="65"/>
      <c r="L1817" s="65"/>
      <c r="M1817" s="65"/>
      <c r="N1817" s="65"/>
      <c r="O1817" s="81">
        <f t="shared" si="84"/>
        <v>0</v>
      </c>
      <c r="P1817" s="81">
        <f t="shared" si="85"/>
        <v>0</v>
      </c>
      <c r="Q1817" s="65"/>
      <c r="R1817" s="67"/>
      <c r="S1817" s="83">
        <f t="shared" si="86"/>
        <v>0</v>
      </c>
    </row>
    <row r="1818" spans="1:19" ht="18" customHeight="1" x14ac:dyDescent="0.25">
      <c r="A1818" s="68"/>
      <c r="B1818" s="69"/>
      <c r="C1818" s="74"/>
      <c r="D1818" s="69"/>
      <c r="E1818" s="68"/>
      <c r="F1818" s="71"/>
      <c r="G1818" s="72"/>
      <c r="H1818" s="73"/>
      <c r="I1818" s="74"/>
      <c r="J1818" s="74"/>
      <c r="K1818" s="74"/>
      <c r="L1818" s="74"/>
      <c r="M1818" s="74"/>
      <c r="N1818" s="74"/>
      <c r="O1818" s="82">
        <f t="shared" si="84"/>
        <v>0</v>
      </c>
      <c r="P1818" s="82">
        <f t="shared" si="85"/>
        <v>0</v>
      </c>
      <c r="Q1818" s="74"/>
      <c r="R1818" s="76"/>
      <c r="S1818" s="84">
        <f t="shared" si="86"/>
        <v>0</v>
      </c>
    </row>
    <row r="1819" spans="1:19" ht="18" customHeight="1" x14ac:dyDescent="0.25">
      <c r="A1819" s="59"/>
      <c r="B1819" s="60"/>
      <c r="C1819" s="65"/>
      <c r="D1819" s="60"/>
      <c r="E1819" s="59"/>
      <c r="F1819" s="62"/>
      <c r="G1819" s="63"/>
      <c r="H1819" s="64"/>
      <c r="I1819" s="65"/>
      <c r="J1819" s="65"/>
      <c r="K1819" s="65"/>
      <c r="L1819" s="65"/>
      <c r="M1819" s="65"/>
      <c r="N1819" s="65"/>
      <c r="O1819" s="81">
        <f t="shared" si="84"/>
        <v>0</v>
      </c>
      <c r="P1819" s="81">
        <f t="shared" si="85"/>
        <v>0</v>
      </c>
      <c r="Q1819" s="65"/>
      <c r="R1819" s="67"/>
      <c r="S1819" s="83">
        <f t="shared" si="86"/>
        <v>0</v>
      </c>
    </row>
    <row r="1820" spans="1:19" ht="18" customHeight="1" x14ac:dyDescent="0.25">
      <c r="A1820" s="68"/>
      <c r="B1820" s="69"/>
      <c r="C1820" s="74"/>
      <c r="D1820" s="69"/>
      <c r="E1820" s="68"/>
      <c r="F1820" s="71"/>
      <c r="G1820" s="72"/>
      <c r="H1820" s="73"/>
      <c r="I1820" s="74"/>
      <c r="J1820" s="74"/>
      <c r="K1820" s="74"/>
      <c r="L1820" s="74"/>
      <c r="M1820" s="74"/>
      <c r="N1820" s="74"/>
      <c r="O1820" s="82">
        <f t="shared" si="84"/>
        <v>0</v>
      </c>
      <c r="P1820" s="82">
        <f t="shared" si="85"/>
        <v>0</v>
      </c>
      <c r="Q1820" s="74"/>
      <c r="R1820" s="76"/>
      <c r="S1820" s="84">
        <f t="shared" si="86"/>
        <v>0</v>
      </c>
    </row>
    <row r="1821" spans="1:19" ht="18" customHeight="1" x14ac:dyDescent="0.25">
      <c r="A1821" s="59"/>
      <c r="B1821" s="60"/>
      <c r="C1821" s="65"/>
      <c r="D1821" s="60"/>
      <c r="E1821" s="59"/>
      <c r="F1821" s="62"/>
      <c r="G1821" s="63"/>
      <c r="H1821" s="64"/>
      <c r="I1821" s="65"/>
      <c r="J1821" s="65"/>
      <c r="K1821" s="65"/>
      <c r="L1821" s="65"/>
      <c r="M1821" s="65"/>
      <c r="N1821" s="65"/>
      <c r="O1821" s="81">
        <f t="shared" si="84"/>
        <v>0</v>
      </c>
      <c r="P1821" s="81">
        <f t="shared" si="85"/>
        <v>0</v>
      </c>
      <c r="Q1821" s="65"/>
      <c r="R1821" s="67"/>
      <c r="S1821" s="83">
        <f t="shared" si="86"/>
        <v>0</v>
      </c>
    </row>
    <row r="1822" spans="1:19" ht="18" customHeight="1" x14ac:dyDescent="0.25">
      <c r="A1822" s="68"/>
      <c r="B1822" s="69"/>
      <c r="C1822" s="74"/>
      <c r="D1822" s="69"/>
      <c r="E1822" s="68"/>
      <c r="F1822" s="71"/>
      <c r="G1822" s="72"/>
      <c r="H1822" s="73"/>
      <c r="I1822" s="74"/>
      <c r="J1822" s="74"/>
      <c r="K1822" s="74"/>
      <c r="L1822" s="74"/>
      <c r="M1822" s="74"/>
      <c r="N1822" s="74"/>
      <c r="O1822" s="82">
        <f t="shared" si="84"/>
        <v>0</v>
      </c>
      <c r="P1822" s="82">
        <f t="shared" si="85"/>
        <v>0</v>
      </c>
      <c r="Q1822" s="74"/>
      <c r="R1822" s="76"/>
      <c r="S1822" s="84">
        <f t="shared" si="86"/>
        <v>0</v>
      </c>
    </row>
    <row r="1823" spans="1:19" ht="18" customHeight="1" x14ac:dyDescent="0.25">
      <c r="A1823" s="59"/>
      <c r="B1823" s="60"/>
      <c r="C1823" s="65"/>
      <c r="D1823" s="60"/>
      <c r="E1823" s="59"/>
      <c r="F1823" s="62"/>
      <c r="G1823" s="63"/>
      <c r="H1823" s="64"/>
      <c r="I1823" s="65"/>
      <c r="J1823" s="65"/>
      <c r="K1823" s="65"/>
      <c r="L1823" s="65"/>
      <c r="M1823" s="65"/>
      <c r="N1823" s="65"/>
      <c r="O1823" s="81">
        <f t="shared" si="84"/>
        <v>0</v>
      </c>
      <c r="P1823" s="81">
        <f t="shared" si="85"/>
        <v>0</v>
      </c>
      <c r="Q1823" s="65"/>
      <c r="R1823" s="67"/>
      <c r="S1823" s="83">
        <f t="shared" si="86"/>
        <v>0</v>
      </c>
    </row>
    <row r="1824" spans="1:19" ht="18" customHeight="1" x14ac:dyDescent="0.25">
      <c r="A1824" s="68"/>
      <c r="B1824" s="69"/>
      <c r="C1824" s="74"/>
      <c r="D1824" s="69"/>
      <c r="E1824" s="68"/>
      <c r="F1824" s="71"/>
      <c r="G1824" s="72"/>
      <c r="H1824" s="73"/>
      <c r="I1824" s="74"/>
      <c r="J1824" s="74"/>
      <c r="K1824" s="74"/>
      <c r="L1824" s="74"/>
      <c r="M1824" s="74"/>
      <c r="N1824" s="74"/>
      <c r="O1824" s="82">
        <f t="shared" si="84"/>
        <v>0</v>
      </c>
      <c r="P1824" s="82">
        <f t="shared" si="85"/>
        <v>0</v>
      </c>
      <c r="Q1824" s="74"/>
      <c r="R1824" s="76"/>
      <c r="S1824" s="84">
        <f t="shared" si="86"/>
        <v>0</v>
      </c>
    </row>
    <row r="1825" spans="1:19" ht="18" customHeight="1" x14ac:dyDescent="0.25">
      <c r="A1825" s="59"/>
      <c r="B1825" s="60"/>
      <c r="C1825" s="65"/>
      <c r="D1825" s="60"/>
      <c r="E1825" s="59"/>
      <c r="F1825" s="62"/>
      <c r="G1825" s="63"/>
      <c r="H1825" s="64"/>
      <c r="I1825" s="65"/>
      <c r="J1825" s="65"/>
      <c r="K1825" s="65"/>
      <c r="L1825" s="65"/>
      <c r="M1825" s="65"/>
      <c r="N1825" s="65"/>
      <c r="O1825" s="81">
        <f t="shared" si="84"/>
        <v>0</v>
      </c>
      <c r="P1825" s="81">
        <f t="shared" si="85"/>
        <v>0</v>
      </c>
      <c r="Q1825" s="65"/>
      <c r="R1825" s="67"/>
      <c r="S1825" s="83">
        <f t="shared" si="86"/>
        <v>0</v>
      </c>
    </row>
    <row r="1826" spans="1:19" ht="18" customHeight="1" x14ac:dyDescent="0.25">
      <c r="A1826" s="68"/>
      <c r="B1826" s="69"/>
      <c r="C1826" s="74"/>
      <c r="D1826" s="69"/>
      <c r="E1826" s="68"/>
      <c r="F1826" s="71"/>
      <c r="G1826" s="72"/>
      <c r="H1826" s="73"/>
      <c r="I1826" s="74"/>
      <c r="J1826" s="74"/>
      <c r="K1826" s="74"/>
      <c r="L1826" s="74"/>
      <c r="M1826" s="74"/>
      <c r="N1826" s="74"/>
      <c r="O1826" s="82">
        <f t="shared" si="84"/>
        <v>0</v>
      </c>
      <c r="P1826" s="82">
        <f t="shared" si="85"/>
        <v>0</v>
      </c>
      <c r="Q1826" s="74"/>
      <c r="R1826" s="76"/>
      <c r="S1826" s="84">
        <f t="shared" si="86"/>
        <v>0</v>
      </c>
    </row>
    <row r="1827" spans="1:19" ht="18" customHeight="1" x14ac:dyDescent="0.25">
      <c r="A1827" s="59"/>
      <c r="B1827" s="60"/>
      <c r="C1827" s="65"/>
      <c r="D1827" s="60"/>
      <c r="E1827" s="59"/>
      <c r="F1827" s="62"/>
      <c r="G1827" s="63"/>
      <c r="H1827" s="64"/>
      <c r="I1827" s="65"/>
      <c r="J1827" s="65"/>
      <c r="K1827" s="65"/>
      <c r="L1827" s="65"/>
      <c r="M1827" s="65"/>
      <c r="N1827" s="65"/>
      <c r="O1827" s="81">
        <f t="shared" si="84"/>
        <v>0</v>
      </c>
      <c r="P1827" s="81">
        <f t="shared" si="85"/>
        <v>0</v>
      </c>
      <c r="Q1827" s="65"/>
      <c r="R1827" s="67"/>
      <c r="S1827" s="83">
        <f t="shared" si="86"/>
        <v>0</v>
      </c>
    </row>
    <row r="1828" spans="1:19" ht="18" customHeight="1" x14ac:dyDescent="0.25">
      <c r="A1828" s="68"/>
      <c r="B1828" s="69"/>
      <c r="C1828" s="74"/>
      <c r="D1828" s="69"/>
      <c r="E1828" s="68"/>
      <c r="F1828" s="71"/>
      <c r="G1828" s="72"/>
      <c r="H1828" s="73"/>
      <c r="I1828" s="74"/>
      <c r="J1828" s="74"/>
      <c r="K1828" s="74"/>
      <c r="L1828" s="74"/>
      <c r="M1828" s="74"/>
      <c r="N1828" s="74"/>
      <c r="O1828" s="82">
        <f t="shared" si="84"/>
        <v>0</v>
      </c>
      <c r="P1828" s="82">
        <f t="shared" si="85"/>
        <v>0</v>
      </c>
      <c r="Q1828" s="74"/>
      <c r="R1828" s="76"/>
      <c r="S1828" s="84">
        <f t="shared" si="86"/>
        <v>0</v>
      </c>
    </row>
    <row r="1829" spans="1:19" ht="18" customHeight="1" x14ac:dyDescent="0.25">
      <c r="A1829" s="59"/>
      <c r="B1829" s="60"/>
      <c r="C1829" s="65"/>
      <c r="D1829" s="60"/>
      <c r="E1829" s="59"/>
      <c r="F1829" s="62"/>
      <c r="G1829" s="63"/>
      <c r="H1829" s="64"/>
      <c r="I1829" s="65"/>
      <c r="J1829" s="65"/>
      <c r="K1829" s="65"/>
      <c r="L1829" s="65"/>
      <c r="M1829" s="65"/>
      <c r="N1829" s="65"/>
      <c r="O1829" s="81">
        <f t="shared" si="84"/>
        <v>0</v>
      </c>
      <c r="P1829" s="81">
        <f t="shared" si="85"/>
        <v>0</v>
      </c>
      <c r="Q1829" s="65"/>
      <c r="R1829" s="67"/>
      <c r="S1829" s="83">
        <f t="shared" si="86"/>
        <v>0</v>
      </c>
    </row>
    <row r="1830" spans="1:19" ht="18" customHeight="1" x14ac:dyDescent="0.25">
      <c r="A1830" s="68"/>
      <c r="B1830" s="69"/>
      <c r="C1830" s="74"/>
      <c r="D1830" s="69"/>
      <c r="E1830" s="68"/>
      <c r="F1830" s="71"/>
      <c r="G1830" s="72"/>
      <c r="H1830" s="73"/>
      <c r="I1830" s="74"/>
      <c r="J1830" s="74"/>
      <c r="K1830" s="74"/>
      <c r="L1830" s="74"/>
      <c r="M1830" s="74"/>
      <c r="N1830" s="74"/>
      <c r="O1830" s="82">
        <f t="shared" si="84"/>
        <v>0</v>
      </c>
      <c r="P1830" s="82">
        <f t="shared" si="85"/>
        <v>0</v>
      </c>
      <c r="Q1830" s="74"/>
      <c r="R1830" s="76"/>
      <c r="S1830" s="84">
        <f t="shared" si="86"/>
        <v>0</v>
      </c>
    </row>
    <row r="1831" spans="1:19" ht="18" customHeight="1" x14ac:dyDescent="0.25">
      <c r="A1831" s="59"/>
      <c r="B1831" s="60"/>
      <c r="C1831" s="65"/>
      <c r="D1831" s="60"/>
      <c r="E1831" s="59"/>
      <c r="F1831" s="62"/>
      <c r="G1831" s="63"/>
      <c r="H1831" s="64"/>
      <c r="I1831" s="65"/>
      <c r="J1831" s="65"/>
      <c r="K1831" s="65"/>
      <c r="L1831" s="65"/>
      <c r="M1831" s="65"/>
      <c r="N1831" s="65"/>
      <c r="O1831" s="81">
        <f t="shared" si="84"/>
        <v>0</v>
      </c>
      <c r="P1831" s="81">
        <f t="shared" si="85"/>
        <v>0</v>
      </c>
      <c r="Q1831" s="65"/>
      <c r="R1831" s="67"/>
      <c r="S1831" s="83">
        <f t="shared" si="86"/>
        <v>0</v>
      </c>
    </row>
    <row r="1832" spans="1:19" ht="18" customHeight="1" x14ac:dyDescent="0.25">
      <c r="A1832" s="68"/>
      <c r="B1832" s="69"/>
      <c r="C1832" s="74"/>
      <c r="D1832" s="69"/>
      <c r="E1832" s="68"/>
      <c r="F1832" s="71"/>
      <c r="G1832" s="72"/>
      <c r="H1832" s="73"/>
      <c r="I1832" s="74"/>
      <c r="J1832" s="74"/>
      <c r="K1832" s="74"/>
      <c r="L1832" s="74"/>
      <c r="M1832" s="74"/>
      <c r="N1832" s="74"/>
      <c r="O1832" s="82">
        <f t="shared" si="84"/>
        <v>0</v>
      </c>
      <c r="P1832" s="82">
        <f t="shared" si="85"/>
        <v>0</v>
      </c>
      <c r="Q1832" s="74"/>
      <c r="R1832" s="76"/>
      <c r="S1832" s="84">
        <f t="shared" si="86"/>
        <v>0</v>
      </c>
    </row>
    <row r="1833" spans="1:19" ht="18" customHeight="1" x14ac:dyDescent="0.25">
      <c r="A1833" s="59"/>
      <c r="B1833" s="60"/>
      <c r="C1833" s="65"/>
      <c r="D1833" s="60"/>
      <c r="E1833" s="59"/>
      <c r="F1833" s="62"/>
      <c r="G1833" s="63"/>
      <c r="H1833" s="64"/>
      <c r="I1833" s="65"/>
      <c r="J1833" s="65"/>
      <c r="K1833" s="65"/>
      <c r="L1833" s="65"/>
      <c r="M1833" s="65"/>
      <c r="N1833" s="65"/>
      <c r="O1833" s="81">
        <f t="shared" si="84"/>
        <v>0</v>
      </c>
      <c r="P1833" s="81">
        <f t="shared" si="85"/>
        <v>0</v>
      </c>
      <c r="Q1833" s="65"/>
      <c r="R1833" s="67"/>
      <c r="S1833" s="83">
        <f t="shared" si="86"/>
        <v>0</v>
      </c>
    </row>
    <row r="1834" spans="1:19" ht="18" customHeight="1" x14ac:dyDescent="0.25">
      <c r="A1834" s="68"/>
      <c r="B1834" s="69"/>
      <c r="C1834" s="74"/>
      <c r="D1834" s="69"/>
      <c r="E1834" s="68"/>
      <c r="F1834" s="71"/>
      <c r="G1834" s="72"/>
      <c r="H1834" s="73"/>
      <c r="I1834" s="74"/>
      <c r="J1834" s="74"/>
      <c r="K1834" s="74"/>
      <c r="L1834" s="74"/>
      <c r="M1834" s="74"/>
      <c r="N1834" s="74"/>
      <c r="O1834" s="82">
        <f t="shared" si="84"/>
        <v>0</v>
      </c>
      <c r="P1834" s="82">
        <f t="shared" si="85"/>
        <v>0</v>
      </c>
      <c r="Q1834" s="74"/>
      <c r="R1834" s="76"/>
      <c r="S1834" s="84">
        <f t="shared" si="86"/>
        <v>0</v>
      </c>
    </row>
    <row r="1835" spans="1:19" ht="18" customHeight="1" x14ac:dyDescent="0.25">
      <c r="A1835" s="59"/>
      <c r="B1835" s="60"/>
      <c r="C1835" s="65"/>
      <c r="D1835" s="60"/>
      <c r="E1835" s="59"/>
      <c r="F1835" s="62"/>
      <c r="G1835" s="63"/>
      <c r="H1835" s="64"/>
      <c r="I1835" s="65"/>
      <c r="J1835" s="65"/>
      <c r="K1835" s="65"/>
      <c r="L1835" s="65"/>
      <c r="M1835" s="65"/>
      <c r="N1835" s="65"/>
      <c r="O1835" s="81">
        <f t="shared" si="84"/>
        <v>0</v>
      </c>
      <c r="P1835" s="81">
        <f t="shared" si="85"/>
        <v>0</v>
      </c>
      <c r="Q1835" s="65"/>
      <c r="R1835" s="67"/>
      <c r="S1835" s="83">
        <f t="shared" si="86"/>
        <v>0</v>
      </c>
    </row>
    <row r="1836" spans="1:19" ht="18" customHeight="1" x14ac:dyDescent="0.25">
      <c r="A1836" s="68"/>
      <c r="B1836" s="69"/>
      <c r="C1836" s="74"/>
      <c r="D1836" s="69"/>
      <c r="E1836" s="68"/>
      <c r="F1836" s="71"/>
      <c r="G1836" s="72"/>
      <c r="H1836" s="73"/>
      <c r="I1836" s="74"/>
      <c r="J1836" s="74"/>
      <c r="K1836" s="74"/>
      <c r="L1836" s="74"/>
      <c r="M1836" s="74"/>
      <c r="N1836" s="74"/>
      <c r="O1836" s="82">
        <f t="shared" si="84"/>
        <v>0</v>
      </c>
      <c r="P1836" s="82">
        <f t="shared" si="85"/>
        <v>0</v>
      </c>
      <c r="Q1836" s="74"/>
      <c r="R1836" s="76"/>
      <c r="S1836" s="84">
        <f t="shared" si="86"/>
        <v>0</v>
      </c>
    </row>
    <row r="1837" spans="1:19" ht="18" customHeight="1" x14ac:dyDescent="0.25">
      <c r="A1837" s="59"/>
      <c r="B1837" s="60"/>
      <c r="C1837" s="65"/>
      <c r="D1837" s="60"/>
      <c r="E1837" s="59"/>
      <c r="F1837" s="62"/>
      <c r="G1837" s="63"/>
      <c r="H1837" s="64"/>
      <c r="I1837" s="65"/>
      <c r="J1837" s="65"/>
      <c r="K1837" s="65"/>
      <c r="L1837" s="65"/>
      <c r="M1837" s="65"/>
      <c r="N1837" s="65"/>
      <c r="O1837" s="81">
        <f t="shared" si="84"/>
        <v>0</v>
      </c>
      <c r="P1837" s="81">
        <f t="shared" si="85"/>
        <v>0</v>
      </c>
      <c r="Q1837" s="65"/>
      <c r="R1837" s="67"/>
      <c r="S1837" s="83">
        <f t="shared" si="86"/>
        <v>0</v>
      </c>
    </row>
    <row r="1838" spans="1:19" ht="18" customHeight="1" x14ac:dyDescent="0.25">
      <c r="A1838" s="68"/>
      <c r="B1838" s="69"/>
      <c r="C1838" s="74"/>
      <c r="D1838" s="69"/>
      <c r="E1838" s="68"/>
      <c r="F1838" s="71"/>
      <c r="G1838" s="72"/>
      <c r="H1838" s="73"/>
      <c r="I1838" s="74"/>
      <c r="J1838" s="74"/>
      <c r="K1838" s="74"/>
      <c r="L1838" s="74"/>
      <c r="M1838" s="74"/>
      <c r="N1838" s="74"/>
      <c r="O1838" s="82">
        <f t="shared" si="84"/>
        <v>0</v>
      </c>
      <c r="P1838" s="82">
        <f t="shared" si="85"/>
        <v>0</v>
      </c>
      <c r="Q1838" s="74"/>
      <c r="R1838" s="76"/>
      <c r="S1838" s="84">
        <f t="shared" si="86"/>
        <v>0</v>
      </c>
    </row>
    <row r="1839" spans="1:19" ht="18" customHeight="1" x14ac:dyDescent="0.25">
      <c r="A1839" s="59"/>
      <c r="B1839" s="60"/>
      <c r="C1839" s="65"/>
      <c r="D1839" s="60"/>
      <c r="E1839" s="59"/>
      <c r="F1839" s="62"/>
      <c r="G1839" s="63"/>
      <c r="H1839" s="64"/>
      <c r="I1839" s="65"/>
      <c r="J1839" s="65"/>
      <c r="K1839" s="65"/>
      <c r="L1839" s="65"/>
      <c r="M1839" s="65"/>
      <c r="N1839" s="65"/>
      <c r="O1839" s="81">
        <f t="shared" si="84"/>
        <v>0</v>
      </c>
      <c r="P1839" s="81">
        <f t="shared" si="85"/>
        <v>0</v>
      </c>
      <c r="Q1839" s="65"/>
      <c r="R1839" s="67"/>
      <c r="S1839" s="83">
        <f t="shared" si="86"/>
        <v>0</v>
      </c>
    </row>
    <row r="1840" spans="1:19" ht="18" customHeight="1" x14ac:dyDescent="0.25">
      <c r="A1840" s="68"/>
      <c r="B1840" s="69"/>
      <c r="C1840" s="74"/>
      <c r="D1840" s="69"/>
      <c r="E1840" s="68"/>
      <c r="F1840" s="71"/>
      <c r="G1840" s="72"/>
      <c r="H1840" s="73"/>
      <c r="I1840" s="74"/>
      <c r="J1840" s="74"/>
      <c r="K1840" s="74"/>
      <c r="L1840" s="74"/>
      <c r="M1840" s="74"/>
      <c r="N1840" s="74"/>
      <c r="O1840" s="82">
        <f t="shared" si="84"/>
        <v>0</v>
      </c>
      <c r="P1840" s="82">
        <f t="shared" si="85"/>
        <v>0</v>
      </c>
      <c r="Q1840" s="74"/>
      <c r="R1840" s="76"/>
      <c r="S1840" s="84">
        <f t="shared" si="86"/>
        <v>0</v>
      </c>
    </row>
    <row r="1841" spans="1:19" ht="18" customHeight="1" x14ac:dyDescent="0.25">
      <c r="A1841" s="59"/>
      <c r="B1841" s="60"/>
      <c r="C1841" s="65"/>
      <c r="D1841" s="60"/>
      <c r="E1841" s="59"/>
      <c r="F1841" s="62"/>
      <c r="G1841" s="63"/>
      <c r="H1841" s="64"/>
      <c r="I1841" s="65"/>
      <c r="J1841" s="65"/>
      <c r="K1841" s="65"/>
      <c r="L1841" s="65"/>
      <c r="M1841" s="65"/>
      <c r="N1841" s="65"/>
      <c r="O1841" s="81">
        <f t="shared" si="84"/>
        <v>0</v>
      </c>
      <c r="P1841" s="81">
        <f t="shared" si="85"/>
        <v>0</v>
      </c>
      <c r="Q1841" s="65"/>
      <c r="R1841" s="67"/>
      <c r="S1841" s="83">
        <f t="shared" si="86"/>
        <v>0</v>
      </c>
    </row>
    <row r="1842" spans="1:19" ht="18" customHeight="1" x14ac:dyDescent="0.25">
      <c r="A1842" s="68"/>
      <c r="B1842" s="69"/>
      <c r="C1842" s="74"/>
      <c r="D1842" s="69"/>
      <c r="E1842" s="68"/>
      <c r="F1842" s="71"/>
      <c r="G1842" s="72"/>
      <c r="H1842" s="73"/>
      <c r="I1842" s="74"/>
      <c r="J1842" s="74"/>
      <c r="K1842" s="74"/>
      <c r="L1842" s="74"/>
      <c r="M1842" s="74"/>
      <c r="N1842" s="74"/>
      <c r="O1842" s="82">
        <f t="shared" si="84"/>
        <v>0</v>
      </c>
      <c r="P1842" s="82">
        <f t="shared" si="85"/>
        <v>0</v>
      </c>
      <c r="Q1842" s="74"/>
      <c r="R1842" s="76"/>
      <c r="S1842" s="84">
        <f t="shared" si="86"/>
        <v>0</v>
      </c>
    </row>
    <row r="1843" spans="1:19" ht="18" customHeight="1" x14ac:dyDescent="0.25">
      <c r="A1843" s="59"/>
      <c r="B1843" s="60"/>
      <c r="C1843" s="65"/>
      <c r="D1843" s="60"/>
      <c r="E1843" s="59"/>
      <c r="F1843" s="62"/>
      <c r="G1843" s="63"/>
      <c r="H1843" s="64"/>
      <c r="I1843" s="65"/>
      <c r="J1843" s="65"/>
      <c r="K1843" s="65"/>
      <c r="L1843" s="65"/>
      <c r="M1843" s="65"/>
      <c r="N1843" s="65"/>
      <c r="O1843" s="81">
        <f t="shared" si="84"/>
        <v>0</v>
      </c>
      <c r="P1843" s="81">
        <f t="shared" si="85"/>
        <v>0</v>
      </c>
      <c r="Q1843" s="65"/>
      <c r="R1843" s="67"/>
      <c r="S1843" s="83">
        <f t="shared" si="86"/>
        <v>0</v>
      </c>
    </row>
    <row r="1844" spans="1:19" ht="18" customHeight="1" x14ac:dyDescent="0.25">
      <c r="A1844" s="68"/>
      <c r="B1844" s="69"/>
      <c r="C1844" s="74"/>
      <c r="D1844" s="69"/>
      <c r="E1844" s="68"/>
      <c r="F1844" s="71"/>
      <c r="G1844" s="72"/>
      <c r="H1844" s="73"/>
      <c r="I1844" s="74"/>
      <c r="J1844" s="74"/>
      <c r="K1844" s="74"/>
      <c r="L1844" s="74"/>
      <c r="M1844" s="74"/>
      <c r="N1844" s="74"/>
      <c r="O1844" s="82">
        <f t="shared" si="84"/>
        <v>0</v>
      </c>
      <c r="P1844" s="82">
        <f t="shared" si="85"/>
        <v>0</v>
      </c>
      <c r="Q1844" s="74"/>
      <c r="R1844" s="76"/>
      <c r="S1844" s="84">
        <f t="shared" si="86"/>
        <v>0</v>
      </c>
    </row>
    <row r="1845" spans="1:19" ht="18" customHeight="1" x14ac:dyDescent="0.25">
      <c r="A1845" s="59"/>
      <c r="B1845" s="60"/>
      <c r="C1845" s="65"/>
      <c r="D1845" s="60"/>
      <c r="E1845" s="59"/>
      <c r="F1845" s="62"/>
      <c r="G1845" s="63"/>
      <c r="H1845" s="64"/>
      <c r="I1845" s="65"/>
      <c r="J1845" s="65"/>
      <c r="K1845" s="65"/>
      <c r="L1845" s="65"/>
      <c r="M1845" s="65"/>
      <c r="N1845" s="65"/>
      <c r="O1845" s="81">
        <f t="shared" si="84"/>
        <v>0</v>
      </c>
      <c r="P1845" s="81">
        <f t="shared" si="85"/>
        <v>0</v>
      </c>
      <c r="Q1845" s="65"/>
      <c r="R1845" s="67"/>
      <c r="S1845" s="83">
        <f t="shared" si="86"/>
        <v>0</v>
      </c>
    </row>
    <row r="1846" spans="1:19" ht="18" customHeight="1" x14ac:dyDescent="0.25">
      <c r="A1846" s="68"/>
      <c r="B1846" s="69"/>
      <c r="C1846" s="74"/>
      <c r="D1846" s="69"/>
      <c r="E1846" s="68"/>
      <c r="F1846" s="71"/>
      <c r="G1846" s="72"/>
      <c r="H1846" s="73"/>
      <c r="I1846" s="74"/>
      <c r="J1846" s="74"/>
      <c r="K1846" s="74"/>
      <c r="L1846" s="74"/>
      <c r="M1846" s="74"/>
      <c r="N1846" s="74"/>
      <c r="O1846" s="82">
        <f t="shared" si="84"/>
        <v>0</v>
      </c>
      <c r="P1846" s="82">
        <f t="shared" si="85"/>
        <v>0</v>
      </c>
      <c r="Q1846" s="74"/>
      <c r="R1846" s="76"/>
      <c r="S1846" s="84">
        <f t="shared" si="86"/>
        <v>0</v>
      </c>
    </row>
    <row r="1847" spans="1:19" ht="18" customHeight="1" x14ac:dyDescent="0.25">
      <c r="A1847" s="59"/>
      <c r="B1847" s="60"/>
      <c r="C1847" s="65"/>
      <c r="D1847" s="60"/>
      <c r="E1847" s="59"/>
      <c r="F1847" s="62"/>
      <c r="G1847" s="63"/>
      <c r="H1847" s="64"/>
      <c r="I1847" s="65"/>
      <c r="J1847" s="65"/>
      <c r="K1847" s="65"/>
      <c r="L1847" s="65"/>
      <c r="M1847" s="65"/>
      <c r="N1847" s="65"/>
      <c r="O1847" s="81">
        <f t="shared" si="84"/>
        <v>0</v>
      </c>
      <c r="P1847" s="81">
        <f t="shared" si="85"/>
        <v>0</v>
      </c>
      <c r="Q1847" s="65"/>
      <c r="R1847" s="67"/>
      <c r="S1847" s="83">
        <f t="shared" si="86"/>
        <v>0</v>
      </c>
    </row>
    <row r="1848" spans="1:19" ht="18" customHeight="1" x14ac:dyDescent="0.25">
      <c r="A1848" s="68"/>
      <c r="B1848" s="69"/>
      <c r="C1848" s="74"/>
      <c r="D1848" s="69"/>
      <c r="E1848" s="68"/>
      <c r="F1848" s="71"/>
      <c r="G1848" s="72"/>
      <c r="H1848" s="73"/>
      <c r="I1848" s="74"/>
      <c r="J1848" s="74"/>
      <c r="K1848" s="74"/>
      <c r="L1848" s="74"/>
      <c r="M1848" s="74"/>
      <c r="N1848" s="74"/>
      <c r="O1848" s="82">
        <f t="shared" si="84"/>
        <v>0</v>
      </c>
      <c r="P1848" s="82">
        <f t="shared" si="85"/>
        <v>0</v>
      </c>
      <c r="Q1848" s="74"/>
      <c r="R1848" s="76"/>
      <c r="S1848" s="84">
        <f t="shared" si="86"/>
        <v>0</v>
      </c>
    </row>
    <row r="1849" spans="1:19" ht="18" customHeight="1" x14ac:dyDescent="0.25">
      <c r="A1849" s="59"/>
      <c r="B1849" s="60"/>
      <c r="C1849" s="65"/>
      <c r="D1849" s="60"/>
      <c r="E1849" s="59"/>
      <c r="F1849" s="62"/>
      <c r="G1849" s="63"/>
      <c r="H1849" s="64"/>
      <c r="I1849" s="65"/>
      <c r="J1849" s="65"/>
      <c r="K1849" s="65"/>
      <c r="L1849" s="65"/>
      <c r="M1849" s="65"/>
      <c r="N1849" s="65"/>
      <c r="O1849" s="81">
        <f t="shared" si="84"/>
        <v>0</v>
      </c>
      <c r="P1849" s="81">
        <f t="shared" si="85"/>
        <v>0</v>
      </c>
      <c r="Q1849" s="65"/>
      <c r="R1849" s="67"/>
      <c r="S1849" s="83">
        <f t="shared" si="86"/>
        <v>0</v>
      </c>
    </row>
    <row r="1850" spans="1:19" ht="18" customHeight="1" x14ac:dyDescent="0.25">
      <c r="A1850" s="68"/>
      <c r="B1850" s="69"/>
      <c r="C1850" s="74"/>
      <c r="D1850" s="69"/>
      <c r="E1850" s="68"/>
      <c r="F1850" s="71"/>
      <c r="G1850" s="72"/>
      <c r="H1850" s="73"/>
      <c r="I1850" s="74"/>
      <c r="J1850" s="74"/>
      <c r="K1850" s="74"/>
      <c r="L1850" s="74"/>
      <c r="M1850" s="74"/>
      <c r="N1850" s="74"/>
      <c r="O1850" s="82">
        <f t="shared" si="84"/>
        <v>0</v>
      </c>
      <c r="P1850" s="82">
        <f t="shared" si="85"/>
        <v>0</v>
      </c>
      <c r="Q1850" s="74"/>
      <c r="R1850" s="76"/>
      <c r="S1850" s="84">
        <f t="shared" si="86"/>
        <v>0</v>
      </c>
    </row>
    <row r="1851" spans="1:19" ht="18" customHeight="1" x14ac:dyDescent="0.25">
      <c r="A1851" s="59"/>
      <c r="B1851" s="60"/>
      <c r="C1851" s="65"/>
      <c r="D1851" s="60"/>
      <c r="E1851" s="59"/>
      <c r="F1851" s="62"/>
      <c r="G1851" s="63"/>
      <c r="H1851" s="64"/>
      <c r="I1851" s="65"/>
      <c r="J1851" s="65"/>
      <c r="K1851" s="65"/>
      <c r="L1851" s="65"/>
      <c r="M1851" s="65"/>
      <c r="N1851" s="65"/>
      <c r="O1851" s="81">
        <f t="shared" si="84"/>
        <v>0</v>
      </c>
      <c r="P1851" s="81">
        <f t="shared" si="85"/>
        <v>0</v>
      </c>
      <c r="Q1851" s="65"/>
      <c r="R1851" s="67"/>
      <c r="S1851" s="83">
        <f t="shared" si="86"/>
        <v>0</v>
      </c>
    </row>
    <row r="1852" spans="1:19" ht="18" customHeight="1" x14ac:dyDescent="0.25">
      <c r="A1852" s="68"/>
      <c r="B1852" s="69"/>
      <c r="C1852" s="74"/>
      <c r="D1852" s="69"/>
      <c r="E1852" s="68"/>
      <c r="F1852" s="71"/>
      <c r="G1852" s="72"/>
      <c r="H1852" s="73"/>
      <c r="I1852" s="74"/>
      <c r="J1852" s="74"/>
      <c r="K1852" s="74"/>
      <c r="L1852" s="74"/>
      <c r="M1852" s="74"/>
      <c r="N1852" s="74"/>
      <c r="O1852" s="82">
        <f t="shared" si="84"/>
        <v>0</v>
      </c>
      <c r="P1852" s="82">
        <f t="shared" si="85"/>
        <v>0</v>
      </c>
      <c r="Q1852" s="74"/>
      <c r="R1852" s="76"/>
      <c r="S1852" s="84">
        <f t="shared" si="86"/>
        <v>0</v>
      </c>
    </row>
    <row r="1853" spans="1:19" ht="18" customHeight="1" x14ac:dyDescent="0.25">
      <c r="A1853" s="59"/>
      <c r="B1853" s="60"/>
      <c r="C1853" s="65"/>
      <c r="D1853" s="60"/>
      <c r="E1853" s="59"/>
      <c r="F1853" s="62"/>
      <c r="G1853" s="63"/>
      <c r="H1853" s="64"/>
      <c r="I1853" s="65"/>
      <c r="J1853" s="65"/>
      <c r="K1853" s="65"/>
      <c r="L1853" s="65"/>
      <c r="M1853" s="65"/>
      <c r="N1853" s="65"/>
      <c r="O1853" s="81">
        <f t="shared" si="84"/>
        <v>0</v>
      </c>
      <c r="P1853" s="81">
        <f t="shared" si="85"/>
        <v>0</v>
      </c>
      <c r="Q1853" s="65"/>
      <c r="R1853" s="67"/>
      <c r="S1853" s="83">
        <f t="shared" si="86"/>
        <v>0</v>
      </c>
    </row>
    <row r="1854" spans="1:19" ht="18" customHeight="1" x14ac:dyDescent="0.25">
      <c r="A1854" s="68"/>
      <c r="B1854" s="69"/>
      <c r="C1854" s="74"/>
      <c r="D1854" s="69"/>
      <c r="E1854" s="68"/>
      <c r="F1854" s="71"/>
      <c r="G1854" s="72"/>
      <c r="H1854" s="73"/>
      <c r="I1854" s="74"/>
      <c r="J1854" s="74"/>
      <c r="K1854" s="74"/>
      <c r="L1854" s="74"/>
      <c r="M1854" s="74"/>
      <c r="N1854" s="74"/>
      <c r="O1854" s="82">
        <f t="shared" si="84"/>
        <v>0</v>
      </c>
      <c r="P1854" s="82">
        <f t="shared" si="85"/>
        <v>0</v>
      </c>
      <c r="Q1854" s="74"/>
      <c r="R1854" s="76"/>
      <c r="S1854" s="84">
        <f t="shared" si="86"/>
        <v>0</v>
      </c>
    </row>
    <row r="1855" spans="1:19" ht="18" customHeight="1" x14ac:dyDescent="0.25">
      <c r="A1855" s="59"/>
      <c r="B1855" s="60"/>
      <c r="C1855" s="65"/>
      <c r="D1855" s="60"/>
      <c r="E1855" s="59"/>
      <c r="F1855" s="62"/>
      <c r="G1855" s="63"/>
      <c r="H1855" s="64"/>
      <c r="I1855" s="65"/>
      <c r="J1855" s="65"/>
      <c r="K1855" s="65"/>
      <c r="L1855" s="65"/>
      <c r="M1855" s="65"/>
      <c r="N1855" s="65"/>
      <c r="O1855" s="81">
        <f t="shared" si="84"/>
        <v>0</v>
      </c>
      <c r="P1855" s="81">
        <f t="shared" si="85"/>
        <v>0</v>
      </c>
      <c r="Q1855" s="65"/>
      <c r="R1855" s="67"/>
      <c r="S1855" s="83">
        <f t="shared" si="86"/>
        <v>0</v>
      </c>
    </row>
    <row r="1856" spans="1:19" ht="18" customHeight="1" x14ac:dyDescent="0.25">
      <c r="A1856" s="68"/>
      <c r="B1856" s="69"/>
      <c r="C1856" s="74"/>
      <c r="D1856" s="69"/>
      <c r="E1856" s="68"/>
      <c r="F1856" s="71"/>
      <c r="G1856" s="72"/>
      <c r="H1856" s="73"/>
      <c r="I1856" s="74"/>
      <c r="J1856" s="74"/>
      <c r="K1856" s="74"/>
      <c r="L1856" s="74"/>
      <c r="M1856" s="74"/>
      <c r="N1856" s="74"/>
      <c r="O1856" s="82">
        <f t="shared" si="84"/>
        <v>0</v>
      </c>
      <c r="P1856" s="82">
        <f t="shared" si="85"/>
        <v>0</v>
      </c>
      <c r="Q1856" s="74"/>
      <c r="R1856" s="76"/>
      <c r="S1856" s="84">
        <f t="shared" si="86"/>
        <v>0</v>
      </c>
    </row>
    <row r="1857" spans="1:19" ht="18" customHeight="1" x14ac:dyDescent="0.25">
      <c r="A1857" s="59"/>
      <c r="B1857" s="60"/>
      <c r="C1857" s="65"/>
      <c r="D1857" s="60"/>
      <c r="E1857" s="59"/>
      <c r="F1857" s="62"/>
      <c r="G1857" s="63"/>
      <c r="H1857" s="64"/>
      <c r="I1857" s="65"/>
      <c r="J1857" s="65"/>
      <c r="K1857" s="65"/>
      <c r="L1857" s="65"/>
      <c r="M1857" s="65"/>
      <c r="N1857" s="65"/>
      <c r="O1857" s="81">
        <f t="shared" si="84"/>
        <v>0</v>
      </c>
      <c r="P1857" s="81">
        <f t="shared" si="85"/>
        <v>0</v>
      </c>
      <c r="Q1857" s="65"/>
      <c r="R1857" s="67"/>
      <c r="S1857" s="83">
        <f t="shared" si="86"/>
        <v>0</v>
      </c>
    </row>
    <row r="1858" spans="1:19" ht="18" customHeight="1" x14ac:dyDescent="0.25">
      <c r="A1858" s="68"/>
      <c r="B1858" s="69"/>
      <c r="C1858" s="74"/>
      <c r="D1858" s="69"/>
      <c r="E1858" s="68"/>
      <c r="F1858" s="71"/>
      <c r="G1858" s="72"/>
      <c r="H1858" s="73"/>
      <c r="I1858" s="74"/>
      <c r="J1858" s="74"/>
      <c r="K1858" s="74"/>
      <c r="L1858" s="74"/>
      <c r="M1858" s="74"/>
      <c r="N1858" s="74"/>
      <c r="O1858" s="82">
        <f t="shared" si="84"/>
        <v>0</v>
      </c>
      <c r="P1858" s="82">
        <f t="shared" si="85"/>
        <v>0</v>
      </c>
      <c r="Q1858" s="74"/>
      <c r="R1858" s="76"/>
      <c r="S1858" s="84">
        <f t="shared" si="86"/>
        <v>0</v>
      </c>
    </row>
    <row r="1859" spans="1:19" ht="18" customHeight="1" x14ac:dyDescent="0.25">
      <c r="A1859" s="59"/>
      <c r="B1859" s="60"/>
      <c r="C1859" s="65"/>
      <c r="D1859" s="60"/>
      <c r="E1859" s="59"/>
      <c r="F1859" s="62"/>
      <c r="G1859" s="63"/>
      <c r="H1859" s="64"/>
      <c r="I1859" s="65"/>
      <c r="J1859" s="65"/>
      <c r="K1859" s="65"/>
      <c r="L1859" s="65"/>
      <c r="M1859" s="65"/>
      <c r="N1859" s="65"/>
      <c r="O1859" s="81">
        <f t="shared" si="84"/>
        <v>0</v>
      </c>
      <c r="P1859" s="81">
        <f t="shared" si="85"/>
        <v>0</v>
      </c>
      <c r="Q1859" s="65"/>
      <c r="R1859" s="67"/>
      <c r="S1859" s="83">
        <f t="shared" si="86"/>
        <v>0</v>
      </c>
    </row>
    <row r="1860" spans="1:19" ht="18" customHeight="1" x14ac:dyDescent="0.25">
      <c r="A1860" s="68"/>
      <c r="B1860" s="69"/>
      <c r="C1860" s="74"/>
      <c r="D1860" s="69"/>
      <c r="E1860" s="68"/>
      <c r="F1860" s="71"/>
      <c r="G1860" s="72"/>
      <c r="H1860" s="73"/>
      <c r="I1860" s="74"/>
      <c r="J1860" s="74"/>
      <c r="K1860" s="74"/>
      <c r="L1860" s="74"/>
      <c r="M1860" s="74"/>
      <c r="N1860" s="74"/>
      <c r="O1860" s="82">
        <f t="shared" si="84"/>
        <v>0</v>
      </c>
      <c r="P1860" s="82">
        <f t="shared" si="85"/>
        <v>0</v>
      </c>
      <c r="Q1860" s="74"/>
      <c r="R1860" s="76"/>
      <c r="S1860" s="84">
        <f t="shared" si="86"/>
        <v>0</v>
      </c>
    </row>
    <row r="1861" spans="1:19" ht="18" customHeight="1" x14ac:dyDescent="0.25">
      <c r="A1861" s="59"/>
      <c r="B1861" s="60"/>
      <c r="C1861" s="65"/>
      <c r="D1861" s="60"/>
      <c r="E1861" s="59"/>
      <c r="F1861" s="62"/>
      <c r="G1861" s="63"/>
      <c r="H1861" s="64"/>
      <c r="I1861" s="65"/>
      <c r="J1861" s="65"/>
      <c r="K1861" s="65"/>
      <c r="L1861" s="65"/>
      <c r="M1861" s="65"/>
      <c r="N1861" s="65"/>
      <c r="O1861" s="81">
        <f t="shared" si="84"/>
        <v>0</v>
      </c>
      <c r="P1861" s="81">
        <f t="shared" si="85"/>
        <v>0</v>
      </c>
      <c r="Q1861" s="65"/>
      <c r="R1861" s="67"/>
      <c r="S1861" s="83">
        <f t="shared" si="86"/>
        <v>0</v>
      </c>
    </row>
    <row r="1862" spans="1:19" ht="18" customHeight="1" x14ac:dyDescent="0.25">
      <c r="A1862" s="68"/>
      <c r="B1862" s="69"/>
      <c r="C1862" s="74"/>
      <c r="D1862" s="69"/>
      <c r="E1862" s="68"/>
      <c r="F1862" s="71"/>
      <c r="G1862" s="72"/>
      <c r="H1862" s="73"/>
      <c r="I1862" s="74"/>
      <c r="J1862" s="74"/>
      <c r="K1862" s="74"/>
      <c r="L1862" s="74"/>
      <c r="M1862" s="74"/>
      <c r="N1862" s="74"/>
      <c r="O1862" s="82" t="e">
        <f>#N/A</f>
        <v>#N/A</v>
      </c>
      <c r="P1862" s="82" t="e">
        <f>#N/A</f>
        <v>#N/A</v>
      </c>
      <c r="Q1862" s="74"/>
      <c r="R1862" s="76"/>
      <c r="S1862" s="84">
        <f t="shared" si="86"/>
        <v>0</v>
      </c>
    </row>
    <row r="1863" spans="1:19" ht="18" customHeight="1" x14ac:dyDescent="0.25">
      <c r="A1863" s="59"/>
      <c r="B1863" s="60"/>
      <c r="C1863" s="65"/>
      <c r="D1863" s="60"/>
      <c r="E1863" s="59"/>
      <c r="F1863" s="62"/>
      <c r="G1863" s="63"/>
      <c r="H1863" s="64"/>
      <c r="I1863" s="65"/>
      <c r="J1863" s="65"/>
      <c r="K1863" s="65"/>
      <c r="L1863" s="65"/>
      <c r="M1863" s="65"/>
      <c r="N1863" s="65"/>
      <c r="O1863" s="81">
        <f t="shared" ref="O1863:O1925" si="87">IF(G1863="Reimbursement ","",I1863+J1863+K1863+L1863+M1863)</f>
        <v>0</v>
      </c>
      <c r="P1863" s="81">
        <f t="shared" ref="P1863:P1925" si="88">IF(G1863="Reimbursement ","",H1863-O1863)</f>
        <v>0</v>
      </c>
      <c r="Q1863" s="65"/>
      <c r="R1863" s="67"/>
      <c r="S1863" s="83">
        <f t="shared" ref="S1863:S1926" si="89">IF(OR(R1863="",Q1863=""),0,IF(R1863&gt;Q1863,R1863-Q1863,0))</f>
        <v>0</v>
      </c>
    </row>
    <row r="1864" spans="1:19" ht="18" customHeight="1" x14ac:dyDescent="0.25">
      <c r="A1864" s="68"/>
      <c r="B1864" s="69"/>
      <c r="C1864" s="74"/>
      <c r="D1864" s="69"/>
      <c r="E1864" s="68"/>
      <c r="F1864" s="71"/>
      <c r="G1864" s="72"/>
      <c r="H1864" s="73"/>
      <c r="I1864" s="74"/>
      <c r="J1864" s="74"/>
      <c r="K1864" s="74"/>
      <c r="L1864" s="74"/>
      <c r="M1864" s="74"/>
      <c r="N1864" s="74"/>
      <c r="O1864" s="82">
        <f t="shared" si="87"/>
        <v>0</v>
      </c>
      <c r="P1864" s="82">
        <f t="shared" si="88"/>
        <v>0</v>
      </c>
      <c r="Q1864" s="74"/>
      <c r="R1864" s="76"/>
      <c r="S1864" s="84">
        <f t="shared" si="89"/>
        <v>0</v>
      </c>
    </row>
    <row r="1865" spans="1:19" ht="18" customHeight="1" x14ac:dyDescent="0.25">
      <c r="A1865" s="59"/>
      <c r="B1865" s="60"/>
      <c r="C1865" s="65"/>
      <c r="D1865" s="60"/>
      <c r="E1865" s="59"/>
      <c r="F1865" s="62"/>
      <c r="G1865" s="63"/>
      <c r="H1865" s="64"/>
      <c r="I1865" s="65"/>
      <c r="J1865" s="65"/>
      <c r="K1865" s="65"/>
      <c r="L1865" s="65"/>
      <c r="M1865" s="65"/>
      <c r="N1865" s="65"/>
      <c r="O1865" s="81">
        <f t="shared" si="87"/>
        <v>0</v>
      </c>
      <c r="P1865" s="81">
        <f t="shared" si="88"/>
        <v>0</v>
      </c>
      <c r="Q1865" s="65"/>
      <c r="R1865" s="67"/>
      <c r="S1865" s="83">
        <f t="shared" si="89"/>
        <v>0</v>
      </c>
    </row>
    <row r="1866" spans="1:19" ht="18" customHeight="1" x14ac:dyDescent="0.25">
      <c r="A1866" s="68"/>
      <c r="B1866" s="69"/>
      <c r="C1866" s="74"/>
      <c r="D1866" s="69"/>
      <c r="E1866" s="68"/>
      <c r="F1866" s="71"/>
      <c r="G1866" s="72"/>
      <c r="H1866" s="73"/>
      <c r="I1866" s="74"/>
      <c r="J1866" s="74"/>
      <c r="K1866" s="74"/>
      <c r="L1866" s="74"/>
      <c r="M1866" s="74"/>
      <c r="N1866" s="74"/>
      <c r="O1866" s="82">
        <f t="shared" si="87"/>
        <v>0</v>
      </c>
      <c r="P1866" s="82">
        <f t="shared" si="88"/>
        <v>0</v>
      </c>
      <c r="Q1866" s="74"/>
      <c r="R1866" s="76"/>
      <c r="S1866" s="84">
        <f t="shared" si="89"/>
        <v>0</v>
      </c>
    </row>
    <row r="1867" spans="1:19" ht="18" customHeight="1" x14ac:dyDescent="0.25">
      <c r="A1867" s="59"/>
      <c r="B1867" s="60"/>
      <c r="C1867" s="65"/>
      <c r="D1867" s="60"/>
      <c r="E1867" s="59"/>
      <c r="F1867" s="62"/>
      <c r="G1867" s="63"/>
      <c r="H1867" s="64"/>
      <c r="I1867" s="65"/>
      <c r="J1867" s="65"/>
      <c r="K1867" s="65"/>
      <c r="L1867" s="65"/>
      <c r="M1867" s="65"/>
      <c r="N1867" s="65"/>
      <c r="O1867" s="81">
        <f t="shared" si="87"/>
        <v>0</v>
      </c>
      <c r="P1867" s="81">
        <f t="shared" si="88"/>
        <v>0</v>
      </c>
      <c r="Q1867" s="65"/>
      <c r="R1867" s="67"/>
      <c r="S1867" s="83">
        <f t="shared" si="89"/>
        <v>0</v>
      </c>
    </row>
    <row r="1868" spans="1:19" ht="18" customHeight="1" x14ac:dyDescent="0.25">
      <c r="A1868" s="68"/>
      <c r="B1868" s="69"/>
      <c r="C1868" s="74"/>
      <c r="D1868" s="69"/>
      <c r="E1868" s="68"/>
      <c r="F1868" s="71"/>
      <c r="G1868" s="72"/>
      <c r="H1868" s="73"/>
      <c r="I1868" s="74"/>
      <c r="J1868" s="74"/>
      <c r="K1868" s="74"/>
      <c r="L1868" s="74"/>
      <c r="M1868" s="74"/>
      <c r="N1868" s="74"/>
      <c r="O1868" s="82">
        <f t="shared" si="87"/>
        <v>0</v>
      </c>
      <c r="P1868" s="82">
        <f t="shared" si="88"/>
        <v>0</v>
      </c>
      <c r="Q1868" s="74"/>
      <c r="R1868" s="76"/>
      <c r="S1868" s="84">
        <f t="shared" si="89"/>
        <v>0</v>
      </c>
    </row>
    <row r="1869" spans="1:19" ht="18" customHeight="1" x14ac:dyDescent="0.25">
      <c r="A1869" s="59"/>
      <c r="B1869" s="60"/>
      <c r="C1869" s="65"/>
      <c r="D1869" s="60"/>
      <c r="E1869" s="59"/>
      <c r="F1869" s="62"/>
      <c r="G1869" s="63"/>
      <c r="H1869" s="64"/>
      <c r="I1869" s="65"/>
      <c r="J1869" s="65"/>
      <c r="K1869" s="65"/>
      <c r="L1869" s="65"/>
      <c r="M1869" s="65"/>
      <c r="N1869" s="65"/>
      <c r="O1869" s="81">
        <f t="shared" si="87"/>
        <v>0</v>
      </c>
      <c r="P1869" s="81">
        <f t="shared" si="88"/>
        <v>0</v>
      </c>
      <c r="Q1869" s="65"/>
      <c r="R1869" s="67"/>
      <c r="S1869" s="83">
        <f t="shared" si="89"/>
        <v>0</v>
      </c>
    </row>
    <row r="1870" spans="1:19" ht="18" customHeight="1" x14ac:dyDescent="0.25">
      <c r="A1870" s="68"/>
      <c r="B1870" s="69"/>
      <c r="C1870" s="74"/>
      <c r="D1870" s="69"/>
      <c r="E1870" s="68"/>
      <c r="F1870" s="71"/>
      <c r="G1870" s="72"/>
      <c r="H1870" s="73"/>
      <c r="I1870" s="74"/>
      <c r="J1870" s="74"/>
      <c r="K1870" s="74"/>
      <c r="L1870" s="74"/>
      <c r="M1870" s="74"/>
      <c r="N1870" s="74"/>
      <c r="O1870" s="82">
        <f t="shared" si="87"/>
        <v>0</v>
      </c>
      <c r="P1870" s="82">
        <f t="shared" si="88"/>
        <v>0</v>
      </c>
      <c r="Q1870" s="74"/>
      <c r="R1870" s="76"/>
      <c r="S1870" s="84">
        <f t="shared" si="89"/>
        <v>0</v>
      </c>
    </row>
    <row r="1871" spans="1:19" ht="18" customHeight="1" x14ac:dyDescent="0.25">
      <c r="A1871" s="59"/>
      <c r="B1871" s="60"/>
      <c r="C1871" s="65"/>
      <c r="D1871" s="60"/>
      <c r="E1871" s="59"/>
      <c r="F1871" s="62"/>
      <c r="G1871" s="63"/>
      <c r="H1871" s="64"/>
      <c r="I1871" s="65"/>
      <c r="J1871" s="65"/>
      <c r="K1871" s="65"/>
      <c r="L1871" s="65"/>
      <c r="M1871" s="65"/>
      <c r="N1871" s="65"/>
      <c r="O1871" s="81">
        <f t="shared" si="87"/>
        <v>0</v>
      </c>
      <c r="P1871" s="81">
        <f t="shared" si="88"/>
        <v>0</v>
      </c>
      <c r="Q1871" s="65"/>
      <c r="R1871" s="67"/>
      <c r="S1871" s="83">
        <f t="shared" si="89"/>
        <v>0</v>
      </c>
    </row>
    <row r="1872" spans="1:19" ht="18" customHeight="1" x14ac:dyDescent="0.25">
      <c r="A1872" s="68"/>
      <c r="B1872" s="69"/>
      <c r="C1872" s="74"/>
      <c r="D1872" s="69"/>
      <c r="E1872" s="68"/>
      <c r="F1872" s="71"/>
      <c r="G1872" s="72"/>
      <c r="H1872" s="73"/>
      <c r="I1872" s="74"/>
      <c r="J1872" s="74"/>
      <c r="K1872" s="74"/>
      <c r="L1872" s="74"/>
      <c r="M1872" s="74"/>
      <c r="N1872" s="74"/>
      <c r="O1872" s="82">
        <f t="shared" si="87"/>
        <v>0</v>
      </c>
      <c r="P1872" s="82">
        <f t="shared" si="88"/>
        <v>0</v>
      </c>
      <c r="Q1872" s="74"/>
      <c r="R1872" s="76"/>
      <c r="S1872" s="84">
        <f t="shared" si="89"/>
        <v>0</v>
      </c>
    </row>
    <row r="1873" spans="1:19" ht="18" customHeight="1" x14ac:dyDescent="0.25">
      <c r="A1873" s="59"/>
      <c r="B1873" s="60"/>
      <c r="C1873" s="65"/>
      <c r="D1873" s="60"/>
      <c r="E1873" s="59"/>
      <c r="F1873" s="62"/>
      <c r="G1873" s="63"/>
      <c r="H1873" s="64"/>
      <c r="I1873" s="65"/>
      <c r="J1873" s="65"/>
      <c r="K1873" s="65"/>
      <c r="L1873" s="65"/>
      <c r="M1873" s="65"/>
      <c r="N1873" s="65"/>
      <c r="O1873" s="81">
        <f t="shared" si="87"/>
        <v>0</v>
      </c>
      <c r="P1873" s="81">
        <f t="shared" si="88"/>
        <v>0</v>
      </c>
      <c r="Q1873" s="65"/>
      <c r="R1873" s="67"/>
      <c r="S1873" s="83">
        <f t="shared" si="89"/>
        <v>0</v>
      </c>
    </row>
    <row r="1874" spans="1:19" ht="18" customHeight="1" x14ac:dyDescent="0.25">
      <c r="A1874" s="68"/>
      <c r="B1874" s="69"/>
      <c r="C1874" s="74"/>
      <c r="D1874" s="69"/>
      <c r="E1874" s="68"/>
      <c r="F1874" s="71"/>
      <c r="G1874" s="72"/>
      <c r="H1874" s="73"/>
      <c r="I1874" s="74"/>
      <c r="J1874" s="74"/>
      <c r="K1874" s="74"/>
      <c r="L1874" s="74"/>
      <c r="M1874" s="74"/>
      <c r="N1874" s="74"/>
      <c r="O1874" s="82">
        <f t="shared" si="87"/>
        <v>0</v>
      </c>
      <c r="P1874" s="82">
        <f t="shared" si="88"/>
        <v>0</v>
      </c>
      <c r="Q1874" s="74"/>
      <c r="R1874" s="76"/>
      <c r="S1874" s="84">
        <f t="shared" si="89"/>
        <v>0</v>
      </c>
    </row>
    <row r="1875" spans="1:19" ht="18" customHeight="1" x14ac:dyDescent="0.25">
      <c r="A1875" s="59"/>
      <c r="B1875" s="60"/>
      <c r="C1875" s="65"/>
      <c r="D1875" s="60"/>
      <c r="E1875" s="59"/>
      <c r="F1875" s="62"/>
      <c r="G1875" s="63"/>
      <c r="H1875" s="64"/>
      <c r="I1875" s="65"/>
      <c r="J1875" s="65"/>
      <c r="K1875" s="65"/>
      <c r="L1875" s="65"/>
      <c r="M1875" s="65"/>
      <c r="N1875" s="65"/>
      <c r="O1875" s="81">
        <f t="shared" si="87"/>
        <v>0</v>
      </c>
      <c r="P1875" s="81">
        <f t="shared" si="88"/>
        <v>0</v>
      </c>
      <c r="Q1875" s="65"/>
      <c r="R1875" s="67"/>
      <c r="S1875" s="83">
        <f t="shared" si="89"/>
        <v>0</v>
      </c>
    </row>
    <row r="1876" spans="1:19" ht="18" customHeight="1" x14ac:dyDescent="0.25">
      <c r="A1876" s="68"/>
      <c r="B1876" s="69"/>
      <c r="C1876" s="74"/>
      <c r="D1876" s="69"/>
      <c r="E1876" s="68"/>
      <c r="F1876" s="71"/>
      <c r="G1876" s="72"/>
      <c r="H1876" s="73"/>
      <c r="I1876" s="74"/>
      <c r="J1876" s="74"/>
      <c r="K1876" s="74"/>
      <c r="L1876" s="74"/>
      <c r="M1876" s="74"/>
      <c r="N1876" s="74"/>
      <c r="O1876" s="82">
        <f t="shared" si="87"/>
        <v>0</v>
      </c>
      <c r="P1876" s="82">
        <f t="shared" si="88"/>
        <v>0</v>
      </c>
      <c r="Q1876" s="74"/>
      <c r="R1876" s="76"/>
      <c r="S1876" s="84">
        <f t="shared" si="89"/>
        <v>0</v>
      </c>
    </row>
    <row r="1877" spans="1:19" ht="18" customHeight="1" x14ac:dyDescent="0.25">
      <c r="A1877" s="59"/>
      <c r="B1877" s="60"/>
      <c r="C1877" s="65"/>
      <c r="D1877" s="60"/>
      <c r="E1877" s="59"/>
      <c r="F1877" s="62"/>
      <c r="G1877" s="63"/>
      <c r="H1877" s="64"/>
      <c r="I1877" s="65"/>
      <c r="J1877" s="65"/>
      <c r="K1877" s="65"/>
      <c r="L1877" s="65"/>
      <c r="M1877" s="65"/>
      <c r="N1877" s="65"/>
      <c r="O1877" s="81">
        <f t="shared" si="87"/>
        <v>0</v>
      </c>
      <c r="P1877" s="81">
        <f t="shared" si="88"/>
        <v>0</v>
      </c>
      <c r="Q1877" s="65"/>
      <c r="R1877" s="67"/>
      <c r="S1877" s="83">
        <f t="shared" si="89"/>
        <v>0</v>
      </c>
    </row>
    <row r="1878" spans="1:19" ht="18" customHeight="1" x14ac:dyDescent="0.25">
      <c r="A1878" s="68"/>
      <c r="B1878" s="69"/>
      <c r="C1878" s="74"/>
      <c r="D1878" s="69"/>
      <c r="E1878" s="68"/>
      <c r="F1878" s="71"/>
      <c r="G1878" s="72"/>
      <c r="H1878" s="73"/>
      <c r="I1878" s="74"/>
      <c r="J1878" s="74"/>
      <c r="K1878" s="74"/>
      <c r="L1878" s="74"/>
      <c r="M1878" s="74"/>
      <c r="N1878" s="74"/>
      <c r="O1878" s="82">
        <f t="shared" si="87"/>
        <v>0</v>
      </c>
      <c r="P1878" s="82">
        <f t="shared" si="88"/>
        <v>0</v>
      </c>
      <c r="Q1878" s="74"/>
      <c r="R1878" s="76"/>
      <c r="S1878" s="84">
        <f t="shared" si="89"/>
        <v>0</v>
      </c>
    </row>
    <row r="1879" spans="1:19" ht="18" customHeight="1" x14ac:dyDescent="0.25">
      <c r="A1879" s="59"/>
      <c r="B1879" s="60"/>
      <c r="C1879" s="65"/>
      <c r="D1879" s="60"/>
      <c r="E1879" s="59"/>
      <c r="F1879" s="62"/>
      <c r="G1879" s="63"/>
      <c r="H1879" s="64"/>
      <c r="I1879" s="65"/>
      <c r="J1879" s="65"/>
      <c r="K1879" s="65"/>
      <c r="L1879" s="65"/>
      <c r="M1879" s="65"/>
      <c r="N1879" s="65"/>
      <c r="O1879" s="81">
        <f t="shared" si="87"/>
        <v>0</v>
      </c>
      <c r="P1879" s="81">
        <f t="shared" si="88"/>
        <v>0</v>
      </c>
      <c r="Q1879" s="65"/>
      <c r="R1879" s="67"/>
      <c r="S1879" s="83">
        <f t="shared" si="89"/>
        <v>0</v>
      </c>
    </row>
    <row r="1880" spans="1:19" ht="18" customHeight="1" x14ac:dyDescent="0.25">
      <c r="A1880" s="68"/>
      <c r="B1880" s="69"/>
      <c r="C1880" s="74"/>
      <c r="D1880" s="69"/>
      <c r="E1880" s="68"/>
      <c r="F1880" s="71"/>
      <c r="G1880" s="72"/>
      <c r="H1880" s="73"/>
      <c r="I1880" s="74"/>
      <c r="J1880" s="74"/>
      <c r="K1880" s="74"/>
      <c r="L1880" s="74"/>
      <c r="M1880" s="74"/>
      <c r="N1880" s="74"/>
      <c r="O1880" s="82">
        <f t="shared" si="87"/>
        <v>0</v>
      </c>
      <c r="P1880" s="82">
        <f t="shared" si="88"/>
        <v>0</v>
      </c>
      <c r="Q1880" s="74"/>
      <c r="R1880" s="76"/>
      <c r="S1880" s="84">
        <f t="shared" si="89"/>
        <v>0</v>
      </c>
    </row>
    <row r="1881" spans="1:19" ht="18" customHeight="1" x14ac:dyDescent="0.25">
      <c r="A1881" s="59"/>
      <c r="B1881" s="60"/>
      <c r="C1881" s="65"/>
      <c r="D1881" s="60"/>
      <c r="E1881" s="59"/>
      <c r="F1881" s="62"/>
      <c r="G1881" s="63"/>
      <c r="H1881" s="64"/>
      <c r="I1881" s="65"/>
      <c r="J1881" s="65"/>
      <c r="K1881" s="65"/>
      <c r="L1881" s="65"/>
      <c r="M1881" s="65"/>
      <c r="N1881" s="65"/>
      <c r="O1881" s="81">
        <f t="shared" si="87"/>
        <v>0</v>
      </c>
      <c r="P1881" s="81">
        <f t="shared" si="88"/>
        <v>0</v>
      </c>
      <c r="Q1881" s="65"/>
      <c r="R1881" s="67"/>
      <c r="S1881" s="83">
        <f t="shared" si="89"/>
        <v>0</v>
      </c>
    </row>
    <row r="1882" spans="1:19" ht="18" customHeight="1" x14ac:dyDescent="0.25">
      <c r="A1882" s="68"/>
      <c r="B1882" s="69"/>
      <c r="C1882" s="74"/>
      <c r="D1882" s="69"/>
      <c r="E1882" s="68"/>
      <c r="F1882" s="71"/>
      <c r="G1882" s="72"/>
      <c r="H1882" s="73"/>
      <c r="I1882" s="74"/>
      <c r="J1882" s="74"/>
      <c r="K1882" s="74"/>
      <c r="L1882" s="74"/>
      <c r="M1882" s="74"/>
      <c r="N1882" s="74"/>
      <c r="O1882" s="82">
        <f t="shared" si="87"/>
        <v>0</v>
      </c>
      <c r="P1882" s="82">
        <f t="shared" si="88"/>
        <v>0</v>
      </c>
      <c r="Q1882" s="74"/>
      <c r="R1882" s="76"/>
      <c r="S1882" s="84">
        <f t="shared" si="89"/>
        <v>0</v>
      </c>
    </row>
    <row r="1883" spans="1:19" ht="18" customHeight="1" x14ac:dyDescent="0.25">
      <c r="A1883" s="59"/>
      <c r="B1883" s="60"/>
      <c r="C1883" s="65"/>
      <c r="D1883" s="60"/>
      <c r="E1883" s="59"/>
      <c r="F1883" s="62"/>
      <c r="G1883" s="63"/>
      <c r="H1883" s="64"/>
      <c r="I1883" s="65"/>
      <c r="J1883" s="65"/>
      <c r="K1883" s="65"/>
      <c r="L1883" s="65"/>
      <c r="M1883" s="65"/>
      <c r="N1883" s="65"/>
      <c r="O1883" s="81">
        <f t="shared" si="87"/>
        <v>0</v>
      </c>
      <c r="P1883" s="81">
        <f t="shared" si="88"/>
        <v>0</v>
      </c>
      <c r="Q1883" s="65"/>
      <c r="R1883" s="67"/>
      <c r="S1883" s="83">
        <f t="shared" si="89"/>
        <v>0</v>
      </c>
    </row>
    <row r="1884" spans="1:19" ht="18" customHeight="1" x14ac:dyDescent="0.25">
      <c r="A1884" s="68"/>
      <c r="B1884" s="69"/>
      <c r="C1884" s="74"/>
      <c r="D1884" s="69"/>
      <c r="E1884" s="68"/>
      <c r="F1884" s="71"/>
      <c r="G1884" s="72"/>
      <c r="H1884" s="73"/>
      <c r="I1884" s="74"/>
      <c r="J1884" s="74"/>
      <c r="K1884" s="74"/>
      <c r="L1884" s="74"/>
      <c r="M1884" s="74"/>
      <c r="N1884" s="74"/>
      <c r="O1884" s="82">
        <f t="shared" si="87"/>
        <v>0</v>
      </c>
      <c r="P1884" s="82">
        <f t="shared" si="88"/>
        <v>0</v>
      </c>
      <c r="Q1884" s="74"/>
      <c r="R1884" s="76"/>
      <c r="S1884" s="84">
        <f t="shared" si="89"/>
        <v>0</v>
      </c>
    </row>
    <row r="1885" spans="1:19" ht="18" customHeight="1" x14ac:dyDescent="0.25">
      <c r="A1885" s="59"/>
      <c r="B1885" s="60"/>
      <c r="C1885" s="65"/>
      <c r="D1885" s="60"/>
      <c r="E1885" s="59"/>
      <c r="F1885" s="62"/>
      <c r="G1885" s="63"/>
      <c r="H1885" s="64"/>
      <c r="I1885" s="65"/>
      <c r="J1885" s="65"/>
      <c r="K1885" s="65"/>
      <c r="L1885" s="65"/>
      <c r="M1885" s="65"/>
      <c r="N1885" s="65"/>
      <c r="O1885" s="81">
        <f t="shared" si="87"/>
        <v>0</v>
      </c>
      <c r="P1885" s="81">
        <f t="shared" si="88"/>
        <v>0</v>
      </c>
      <c r="Q1885" s="65"/>
      <c r="R1885" s="67"/>
      <c r="S1885" s="83">
        <f t="shared" si="89"/>
        <v>0</v>
      </c>
    </row>
    <row r="1886" spans="1:19" ht="18" customHeight="1" x14ac:dyDescent="0.25">
      <c r="A1886" s="68"/>
      <c r="B1886" s="69"/>
      <c r="C1886" s="74"/>
      <c r="D1886" s="69"/>
      <c r="E1886" s="68"/>
      <c r="F1886" s="71"/>
      <c r="G1886" s="72"/>
      <c r="H1886" s="73"/>
      <c r="I1886" s="74"/>
      <c r="J1886" s="74"/>
      <c r="K1886" s="74"/>
      <c r="L1886" s="74"/>
      <c r="M1886" s="74"/>
      <c r="N1886" s="74"/>
      <c r="O1886" s="82">
        <f t="shared" si="87"/>
        <v>0</v>
      </c>
      <c r="P1886" s="82">
        <f t="shared" si="88"/>
        <v>0</v>
      </c>
      <c r="Q1886" s="74"/>
      <c r="R1886" s="76"/>
      <c r="S1886" s="84">
        <f t="shared" si="89"/>
        <v>0</v>
      </c>
    </row>
    <row r="1887" spans="1:19" ht="18" customHeight="1" x14ac:dyDescent="0.25">
      <c r="A1887" s="59"/>
      <c r="B1887" s="60"/>
      <c r="C1887" s="65"/>
      <c r="D1887" s="60"/>
      <c r="E1887" s="59"/>
      <c r="F1887" s="62"/>
      <c r="G1887" s="63"/>
      <c r="H1887" s="64"/>
      <c r="I1887" s="65"/>
      <c r="J1887" s="65"/>
      <c r="K1887" s="65"/>
      <c r="L1887" s="65"/>
      <c r="M1887" s="65"/>
      <c r="N1887" s="65"/>
      <c r="O1887" s="81">
        <f t="shared" si="87"/>
        <v>0</v>
      </c>
      <c r="P1887" s="81">
        <f t="shared" si="88"/>
        <v>0</v>
      </c>
      <c r="Q1887" s="65"/>
      <c r="R1887" s="67"/>
      <c r="S1887" s="83">
        <f t="shared" si="89"/>
        <v>0</v>
      </c>
    </row>
    <row r="1888" spans="1:19" ht="18" customHeight="1" x14ac:dyDescent="0.25">
      <c r="A1888" s="68"/>
      <c r="B1888" s="69"/>
      <c r="C1888" s="74"/>
      <c r="D1888" s="69"/>
      <c r="E1888" s="68"/>
      <c r="F1888" s="71"/>
      <c r="G1888" s="72"/>
      <c r="H1888" s="73"/>
      <c r="I1888" s="74"/>
      <c r="J1888" s="74"/>
      <c r="K1888" s="74"/>
      <c r="L1888" s="74"/>
      <c r="M1888" s="74"/>
      <c r="N1888" s="74"/>
      <c r="O1888" s="82">
        <f t="shared" si="87"/>
        <v>0</v>
      </c>
      <c r="P1888" s="82">
        <f t="shared" si="88"/>
        <v>0</v>
      </c>
      <c r="Q1888" s="74"/>
      <c r="R1888" s="76"/>
      <c r="S1888" s="84">
        <f t="shared" si="89"/>
        <v>0</v>
      </c>
    </row>
    <row r="1889" spans="1:19" ht="18" customHeight="1" x14ac:dyDescent="0.25">
      <c r="A1889" s="59"/>
      <c r="B1889" s="60"/>
      <c r="C1889" s="65"/>
      <c r="D1889" s="60"/>
      <c r="E1889" s="59"/>
      <c r="F1889" s="62"/>
      <c r="G1889" s="63"/>
      <c r="H1889" s="64"/>
      <c r="I1889" s="65"/>
      <c r="J1889" s="65"/>
      <c r="K1889" s="65"/>
      <c r="L1889" s="65"/>
      <c r="M1889" s="65"/>
      <c r="N1889" s="65"/>
      <c r="O1889" s="81">
        <f t="shared" si="87"/>
        <v>0</v>
      </c>
      <c r="P1889" s="81">
        <f t="shared" si="88"/>
        <v>0</v>
      </c>
      <c r="Q1889" s="65"/>
      <c r="R1889" s="67"/>
      <c r="S1889" s="83">
        <f t="shared" si="89"/>
        <v>0</v>
      </c>
    </row>
    <row r="1890" spans="1:19" ht="18" customHeight="1" x14ac:dyDescent="0.25">
      <c r="A1890" s="68"/>
      <c r="B1890" s="69"/>
      <c r="C1890" s="74"/>
      <c r="D1890" s="69"/>
      <c r="E1890" s="68"/>
      <c r="F1890" s="71"/>
      <c r="G1890" s="72"/>
      <c r="H1890" s="73"/>
      <c r="I1890" s="74"/>
      <c r="J1890" s="74"/>
      <c r="K1890" s="74"/>
      <c r="L1890" s="74"/>
      <c r="M1890" s="74"/>
      <c r="N1890" s="74"/>
      <c r="O1890" s="82">
        <f t="shared" si="87"/>
        <v>0</v>
      </c>
      <c r="P1890" s="82">
        <f t="shared" si="88"/>
        <v>0</v>
      </c>
      <c r="Q1890" s="74"/>
      <c r="R1890" s="76"/>
      <c r="S1890" s="84">
        <f t="shared" si="89"/>
        <v>0</v>
      </c>
    </row>
    <row r="1891" spans="1:19" ht="18" customHeight="1" x14ac:dyDescent="0.25">
      <c r="A1891" s="59"/>
      <c r="B1891" s="60"/>
      <c r="C1891" s="65"/>
      <c r="D1891" s="60"/>
      <c r="E1891" s="59"/>
      <c r="F1891" s="62"/>
      <c r="G1891" s="63"/>
      <c r="H1891" s="64"/>
      <c r="I1891" s="65"/>
      <c r="J1891" s="65"/>
      <c r="K1891" s="65"/>
      <c r="L1891" s="65"/>
      <c r="M1891" s="65"/>
      <c r="N1891" s="65"/>
      <c r="O1891" s="81">
        <f t="shared" si="87"/>
        <v>0</v>
      </c>
      <c r="P1891" s="81">
        <f t="shared" si="88"/>
        <v>0</v>
      </c>
      <c r="Q1891" s="65"/>
      <c r="R1891" s="67"/>
      <c r="S1891" s="83">
        <f t="shared" si="89"/>
        <v>0</v>
      </c>
    </row>
    <row r="1892" spans="1:19" ht="18" customHeight="1" x14ac:dyDescent="0.25">
      <c r="A1892" s="68"/>
      <c r="B1892" s="69"/>
      <c r="C1892" s="74"/>
      <c r="D1892" s="69"/>
      <c r="E1892" s="68"/>
      <c r="F1892" s="71"/>
      <c r="G1892" s="72"/>
      <c r="H1892" s="73"/>
      <c r="I1892" s="74"/>
      <c r="J1892" s="74"/>
      <c r="K1892" s="74"/>
      <c r="L1892" s="74"/>
      <c r="M1892" s="74"/>
      <c r="N1892" s="74"/>
      <c r="O1892" s="82">
        <f t="shared" si="87"/>
        <v>0</v>
      </c>
      <c r="P1892" s="82">
        <f t="shared" si="88"/>
        <v>0</v>
      </c>
      <c r="Q1892" s="74"/>
      <c r="R1892" s="76"/>
      <c r="S1892" s="84">
        <f t="shared" si="89"/>
        <v>0</v>
      </c>
    </row>
    <row r="1893" spans="1:19" ht="18" customHeight="1" x14ac:dyDescent="0.25">
      <c r="A1893" s="59"/>
      <c r="B1893" s="60"/>
      <c r="C1893" s="65"/>
      <c r="D1893" s="60"/>
      <c r="E1893" s="59"/>
      <c r="F1893" s="62"/>
      <c r="G1893" s="63"/>
      <c r="H1893" s="64"/>
      <c r="I1893" s="65"/>
      <c r="J1893" s="65"/>
      <c r="K1893" s="65"/>
      <c r="L1893" s="65"/>
      <c r="M1893" s="65"/>
      <c r="N1893" s="65"/>
      <c r="O1893" s="81">
        <f t="shared" si="87"/>
        <v>0</v>
      </c>
      <c r="P1893" s="81">
        <f t="shared" si="88"/>
        <v>0</v>
      </c>
      <c r="Q1893" s="65"/>
      <c r="R1893" s="67"/>
      <c r="S1893" s="83">
        <f t="shared" si="89"/>
        <v>0</v>
      </c>
    </row>
    <row r="1894" spans="1:19" ht="18" customHeight="1" x14ac:dyDescent="0.25">
      <c r="A1894" s="68"/>
      <c r="B1894" s="69"/>
      <c r="C1894" s="74"/>
      <c r="D1894" s="69"/>
      <c r="E1894" s="68"/>
      <c r="F1894" s="71"/>
      <c r="G1894" s="72"/>
      <c r="H1894" s="73"/>
      <c r="I1894" s="74"/>
      <c r="J1894" s="74"/>
      <c r="K1894" s="74"/>
      <c r="L1894" s="74"/>
      <c r="M1894" s="74"/>
      <c r="N1894" s="74"/>
      <c r="O1894" s="82">
        <f t="shared" si="87"/>
        <v>0</v>
      </c>
      <c r="P1894" s="82">
        <f t="shared" si="88"/>
        <v>0</v>
      </c>
      <c r="Q1894" s="74"/>
      <c r="R1894" s="76"/>
      <c r="S1894" s="84">
        <f t="shared" si="89"/>
        <v>0</v>
      </c>
    </row>
    <row r="1895" spans="1:19" ht="18" customHeight="1" x14ac:dyDescent="0.25">
      <c r="A1895" s="59"/>
      <c r="B1895" s="60"/>
      <c r="C1895" s="65"/>
      <c r="D1895" s="60"/>
      <c r="E1895" s="59"/>
      <c r="F1895" s="62"/>
      <c r="G1895" s="63"/>
      <c r="H1895" s="64"/>
      <c r="I1895" s="65"/>
      <c r="J1895" s="65"/>
      <c r="K1895" s="65"/>
      <c r="L1895" s="65"/>
      <c r="M1895" s="65"/>
      <c r="N1895" s="65"/>
      <c r="O1895" s="81">
        <f t="shared" si="87"/>
        <v>0</v>
      </c>
      <c r="P1895" s="81">
        <f t="shared" si="88"/>
        <v>0</v>
      </c>
      <c r="Q1895" s="65"/>
      <c r="R1895" s="67"/>
      <c r="S1895" s="83">
        <f t="shared" si="89"/>
        <v>0</v>
      </c>
    </row>
    <row r="1896" spans="1:19" ht="18" customHeight="1" x14ac:dyDescent="0.25">
      <c r="A1896" s="68"/>
      <c r="B1896" s="69"/>
      <c r="C1896" s="74"/>
      <c r="D1896" s="69"/>
      <c r="E1896" s="68"/>
      <c r="F1896" s="71"/>
      <c r="G1896" s="72"/>
      <c r="H1896" s="73"/>
      <c r="I1896" s="74"/>
      <c r="J1896" s="74"/>
      <c r="K1896" s="74"/>
      <c r="L1896" s="74"/>
      <c r="M1896" s="74"/>
      <c r="N1896" s="74"/>
      <c r="O1896" s="82">
        <f t="shared" si="87"/>
        <v>0</v>
      </c>
      <c r="P1896" s="82">
        <f t="shared" si="88"/>
        <v>0</v>
      </c>
      <c r="Q1896" s="74"/>
      <c r="R1896" s="76"/>
      <c r="S1896" s="84">
        <f t="shared" si="89"/>
        <v>0</v>
      </c>
    </row>
    <row r="1897" spans="1:19" ht="18" customHeight="1" x14ac:dyDescent="0.25">
      <c r="A1897" s="59"/>
      <c r="B1897" s="60"/>
      <c r="C1897" s="65"/>
      <c r="D1897" s="60"/>
      <c r="E1897" s="59"/>
      <c r="F1897" s="62"/>
      <c r="G1897" s="63"/>
      <c r="H1897" s="64"/>
      <c r="I1897" s="65"/>
      <c r="J1897" s="65"/>
      <c r="K1897" s="65"/>
      <c r="L1897" s="65"/>
      <c r="M1897" s="65"/>
      <c r="N1897" s="65"/>
      <c r="O1897" s="81">
        <f t="shared" si="87"/>
        <v>0</v>
      </c>
      <c r="P1897" s="81">
        <f t="shared" si="88"/>
        <v>0</v>
      </c>
      <c r="Q1897" s="65"/>
      <c r="R1897" s="67"/>
      <c r="S1897" s="83">
        <f t="shared" si="89"/>
        <v>0</v>
      </c>
    </row>
    <row r="1898" spans="1:19" ht="18" customHeight="1" x14ac:dyDescent="0.25">
      <c r="A1898" s="68"/>
      <c r="B1898" s="69"/>
      <c r="C1898" s="74"/>
      <c r="D1898" s="69"/>
      <c r="E1898" s="68"/>
      <c r="F1898" s="71"/>
      <c r="G1898" s="72"/>
      <c r="H1898" s="73"/>
      <c r="I1898" s="74"/>
      <c r="J1898" s="74"/>
      <c r="K1898" s="74"/>
      <c r="L1898" s="74"/>
      <c r="M1898" s="74"/>
      <c r="N1898" s="74"/>
      <c r="O1898" s="82">
        <f t="shared" si="87"/>
        <v>0</v>
      </c>
      <c r="P1898" s="82">
        <f t="shared" si="88"/>
        <v>0</v>
      </c>
      <c r="Q1898" s="74"/>
      <c r="R1898" s="76"/>
      <c r="S1898" s="84">
        <f t="shared" si="89"/>
        <v>0</v>
      </c>
    </row>
    <row r="1899" spans="1:19" ht="18" customHeight="1" x14ac:dyDescent="0.25">
      <c r="A1899" s="59"/>
      <c r="B1899" s="60"/>
      <c r="C1899" s="65"/>
      <c r="D1899" s="60"/>
      <c r="E1899" s="59"/>
      <c r="F1899" s="62"/>
      <c r="G1899" s="63"/>
      <c r="H1899" s="64"/>
      <c r="I1899" s="65"/>
      <c r="J1899" s="65"/>
      <c r="K1899" s="65"/>
      <c r="L1899" s="65"/>
      <c r="M1899" s="65"/>
      <c r="N1899" s="65"/>
      <c r="O1899" s="81">
        <f t="shared" si="87"/>
        <v>0</v>
      </c>
      <c r="P1899" s="81">
        <f t="shared" si="88"/>
        <v>0</v>
      </c>
      <c r="Q1899" s="65"/>
      <c r="R1899" s="67"/>
      <c r="S1899" s="83">
        <f t="shared" si="89"/>
        <v>0</v>
      </c>
    </row>
    <row r="1900" spans="1:19" ht="18" customHeight="1" x14ac:dyDescent="0.25">
      <c r="A1900" s="68"/>
      <c r="B1900" s="69"/>
      <c r="C1900" s="74"/>
      <c r="D1900" s="69"/>
      <c r="E1900" s="68"/>
      <c r="F1900" s="71"/>
      <c r="G1900" s="72"/>
      <c r="H1900" s="73"/>
      <c r="I1900" s="74"/>
      <c r="J1900" s="74"/>
      <c r="K1900" s="74"/>
      <c r="L1900" s="74"/>
      <c r="M1900" s="74"/>
      <c r="N1900" s="74"/>
      <c r="O1900" s="82">
        <f t="shared" si="87"/>
        <v>0</v>
      </c>
      <c r="P1900" s="82">
        <f t="shared" si="88"/>
        <v>0</v>
      </c>
      <c r="Q1900" s="74"/>
      <c r="R1900" s="76"/>
      <c r="S1900" s="84">
        <f t="shared" si="89"/>
        <v>0</v>
      </c>
    </row>
    <row r="1901" spans="1:19" ht="18" customHeight="1" x14ac:dyDescent="0.25">
      <c r="A1901" s="59"/>
      <c r="B1901" s="60"/>
      <c r="C1901" s="65"/>
      <c r="D1901" s="60"/>
      <c r="E1901" s="59"/>
      <c r="F1901" s="62"/>
      <c r="G1901" s="63"/>
      <c r="H1901" s="64"/>
      <c r="I1901" s="65"/>
      <c r="J1901" s="65"/>
      <c r="K1901" s="65"/>
      <c r="L1901" s="65"/>
      <c r="M1901" s="65"/>
      <c r="N1901" s="65"/>
      <c r="O1901" s="81">
        <f t="shared" si="87"/>
        <v>0</v>
      </c>
      <c r="P1901" s="81">
        <f t="shared" si="88"/>
        <v>0</v>
      </c>
      <c r="Q1901" s="65"/>
      <c r="R1901" s="67"/>
      <c r="S1901" s="83">
        <f t="shared" si="89"/>
        <v>0</v>
      </c>
    </row>
    <row r="1902" spans="1:19" ht="18" customHeight="1" x14ac:dyDescent="0.25">
      <c r="A1902" s="68"/>
      <c r="B1902" s="69"/>
      <c r="C1902" s="74"/>
      <c r="D1902" s="69"/>
      <c r="E1902" s="68"/>
      <c r="F1902" s="71"/>
      <c r="G1902" s="72"/>
      <c r="H1902" s="73"/>
      <c r="I1902" s="74"/>
      <c r="J1902" s="74"/>
      <c r="K1902" s="74"/>
      <c r="L1902" s="74"/>
      <c r="M1902" s="74"/>
      <c r="N1902" s="74"/>
      <c r="O1902" s="82">
        <f t="shared" si="87"/>
        <v>0</v>
      </c>
      <c r="P1902" s="82">
        <f t="shared" si="88"/>
        <v>0</v>
      </c>
      <c r="Q1902" s="74"/>
      <c r="R1902" s="76"/>
      <c r="S1902" s="84">
        <f t="shared" si="89"/>
        <v>0</v>
      </c>
    </row>
    <row r="1903" spans="1:19" ht="18" customHeight="1" x14ac:dyDescent="0.25">
      <c r="A1903" s="59"/>
      <c r="B1903" s="60"/>
      <c r="C1903" s="65"/>
      <c r="D1903" s="60"/>
      <c r="E1903" s="59"/>
      <c r="F1903" s="62"/>
      <c r="G1903" s="63"/>
      <c r="H1903" s="64"/>
      <c r="I1903" s="65"/>
      <c r="J1903" s="65"/>
      <c r="K1903" s="65"/>
      <c r="L1903" s="65"/>
      <c r="M1903" s="65"/>
      <c r="N1903" s="65"/>
      <c r="O1903" s="81">
        <f t="shared" si="87"/>
        <v>0</v>
      </c>
      <c r="P1903" s="81">
        <f t="shared" si="88"/>
        <v>0</v>
      </c>
      <c r="Q1903" s="65"/>
      <c r="R1903" s="67"/>
      <c r="S1903" s="83">
        <f t="shared" si="89"/>
        <v>0</v>
      </c>
    </row>
    <row r="1904" spans="1:19" ht="18" customHeight="1" x14ac:dyDescent="0.25">
      <c r="A1904" s="68"/>
      <c r="B1904" s="69"/>
      <c r="C1904" s="74"/>
      <c r="D1904" s="69"/>
      <c r="E1904" s="68"/>
      <c r="F1904" s="71"/>
      <c r="G1904" s="72"/>
      <c r="H1904" s="73"/>
      <c r="I1904" s="74"/>
      <c r="J1904" s="74"/>
      <c r="K1904" s="74"/>
      <c r="L1904" s="74"/>
      <c r="M1904" s="74"/>
      <c r="N1904" s="74"/>
      <c r="O1904" s="82">
        <f t="shared" si="87"/>
        <v>0</v>
      </c>
      <c r="P1904" s="82">
        <f t="shared" si="88"/>
        <v>0</v>
      </c>
      <c r="Q1904" s="74"/>
      <c r="R1904" s="76"/>
      <c r="S1904" s="84">
        <f t="shared" si="89"/>
        <v>0</v>
      </c>
    </row>
    <row r="1905" spans="1:19" ht="18" customHeight="1" x14ac:dyDescent="0.25">
      <c r="A1905" s="59"/>
      <c r="B1905" s="60"/>
      <c r="C1905" s="65"/>
      <c r="D1905" s="60"/>
      <c r="E1905" s="59"/>
      <c r="F1905" s="62"/>
      <c r="G1905" s="63"/>
      <c r="H1905" s="64"/>
      <c r="I1905" s="65"/>
      <c r="J1905" s="65"/>
      <c r="K1905" s="65"/>
      <c r="L1905" s="65"/>
      <c r="M1905" s="65"/>
      <c r="N1905" s="65"/>
      <c r="O1905" s="81">
        <f t="shared" si="87"/>
        <v>0</v>
      </c>
      <c r="P1905" s="81">
        <f t="shared" si="88"/>
        <v>0</v>
      </c>
      <c r="Q1905" s="65"/>
      <c r="R1905" s="67"/>
      <c r="S1905" s="83">
        <f t="shared" si="89"/>
        <v>0</v>
      </c>
    </row>
    <row r="1906" spans="1:19" ht="18" customHeight="1" x14ac:dyDescent="0.25">
      <c r="A1906" s="68"/>
      <c r="B1906" s="69"/>
      <c r="C1906" s="74"/>
      <c r="D1906" s="69"/>
      <c r="E1906" s="68"/>
      <c r="F1906" s="71"/>
      <c r="G1906" s="72"/>
      <c r="H1906" s="73"/>
      <c r="I1906" s="74"/>
      <c r="J1906" s="74"/>
      <c r="K1906" s="74"/>
      <c r="L1906" s="74"/>
      <c r="M1906" s="74"/>
      <c r="N1906" s="74"/>
      <c r="O1906" s="82">
        <f t="shared" si="87"/>
        <v>0</v>
      </c>
      <c r="P1906" s="82">
        <f t="shared" si="88"/>
        <v>0</v>
      </c>
      <c r="Q1906" s="74"/>
      <c r="R1906" s="76"/>
      <c r="S1906" s="84">
        <f t="shared" si="89"/>
        <v>0</v>
      </c>
    </row>
    <row r="1907" spans="1:19" ht="18" customHeight="1" x14ac:dyDescent="0.25">
      <c r="A1907" s="59"/>
      <c r="B1907" s="60"/>
      <c r="C1907" s="65"/>
      <c r="D1907" s="60"/>
      <c r="E1907" s="59"/>
      <c r="F1907" s="62"/>
      <c r="G1907" s="63"/>
      <c r="H1907" s="64"/>
      <c r="I1907" s="65"/>
      <c r="J1907" s="65"/>
      <c r="K1907" s="65"/>
      <c r="L1907" s="65"/>
      <c r="M1907" s="65"/>
      <c r="N1907" s="65"/>
      <c r="O1907" s="81">
        <f t="shared" si="87"/>
        <v>0</v>
      </c>
      <c r="P1907" s="81">
        <f t="shared" si="88"/>
        <v>0</v>
      </c>
      <c r="Q1907" s="65"/>
      <c r="R1907" s="67"/>
      <c r="S1907" s="83">
        <f t="shared" si="89"/>
        <v>0</v>
      </c>
    </row>
    <row r="1908" spans="1:19" ht="18" customHeight="1" x14ac:dyDescent="0.25">
      <c r="A1908" s="68"/>
      <c r="B1908" s="69"/>
      <c r="C1908" s="74"/>
      <c r="D1908" s="69"/>
      <c r="E1908" s="68"/>
      <c r="F1908" s="71"/>
      <c r="G1908" s="72"/>
      <c r="H1908" s="73"/>
      <c r="I1908" s="74"/>
      <c r="J1908" s="74"/>
      <c r="K1908" s="74"/>
      <c r="L1908" s="74"/>
      <c r="M1908" s="74"/>
      <c r="N1908" s="74"/>
      <c r="O1908" s="82">
        <f t="shared" si="87"/>
        <v>0</v>
      </c>
      <c r="P1908" s="82">
        <f t="shared" si="88"/>
        <v>0</v>
      </c>
      <c r="Q1908" s="74"/>
      <c r="R1908" s="76"/>
      <c r="S1908" s="84">
        <f t="shared" si="89"/>
        <v>0</v>
      </c>
    </row>
    <row r="1909" spans="1:19" ht="18" customHeight="1" x14ac:dyDescent="0.25">
      <c r="A1909" s="59"/>
      <c r="B1909" s="60"/>
      <c r="C1909" s="65"/>
      <c r="D1909" s="60"/>
      <c r="E1909" s="59"/>
      <c r="F1909" s="62"/>
      <c r="G1909" s="63"/>
      <c r="H1909" s="64"/>
      <c r="I1909" s="65"/>
      <c r="J1909" s="65"/>
      <c r="K1909" s="65"/>
      <c r="L1909" s="65"/>
      <c r="M1909" s="65"/>
      <c r="N1909" s="65"/>
      <c r="O1909" s="81">
        <f t="shared" si="87"/>
        <v>0</v>
      </c>
      <c r="P1909" s="81">
        <f t="shared" si="88"/>
        <v>0</v>
      </c>
      <c r="Q1909" s="65"/>
      <c r="R1909" s="67"/>
      <c r="S1909" s="83">
        <f t="shared" si="89"/>
        <v>0</v>
      </c>
    </row>
    <row r="1910" spans="1:19" ht="18" customHeight="1" x14ac:dyDescent="0.25">
      <c r="A1910" s="68"/>
      <c r="B1910" s="69"/>
      <c r="C1910" s="74"/>
      <c r="D1910" s="69"/>
      <c r="E1910" s="68"/>
      <c r="F1910" s="71"/>
      <c r="G1910" s="72"/>
      <c r="H1910" s="73"/>
      <c r="I1910" s="74"/>
      <c r="J1910" s="74"/>
      <c r="K1910" s="74"/>
      <c r="L1910" s="74"/>
      <c r="M1910" s="74"/>
      <c r="N1910" s="74"/>
      <c r="O1910" s="82">
        <f t="shared" si="87"/>
        <v>0</v>
      </c>
      <c r="P1910" s="82">
        <f t="shared" si="88"/>
        <v>0</v>
      </c>
      <c r="Q1910" s="74"/>
      <c r="R1910" s="76"/>
      <c r="S1910" s="84">
        <f t="shared" si="89"/>
        <v>0</v>
      </c>
    </row>
    <row r="1911" spans="1:19" ht="18" customHeight="1" x14ac:dyDescent="0.25">
      <c r="A1911" s="59"/>
      <c r="B1911" s="60"/>
      <c r="C1911" s="65"/>
      <c r="D1911" s="60"/>
      <c r="E1911" s="59"/>
      <c r="F1911" s="62"/>
      <c r="G1911" s="63"/>
      <c r="H1911" s="64"/>
      <c r="I1911" s="65"/>
      <c r="J1911" s="65"/>
      <c r="K1911" s="65"/>
      <c r="L1911" s="65"/>
      <c r="M1911" s="65"/>
      <c r="N1911" s="65"/>
      <c r="O1911" s="81">
        <f t="shared" si="87"/>
        <v>0</v>
      </c>
      <c r="P1911" s="81">
        <f t="shared" si="88"/>
        <v>0</v>
      </c>
      <c r="Q1911" s="65"/>
      <c r="R1911" s="67"/>
      <c r="S1911" s="83">
        <f t="shared" si="89"/>
        <v>0</v>
      </c>
    </row>
    <row r="1912" spans="1:19" ht="18" customHeight="1" x14ac:dyDescent="0.25">
      <c r="A1912" s="68"/>
      <c r="B1912" s="69"/>
      <c r="C1912" s="74"/>
      <c r="D1912" s="69"/>
      <c r="E1912" s="68"/>
      <c r="F1912" s="71"/>
      <c r="G1912" s="72"/>
      <c r="H1912" s="73"/>
      <c r="I1912" s="74"/>
      <c r="J1912" s="74"/>
      <c r="K1912" s="74"/>
      <c r="L1912" s="74"/>
      <c r="M1912" s="74"/>
      <c r="N1912" s="74"/>
      <c r="O1912" s="82">
        <f t="shared" si="87"/>
        <v>0</v>
      </c>
      <c r="P1912" s="82">
        <f t="shared" si="88"/>
        <v>0</v>
      </c>
      <c r="Q1912" s="74"/>
      <c r="R1912" s="76"/>
      <c r="S1912" s="84">
        <f t="shared" si="89"/>
        <v>0</v>
      </c>
    </row>
    <row r="1913" spans="1:19" ht="18" customHeight="1" x14ac:dyDescent="0.25">
      <c r="A1913" s="59"/>
      <c r="B1913" s="60"/>
      <c r="C1913" s="65"/>
      <c r="D1913" s="60"/>
      <c r="E1913" s="59"/>
      <c r="F1913" s="62"/>
      <c r="G1913" s="63"/>
      <c r="H1913" s="64"/>
      <c r="I1913" s="65"/>
      <c r="J1913" s="65"/>
      <c r="K1913" s="65"/>
      <c r="L1913" s="65"/>
      <c r="M1913" s="65"/>
      <c r="N1913" s="65"/>
      <c r="O1913" s="81">
        <f t="shared" si="87"/>
        <v>0</v>
      </c>
      <c r="P1913" s="81">
        <f t="shared" si="88"/>
        <v>0</v>
      </c>
      <c r="Q1913" s="65"/>
      <c r="R1913" s="67"/>
      <c r="S1913" s="83">
        <f t="shared" si="89"/>
        <v>0</v>
      </c>
    </row>
    <row r="1914" spans="1:19" ht="18" customHeight="1" x14ac:dyDescent="0.25">
      <c r="A1914" s="68"/>
      <c r="B1914" s="69"/>
      <c r="C1914" s="74"/>
      <c r="D1914" s="69"/>
      <c r="E1914" s="68"/>
      <c r="F1914" s="71"/>
      <c r="G1914" s="72"/>
      <c r="H1914" s="73"/>
      <c r="I1914" s="74"/>
      <c r="J1914" s="74"/>
      <c r="K1914" s="74"/>
      <c r="L1914" s="74"/>
      <c r="M1914" s="74"/>
      <c r="N1914" s="74"/>
      <c r="O1914" s="82">
        <f t="shared" si="87"/>
        <v>0</v>
      </c>
      <c r="P1914" s="82">
        <f t="shared" si="88"/>
        <v>0</v>
      </c>
      <c r="Q1914" s="74"/>
      <c r="R1914" s="76"/>
      <c r="S1914" s="84">
        <f t="shared" si="89"/>
        <v>0</v>
      </c>
    </row>
    <row r="1915" spans="1:19" ht="18" customHeight="1" x14ac:dyDescent="0.25">
      <c r="A1915" s="59"/>
      <c r="B1915" s="60"/>
      <c r="C1915" s="65"/>
      <c r="D1915" s="60"/>
      <c r="E1915" s="59"/>
      <c r="F1915" s="62"/>
      <c r="G1915" s="63"/>
      <c r="H1915" s="64"/>
      <c r="I1915" s="65"/>
      <c r="J1915" s="65"/>
      <c r="K1915" s="65"/>
      <c r="L1915" s="65"/>
      <c r="M1915" s="65"/>
      <c r="N1915" s="65"/>
      <c r="O1915" s="81">
        <f t="shared" si="87"/>
        <v>0</v>
      </c>
      <c r="P1915" s="81">
        <f t="shared" si="88"/>
        <v>0</v>
      </c>
      <c r="Q1915" s="65"/>
      <c r="R1915" s="67"/>
      <c r="S1915" s="83">
        <f t="shared" si="89"/>
        <v>0</v>
      </c>
    </row>
    <row r="1916" spans="1:19" ht="18" customHeight="1" x14ac:dyDescent="0.25">
      <c r="A1916" s="68"/>
      <c r="B1916" s="69"/>
      <c r="C1916" s="74"/>
      <c r="D1916" s="69"/>
      <c r="E1916" s="68"/>
      <c r="F1916" s="71"/>
      <c r="G1916" s="72"/>
      <c r="H1916" s="73"/>
      <c r="I1916" s="74"/>
      <c r="J1916" s="74"/>
      <c r="K1916" s="74"/>
      <c r="L1916" s="74"/>
      <c r="M1916" s="74"/>
      <c r="N1916" s="74"/>
      <c r="O1916" s="82">
        <f t="shared" si="87"/>
        <v>0</v>
      </c>
      <c r="P1916" s="82">
        <f t="shared" si="88"/>
        <v>0</v>
      </c>
      <c r="Q1916" s="74"/>
      <c r="R1916" s="76"/>
      <c r="S1916" s="84">
        <f t="shared" si="89"/>
        <v>0</v>
      </c>
    </row>
    <row r="1917" spans="1:19" ht="18" customHeight="1" x14ac:dyDescent="0.25">
      <c r="A1917" s="59"/>
      <c r="B1917" s="60"/>
      <c r="C1917" s="65"/>
      <c r="D1917" s="60"/>
      <c r="E1917" s="59"/>
      <c r="F1917" s="62"/>
      <c r="G1917" s="63"/>
      <c r="H1917" s="64"/>
      <c r="I1917" s="65"/>
      <c r="J1917" s="65"/>
      <c r="K1917" s="65"/>
      <c r="L1917" s="65"/>
      <c r="M1917" s="65"/>
      <c r="N1917" s="65"/>
      <c r="O1917" s="81">
        <f t="shared" si="87"/>
        <v>0</v>
      </c>
      <c r="P1917" s="81">
        <f t="shared" si="88"/>
        <v>0</v>
      </c>
      <c r="Q1917" s="65"/>
      <c r="R1917" s="67"/>
      <c r="S1917" s="83">
        <f t="shared" si="89"/>
        <v>0</v>
      </c>
    </row>
    <row r="1918" spans="1:19" ht="18" customHeight="1" x14ac:dyDescent="0.25">
      <c r="A1918" s="68"/>
      <c r="B1918" s="69"/>
      <c r="C1918" s="74"/>
      <c r="D1918" s="69"/>
      <c r="E1918" s="68"/>
      <c r="F1918" s="71"/>
      <c r="G1918" s="72"/>
      <c r="H1918" s="73"/>
      <c r="I1918" s="74"/>
      <c r="J1918" s="74"/>
      <c r="K1918" s="74"/>
      <c r="L1918" s="74"/>
      <c r="M1918" s="74"/>
      <c r="N1918" s="74"/>
      <c r="O1918" s="82">
        <f t="shared" si="87"/>
        <v>0</v>
      </c>
      <c r="P1918" s="82">
        <f t="shared" si="88"/>
        <v>0</v>
      </c>
      <c r="Q1918" s="74"/>
      <c r="R1918" s="76"/>
      <c r="S1918" s="84">
        <f t="shared" si="89"/>
        <v>0</v>
      </c>
    </row>
    <row r="1919" spans="1:19" ht="18" customHeight="1" x14ac:dyDescent="0.25">
      <c r="A1919" s="59"/>
      <c r="B1919" s="60"/>
      <c r="C1919" s="65"/>
      <c r="D1919" s="60"/>
      <c r="E1919" s="59"/>
      <c r="F1919" s="62"/>
      <c r="G1919" s="63"/>
      <c r="H1919" s="64"/>
      <c r="I1919" s="65"/>
      <c r="J1919" s="65"/>
      <c r="K1919" s="65"/>
      <c r="L1919" s="65"/>
      <c r="M1919" s="65"/>
      <c r="N1919" s="65"/>
      <c r="O1919" s="81">
        <f t="shared" si="87"/>
        <v>0</v>
      </c>
      <c r="P1919" s="81">
        <f t="shared" si="88"/>
        <v>0</v>
      </c>
      <c r="Q1919" s="65"/>
      <c r="R1919" s="67"/>
      <c r="S1919" s="83">
        <f t="shared" si="89"/>
        <v>0</v>
      </c>
    </row>
    <row r="1920" spans="1:19" ht="18" customHeight="1" x14ac:dyDescent="0.25">
      <c r="A1920" s="68"/>
      <c r="B1920" s="69"/>
      <c r="C1920" s="74"/>
      <c r="D1920" s="69"/>
      <c r="E1920" s="68"/>
      <c r="F1920" s="71"/>
      <c r="G1920" s="72"/>
      <c r="H1920" s="73"/>
      <c r="I1920" s="74"/>
      <c r="J1920" s="74"/>
      <c r="K1920" s="74"/>
      <c r="L1920" s="74"/>
      <c r="M1920" s="74"/>
      <c r="N1920" s="74"/>
      <c r="O1920" s="82">
        <f t="shared" si="87"/>
        <v>0</v>
      </c>
      <c r="P1920" s="82">
        <f t="shared" si="88"/>
        <v>0</v>
      </c>
      <c r="Q1920" s="74"/>
      <c r="R1920" s="76"/>
      <c r="S1920" s="84">
        <f t="shared" si="89"/>
        <v>0</v>
      </c>
    </row>
    <row r="1921" spans="1:19" ht="18" customHeight="1" x14ac:dyDescent="0.25">
      <c r="A1921" s="59"/>
      <c r="B1921" s="60"/>
      <c r="C1921" s="65"/>
      <c r="D1921" s="60"/>
      <c r="E1921" s="59"/>
      <c r="F1921" s="62"/>
      <c r="G1921" s="63"/>
      <c r="H1921" s="64"/>
      <c r="I1921" s="65"/>
      <c r="J1921" s="65"/>
      <c r="K1921" s="65"/>
      <c r="L1921" s="65"/>
      <c r="M1921" s="65"/>
      <c r="N1921" s="65"/>
      <c r="O1921" s="81">
        <f t="shared" si="87"/>
        <v>0</v>
      </c>
      <c r="P1921" s="81">
        <f t="shared" si="88"/>
        <v>0</v>
      </c>
      <c r="Q1921" s="65"/>
      <c r="R1921" s="67"/>
      <c r="S1921" s="83">
        <f t="shared" si="89"/>
        <v>0</v>
      </c>
    </row>
    <row r="1922" spans="1:19" ht="18" customHeight="1" x14ac:dyDescent="0.25">
      <c r="A1922" s="68"/>
      <c r="B1922" s="69"/>
      <c r="C1922" s="74"/>
      <c r="D1922" s="69"/>
      <c r="E1922" s="68"/>
      <c r="F1922" s="71"/>
      <c r="G1922" s="72"/>
      <c r="H1922" s="73"/>
      <c r="I1922" s="74"/>
      <c r="J1922" s="74"/>
      <c r="K1922" s="74"/>
      <c r="L1922" s="74"/>
      <c r="M1922" s="74"/>
      <c r="N1922" s="74"/>
      <c r="O1922" s="82">
        <f t="shared" si="87"/>
        <v>0</v>
      </c>
      <c r="P1922" s="82">
        <f t="shared" si="88"/>
        <v>0</v>
      </c>
      <c r="Q1922" s="74"/>
      <c r="R1922" s="76"/>
      <c r="S1922" s="84">
        <f t="shared" si="89"/>
        <v>0</v>
      </c>
    </row>
    <row r="1923" spans="1:19" ht="18" customHeight="1" x14ac:dyDescent="0.25">
      <c r="A1923" s="59"/>
      <c r="B1923" s="60"/>
      <c r="C1923" s="65"/>
      <c r="D1923" s="60"/>
      <c r="E1923" s="59"/>
      <c r="F1923" s="62"/>
      <c r="G1923" s="63"/>
      <c r="H1923" s="64"/>
      <c r="I1923" s="65"/>
      <c r="J1923" s="65"/>
      <c r="K1923" s="65"/>
      <c r="L1923" s="65"/>
      <c r="M1923" s="65"/>
      <c r="N1923" s="65"/>
      <c r="O1923" s="81">
        <f t="shared" si="87"/>
        <v>0</v>
      </c>
      <c r="P1923" s="81">
        <f t="shared" si="88"/>
        <v>0</v>
      </c>
      <c r="Q1923" s="65"/>
      <c r="R1923" s="67"/>
      <c r="S1923" s="83">
        <f t="shared" si="89"/>
        <v>0</v>
      </c>
    </row>
    <row r="1924" spans="1:19" ht="18" customHeight="1" x14ac:dyDescent="0.25">
      <c r="A1924" s="68"/>
      <c r="B1924" s="69"/>
      <c r="C1924" s="74"/>
      <c r="D1924" s="69"/>
      <c r="E1924" s="68"/>
      <c r="F1924" s="71"/>
      <c r="G1924" s="72"/>
      <c r="H1924" s="73"/>
      <c r="I1924" s="74"/>
      <c r="J1924" s="74"/>
      <c r="K1924" s="74"/>
      <c r="L1924" s="74"/>
      <c r="M1924" s="74"/>
      <c r="N1924" s="74"/>
      <c r="O1924" s="82">
        <f t="shared" si="87"/>
        <v>0</v>
      </c>
      <c r="P1924" s="82">
        <f t="shared" si="88"/>
        <v>0</v>
      </c>
      <c r="Q1924" s="74"/>
      <c r="R1924" s="76"/>
      <c r="S1924" s="84">
        <f t="shared" si="89"/>
        <v>0</v>
      </c>
    </row>
    <row r="1925" spans="1:19" ht="18" customHeight="1" x14ac:dyDescent="0.25">
      <c r="A1925" s="59"/>
      <c r="B1925" s="60"/>
      <c r="C1925" s="65"/>
      <c r="D1925" s="60"/>
      <c r="E1925" s="59"/>
      <c r="F1925" s="62"/>
      <c r="G1925" s="63"/>
      <c r="H1925" s="64"/>
      <c r="I1925" s="65"/>
      <c r="J1925" s="65"/>
      <c r="K1925" s="65"/>
      <c r="L1925" s="65"/>
      <c r="M1925" s="65"/>
      <c r="N1925" s="65"/>
      <c r="O1925" s="81">
        <f t="shared" si="87"/>
        <v>0</v>
      </c>
      <c r="P1925" s="81">
        <f t="shared" si="88"/>
        <v>0</v>
      </c>
      <c r="Q1925" s="65"/>
      <c r="R1925" s="67"/>
      <c r="S1925" s="83">
        <f t="shared" si="89"/>
        <v>0</v>
      </c>
    </row>
    <row r="1926" spans="1:19" ht="18" customHeight="1" x14ac:dyDescent="0.25">
      <c r="A1926" s="68"/>
      <c r="B1926" s="69"/>
      <c r="C1926" s="74"/>
      <c r="D1926" s="69"/>
      <c r="E1926" s="68"/>
      <c r="F1926" s="71"/>
      <c r="G1926" s="72"/>
      <c r="H1926" s="73"/>
      <c r="I1926" s="74"/>
      <c r="J1926" s="74"/>
      <c r="K1926" s="74"/>
      <c r="L1926" s="74"/>
      <c r="M1926" s="74"/>
      <c r="N1926" s="74"/>
      <c r="O1926" s="82" t="e">
        <f>#N/A</f>
        <v>#N/A</v>
      </c>
      <c r="P1926" s="82" t="e">
        <f>#N/A</f>
        <v>#N/A</v>
      </c>
      <c r="Q1926" s="74"/>
      <c r="R1926" s="76"/>
      <c r="S1926" s="84">
        <f t="shared" si="89"/>
        <v>0</v>
      </c>
    </row>
    <row r="1927" spans="1:19" ht="18" customHeight="1" x14ac:dyDescent="0.25">
      <c r="A1927" s="59"/>
      <c r="B1927" s="60"/>
      <c r="C1927" s="65"/>
      <c r="D1927" s="60"/>
      <c r="E1927" s="59"/>
      <c r="F1927" s="62"/>
      <c r="G1927" s="63"/>
      <c r="H1927" s="64"/>
      <c r="I1927" s="65"/>
      <c r="J1927" s="65"/>
      <c r="K1927" s="65"/>
      <c r="L1927" s="65"/>
      <c r="M1927" s="65"/>
      <c r="N1927" s="65"/>
      <c r="O1927" s="81">
        <f t="shared" ref="O1927:O1989" si="90">IF(G1927="Reimbursement ","",I1927+J1927+K1927+L1927+M1927)</f>
        <v>0</v>
      </c>
      <c r="P1927" s="81">
        <f t="shared" ref="P1927:P1989" si="91">IF(G1927="Reimbursement ","",H1927-O1927)</f>
        <v>0</v>
      </c>
      <c r="Q1927" s="65"/>
      <c r="R1927" s="67"/>
      <c r="S1927" s="83">
        <f t="shared" ref="S1927:S1990" si="92">IF(OR(R1927="",Q1927=""),0,IF(R1927&gt;Q1927,R1927-Q1927,0))</f>
        <v>0</v>
      </c>
    </row>
    <row r="1928" spans="1:19" ht="18" customHeight="1" x14ac:dyDescent="0.25">
      <c r="A1928" s="68"/>
      <c r="B1928" s="69"/>
      <c r="C1928" s="74"/>
      <c r="D1928" s="69"/>
      <c r="E1928" s="68"/>
      <c r="F1928" s="71"/>
      <c r="G1928" s="72"/>
      <c r="H1928" s="73"/>
      <c r="I1928" s="74"/>
      <c r="J1928" s="74"/>
      <c r="K1928" s="74"/>
      <c r="L1928" s="74"/>
      <c r="M1928" s="74"/>
      <c r="N1928" s="74"/>
      <c r="O1928" s="82">
        <f t="shared" si="90"/>
        <v>0</v>
      </c>
      <c r="P1928" s="82">
        <f t="shared" si="91"/>
        <v>0</v>
      </c>
      <c r="Q1928" s="74"/>
      <c r="R1928" s="76"/>
      <c r="S1928" s="84">
        <f t="shared" si="92"/>
        <v>0</v>
      </c>
    </row>
    <row r="1929" spans="1:19" ht="18" customHeight="1" x14ac:dyDescent="0.25">
      <c r="A1929" s="59"/>
      <c r="B1929" s="60"/>
      <c r="C1929" s="65"/>
      <c r="D1929" s="60"/>
      <c r="E1929" s="59"/>
      <c r="F1929" s="62"/>
      <c r="G1929" s="63"/>
      <c r="H1929" s="64"/>
      <c r="I1929" s="65"/>
      <c r="J1929" s="65"/>
      <c r="K1929" s="65"/>
      <c r="L1929" s="65"/>
      <c r="M1929" s="65"/>
      <c r="N1929" s="65"/>
      <c r="O1929" s="81">
        <f t="shared" si="90"/>
        <v>0</v>
      </c>
      <c r="P1929" s="81">
        <f t="shared" si="91"/>
        <v>0</v>
      </c>
      <c r="Q1929" s="65"/>
      <c r="R1929" s="67"/>
      <c r="S1929" s="83">
        <f t="shared" si="92"/>
        <v>0</v>
      </c>
    </row>
    <row r="1930" spans="1:19" ht="18" customHeight="1" x14ac:dyDescent="0.25">
      <c r="A1930" s="68"/>
      <c r="B1930" s="69"/>
      <c r="C1930" s="74"/>
      <c r="D1930" s="69"/>
      <c r="E1930" s="68"/>
      <c r="F1930" s="71"/>
      <c r="G1930" s="72"/>
      <c r="H1930" s="73"/>
      <c r="I1930" s="74"/>
      <c r="J1930" s="74"/>
      <c r="K1930" s="74"/>
      <c r="L1930" s="74"/>
      <c r="M1930" s="74"/>
      <c r="N1930" s="74"/>
      <c r="O1930" s="82">
        <f t="shared" si="90"/>
        <v>0</v>
      </c>
      <c r="P1930" s="82">
        <f t="shared" si="91"/>
        <v>0</v>
      </c>
      <c r="Q1930" s="74"/>
      <c r="R1930" s="76"/>
      <c r="S1930" s="84">
        <f t="shared" si="92"/>
        <v>0</v>
      </c>
    </row>
    <row r="1931" spans="1:19" ht="18" customHeight="1" x14ac:dyDescent="0.25">
      <c r="A1931" s="59"/>
      <c r="B1931" s="60"/>
      <c r="C1931" s="65"/>
      <c r="D1931" s="60"/>
      <c r="E1931" s="59"/>
      <c r="F1931" s="62"/>
      <c r="G1931" s="63"/>
      <c r="H1931" s="64"/>
      <c r="I1931" s="65"/>
      <c r="J1931" s="65"/>
      <c r="K1931" s="65"/>
      <c r="L1931" s="65"/>
      <c r="M1931" s="65"/>
      <c r="N1931" s="65"/>
      <c r="O1931" s="81">
        <f t="shared" si="90"/>
        <v>0</v>
      </c>
      <c r="P1931" s="81">
        <f t="shared" si="91"/>
        <v>0</v>
      </c>
      <c r="Q1931" s="65"/>
      <c r="R1931" s="67"/>
      <c r="S1931" s="83">
        <f t="shared" si="92"/>
        <v>0</v>
      </c>
    </row>
    <row r="1932" spans="1:19" ht="18" customHeight="1" x14ac:dyDescent="0.25">
      <c r="A1932" s="68"/>
      <c r="B1932" s="69"/>
      <c r="C1932" s="74"/>
      <c r="D1932" s="69"/>
      <c r="E1932" s="68"/>
      <c r="F1932" s="71"/>
      <c r="G1932" s="72"/>
      <c r="H1932" s="73"/>
      <c r="I1932" s="74"/>
      <c r="J1932" s="74"/>
      <c r="K1932" s="74"/>
      <c r="L1932" s="74"/>
      <c r="M1932" s="74"/>
      <c r="N1932" s="74"/>
      <c r="O1932" s="82">
        <f t="shared" si="90"/>
        <v>0</v>
      </c>
      <c r="P1932" s="82">
        <f t="shared" si="91"/>
        <v>0</v>
      </c>
      <c r="Q1932" s="74"/>
      <c r="R1932" s="76"/>
      <c r="S1932" s="84">
        <f t="shared" si="92"/>
        <v>0</v>
      </c>
    </row>
    <row r="1933" spans="1:19" ht="18" customHeight="1" x14ac:dyDescent="0.25">
      <c r="A1933" s="59"/>
      <c r="B1933" s="60"/>
      <c r="C1933" s="65"/>
      <c r="D1933" s="60"/>
      <c r="E1933" s="59"/>
      <c r="F1933" s="62"/>
      <c r="G1933" s="63"/>
      <c r="H1933" s="64"/>
      <c r="I1933" s="65"/>
      <c r="J1933" s="65"/>
      <c r="K1933" s="65"/>
      <c r="L1933" s="65"/>
      <c r="M1933" s="65"/>
      <c r="N1933" s="65"/>
      <c r="O1933" s="81">
        <f t="shared" si="90"/>
        <v>0</v>
      </c>
      <c r="P1933" s="81">
        <f t="shared" si="91"/>
        <v>0</v>
      </c>
      <c r="Q1933" s="65"/>
      <c r="R1933" s="67"/>
      <c r="S1933" s="83">
        <f t="shared" si="92"/>
        <v>0</v>
      </c>
    </row>
    <row r="1934" spans="1:19" ht="18" customHeight="1" x14ac:dyDescent="0.25">
      <c r="A1934" s="68"/>
      <c r="B1934" s="69"/>
      <c r="C1934" s="74"/>
      <c r="D1934" s="69"/>
      <c r="E1934" s="68"/>
      <c r="F1934" s="71"/>
      <c r="G1934" s="72"/>
      <c r="H1934" s="73"/>
      <c r="I1934" s="74"/>
      <c r="J1934" s="74"/>
      <c r="K1934" s="74"/>
      <c r="L1934" s="74"/>
      <c r="M1934" s="74"/>
      <c r="N1934" s="74"/>
      <c r="O1934" s="82">
        <f t="shared" si="90"/>
        <v>0</v>
      </c>
      <c r="P1934" s="82">
        <f t="shared" si="91"/>
        <v>0</v>
      </c>
      <c r="Q1934" s="74"/>
      <c r="R1934" s="76"/>
      <c r="S1934" s="84">
        <f t="shared" si="92"/>
        <v>0</v>
      </c>
    </row>
    <row r="1935" spans="1:19" ht="18" customHeight="1" x14ac:dyDescent="0.25">
      <c r="A1935" s="59"/>
      <c r="B1935" s="60"/>
      <c r="C1935" s="65"/>
      <c r="D1935" s="60"/>
      <c r="E1935" s="59"/>
      <c r="F1935" s="62"/>
      <c r="G1935" s="63"/>
      <c r="H1935" s="64"/>
      <c r="I1935" s="65"/>
      <c r="J1935" s="65"/>
      <c r="K1935" s="65"/>
      <c r="L1935" s="65"/>
      <c r="M1935" s="65"/>
      <c r="N1935" s="65"/>
      <c r="O1935" s="81">
        <f t="shared" si="90"/>
        <v>0</v>
      </c>
      <c r="P1935" s="81">
        <f t="shared" si="91"/>
        <v>0</v>
      </c>
      <c r="Q1935" s="65"/>
      <c r="R1935" s="67"/>
      <c r="S1935" s="83">
        <f t="shared" si="92"/>
        <v>0</v>
      </c>
    </row>
    <row r="1936" spans="1:19" ht="18" customHeight="1" x14ac:dyDescent="0.25">
      <c r="A1936" s="68"/>
      <c r="B1936" s="69"/>
      <c r="C1936" s="74"/>
      <c r="D1936" s="69"/>
      <c r="E1936" s="68"/>
      <c r="F1936" s="71"/>
      <c r="G1936" s="72"/>
      <c r="H1936" s="73"/>
      <c r="I1936" s="74"/>
      <c r="J1936" s="74"/>
      <c r="K1936" s="74"/>
      <c r="L1936" s="74"/>
      <c r="M1936" s="74"/>
      <c r="N1936" s="74"/>
      <c r="O1936" s="82">
        <f t="shared" si="90"/>
        <v>0</v>
      </c>
      <c r="P1936" s="82">
        <f t="shared" si="91"/>
        <v>0</v>
      </c>
      <c r="Q1936" s="74"/>
      <c r="R1936" s="76"/>
      <c r="S1936" s="84">
        <f t="shared" si="92"/>
        <v>0</v>
      </c>
    </row>
    <row r="1937" spans="1:19" ht="18" customHeight="1" x14ac:dyDescent="0.25">
      <c r="A1937" s="59"/>
      <c r="B1937" s="60"/>
      <c r="C1937" s="65"/>
      <c r="D1937" s="60"/>
      <c r="E1937" s="59"/>
      <c r="F1937" s="62"/>
      <c r="G1937" s="63"/>
      <c r="H1937" s="64"/>
      <c r="I1937" s="65"/>
      <c r="J1937" s="65"/>
      <c r="K1937" s="65"/>
      <c r="L1937" s="65"/>
      <c r="M1937" s="65"/>
      <c r="N1937" s="65"/>
      <c r="O1937" s="81">
        <f t="shared" si="90"/>
        <v>0</v>
      </c>
      <c r="P1937" s="81">
        <f t="shared" si="91"/>
        <v>0</v>
      </c>
      <c r="Q1937" s="65"/>
      <c r="R1937" s="67"/>
      <c r="S1937" s="83">
        <f t="shared" si="92"/>
        <v>0</v>
      </c>
    </row>
    <row r="1938" spans="1:19" ht="18" customHeight="1" x14ac:dyDescent="0.25">
      <c r="A1938" s="68"/>
      <c r="B1938" s="69"/>
      <c r="C1938" s="74"/>
      <c r="D1938" s="69"/>
      <c r="E1938" s="68"/>
      <c r="F1938" s="71"/>
      <c r="G1938" s="72"/>
      <c r="H1938" s="73"/>
      <c r="I1938" s="74"/>
      <c r="J1938" s="74"/>
      <c r="K1938" s="74"/>
      <c r="L1938" s="74"/>
      <c r="M1938" s="74"/>
      <c r="N1938" s="74"/>
      <c r="O1938" s="82">
        <f t="shared" si="90"/>
        <v>0</v>
      </c>
      <c r="P1938" s="82">
        <f t="shared" si="91"/>
        <v>0</v>
      </c>
      <c r="Q1938" s="74"/>
      <c r="R1938" s="76"/>
      <c r="S1938" s="84">
        <f t="shared" si="92"/>
        <v>0</v>
      </c>
    </row>
    <row r="1939" spans="1:19" ht="18" customHeight="1" x14ac:dyDescent="0.25">
      <c r="A1939" s="59"/>
      <c r="B1939" s="60"/>
      <c r="C1939" s="65"/>
      <c r="D1939" s="60"/>
      <c r="E1939" s="59"/>
      <c r="F1939" s="62"/>
      <c r="G1939" s="63"/>
      <c r="H1939" s="64"/>
      <c r="I1939" s="65"/>
      <c r="J1939" s="65"/>
      <c r="K1939" s="65"/>
      <c r="L1939" s="65"/>
      <c r="M1939" s="65"/>
      <c r="N1939" s="65"/>
      <c r="O1939" s="81">
        <f t="shared" si="90"/>
        <v>0</v>
      </c>
      <c r="P1939" s="81">
        <f t="shared" si="91"/>
        <v>0</v>
      </c>
      <c r="Q1939" s="65"/>
      <c r="R1939" s="67"/>
      <c r="S1939" s="83">
        <f t="shared" si="92"/>
        <v>0</v>
      </c>
    </row>
    <row r="1940" spans="1:19" ht="18" customHeight="1" x14ac:dyDescent="0.25">
      <c r="A1940" s="68"/>
      <c r="B1940" s="69"/>
      <c r="C1940" s="74"/>
      <c r="D1940" s="69"/>
      <c r="E1940" s="68"/>
      <c r="F1940" s="71"/>
      <c r="G1940" s="72"/>
      <c r="H1940" s="73"/>
      <c r="I1940" s="74"/>
      <c r="J1940" s="74"/>
      <c r="K1940" s="74"/>
      <c r="L1940" s="74"/>
      <c r="M1940" s="74"/>
      <c r="N1940" s="74"/>
      <c r="O1940" s="82">
        <f t="shared" si="90"/>
        <v>0</v>
      </c>
      <c r="P1940" s="82">
        <f t="shared" si="91"/>
        <v>0</v>
      </c>
      <c r="Q1940" s="74"/>
      <c r="R1940" s="76"/>
      <c r="S1940" s="84">
        <f t="shared" si="92"/>
        <v>0</v>
      </c>
    </row>
    <row r="1941" spans="1:19" ht="18" customHeight="1" x14ac:dyDescent="0.25">
      <c r="A1941" s="59"/>
      <c r="B1941" s="60"/>
      <c r="C1941" s="65"/>
      <c r="D1941" s="60"/>
      <c r="E1941" s="59"/>
      <c r="F1941" s="62"/>
      <c r="G1941" s="63"/>
      <c r="H1941" s="64"/>
      <c r="I1941" s="65"/>
      <c r="J1941" s="65"/>
      <c r="K1941" s="65"/>
      <c r="L1941" s="65"/>
      <c r="M1941" s="65"/>
      <c r="N1941" s="65"/>
      <c r="O1941" s="81">
        <f t="shared" si="90"/>
        <v>0</v>
      </c>
      <c r="P1941" s="81">
        <f t="shared" si="91"/>
        <v>0</v>
      </c>
      <c r="Q1941" s="65"/>
      <c r="R1941" s="67"/>
      <c r="S1941" s="83">
        <f t="shared" si="92"/>
        <v>0</v>
      </c>
    </row>
    <row r="1942" spans="1:19" ht="18" customHeight="1" x14ac:dyDescent="0.25">
      <c r="A1942" s="68"/>
      <c r="B1942" s="69"/>
      <c r="C1942" s="74"/>
      <c r="D1942" s="69"/>
      <c r="E1942" s="68"/>
      <c r="F1942" s="71"/>
      <c r="G1942" s="72"/>
      <c r="H1942" s="73"/>
      <c r="I1942" s="74"/>
      <c r="J1942" s="74"/>
      <c r="K1942" s="74"/>
      <c r="L1942" s="74"/>
      <c r="M1942" s="74"/>
      <c r="N1942" s="74"/>
      <c r="O1942" s="82">
        <f t="shared" si="90"/>
        <v>0</v>
      </c>
      <c r="P1942" s="82">
        <f t="shared" si="91"/>
        <v>0</v>
      </c>
      <c r="Q1942" s="74"/>
      <c r="R1942" s="76"/>
      <c r="S1942" s="84">
        <f t="shared" si="92"/>
        <v>0</v>
      </c>
    </row>
    <row r="1943" spans="1:19" ht="18" customHeight="1" x14ac:dyDescent="0.25">
      <c r="A1943" s="59"/>
      <c r="B1943" s="60"/>
      <c r="C1943" s="65"/>
      <c r="D1943" s="60"/>
      <c r="E1943" s="59"/>
      <c r="F1943" s="62"/>
      <c r="G1943" s="63"/>
      <c r="H1943" s="64"/>
      <c r="I1943" s="65"/>
      <c r="J1943" s="65"/>
      <c r="K1943" s="65"/>
      <c r="L1943" s="65"/>
      <c r="M1943" s="65"/>
      <c r="N1943" s="65"/>
      <c r="O1943" s="81">
        <f t="shared" si="90"/>
        <v>0</v>
      </c>
      <c r="P1943" s="81">
        <f t="shared" si="91"/>
        <v>0</v>
      </c>
      <c r="Q1943" s="65"/>
      <c r="R1943" s="67"/>
      <c r="S1943" s="83">
        <f t="shared" si="92"/>
        <v>0</v>
      </c>
    </row>
    <row r="1944" spans="1:19" ht="18" customHeight="1" x14ac:dyDescent="0.25">
      <c r="A1944" s="68"/>
      <c r="B1944" s="69"/>
      <c r="C1944" s="74"/>
      <c r="D1944" s="69"/>
      <c r="E1944" s="68"/>
      <c r="F1944" s="71"/>
      <c r="G1944" s="72"/>
      <c r="H1944" s="73"/>
      <c r="I1944" s="74"/>
      <c r="J1944" s="74"/>
      <c r="K1944" s="74"/>
      <c r="L1944" s="74"/>
      <c r="M1944" s="74"/>
      <c r="N1944" s="74"/>
      <c r="O1944" s="82">
        <f t="shared" si="90"/>
        <v>0</v>
      </c>
      <c r="P1944" s="82">
        <f t="shared" si="91"/>
        <v>0</v>
      </c>
      <c r="Q1944" s="74"/>
      <c r="R1944" s="76"/>
      <c r="S1944" s="84">
        <f t="shared" si="92"/>
        <v>0</v>
      </c>
    </row>
    <row r="1945" spans="1:19" ht="18" customHeight="1" x14ac:dyDescent="0.25">
      <c r="A1945" s="59"/>
      <c r="B1945" s="60"/>
      <c r="C1945" s="65"/>
      <c r="D1945" s="60"/>
      <c r="E1945" s="59"/>
      <c r="F1945" s="62"/>
      <c r="G1945" s="63"/>
      <c r="H1945" s="64"/>
      <c r="I1945" s="65"/>
      <c r="J1945" s="65"/>
      <c r="K1945" s="65"/>
      <c r="L1945" s="65"/>
      <c r="M1945" s="65"/>
      <c r="N1945" s="65"/>
      <c r="O1945" s="81">
        <f t="shared" si="90"/>
        <v>0</v>
      </c>
      <c r="P1945" s="81">
        <f t="shared" si="91"/>
        <v>0</v>
      </c>
      <c r="Q1945" s="65"/>
      <c r="R1945" s="67"/>
      <c r="S1945" s="83">
        <f t="shared" si="92"/>
        <v>0</v>
      </c>
    </row>
    <row r="1946" spans="1:19" ht="18" customHeight="1" x14ac:dyDescent="0.25">
      <c r="A1946" s="68"/>
      <c r="B1946" s="69"/>
      <c r="C1946" s="74"/>
      <c r="D1946" s="69"/>
      <c r="E1946" s="68"/>
      <c r="F1946" s="71"/>
      <c r="G1946" s="72"/>
      <c r="H1946" s="73"/>
      <c r="I1946" s="74"/>
      <c r="J1946" s="74"/>
      <c r="K1946" s="74"/>
      <c r="L1946" s="74"/>
      <c r="M1946" s="74"/>
      <c r="N1946" s="74"/>
      <c r="O1946" s="82">
        <f t="shared" si="90"/>
        <v>0</v>
      </c>
      <c r="P1946" s="82">
        <f t="shared" si="91"/>
        <v>0</v>
      </c>
      <c r="Q1946" s="74"/>
      <c r="R1946" s="76"/>
      <c r="S1946" s="84">
        <f t="shared" si="92"/>
        <v>0</v>
      </c>
    </row>
    <row r="1947" spans="1:19" ht="18" customHeight="1" x14ac:dyDescent="0.25">
      <c r="A1947" s="59"/>
      <c r="B1947" s="60"/>
      <c r="C1947" s="65"/>
      <c r="D1947" s="60"/>
      <c r="E1947" s="59"/>
      <c r="F1947" s="62"/>
      <c r="G1947" s="63"/>
      <c r="H1947" s="64"/>
      <c r="I1947" s="65"/>
      <c r="J1947" s="65"/>
      <c r="K1947" s="65"/>
      <c r="L1947" s="65"/>
      <c r="M1947" s="65"/>
      <c r="N1947" s="65"/>
      <c r="O1947" s="81">
        <f t="shared" si="90"/>
        <v>0</v>
      </c>
      <c r="P1947" s="81">
        <f t="shared" si="91"/>
        <v>0</v>
      </c>
      <c r="Q1947" s="65"/>
      <c r="R1947" s="67"/>
      <c r="S1947" s="83">
        <f t="shared" si="92"/>
        <v>0</v>
      </c>
    </row>
    <row r="1948" spans="1:19" ht="18" customHeight="1" x14ac:dyDescent="0.25">
      <c r="A1948" s="68"/>
      <c r="B1948" s="69"/>
      <c r="C1948" s="74"/>
      <c r="D1948" s="69"/>
      <c r="E1948" s="68"/>
      <c r="F1948" s="71"/>
      <c r="G1948" s="72"/>
      <c r="H1948" s="73"/>
      <c r="I1948" s="74"/>
      <c r="J1948" s="74"/>
      <c r="K1948" s="74"/>
      <c r="L1948" s="74"/>
      <c r="M1948" s="74"/>
      <c r="N1948" s="74"/>
      <c r="O1948" s="82">
        <f t="shared" si="90"/>
        <v>0</v>
      </c>
      <c r="P1948" s="82">
        <f t="shared" si="91"/>
        <v>0</v>
      </c>
      <c r="Q1948" s="74"/>
      <c r="R1948" s="76"/>
      <c r="S1948" s="84">
        <f t="shared" si="92"/>
        <v>0</v>
      </c>
    </row>
    <row r="1949" spans="1:19" ht="18" customHeight="1" x14ac:dyDescent="0.25">
      <c r="A1949" s="59"/>
      <c r="B1949" s="60"/>
      <c r="C1949" s="65"/>
      <c r="D1949" s="60"/>
      <c r="E1949" s="59"/>
      <c r="F1949" s="62"/>
      <c r="G1949" s="63"/>
      <c r="H1949" s="64"/>
      <c r="I1949" s="65"/>
      <c r="J1949" s="65"/>
      <c r="K1949" s="65"/>
      <c r="L1949" s="65"/>
      <c r="M1949" s="65"/>
      <c r="N1949" s="65"/>
      <c r="O1949" s="81">
        <f t="shared" si="90"/>
        <v>0</v>
      </c>
      <c r="P1949" s="81">
        <f t="shared" si="91"/>
        <v>0</v>
      </c>
      <c r="Q1949" s="65"/>
      <c r="R1949" s="67"/>
      <c r="S1949" s="83">
        <f t="shared" si="92"/>
        <v>0</v>
      </c>
    </row>
    <row r="1950" spans="1:19" ht="18" customHeight="1" x14ac:dyDescent="0.25">
      <c r="A1950" s="68"/>
      <c r="B1950" s="69"/>
      <c r="C1950" s="74"/>
      <c r="D1950" s="69"/>
      <c r="E1950" s="68"/>
      <c r="F1950" s="71"/>
      <c r="G1950" s="72"/>
      <c r="H1950" s="73"/>
      <c r="I1950" s="74"/>
      <c r="J1950" s="74"/>
      <c r="K1950" s="74"/>
      <c r="L1950" s="74"/>
      <c r="M1950" s="74"/>
      <c r="N1950" s="74"/>
      <c r="O1950" s="82">
        <f t="shared" si="90"/>
        <v>0</v>
      </c>
      <c r="P1950" s="82">
        <f t="shared" si="91"/>
        <v>0</v>
      </c>
      <c r="Q1950" s="74"/>
      <c r="R1950" s="76"/>
      <c r="S1950" s="84">
        <f t="shared" si="92"/>
        <v>0</v>
      </c>
    </row>
    <row r="1951" spans="1:19" ht="18" customHeight="1" x14ac:dyDescent="0.25">
      <c r="A1951" s="59"/>
      <c r="B1951" s="60"/>
      <c r="C1951" s="65"/>
      <c r="D1951" s="60"/>
      <c r="E1951" s="59"/>
      <c r="F1951" s="62"/>
      <c r="G1951" s="63"/>
      <c r="H1951" s="64"/>
      <c r="I1951" s="65"/>
      <c r="J1951" s="65"/>
      <c r="K1951" s="65"/>
      <c r="L1951" s="65"/>
      <c r="M1951" s="65"/>
      <c r="N1951" s="65"/>
      <c r="O1951" s="81">
        <f t="shared" si="90"/>
        <v>0</v>
      </c>
      <c r="P1951" s="81">
        <f t="shared" si="91"/>
        <v>0</v>
      </c>
      <c r="Q1951" s="65"/>
      <c r="R1951" s="67"/>
      <c r="S1951" s="83">
        <f t="shared" si="92"/>
        <v>0</v>
      </c>
    </row>
    <row r="1952" spans="1:19" ht="18" customHeight="1" x14ac:dyDescent="0.25">
      <c r="A1952" s="68"/>
      <c r="B1952" s="69"/>
      <c r="C1952" s="74"/>
      <c r="D1952" s="69"/>
      <c r="E1952" s="68"/>
      <c r="F1952" s="71"/>
      <c r="G1952" s="72"/>
      <c r="H1952" s="73"/>
      <c r="I1952" s="74"/>
      <c r="J1952" s="74"/>
      <c r="K1952" s="74"/>
      <c r="L1952" s="74"/>
      <c r="M1952" s="74"/>
      <c r="N1952" s="74"/>
      <c r="O1952" s="82">
        <f t="shared" si="90"/>
        <v>0</v>
      </c>
      <c r="P1952" s="82">
        <f t="shared" si="91"/>
        <v>0</v>
      </c>
      <c r="Q1952" s="74"/>
      <c r="R1952" s="76"/>
      <c r="S1952" s="84">
        <f t="shared" si="92"/>
        <v>0</v>
      </c>
    </row>
    <row r="1953" spans="1:19" ht="18" customHeight="1" x14ac:dyDescent="0.25">
      <c r="A1953" s="59"/>
      <c r="B1953" s="60"/>
      <c r="C1953" s="65"/>
      <c r="D1953" s="60"/>
      <c r="E1953" s="59"/>
      <c r="F1953" s="62"/>
      <c r="G1953" s="63"/>
      <c r="H1953" s="64"/>
      <c r="I1953" s="65"/>
      <c r="J1953" s="65"/>
      <c r="K1953" s="65"/>
      <c r="L1953" s="65"/>
      <c r="M1953" s="65"/>
      <c r="N1953" s="65"/>
      <c r="O1953" s="81">
        <f t="shared" si="90"/>
        <v>0</v>
      </c>
      <c r="P1953" s="81">
        <f t="shared" si="91"/>
        <v>0</v>
      </c>
      <c r="Q1953" s="65"/>
      <c r="R1953" s="67"/>
      <c r="S1953" s="83">
        <f t="shared" si="92"/>
        <v>0</v>
      </c>
    </row>
    <row r="1954" spans="1:19" ht="18" customHeight="1" x14ac:dyDescent="0.25">
      <c r="A1954" s="68"/>
      <c r="B1954" s="69"/>
      <c r="C1954" s="74"/>
      <c r="D1954" s="69"/>
      <c r="E1954" s="68"/>
      <c r="F1954" s="71"/>
      <c r="G1954" s="72"/>
      <c r="H1954" s="73"/>
      <c r="I1954" s="74"/>
      <c r="J1954" s="74"/>
      <c r="K1954" s="74"/>
      <c r="L1954" s="74"/>
      <c r="M1954" s="74"/>
      <c r="N1954" s="74"/>
      <c r="O1954" s="82">
        <f t="shared" si="90"/>
        <v>0</v>
      </c>
      <c r="P1954" s="82">
        <f t="shared" si="91"/>
        <v>0</v>
      </c>
      <c r="Q1954" s="74"/>
      <c r="R1954" s="76"/>
      <c r="S1954" s="84">
        <f t="shared" si="92"/>
        <v>0</v>
      </c>
    </row>
    <row r="1955" spans="1:19" ht="18" customHeight="1" x14ac:dyDescent="0.25">
      <c r="A1955" s="59"/>
      <c r="B1955" s="60"/>
      <c r="C1955" s="65"/>
      <c r="D1955" s="60"/>
      <c r="E1955" s="59"/>
      <c r="F1955" s="62"/>
      <c r="G1955" s="63"/>
      <c r="H1955" s="64"/>
      <c r="I1955" s="65"/>
      <c r="J1955" s="65"/>
      <c r="K1955" s="65"/>
      <c r="L1955" s="65"/>
      <c r="M1955" s="65"/>
      <c r="N1955" s="65"/>
      <c r="O1955" s="81">
        <f t="shared" si="90"/>
        <v>0</v>
      </c>
      <c r="P1955" s="81">
        <f t="shared" si="91"/>
        <v>0</v>
      </c>
      <c r="Q1955" s="65"/>
      <c r="R1955" s="67"/>
      <c r="S1955" s="83">
        <f t="shared" si="92"/>
        <v>0</v>
      </c>
    </row>
    <row r="1956" spans="1:19" ht="18" customHeight="1" x14ac:dyDescent="0.25">
      <c r="A1956" s="68"/>
      <c r="B1956" s="69"/>
      <c r="C1956" s="74"/>
      <c r="D1956" s="69"/>
      <c r="E1956" s="68"/>
      <c r="F1956" s="71"/>
      <c r="G1956" s="72"/>
      <c r="H1956" s="73"/>
      <c r="I1956" s="74"/>
      <c r="J1956" s="74"/>
      <c r="K1956" s="74"/>
      <c r="L1956" s="74"/>
      <c r="M1956" s="74"/>
      <c r="N1956" s="74"/>
      <c r="O1956" s="82">
        <f t="shared" si="90"/>
        <v>0</v>
      </c>
      <c r="P1956" s="82">
        <f t="shared" si="91"/>
        <v>0</v>
      </c>
      <c r="Q1956" s="74"/>
      <c r="R1956" s="76"/>
      <c r="S1956" s="84">
        <f t="shared" si="92"/>
        <v>0</v>
      </c>
    </row>
    <row r="1957" spans="1:19" ht="18" customHeight="1" x14ac:dyDescent="0.25">
      <c r="A1957" s="59"/>
      <c r="B1957" s="60"/>
      <c r="C1957" s="65"/>
      <c r="D1957" s="60"/>
      <c r="E1957" s="59"/>
      <c r="F1957" s="62"/>
      <c r="G1957" s="63"/>
      <c r="H1957" s="64"/>
      <c r="I1957" s="65"/>
      <c r="J1957" s="65"/>
      <c r="K1957" s="65"/>
      <c r="L1957" s="65"/>
      <c r="M1957" s="65"/>
      <c r="N1957" s="65"/>
      <c r="O1957" s="81">
        <f t="shared" si="90"/>
        <v>0</v>
      </c>
      <c r="P1957" s="81">
        <f t="shared" si="91"/>
        <v>0</v>
      </c>
      <c r="Q1957" s="65"/>
      <c r="R1957" s="67"/>
      <c r="S1957" s="83">
        <f t="shared" si="92"/>
        <v>0</v>
      </c>
    </row>
    <row r="1958" spans="1:19" ht="18" customHeight="1" x14ac:dyDescent="0.25">
      <c r="A1958" s="68"/>
      <c r="B1958" s="69"/>
      <c r="C1958" s="74"/>
      <c r="D1958" s="69"/>
      <c r="E1958" s="68"/>
      <c r="F1958" s="71"/>
      <c r="G1958" s="72"/>
      <c r="H1958" s="73"/>
      <c r="I1958" s="74"/>
      <c r="J1958" s="74"/>
      <c r="K1958" s="74"/>
      <c r="L1958" s="74"/>
      <c r="M1958" s="74"/>
      <c r="N1958" s="74"/>
      <c r="O1958" s="82">
        <f t="shared" si="90"/>
        <v>0</v>
      </c>
      <c r="P1958" s="82">
        <f t="shared" si="91"/>
        <v>0</v>
      </c>
      <c r="Q1958" s="74"/>
      <c r="R1958" s="76"/>
      <c r="S1958" s="84">
        <f t="shared" si="92"/>
        <v>0</v>
      </c>
    </row>
    <row r="1959" spans="1:19" ht="18" customHeight="1" x14ac:dyDescent="0.25">
      <c r="A1959" s="59"/>
      <c r="B1959" s="60"/>
      <c r="C1959" s="65"/>
      <c r="D1959" s="60"/>
      <c r="E1959" s="59"/>
      <c r="F1959" s="62"/>
      <c r="G1959" s="63"/>
      <c r="H1959" s="64"/>
      <c r="I1959" s="65"/>
      <c r="J1959" s="65"/>
      <c r="K1959" s="65"/>
      <c r="L1959" s="65"/>
      <c r="M1959" s="65"/>
      <c r="N1959" s="65"/>
      <c r="O1959" s="81">
        <f t="shared" si="90"/>
        <v>0</v>
      </c>
      <c r="P1959" s="81">
        <f t="shared" si="91"/>
        <v>0</v>
      </c>
      <c r="Q1959" s="65"/>
      <c r="R1959" s="67"/>
      <c r="S1959" s="83">
        <f t="shared" si="92"/>
        <v>0</v>
      </c>
    </row>
    <row r="1960" spans="1:19" ht="18" customHeight="1" x14ac:dyDescent="0.25">
      <c r="A1960" s="68"/>
      <c r="B1960" s="69"/>
      <c r="C1960" s="74"/>
      <c r="D1960" s="69"/>
      <c r="E1960" s="68"/>
      <c r="F1960" s="71"/>
      <c r="G1960" s="72"/>
      <c r="H1960" s="73"/>
      <c r="I1960" s="74"/>
      <c r="J1960" s="74"/>
      <c r="K1960" s="74"/>
      <c r="L1960" s="74"/>
      <c r="M1960" s="74"/>
      <c r="N1960" s="74"/>
      <c r="O1960" s="82">
        <f t="shared" si="90"/>
        <v>0</v>
      </c>
      <c r="P1960" s="82">
        <f t="shared" si="91"/>
        <v>0</v>
      </c>
      <c r="Q1960" s="74"/>
      <c r="R1960" s="76"/>
      <c r="S1960" s="84">
        <f t="shared" si="92"/>
        <v>0</v>
      </c>
    </row>
    <row r="1961" spans="1:19" ht="18" customHeight="1" x14ac:dyDescent="0.25">
      <c r="A1961" s="59"/>
      <c r="B1961" s="60"/>
      <c r="C1961" s="65"/>
      <c r="D1961" s="60"/>
      <c r="E1961" s="59"/>
      <c r="F1961" s="62"/>
      <c r="G1961" s="63"/>
      <c r="H1961" s="64"/>
      <c r="I1961" s="65"/>
      <c r="J1961" s="65"/>
      <c r="K1961" s="65"/>
      <c r="L1961" s="65"/>
      <c r="M1961" s="65"/>
      <c r="N1961" s="65"/>
      <c r="O1961" s="81">
        <f t="shared" si="90"/>
        <v>0</v>
      </c>
      <c r="P1961" s="81">
        <f t="shared" si="91"/>
        <v>0</v>
      </c>
      <c r="Q1961" s="65"/>
      <c r="R1961" s="67"/>
      <c r="S1961" s="83">
        <f t="shared" si="92"/>
        <v>0</v>
      </c>
    </row>
    <row r="1962" spans="1:19" ht="18" customHeight="1" x14ac:dyDescent="0.25">
      <c r="A1962" s="68"/>
      <c r="B1962" s="69"/>
      <c r="C1962" s="74"/>
      <c r="D1962" s="69"/>
      <c r="E1962" s="68"/>
      <c r="F1962" s="71"/>
      <c r="G1962" s="72"/>
      <c r="H1962" s="73"/>
      <c r="I1962" s="74"/>
      <c r="J1962" s="74"/>
      <c r="K1962" s="74"/>
      <c r="L1962" s="74"/>
      <c r="M1962" s="74"/>
      <c r="N1962" s="74"/>
      <c r="O1962" s="82">
        <f t="shared" si="90"/>
        <v>0</v>
      </c>
      <c r="P1962" s="82">
        <f t="shared" si="91"/>
        <v>0</v>
      </c>
      <c r="Q1962" s="74"/>
      <c r="R1962" s="76"/>
      <c r="S1962" s="84">
        <f t="shared" si="92"/>
        <v>0</v>
      </c>
    </row>
    <row r="1963" spans="1:19" ht="18" customHeight="1" x14ac:dyDescent="0.25">
      <c r="A1963" s="59"/>
      <c r="B1963" s="60"/>
      <c r="C1963" s="65"/>
      <c r="D1963" s="60"/>
      <c r="E1963" s="59"/>
      <c r="F1963" s="62"/>
      <c r="G1963" s="63"/>
      <c r="H1963" s="64"/>
      <c r="I1963" s="65"/>
      <c r="J1963" s="65"/>
      <c r="K1963" s="65"/>
      <c r="L1963" s="65"/>
      <c r="M1963" s="65"/>
      <c r="N1963" s="65"/>
      <c r="O1963" s="81">
        <f t="shared" si="90"/>
        <v>0</v>
      </c>
      <c r="P1963" s="81">
        <f t="shared" si="91"/>
        <v>0</v>
      </c>
      <c r="Q1963" s="65"/>
      <c r="R1963" s="67"/>
      <c r="S1963" s="83">
        <f t="shared" si="92"/>
        <v>0</v>
      </c>
    </row>
    <row r="1964" spans="1:19" ht="18" customHeight="1" x14ac:dyDescent="0.25">
      <c r="A1964" s="68"/>
      <c r="B1964" s="69"/>
      <c r="C1964" s="74"/>
      <c r="D1964" s="69"/>
      <c r="E1964" s="68"/>
      <c r="F1964" s="71"/>
      <c r="G1964" s="72"/>
      <c r="H1964" s="73"/>
      <c r="I1964" s="74"/>
      <c r="J1964" s="74"/>
      <c r="K1964" s="74"/>
      <c r="L1964" s="74"/>
      <c r="M1964" s="74"/>
      <c r="N1964" s="74"/>
      <c r="O1964" s="82">
        <f t="shared" si="90"/>
        <v>0</v>
      </c>
      <c r="P1964" s="82">
        <f t="shared" si="91"/>
        <v>0</v>
      </c>
      <c r="Q1964" s="74"/>
      <c r="R1964" s="76"/>
      <c r="S1964" s="84">
        <f t="shared" si="92"/>
        <v>0</v>
      </c>
    </row>
    <row r="1965" spans="1:19" ht="18" customHeight="1" x14ac:dyDescent="0.25">
      <c r="A1965" s="59"/>
      <c r="B1965" s="60"/>
      <c r="C1965" s="65"/>
      <c r="D1965" s="60"/>
      <c r="E1965" s="59"/>
      <c r="F1965" s="62"/>
      <c r="G1965" s="63"/>
      <c r="H1965" s="64"/>
      <c r="I1965" s="65"/>
      <c r="J1965" s="65"/>
      <c r="K1965" s="65"/>
      <c r="L1965" s="65"/>
      <c r="M1965" s="65"/>
      <c r="N1965" s="65"/>
      <c r="O1965" s="81">
        <f t="shared" si="90"/>
        <v>0</v>
      </c>
      <c r="P1965" s="81">
        <f t="shared" si="91"/>
        <v>0</v>
      </c>
      <c r="Q1965" s="65"/>
      <c r="R1965" s="67"/>
      <c r="S1965" s="83">
        <f t="shared" si="92"/>
        <v>0</v>
      </c>
    </row>
    <row r="1966" spans="1:19" ht="18" customHeight="1" x14ac:dyDescent="0.25">
      <c r="A1966" s="68"/>
      <c r="B1966" s="69"/>
      <c r="C1966" s="74"/>
      <c r="D1966" s="69"/>
      <c r="E1966" s="68"/>
      <c r="F1966" s="71"/>
      <c r="G1966" s="72"/>
      <c r="H1966" s="73"/>
      <c r="I1966" s="74"/>
      <c r="J1966" s="74"/>
      <c r="K1966" s="74"/>
      <c r="L1966" s="74"/>
      <c r="M1966" s="74"/>
      <c r="N1966" s="74"/>
      <c r="O1966" s="82">
        <f t="shared" si="90"/>
        <v>0</v>
      </c>
      <c r="P1966" s="82">
        <f t="shared" si="91"/>
        <v>0</v>
      </c>
      <c r="Q1966" s="74"/>
      <c r="R1966" s="76"/>
      <c r="S1966" s="84">
        <f t="shared" si="92"/>
        <v>0</v>
      </c>
    </row>
    <row r="1967" spans="1:19" ht="18" customHeight="1" x14ac:dyDescent="0.25">
      <c r="A1967" s="59"/>
      <c r="B1967" s="60"/>
      <c r="C1967" s="65"/>
      <c r="D1967" s="60"/>
      <c r="E1967" s="59"/>
      <c r="F1967" s="62"/>
      <c r="G1967" s="63"/>
      <c r="H1967" s="64"/>
      <c r="I1967" s="65"/>
      <c r="J1967" s="65"/>
      <c r="K1967" s="65"/>
      <c r="L1967" s="65"/>
      <c r="M1967" s="65"/>
      <c r="N1967" s="65"/>
      <c r="O1967" s="81">
        <f t="shared" si="90"/>
        <v>0</v>
      </c>
      <c r="P1967" s="81">
        <f t="shared" si="91"/>
        <v>0</v>
      </c>
      <c r="Q1967" s="65"/>
      <c r="R1967" s="67"/>
      <c r="S1967" s="83">
        <f t="shared" si="92"/>
        <v>0</v>
      </c>
    </row>
    <row r="1968" spans="1:19" ht="18" customHeight="1" x14ac:dyDescent="0.25">
      <c r="A1968" s="68"/>
      <c r="B1968" s="69"/>
      <c r="C1968" s="74"/>
      <c r="D1968" s="69"/>
      <c r="E1968" s="68"/>
      <c r="F1968" s="71"/>
      <c r="G1968" s="72"/>
      <c r="H1968" s="73"/>
      <c r="I1968" s="74"/>
      <c r="J1968" s="74"/>
      <c r="K1968" s="74"/>
      <c r="L1968" s="74"/>
      <c r="M1968" s="74"/>
      <c r="N1968" s="74"/>
      <c r="O1968" s="82">
        <f t="shared" si="90"/>
        <v>0</v>
      </c>
      <c r="P1968" s="82">
        <f t="shared" si="91"/>
        <v>0</v>
      </c>
      <c r="Q1968" s="74"/>
      <c r="R1968" s="76"/>
      <c r="S1968" s="84">
        <f t="shared" si="92"/>
        <v>0</v>
      </c>
    </row>
    <row r="1969" spans="1:19" ht="18" customHeight="1" x14ac:dyDescent="0.25">
      <c r="A1969" s="59"/>
      <c r="B1969" s="60"/>
      <c r="C1969" s="65"/>
      <c r="D1969" s="60"/>
      <c r="E1969" s="59"/>
      <c r="F1969" s="62"/>
      <c r="G1969" s="63"/>
      <c r="H1969" s="64"/>
      <c r="I1969" s="65"/>
      <c r="J1969" s="65"/>
      <c r="K1969" s="65"/>
      <c r="L1969" s="65"/>
      <c r="M1969" s="65"/>
      <c r="N1969" s="65"/>
      <c r="O1969" s="81">
        <f t="shared" si="90"/>
        <v>0</v>
      </c>
      <c r="P1969" s="81">
        <f t="shared" si="91"/>
        <v>0</v>
      </c>
      <c r="Q1969" s="65"/>
      <c r="R1969" s="67"/>
      <c r="S1969" s="83">
        <f t="shared" si="92"/>
        <v>0</v>
      </c>
    </row>
    <row r="1970" spans="1:19" ht="18" customHeight="1" x14ac:dyDescent="0.25">
      <c r="A1970" s="68"/>
      <c r="B1970" s="69"/>
      <c r="C1970" s="74"/>
      <c r="D1970" s="69"/>
      <c r="E1970" s="68"/>
      <c r="F1970" s="71"/>
      <c r="G1970" s="72"/>
      <c r="H1970" s="73"/>
      <c r="I1970" s="74"/>
      <c r="J1970" s="74"/>
      <c r="K1970" s="74"/>
      <c r="L1970" s="74"/>
      <c r="M1970" s="74"/>
      <c r="N1970" s="74"/>
      <c r="O1970" s="82">
        <f t="shared" si="90"/>
        <v>0</v>
      </c>
      <c r="P1970" s="82">
        <f t="shared" si="91"/>
        <v>0</v>
      </c>
      <c r="Q1970" s="74"/>
      <c r="R1970" s="76"/>
      <c r="S1970" s="84">
        <f t="shared" si="92"/>
        <v>0</v>
      </c>
    </row>
    <row r="1971" spans="1:19" ht="18" customHeight="1" x14ac:dyDescent="0.25">
      <c r="A1971" s="59"/>
      <c r="B1971" s="60"/>
      <c r="C1971" s="65"/>
      <c r="D1971" s="60"/>
      <c r="E1971" s="59"/>
      <c r="F1971" s="62"/>
      <c r="G1971" s="63"/>
      <c r="H1971" s="64"/>
      <c r="I1971" s="65"/>
      <c r="J1971" s="65"/>
      <c r="K1971" s="65"/>
      <c r="L1971" s="65"/>
      <c r="M1971" s="65"/>
      <c r="N1971" s="65"/>
      <c r="O1971" s="81">
        <f t="shared" si="90"/>
        <v>0</v>
      </c>
      <c r="P1971" s="81">
        <f t="shared" si="91"/>
        <v>0</v>
      </c>
      <c r="Q1971" s="65"/>
      <c r="R1971" s="67"/>
      <c r="S1971" s="83">
        <f t="shared" si="92"/>
        <v>0</v>
      </c>
    </row>
    <row r="1972" spans="1:19" ht="18" customHeight="1" x14ac:dyDescent="0.25">
      <c r="A1972" s="68"/>
      <c r="B1972" s="69"/>
      <c r="C1972" s="74"/>
      <c r="D1972" s="69"/>
      <c r="E1972" s="68"/>
      <c r="F1972" s="71"/>
      <c r="G1972" s="72"/>
      <c r="H1972" s="73"/>
      <c r="I1972" s="74"/>
      <c r="J1972" s="74"/>
      <c r="K1972" s="74"/>
      <c r="L1972" s="74"/>
      <c r="M1972" s="74"/>
      <c r="N1972" s="74"/>
      <c r="O1972" s="82">
        <f t="shared" si="90"/>
        <v>0</v>
      </c>
      <c r="P1972" s="82">
        <f t="shared" si="91"/>
        <v>0</v>
      </c>
      <c r="Q1972" s="74"/>
      <c r="R1972" s="76"/>
      <c r="S1972" s="84">
        <f t="shared" si="92"/>
        <v>0</v>
      </c>
    </row>
    <row r="1973" spans="1:19" ht="18" customHeight="1" x14ac:dyDescent="0.25">
      <c r="A1973" s="59"/>
      <c r="B1973" s="60"/>
      <c r="C1973" s="65"/>
      <c r="D1973" s="60"/>
      <c r="E1973" s="59"/>
      <c r="F1973" s="62"/>
      <c r="G1973" s="63"/>
      <c r="H1973" s="64"/>
      <c r="I1973" s="65"/>
      <c r="J1973" s="65"/>
      <c r="K1973" s="65"/>
      <c r="L1973" s="65"/>
      <c r="M1973" s="65"/>
      <c r="N1973" s="65"/>
      <c r="O1973" s="81">
        <f t="shared" si="90"/>
        <v>0</v>
      </c>
      <c r="P1973" s="81">
        <f t="shared" si="91"/>
        <v>0</v>
      </c>
      <c r="Q1973" s="65"/>
      <c r="R1973" s="67"/>
      <c r="S1973" s="83">
        <f t="shared" si="92"/>
        <v>0</v>
      </c>
    </row>
    <row r="1974" spans="1:19" ht="18" customHeight="1" x14ac:dyDescent="0.25">
      <c r="A1974" s="68"/>
      <c r="B1974" s="69"/>
      <c r="C1974" s="74"/>
      <c r="D1974" s="69"/>
      <c r="E1974" s="68"/>
      <c r="F1974" s="71"/>
      <c r="G1974" s="72"/>
      <c r="H1974" s="73"/>
      <c r="I1974" s="74"/>
      <c r="J1974" s="74"/>
      <c r="K1974" s="74"/>
      <c r="L1974" s="74"/>
      <c r="M1974" s="74"/>
      <c r="N1974" s="74"/>
      <c r="O1974" s="82">
        <f t="shared" si="90"/>
        <v>0</v>
      </c>
      <c r="P1974" s="82">
        <f t="shared" si="91"/>
        <v>0</v>
      </c>
      <c r="Q1974" s="74"/>
      <c r="R1974" s="76"/>
      <c r="S1974" s="84">
        <f t="shared" si="92"/>
        <v>0</v>
      </c>
    </row>
    <row r="1975" spans="1:19" ht="18" customHeight="1" x14ac:dyDescent="0.25">
      <c r="A1975" s="59"/>
      <c r="B1975" s="60"/>
      <c r="C1975" s="65"/>
      <c r="D1975" s="60"/>
      <c r="E1975" s="59"/>
      <c r="F1975" s="62"/>
      <c r="G1975" s="63"/>
      <c r="H1975" s="64"/>
      <c r="I1975" s="65"/>
      <c r="J1975" s="65"/>
      <c r="K1975" s="65"/>
      <c r="L1975" s="65"/>
      <c r="M1975" s="65"/>
      <c r="N1975" s="65"/>
      <c r="O1975" s="81">
        <f t="shared" si="90"/>
        <v>0</v>
      </c>
      <c r="P1975" s="81">
        <f t="shared" si="91"/>
        <v>0</v>
      </c>
      <c r="Q1975" s="65"/>
      <c r="R1975" s="67"/>
      <c r="S1975" s="83">
        <f t="shared" si="92"/>
        <v>0</v>
      </c>
    </row>
    <row r="1976" spans="1:19" ht="18" customHeight="1" x14ac:dyDescent="0.25">
      <c r="A1976" s="68"/>
      <c r="B1976" s="69"/>
      <c r="C1976" s="74"/>
      <c r="D1976" s="69"/>
      <c r="E1976" s="68"/>
      <c r="F1976" s="71"/>
      <c r="G1976" s="72"/>
      <c r="H1976" s="73"/>
      <c r="I1976" s="74"/>
      <c r="J1976" s="74"/>
      <c r="K1976" s="74"/>
      <c r="L1976" s="74"/>
      <c r="M1976" s="74"/>
      <c r="N1976" s="74"/>
      <c r="O1976" s="82">
        <f t="shared" si="90"/>
        <v>0</v>
      </c>
      <c r="P1976" s="82">
        <f t="shared" si="91"/>
        <v>0</v>
      </c>
      <c r="Q1976" s="74"/>
      <c r="R1976" s="76"/>
      <c r="S1976" s="84">
        <f t="shared" si="92"/>
        <v>0</v>
      </c>
    </row>
    <row r="1977" spans="1:19" ht="18" customHeight="1" x14ac:dyDescent="0.25">
      <c r="A1977" s="59"/>
      <c r="B1977" s="60"/>
      <c r="C1977" s="65"/>
      <c r="D1977" s="60"/>
      <c r="E1977" s="59"/>
      <c r="F1977" s="62"/>
      <c r="G1977" s="63"/>
      <c r="H1977" s="64"/>
      <c r="I1977" s="65"/>
      <c r="J1977" s="65"/>
      <c r="K1977" s="65"/>
      <c r="L1977" s="65"/>
      <c r="M1977" s="65"/>
      <c r="N1977" s="65"/>
      <c r="O1977" s="81">
        <f t="shared" si="90"/>
        <v>0</v>
      </c>
      <c r="P1977" s="81">
        <f t="shared" si="91"/>
        <v>0</v>
      </c>
      <c r="Q1977" s="65"/>
      <c r="R1977" s="67"/>
      <c r="S1977" s="83">
        <f t="shared" si="92"/>
        <v>0</v>
      </c>
    </row>
    <row r="1978" spans="1:19" ht="18" customHeight="1" x14ac:dyDescent="0.25">
      <c r="A1978" s="68"/>
      <c r="B1978" s="69"/>
      <c r="C1978" s="74"/>
      <c r="D1978" s="69"/>
      <c r="E1978" s="68"/>
      <c r="F1978" s="71"/>
      <c r="G1978" s="72"/>
      <c r="H1978" s="73"/>
      <c r="I1978" s="74"/>
      <c r="J1978" s="74"/>
      <c r="K1978" s="74"/>
      <c r="L1978" s="74"/>
      <c r="M1978" s="74"/>
      <c r="N1978" s="74"/>
      <c r="O1978" s="82">
        <f t="shared" si="90"/>
        <v>0</v>
      </c>
      <c r="P1978" s="82">
        <f t="shared" si="91"/>
        <v>0</v>
      </c>
      <c r="Q1978" s="74"/>
      <c r="R1978" s="76"/>
      <c r="S1978" s="84">
        <f t="shared" si="92"/>
        <v>0</v>
      </c>
    </row>
    <row r="1979" spans="1:19" ht="18" customHeight="1" x14ac:dyDescent="0.25">
      <c r="A1979" s="59"/>
      <c r="B1979" s="60"/>
      <c r="C1979" s="65"/>
      <c r="D1979" s="60"/>
      <c r="E1979" s="59"/>
      <c r="F1979" s="62"/>
      <c r="G1979" s="63"/>
      <c r="H1979" s="64"/>
      <c r="I1979" s="65"/>
      <c r="J1979" s="65"/>
      <c r="K1979" s="65"/>
      <c r="L1979" s="65"/>
      <c r="M1979" s="65"/>
      <c r="N1979" s="65"/>
      <c r="O1979" s="81">
        <f t="shared" si="90"/>
        <v>0</v>
      </c>
      <c r="P1979" s="81">
        <f t="shared" si="91"/>
        <v>0</v>
      </c>
      <c r="Q1979" s="65"/>
      <c r="R1979" s="67"/>
      <c r="S1979" s="83">
        <f t="shared" si="92"/>
        <v>0</v>
      </c>
    </row>
    <row r="1980" spans="1:19" ht="18" customHeight="1" x14ac:dyDescent="0.25">
      <c r="A1980" s="68"/>
      <c r="B1980" s="69"/>
      <c r="C1980" s="74"/>
      <c r="D1980" s="69"/>
      <c r="E1980" s="68"/>
      <c r="F1980" s="71"/>
      <c r="G1980" s="72"/>
      <c r="H1980" s="73"/>
      <c r="I1980" s="74"/>
      <c r="J1980" s="74"/>
      <c r="K1980" s="74"/>
      <c r="L1980" s="74"/>
      <c r="M1980" s="74"/>
      <c r="N1980" s="74"/>
      <c r="O1980" s="82">
        <f t="shared" si="90"/>
        <v>0</v>
      </c>
      <c r="P1980" s="82">
        <f t="shared" si="91"/>
        <v>0</v>
      </c>
      <c r="Q1980" s="74"/>
      <c r="R1980" s="76"/>
      <c r="S1980" s="84">
        <f t="shared" si="92"/>
        <v>0</v>
      </c>
    </row>
    <row r="1981" spans="1:19" ht="18" customHeight="1" x14ac:dyDescent="0.25">
      <c r="A1981" s="59"/>
      <c r="B1981" s="60"/>
      <c r="C1981" s="65"/>
      <c r="D1981" s="60"/>
      <c r="E1981" s="59"/>
      <c r="F1981" s="62"/>
      <c r="G1981" s="63"/>
      <c r="H1981" s="64"/>
      <c r="I1981" s="65"/>
      <c r="J1981" s="65"/>
      <c r="K1981" s="65"/>
      <c r="L1981" s="65"/>
      <c r="M1981" s="65"/>
      <c r="N1981" s="65"/>
      <c r="O1981" s="81">
        <f t="shared" si="90"/>
        <v>0</v>
      </c>
      <c r="P1981" s="81">
        <f t="shared" si="91"/>
        <v>0</v>
      </c>
      <c r="Q1981" s="65"/>
      <c r="R1981" s="67"/>
      <c r="S1981" s="83">
        <f t="shared" si="92"/>
        <v>0</v>
      </c>
    </row>
    <row r="1982" spans="1:19" ht="18" customHeight="1" x14ac:dyDescent="0.25">
      <c r="A1982" s="68"/>
      <c r="B1982" s="69"/>
      <c r="C1982" s="74"/>
      <c r="D1982" s="69"/>
      <c r="E1982" s="68"/>
      <c r="F1982" s="71"/>
      <c r="G1982" s="72"/>
      <c r="H1982" s="73"/>
      <c r="I1982" s="74"/>
      <c r="J1982" s="74"/>
      <c r="K1982" s="74"/>
      <c r="L1982" s="74"/>
      <c r="M1982" s="74"/>
      <c r="N1982" s="74"/>
      <c r="O1982" s="82">
        <f t="shared" si="90"/>
        <v>0</v>
      </c>
      <c r="P1982" s="82">
        <f t="shared" si="91"/>
        <v>0</v>
      </c>
      <c r="Q1982" s="74"/>
      <c r="R1982" s="76"/>
      <c r="S1982" s="84">
        <f t="shared" si="92"/>
        <v>0</v>
      </c>
    </row>
    <row r="1983" spans="1:19" ht="18" customHeight="1" x14ac:dyDescent="0.25">
      <c r="A1983" s="59"/>
      <c r="B1983" s="60"/>
      <c r="C1983" s="65"/>
      <c r="D1983" s="60"/>
      <c r="E1983" s="59"/>
      <c r="F1983" s="62"/>
      <c r="G1983" s="63"/>
      <c r="H1983" s="64"/>
      <c r="I1983" s="65"/>
      <c r="J1983" s="65"/>
      <c r="K1983" s="65"/>
      <c r="L1983" s="65"/>
      <c r="M1983" s="65"/>
      <c r="N1983" s="65"/>
      <c r="O1983" s="81">
        <f t="shared" si="90"/>
        <v>0</v>
      </c>
      <c r="P1983" s="81">
        <f t="shared" si="91"/>
        <v>0</v>
      </c>
      <c r="Q1983" s="65"/>
      <c r="R1983" s="67"/>
      <c r="S1983" s="83">
        <f t="shared" si="92"/>
        <v>0</v>
      </c>
    </row>
    <row r="1984" spans="1:19" ht="18" customHeight="1" x14ac:dyDescent="0.25">
      <c r="A1984" s="68"/>
      <c r="B1984" s="69"/>
      <c r="C1984" s="74"/>
      <c r="D1984" s="69"/>
      <c r="E1984" s="68"/>
      <c r="F1984" s="71"/>
      <c r="G1984" s="72"/>
      <c r="H1984" s="73"/>
      <c r="I1984" s="74"/>
      <c r="J1984" s="74"/>
      <c r="K1984" s="74"/>
      <c r="L1984" s="74"/>
      <c r="M1984" s="74"/>
      <c r="N1984" s="74"/>
      <c r="O1984" s="82">
        <f t="shared" si="90"/>
        <v>0</v>
      </c>
      <c r="P1984" s="82">
        <f t="shared" si="91"/>
        <v>0</v>
      </c>
      <c r="Q1984" s="74"/>
      <c r="R1984" s="76"/>
      <c r="S1984" s="84">
        <f t="shared" si="92"/>
        <v>0</v>
      </c>
    </row>
    <row r="1985" spans="1:19" ht="18" customHeight="1" x14ac:dyDescent="0.25">
      <c r="A1985" s="59"/>
      <c r="B1985" s="60"/>
      <c r="C1985" s="65"/>
      <c r="D1985" s="60"/>
      <c r="E1985" s="59"/>
      <c r="F1985" s="62"/>
      <c r="G1985" s="63"/>
      <c r="H1985" s="64"/>
      <c r="I1985" s="65"/>
      <c r="J1985" s="65"/>
      <c r="K1985" s="65"/>
      <c r="L1985" s="65"/>
      <c r="M1985" s="65"/>
      <c r="N1985" s="65"/>
      <c r="O1985" s="81">
        <f t="shared" si="90"/>
        <v>0</v>
      </c>
      <c r="P1985" s="81">
        <f t="shared" si="91"/>
        <v>0</v>
      </c>
      <c r="Q1985" s="65"/>
      <c r="R1985" s="67"/>
      <c r="S1985" s="83">
        <f t="shared" si="92"/>
        <v>0</v>
      </c>
    </row>
    <row r="1986" spans="1:19" ht="18" customHeight="1" x14ac:dyDescent="0.25">
      <c r="A1986" s="68"/>
      <c r="B1986" s="69"/>
      <c r="C1986" s="74"/>
      <c r="D1986" s="69"/>
      <c r="E1986" s="68"/>
      <c r="F1986" s="71"/>
      <c r="G1986" s="72"/>
      <c r="H1986" s="73"/>
      <c r="I1986" s="74"/>
      <c r="J1986" s="74"/>
      <c r="K1986" s="74"/>
      <c r="L1986" s="74"/>
      <c r="M1986" s="74"/>
      <c r="N1986" s="74"/>
      <c r="O1986" s="82">
        <f t="shared" si="90"/>
        <v>0</v>
      </c>
      <c r="P1986" s="82">
        <f t="shared" si="91"/>
        <v>0</v>
      </c>
      <c r="Q1986" s="74"/>
      <c r="R1986" s="76"/>
      <c r="S1986" s="84">
        <f t="shared" si="92"/>
        <v>0</v>
      </c>
    </row>
    <row r="1987" spans="1:19" ht="18" customHeight="1" x14ac:dyDescent="0.25">
      <c r="A1987" s="59"/>
      <c r="B1987" s="60"/>
      <c r="C1987" s="65"/>
      <c r="D1987" s="60"/>
      <c r="E1987" s="59"/>
      <c r="F1987" s="62"/>
      <c r="G1987" s="63"/>
      <c r="H1987" s="64"/>
      <c r="I1987" s="65"/>
      <c r="J1987" s="65"/>
      <c r="K1987" s="65"/>
      <c r="L1987" s="65"/>
      <c r="M1987" s="65"/>
      <c r="N1987" s="65"/>
      <c r="O1987" s="81">
        <f t="shared" si="90"/>
        <v>0</v>
      </c>
      <c r="P1987" s="81">
        <f t="shared" si="91"/>
        <v>0</v>
      </c>
      <c r="Q1987" s="65"/>
      <c r="R1987" s="67"/>
      <c r="S1987" s="83">
        <f t="shared" si="92"/>
        <v>0</v>
      </c>
    </row>
    <row r="1988" spans="1:19" ht="18" customHeight="1" x14ac:dyDescent="0.25">
      <c r="A1988" s="68"/>
      <c r="B1988" s="69"/>
      <c r="C1988" s="74"/>
      <c r="D1988" s="69"/>
      <c r="E1988" s="68"/>
      <c r="F1988" s="71"/>
      <c r="G1988" s="72"/>
      <c r="H1988" s="73"/>
      <c r="I1988" s="74"/>
      <c r="J1988" s="74"/>
      <c r="K1988" s="74"/>
      <c r="L1988" s="74"/>
      <c r="M1988" s="74"/>
      <c r="N1988" s="74"/>
      <c r="O1988" s="82">
        <f t="shared" si="90"/>
        <v>0</v>
      </c>
      <c r="P1988" s="82">
        <f t="shared" si="91"/>
        <v>0</v>
      </c>
      <c r="Q1988" s="74"/>
      <c r="R1988" s="76"/>
      <c r="S1988" s="84">
        <f t="shared" si="92"/>
        <v>0</v>
      </c>
    </row>
    <row r="1989" spans="1:19" ht="18" customHeight="1" x14ac:dyDescent="0.25">
      <c r="A1989" s="59"/>
      <c r="B1989" s="60"/>
      <c r="C1989" s="65"/>
      <c r="D1989" s="60"/>
      <c r="E1989" s="59"/>
      <c r="F1989" s="62"/>
      <c r="G1989" s="63"/>
      <c r="H1989" s="64"/>
      <c r="I1989" s="65"/>
      <c r="J1989" s="65"/>
      <c r="K1989" s="65"/>
      <c r="L1989" s="65"/>
      <c r="M1989" s="65"/>
      <c r="N1989" s="65"/>
      <c r="O1989" s="81">
        <f t="shared" si="90"/>
        <v>0</v>
      </c>
      <c r="P1989" s="81">
        <f t="shared" si="91"/>
        <v>0</v>
      </c>
      <c r="Q1989" s="65"/>
      <c r="R1989" s="67"/>
      <c r="S1989" s="83">
        <f t="shared" si="92"/>
        <v>0</v>
      </c>
    </row>
    <row r="1990" spans="1:19" ht="18" customHeight="1" x14ac:dyDescent="0.25">
      <c r="A1990" s="68"/>
      <c r="B1990" s="69"/>
      <c r="C1990" s="74"/>
      <c r="D1990" s="69"/>
      <c r="E1990" s="68"/>
      <c r="F1990" s="71"/>
      <c r="G1990" s="72"/>
      <c r="H1990" s="73"/>
      <c r="I1990" s="74"/>
      <c r="J1990" s="74"/>
      <c r="K1990" s="74"/>
      <c r="L1990" s="74"/>
      <c r="M1990" s="74"/>
      <c r="N1990" s="74"/>
      <c r="O1990" s="82" t="e">
        <f>#N/A</f>
        <v>#N/A</v>
      </c>
      <c r="P1990" s="82" t="e">
        <f>#N/A</f>
        <v>#N/A</v>
      </c>
      <c r="Q1990" s="74"/>
      <c r="R1990" s="76"/>
      <c r="S1990" s="84">
        <f t="shared" si="92"/>
        <v>0</v>
      </c>
    </row>
    <row r="1991" spans="1:19" ht="18" customHeight="1" x14ac:dyDescent="0.25">
      <c r="A1991" s="59"/>
      <c r="B1991" s="60"/>
      <c r="C1991" s="65"/>
      <c r="D1991" s="60"/>
      <c r="E1991" s="59"/>
      <c r="F1991" s="62"/>
      <c r="G1991" s="63"/>
      <c r="H1991" s="64"/>
      <c r="I1991" s="65"/>
      <c r="J1991" s="65"/>
      <c r="K1991" s="65"/>
      <c r="L1991" s="65"/>
      <c r="M1991" s="65"/>
      <c r="N1991" s="65"/>
      <c r="O1991" s="81">
        <f t="shared" ref="O1991:O2053" si="93">IF(G1991="Reimbursement ","",I1991+J1991+K1991+L1991+M1991)</f>
        <v>0</v>
      </c>
      <c r="P1991" s="81">
        <f t="shared" ref="P1991:P2053" si="94">IF(G1991="Reimbursement ","",H1991-O1991)</f>
        <v>0</v>
      </c>
      <c r="Q1991" s="65"/>
      <c r="R1991" s="67"/>
      <c r="S1991" s="83">
        <f t="shared" ref="S1991:S2054" si="95">IF(OR(R1991="",Q1991=""),0,IF(R1991&gt;Q1991,R1991-Q1991,0))</f>
        <v>0</v>
      </c>
    </row>
    <row r="1992" spans="1:19" ht="18" customHeight="1" x14ac:dyDescent="0.25">
      <c r="A1992" s="68"/>
      <c r="B1992" s="69"/>
      <c r="C1992" s="74"/>
      <c r="D1992" s="69"/>
      <c r="E1992" s="68"/>
      <c r="F1992" s="71"/>
      <c r="G1992" s="72"/>
      <c r="H1992" s="73"/>
      <c r="I1992" s="74"/>
      <c r="J1992" s="74"/>
      <c r="K1992" s="74"/>
      <c r="L1992" s="74"/>
      <c r="M1992" s="74"/>
      <c r="N1992" s="74"/>
      <c r="O1992" s="82">
        <f t="shared" si="93"/>
        <v>0</v>
      </c>
      <c r="P1992" s="82">
        <f t="shared" si="94"/>
        <v>0</v>
      </c>
      <c r="Q1992" s="74"/>
      <c r="R1992" s="76"/>
      <c r="S1992" s="84">
        <f t="shared" si="95"/>
        <v>0</v>
      </c>
    </row>
    <row r="1993" spans="1:19" ht="18" customHeight="1" x14ac:dyDescent="0.25">
      <c r="A1993" s="59"/>
      <c r="B1993" s="60"/>
      <c r="C1993" s="65"/>
      <c r="D1993" s="60"/>
      <c r="E1993" s="59"/>
      <c r="F1993" s="62"/>
      <c r="G1993" s="63"/>
      <c r="H1993" s="64"/>
      <c r="I1993" s="65"/>
      <c r="J1993" s="65"/>
      <c r="K1993" s="65"/>
      <c r="L1993" s="65"/>
      <c r="M1993" s="65"/>
      <c r="N1993" s="65"/>
      <c r="O1993" s="81">
        <f t="shared" si="93"/>
        <v>0</v>
      </c>
      <c r="P1993" s="81">
        <f t="shared" si="94"/>
        <v>0</v>
      </c>
      <c r="Q1993" s="65"/>
      <c r="R1993" s="67"/>
      <c r="S1993" s="83">
        <f t="shared" si="95"/>
        <v>0</v>
      </c>
    </row>
    <row r="1994" spans="1:19" ht="18" customHeight="1" x14ac:dyDescent="0.25">
      <c r="A1994" s="68"/>
      <c r="B1994" s="69"/>
      <c r="C1994" s="74"/>
      <c r="D1994" s="69"/>
      <c r="E1994" s="68"/>
      <c r="F1994" s="71"/>
      <c r="G1994" s="72"/>
      <c r="H1994" s="73"/>
      <c r="I1994" s="74"/>
      <c r="J1994" s="74"/>
      <c r="K1994" s="74"/>
      <c r="L1994" s="74"/>
      <c r="M1994" s="74"/>
      <c r="N1994" s="74"/>
      <c r="O1994" s="82">
        <f t="shared" si="93"/>
        <v>0</v>
      </c>
      <c r="P1994" s="82">
        <f t="shared" si="94"/>
        <v>0</v>
      </c>
      <c r="Q1994" s="74"/>
      <c r="R1994" s="76"/>
      <c r="S1994" s="84">
        <f t="shared" si="95"/>
        <v>0</v>
      </c>
    </row>
    <row r="1995" spans="1:19" ht="18" customHeight="1" x14ac:dyDescent="0.25">
      <c r="A1995" s="59"/>
      <c r="B1995" s="60"/>
      <c r="C1995" s="65"/>
      <c r="D1995" s="60"/>
      <c r="E1995" s="59"/>
      <c r="F1995" s="62"/>
      <c r="G1995" s="63"/>
      <c r="H1995" s="64"/>
      <c r="I1995" s="65"/>
      <c r="J1995" s="65"/>
      <c r="K1995" s="65"/>
      <c r="L1995" s="65"/>
      <c r="M1995" s="65"/>
      <c r="N1995" s="65"/>
      <c r="O1995" s="81">
        <f t="shared" si="93"/>
        <v>0</v>
      </c>
      <c r="P1995" s="81">
        <f t="shared" si="94"/>
        <v>0</v>
      </c>
      <c r="Q1995" s="65"/>
      <c r="R1995" s="67"/>
      <c r="S1995" s="83">
        <f t="shared" si="95"/>
        <v>0</v>
      </c>
    </row>
    <row r="1996" spans="1:19" ht="18" customHeight="1" x14ac:dyDescent="0.25">
      <c r="A1996" s="68"/>
      <c r="B1996" s="69"/>
      <c r="C1996" s="74"/>
      <c r="D1996" s="69"/>
      <c r="E1996" s="68"/>
      <c r="F1996" s="71"/>
      <c r="G1996" s="72"/>
      <c r="H1996" s="73"/>
      <c r="I1996" s="74"/>
      <c r="J1996" s="74"/>
      <c r="K1996" s="74"/>
      <c r="L1996" s="74"/>
      <c r="M1996" s="74"/>
      <c r="N1996" s="74"/>
      <c r="O1996" s="82">
        <f t="shared" si="93"/>
        <v>0</v>
      </c>
      <c r="P1996" s="82">
        <f t="shared" si="94"/>
        <v>0</v>
      </c>
      <c r="Q1996" s="74"/>
      <c r="R1996" s="76"/>
      <c r="S1996" s="84">
        <f t="shared" si="95"/>
        <v>0</v>
      </c>
    </row>
    <row r="1997" spans="1:19" ht="18" customHeight="1" x14ac:dyDescent="0.25">
      <c r="A1997" s="59"/>
      <c r="B1997" s="60"/>
      <c r="C1997" s="65"/>
      <c r="D1997" s="60"/>
      <c r="E1997" s="59"/>
      <c r="F1997" s="62"/>
      <c r="G1997" s="63"/>
      <c r="H1997" s="64"/>
      <c r="I1997" s="65"/>
      <c r="J1997" s="65"/>
      <c r="K1997" s="65"/>
      <c r="L1997" s="65"/>
      <c r="M1997" s="65"/>
      <c r="N1997" s="65"/>
      <c r="O1997" s="81">
        <f t="shared" si="93"/>
        <v>0</v>
      </c>
      <c r="P1997" s="81">
        <f t="shared" si="94"/>
        <v>0</v>
      </c>
      <c r="Q1997" s="65"/>
      <c r="R1997" s="67"/>
      <c r="S1997" s="83">
        <f t="shared" si="95"/>
        <v>0</v>
      </c>
    </row>
    <row r="1998" spans="1:19" ht="18" customHeight="1" x14ac:dyDescent="0.25">
      <c r="A1998" s="68"/>
      <c r="B1998" s="69"/>
      <c r="C1998" s="74"/>
      <c r="D1998" s="69"/>
      <c r="E1998" s="68"/>
      <c r="F1998" s="71"/>
      <c r="G1998" s="72"/>
      <c r="H1998" s="73"/>
      <c r="I1998" s="74"/>
      <c r="J1998" s="74"/>
      <c r="K1998" s="74"/>
      <c r="L1998" s="74"/>
      <c r="M1998" s="74"/>
      <c r="N1998" s="74"/>
      <c r="O1998" s="82">
        <f t="shared" si="93"/>
        <v>0</v>
      </c>
      <c r="P1998" s="82">
        <f t="shared" si="94"/>
        <v>0</v>
      </c>
      <c r="Q1998" s="74"/>
      <c r="R1998" s="76"/>
      <c r="S1998" s="84">
        <f t="shared" si="95"/>
        <v>0</v>
      </c>
    </row>
    <row r="1999" spans="1:19" ht="18" customHeight="1" x14ac:dyDescent="0.25">
      <c r="A1999" s="59"/>
      <c r="B1999" s="60"/>
      <c r="C1999" s="65"/>
      <c r="D1999" s="60"/>
      <c r="E1999" s="59"/>
      <c r="F1999" s="62"/>
      <c r="G1999" s="63"/>
      <c r="H1999" s="64"/>
      <c r="I1999" s="65"/>
      <c r="J1999" s="65"/>
      <c r="K1999" s="65"/>
      <c r="L1999" s="65"/>
      <c r="M1999" s="65"/>
      <c r="N1999" s="65"/>
      <c r="O1999" s="81">
        <f t="shared" si="93"/>
        <v>0</v>
      </c>
      <c r="P1999" s="81">
        <f t="shared" si="94"/>
        <v>0</v>
      </c>
      <c r="Q1999" s="65"/>
      <c r="R1999" s="67"/>
      <c r="S1999" s="83">
        <f t="shared" si="95"/>
        <v>0</v>
      </c>
    </row>
    <row r="2000" spans="1:19" ht="18" customHeight="1" x14ac:dyDescent="0.25">
      <c r="A2000" s="68"/>
      <c r="B2000" s="69"/>
      <c r="C2000" s="74"/>
      <c r="D2000" s="69"/>
      <c r="E2000" s="68"/>
      <c r="F2000" s="71"/>
      <c r="G2000" s="72"/>
      <c r="H2000" s="73"/>
      <c r="I2000" s="74"/>
      <c r="J2000" s="74"/>
      <c r="K2000" s="74"/>
      <c r="L2000" s="74"/>
      <c r="M2000" s="74"/>
      <c r="N2000" s="74"/>
      <c r="O2000" s="82">
        <f t="shared" si="93"/>
        <v>0</v>
      </c>
      <c r="P2000" s="82">
        <f t="shared" si="94"/>
        <v>0</v>
      </c>
      <c r="Q2000" s="74"/>
      <c r="R2000" s="76"/>
      <c r="S2000" s="84">
        <f t="shared" si="95"/>
        <v>0</v>
      </c>
    </row>
    <row r="2001" spans="1:19" ht="18" customHeight="1" x14ac:dyDescent="0.25">
      <c r="A2001" s="59"/>
      <c r="B2001" s="60"/>
      <c r="C2001" s="65"/>
      <c r="D2001" s="60"/>
      <c r="E2001" s="59"/>
      <c r="F2001" s="62"/>
      <c r="G2001" s="63"/>
      <c r="H2001" s="64"/>
      <c r="I2001" s="65"/>
      <c r="J2001" s="65"/>
      <c r="K2001" s="65"/>
      <c r="L2001" s="65"/>
      <c r="M2001" s="65"/>
      <c r="N2001" s="65"/>
      <c r="O2001" s="81">
        <f t="shared" si="93"/>
        <v>0</v>
      </c>
      <c r="P2001" s="81">
        <f t="shared" si="94"/>
        <v>0</v>
      </c>
      <c r="Q2001" s="65"/>
      <c r="R2001" s="67"/>
      <c r="S2001" s="83">
        <f t="shared" si="95"/>
        <v>0</v>
      </c>
    </row>
    <row r="2002" spans="1:19" ht="18" customHeight="1" x14ac:dyDescent="0.25">
      <c r="A2002" s="68"/>
      <c r="B2002" s="69"/>
      <c r="C2002" s="74"/>
      <c r="D2002" s="69"/>
      <c r="E2002" s="68"/>
      <c r="F2002" s="71"/>
      <c r="G2002" s="72"/>
      <c r="H2002" s="73"/>
      <c r="I2002" s="74"/>
      <c r="J2002" s="74"/>
      <c r="K2002" s="74"/>
      <c r="L2002" s="74"/>
      <c r="M2002" s="74"/>
      <c r="N2002" s="74"/>
      <c r="O2002" s="82">
        <f t="shared" si="93"/>
        <v>0</v>
      </c>
      <c r="P2002" s="82">
        <f t="shared" si="94"/>
        <v>0</v>
      </c>
      <c r="Q2002" s="74"/>
      <c r="R2002" s="76"/>
      <c r="S2002" s="84">
        <f t="shared" si="95"/>
        <v>0</v>
      </c>
    </row>
    <row r="2003" spans="1:19" ht="18" customHeight="1" x14ac:dyDescent="0.25">
      <c r="A2003" s="59"/>
      <c r="B2003" s="60"/>
      <c r="C2003" s="65"/>
      <c r="D2003" s="60"/>
      <c r="E2003" s="59"/>
      <c r="F2003" s="62"/>
      <c r="G2003" s="63"/>
      <c r="H2003" s="64"/>
      <c r="I2003" s="65"/>
      <c r="J2003" s="65"/>
      <c r="K2003" s="65"/>
      <c r="L2003" s="65"/>
      <c r="M2003" s="65"/>
      <c r="N2003" s="65"/>
      <c r="O2003" s="81">
        <f t="shared" si="93"/>
        <v>0</v>
      </c>
      <c r="P2003" s="81">
        <f t="shared" si="94"/>
        <v>0</v>
      </c>
      <c r="Q2003" s="65"/>
      <c r="R2003" s="67"/>
      <c r="S2003" s="83">
        <f t="shared" si="95"/>
        <v>0</v>
      </c>
    </row>
    <row r="2004" spans="1:19" ht="18" customHeight="1" x14ac:dyDescent="0.25">
      <c r="A2004" s="68"/>
      <c r="B2004" s="69"/>
      <c r="C2004" s="74"/>
      <c r="D2004" s="69"/>
      <c r="E2004" s="68"/>
      <c r="F2004" s="71"/>
      <c r="G2004" s="72"/>
      <c r="H2004" s="73"/>
      <c r="I2004" s="74"/>
      <c r="J2004" s="74"/>
      <c r="K2004" s="74"/>
      <c r="L2004" s="74"/>
      <c r="M2004" s="74"/>
      <c r="N2004" s="74"/>
      <c r="O2004" s="82">
        <f t="shared" si="93"/>
        <v>0</v>
      </c>
      <c r="P2004" s="82">
        <f t="shared" si="94"/>
        <v>0</v>
      </c>
      <c r="Q2004" s="74"/>
      <c r="R2004" s="76"/>
      <c r="S2004" s="84">
        <f t="shared" si="95"/>
        <v>0</v>
      </c>
    </row>
    <row r="2005" spans="1:19" ht="18" customHeight="1" x14ac:dyDescent="0.25">
      <c r="A2005" s="59"/>
      <c r="B2005" s="60"/>
      <c r="C2005" s="65"/>
      <c r="D2005" s="60"/>
      <c r="E2005" s="59"/>
      <c r="F2005" s="62"/>
      <c r="G2005" s="63"/>
      <c r="H2005" s="64"/>
      <c r="I2005" s="65"/>
      <c r="J2005" s="65"/>
      <c r="K2005" s="65"/>
      <c r="L2005" s="65"/>
      <c r="M2005" s="65"/>
      <c r="N2005" s="65"/>
      <c r="O2005" s="81">
        <f t="shared" si="93"/>
        <v>0</v>
      </c>
      <c r="P2005" s="81">
        <f t="shared" si="94"/>
        <v>0</v>
      </c>
      <c r="Q2005" s="65"/>
      <c r="R2005" s="67"/>
      <c r="S2005" s="83">
        <f t="shared" si="95"/>
        <v>0</v>
      </c>
    </row>
    <row r="2006" spans="1:19" ht="18" customHeight="1" x14ac:dyDescent="0.25">
      <c r="A2006" s="68"/>
      <c r="B2006" s="69"/>
      <c r="C2006" s="74"/>
      <c r="D2006" s="69"/>
      <c r="E2006" s="68"/>
      <c r="F2006" s="71"/>
      <c r="G2006" s="72"/>
      <c r="H2006" s="73"/>
      <c r="I2006" s="74"/>
      <c r="J2006" s="74"/>
      <c r="K2006" s="74"/>
      <c r="L2006" s="74"/>
      <c r="M2006" s="74"/>
      <c r="N2006" s="74"/>
      <c r="O2006" s="82">
        <f t="shared" si="93"/>
        <v>0</v>
      </c>
      <c r="P2006" s="82">
        <f t="shared" si="94"/>
        <v>0</v>
      </c>
      <c r="Q2006" s="74"/>
      <c r="R2006" s="76"/>
      <c r="S2006" s="84">
        <f t="shared" si="95"/>
        <v>0</v>
      </c>
    </row>
    <row r="2007" spans="1:19" ht="18" customHeight="1" x14ac:dyDescent="0.25">
      <c r="A2007" s="59"/>
      <c r="B2007" s="60"/>
      <c r="C2007" s="65"/>
      <c r="D2007" s="60"/>
      <c r="E2007" s="59"/>
      <c r="F2007" s="62"/>
      <c r="G2007" s="63"/>
      <c r="H2007" s="64"/>
      <c r="I2007" s="65"/>
      <c r="J2007" s="65"/>
      <c r="K2007" s="65"/>
      <c r="L2007" s="65"/>
      <c r="M2007" s="65"/>
      <c r="N2007" s="65"/>
      <c r="O2007" s="81">
        <f t="shared" si="93"/>
        <v>0</v>
      </c>
      <c r="P2007" s="81">
        <f t="shared" si="94"/>
        <v>0</v>
      </c>
      <c r="Q2007" s="65"/>
      <c r="R2007" s="67"/>
      <c r="S2007" s="83">
        <f t="shared" si="95"/>
        <v>0</v>
      </c>
    </row>
    <row r="2008" spans="1:19" ht="18" customHeight="1" x14ac:dyDescent="0.25">
      <c r="A2008" s="68"/>
      <c r="B2008" s="69"/>
      <c r="C2008" s="74"/>
      <c r="D2008" s="69"/>
      <c r="E2008" s="68"/>
      <c r="F2008" s="71"/>
      <c r="G2008" s="72"/>
      <c r="H2008" s="73"/>
      <c r="I2008" s="74"/>
      <c r="J2008" s="74"/>
      <c r="K2008" s="74"/>
      <c r="L2008" s="74"/>
      <c r="M2008" s="74"/>
      <c r="N2008" s="74"/>
      <c r="O2008" s="82">
        <f t="shared" si="93"/>
        <v>0</v>
      </c>
      <c r="P2008" s="82">
        <f t="shared" si="94"/>
        <v>0</v>
      </c>
      <c r="Q2008" s="74"/>
      <c r="R2008" s="76"/>
      <c r="S2008" s="84">
        <f t="shared" si="95"/>
        <v>0</v>
      </c>
    </row>
    <row r="2009" spans="1:19" ht="18" customHeight="1" x14ac:dyDescent="0.25">
      <c r="A2009" s="59"/>
      <c r="B2009" s="60"/>
      <c r="C2009" s="65"/>
      <c r="D2009" s="60"/>
      <c r="E2009" s="59"/>
      <c r="F2009" s="62"/>
      <c r="G2009" s="63"/>
      <c r="H2009" s="64"/>
      <c r="I2009" s="65"/>
      <c r="J2009" s="65"/>
      <c r="K2009" s="65"/>
      <c r="L2009" s="65"/>
      <c r="M2009" s="65"/>
      <c r="N2009" s="65"/>
      <c r="O2009" s="81">
        <f t="shared" si="93"/>
        <v>0</v>
      </c>
      <c r="P2009" s="81">
        <f t="shared" si="94"/>
        <v>0</v>
      </c>
      <c r="Q2009" s="65"/>
      <c r="R2009" s="67"/>
      <c r="S2009" s="83">
        <f t="shared" si="95"/>
        <v>0</v>
      </c>
    </row>
    <row r="2010" spans="1:19" ht="18" customHeight="1" x14ac:dyDescent="0.25">
      <c r="A2010" s="68"/>
      <c r="B2010" s="69"/>
      <c r="C2010" s="74"/>
      <c r="D2010" s="69"/>
      <c r="E2010" s="68"/>
      <c r="F2010" s="71"/>
      <c r="G2010" s="72"/>
      <c r="H2010" s="73"/>
      <c r="I2010" s="74"/>
      <c r="J2010" s="74"/>
      <c r="K2010" s="74"/>
      <c r="L2010" s="74"/>
      <c r="M2010" s="74"/>
      <c r="N2010" s="74"/>
      <c r="O2010" s="82">
        <f t="shared" si="93"/>
        <v>0</v>
      </c>
      <c r="P2010" s="82">
        <f t="shared" si="94"/>
        <v>0</v>
      </c>
      <c r="Q2010" s="74"/>
      <c r="R2010" s="76"/>
      <c r="S2010" s="84">
        <f t="shared" si="95"/>
        <v>0</v>
      </c>
    </row>
    <row r="2011" spans="1:19" ht="18" customHeight="1" x14ac:dyDescent="0.25">
      <c r="A2011" s="59"/>
      <c r="B2011" s="60"/>
      <c r="C2011" s="65"/>
      <c r="D2011" s="60"/>
      <c r="E2011" s="59"/>
      <c r="F2011" s="62"/>
      <c r="G2011" s="63"/>
      <c r="H2011" s="64"/>
      <c r="I2011" s="65"/>
      <c r="J2011" s="65"/>
      <c r="K2011" s="65"/>
      <c r="L2011" s="65"/>
      <c r="M2011" s="65"/>
      <c r="N2011" s="65"/>
      <c r="O2011" s="81">
        <f t="shared" si="93"/>
        <v>0</v>
      </c>
      <c r="P2011" s="81">
        <f t="shared" si="94"/>
        <v>0</v>
      </c>
      <c r="Q2011" s="65"/>
      <c r="R2011" s="67"/>
      <c r="S2011" s="83">
        <f t="shared" si="95"/>
        <v>0</v>
      </c>
    </row>
    <row r="2012" spans="1:19" ht="18" customHeight="1" x14ac:dyDescent="0.25">
      <c r="A2012" s="68"/>
      <c r="B2012" s="69"/>
      <c r="C2012" s="74"/>
      <c r="D2012" s="69"/>
      <c r="E2012" s="68"/>
      <c r="F2012" s="71"/>
      <c r="G2012" s="72"/>
      <c r="H2012" s="73"/>
      <c r="I2012" s="74"/>
      <c r="J2012" s="74"/>
      <c r="K2012" s="74"/>
      <c r="L2012" s="74"/>
      <c r="M2012" s="74"/>
      <c r="N2012" s="74"/>
      <c r="O2012" s="82">
        <f t="shared" si="93"/>
        <v>0</v>
      </c>
      <c r="P2012" s="82">
        <f t="shared" si="94"/>
        <v>0</v>
      </c>
      <c r="Q2012" s="74"/>
      <c r="R2012" s="76"/>
      <c r="S2012" s="84">
        <f t="shared" si="95"/>
        <v>0</v>
      </c>
    </row>
    <row r="2013" spans="1:19" ht="18" customHeight="1" x14ac:dyDescent="0.25">
      <c r="A2013" s="59"/>
      <c r="B2013" s="60"/>
      <c r="C2013" s="65"/>
      <c r="D2013" s="60"/>
      <c r="E2013" s="59"/>
      <c r="F2013" s="62"/>
      <c r="G2013" s="63"/>
      <c r="H2013" s="64"/>
      <c r="I2013" s="65"/>
      <c r="J2013" s="65"/>
      <c r="K2013" s="65"/>
      <c r="L2013" s="65"/>
      <c r="M2013" s="65"/>
      <c r="N2013" s="65"/>
      <c r="O2013" s="81">
        <f t="shared" si="93"/>
        <v>0</v>
      </c>
      <c r="P2013" s="81">
        <f t="shared" si="94"/>
        <v>0</v>
      </c>
      <c r="Q2013" s="65"/>
      <c r="R2013" s="67"/>
      <c r="S2013" s="83">
        <f t="shared" si="95"/>
        <v>0</v>
      </c>
    </row>
    <row r="2014" spans="1:19" ht="18" customHeight="1" x14ac:dyDescent="0.25">
      <c r="A2014" s="68"/>
      <c r="B2014" s="69"/>
      <c r="C2014" s="74"/>
      <c r="D2014" s="69"/>
      <c r="E2014" s="68"/>
      <c r="F2014" s="71"/>
      <c r="G2014" s="72"/>
      <c r="H2014" s="73"/>
      <c r="I2014" s="74"/>
      <c r="J2014" s="74"/>
      <c r="K2014" s="74"/>
      <c r="L2014" s="74"/>
      <c r="M2014" s="74"/>
      <c r="N2014" s="74"/>
      <c r="O2014" s="82">
        <f t="shared" si="93"/>
        <v>0</v>
      </c>
      <c r="P2014" s="82">
        <f t="shared" si="94"/>
        <v>0</v>
      </c>
      <c r="Q2014" s="74"/>
      <c r="R2014" s="76"/>
      <c r="S2014" s="84">
        <f t="shared" si="95"/>
        <v>0</v>
      </c>
    </row>
    <row r="2015" spans="1:19" ht="18" customHeight="1" x14ac:dyDescent="0.25">
      <c r="A2015" s="59"/>
      <c r="B2015" s="60"/>
      <c r="C2015" s="65"/>
      <c r="D2015" s="60"/>
      <c r="E2015" s="59"/>
      <c r="F2015" s="62"/>
      <c r="G2015" s="63"/>
      <c r="H2015" s="64"/>
      <c r="I2015" s="65"/>
      <c r="J2015" s="65"/>
      <c r="K2015" s="65"/>
      <c r="L2015" s="65"/>
      <c r="M2015" s="65"/>
      <c r="N2015" s="65"/>
      <c r="O2015" s="81">
        <f t="shared" si="93"/>
        <v>0</v>
      </c>
      <c r="P2015" s="81">
        <f t="shared" si="94"/>
        <v>0</v>
      </c>
      <c r="Q2015" s="65"/>
      <c r="R2015" s="67"/>
      <c r="S2015" s="83">
        <f t="shared" si="95"/>
        <v>0</v>
      </c>
    </row>
    <row r="2016" spans="1:19" ht="18" customHeight="1" x14ac:dyDescent="0.25">
      <c r="A2016" s="68"/>
      <c r="B2016" s="69"/>
      <c r="C2016" s="74"/>
      <c r="D2016" s="69"/>
      <c r="E2016" s="68"/>
      <c r="F2016" s="71"/>
      <c r="G2016" s="72"/>
      <c r="H2016" s="73"/>
      <c r="I2016" s="74"/>
      <c r="J2016" s="74"/>
      <c r="K2016" s="74"/>
      <c r="L2016" s="74"/>
      <c r="M2016" s="74"/>
      <c r="N2016" s="74"/>
      <c r="O2016" s="82">
        <f t="shared" si="93"/>
        <v>0</v>
      </c>
      <c r="P2016" s="82">
        <f t="shared" si="94"/>
        <v>0</v>
      </c>
      <c r="Q2016" s="74"/>
      <c r="R2016" s="76"/>
      <c r="S2016" s="84">
        <f t="shared" si="95"/>
        <v>0</v>
      </c>
    </row>
    <row r="2017" spans="1:19" ht="18" customHeight="1" x14ac:dyDescent="0.25">
      <c r="A2017" s="59"/>
      <c r="B2017" s="60"/>
      <c r="C2017" s="65"/>
      <c r="D2017" s="60"/>
      <c r="E2017" s="59"/>
      <c r="F2017" s="62"/>
      <c r="G2017" s="63"/>
      <c r="H2017" s="64"/>
      <c r="I2017" s="65"/>
      <c r="J2017" s="65"/>
      <c r="K2017" s="65"/>
      <c r="L2017" s="65"/>
      <c r="M2017" s="65"/>
      <c r="N2017" s="65"/>
      <c r="O2017" s="81">
        <f t="shared" si="93"/>
        <v>0</v>
      </c>
      <c r="P2017" s="81">
        <f t="shared" si="94"/>
        <v>0</v>
      </c>
      <c r="Q2017" s="65"/>
      <c r="R2017" s="67"/>
      <c r="S2017" s="83">
        <f t="shared" si="95"/>
        <v>0</v>
      </c>
    </row>
    <row r="2018" spans="1:19" ht="18" customHeight="1" x14ac:dyDescent="0.25">
      <c r="A2018" s="68"/>
      <c r="B2018" s="69"/>
      <c r="C2018" s="74"/>
      <c r="D2018" s="69"/>
      <c r="E2018" s="68"/>
      <c r="F2018" s="71"/>
      <c r="G2018" s="72"/>
      <c r="H2018" s="73"/>
      <c r="I2018" s="74"/>
      <c r="J2018" s="74"/>
      <c r="K2018" s="74"/>
      <c r="L2018" s="74"/>
      <c r="M2018" s="74"/>
      <c r="N2018" s="74"/>
      <c r="O2018" s="82">
        <f t="shared" si="93"/>
        <v>0</v>
      </c>
      <c r="P2018" s="82">
        <f t="shared" si="94"/>
        <v>0</v>
      </c>
      <c r="Q2018" s="74"/>
      <c r="R2018" s="76"/>
      <c r="S2018" s="84">
        <f t="shared" si="95"/>
        <v>0</v>
      </c>
    </row>
    <row r="2019" spans="1:19" ht="18" customHeight="1" x14ac:dyDescent="0.25">
      <c r="A2019" s="59"/>
      <c r="B2019" s="60"/>
      <c r="C2019" s="65"/>
      <c r="D2019" s="60"/>
      <c r="E2019" s="59"/>
      <c r="F2019" s="62"/>
      <c r="G2019" s="63"/>
      <c r="H2019" s="64"/>
      <c r="I2019" s="65"/>
      <c r="J2019" s="65"/>
      <c r="K2019" s="65"/>
      <c r="L2019" s="65"/>
      <c r="M2019" s="65"/>
      <c r="N2019" s="65"/>
      <c r="O2019" s="81">
        <f t="shared" si="93"/>
        <v>0</v>
      </c>
      <c r="P2019" s="81">
        <f t="shared" si="94"/>
        <v>0</v>
      </c>
      <c r="Q2019" s="65"/>
      <c r="R2019" s="67"/>
      <c r="S2019" s="83">
        <f t="shared" si="95"/>
        <v>0</v>
      </c>
    </row>
    <row r="2020" spans="1:19" ht="18" customHeight="1" x14ac:dyDescent="0.25">
      <c r="A2020" s="68"/>
      <c r="B2020" s="69"/>
      <c r="C2020" s="74"/>
      <c r="D2020" s="69"/>
      <c r="E2020" s="68"/>
      <c r="F2020" s="71"/>
      <c r="G2020" s="72"/>
      <c r="H2020" s="73"/>
      <c r="I2020" s="74"/>
      <c r="J2020" s="74"/>
      <c r="K2020" s="74"/>
      <c r="L2020" s="74"/>
      <c r="M2020" s="74"/>
      <c r="N2020" s="74"/>
      <c r="O2020" s="82">
        <f t="shared" si="93"/>
        <v>0</v>
      </c>
      <c r="P2020" s="82">
        <f t="shared" si="94"/>
        <v>0</v>
      </c>
      <c r="Q2020" s="74"/>
      <c r="R2020" s="76"/>
      <c r="S2020" s="84">
        <f t="shared" si="95"/>
        <v>0</v>
      </c>
    </row>
    <row r="2021" spans="1:19" ht="18" customHeight="1" x14ac:dyDescent="0.25">
      <c r="A2021" s="59"/>
      <c r="B2021" s="60"/>
      <c r="C2021" s="65"/>
      <c r="D2021" s="60"/>
      <c r="E2021" s="59"/>
      <c r="F2021" s="62"/>
      <c r="G2021" s="63"/>
      <c r="H2021" s="64"/>
      <c r="I2021" s="65"/>
      <c r="J2021" s="65"/>
      <c r="K2021" s="65"/>
      <c r="L2021" s="65"/>
      <c r="M2021" s="65"/>
      <c r="N2021" s="65"/>
      <c r="O2021" s="81">
        <f t="shared" si="93"/>
        <v>0</v>
      </c>
      <c r="P2021" s="81">
        <f t="shared" si="94"/>
        <v>0</v>
      </c>
      <c r="Q2021" s="65"/>
      <c r="R2021" s="67"/>
      <c r="S2021" s="83">
        <f t="shared" si="95"/>
        <v>0</v>
      </c>
    </row>
    <row r="2022" spans="1:19" ht="18" customHeight="1" x14ac:dyDescent="0.25">
      <c r="A2022" s="68"/>
      <c r="B2022" s="69"/>
      <c r="C2022" s="74"/>
      <c r="D2022" s="69"/>
      <c r="E2022" s="68"/>
      <c r="F2022" s="71"/>
      <c r="G2022" s="72"/>
      <c r="H2022" s="73"/>
      <c r="I2022" s="74"/>
      <c r="J2022" s="74"/>
      <c r="K2022" s="74"/>
      <c r="L2022" s="74"/>
      <c r="M2022" s="74"/>
      <c r="N2022" s="74"/>
      <c r="O2022" s="82">
        <f t="shared" si="93"/>
        <v>0</v>
      </c>
      <c r="P2022" s="82">
        <f t="shared" si="94"/>
        <v>0</v>
      </c>
      <c r="Q2022" s="74"/>
      <c r="R2022" s="76"/>
      <c r="S2022" s="84">
        <f t="shared" si="95"/>
        <v>0</v>
      </c>
    </row>
    <row r="2023" spans="1:19" ht="18" customHeight="1" x14ac:dyDescent="0.25">
      <c r="A2023" s="59"/>
      <c r="B2023" s="60"/>
      <c r="C2023" s="65"/>
      <c r="D2023" s="60"/>
      <c r="E2023" s="59"/>
      <c r="F2023" s="62"/>
      <c r="G2023" s="63"/>
      <c r="H2023" s="64"/>
      <c r="I2023" s="65"/>
      <c r="J2023" s="65"/>
      <c r="K2023" s="65"/>
      <c r="L2023" s="65"/>
      <c r="M2023" s="65"/>
      <c r="N2023" s="65"/>
      <c r="O2023" s="81">
        <f t="shared" si="93"/>
        <v>0</v>
      </c>
      <c r="P2023" s="81">
        <f t="shared" si="94"/>
        <v>0</v>
      </c>
      <c r="Q2023" s="65"/>
      <c r="R2023" s="67"/>
      <c r="S2023" s="83">
        <f t="shared" si="95"/>
        <v>0</v>
      </c>
    </row>
    <row r="2024" spans="1:19" ht="18" customHeight="1" x14ac:dyDescent="0.25">
      <c r="A2024" s="68"/>
      <c r="B2024" s="69"/>
      <c r="C2024" s="74"/>
      <c r="D2024" s="69"/>
      <c r="E2024" s="68"/>
      <c r="F2024" s="71"/>
      <c r="G2024" s="72"/>
      <c r="H2024" s="73"/>
      <c r="I2024" s="74"/>
      <c r="J2024" s="74"/>
      <c r="K2024" s="74"/>
      <c r="L2024" s="74"/>
      <c r="M2024" s="74"/>
      <c r="N2024" s="74"/>
      <c r="O2024" s="82">
        <f t="shared" si="93"/>
        <v>0</v>
      </c>
      <c r="P2024" s="82">
        <f t="shared" si="94"/>
        <v>0</v>
      </c>
      <c r="Q2024" s="74"/>
      <c r="R2024" s="76"/>
      <c r="S2024" s="84">
        <f t="shared" si="95"/>
        <v>0</v>
      </c>
    </row>
    <row r="2025" spans="1:19" ht="18" customHeight="1" x14ac:dyDescent="0.25">
      <c r="A2025" s="59"/>
      <c r="B2025" s="60"/>
      <c r="C2025" s="65"/>
      <c r="D2025" s="60"/>
      <c r="E2025" s="59"/>
      <c r="F2025" s="62"/>
      <c r="G2025" s="63"/>
      <c r="H2025" s="64"/>
      <c r="I2025" s="65"/>
      <c r="J2025" s="65"/>
      <c r="K2025" s="65"/>
      <c r="L2025" s="65"/>
      <c r="M2025" s="65"/>
      <c r="N2025" s="65"/>
      <c r="O2025" s="81">
        <f t="shared" si="93"/>
        <v>0</v>
      </c>
      <c r="P2025" s="81">
        <f t="shared" si="94"/>
        <v>0</v>
      </c>
      <c r="Q2025" s="65"/>
      <c r="R2025" s="67"/>
      <c r="S2025" s="83">
        <f t="shared" si="95"/>
        <v>0</v>
      </c>
    </row>
    <row r="2026" spans="1:19" ht="18" customHeight="1" x14ac:dyDescent="0.25">
      <c r="A2026" s="68"/>
      <c r="B2026" s="69"/>
      <c r="C2026" s="74"/>
      <c r="D2026" s="69"/>
      <c r="E2026" s="68"/>
      <c r="F2026" s="71"/>
      <c r="G2026" s="72"/>
      <c r="H2026" s="73"/>
      <c r="I2026" s="74"/>
      <c r="J2026" s="74"/>
      <c r="K2026" s="74"/>
      <c r="L2026" s="74"/>
      <c r="M2026" s="74"/>
      <c r="N2026" s="74"/>
      <c r="O2026" s="82">
        <f t="shared" si="93"/>
        <v>0</v>
      </c>
      <c r="P2026" s="82">
        <f t="shared" si="94"/>
        <v>0</v>
      </c>
      <c r="Q2026" s="74"/>
      <c r="R2026" s="76"/>
      <c r="S2026" s="84">
        <f t="shared" si="95"/>
        <v>0</v>
      </c>
    </row>
    <row r="2027" spans="1:19" ht="18" customHeight="1" x14ac:dyDescent="0.25">
      <c r="A2027" s="59"/>
      <c r="B2027" s="60"/>
      <c r="C2027" s="65"/>
      <c r="D2027" s="60"/>
      <c r="E2027" s="59"/>
      <c r="F2027" s="62"/>
      <c r="G2027" s="63"/>
      <c r="H2027" s="64"/>
      <c r="I2027" s="65"/>
      <c r="J2027" s="65"/>
      <c r="K2027" s="65"/>
      <c r="L2027" s="65"/>
      <c r="M2027" s="65"/>
      <c r="N2027" s="65"/>
      <c r="O2027" s="81">
        <f t="shared" si="93"/>
        <v>0</v>
      </c>
      <c r="P2027" s="81">
        <f t="shared" si="94"/>
        <v>0</v>
      </c>
      <c r="Q2027" s="65"/>
      <c r="R2027" s="67"/>
      <c r="S2027" s="83">
        <f t="shared" si="95"/>
        <v>0</v>
      </c>
    </row>
    <row r="2028" spans="1:19" ht="18" customHeight="1" x14ac:dyDescent="0.25">
      <c r="A2028" s="68"/>
      <c r="B2028" s="69"/>
      <c r="C2028" s="74"/>
      <c r="D2028" s="69"/>
      <c r="E2028" s="68"/>
      <c r="F2028" s="71"/>
      <c r="G2028" s="72"/>
      <c r="H2028" s="73"/>
      <c r="I2028" s="74"/>
      <c r="J2028" s="74"/>
      <c r="K2028" s="74"/>
      <c r="L2028" s="74"/>
      <c r="M2028" s="74"/>
      <c r="N2028" s="74"/>
      <c r="O2028" s="82">
        <f t="shared" si="93"/>
        <v>0</v>
      </c>
      <c r="P2028" s="82">
        <f t="shared" si="94"/>
        <v>0</v>
      </c>
      <c r="Q2028" s="74"/>
      <c r="R2028" s="76"/>
      <c r="S2028" s="84">
        <f t="shared" si="95"/>
        <v>0</v>
      </c>
    </row>
    <row r="2029" spans="1:19" ht="18" customHeight="1" x14ac:dyDescent="0.25">
      <c r="A2029" s="59"/>
      <c r="B2029" s="60"/>
      <c r="C2029" s="65"/>
      <c r="D2029" s="60"/>
      <c r="E2029" s="59"/>
      <c r="F2029" s="62"/>
      <c r="G2029" s="63"/>
      <c r="H2029" s="64"/>
      <c r="I2029" s="65"/>
      <c r="J2029" s="65"/>
      <c r="K2029" s="65"/>
      <c r="L2029" s="65"/>
      <c r="M2029" s="65"/>
      <c r="N2029" s="65"/>
      <c r="O2029" s="81">
        <f t="shared" si="93"/>
        <v>0</v>
      </c>
      <c r="P2029" s="81">
        <f t="shared" si="94"/>
        <v>0</v>
      </c>
      <c r="Q2029" s="65"/>
      <c r="R2029" s="67"/>
      <c r="S2029" s="83">
        <f t="shared" si="95"/>
        <v>0</v>
      </c>
    </row>
    <row r="2030" spans="1:19" ht="18" customHeight="1" x14ac:dyDescent="0.25">
      <c r="A2030" s="68"/>
      <c r="B2030" s="69"/>
      <c r="C2030" s="74"/>
      <c r="D2030" s="69"/>
      <c r="E2030" s="68"/>
      <c r="F2030" s="71"/>
      <c r="G2030" s="72"/>
      <c r="H2030" s="73"/>
      <c r="I2030" s="74"/>
      <c r="J2030" s="74"/>
      <c r="K2030" s="74"/>
      <c r="L2030" s="74"/>
      <c r="M2030" s="74"/>
      <c r="N2030" s="74"/>
      <c r="O2030" s="82">
        <f t="shared" si="93"/>
        <v>0</v>
      </c>
      <c r="P2030" s="82">
        <f t="shared" si="94"/>
        <v>0</v>
      </c>
      <c r="Q2030" s="74"/>
      <c r="R2030" s="76"/>
      <c r="S2030" s="84">
        <f t="shared" si="95"/>
        <v>0</v>
      </c>
    </row>
    <row r="2031" spans="1:19" ht="18" customHeight="1" x14ac:dyDescent="0.25">
      <c r="A2031" s="59"/>
      <c r="B2031" s="60"/>
      <c r="C2031" s="65"/>
      <c r="D2031" s="60"/>
      <c r="E2031" s="59"/>
      <c r="F2031" s="62"/>
      <c r="G2031" s="63"/>
      <c r="H2031" s="64"/>
      <c r="I2031" s="65"/>
      <c r="J2031" s="65"/>
      <c r="K2031" s="65"/>
      <c r="L2031" s="65"/>
      <c r="M2031" s="65"/>
      <c r="N2031" s="65"/>
      <c r="O2031" s="81">
        <f t="shared" si="93"/>
        <v>0</v>
      </c>
      <c r="P2031" s="81">
        <f t="shared" si="94"/>
        <v>0</v>
      </c>
      <c r="Q2031" s="65"/>
      <c r="R2031" s="67"/>
      <c r="S2031" s="83">
        <f t="shared" si="95"/>
        <v>0</v>
      </c>
    </row>
    <row r="2032" spans="1:19" ht="18" customHeight="1" x14ac:dyDescent="0.25">
      <c r="A2032" s="68"/>
      <c r="B2032" s="69"/>
      <c r="C2032" s="74"/>
      <c r="D2032" s="69"/>
      <c r="E2032" s="68"/>
      <c r="F2032" s="71"/>
      <c r="G2032" s="72"/>
      <c r="H2032" s="73"/>
      <c r="I2032" s="74"/>
      <c r="J2032" s="74"/>
      <c r="K2032" s="74"/>
      <c r="L2032" s="74"/>
      <c r="M2032" s="74"/>
      <c r="N2032" s="74"/>
      <c r="O2032" s="82">
        <f t="shared" si="93"/>
        <v>0</v>
      </c>
      <c r="P2032" s="82">
        <f t="shared" si="94"/>
        <v>0</v>
      </c>
      <c r="Q2032" s="74"/>
      <c r="R2032" s="76"/>
      <c r="S2032" s="84">
        <f t="shared" si="95"/>
        <v>0</v>
      </c>
    </row>
    <row r="2033" spans="1:19" ht="18" customHeight="1" x14ac:dyDescent="0.25">
      <c r="A2033" s="59"/>
      <c r="B2033" s="60"/>
      <c r="C2033" s="65"/>
      <c r="D2033" s="60"/>
      <c r="E2033" s="59"/>
      <c r="F2033" s="62"/>
      <c r="G2033" s="63"/>
      <c r="H2033" s="64"/>
      <c r="I2033" s="65"/>
      <c r="J2033" s="65"/>
      <c r="K2033" s="65"/>
      <c r="L2033" s="65"/>
      <c r="M2033" s="65"/>
      <c r="N2033" s="65"/>
      <c r="O2033" s="81">
        <f t="shared" si="93"/>
        <v>0</v>
      </c>
      <c r="P2033" s="81">
        <f t="shared" si="94"/>
        <v>0</v>
      </c>
      <c r="Q2033" s="65"/>
      <c r="R2033" s="67"/>
      <c r="S2033" s="83">
        <f t="shared" si="95"/>
        <v>0</v>
      </c>
    </row>
    <row r="2034" spans="1:19" ht="18" customHeight="1" x14ac:dyDescent="0.25">
      <c r="A2034" s="68"/>
      <c r="B2034" s="69"/>
      <c r="C2034" s="74"/>
      <c r="D2034" s="69"/>
      <c r="E2034" s="68"/>
      <c r="F2034" s="71"/>
      <c r="G2034" s="72"/>
      <c r="H2034" s="73"/>
      <c r="I2034" s="74"/>
      <c r="J2034" s="74"/>
      <c r="K2034" s="74"/>
      <c r="L2034" s="74"/>
      <c r="M2034" s="74"/>
      <c r="N2034" s="74"/>
      <c r="O2034" s="82">
        <f t="shared" si="93"/>
        <v>0</v>
      </c>
      <c r="P2034" s="82">
        <f t="shared" si="94"/>
        <v>0</v>
      </c>
      <c r="Q2034" s="74"/>
      <c r="R2034" s="76"/>
      <c r="S2034" s="84">
        <f t="shared" si="95"/>
        <v>0</v>
      </c>
    </row>
    <row r="2035" spans="1:19" ht="18" customHeight="1" x14ac:dyDescent="0.25">
      <c r="A2035" s="59"/>
      <c r="B2035" s="60"/>
      <c r="C2035" s="65"/>
      <c r="D2035" s="60"/>
      <c r="E2035" s="59"/>
      <c r="F2035" s="62"/>
      <c r="G2035" s="63"/>
      <c r="H2035" s="64"/>
      <c r="I2035" s="65"/>
      <c r="J2035" s="65"/>
      <c r="K2035" s="65"/>
      <c r="L2035" s="65"/>
      <c r="M2035" s="65"/>
      <c r="N2035" s="65"/>
      <c r="O2035" s="81">
        <f t="shared" si="93"/>
        <v>0</v>
      </c>
      <c r="P2035" s="81">
        <f t="shared" si="94"/>
        <v>0</v>
      </c>
      <c r="Q2035" s="65"/>
      <c r="R2035" s="67"/>
      <c r="S2035" s="83">
        <f t="shared" si="95"/>
        <v>0</v>
      </c>
    </row>
    <row r="2036" spans="1:19" ht="18" customHeight="1" x14ac:dyDescent="0.25">
      <c r="A2036" s="68"/>
      <c r="B2036" s="69"/>
      <c r="C2036" s="74"/>
      <c r="D2036" s="69"/>
      <c r="E2036" s="68"/>
      <c r="F2036" s="71"/>
      <c r="G2036" s="72"/>
      <c r="H2036" s="73"/>
      <c r="I2036" s="74"/>
      <c r="J2036" s="74"/>
      <c r="K2036" s="74"/>
      <c r="L2036" s="74"/>
      <c r="M2036" s="74"/>
      <c r="N2036" s="74"/>
      <c r="O2036" s="82">
        <f t="shared" si="93"/>
        <v>0</v>
      </c>
      <c r="P2036" s="82">
        <f t="shared" si="94"/>
        <v>0</v>
      </c>
      <c r="Q2036" s="74"/>
      <c r="R2036" s="76"/>
      <c r="S2036" s="84">
        <f t="shared" si="95"/>
        <v>0</v>
      </c>
    </row>
    <row r="2037" spans="1:19" ht="18" customHeight="1" x14ac:dyDescent="0.25">
      <c r="A2037" s="59"/>
      <c r="B2037" s="60"/>
      <c r="C2037" s="65"/>
      <c r="D2037" s="60"/>
      <c r="E2037" s="59"/>
      <c r="F2037" s="62"/>
      <c r="G2037" s="63"/>
      <c r="H2037" s="64"/>
      <c r="I2037" s="65"/>
      <c r="J2037" s="65"/>
      <c r="K2037" s="65"/>
      <c r="L2037" s="65"/>
      <c r="M2037" s="65"/>
      <c r="N2037" s="65"/>
      <c r="O2037" s="81">
        <f t="shared" si="93"/>
        <v>0</v>
      </c>
      <c r="P2037" s="81">
        <f t="shared" si="94"/>
        <v>0</v>
      </c>
      <c r="Q2037" s="65"/>
      <c r="R2037" s="67"/>
      <c r="S2037" s="83">
        <f t="shared" si="95"/>
        <v>0</v>
      </c>
    </row>
    <row r="2038" spans="1:19" ht="18" customHeight="1" x14ac:dyDescent="0.25">
      <c r="A2038" s="68"/>
      <c r="B2038" s="69"/>
      <c r="C2038" s="74"/>
      <c r="D2038" s="69"/>
      <c r="E2038" s="68"/>
      <c r="F2038" s="71"/>
      <c r="G2038" s="72"/>
      <c r="H2038" s="73"/>
      <c r="I2038" s="74"/>
      <c r="J2038" s="74"/>
      <c r="K2038" s="74"/>
      <c r="L2038" s="74"/>
      <c r="M2038" s="74"/>
      <c r="N2038" s="74"/>
      <c r="O2038" s="82">
        <f t="shared" si="93"/>
        <v>0</v>
      </c>
      <c r="P2038" s="82">
        <f t="shared" si="94"/>
        <v>0</v>
      </c>
      <c r="Q2038" s="74"/>
      <c r="R2038" s="76"/>
      <c r="S2038" s="84">
        <f t="shared" si="95"/>
        <v>0</v>
      </c>
    </row>
    <row r="2039" spans="1:19" ht="18" customHeight="1" x14ac:dyDescent="0.25">
      <c r="A2039" s="59"/>
      <c r="B2039" s="60"/>
      <c r="C2039" s="65"/>
      <c r="D2039" s="60"/>
      <c r="E2039" s="59"/>
      <c r="F2039" s="62"/>
      <c r="G2039" s="63"/>
      <c r="H2039" s="64"/>
      <c r="I2039" s="65"/>
      <c r="J2039" s="65"/>
      <c r="K2039" s="65"/>
      <c r="L2039" s="65"/>
      <c r="M2039" s="65"/>
      <c r="N2039" s="65"/>
      <c r="O2039" s="81">
        <f t="shared" si="93"/>
        <v>0</v>
      </c>
      <c r="P2039" s="81">
        <f t="shared" si="94"/>
        <v>0</v>
      </c>
      <c r="Q2039" s="65"/>
      <c r="R2039" s="67"/>
      <c r="S2039" s="83">
        <f t="shared" si="95"/>
        <v>0</v>
      </c>
    </row>
    <row r="2040" spans="1:19" ht="18" customHeight="1" x14ac:dyDescent="0.25">
      <c r="A2040" s="68"/>
      <c r="B2040" s="69"/>
      <c r="C2040" s="74"/>
      <c r="D2040" s="69"/>
      <c r="E2040" s="68"/>
      <c r="F2040" s="71"/>
      <c r="G2040" s="72"/>
      <c r="H2040" s="73"/>
      <c r="I2040" s="74"/>
      <c r="J2040" s="74"/>
      <c r="K2040" s="74"/>
      <c r="L2040" s="74"/>
      <c r="M2040" s="74"/>
      <c r="N2040" s="74"/>
      <c r="O2040" s="82">
        <f t="shared" si="93"/>
        <v>0</v>
      </c>
      <c r="P2040" s="82">
        <f t="shared" si="94"/>
        <v>0</v>
      </c>
      <c r="Q2040" s="74"/>
      <c r="R2040" s="76"/>
      <c r="S2040" s="84">
        <f t="shared" si="95"/>
        <v>0</v>
      </c>
    </row>
    <row r="2041" spans="1:19" ht="18" customHeight="1" x14ac:dyDescent="0.25">
      <c r="A2041" s="59"/>
      <c r="B2041" s="60"/>
      <c r="C2041" s="65"/>
      <c r="D2041" s="60"/>
      <c r="E2041" s="59"/>
      <c r="F2041" s="62"/>
      <c r="G2041" s="63"/>
      <c r="H2041" s="64"/>
      <c r="I2041" s="65"/>
      <c r="J2041" s="65"/>
      <c r="K2041" s="65"/>
      <c r="L2041" s="65"/>
      <c r="M2041" s="65"/>
      <c r="N2041" s="65"/>
      <c r="O2041" s="81">
        <f t="shared" si="93"/>
        <v>0</v>
      </c>
      <c r="P2041" s="81">
        <f t="shared" si="94"/>
        <v>0</v>
      </c>
      <c r="Q2041" s="65"/>
      <c r="R2041" s="67"/>
      <c r="S2041" s="83">
        <f t="shared" si="95"/>
        <v>0</v>
      </c>
    </row>
    <row r="2042" spans="1:19" ht="18" customHeight="1" x14ac:dyDescent="0.25">
      <c r="A2042" s="68"/>
      <c r="B2042" s="69"/>
      <c r="C2042" s="74"/>
      <c r="D2042" s="69"/>
      <c r="E2042" s="68"/>
      <c r="F2042" s="71"/>
      <c r="G2042" s="72"/>
      <c r="H2042" s="73"/>
      <c r="I2042" s="74"/>
      <c r="J2042" s="74"/>
      <c r="K2042" s="74"/>
      <c r="L2042" s="74"/>
      <c r="M2042" s="74"/>
      <c r="N2042" s="74"/>
      <c r="O2042" s="82">
        <f t="shared" si="93"/>
        <v>0</v>
      </c>
      <c r="P2042" s="82">
        <f t="shared" si="94"/>
        <v>0</v>
      </c>
      <c r="Q2042" s="74"/>
      <c r="R2042" s="76"/>
      <c r="S2042" s="84">
        <f t="shared" si="95"/>
        <v>0</v>
      </c>
    </row>
    <row r="2043" spans="1:19" ht="18" customHeight="1" x14ac:dyDescent="0.25">
      <c r="A2043" s="59"/>
      <c r="B2043" s="60"/>
      <c r="C2043" s="65"/>
      <c r="D2043" s="60"/>
      <c r="E2043" s="59"/>
      <c r="F2043" s="62"/>
      <c r="G2043" s="63"/>
      <c r="H2043" s="64"/>
      <c r="I2043" s="65"/>
      <c r="J2043" s="65"/>
      <c r="K2043" s="65"/>
      <c r="L2043" s="65"/>
      <c r="M2043" s="65"/>
      <c r="N2043" s="65"/>
      <c r="O2043" s="81">
        <f t="shared" si="93"/>
        <v>0</v>
      </c>
      <c r="P2043" s="81">
        <f t="shared" si="94"/>
        <v>0</v>
      </c>
      <c r="Q2043" s="65"/>
      <c r="R2043" s="67"/>
      <c r="S2043" s="83">
        <f t="shared" si="95"/>
        <v>0</v>
      </c>
    </row>
    <row r="2044" spans="1:19" ht="18" customHeight="1" x14ac:dyDescent="0.25">
      <c r="A2044" s="68"/>
      <c r="B2044" s="69"/>
      <c r="C2044" s="74"/>
      <c r="D2044" s="69"/>
      <c r="E2044" s="68"/>
      <c r="F2044" s="71"/>
      <c r="G2044" s="72"/>
      <c r="H2044" s="73"/>
      <c r="I2044" s="74"/>
      <c r="J2044" s="74"/>
      <c r="K2044" s="74"/>
      <c r="L2044" s="74"/>
      <c r="M2044" s="74"/>
      <c r="N2044" s="74"/>
      <c r="O2044" s="82">
        <f t="shared" si="93"/>
        <v>0</v>
      </c>
      <c r="P2044" s="82">
        <f t="shared" si="94"/>
        <v>0</v>
      </c>
      <c r="Q2044" s="74"/>
      <c r="R2044" s="76"/>
      <c r="S2044" s="84">
        <f t="shared" si="95"/>
        <v>0</v>
      </c>
    </row>
    <row r="2045" spans="1:19" ht="18" customHeight="1" x14ac:dyDescent="0.25">
      <c r="A2045" s="59"/>
      <c r="B2045" s="60"/>
      <c r="C2045" s="65"/>
      <c r="D2045" s="60"/>
      <c r="E2045" s="59"/>
      <c r="F2045" s="62"/>
      <c r="G2045" s="63"/>
      <c r="H2045" s="64"/>
      <c r="I2045" s="65"/>
      <c r="J2045" s="65"/>
      <c r="K2045" s="65"/>
      <c r="L2045" s="65"/>
      <c r="M2045" s="65"/>
      <c r="N2045" s="65"/>
      <c r="O2045" s="81">
        <f t="shared" si="93"/>
        <v>0</v>
      </c>
      <c r="P2045" s="81">
        <f t="shared" si="94"/>
        <v>0</v>
      </c>
      <c r="Q2045" s="65"/>
      <c r="R2045" s="67"/>
      <c r="S2045" s="83">
        <f t="shared" si="95"/>
        <v>0</v>
      </c>
    </row>
    <row r="2046" spans="1:19" ht="18" customHeight="1" x14ac:dyDescent="0.25">
      <c r="A2046" s="68"/>
      <c r="B2046" s="69"/>
      <c r="C2046" s="74"/>
      <c r="D2046" s="69"/>
      <c r="E2046" s="68"/>
      <c r="F2046" s="71"/>
      <c r="G2046" s="72"/>
      <c r="H2046" s="73"/>
      <c r="I2046" s="74"/>
      <c r="J2046" s="74"/>
      <c r="K2046" s="74"/>
      <c r="L2046" s="74"/>
      <c r="M2046" s="74"/>
      <c r="N2046" s="74"/>
      <c r="O2046" s="82">
        <f t="shared" si="93"/>
        <v>0</v>
      </c>
      <c r="P2046" s="82">
        <f t="shared" si="94"/>
        <v>0</v>
      </c>
      <c r="Q2046" s="74"/>
      <c r="R2046" s="76"/>
      <c r="S2046" s="84">
        <f t="shared" si="95"/>
        <v>0</v>
      </c>
    </row>
    <row r="2047" spans="1:19" ht="18" customHeight="1" x14ac:dyDescent="0.25">
      <c r="A2047" s="59"/>
      <c r="B2047" s="60"/>
      <c r="C2047" s="65"/>
      <c r="D2047" s="60"/>
      <c r="E2047" s="59"/>
      <c r="F2047" s="62"/>
      <c r="G2047" s="63"/>
      <c r="H2047" s="64"/>
      <c r="I2047" s="65"/>
      <c r="J2047" s="65"/>
      <c r="K2047" s="65"/>
      <c r="L2047" s="65"/>
      <c r="M2047" s="65"/>
      <c r="N2047" s="65"/>
      <c r="O2047" s="81">
        <f t="shared" si="93"/>
        <v>0</v>
      </c>
      <c r="P2047" s="81">
        <f t="shared" si="94"/>
        <v>0</v>
      </c>
      <c r="Q2047" s="65"/>
      <c r="R2047" s="67"/>
      <c r="S2047" s="83">
        <f t="shared" si="95"/>
        <v>0</v>
      </c>
    </row>
    <row r="2048" spans="1:19" ht="18" customHeight="1" x14ac:dyDescent="0.25">
      <c r="A2048" s="68"/>
      <c r="B2048" s="69"/>
      <c r="C2048" s="74"/>
      <c r="D2048" s="69"/>
      <c r="E2048" s="68"/>
      <c r="F2048" s="71"/>
      <c r="G2048" s="72"/>
      <c r="H2048" s="73"/>
      <c r="I2048" s="74"/>
      <c r="J2048" s="74"/>
      <c r="K2048" s="74"/>
      <c r="L2048" s="74"/>
      <c r="M2048" s="74"/>
      <c r="N2048" s="74"/>
      <c r="O2048" s="82">
        <f t="shared" si="93"/>
        <v>0</v>
      </c>
      <c r="P2048" s="82">
        <f t="shared" si="94"/>
        <v>0</v>
      </c>
      <c r="Q2048" s="74"/>
      <c r="R2048" s="76"/>
      <c r="S2048" s="84">
        <f t="shared" si="95"/>
        <v>0</v>
      </c>
    </row>
    <row r="2049" spans="1:19" ht="18" customHeight="1" x14ac:dyDescent="0.25">
      <c r="A2049" s="59"/>
      <c r="B2049" s="60"/>
      <c r="C2049" s="65"/>
      <c r="D2049" s="60"/>
      <c r="E2049" s="59"/>
      <c r="F2049" s="62"/>
      <c r="G2049" s="63"/>
      <c r="H2049" s="64"/>
      <c r="I2049" s="65"/>
      <c r="J2049" s="65"/>
      <c r="K2049" s="65"/>
      <c r="L2049" s="65"/>
      <c r="M2049" s="65"/>
      <c r="N2049" s="65"/>
      <c r="O2049" s="81">
        <f t="shared" si="93"/>
        <v>0</v>
      </c>
      <c r="P2049" s="81">
        <f t="shared" si="94"/>
        <v>0</v>
      </c>
      <c r="Q2049" s="65"/>
      <c r="R2049" s="67"/>
      <c r="S2049" s="83">
        <f t="shared" si="95"/>
        <v>0</v>
      </c>
    </row>
    <row r="2050" spans="1:19" ht="18" customHeight="1" x14ac:dyDescent="0.25">
      <c r="A2050" s="68"/>
      <c r="B2050" s="69"/>
      <c r="C2050" s="74"/>
      <c r="D2050" s="69"/>
      <c r="E2050" s="68"/>
      <c r="F2050" s="71"/>
      <c r="G2050" s="72"/>
      <c r="H2050" s="73"/>
      <c r="I2050" s="74"/>
      <c r="J2050" s="74"/>
      <c r="K2050" s="74"/>
      <c r="L2050" s="74"/>
      <c r="M2050" s="74"/>
      <c r="N2050" s="74"/>
      <c r="O2050" s="82">
        <f t="shared" si="93"/>
        <v>0</v>
      </c>
      <c r="P2050" s="82">
        <f t="shared" si="94"/>
        <v>0</v>
      </c>
      <c r="Q2050" s="74"/>
      <c r="R2050" s="76"/>
      <c r="S2050" s="84">
        <f t="shared" si="95"/>
        <v>0</v>
      </c>
    </row>
    <row r="2051" spans="1:19" ht="18" customHeight="1" x14ac:dyDescent="0.25">
      <c r="A2051" s="59"/>
      <c r="B2051" s="60"/>
      <c r="C2051" s="65"/>
      <c r="D2051" s="60"/>
      <c r="E2051" s="59"/>
      <c r="F2051" s="62"/>
      <c r="G2051" s="63"/>
      <c r="H2051" s="64"/>
      <c r="I2051" s="65"/>
      <c r="J2051" s="65"/>
      <c r="K2051" s="65"/>
      <c r="L2051" s="65"/>
      <c r="M2051" s="65"/>
      <c r="N2051" s="65"/>
      <c r="O2051" s="81">
        <f t="shared" si="93"/>
        <v>0</v>
      </c>
      <c r="P2051" s="81">
        <f t="shared" si="94"/>
        <v>0</v>
      </c>
      <c r="Q2051" s="65"/>
      <c r="R2051" s="67"/>
      <c r="S2051" s="83">
        <f t="shared" si="95"/>
        <v>0</v>
      </c>
    </row>
    <row r="2052" spans="1:19" ht="18" customHeight="1" x14ac:dyDescent="0.25">
      <c r="A2052" s="68"/>
      <c r="B2052" s="69"/>
      <c r="C2052" s="74"/>
      <c r="D2052" s="69"/>
      <c r="E2052" s="68"/>
      <c r="F2052" s="71"/>
      <c r="G2052" s="72"/>
      <c r="H2052" s="73"/>
      <c r="I2052" s="74"/>
      <c r="J2052" s="74"/>
      <c r="K2052" s="74"/>
      <c r="L2052" s="74"/>
      <c r="M2052" s="74"/>
      <c r="N2052" s="74"/>
      <c r="O2052" s="82">
        <f t="shared" si="93"/>
        <v>0</v>
      </c>
      <c r="P2052" s="82">
        <f t="shared" si="94"/>
        <v>0</v>
      </c>
      <c r="Q2052" s="74"/>
      <c r="R2052" s="76"/>
      <c r="S2052" s="84">
        <f t="shared" si="95"/>
        <v>0</v>
      </c>
    </row>
    <row r="2053" spans="1:19" ht="18" customHeight="1" x14ac:dyDescent="0.25">
      <c r="A2053" s="59"/>
      <c r="B2053" s="60"/>
      <c r="C2053" s="65"/>
      <c r="D2053" s="60"/>
      <c r="E2053" s="59"/>
      <c r="F2053" s="62"/>
      <c r="G2053" s="63"/>
      <c r="H2053" s="64"/>
      <c r="I2053" s="65"/>
      <c r="J2053" s="65"/>
      <c r="K2053" s="65"/>
      <c r="L2053" s="65"/>
      <c r="M2053" s="65"/>
      <c r="N2053" s="65"/>
      <c r="O2053" s="81">
        <f t="shared" si="93"/>
        <v>0</v>
      </c>
      <c r="P2053" s="81">
        <f t="shared" si="94"/>
        <v>0</v>
      </c>
      <c r="Q2053" s="65"/>
      <c r="R2053" s="67"/>
      <c r="S2053" s="83">
        <f t="shared" si="95"/>
        <v>0</v>
      </c>
    </row>
    <row r="2054" spans="1:19" ht="18" customHeight="1" x14ac:dyDescent="0.25">
      <c r="A2054" s="68"/>
      <c r="B2054" s="69"/>
      <c r="C2054" s="74"/>
      <c r="D2054" s="69"/>
      <c r="E2054" s="68"/>
      <c r="F2054" s="71"/>
      <c r="G2054" s="72"/>
      <c r="H2054" s="73"/>
      <c r="I2054" s="74"/>
      <c r="J2054" s="74"/>
      <c r="K2054" s="74"/>
      <c r="L2054" s="74"/>
      <c r="M2054" s="74"/>
      <c r="N2054" s="74"/>
      <c r="O2054" s="82" t="e">
        <f>#N/A</f>
        <v>#N/A</v>
      </c>
      <c r="P2054" s="82" t="e">
        <f>#N/A</f>
        <v>#N/A</v>
      </c>
      <c r="Q2054" s="74"/>
      <c r="R2054" s="76"/>
      <c r="S2054" s="84">
        <f t="shared" si="95"/>
        <v>0</v>
      </c>
    </row>
    <row r="2055" spans="1:19" ht="18" customHeight="1" x14ac:dyDescent="0.25">
      <c r="A2055" s="59"/>
      <c r="B2055" s="60"/>
      <c r="C2055" s="65"/>
      <c r="D2055" s="60"/>
      <c r="E2055" s="59"/>
      <c r="F2055" s="62"/>
      <c r="G2055" s="63"/>
      <c r="H2055" s="64"/>
      <c r="I2055" s="65"/>
      <c r="J2055" s="65"/>
      <c r="K2055" s="65"/>
      <c r="L2055" s="65"/>
      <c r="M2055" s="65"/>
      <c r="N2055" s="65"/>
      <c r="O2055" s="81">
        <f t="shared" ref="O2055:O2117" si="96">IF(G2055="Reimbursement ","",I2055+J2055+K2055+L2055+M2055)</f>
        <v>0</v>
      </c>
      <c r="P2055" s="81">
        <f t="shared" ref="P2055:P2117" si="97">IF(G2055="Reimbursement ","",H2055-O2055)</f>
        <v>0</v>
      </c>
      <c r="Q2055" s="65"/>
      <c r="R2055" s="67"/>
      <c r="S2055" s="83">
        <f t="shared" ref="S2055:S2118" si="98">IF(OR(R2055="",Q2055=""),0,IF(R2055&gt;Q2055,R2055-Q2055,0))</f>
        <v>0</v>
      </c>
    </row>
    <row r="2056" spans="1:19" ht="18" customHeight="1" x14ac:dyDescent="0.25">
      <c r="A2056" s="68"/>
      <c r="B2056" s="69"/>
      <c r="C2056" s="74"/>
      <c r="D2056" s="69"/>
      <c r="E2056" s="68"/>
      <c r="F2056" s="71"/>
      <c r="G2056" s="72"/>
      <c r="H2056" s="73"/>
      <c r="I2056" s="74"/>
      <c r="J2056" s="74"/>
      <c r="K2056" s="74"/>
      <c r="L2056" s="74"/>
      <c r="M2056" s="74"/>
      <c r="N2056" s="74"/>
      <c r="O2056" s="82">
        <f t="shared" si="96"/>
        <v>0</v>
      </c>
      <c r="P2056" s="82">
        <f t="shared" si="97"/>
        <v>0</v>
      </c>
      <c r="Q2056" s="74"/>
      <c r="R2056" s="76"/>
      <c r="S2056" s="84">
        <f t="shared" si="98"/>
        <v>0</v>
      </c>
    </row>
    <row r="2057" spans="1:19" ht="18" customHeight="1" x14ac:dyDescent="0.25">
      <c r="A2057" s="59"/>
      <c r="B2057" s="60"/>
      <c r="C2057" s="65"/>
      <c r="D2057" s="60"/>
      <c r="E2057" s="59"/>
      <c r="F2057" s="62"/>
      <c r="G2057" s="63"/>
      <c r="H2057" s="64"/>
      <c r="I2057" s="65"/>
      <c r="J2057" s="65"/>
      <c r="K2057" s="65"/>
      <c r="L2057" s="65"/>
      <c r="M2057" s="65"/>
      <c r="N2057" s="65"/>
      <c r="O2057" s="81">
        <f t="shared" si="96"/>
        <v>0</v>
      </c>
      <c r="P2057" s="81">
        <f t="shared" si="97"/>
        <v>0</v>
      </c>
      <c r="Q2057" s="65"/>
      <c r="R2057" s="67"/>
      <c r="S2057" s="83">
        <f t="shared" si="98"/>
        <v>0</v>
      </c>
    </row>
    <row r="2058" spans="1:19" ht="18" customHeight="1" x14ac:dyDescent="0.25">
      <c r="A2058" s="68"/>
      <c r="B2058" s="69"/>
      <c r="C2058" s="74"/>
      <c r="D2058" s="69"/>
      <c r="E2058" s="68"/>
      <c r="F2058" s="71"/>
      <c r="G2058" s="72"/>
      <c r="H2058" s="73"/>
      <c r="I2058" s="74"/>
      <c r="J2058" s="74"/>
      <c r="K2058" s="74"/>
      <c r="L2058" s="74"/>
      <c r="M2058" s="74"/>
      <c r="N2058" s="74"/>
      <c r="O2058" s="82">
        <f t="shared" si="96"/>
        <v>0</v>
      </c>
      <c r="P2058" s="82">
        <f t="shared" si="97"/>
        <v>0</v>
      </c>
      <c r="Q2058" s="74"/>
      <c r="R2058" s="76"/>
      <c r="S2058" s="84">
        <f t="shared" si="98"/>
        <v>0</v>
      </c>
    </row>
    <row r="2059" spans="1:19" ht="18" customHeight="1" x14ac:dyDescent="0.25">
      <c r="A2059" s="59"/>
      <c r="B2059" s="60"/>
      <c r="C2059" s="65"/>
      <c r="D2059" s="60"/>
      <c r="E2059" s="59"/>
      <c r="F2059" s="62"/>
      <c r="G2059" s="63"/>
      <c r="H2059" s="64"/>
      <c r="I2059" s="65"/>
      <c r="J2059" s="65"/>
      <c r="K2059" s="65"/>
      <c r="L2059" s="65"/>
      <c r="M2059" s="65"/>
      <c r="N2059" s="65"/>
      <c r="O2059" s="81">
        <f t="shared" si="96"/>
        <v>0</v>
      </c>
      <c r="P2059" s="81">
        <f t="shared" si="97"/>
        <v>0</v>
      </c>
      <c r="Q2059" s="65"/>
      <c r="R2059" s="67"/>
      <c r="S2059" s="83">
        <f t="shared" si="98"/>
        <v>0</v>
      </c>
    </row>
    <row r="2060" spans="1:19" ht="18" customHeight="1" x14ac:dyDescent="0.25">
      <c r="A2060" s="68"/>
      <c r="B2060" s="69"/>
      <c r="C2060" s="74"/>
      <c r="D2060" s="69"/>
      <c r="E2060" s="68"/>
      <c r="F2060" s="71"/>
      <c r="G2060" s="72"/>
      <c r="H2060" s="73"/>
      <c r="I2060" s="74"/>
      <c r="J2060" s="74"/>
      <c r="K2060" s="74"/>
      <c r="L2060" s="74"/>
      <c r="M2060" s="74"/>
      <c r="N2060" s="74"/>
      <c r="O2060" s="82">
        <f t="shared" si="96"/>
        <v>0</v>
      </c>
      <c r="P2060" s="82">
        <f t="shared" si="97"/>
        <v>0</v>
      </c>
      <c r="Q2060" s="74"/>
      <c r="R2060" s="76"/>
      <c r="S2060" s="84">
        <f t="shared" si="98"/>
        <v>0</v>
      </c>
    </row>
    <row r="2061" spans="1:19" ht="18" customHeight="1" x14ac:dyDescent="0.25">
      <c r="A2061" s="59"/>
      <c r="B2061" s="60"/>
      <c r="C2061" s="65"/>
      <c r="D2061" s="60"/>
      <c r="E2061" s="59"/>
      <c r="F2061" s="62"/>
      <c r="G2061" s="63"/>
      <c r="H2061" s="64"/>
      <c r="I2061" s="65"/>
      <c r="J2061" s="65"/>
      <c r="K2061" s="65"/>
      <c r="L2061" s="65"/>
      <c r="M2061" s="65"/>
      <c r="N2061" s="65"/>
      <c r="O2061" s="81">
        <f t="shared" si="96"/>
        <v>0</v>
      </c>
      <c r="P2061" s="81">
        <f t="shared" si="97"/>
        <v>0</v>
      </c>
      <c r="Q2061" s="65"/>
      <c r="R2061" s="67"/>
      <c r="S2061" s="83">
        <f t="shared" si="98"/>
        <v>0</v>
      </c>
    </row>
    <row r="2062" spans="1:19" ht="18" customHeight="1" x14ac:dyDescent="0.25">
      <c r="A2062" s="68"/>
      <c r="B2062" s="69"/>
      <c r="C2062" s="74"/>
      <c r="D2062" s="69"/>
      <c r="E2062" s="68"/>
      <c r="F2062" s="71"/>
      <c r="G2062" s="72"/>
      <c r="H2062" s="73"/>
      <c r="I2062" s="74"/>
      <c r="J2062" s="74"/>
      <c r="K2062" s="74"/>
      <c r="L2062" s="74"/>
      <c r="M2062" s="74"/>
      <c r="N2062" s="74"/>
      <c r="O2062" s="82">
        <f t="shared" si="96"/>
        <v>0</v>
      </c>
      <c r="P2062" s="82">
        <f t="shared" si="97"/>
        <v>0</v>
      </c>
      <c r="Q2062" s="74"/>
      <c r="R2062" s="76"/>
      <c r="S2062" s="84">
        <f t="shared" si="98"/>
        <v>0</v>
      </c>
    </row>
    <row r="2063" spans="1:19" ht="18" customHeight="1" x14ac:dyDescent="0.25">
      <c r="A2063" s="59"/>
      <c r="B2063" s="60"/>
      <c r="C2063" s="65"/>
      <c r="D2063" s="60"/>
      <c r="E2063" s="59"/>
      <c r="F2063" s="62"/>
      <c r="G2063" s="63"/>
      <c r="H2063" s="64"/>
      <c r="I2063" s="65"/>
      <c r="J2063" s="65"/>
      <c r="K2063" s="65"/>
      <c r="L2063" s="65"/>
      <c r="M2063" s="65"/>
      <c r="N2063" s="65"/>
      <c r="O2063" s="81">
        <f t="shared" si="96"/>
        <v>0</v>
      </c>
      <c r="P2063" s="81">
        <f t="shared" si="97"/>
        <v>0</v>
      </c>
      <c r="Q2063" s="65"/>
      <c r="R2063" s="67"/>
      <c r="S2063" s="83">
        <f t="shared" si="98"/>
        <v>0</v>
      </c>
    </row>
    <row r="2064" spans="1:19" ht="18" customHeight="1" x14ac:dyDescent="0.25">
      <c r="A2064" s="68"/>
      <c r="B2064" s="69"/>
      <c r="C2064" s="74"/>
      <c r="D2064" s="69"/>
      <c r="E2064" s="68"/>
      <c r="F2064" s="71"/>
      <c r="G2064" s="72"/>
      <c r="H2064" s="73"/>
      <c r="I2064" s="74"/>
      <c r="J2064" s="74"/>
      <c r="K2064" s="74"/>
      <c r="L2064" s="74"/>
      <c r="M2064" s="74"/>
      <c r="N2064" s="74"/>
      <c r="O2064" s="82">
        <f t="shared" si="96"/>
        <v>0</v>
      </c>
      <c r="P2064" s="82">
        <f t="shared" si="97"/>
        <v>0</v>
      </c>
      <c r="Q2064" s="74"/>
      <c r="R2064" s="76"/>
      <c r="S2064" s="84">
        <f t="shared" si="98"/>
        <v>0</v>
      </c>
    </row>
    <row r="2065" spans="1:19" ht="18" customHeight="1" x14ac:dyDescent="0.25">
      <c r="A2065" s="59"/>
      <c r="B2065" s="60"/>
      <c r="C2065" s="65"/>
      <c r="D2065" s="60"/>
      <c r="E2065" s="59"/>
      <c r="F2065" s="62"/>
      <c r="G2065" s="63"/>
      <c r="H2065" s="64"/>
      <c r="I2065" s="65"/>
      <c r="J2065" s="65"/>
      <c r="K2065" s="65"/>
      <c r="L2065" s="65"/>
      <c r="M2065" s="65"/>
      <c r="N2065" s="65"/>
      <c r="O2065" s="81">
        <f t="shared" si="96"/>
        <v>0</v>
      </c>
      <c r="P2065" s="81">
        <f t="shared" si="97"/>
        <v>0</v>
      </c>
      <c r="Q2065" s="65"/>
      <c r="R2065" s="67"/>
      <c r="S2065" s="83">
        <f t="shared" si="98"/>
        <v>0</v>
      </c>
    </row>
    <row r="2066" spans="1:19" ht="18" customHeight="1" x14ac:dyDescent="0.25">
      <c r="A2066" s="68"/>
      <c r="B2066" s="69"/>
      <c r="C2066" s="74"/>
      <c r="D2066" s="69"/>
      <c r="E2066" s="68"/>
      <c r="F2066" s="71"/>
      <c r="G2066" s="72"/>
      <c r="H2066" s="73"/>
      <c r="I2066" s="74"/>
      <c r="J2066" s="74"/>
      <c r="K2066" s="74"/>
      <c r="L2066" s="74"/>
      <c r="M2066" s="74"/>
      <c r="N2066" s="74"/>
      <c r="O2066" s="82">
        <f t="shared" si="96"/>
        <v>0</v>
      </c>
      <c r="P2066" s="82">
        <f t="shared" si="97"/>
        <v>0</v>
      </c>
      <c r="Q2066" s="74"/>
      <c r="R2066" s="76"/>
      <c r="S2066" s="84">
        <f t="shared" si="98"/>
        <v>0</v>
      </c>
    </row>
    <row r="2067" spans="1:19" ht="18" customHeight="1" x14ac:dyDescent="0.25">
      <c r="A2067" s="59"/>
      <c r="B2067" s="60"/>
      <c r="C2067" s="65"/>
      <c r="D2067" s="60"/>
      <c r="E2067" s="59"/>
      <c r="F2067" s="62"/>
      <c r="G2067" s="63"/>
      <c r="H2067" s="64"/>
      <c r="I2067" s="65"/>
      <c r="J2067" s="65"/>
      <c r="K2067" s="65"/>
      <c r="L2067" s="65"/>
      <c r="M2067" s="65"/>
      <c r="N2067" s="65"/>
      <c r="O2067" s="81">
        <f t="shared" si="96"/>
        <v>0</v>
      </c>
      <c r="P2067" s="81">
        <f t="shared" si="97"/>
        <v>0</v>
      </c>
      <c r="Q2067" s="65"/>
      <c r="R2067" s="67"/>
      <c r="S2067" s="83">
        <f t="shared" si="98"/>
        <v>0</v>
      </c>
    </row>
    <row r="2068" spans="1:19" ht="18" customHeight="1" x14ac:dyDescent="0.25">
      <c r="A2068" s="68"/>
      <c r="B2068" s="69"/>
      <c r="C2068" s="74"/>
      <c r="D2068" s="69"/>
      <c r="E2068" s="68"/>
      <c r="F2068" s="71"/>
      <c r="G2068" s="72"/>
      <c r="H2068" s="73"/>
      <c r="I2068" s="74"/>
      <c r="J2068" s="74"/>
      <c r="K2068" s="74"/>
      <c r="L2068" s="74"/>
      <c r="M2068" s="74"/>
      <c r="N2068" s="74"/>
      <c r="O2068" s="82">
        <f t="shared" si="96"/>
        <v>0</v>
      </c>
      <c r="P2068" s="82">
        <f t="shared" si="97"/>
        <v>0</v>
      </c>
      <c r="Q2068" s="74"/>
      <c r="R2068" s="76"/>
      <c r="S2068" s="84">
        <f t="shared" si="98"/>
        <v>0</v>
      </c>
    </row>
    <row r="2069" spans="1:19" ht="18" customHeight="1" x14ac:dyDescent="0.25">
      <c r="A2069" s="59"/>
      <c r="B2069" s="60"/>
      <c r="C2069" s="65"/>
      <c r="D2069" s="60"/>
      <c r="E2069" s="59"/>
      <c r="F2069" s="62"/>
      <c r="G2069" s="63"/>
      <c r="H2069" s="64"/>
      <c r="I2069" s="65"/>
      <c r="J2069" s="65"/>
      <c r="K2069" s="65"/>
      <c r="L2069" s="65"/>
      <c r="M2069" s="65"/>
      <c r="N2069" s="65"/>
      <c r="O2069" s="81">
        <f t="shared" si="96"/>
        <v>0</v>
      </c>
      <c r="P2069" s="81">
        <f t="shared" si="97"/>
        <v>0</v>
      </c>
      <c r="Q2069" s="65"/>
      <c r="R2069" s="67"/>
      <c r="S2069" s="83">
        <f t="shared" si="98"/>
        <v>0</v>
      </c>
    </row>
    <row r="2070" spans="1:19" ht="18" customHeight="1" x14ac:dyDescent="0.25">
      <c r="A2070" s="68"/>
      <c r="B2070" s="69"/>
      <c r="C2070" s="74"/>
      <c r="D2070" s="69"/>
      <c r="E2070" s="68"/>
      <c r="F2070" s="71"/>
      <c r="G2070" s="72"/>
      <c r="H2070" s="73"/>
      <c r="I2070" s="74"/>
      <c r="J2070" s="74"/>
      <c r="K2070" s="74"/>
      <c r="L2070" s="74"/>
      <c r="M2070" s="74"/>
      <c r="N2070" s="74"/>
      <c r="O2070" s="82">
        <f t="shared" si="96"/>
        <v>0</v>
      </c>
      <c r="P2070" s="82">
        <f t="shared" si="97"/>
        <v>0</v>
      </c>
      <c r="Q2070" s="74"/>
      <c r="R2070" s="76"/>
      <c r="S2070" s="84">
        <f t="shared" si="98"/>
        <v>0</v>
      </c>
    </row>
    <row r="2071" spans="1:19" ht="18" customHeight="1" x14ac:dyDescent="0.25">
      <c r="A2071" s="59"/>
      <c r="B2071" s="60"/>
      <c r="C2071" s="65"/>
      <c r="D2071" s="60"/>
      <c r="E2071" s="59"/>
      <c r="F2071" s="62"/>
      <c r="G2071" s="63"/>
      <c r="H2071" s="64"/>
      <c r="I2071" s="65"/>
      <c r="J2071" s="65"/>
      <c r="K2071" s="65"/>
      <c r="L2071" s="65"/>
      <c r="M2071" s="65"/>
      <c r="N2071" s="65"/>
      <c r="O2071" s="81">
        <f t="shared" si="96"/>
        <v>0</v>
      </c>
      <c r="P2071" s="81">
        <f t="shared" si="97"/>
        <v>0</v>
      </c>
      <c r="Q2071" s="65"/>
      <c r="R2071" s="67"/>
      <c r="S2071" s="83">
        <f t="shared" si="98"/>
        <v>0</v>
      </c>
    </row>
    <row r="2072" spans="1:19" ht="18" customHeight="1" x14ac:dyDescent="0.25">
      <c r="A2072" s="68"/>
      <c r="B2072" s="69"/>
      <c r="C2072" s="74"/>
      <c r="D2072" s="69"/>
      <c r="E2072" s="68"/>
      <c r="F2072" s="71"/>
      <c r="G2072" s="72"/>
      <c r="H2072" s="73"/>
      <c r="I2072" s="74"/>
      <c r="J2072" s="74"/>
      <c r="K2072" s="74"/>
      <c r="L2072" s="74"/>
      <c r="M2072" s="74"/>
      <c r="N2072" s="74"/>
      <c r="O2072" s="82">
        <f t="shared" si="96"/>
        <v>0</v>
      </c>
      <c r="P2072" s="82">
        <f t="shared" si="97"/>
        <v>0</v>
      </c>
      <c r="Q2072" s="74"/>
      <c r="R2072" s="76"/>
      <c r="S2072" s="84">
        <f t="shared" si="98"/>
        <v>0</v>
      </c>
    </row>
    <row r="2073" spans="1:19" ht="18" customHeight="1" x14ac:dyDescent="0.25">
      <c r="A2073" s="59"/>
      <c r="B2073" s="60"/>
      <c r="C2073" s="65"/>
      <c r="D2073" s="60"/>
      <c r="E2073" s="59"/>
      <c r="F2073" s="62"/>
      <c r="G2073" s="63"/>
      <c r="H2073" s="64"/>
      <c r="I2073" s="65"/>
      <c r="J2073" s="65"/>
      <c r="K2073" s="65"/>
      <c r="L2073" s="65"/>
      <c r="M2073" s="65"/>
      <c r="N2073" s="65"/>
      <c r="O2073" s="81">
        <f t="shared" si="96"/>
        <v>0</v>
      </c>
      <c r="P2073" s="81">
        <f t="shared" si="97"/>
        <v>0</v>
      </c>
      <c r="Q2073" s="65"/>
      <c r="R2073" s="67"/>
      <c r="S2073" s="83">
        <f t="shared" si="98"/>
        <v>0</v>
      </c>
    </row>
    <row r="2074" spans="1:19" ht="18" customHeight="1" x14ac:dyDescent="0.25">
      <c r="A2074" s="68"/>
      <c r="B2074" s="69"/>
      <c r="C2074" s="74"/>
      <c r="D2074" s="69"/>
      <c r="E2074" s="68"/>
      <c r="F2074" s="71"/>
      <c r="G2074" s="72"/>
      <c r="H2074" s="73"/>
      <c r="I2074" s="74"/>
      <c r="J2074" s="74"/>
      <c r="K2074" s="74"/>
      <c r="L2074" s="74"/>
      <c r="M2074" s="74"/>
      <c r="N2074" s="74"/>
      <c r="O2074" s="82">
        <f t="shared" si="96"/>
        <v>0</v>
      </c>
      <c r="P2074" s="82">
        <f t="shared" si="97"/>
        <v>0</v>
      </c>
      <c r="Q2074" s="74"/>
      <c r="R2074" s="76"/>
      <c r="S2074" s="84">
        <f t="shared" si="98"/>
        <v>0</v>
      </c>
    </row>
    <row r="2075" spans="1:19" ht="18" customHeight="1" x14ac:dyDescent="0.25">
      <c r="A2075" s="59"/>
      <c r="B2075" s="60"/>
      <c r="C2075" s="65"/>
      <c r="D2075" s="60"/>
      <c r="E2075" s="59"/>
      <c r="F2075" s="62"/>
      <c r="G2075" s="63"/>
      <c r="H2075" s="64"/>
      <c r="I2075" s="65"/>
      <c r="J2075" s="65"/>
      <c r="K2075" s="65"/>
      <c r="L2075" s="65"/>
      <c r="M2075" s="65"/>
      <c r="N2075" s="65"/>
      <c r="O2075" s="81">
        <f t="shared" si="96"/>
        <v>0</v>
      </c>
      <c r="P2075" s="81">
        <f t="shared" si="97"/>
        <v>0</v>
      </c>
      <c r="Q2075" s="65"/>
      <c r="R2075" s="67"/>
      <c r="S2075" s="83">
        <f t="shared" si="98"/>
        <v>0</v>
      </c>
    </row>
    <row r="2076" spans="1:19" ht="18" customHeight="1" x14ac:dyDescent="0.25">
      <c r="A2076" s="68"/>
      <c r="B2076" s="69"/>
      <c r="C2076" s="74"/>
      <c r="D2076" s="69"/>
      <c r="E2076" s="68"/>
      <c r="F2076" s="71"/>
      <c r="G2076" s="72"/>
      <c r="H2076" s="73"/>
      <c r="I2076" s="74"/>
      <c r="J2076" s="74"/>
      <c r="K2076" s="74"/>
      <c r="L2076" s="74"/>
      <c r="M2076" s="74"/>
      <c r="N2076" s="74"/>
      <c r="O2076" s="82">
        <f t="shared" si="96"/>
        <v>0</v>
      </c>
      <c r="P2076" s="82">
        <f t="shared" si="97"/>
        <v>0</v>
      </c>
      <c r="Q2076" s="74"/>
      <c r="R2076" s="76"/>
      <c r="S2076" s="84">
        <f t="shared" si="98"/>
        <v>0</v>
      </c>
    </row>
    <row r="2077" spans="1:19" ht="18" customHeight="1" x14ac:dyDescent="0.25">
      <c r="A2077" s="59"/>
      <c r="B2077" s="60"/>
      <c r="C2077" s="65"/>
      <c r="D2077" s="60"/>
      <c r="E2077" s="59"/>
      <c r="F2077" s="62"/>
      <c r="G2077" s="63"/>
      <c r="H2077" s="64"/>
      <c r="I2077" s="65"/>
      <c r="J2077" s="65"/>
      <c r="K2077" s="65"/>
      <c r="L2077" s="65"/>
      <c r="M2077" s="65"/>
      <c r="N2077" s="65"/>
      <c r="O2077" s="81">
        <f t="shared" si="96"/>
        <v>0</v>
      </c>
      <c r="P2077" s="81">
        <f t="shared" si="97"/>
        <v>0</v>
      </c>
      <c r="Q2077" s="65"/>
      <c r="R2077" s="67"/>
      <c r="S2077" s="83">
        <f t="shared" si="98"/>
        <v>0</v>
      </c>
    </row>
    <row r="2078" spans="1:19" ht="18" customHeight="1" x14ac:dyDescent="0.25">
      <c r="A2078" s="68"/>
      <c r="B2078" s="69"/>
      <c r="C2078" s="74"/>
      <c r="D2078" s="69"/>
      <c r="E2078" s="68"/>
      <c r="F2078" s="71"/>
      <c r="G2078" s="72"/>
      <c r="H2078" s="73"/>
      <c r="I2078" s="74"/>
      <c r="J2078" s="74"/>
      <c r="K2078" s="74"/>
      <c r="L2078" s="74"/>
      <c r="M2078" s="74"/>
      <c r="N2078" s="74"/>
      <c r="O2078" s="82">
        <f t="shared" si="96"/>
        <v>0</v>
      </c>
      <c r="P2078" s="82">
        <f t="shared" si="97"/>
        <v>0</v>
      </c>
      <c r="Q2078" s="74"/>
      <c r="R2078" s="76"/>
      <c r="S2078" s="84">
        <f t="shared" si="98"/>
        <v>0</v>
      </c>
    </row>
    <row r="2079" spans="1:19" ht="18" customHeight="1" x14ac:dyDescent="0.25">
      <c r="A2079" s="59"/>
      <c r="B2079" s="60"/>
      <c r="C2079" s="65"/>
      <c r="D2079" s="60"/>
      <c r="E2079" s="59"/>
      <c r="F2079" s="62"/>
      <c r="G2079" s="63"/>
      <c r="H2079" s="64"/>
      <c r="I2079" s="65"/>
      <c r="J2079" s="65"/>
      <c r="K2079" s="65"/>
      <c r="L2079" s="65"/>
      <c r="M2079" s="65"/>
      <c r="N2079" s="65"/>
      <c r="O2079" s="81">
        <f t="shared" si="96"/>
        <v>0</v>
      </c>
      <c r="P2079" s="81">
        <f t="shared" si="97"/>
        <v>0</v>
      </c>
      <c r="Q2079" s="65"/>
      <c r="R2079" s="67"/>
      <c r="S2079" s="83">
        <f t="shared" si="98"/>
        <v>0</v>
      </c>
    </row>
    <row r="2080" spans="1:19" ht="18" customHeight="1" x14ac:dyDescent="0.25">
      <c r="A2080" s="68"/>
      <c r="B2080" s="69"/>
      <c r="C2080" s="74"/>
      <c r="D2080" s="69"/>
      <c r="E2080" s="68"/>
      <c r="F2080" s="71"/>
      <c r="G2080" s="72"/>
      <c r="H2080" s="73"/>
      <c r="I2080" s="74"/>
      <c r="J2080" s="74"/>
      <c r="K2080" s="74"/>
      <c r="L2080" s="74"/>
      <c r="M2080" s="74"/>
      <c r="N2080" s="74"/>
      <c r="O2080" s="82">
        <f t="shared" si="96"/>
        <v>0</v>
      </c>
      <c r="P2080" s="82">
        <f t="shared" si="97"/>
        <v>0</v>
      </c>
      <c r="Q2080" s="74"/>
      <c r="R2080" s="76"/>
      <c r="S2080" s="84">
        <f t="shared" si="98"/>
        <v>0</v>
      </c>
    </row>
    <row r="2081" spans="1:19" ht="18" customHeight="1" x14ac:dyDescent="0.25">
      <c r="A2081" s="59"/>
      <c r="B2081" s="60"/>
      <c r="C2081" s="65"/>
      <c r="D2081" s="60"/>
      <c r="E2081" s="59"/>
      <c r="F2081" s="62"/>
      <c r="G2081" s="63"/>
      <c r="H2081" s="64"/>
      <c r="I2081" s="65"/>
      <c r="J2081" s="65"/>
      <c r="K2081" s="65"/>
      <c r="L2081" s="65"/>
      <c r="M2081" s="65"/>
      <c r="N2081" s="65"/>
      <c r="O2081" s="81">
        <f t="shared" si="96"/>
        <v>0</v>
      </c>
      <c r="P2081" s="81">
        <f t="shared" si="97"/>
        <v>0</v>
      </c>
      <c r="Q2081" s="65"/>
      <c r="R2081" s="67"/>
      <c r="S2081" s="83">
        <f t="shared" si="98"/>
        <v>0</v>
      </c>
    </row>
    <row r="2082" spans="1:19" ht="18" customHeight="1" x14ac:dyDescent="0.25">
      <c r="A2082" s="68"/>
      <c r="B2082" s="69"/>
      <c r="C2082" s="74"/>
      <c r="D2082" s="69"/>
      <c r="E2082" s="68"/>
      <c r="F2082" s="71"/>
      <c r="G2082" s="72"/>
      <c r="H2082" s="73"/>
      <c r="I2082" s="74"/>
      <c r="J2082" s="74"/>
      <c r="K2082" s="74"/>
      <c r="L2082" s="74"/>
      <c r="M2082" s="74"/>
      <c r="N2082" s="74"/>
      <c r="O2082" s="82">
        <f t="shared" si="96"/>
        <v>0</v>
      </c>
      <c r="P2082" s="82">
        <f t="shared" si="97"/>
        <v>0</v>
      </c>
      <c r="Q2082" s="74"/>
      <c r="R2082" s="76"/>
      <c r="S2082" s="84">
        <f t="shared" si="98"/>
        <v>0</v>
      </c>
    </row>
    <row r="2083" spans="1:19" ht="18" customHeight="1" x14ac:dyDescent="0.25">
      <c r="A2083" s="59"/>
      <c r="B2083" s="60"/>
      <c r="C2083" s="65"/>
      <c r="D2083" s="60"/>
      <c r="E2083" s="59"/>
      <c r="F2083" s="62"/>
      <c r="G2083" s="63"/>
      <c r="H2083" s="64"/>
      <c r="I2083" s="65"/>
      <c r="J2083" s="65"/>
      <c r="K2083" s="65"/>
      <c r="L2083" s="65"/>
      <c r="M2083" s="65"/>
      <c r="N2083" s="65"/>
      <c r="O2083" s="81">
        <f t="shared" si="96"/>
        <v>0</v>
      </c>
      <c r="P2083" s="81">
        <f t="shared" si="97"/>
        <v>0</v>
      </c>
      <c r="Q2083" s="65"/>
      <c r="R2083" s="67"/>
      <c r="S2083" s="83">
        <f t="shared" si="98"/>
        <v>0</v>
      </c>
    </row>
    <row r="2084" spans="1:19" ht="18" customHeight="1" x14ac:dyDescent="0.25">
      <c r="A2084" s="68"/>
      <c r="B2084" s="69"/>
      <c r="C2084" s="74"/>
      <c r="D2084" s="69"/>
      <c r="E2084" s="68"/>
      <c r="F2084" s="71"/>
      <c r="G2084" s="72"/>
      <c r="H2084" s="73"/>
      <c r="I2084" s="74"/>
      <c r="J2084" s="74"/>
      <c r="K2084" s="74"/>
      <c r="L2084" s="74"/>
      <c r="M2084" s="74"/>
      <c r="N2084" s="74"/>
      <c r="O2084" s="82">
        <f t="shared" si="96"/>
        <v>0</v>
      </c>
      <c r="P2084" s="82">
        <f t="shared" si="97"/>
        <v>0</v>
      </c>
      <c r="Q2084" s="74"/>
      <c r="R2084" s="76"/>
      <c r="S2084" s="84">
        <f t="shared" si="98"/>
        <v>0</v>
      </c>
    </row>
    <row r="2085" spans="1:19" ht="18" customHeight="1" x14ac:dyDescent="0.25">
      <c r="A2085" s="59"/>
      <c r="B2085" s="60"/>
      <c r="C2085" s="65"/>
      <c r="D2085" s="60"/>
      <c r="E2085" s="59"/>
      <c r="F2085" s="62"/>
      <c r="G2085" s="63"/>
      <c r="H2085" s="64"/>
      <c r="I2085" s="65"/>
      <c r="J2085" s="65"/>
      <c r="K2085" s="65"/>
      <c r="L2085" s="65"/>
      <c r="M2085" s="65"/>
      <c r="N2085" s="65"/>
      <c r="O2085" s="81">
        <f t="shared" si="96"/>
        <v>0</v>
      </c>
      <c r="P2085" s="81">
        <f t="shared" si="97"/>
        <v>0</v>
      </c>
      <c r="Q2085" s="65"/>
      <c r="R2085" s="67"/>
      <c r="S2085" s="83">
        <f t="shared" si="98"/>
        <v>0</v>
      </c>
    </row>
    <row r="2086" spans="1:19" ht="18" customHeight="1" x14ac:dyDescent="0.25">
      <c r="A2086" s="68"/>
      <c r="B2086" s="69"/>
      <c r="C2086" s="74"/>
      <c r="D2086" s="69"/>
      <c r="E2086" s="68"/>
      <c r="F2086" s="71"/>
      <c r="G2086" s="72"/>
      <c r="H2086" s="73"/>
      <c r="I2086" s="74"/>
      <c r="J2086" s="74"/>
      <c r="K2086" s="74"/>
      <c r="L2086" s="74"/>
      <c r="M2086" s="74"/>
      <c r="N2086" s="74"/>
      <c r="O2086" s="82">
        <f t="shared" si="96"/>
        <v>0</v>
      </c>
      <c r="P2086" s="82">
        <f t="shared" si="97"/>
        <v>0</v>
      </c>
      <c r="Q2086" s="74"/>
      <c r="R2086" s="76"/>
      <c r="S2086" s="84">
        <f t="shared" si="98"/>
        <v>0</v>
      </c>
    </row>
    <row r="2087" spans="1:19" ht="18" customHeight="1" x14ac:dyDescent="0.25">
      <c r="A2087" s="59"/>
      <c r="B2087" s="60"/>
      <c r="C2087" s="65"/>
      <c r="D2087" s="60"/>
      <c r="E2087" s="59"/>
      <c r="F2087" s="62"/>
      <c r="G2087" s="63"/>
      <c r="H2087" s="64"/>
      <c r="I2087" s="65"/>
      <c r="J2087" s="65"/>
      <c r="K2087" s="65"/>
      <c r="L2087" s="65"/>
      <c r="M2087" s="65"/>
      <c r="N2087" s="65"/>
      <c r="O2087" s="81">
        <f t="shared" si="96"/>
        <v>0</v>
      </c>
      <c r="P2087" s="81">
        <f t="shared" si="97"/>
        <v>0</v>
      </c>
      <c r="Q2087" s="65"/>
      <c r="R2087" s="67"/>
      <c r="S2087" s="83">
        <f t="shared" si="98"/>
        <v>0</v>
      </c>
    </row>
    <row r="2088" spans="1:19" ht="18" customHeight="1" x14ac:dyDescent="0.25">
      <c r="A2088" s="68"/>
      <c r="B2088" s="69"/>
      <c r="C2088" s="74"/>
      <c r="D2088" s="69"/>
      <c r="E2088" s="68"/>
      <c r="F2088" s="71"/>
      <c r="G2088" s="72"/>
      <c r="H2088" s="73"/>
      <c r="I2088" s="74"/>
      <c r="J2088" s="74"/>
      <c r="K2088" s="74"/>
      <c r="L2088" s="74"/>
      <c r="M2088" s="74"/>
      <c r="N2088" s="74"/>
      <c r="O2088" s="82">
        <f t="shared" si="96"/>
        <v>0</v>
      </c>
      <c r="P2088" s="82">
        <f t="shared" si="97"/>
        <v>0</v>
      </c>
      <c r="Q2088" s="74"/>
      <c r="R2088" s="76"/>
      <c r="S2088" s="84">
        <f t="shared" si="98"/>
        <v>0</v>
      </c>
    </row>
    <row r="2089" spans="1:19" ht="18" customHeight="1" x14ac:dyDescent="0.25">
      <c r="A2089" s="59"/>
      <c r="B2089" s="60"/>
      <c r="C2089" s="65"/>
      <c r="D2089" s="60"/>
      <c r="E2089" s="59"/>
      <c r="F2089" s="62"/>
      <c r="G2089" s="63"/>
      <c r="H2089" s="64"/>
      <c r="I2089" s="65"/>
      <c r="J2089" s="65"/>
      <c r="K2089" s="65"/>
      <c r="L2089" s="65"/>
      <c r="M2089" s="65"/>
      <c r="N2089" s="65"/>
      <c r="O2089" s="81">
        <f t="shared" si="96"/>
        <v>0</v>
      </c>
      <c r="P2089" s="81">
        <f t="shared" si="97"/>
        <v>0</v>
      </c>
      <c r="Q2089" s="65"/>
      <c r="R2089" s="67"/>
      <c r="S2089" s="83">
        <f t="shared" si="98"/>
        <v>0</v>
      </c>
    </row>
    <row r="2090" spans="1:19" ht="18" customHeight="1" x14ac:dyDescent="0.25">
      <c r="A2090" s="68"/>
      <c r="B2090" s="69"/>
      <c r="C2090" s="74"/>
      <c r="D2090" s="69"/>
      <c r="E2090" s="68"/>
      <c r="F2090" s="71"/>
      <c r="G2090" s="72"/>
      <c r="H2090" s="73"/>
      <c r="I2090" s="74"/>
      <c r="J2090" s="74"/>
      <c r="K2090" s="74"/>
      <c r="L2090" s="74"/>
      <c r="M2090" s="74"/>
      <c r="N2090" s="74"/>
      <c r="O2090" s="82">
        <f t="shared" si="96"/>
        <v>0</v>
      </c>
      <c r="P2090" s="82">
        <f t="shared" si="97"/>
        <v>0</v>
      </c>
      <c r="Q2090" s="74"/>
      <c r="R2090" s="76"/>
      <c r="S2090" s="84">
        <f t="shared" si="98"/>
        <v>0</v>
      </c>
    </row>
    <row r="2091" spans="1:19" ht="18" customHeight="1" x14ac:dyDescent="0.25">
      <c r="A2091" s="59"/>
      <c r="B2091" s="60"/>
      <c r="C2091" s="65"/>
      <c r="D2091" s="60"/>
      <c r="E2091" s="59"/>
      <c r="F2091" s="62"/>
      <c r="G2091" s="63"/>
      <c r="H2091" s="64"/>
      <c r="I2091" s="65"/>
      <c r="J2091" s="65"/>
      <c r="K2091" s="65"/>
      <c r="L2091" s="65"/>
      <c r="M2091" s="65"/>
      <c r="N2091" s="65"/>
      <c r="O2091" s="81">
        <f t="shared" si="96"/>
        <v>0</v>
      </c>
      <c r="P2091" s="81">
        <f t="shared" si="97"/>
        <v>0</v>
      </c>
      <c r="Q2091" s="65"/>
      <c r="R2091" s="67"/>
      <c r="S2091" s="83">
        <f t="shared" si="98"/>
        <v>0</v>
      </c>
    </row>
    <row r="2092" spans="1:19" ht="18" customHeight="1" x14ac:dyDescent="0.25">
      <c r="A2092" s="68"/>
      <c r="B2092" s="69"/>
      <c r="C2092" s="74"/>
      <c r="D2092" s="69"/>
      <c r="E2092" s="68"/>
      <c r="F2092" s="71"/>
      <c r="G2092" s="72"/>
      <c r="H2092" s="73"/>
      <c r="I2092" s="74"/>
      <c r="J2092" s="74"/>
      <c r="K2092" s="74"/>
      <c r="L2092" s="74"/>
      <c r="M2092" s="74"/>
      <c r="N2092" s="74"/>
      <c r="O2092" s="82">
        <f t="shared" si="96"/>
        <v>0</v>
      </c>
      <c r="P2092" s="82">
        <f t="shared" si="97"/>
        <v>0</v>
      </c>
      <c r="Q2092" s="74"/>
      <c r="R2092" s="76"/>
      <c r="S2092" s="84">
        <f t="shared" si="98"/>
        <v>0</v>
      </c>
    </row>
    <row r="2093" spans="1:19" ht="18" customHeight="1" x14ac:dyDescent="0.25">
      <c r="A2093" s="59"/>
      <c r="B2093" s="60"/>
      <c r="C2093" s="65"/>
      <c r="D2093" s="60"/>
      <c r="E2093" s="59"/>
      <c r="F2093" s="62"/>
      <c r="G2093" s="63"/>
      <c r="H2093" s="64"/>
      <c r="I2093" s="65"/>
      <c r="J2093" s="65"/>
      <c r="K2093" s="65"/>
      <c r="L2093" s="65"/>
      <c r="M2093" s="65"/>
      <c r="N2093" s="65"/>
      <c r="O2093" s="81">
        <f t="shared" si="96"/>
        <v>0</v>
      </c>
      <c r="P2093" s="81">
        <f t="shared" si="97"/>
        <v>0</v>
      </c>
      <c r="Q2093" s="65"/>
      <c r="R2093" s="67"/>
      <c r="S2093" s="83">
        <f t="shared" si="98"/>
        <v>0</v>
      </c>
    </row>
    <row r="2094" spans="1:19" ht="18" customHeight="1" x14ac:dyDescent="0.25">
      <c r="A2094" s="68"/>
      <c r="B2094" s="69"/>
      <c r="C2094" s="74"/>
      <c r="D2094" s="69"/>
      <c r="E2094" s="68"/>
      <c r="F2094" s="71"/>
      <c r="G2094" s="72"/>
      <c r="H2094" s="73"/>
      <c r="I2094" s="74"/>
      <c r="J2094" s="74"/>
      <c r="K2094" s="74"/>
      <c r="L2094" s="74"/>
      <c r="M2094" s="74"/>
      <c r="N2094" s="74"/>
      <c r="O2094" s="82">
        <f t="shared" si="96"/>
        <v>0</v>
      </c>
      <c r="P2094" s="82">
        <f t="shared" si="97"/>
        <v>0</v>
      </c>
      <c r="Q2094" s="74"/>
      <c r="R2094" s="76"/>
      <c r="S2094" s="84">
        <f t="shared" si="98"/>
        <v>0</v>
      </c>
    </row>
    <row r="2095" spans="1:19" ht="18" customHeight="1" x14ac:dyDescent="0.25">
      <c r="A2095" s="59"/>
      <c r="B2095" s="60"/>
      <c r="C2095" s="65"/>
      <c r="D2095" s="60"/>
      <c r="E2095" s="59"/>
      <c r="F2095" s="62"/>
      <c r="G2095" s="63"/>
      <c r="H2095" s="64"/>
      <c r="I2095" s="65"/>
      <c r="J2095" s="65"/>
      <c r="K2095" s="65"/>
      <c r="L2095" s="65"/>
      <c r="M2095" s="65"/>
      <c r="N2095" s="65"/>
      <c r="O2095" s="81">
        <f t="shared" si="96"/>
        <v>0</v>
      </c>
      <c r="P2095" s="81">
        <f t="shared" si="97"/>
        <v>0</v>
      </c>
      <c r="Q2095" s="65"/>
      <c r="R2095" s="67"/>
      <c r="S2095" s="83">
        <f t="shared" si="98"/>
        <v>0</v>
      </c>
    </row>
    <row r="2096" spans="1:19" ht="18" customHeight="1" x14ac:dyDescent="0.25">
      <c r="A2096" s="68"/>
      <c r="B2096" s="69"/>
      <c r="C2096" s="74"/>
      <c r="D2096" s="69"/>
      <c r="E2096" s="68"/>
      <c r="F2096" s="71"/>
      <c r="G2096" s="72"/>
      <c r="H2096" s="73"/>
      <c r="I2096" s="74"/>
      <c r="J2096" s="74"/>
      <c r="K2096" s="74"/>
      <c r="L2096" s="74"/>
      <c r="M2096" s="74"/>
      <c r="N2096" s="74"/>
      <c r="O2096" s="82">
        <f t="shared" si="96"/>
        <v>0</v>
      </c>
      <c r="P2096" s="82">
        <f t="shared" si="97"/>
        <v>0</v>
      </c>
      <c r="Q2096" s="74"/>
      <c r="R2096" s="76"/>
      <c r="S2096" s="84">
        <f t="shared" si="98"/>
        <v>0</v>
      </c>
    </row>
    <row r="2097" spans="1:19" ht="18" customHeight="1" x14ac:dyDescent="0.25">
      <c r="A2097" s="59"/>
      <c r="B2097" s="60"/>
      <c r="C2097" s="65"/>
      <c r="D2097" s="60"/>
      <c r="E2097" s="59"/>
      <c r="F2097" s="62"/>
      <c r="G2097" s="63"/>
      <c r="H2097" s="64"/>
      <c r="I2097" s="65"/>
      <c r="J2097" s="65"/>
      <c r="K2097" s="65"/>
      <c r="L2097" s="65"/>
      <c r="M2097" s="65"/>
      <c r="N2097" s="65"/>
      <c r="O2097" s="81">
        <f t="shared" si="96"/>
        <v>0</v>
      </c>
      <c r="P2097" s="81">
        <f t="shared" si="97"/>
        <v>0</v>
      </c>
      <c r="Q2097" s="65"/>
      <c r="R2097" s="67"/>
      <c r="S2097" s="83">
        <f t="shared" si="98"/>
        <v>0</v>
      </c>
    </row>
    <row r="2098" spans="1:19" ht="18" customHeight="1" x14ac:dyDescent="0.25">
      <c r="A2098" s="68"/>
      <c r="B2098" s="69"/>
      <c r="C2098" s="74"/>
      <c r="D2098" s="69"/>
      <c r="E2098" s="68"/>
      <c r="F2098" s="71"/>
      <c r="G2098" s="72"/>
      <c r="H2098" s="73"/>
      <c r="I2098" s="74"/>
      <c r="J2098" s="74"/>
      <c r="K2098" s="74"/>
      <c r="L2098" s="74"/>
      <c r="M2098" s="74"/>
      <c r="N2098" s="74"/>
      <c r="O2098" s="82">
        <f t="shared" si="96"/>
        <v>0</v>
      </c>
      <c r="P2098" s="82">
        <f t="shared" si="97"/>
        <v>0</v>
      </c>
      <c r="Q2098" s="74"/>
      <c r="R2098" s="76"/>
      <c r="S2098" s="84">
        <f t="shared" si="98"/>
        <v>0</v>
      </c>
    </row>
    <row r="2099" spans="1:19" ht="18" customHeight="1" x14ac:dyDescent="0.25">
      <c r="A2099" s="59"/>
      <c r="B2099" s="60"/>
      <c r="C2099" s="65"/>
      <c r="D2099" s="60"/>
      <c r="E2099" s="59"/>
      <c r="F2099" s="62"/>
      <c r="G2099" s="63"/>
      <c r="H2099" s="64"/>
      <c r="I2099" s="65"/>
      <c r="J2099" s="65"/>
      <c r="K2099" s="65"/>
      <c r="L2099" s="65"/>
      <c r="M2099" s="65"/>
      <c r="N2099" s="65"/>
      <c r="O2099" s="81">
        <f t="shared" si="96"/>
        <v>0</v>
      </c>
      <c r="P2099" s="81">
        <f t="shared" si="97"/>
        <v>0</v>
      </c>
      <c r="Q2099" s="65"/>
      <c r="R2099" s="67"/>
      <c r="S2099" s="83">
        <f t="shared" si="98"/>
        <v>0</v>
      </c>
    </row>
    <row r="2100" spans="1:19" ht="18" customHeight="1" x14ac:dyDescent="0.25">
      <c r="A2100" s="68"/>
      <c r="B2100" s="69"/>
      <c r="C2100" s="74"/>
      <c r="D2100" s="69"/>
      <c r="E2100" s="68"/>
      <c r="F2100" s="71"/>
      <c r="G2100" s="72"/>
      <c r="H2100" s="73"/>
      <c r="I2100" s="74"/>
      <c r="J2100" s="74"/>
      <c r="K2100" s="74"/>
      <c r="L2100" s="74"/>
      <c r="M2100" s="74"/>
      <c r="N2100" s="74"/>
      <c r="O2100" s="82">
        <f t="shared" si="96"/>
        <v>0</v>
      </c>
      <c r="P2100" s="82">
        <f t="shared" si="97"/>
        <v>0</v>
      </c>
      <c r="Q2100" s="74"/>
      <c r="R2100" s="76"/>
      <c r="S2100" s="84">
        <f t="shared" si="98"/>
        <v>0</v>
      </c>
    </row>
    <row r="2101" spans="1:19" ht="18" customHeight="1" x14ac:dyDescent="0.25">
      <c r="A2101" s="59"/>
      <c r="B2101" s="60"/>
      <c r="C2101" s="65"/>
      <c r="D2101" s="60"/>
      <c r="E2101" s="59"/>
      <c r="F2101" s="62"/>
      <c r="G2101" s="63"/>
      <c r="H2101" s="64"/>
      <c r="I2101" s="65"/>
      <c r="J2101" s="65"/>
      <c r="K2101" s="65"/>
      <c r="L2101" s="65"/>
      <c r="M2101" s="65"/>
      <c r="N2101" s="65"/>
      <c r="O2101" s="81">
        <f t="shared" si="96"/>
        <v>0</v>
      </c>
      <c r="P2101" s="81">
        <f t="shared" si="97"/>
        <v>0</v>
      </c>
      <c r="Q2101" s="65"/>
      <c r="R2101" s="67"/>
      <c r="S2101" s="83">
        <f t="shared" si="98"/>
        <v>0</v>
      </c>
    </row>
    <row r="2102" spans="1:19" ht="18" customHeight="1" x14ac:dyDescent="0.25">
      <c r="A2102" s="68"/>
      <c r="B2102" s="69"/>
      <c r="C2102" s="74"/>
      <c r="D2102" s="69"/>
      <c r="E2102" s="68"/>
      <c r="F2102" s="71"/>
      <c r="G2102" s="72"/>
      <c r="H2102" s="73"/>
      <c r="I2102" s="74"/>
      <c r="J2102" s="74"/>
      <c r="K2102" s="74"/>
      <c r="L2102" s="74"/>
      <c r="M2102" s="74"/>
      <c r="N2102" s="74"/>
      <c r="O2102" s="82">
        <f t="shared" si="96"/>
        <v>0</v>
      </c>
      <c r="P2102" s="82">
        <f t="shared" si="97"/>
        <v>0</v>
      </c>
      <c r="Q2102" s="74"/>
      <c r="R2102" s="76"/>
      <c r="S2102" s="84">
        <f t="shared" si="98"/>
        <v>0</v>
      </c>
    </row>
    <row r="2103" spans="1:19" ht="18" customHeight="1" x14ac:dyDescent="0.25">
      <c r="A2103" s="59"/>
      <c r="B2103" s="60"/>
      <c r="C2103" s="65"/>
      <c r="D2103" s="60"/>
      <c r="E2103" s="59"/>
      <c r="F2103" s="62"/>
      <c r="G2103" s="63"/>
      <c r="H2103" s="64"/>
      <c r="I2103" s="65"/>
      <c r="J2103" s="65"/>
      <c r="K2103" s="65"/>
      <c r="L2103" s="65"/>
      <c r="M2103" s="65"/>
      <c r="N2103" s="65"/>
      <c r="O2103" s="81">
        <f t="shared" si="96"/>
        <v>0</v>
      </c>
      <c r="P2103" s="81">
        <f t="shared" si="97"/>
        <v>0</v>
      </c>
      <c r="Q2103" s="65"/>
      <c r="R2103" s="67"/>
      <c r="S2103" s="83">
        <f t="shared" si="98"/>
        <v>0</v>
      </c>
    </row>
    <row r="2104" spans="1:19" ht="18" customHeight="1" x14ac:dyDescent="0.25">
      <c r="A2104" s="68"/>
      <c r="B2104" s="69"/>
      <c r="C2104" s="74"/>
      <c r="D2104" s="69"/>
      <c r="E2104" s="68"/>
      <c r="F2104" s="71"/>
      <c r="G2104" s="72"/>
      <c r="H2104" s="73"/>
      <c r="I2104" s="74"/>
      <c r="J2104" s="74"/>
      <c r="K2104" s="74"/>
      <c r="L2104" s="74"/>
      <c r="M2104" s="74"/>
      <c r="N2104" s="74"/>
      <c r="O2104" s="82">
        <f t="shared" si="96"/>
        <v>0</v>
      </c>
      <c r="P2104" s="82">
        <f t="shared" si="97"/>
        <v>0</v>
      </c>
      <c r="Q2104" s="74"/>
      <c r="R2104" s="76"/>
      <c r="S2104" s="84">
        <f t="shared" si="98"/>
        <v>0</v>
      </c>
    </row>
    <row r="2105" spans="1:19" ht="18" customHeight="1" x14ac:dyDescent="0.25">
      <c r="A2105" s="59"/>
      <c r="B2105" s="60"/>
      <c r="C2105" s="65"/>
      <c r="D2105" s="60"/>
      <c r="E2105" s="59"/>
      <c r="F2105" s="62"/>
      <c r="G2105" s="63"/>
      <c r="H2105" s="64"/>
      <c r="I2105" s="65"/>
      <c r="J2105" s="65"/>
      <c r="K2105" s="65"/>
      <c r="L2105" s="65"/>
      <c r="M2105" s="65"/>
      <c r="N2105" s="65"/>
      <c r="O2105" s="81">
        <f t="shared" si="96"/>
        <v>0</v>
      </c>
      <c r="P2105" s="81">
        <f t="shared" si="97"/>
        <v>0</v>
      </c>
      <c r="Q2105" s="65"/>
      <c r="R2105" s="67"/>
      <c r="S2105" s="83">
        <f t="shared" si="98"/>
        <v>0</v>
      </c>
    </row>
    <row r="2106" spans="1:19" ht="18" customHeight="1" x14ac:dyDescent="0.25">
      <c r="A2106" s="68"/>
      <c r="B2106" s="69"/>
      <c r="C2106" s="74"/>
      <c r="D2106" s="69"/>
      <c r="E2106" s="68"/>
      <c r="F2106" s="71"/>
      <c r="G2106" s="72"/>
      <c r="H2106" s="73"/>
      <c r="I2106" s="74"/>
      <c r="J2106" s="74"/>
      <c r="K2106" s="74"/>
      <c r="L2106" s="74"/>
      <c r="M2106" s="74"/>
      <c r="N2106" s="74"/>
      <c r="O2106" s="82">
        <f t="shared" si="96"/>
        <v>0</v>
      </c>
      <c r="P2106" s="82">
        <f t="shared" si="97"/>
        <v>0</v>
      </c>
      <c r="Q2106" s="74"/>
      <c r="R2106" s="76"/>
      <c r="S2106" s="84">
        <f t="shared" si="98"/>
        <v>0</v>
      </c>
    </row>
    <row r="2107" spans="1:19" ht="18" customHeight="1" x14ac:dyDescent="0.25">
      <c r="A2107" s="59"/>
      <c r="B2107" s="60"/>
      <c r="C2107" s="65"/>
      <c r="D2107" s="60"/>
      <c r="E2107" s="59"/>
      <c r="F2107" s="62"/>
      <c r="G2107" s="63"/>
      <c r="H2107" s="64"/>
      <c r="I2107" s="65"/>
      <c r="J2107" s="65"/>
      <c r="K2107" s="65"/>
      <c r="L2107" s="65"/>
      <c r="M2107" s="65"/>
      <c r="N2107" s="65"/>
      <c r="O2107" s="81">
        <f t="shared" si="96"/>
        <v>0</v>
      </c>
      <c r="P2107" s="81">
        <f t="shared" si="97"/>
        <v>0</v>
      </c>
      <c r="Q2107" s="65"/>
      <c r="R2107" s="67"/>
      <c r="S2107" s="83">
        <f t="shared" si="98"/>
        <v>0</v>
      </c>
    </row>
    <row r="2108" spans="1:19" ht="18" customHeight="1" x14ac:dyDescent="0.25">
      <c r="A2108" s="68"/>
      <c r="B2108" s="69"/>
      <c r="C2108" s="74"/>
      <c r="D2108" s="69"/>
      <c r="E2108" s="68"/>
      <c r="F2108" s="71"/>
      <c r="G2108" s="72"/>
      <c r="H2108" s="73"/>
      <c r="I2108" s="74"/>
      <c r="J2108" s="74"/>
      <c r="K2108" s="74"/>
      <c r="L2108" s="74"/>
      <c r="M2108" s="74"/>
      <c r="N2108" s="74"/>
      <c r="O2108" s="82">
        <f t="shared" si="96"/>
        <v>0</v>
      </c>
      <c r="P2108" s="82">
        <f t="shared" si="97"/>
        <v>0</v>
      </c>
      <c r="Q2108" s="74"/>
      <c r="R2108" s="76"/>
      <c r="S2108" s="84">
        <f t="shared" si="98"/>
        <v>0</v>
      </c>
    </row>
    <row r="2109" spans="1:19" ht="18" customHeight="1" x14ac:dyDescent="0.25">
      <c r="A2109" s="59"/>
      <c r="B2109" s="60"/>
      <c r="C2109" s="65"/>
      <c r="D2109" s="60"/>
      <c r="E2109" s="59"/>
      <c r="F2109" s="62"/>
      <c r="G2109" s="63"/>
      <c r="H2109" s="64"/>
      <c r="I2109" s="65"/>
      <c r="J2109" s="65"/>
      <c r="K2109" s="65"/>
      <c r="L2109" s="65"/>
      <c r="M2109" s="65"/>
      <c r="N2109" s="65"/>
      <c r="O2109" s="81">
        <f t="shared" si="96"/>
        <v>0</v>
      </c>
      <c r="P2109" s="81">
        <f t="shared" si="97"/>
        <v>0</v>
      </c>
      <c r="Q2109" s="65"/>
      <c r="R2109" s="67"/>
      <c r="S2109" s="83">
        <f t="shared" si="98"/>
        <v>0</v>
      </c>
    </row>
    <row r="2110" spans="1:19" ht="18" customHeight="1" x14ac:dyDescent="0.25">
      <c r="A2110" s="68"/>
      <c r="B2110" s="69"/>
      <c r="C2110" s="74"/>
      <c r="D2110" s="69"/>
      <c r="E2110" s="68"/>
      <c r="F2110" s="71"/>
      <c r="G2110" s="72"/>
      <c r="H2110" s="73"/>
      <c r="I2110" s="74"/>
      <c r="J2110" s="74"/>
      <c r="K2110" s="74"/>
      <c r="L2110" s="74"/>
      <c r="M2110" s="74"/>
      <c r="N2110" s="74"/>
      <c r="O2110" s="82">
        <f t="shared" si="96"/>
        <v>0</v>
      </c>
      <c r="P2110" s="82">
        <f t="shared" si="97"/>
        <v>0</v>
      </c>
      <c r="Q2110" s="74"/>
      <c r="R2110" s="76"/>
      <c r="S2110" s="84">
        <f t="shared" si="98"/>
        <v>0</v>
      </c>
    </row>
    <row r="2111" spans="1:19" ht="18" customHeight="1" x14ac:dyDescent="0.25">
      <c r="A2111" s="59"/>
      <c r="B2111" s="60"/>
      <c r="C2111" s="65"/>
      <c r="D2111" s="60"/>
      <c r="E2111" s="59"/>
      <c r="F2111" s="62"/>
      <c r="G2111" s="63"/>
      <c r="H2111" s="64"/>
      <c r="I2111" s="65"/>
      <c r="J2111" s="65"/>
      <c r="K2111" s="65"/>
      <c r="L2111" s="65"/>
      <c r="M2111" s="65"/>
      <c r="N2111" s="65"/>
      <c r="O2111" s="81">
        <f t="shared" si="96"/>
        <v>0</v>
      </c>
      <c r="P2111" s="81">
        <f t="shared" si="97"/>
        <v>0</v>
      </c>
      <c r="Q2111" s="65"/>
      <c r="R2111" s="67"/>
      <c r="S2111" s="83">
        <f t="shared" si="98"/>
        <v>0</v>
      </c>
    </row>
    <row r="2112" spans="1:19" ht="18" customHeight="1" x14ac:dyDescent="0.25">
      <c r="A2112" s="68"/>
      <c r="B2112" s="69"/>
      <c r="C2112" s="74"/>
      <c r="D2112" s="69"/>
      <c r="E2112" s="68"/>
      <c r="F2112" s="71"/>
      <c r="G2112" s="72"/>
      <c r="H2112" s="73"/>
      <c r="I2112" s="74"/>
      <c r="J2112" s="74"/>
      <c r="K2112" s="74"/>
      <c r="L2112" s="74"/>
      <c r="M2112" s="74"/>
      <c r="N2112" s="74"/>
      <c r="O2112" s="82">
        <f t="shared" si="96"/>
        <v>0</v>
      </c>
      <c r="P2112" s="82">
        <f t="shared" si="97"/>
        <v>0</v>
      </c>
      <c r="Q2112" s="74"/>
      <c r="R2112" s="76"/>
      <c r="S2112" s="84">
        <f t="shared" si="98"/>
        <v>0</v>
      </c>
    </row>
    <row r="2113" spans="1:19" ht="18" customHeight="1" x14ac:dyDescent="0.25">
      <c r="A2113" s="59"/>
      <c r="B2113" s="60"/>
      <c r="C2113" s="65"/>
      <c r="D2113" s="60"/>
      <c r="E2113" s="59"/>
      <c r="F2113" s="62"/>
      <c r="G2113" s="63"/>
      <c r="H2113" s="64"/>
      <c r="I2113" s="65"/>
      <c r="J2113" s="65"/>
      <c r="K2113" s="65"/>
      <c r="L2113" s="65"/>
      <c r="M2113" s="65"/>
      <c r="N2113" s="65"/>
      <c r="O2113" s="81">
        <f t="shared" si="96"/>
        <v>0</v>
      </c>
      <c r="P2113" s="81">
        <f t="shared" si="97"/>
        <v>0</v>
      </c>
      <c r="Q2113" s="65"/>
      <c r="R2113" s="67"/>
      <c r="S2113" s="83">
        <f t="shared" si="98"/>
        <v>0</v>
      </c>
    </row>
    <row r="2114" spans="1:19" ht="18" customHeight="1" x14ac:dyDescent="0.25">
      <c r="A2114" s="68"/>
      <c r="B2114" s="69"/>
      <c r="C2114" s="74"/>
      <c r="D2114" s="69"/>
      <c r="E2114" s="68"/>
      <c r="F2114" s="71"/>
      <c r="G2114" s="72"/>
      <c r="H2114" s="73"/>
      <c r="I2114" s="74"/>
      <c r="J2114" s="74"/>
      <c r="K2114" s="74"/>
      <c r="L2114" s="74"/>
      <c r="M2114" s="74"/>
      <c r="N2114" s="74"/>
      <c r="O2114" s="82">
        <f t="shared" si="96"/>
        <v>0</v>
      </c>
      <c r="P2114" s="82">
        <f t="shared" si="97"/>
        <v>0</v>
      </c>
      <c r="Q2114" s="74"/>
      <c r="R2114" s="76"/>
      <c r="S2114" s="84">
        <f t="shared" si="98"/>
        <v>0</v>
      </c>
    </row>
    <row r="2115" spans="1:19" ht="18" customHeight="1" x14ac:dyDescent="0.25">
      <c r="A2115" s="59"/>
      <c r="B2115" s="60"/>
      <c r="C2115" s="65"/>
      <c r="D2115" s="60"/>
      <c r="E2115" s="59"/>
      <c r="F2115" s="62"/>
      <c r="G2115" s="63"/>
      <c r="H2115" s="64"/>
      <c r="I2115" s="65"/>
      <c r="J2115" s="65"/>
      <c r="K2115" s="65"/>
      <c r="L2115" s="65"/>
      <c r="M2115" s="65"/>
      <c r="N2115" s="65"/>
      <c r="O2115" s="81">
        <f t="shared" si="96"/>
        <v>0</v>
      </c>
      <c r="P2115" s="81">
        <f t="shared" si="97"/>
        <v>0</v>
      </c>
      <c r="Q2115" s="65"/>
      <c r="R2115" s="67"/>
      <c r="S2115" s="83">
        <f t="shared" si="98"/>
        <v>0</v>
      </c>
    </row>
    <row r="2116" spans="1:19" ht="18" customHeight="1" x14ac:dyDescent="0.25">
      <c r="A2116" s="68"/>
      <c r="B2116" s="69"/>
      <c r="C2116" s="74"/>
      <c r="D2116" s="69"/>
      <c r="E2116" s="68"/>
      <c r="F2116" s="71"/>
      <c r="G2116" s="72"/>
      <c r="H2116" s="73"/>
      <c r="I2116" s="74"/>
      <c r="J2116" s="74"/>
      <c r="K2116" s="74"/>
      <c r="L2116" s="74"/>
      <c r="M2116" s="74"/>
      <c r="N2116" s="74"/>
      <c r="O2116" s="82">
        <f t="shared" si="96"/>
        <v>0</v>
      </c>
      <c r="P2116" s="82">
        <f t="shared" si="97"/>
        <v>0</v>
      </c>
      <c r="Q2116" s="74"/>
      <c r="R2116" s="76"/>
      <c r="S2116" s="84">
        <f t="shared" si="98"/>
        <v>0</v>
      </c>
    </row>
    <row r="2117" spans="1:19" ht="18" customHeight="1" x14ac:dyDescent="0.25">
      <c r="A2117" s="59"/>
      <c r="B2117" s="60"/>
      <c r="C2117" s="65"/>
      <c r="D2117" s="60"/>
      <c r="E2117" s="59"/>
      <c r="F2117" s="62"/>
      <c r="G2117" s="63"/>
      <c r="H2117" s="64"/>
      <c r="I2117" s="65"/>
      <c r="J2117" s="65"/>
      <c r="K2117" s="65"/>
      <c r="L2117" s="65"/>
      <c r="M2117" s="65"/>
      <c r="N2117" s="65"/>
      <c r="O2117" s="81">
        <f t="shared" si="96"/>
        <v>0</v>
      </c>
      <c r="P2117" s="81">
        <f t="shared" si="97"/>
        <v>0</v>
      </c>
      <c r="Q2117" s="65"/>
      <c r="R2117" s="67"/>
      <c r="S2117" s="83">
        <f t="shared" si="98"/>
        <v>0</v>
      </c>
    </row>
    <row r="2118" spans="1:19" ht="18" customHeight="1" x14ac:dyDescent="0.25">
      <c r="A2118" s="68"/>
      <c r="B2118" s="69"/>
      <c r="C2118" s="74"/>
      <c r="D2118" s="69"/>
      <c r="E2118" s="68"/>
      <c r="F2118" s="71"/>
      <c r="G2118" s="72"/>
      <c r="H2118" s="73"/>
      <c r="I2118" s="74"/>
      <c r="J2118" s="74"/>
      <c r="K2118" s="74"/>
      <c r="L2118" s="74"/>
      <c r="M2118" s="74"/>
      <c r="N2118" s="74"/>
      <c r="O2118" s="82" t="e">
        <f>#N/A</f>
        <v>#N/A</v>
      </c>
      <c r="P2118" s="82" t="e">
        <f>#N/A</f>
        <v>#N/A</v>
      </c>
      <c r="Q2118" s="74"/>
      <c r="R2118" s="76"/>
      <c r="S2118" s="84">
        <f t="shared" si="98"/>
        <v>0</v>
      </c>
    </row>
    <row r="2119" spans="1:19" ht="18" customHeight="1" x14ac:dyDescent="0.25">
      <c r="A2119" s="59"/>
      <c r="B2119" s="60"/>
      <c r="C2119" s="65"/>
      <c r="D2119" s="60"/>
      <c r="E2119" s="59"/>
      <c r="F2119" s="62"/>
      <c r="G2119" s="63"/>
      <c r="H2119" s="64"/>
      <c r="I2119" s="65"/>
      <c r="J2119" s="65"/>
      <c r="K2119" s="65"/>
      <c r="L2119" s="65"/>
      <c r="M2119" s="65"/>
      <c r="N2119" s="65"/>
      <c r="O2119" s="81">
        <f t="shared" ref="O2119:O2181" si="99">IF(G2119="Reimbursement ","",I2119+J2119+K2119+L2119+M2119)</f>
        <v>0</v>
      </c>
      <c r="P2119" s="81">
        <f t="shared" ref="P2119:P2181" si="100">IF(G2119="Reimbursement ","",H2119-O2119)</f>
        <v>0</v>
      </c>
      <c r="Q2119" s="65"/>
      <c r="R2119" s="67"/>
      <c r="S2119" s="83">
        <f t="shared" ref="S2119:S2182" si="101">IF(OR(R2119="",Q2119=""),0,IF(R2119&gt;Q2119,R2119-Q2119,0))</f>
        <v>0</v>
      </c>
    </row>
    <row r="2120" spans="1:19" ht="18" customHeight="1" x14ac:dyDescent="0.25">
      <c r="A2120" s="68"/>
      <c r="B2120" s="69"/>
      <c r="C2120" s="74"/>
      <c r="D2120" s="69"/>
      <c r="E2120" s="68"/>
      <c r="F2120" s="71"/>
      <c r="G2120" s="72"/>
      <c r="H2120" s="73"/>
      <c r="I2120" s="74"/>
      <c r="J2120" s="74"/>
      <c r="K2120" s="74"/>
      <c r="L2120" s="74"/>
      <c r="M2120" s="74"/>
      <c r="N2120" s="74"/>
      <c r="O2120" s="82">
        <f t="shared" si="99"/>
        <v>0</v>
      </c>
      <c r="P2120" s="82">
        <f t="shared" si="100"/>
        <v>0</v>
      </c>
      <c r="Q2120" s="74"/>
      <c r="R2120" s="76"/>
      <c r="S2120" s="84">
        <f t="shared" si="101"/>
        <v>0</v>
      </c>
    </row>
    <row r="2121" spans="1:19" ht="18" customHeight="1" x14ac:dyDescent="0.25">
      <c r="A2121" s="59"/>
      <c r="B2121" s="60"/>
      <c r="C2121" s="65"/>
      <c r="D2121" s="60"/>
      <c r="E2121" s="59"/>
      <c r="F2121" s="62"/>
      <c r="G2121" s="63"/>
      <c r="H2121" s="64"/>
      <c r="I2121" s="65"/>
      <c r="J2121" s="65"/>
      <c r="K2121" s="65"/>
      <c r="L2121" s="65"/>
      <c r="M2121" s="65"/>
      <c r="N2121" s="65"/>
      <c r="O2121" s="81">
        <f t="shared" si="99"/>
        <v>0</v>
      </c>
      <c r="P2121" s="81">
        <f t="shared" si="100"/>
        <v>0</v>
      </c>
      <c r="Q2121" s="65"/>
      <c r="R2121" s="67"/>
      <c r="S2121" s="83">
        <f t="shared" si="101"/>
        <v>0</v>
      </c>
    </row>
    <row r="2122" spans="1:19" ht="18" customHeight="1" x14ac:dyDescent="0.25">
      <c r="A2122" s="68"/>
      <c r="B2122" s="69"/>
      <c r="C2122" s="74"/>
      <c r="D2122" s="69"/>
      <c r="E2122" s="68"/>
      <c r="F2122" s="71"/>
      <c r="G2122" s="72"/>
      <c r="H2122" s="73"/>
      <c r="I2122" s="74"/>
      <c r="J2122" s="74"/>
      <c r="K2122" s="74"/>
      <c r="L2122" s="74"/>
      <c r="M2122" s="74"/>
      <c r="N2122" s="74"/>
      <c r="O2122" s="82">
        <f t="shared" si="99"/>
        <v>0</v>
      </c>
      <c r="P2122" s="82">
        <f t="shared" si="100"/>
        <v>0</v>
      </c>
      <c r="Q2122" s="74"/>
      <c r="R2122" s="76"/>
      <c r="S2122" s="84">
        <f t="shared" si="101"/>
        <v>0</v>
      </c>
    </row>
    <row r="2123" spans="1:19" ht="18" customHeight="1" x14ac:dyDescent="0.25">
      <c r="A2123" s="59"/>
      <c r="B2123" s="60"/>
      <c r="C2123" s="65"/>
      <c r="D2123" s="60"/>
      <c r="E2123" s="59"/>
      <c r="F2123" s="62"/>
      <c r="G2123" s="63"/>
      <c r="H2123" s="64"/>
      <c r="I2123" s="65"/>
      <c r="J2123" s="65"/>
      <c r="K2123" s="65"/>
      <c r="L2123" s="65"/>
      <c r="M2123" s="65"/>
      <c r="N2123" s="65"/>
      <c r="O2123" s="81">
        <f t="shared" si="99"/>
        <v>0</v>
      </c>
      <c r="P2123" s="81">
        <f t="shared" si="100"/>
        <v>0</v>
      </c>
      <c r="Q2123" s="65"/>
      <c r="R2123" s="67"/>
      <c r="S2123" s="83">
        <f t="shared" si="101"/>
        <v>0</v>
      </c>
    </row>
    <row r="2124" spans="1:19" ht="18" customHeight="1" x14ac:dyDescent="0.25">
      <c r="A2124" s="68"/>
      <c r="B2124" s="69"/>
      <c r="C2124" s="74"/>
      <c r="D2124" s="69"/>
      <c r="E2124" s="68"/>
      <c r="F2124" s="71"/>
      <c r="G2124" s="72"/>
      <c r="H2124" s="73"/>
      <c r="I2124" s="74"/>
      <c r="J2124" s="74"/>
      <c r="K2124" s="74"/>
      <c r="L2124" s="74"/>
      <c r="M2124" s="74"/>
      <c r="N2124" s="74"/>
      <c r="O2124" s="82">
        <f t="shared" si="99"/>
        <v>0</v>
      </c>
      <c r="P2124" s="82">
        <f t="shared" si="100"/>
        <v>0</v>
      </c>
      <c r="Q2124" s="74"/>
      <c r="R2124" s="76"/>
      <c r="S2124" s="84">
        <f t="shared" si="101"/>
        <v>0</v>
      </c>
    </row>
    <row r="2125" spans="1:19" ht="18" customHeight="1" x14ac:dyDescent="0.25">
      <c r="A2125" s="59"/>
      <c r="B2125" s="60"/>
      <c r="C2125" s="65"/>
      <c r="D2125" s="60"/>
      <c r="E2125" s="59"/>
      <c r="F2125" s="62"/>
      <c r="G2125" s="63"/>
      <c r="H2125" s="64"/>
      <c r="I2125" s="65"/>
      <c r="J2125" s="65"/>
      <c r="K2125" s="65"/>
      <c r="L2125" s="65"/>
      <c r="M2125" s="65"/>
      <c r="N2125" s="65"/>
      <c r="O2125" s="81">
        <f t="shared" si="99"/>
        <v>0</v>
      </c>
      <c r="P2125" s="81">
        <f t="shared" si="100"/>
        <v>0</v>
      </c>
      <c r="Q2125" s="65"/>
      <c r="R2125" s="67"/>
      <c r="S2125" s="83">
        <f t="shared" si="101"/>
        <v>0</v>
      </c>
    </row>
    <row r="2126" spans="1:19" ht="18" customHeight="1" x14ac:dyDescent="0.25">
      <c r="A2126" s="68"/>
      <c r="B2126" s="69"/>
      <c r="C2126" s="74"/>
      <c r="D2126" s="69"/>
      <c r="E2126" s="68"/>
      <c r="F2126" s="71"/>
      <c r="G2126" s="72"/>
      <c r="H2126" s="73"/>
      <c r="I2126" s="74"/>
      <c r="J2126" s="74"/>
      <c r="K2126" s="74"/>
      <c r="L2126" s="74"/>
      <c r="M2126" s="74"/>
      <c r="N2126" s="74"/>
      <c r="O2126" s="82">
        <f t="shared" si="99"/>
        <v>0</v>
      </c>
      <c r="P2126" s="82">
        <f t="shared" si="100"/>
        <v>0</v>
      </c>
      <c r="Q2126" s="74"/>
      <c r="R2126" s="76"/>
      <c r="S2126" s="84">
        <f t="shared" si="101"/>
        <v>0</v>
      </c>
    </row>
    <row r="2127" spans="1:19" ht="18" customHeight="1" x14ac:dyDescent="0.25">
      <c r="A2127" s="59"/>
      <c r="B2127" s="60"/>
      <c r="C2127" s="65"/>
      <c r="D2127" s="60"/>
      <c r="E2127" s="59"/>
      <c r="F2127" s="62"/>
      <c r="G2127" s="63"/>
      <c r="H2127" s="64"/>
      <c r="I2127" s="65"/>
      <c r="J2127" s="65"/>
      <c r="K2127" s="65"/>
      <c r="L2127" s="65"/>
      <c r="M2127" s="65"/>
      <c r="N2127" s="65"/>
      <c r="O2127" s="81">
        <f t="shared" si="99"/>
        <v>0</v>
      </c>
      <c r="P2127" s="81">
        <f t="shared" si="100"/>
        <v>0</v>
      </c>
      <c r="Q2127" s="65"/>
      <c r="R2127" s="67"/>
      <c r="S2127" s="83">
        <f t="shared" si="101"/>
        <v>0</v>
      </c>
    </row>
    <row r="2128" spans="1:19" ht="18" customHeight="1" x14ac:dyDescent="0.25">
      <c r="A2128" s="68"/>
      <c r="B2128" s="69"/>
      <c r="C2128" s="74"/>
      <c r="D2128" s="69"/>
      <c r="E2128" s="68"/>
      <c r="F2128" s="71"/>
      <c r="G2128" s="72"/>
      <c r="H2128" s="73"/>
      <c r="I2128" s="74"/>
      <c r="J2128" s="74"/>
      <c r="K2128" s="74"/>
      <c r="L2128" s="74"/>
      <c r="M2128" s="74"/>
      <c r="N2128" s="74"/>
      <c r="O2128" s="82">
        <f t="shared" si="99"/>
        <v>0</v>
      </c>
      <c r="P2128" s="82">
        <f t="shared" si="100"/>
        <v>0</v>
      </c>
      <c r="Q2128" s="74"/>
      <c r="R2128" s="76"/>
      <c r="S2128" s="84">
        <f t="shared" si="101"/>
        <v>0</v>
      </c>
    </row>
    <row r="2129" spans="1:19" ht="18" customHeight="1" x14ac:dyDescent="0.25">
      <c r="A2129" s="59"/>
      <c r="B2129" s="60"/>
      <c r="C2129" s="65"/>
      <c r="D2129" s="60"/>
      <c r="E2129" s="59"/>
      <c r="F2129" s="62"/>
      <c r="G2129" s="63"/>
      <c r="H2129" s="64"/>
      <c r="I2129" s="65"/>
      <c r="J2129" s="65"/>
      <c r="K2129" s="65"/>
      <c r="L2129" s="65"/>
      <c r="M2129" s="65"/>
      <c r="N2129" s="65"/>
      <c r="O2129" s="81">
        <f t="shared" si="99"/>
        <v>0</v>
      </c>
      <c r="P2129" s="81">
        <f t="shared" si="100"/>
        <v>0</v>
      </c>
      <c r="Q2129" s="65"/>
      <c r="R2129" s="67"/>
      <c r="S2129" s="83">
        <f t="shared" si="101"/>
        <v>0</v>
      </c>
    </row>
    <row r="2130" spans="1:19" ht="18" customHeight="1" x14ac:dyDescent="0.25">
      <c r="A2130" s="68"/>
      <c r="B2130" s="69"/>
      <c r="C2130" s="74"/>
      <c r="D2130" s="69"/>
      <c r="E2130" s="68"/>
      <c r="F2130" s="71"/>
      <c r="G2130" s="72"/>
      <c r="H2130" s="73"/>
      <c r="I2130" s="74"/>
      <c r="J2130" s="74"/>
      <c r="K2130" s="74"/>
      <c r="L2130" s="74"/>
      <c r="M2130" s="74"/>
      <c r="N2130" s="74"/>
      <c r="O2130" s="82">
        <f t="shared" si="99"/>
        <v>0</v>
      </c>
      <c r="P2130" s="82">
        <f t="shared" si="100"/>
        <v>0</v>
      </c>
      <c r="Q2130" s="74"/>
      <c r="R2130" s="76"/>
      <c r="S2130" s="84">
        <f t="shared" si="101"/>
        <v>0</v>
      </c>
    </row>
    <row r="2131" spans="1:19" ht="18" customHeight="1" x14ac:dyDescent="0.25">
      <c r="A2131" s="59"/>
      <c r="B2131" s="60"/>
      <c r="C2131" s="65"/>
      <c r="D2131" s="60"/>
      <c r="E2131" s="59"/>
      <c r="F2131" s="62"/>
      <c r="G2131" s="63"/>
      <c r="H2131" s="64"/>
      <c r="I2131" s="65"/>
      <c r="J2131" s="65"/>
      <c r="K2131" s="65"/>
      <c r="L2131" s="65"/>
      <c r="M2131" s="65"/>
      <c r="N2131" s="65"/>
      <c r="O2131" s="81">
        <f t="shared" si="99"/>
        <v>0</v>
      </c>
      <c r="P2131" s="81">
        <f t="shared" si="100"/>
        <v>0</v>
      </c>
      <c r="Q2131" s="65"/>
      <c r="R2131" s="67"/>
      <c r="S2131" s="83">
        <f t="shared" si="101"/>
        <v>0</v>
      </c>
    </row>
    <row r="2132" spans="1:19" ht="18" customHeight="1" x14ac:dyDescent="0.25">
      <c r="A2132" s="68"/>
      <c r="B2132" s="69"/>
      <c r="C2132" s="74"/>
      <c r="D2132" s="69"/>
      <c r="E2132" s="68"/>
      <c r="F2132" s="71"/>
      <c r="G2132" s="72"/>
      <c r="H2132" s="73"/>
      <c r="I2132" s="74"/>
      <c r="J2132" s="74"/>
      <c r="K2132" s="74"/>
      <c r="L2132" s="74"/>
      <c r="M2132" s="74"/>
      <c r="N2132" s="74"/>
      <c r="O2132" s="82">
        <f t="shared" si="99"/>
        <v>0</v>
      </c>
      <c r="P2132" s="82">
        <f t="shared" si="100"/>
        <v>0</v>
      </c>
      <c r="Q2132" s="74"/>
      <c r="R2132" s="76"/>
      <c r="S2132" s="84">
        <f t="shared" si="101"/>
        <v>0</v>
      </c>
    </row>
    <row r="2133" spans="1:19" ht="18" customHeight="1" x14ac:dyDescent="0.25">
      <c r="A2133" s="59"/>
      <c r="B2133" s="60"/>
      <c r="C2133" s="65"/>
      <c r="D2133" s="60"/>
      <c r="E2133" s="59"/>
      <c r="F2133" s="62"/>
      <c r="G2133" s="63"/>
      <c r="H2133" s="64"/>
      <c r="I2133" s="65"/>
      <c r="J2133" s="65"/>
      <c r="K2133" s="65"/>
      <c r="L2133" s="65"/>
      <c r="M2133" s="65"/>
      <c r="N2133" s="65"/>
      <c r="O2133" s="81">
        <f t="shared" si="99"/>
        <v>0</v>
      </c>
      <c r="P2133" s="81">
        <f t="shared" si="100"/>
        <v>0</v>
      </c>
      <c r="Q2133" s="65"/>
      <c r="R2133" s="67"/>
      <c r="S2133" s="83">
        <f t="shared" si="101"/>
        <v>0</v>
      </c>
    </row>
    <row r="2134" spans="1:19" ht="18" customHeight="1" x14ac:dyDescent="0.25">
      <c r="A2134" s="68"/>
      <c r="B2134" s="69"/>
      <c r="C2134" s="74"/>
      <c r="D2134" s="69"/>
      <c r="E2134" s="68"/>
      <c r="F2134" s="71"/>
      <c r="G2134" s="72"/>
      <c r="H2134" s="73"/>
      <c r="I2134" s="74"/>
      <c r="J2134" s="74"/>
      <c r="K2134" s="74"/>
      <c r="L2134" s="74"/>
      <c r="M2134" s="74"/>
      <c r="N2134" s="74"/>
      <c r="O2134" s="82">
        <f t="shared" si="99"/>
        <v>0</v>
      </c>
      <c r="P2134" s="82">
        <f t="shared" si="100"/>
        <v>0</v>
      </c>
      <c r="Q2134" s="74"/>
      <c r="R2134" s="76"/>
      <c r="S2134" s="84">
        <f t="shared" si="101"/>
        <v>0</v>
      </c>
    </row>
    <row r="2135" spans="1:19" ht="18" customHeight="1" x14ac:dyDescent="0.25">
      <c r="A2135" s="59"/>
      <c r="B2135" s="60"/>
      <c r="C2135" s="65"/>
      <c r="D2135" s="60"/>
      <c r="E2135" s="59"/>
      <c r="F2135" s="62"/>
      <c r="G2135" s="63"/>
      <c r="H2135" s="64"/>
      <c r="I2135" s="65"/>
      <c r="J2135" s="65"/>
      <c r="K2135" s="65"/>
      <c r="L2135" s="65"/>
      <c r="M2135" s="65"/>
      <c r="N2135" s="65"/>
      <c r="O2135" s="81">
        <f t="shared" si="99"/>
        <v>0</v>
      </c>
      <c r="P2135" s="81">
        <f t="shared" si="100"/>
        <v>0</v>
      </c>
      <c r="Q2135" s="65"/>
      <c r="R2135" s="67"/>
      <c r="S2135" s="83">
        <f t="shared" si="101"/>
        <v>0</v>
      </c>
    </row>
    <row r="2136" spans="1:19" ht="18" customHeight="1" x14ac:dyDescent="0.25">
      <c r="A2136" s="68"/>
      <c r="B2136" s="69"/>
      <c r="C2136" s="74"/>
      <c r="D2136" s="69"/>
      <c r="E2136" s="68"/>
      <c r="F2136" s="71"/>
      <c r="G2136" s="72"/>
      <c r="H2136" s="73"/>
      <c r="I2136" s="74"/>
      <c r="J2136" s="74"/>
      <c r="K2136" s="74"/>
      <c r="L2136" s="74"/>
      <c r="M2136" s="74"/>
      <c r="N2136" s="74"/>
      <c r="O2136" s="82">
        <f t="shared" si="99"/>
        <v>0</v>
      </c>
      <c r="P2136" s="82">
        <f t="shared" si="100"/>
        <v>0</v>
      </c>
      <c r="Q2136" s="74"/>
      <c r="R2136" s="76"/>
      <c r="S2136" s="84">
        <f t="shared" si="101"/>
        <v>0</v>
      </c>
    </row>
    <row r="2137" spans="1:19" ht="18" customHeight="1" x14ac:dyDescent="0.25">
      <c r="A2137" s="59"/>
      <c r="B2137" s="60"/>
      <c r="C2137" s="65"/>
      <c r="D2137" s="60"/>
      <c r="E2137" s="59"/>
      <c r="F2137" s="62"/>
      <c r="G2137" s="63"/>
      <c r="H2137" s="64"/>
      <c r="I2137" s="65"/>
      <c r="J2137" s="65"/>
      <c r="K2137" s="65"/>
      <c r="L2137" s="65"/>
      <c r="M2137" s="65"/>
      <c r="N2137" s="65"/>
      <c r="O2137" s="81">
        <f t="shared" si="99"/>
        <v>0</v>
      </c>
      <c r="P2137" s="81">
        <f t="shared" si="100"/>
        <v>0</v>
      </c>
      <c r="Q2137" s="65"/>
      <c r="R2137" s="67"/>
      <c r="S2137" s="83">
        <f t="shared" si="101"/>
        <v>0</v>
      </c>
    </row>
    <row r="2138" spans="1:19" ht="18" customHeight="1" x14ac:dyDescent="0.25">
      <c r="A2138" s="68"/>
      <c r="B2138" s="69"/>
      <c r="C2138" s="74"/>
      <c r="D2138" s="69"/>
      <c r="E2138" s="68"/>
      <c r="F2138" s="71"/>
      <c r="G2138" s="72"/>
      <c r="H2138" s="73"/>
      <c r="I2138" s="74"/>
      <c r="J2138" s="74"/>
      <c r="K2138" s="74"/>
      <c r="L2138" s="74"/>
      <c r="M2138" s="74"/>
      <c r="N2138" s="74"/>
      <c r="O2138" s="82">
        <f t="shared" si="99"/>
        <v>0</v>
      </c>
      <c r="P2138" s="82">
        <f t="shared" si="100"/>
        <v>0</v>
      </c>
      <c r="Q2138" s="74"/>
      <c r="R2138" s="76"/>
      <c r="S2138" s="84">
        <f t="shared" si="101"/>
        <v>0</v>
      </c>
    </row>
    <row r="2139" spans="1:19" ht="18" customHeight="1" x14ac:dyDescent="0.25">
      <c r="A2139" s="59"/>
      <c r="B2139" s="60"/>
      <c r="C2139" s="65"/>
      <c r="D2139" s="60"/>
      <c r="E2139" s="59"/>
      <c r="F2139" s="62"/>
      <c r="G2139" s="63"/>
      <c r="H2139" s="64"/>
      <c r="I2139" s="65"/>
      <c r="J2139" s="65"/>
      <c r="K2139" s="65"/>
      <c r="L2139" s="65"/>
      <c r="M2139" s="65"/>
      <c r="N2139" s="65"/>
      <c r="O2139" s="81">
        <f t="shared" si="99"/>
        <v>0</v>
      </c>
      <c r="P2139" s="81">
        <f t="shared" si="100"/>
        <v>0</v>
      </c>
      <c r="Q2139" s="65"/>
      <c r="R2139" s="67"/>
      <c r="S2139" s="83">
        <f t="shared" si="101"/>
        <v>0</v>
      </c>
    </row>
    <row r="2140" spans="1:19" ht="18" customHeight="1" x14ac:dyDescent="0.25">
      <c r="A2140" s="68"/>
      <c r="B2140" s="69"/>
      <c r="C2140" s="74"/>
      <c r="D2140" s="69"/>
      <c r="E2140" s="68"/>
      <c r="F2140" s="71"/>
      <c r="G2140" s="72"/>
      <c r="H2140" s="73"/>
      <c r="I2140" s="74"/>
      <c r="J2140" s="74"/>
      <c r="K2140" s="74"/>
      <c r="L2140" s="74"/>
      <c r="M2140" s="74"/>
      <c r="N2140" s="74"/>
      <c r="O2140" s="82">
        <f t="shared" si="99"/>
        <v>0</v>
      </c>
      <c r="P2140" s="82">
        <f t="shared" si="100"/>
        <v>0</v>
      </c>
      <c r="Q2140" s="74"/>
      <c r="R2140" s="76"/>
      <c r="S2140" s="84">
        <f t="shared" si="101"/>
        <v>0</v>
      </c>
    </row>
    <row r="2141" spans="1:19" ht="18" customHeight="1" x14ac:dyDescent="0.25">
      <c r="A2141" s="59"/>
      <c r="B2141" s="60"/>
      <c r="C2141" s="65"/>
      <c r="D2141" s="60"/>
      <c r="E2141" s="59"/>
      <c r="F2141" s="62"/>
      <c r="G2141" s="63"/>
      <c r="H2141" s="64"/>
      <c r="I2141" s="65"/>
      <c r="J2141" s="65"/>
      <c r="K2141" s="65"/>
      <c r="L2141" s="65"/>
      <c r="M2141" s="65"/>
      <c r="N2141" s="65"/>
      <c r="O2141" s="81">
        <f t="shared" si="99"/>
        <v>0</v>
      </c>
      <c r="P2141" s="81">
        <f t="shared" si="100"/>
        <v>0</v>
      </c>
      <c r="Q2141" s="65"/>
      <c r="R2141" s="67"/>
      <c r="S2141" s="83">
        <f t="shared" si="101"/>
        <v>0</v>
      </c>
    </row>
    <row r="2142" spans="1:19" ht="18" customHeight="1" x14ac:dyDescent="0.25">
      <c r="A2142" s="68"/>
      <c r="B2142" s="69"/>
      <c r="C2142" s="74"/>
      <c r="D2142" s="69"/>
      <c r="E2142" s="68"/>
      <c r="F2142" s="71"/>
      <c r="G2142" s="72"/>
      <c r="H2142" s="73"/>
      <c r="I2142" s="74"/>
      <c r="J2142" s="74"/>
      <c r="K2142" s="74"/>
      <c r="L2142" s="74"/>
      <c r="M2142" s="74"/>
      <c r="N2142" s="74"/>
      <c r="O2142" s="82">
        <f t="shared" si="99"/>
        <v>0</v>
      </c>
      <c r="P2142" s="82">
        <f t="shared" si="100"/>
        <v>0</v>
      </c>
      <c r="Q2142" s="74"/>
      <c r="R2142" s="76"/>
      <c r="S2142" s="84">
        <f t="shared" si="101"/>
        <v>0</v>
      </c>
    </row>
    <row r="2143" spans="1:19" ht="18" customHeight="1" x14ac:dyDescent="0.25">
      <c r="A2143" s="59"/>
      <c r="B2143" s="60"/>
      <c r="C2143" s="65"/>
      <c r="D2143" s="60"/>
      <c r="E2143" s="59"/>
      <c r="F2143" s="62"/>
      <c r="G2143" s="63"/>
      <c r="H2143" s="64"/>
      <c r="I2143" s="65"/>
      <c r="J2143" s="65"/>
      <c r="K2143" s="65"/>
      <c r="L2143" s="65"/>
      <c r="M2143" s="65"/>
      <c r="N2143" s="65"/>
      <c r="O2143" s="81">
        <f t="shared" si="99"/>
        <v>0</v>
      </c>
      <c r="P2143" s="81">
        <f t="shared" si="100"/>
        <v>0</v>
      </c>
      <c r="Q2143" s="65"/>
      <c r="R2143" s="67"/>
      <c r="S2143" s="83">
        <f t="shared" si="101"/>
        <v>0</v>
      </c>
    </row>
    <row r="2144" spans="1:19" ht="18" customHeight="1" x14ac:dyDescent="0.25">
      <c r="A2144" s="68"/>
      <c r="B2144" s="69"/>
      <c r="C2144" s="74"/>
      <c r="D2144" s="69"/>
      <c r="E2144" s="68"/>
      <c r="F2144" s="71"/>
      <c r="G2144" s="72"/>
      <c r="H2144" s="73"/>
      <c r="I2144" s="74"/>
      <c r="J2144" s="74"/>
      <c r="K2144" s="74"/>
      <c r="L2144" s="74"/>
      <c r="M2144" s="74"/>
      <c r="N2144" s="74"/>
      <c r="O2144" s="82">
        <f t="shared" si="99"/>
        <v>0</v>
      </c>
      <c r="P2144" s="82">
        <f t="shared" si="100"/>
        <v>0</v>
      </c>
      <c r="Q2144" s="74"/>
      <c r="R2144" s="76"/>
      <c r="S2144" s="84">
        <f t="shared" si="101"/>
        <v>0</v>
      </c>
    </row>
    <row r="2145" spans="1:19" ht="18" customHeight="1" x14ac:dyDescent="0.25">
      <c r="A2145" s="59"/>
      <c r="B2145" s="60"/>
      <c r="C2145" s="65"/>
      <c r="D2145" s="60"/>
      <c r="E2145" s="59"/>
      <c r="F2145" s="62"/>
      <c r="G2145" s="63"/>
      <c r="H2145" s="64"/>
      <c r="I2145" s="65"/>
      <c r="J2145" s="65"/>
      <c r="K2145" s="65"/>
      <c r="L2145" s="65"/>
      <c r="M2145" s="65"/>
      <c r="N2145" s="65"/>
      <c r="O2145" s="81">
        <f t="shared" si="99"/>
        <v>0</v>
      </c>
      <c r="P2145" s="81">
        <f t="shared" si="100"/>
        <v>0</v>
      </c>
      <c r="Q2145" s="65"/>
      <c r="R2145" s="67"/>
      <c r="S2145" s="83">
        <f t="shared" si="101"/>
        <v>0</v>
      </c>
    </row>
    <row r="2146" spans="1:19" ht="18" customHeight="1" x14ac:dyDescent="0.25">
      <c r="A2146" s="68"/>
      <c r="B2146" s="69"/>
      <c r="C2146" s="74"/>
      <c r="D2146" s="69"/>
      <c r="E2146" s="68"/>
      <c r="F2146" s="71"/>
      <c r="G2146" s="72"/>
      <c r="H2146" s="73"/>
      <c r="I2146" s="74"/>
      <c r="J2146" s="74"/>
      <c r="K2146" s="74"/>
      <c r="L2146" s="74"/>
      <c r="M2146" s="74"/>
      <c r="N2146" s="74"/>
      <c r="O2146" s="82">
        <f t="shared" si="99"/>
        <v>0</v>
      </c>
      <c r="P2146" s="82">
        <f t="shared" si="100"/>
        <v>0</v>
      </c>
      <c r="Q2146" s="74"/>
      <c r="R2146" s="76"/>
      <c r="S2146" s="84">
        <f t="shared" si="101"/>
        <v>0</v>
      </c>
    </row>
    <row r="2147" spans="1:19" ht="18" customHeight="1" x14ac:dyDescent="0.25">
      <c r="A2147" s="59"/>
      <c r="B2147" s="60"/>
      <c r="C2147" s="65"/>
      <c r="D2147" s="60"/>
      <c r="E2147" s="59"/>
      <c r="F2147" s="62"/>
      <c r="G2147" s="63"/>
      <c r="H2147" s="64"/>
      <c r="I2147" s="65"/>
      <c r="J2147" s="65"/>
      <c r="K2147" s="65"/>
      <c r="L2147" s="65"/>
      <c r="M2147" s="65"/>
      <c r="N2147" s="65"/>
      <c r="O2147" s="81">
        <f t="shared" si="99"/>
        <v>0</v>
      </c>
      <c r="P2147" s="81">
        <f t="shared" si="100"/>
        <v>0</v>
      </c>
      <c r="Q2147" s="65"/>
      <c r="R2147" s="67"/>
      <c r="S2147" s="83">
        <f t="shared" si="101"/>
        <v>0</v>
      </c>
    </row>
    <row r="2148" spans="1:19" ht="18" customHeight="1" x14ac:dyDescent="0.25">
      <c r="A2148" s="68"/>
      <c r="B2148" s="69"/>
      <c r="C2148" s="74"/>
      <c r="D2148" s="69"/>
      <c r="E2148" s="68"/>
      <c r="F2148" s="71"/>
      <c r="G2148" s="72"/>
      <c r="H2148" s="73"/>
      <c r="I2148" s="74"/>
      <c r="J2148" s="74"/>
      <c r="K2148" s="74"/>
      <c r="L2148" s="74"/>
      <c r="M2148" s="74"/>
      <c r="N2148" s="74"/>
      <c r="O2148" s="82">
        <f t="shared" si="99"/>
        <v>0</v>
      </c>
      <c r="P2148" s="82">
        <f t="shared" si="100"/>
        <v>0</v>
      </c>
      <c r="Q2148" s="74"/>
      <c r="R2148" s="76"/>
      <c r="S2148" s="84">
        <f t="shared" si="101"/>
        <v>0</v>
      </c>
    </row>
    <row r="2149" spans="1:19" ht="18" customHeight="1" x14ac:dyDescent="0.25">
      <c r="A2149" s="59"/>
      <c r="B2149" s="60"/>
      <c r="C2149" s="65"/>
      <c r="D2149" s="60"/>
      <c r="E2149" s="59"/>
      <c r="F2149" s="62"/>
      <c r="G2149" s="63"/>
      <c r="H2149" s="64"/>
      <c r="I2149" s="65"/>
      <c r="J2149" s="65"/>
      <c r="K2149" s="65"/>
      <c r="L2149" s="65"/>
      <c r="M2149" s="65"/>
      <c r="N2149" s="65"/>
      <c r="O2149" s="81">
        <f t="shared" si="99"/>
        <v>0</v>
      </c>
      <c r="P2149" s="81">
        <f t="shared" si="100"/>
        <v>0</v>
      </c>
      <c r="Q2149" s="65"/>
      <c r="R2149" s="67"/>
      <c r="S2149" s="83">
        <f t="shared" si="101"/>
        <v>0</v>
      </c>
    </row>
    <row r="2150" spans="1:19" ht="18" customHeight="1" x14ac:dyDescent="0.25">
      <c r="A2150" s="68"/>
      <c r="B2150" s="69"/>
      <c r="C2150" s="74"/>
      <c r="D2150" s="69"/>
      <c r="E2150" s="68"/>
      <c r="F2150" s="71"/>
      <c r="G2150" s="72"/>
      <c r="H2150" s="73"/>
      <c r="I2150" s="74"/>
      <c r="J2150" s="74"/>
      <c r="K2150" s="74"/>
      <c r="L2150" s="74"/>
      <c r="M2150" s="74"/>
      <c r="N2150" s="74"/>
      <c r="O2150" s="82">
        <f t="shared" si="99"/>
        <v>0</v>
      </c>
      <c r="P2150" s="82">
        <f t="shared" si="100"/>
        <v>0</v>
      </c>
      <c r="Q2150" s="74"/>
      <c r="R2150" s="76"/>
      <c r="S2150" s="84">
        <f t="shared" si="101"/>
        <v>0</v>
      </c>
    </row>
    <row r="2151" spans="1:19" ht="18" customHeight="1" x14ac:dyDescent="0.25">
      <c r="A2151" s="59"/>
      <c r="B2151" s="60"/>
      <c r="C2151" s="65"/>
      <c r="D2151" s="60"/>
      <c r="E2151" s="59"/>
      <c r="F2151" s="62"/>
      <c r="G2151" s="63"/>
      <c r="H2151" s="64"/>
      <c r="I2151" s="65"/>
      <c r="J2151" s="65"/>
      <c r="K2151" s="65"/>
      <c r="L2151" s="65"/>
      <c r="M2151" s="65"/>
      <c r="N2151" s="65"/>
      <c r="O2151" s="81">
        <f t="shared" si="99"/>
        <v>0</v>
      </c>
      <c r="P2151" s="81">
        <f t="shared" si="100"/>
        <v>0</v>
      </c>
      <c r="Q2151" s="65"/>
      <c r="R2151" s="67"/>
      <c r="S2151" s="83">
        <f t="shared" si="101"/>
        <v>0</v>
      </c>
    </row>
    <row r="2152" spans="1:19" ht="18" customHeight="1" x14ac:dyDescent="0.25">
      <c r="A2152" s="68"/>
      <c r="B2152" s="69"/>
      <c r="C2152" s="74"/>
      <c r="D2152" s="69"/>
      <c r="E2152" s="68"/>
      <c r="F2152" s="71"/>
      <c r="G2152" s="72"/>
      <c r="H2152" s="73"/>
      <c r="I2152" s="74"/>
      <c r="J2152" s="74"/>
      <c r="K2152" s="74"/>
      <c r="L2152" s="74"/>
      <c r="M2152" s="74"/>
      <c r="N2152" s="74"/>
      <c r="O2152" s="82">
        <f t="shared" si="99"/>
        <v>0</v>
      </c>
      <c r="P2152" s="82">
        <f t="shared" si="100"/>
        <v>0</v>
      </c>
      <c r="Q2152" s="74"/>
      <c r="R2152" s="76"/>
      <c r="S2152" s="84">
        <f t="shared" si="101"/>
        <v>0</v>
      </c>
    </row>
    <row r="2153" spans="1:19" ht="18" customHeight="1" x14ac:dyDescent="0.25">
      <c r="A2153" s="59"/>
      <c r="B2153" s="60"/>
      <c r="C2153" s="65"/>
      <c r="D2153" s="60"/>
      <c r="E2153" s="59"/>
      <c r="F2153" s="62"/>
      <c r="G2153" s="63"/>
      <c r="H2153" s="64"/>
      <c r="I2153" s="65"/>
      <c r="J2153" s="65"/>
      <c r="K2153" s="65"/>
      <c r="L2153" s="65"/>
      <c r="M2153" s="65"/>
      <c r="N2153" s="65"/>
      <c r="O2153" s="81">
        <f t="shared" si="99"/>
        <v>0</v>
      </c>
      <c r="P2153" s="81">
        <f t="shared" si="100"/>
        <v>0</v>
      </c>
      <c r="Q2153" s="65"/>
      <c r="R2153" s="67"/>
      <c r="S2153" s="83">
        <f t="shared" si="101"/>
        <v>0</v>
      </c>
    </row>
    <row r="2154" spans="1:19" ht="18" customHeight="1" x14ac:dyDescent="0.25">
      <c r="A2154" s="68"/>
      <c r="B2154" s="69"/>
      <c r="C2154" s="74"/>
      <c r="D2154" s="69"/>
      <c r="E2154" s="68"/>
      <c r="F2154" s="71"/>
      <c r="G2154" s="72"/>
      <c r="H2154" s="73"/>
      <c r="I2154" s="74"/>
      <c r="J2154" s="74"/>
      <c r="K2154" s="74"/>
      <c r="L2154" s="74"/>
      <c r="M2154" s="74"/>
      <c r="N2154" s="74"/>
      <c r="O2154" s="82">
        <f t="shared" si="99"/>
        <v>0</v>
      </c>
      <c r="P2154" s="82">
        <f t="shared" si="100"/>
        <v>0</v>
      </c>
      <c r="Q2154" s="74"/>
      <c r="R2154" s="76"/>
      <c r="S2154" s="84">
        <f t="shared" si="101"/>
        <v>0</v>
      </c>
    </row>
    <row r="2155" spans="1:19" ht="18" customHeight="1" x14ac:dyDescent="0.25">
      <c r="A2155" s="59"/>
      <c r="B2155" s="60"/>
      <c r="C2155" s="65"/>
      <c r="D2155" s="60"/>
      <c r="E2155" s="59"/>
      <c r="F2155" s="62"/>
      <c r="G2155" s="63"/>
      <c r="H2155" s="64"/>
      <c r="I2155" s="65"/>
      <c r="J2155" s="65"/>
      <c r="K2155" s="65"/>
      <c r="L2155" s="65"/>
      <c r="M2155" s="65"/>
      <c r="N2155" s="65"/>
      <c r="O2155" s="81">
        <f t="shared" si="99"/>
        <v>0</v>
      </c>
      <c r="P2155" s="81">
        <f t="shared" si="100"/>
        <v>0</v>
      </c>
      <c r="Q2155" s="65"/>
      <c r="R2155" s="67"/>
      <c r="S2155" s="83">
        <f t="shared" si="101"/>
        <v>0</v>
      </c>
    </row>
    <row r="2156" spans="1:19" ht="18" customHeight="1" x14ac:dyDescent="0.25">
      <c r="A2156" s="68"/>
      <c r="B2156" s="69"/>
      <c r="C2156" s="74"/>
      <c r="D2156" s="69"/>
      <c r="E2156" s="68"/>
      <c r="F2156" s="71"/>
      <c r="G2156" s="72"/>
      <c r="H2156" s="73"/>
      <c r="I2156" s="74"/>
      <c r="J2156" s="74"/>
      <c r="K2156" s="74"/>
      <c r="L2156" s="74"/>
      <c r="M2156" s="74"/>
      <c r="N2156" s="74"/>
      <c r="O2156" s="82">
        <f t="shared" si="99"/>
        <v>0</v>
      </c>
      <c r="P2156" s="82">
        <f t="shared" si="100"/>
        <v>0</v>
      </c>
      <c r="Q2156" s="74"/>
      <c r="R2156" s="76"/>
      <c r="S2156" s="84">
        <f t="shared" si="101"/>
        <v>0</v>
      </c>
    </row>
    <row r="2157" spans="1:19" ht="18" customHeight="1" x14ac:dyDescent="0.25">
      <c r="A2157" s="59"/>
      <c r="B2157" s="60"/>
      <c r="C2157" s="65"/>
      <c r="D2157" s="60"/>
      <c r="E2157" s="59"/>
      <c r="F2157" s="62"/>
      <c r="G2157" s="63"/>
      <c r="H2157" s="64"/>
      <c r="I2157" s="65"/>
      <c r="J2157" s="65"/>
      <c r="K2157" s="65"/>
      <c r="L2157" s="65"/>
      <c r="M2157" s="65"/>
      <c r="N2157" s="65"/>
      <c r="O2157" s="81">
        <f t="shared" si="99"/>
        <v>0</v>
      </c>
      <c r="P2157" s="81">
        <f t="shared" si="100"/>
        <v>0</v>
      </c>
      <c r="Q2157" s="65"/>
      <c r="R2157" s="67"/>
      <c r="S2157" s="83">
        <f t="shared" si="101"/>
        <v>0</v>
      </c>
    </row>
    <row r="2158" spans="1:19" ht="18" customHeight="1" x14ac:dyDescent="0.25">
      <c r="A2158" s="68"/>
      <c r="B2158" s="69"/>
      <c r="C2158" s="74"/>
      <c r="D2158" s="69"/>
      <c r="E2158" s="68"/>
      <c r="F2158" s="71"/>
      <c r="G2158" s="72"/>
      <c r="H2158" s="73"/>
      <c r="I2158" s="74"/>
      <c r="J2158" s="74"/>
      <c r="K2158" s="74"/>
      <c r="L2158" s="74"/>
      <c r="M2158" s="74"/>
      <c r="N2158" s="74"/>
      <c r="O2158" s="82">
        <f t="shared" si="99"/>
        <v>0</v>
      </c>
      <c r="P2158" s="82">
        <f t="shared" si="100"/>
        <v>0</v>
      </c>
      <c r="Q2158" s="74"/>
      <c r="R2158" s="76"/>
      <c r="S2158" s="84">
        <f t="shared" si="101"/>
        <v>0</v>
      </c>
    </row>
    <row r="2159" spans="1:19" ht="18" customHeight="1" x14ac:dyDescent="0.25">
      <c r="A2159" s="59"/>
      <c r="B2159" s="60"/>
      <c r="C2159" s="65"/>
      <c r="D2159" s="60"/>
      <c r="E2159" s="59"/>
      <c r="F2159" s="62"/>
      <c r="G2159" s="63"/>
      <c r="H2159" s="64"/>
      <c r="I2159" s="65"/>
      <c r="J2159" s="65"/>
      <c r="K2159" s="65"/>
      <c r="L2159" s="65"/>
      <c r="M2159" s="65"/>
      <c r="N2159" s="65"/>
      <c r="O2159" s="81">
        <f t="shared" si="99"/>
        <v>0</v>
      </c>
      <c r="P2159" s="81">
        <f t="shared" si="100"/>
        <v>0</v>
      </c>
      <c r="Q2159" s="65"/>
      <c r="R2159" s="67"/>
      <c r="S2159" s="83">
        <f t="shared" si="101"/>
        <v>0</v>
      </c>
    </row>
    <row r="2160" spans="1:19" ht="18" customHeight="1" x14ac:dyDescent="0.25">
      <c r="A2160" s="68"/>
      <c r="B2160" s="69"/>
      <c r="C2160" s="74"/>
      <c r="D2160" s="69"/>
      <c r="E2160" s="68"/>
      <c r="F2160" s="71"/>
      <c r="G2160" s="72"/>
      <c r="H2160" s="73"/>
      <c r="I2160" s="74"/>
      <c r="J2160" s="74"/>
      <c r="K2160" s="74"/>
      <c r="L2160" s="74"/>
      <c r="M2160" s="74"/>
      <c r="N2160" s="74"/>
      <c r="O2160" s="82">
        <f t="shared" si="99"/>
        <v>0</v>
      </c>
      <c r="P2160" s="82">
        <f t="shared" si="100"/>
        <v>0</v>
      </c>
      <c r="Q2160" s="74"/>
      <c r="R2160" s="76"/>
      <c r="S2160" s="84">
        <f t="shared" si="101"/>
        <v>0</v>
      </c>
    </row>
    <row r="2161" spans="1:19" ht="18" customHeight="1" x14ac:dyDescent="0.25">
      <c r="A2161" s="59"/>
      <c r="B2161" s="60"/>
      <c r="C2161" s="65"/>
      <c r="D2161" s="60"/>
      <c r="E2161" s="59"/>
      <c r="F2161" s="62"/>
      <c r="G2161" s="63"/>
      <c r="H2161" s="64"/>
      <c r="I2161" s="65"/>
      <c r="J2161" s="65"/>
      <c r="K2161" s="65"/>
      <c r="L2161" s="65"/>
      <c r="M2161" s="65"/>
      <c r="N2161" s="65"/>
      <c r="O2161" s="81">
        <f t="shared" si="99"/>
        <v>0</v>
      </c>
      <c r="P2161" s="81">
        <f t="shared" si="100"/>
        <v>0</v>
      </c>
      <c r="Q2161" s="65"/>
      <c r="R2161" s="67"/>
      <c r="S2161" s="83">
        <f t="shared" si="101"/>
        <v>0</v>
      </c>
    </row>
    <row r="2162" spans="1:19" ht="18" customHeight="1" x14ac:dyDescent="0.25">
      <c r="A2162" s="68"/>
      <c r="B2162" s="69"/>
      <c r="C2162" s="74"/>
      <c r="D2162" s="69"/>
      <c r="E2162" s="68"/>
      <c r="F2162" s="71"/>
      <c r="G2162" s="72"/>
      <c r="H2162" s="73"/>
      <c r="I2162" s="74"/>
      <c r="J2162" s="74"/>
      <c r="K2162" s="74"/>
      <c r="L2162" s="74"/>
      <c r="M2162" s="74"/>
      <c r="N2162" s="74"/>
      <c r="O2162" s="82">
        <f t="shared" si="99"/>
        <v>0</v>
      </c>
      <c r="P2162" s="82">
        <f t="shared" si="100"/>
        <v>0</v>
      </c>
      <c r="Q2162" s="74"/>
      <c r="R2162" s="76"/>
      <c r="S2162" s="84">
        <f t="shared" si="101"/>
        <v>0</v>
      </c>
    </row>
    <row r="2163" spans="1:19" ht="18" customHeight="1" x14ac:dyDescent="0.25">
      <c r="A2163" s="59"/>
      <c r="B2163" s="60"/>
      <c r="C2163" s="65"/>
      <c r="D2163" s="60"/>
      <c r="E2163" s="59"/>
      <c r="F2163" s="62"/>
      <c r="G2163" s="63"/>
      <c r="H2163" s="64"/>
      <c r="I2163" s="65"/>
      <c r="J2163" s="65"/>
      <c r="K2163" s="65"/>
      <c r="L2163" s="65"/>
      <c r="M2163" s="65"/>
      <c r="N2163" s="65"/>
      <c r="O2163" s="81">
        <f t="shared" si="99"/>
        <v>0</v>
      </c>
      <c r="P2163" s="81">
        <f t="shared" si="100"/>
        <v>0</v>
      </c>
      <c r="Q2163" s="65"/>
      <c r="R2163" s="67"/>
      <c r="S2163" s="83">
        <f t="shared" si="101"/>
        <v>0</v>
      </c>
    </row>
    <row r="2164" spans="1:19" ht="18" customHeight="1" x14ac:dyDescent="0.25">
      <c r="A2164" s="68"/>
      <c r="B2164" s="69"/>
      <c r="C2164" s="74"/>
      <c r="D2164" s="69"/>
      <c r="E2164" s="68"/>
      <c r="F2164" s="71"/>
      <c r="G2164" s="72"/>
      <c r="H2164" s="73"/>
      <c r="I2164" s="74"/>
      <c r="J2164" s="74"/>
      <c r="K2164" s="74"/>
      <c r="L2164" s="74"/>
      <c r="M2164" s="74"/>
      <c r="N2164" s="74"/>
      <c r="O2164" s="82">
        <f t="shared" si="99"/>
        <v>0</v>
      </c>
      <c r="P2164" s="82">
        <f t="shared" si="100"/>
        <v>0</v>
      </c>
      <c r="Q2164" s="74"/>
      <c r="R2164" s="76"/>
      <c r="S2164" s="84">
        <f t="shared" si="101"/>
        <v>0</v>
      </c>
    </row>
    <row r="2165" spans="1:19" ht="18" customHeight="1" x14ac:dyDescent="0.25">
      <c r="A2165" s="59"/>
      <c r="B2165" s="60"/>
      <c r="C2165" s="65"/>
      <c r="D2165" s="60"/>
      <c r="E2165" s="59"/>
      <c r="F2165" s="62"/>
      <c r="G2165" s="63"/>
      <c r="H2165" s="64"/>
      <c r="I2165" s="65"/>
      <c r="J2165" s="65"/>
      <c r="K2165" s="65"/>
      <c r="L2165" s="65"/>
      <c r="M2165" s="65"/>
      <c r="N2165" s="65"/>
      <c r="O2165" s="81">
        <f t="shared" si="99"/>
        <v>0</v>
      </c>
      <c r="P2165" s="81">
        <f t="shared" si="100"/>
        <v>0</v>
      </c>
      <c r="Q2165" s="65"/>
      <c r="R2165" s="67"/>
      <c r="S2165" s="83">
        <f t="shared" si="101"/>
        <v>0</v>
      </c>
    </row>
    <row r="2166" spans="1:19" ht="18" customHeight="1" x14ac:dyDescent="0.25">
      <c r="A2166" s="68"/>
      <c r="B2166" s="69"/>
      <c r="C2166" s="74"/>
      <c r="D2166" s="69"/>
      <c r="E2166" s="68"/>
      <c r="F2166" s="71"/>
      <c r="G2166" s="72"/>
      <c r="H2166" s="73"/>
      <c r="I2166" s="74"/>
      <c r="J2166" s="74"/>
      <c r="K2166" s="74"/>
      <c r="L2166" s="74"/>
      <c r="M2166" s="74"/>
      <c r="N2166" s="74"/>
      <c r="O2166" s="82">
        <f t="shared" si="99"/>
        <v>0</v>
      </c>
      <c r="P2166" s="82">
        <f t="shared" si="100"/>
        <v>0</v>
      </c>
      <c r="Q2166" s="74"/>
      <c r="R2166" s="76"/>
      <c r="S2166" s="84">
        <f t="shared" si="101"/>
        <v>0</v>
      </c>
    </row>
    <row r="2167" spans="1:19" ht="18" customHeight="1" x14ac:dyDescent="0.25">
      <c r="A2167" s="59"/>
      <c r="B2167" s="60"/>
      <c r="C2167" s="65"/>
      <c r="D2167" s="60"/>
      <c r="E2167" s="59"/>
      <c r="F2167" s="62"/>
      <c r="G2167" s="63"/>
      <c r="H2167" s="64"/>
      <c r="I2167" s="65"/>
      <c r="J2167" s="65"/>
      <c r="K2167" s="65"/>
      <c r="L2167" s="65"/>
      <c r="M2167" s="65"/>
      <c r="N2167" s="65"/>
      <c r="O2167" s="81">
        <f t="shared" si="99"/>
        <v>0</v>
      </c>
      <c r="P2167" s="81">
        <f t="shared" si="100"/>
        <v>0</v>
      </c>
      <c r="Q2167" s="65"/>
      <c r="R2167" s="67"/>
      <c r="S2167" s="83">
        <f t="shared" si="101"/>
        <v>0</v>
      </c>
    </row>
    <row r="2168" spans="1:19" ht="18" customHeight="1" x14ac:dyDescent="0.25">
      <c r="A2168" s="68"/>
      <c r="B2168" s="69"/>
      <c r="C2168" s="74"/>
      <c r="D2168" s="69"/>
      <c r="E2168" s="68"/>
      <c r="F2168" s="71"/>
      <c r="G2168" s="72"/>
      <c r="H2168" s="73"/>
      <c r="I2168" s="74"/>
      <c r="J2168" s="74"/>
      <c r="K2168" s="74"/>
      <c r="L2168" s="74"/>
      <c r="M2168" s="74"/>
      <c r="N2168" s="74"/>
      <c r="O2168" s="82">
        <f t="shared" si="99"/>
        <v>0</v>
      </c>
      <c r="P2168" s="82">
        <f t="shared" si="100"/>
        <v>0</v>
      </c>
      <c r="Q2168" s="74"/>
      <c r="R2168" s="76"/>
      <c r="S2168" s="84">
        <f t="shared" si="101"/>
        <v>0</v>
      </c>
    </row>
    <row r="2169" spans="1:19" ht="18" customHeight="1" x14ac:dyDescent="0.25">
      <c r="A2169" s="59"/>
      <c r="B2169" s="60"/>
      <c r="C2169" s="65"/>
      <c r="D2169" s="60"/>
      <c r="E2169" s="59"/>
      <c r="F2169" s="62"/>
      <c r="G2169" s="63"/>
      <c r="H2169" s="64"/>
      <c r="I2169" s="65"/>
      <c r="J2169" s="65"/>
      <c r="K2169" s="65"/>
      <c r="L2169" s="65"/>
      <c r="M2169" s="65"/>
      <c r="N2169" s="65"/>
      <c r="O2169" s="81">
        <f t="shared" si="99"/>
        <v>0</v>
      </c>
      <c r="P2169" s="81">
        <f t="shared" si="100"/>
        <v>0</v>
      </c>
      <c r="Q2169" s="65"/>
      <c r="R2169" s="67"/>
      <c r="S2169" s="83">
        <f t="shared" si="101"/>
        <v>0</v>
      </c>
    </row>
    <row r="2170" spans="1:19" ht="18" customHeight="1" x14ac:dyDescent="0.25">
      <c r="A2170" s="68"/>
      <c r="B2170" s="69"/>
      <c r="C2170" s="74"/>
      <c r="D2170" s="69"/>
      <c r="E2170" s="68"/>
      <c r="F2170" s="71"/>
      <c r="G2170" s="72"/>
      <c r="H2170" s="73"/>
      <c r="I2170" s="74"/>
      <c r="J2170" s="74"/>
      <c r="K2170" s="74"/>
      <c r="L2170" s="74"/>
      <c r="M2170" s="74"/>
      <c r="N2170" s="74"/>
      <c r="O2170" s="82">
        <f t="shared" si="99"/>
        <v>0</v>
      </c>
      <c r="P2170" s="82">
        <f t="shared" si="100"/>
        <v>0</v>
      </c>
      <c r="Q2170" s="74"/>
      <c r="R2170" s="76"/>
      <c r="S2170" s="84">
        <f t="shared" si="101"/>
        <v>0</v>
      </c>
    </row>
    <row r="2171" spans="1:19" ht="18" customHeight="1" x14ac:dyDescent="0.25">
      <c r="A2171" s="59"/>
      <c r="B2171" s="60"/>
      <c r="C2171" s="65"/>
      <c r="D2171" s="60"/>
      <c r="E2171" s="59"/>
      <c r="F2171" s="62"/>
      <c r="G2171" s="63"/>
      <c r="H2171" s="64"/>
      <c r="I2171" s="65"/>
      <c r="J2171" s="65"/>
      <c r="K2171" s="65"/>
      <c r="L2171" s="65"/>
      <c r="M2171" s="65"/>
      <c r="N2171" s="65"/>
      <c r="O2171" s="81">
        <f t="shared" si="99"/>
        <v>0</v>
      </c>
      <c r="P2171" s="81">
        <f t="shared" si="100"/>
        <v>0</v>
      </c>
      <c r="Q2171" s="65"/>
      <c r="R2171" s="67"/>
      <c r="S2171" s="83">
        <f t="shared" si="101"/>
        <v>0</v>
      </c>
    </row>
    <row r="2172" spans="1:19" ht="18" customHeight="1" x14ac:dyDescent="0.25">
      <c r="A2172" s="68"/>
      <c r="B2172" s="69"/>
      <c r="C2172" s="74"/>
      <c r="D2172" s="69"/>
      <c r="E2172" s="68"/>
      <c r="F2172" s="71"/>
      <c r="G2172" s="72"/>
      <c r="H2172" s="73"/>
      <c r="I2172" s="74"/>
      <c r="J2172" s="74"/>
      <c r="K2172" s="74"/>
      <c r="L2172" s="74"/>
      <c r="M2172" s="74"/>
      <c r="N2172" s="74"/>
      <c r="O2172" s="82">
        <f t="shared" si="99"/>
        <v>0</v>
      </c>
      <c r="P2172" s="82">
        <f t="shared" si="100"/>
        <v>0</v>
      </c>
      <c r="Q2172" s="74"/>
      <c r="R2172" s="76"/>
      <c r="S2172" s="84">
        <f t="shared" si="101"/>
        <v>0</v>
      </c>
    </row>
    <row r="2173" spans="1:19" ht="18" customHeight="1" x14ac:dyDescent="0.25">
      <c r="A2173" s="59"/>
      <c r="B2173" s="60"/>
      <c r="C2173" s="65"/>
      <c r="D2173" s="60"/>
      <c r="E2173" s="59"/>
      <c r="F2173" s="62"/>
      <c r="G2173" s="63"/>
      <c r="H2173" s="64"/>
      <c r="I2173" s="65"/>
      <c r="J2173" s="65"/>
      <c r="K2173" s="65"/>
      <c r="L2173" s="65"/>
      <c r="M2173" s="65"/>
      <c r="N2173" s="65"/>
      <c r="O2173" s="81">
        <f t="shared" si="99"/>
        <v>0</v>
      </c>
      <c r="P2173" s="81">
        <f t="shared" si="100"/>
        <v>0</v>
      </c>
      <c r="Q2173" s="65"/>
      <c r="R2173" s="67"/>
      <c r="S2173" s="83">
        <f t="shared" si="101"/>
        <v>0</v>
      </c>
    </row>
    <row r="2174" spans="1:19" ht="18" customHeight="1" x14ac:dyDescent="0.25">
      <c r="A2174" s="68"/>
      <c r="B2174" s="69"/>
      <c r="C2174" s="74"/>
      <c r="D2174" s="69"/>
      <c r="E2174" s="68"/>
      <c r="F2174" s="71"/>
      <c r="G2174" s="72"/>
      <c r="H2174" s="73"/>
      <c r="I2174" s="74"/>
      <c r="J2174" s="74"/>
      <c r="K2174" s="74"/>
      <c r="L2174" s="74"/>
      <c r="M2174" s="74"/>
      <c r="N2174" s="74"/>
      <c r="O2174" s="82">
        <f t="shared" si="99"/>
        <v>0</v>
      </c>
      <c r="P2174" s="82">
        <f t="shared" si="100"/>
        <v>0</v>
      </c>
      <c r="Q2174" s="74"/>
      <c r="R2174" s="76"/>
      <c r="S2174" s="84">
        <f t="shared" si="101"/>
        <v>0</v>
      </c>
    </row>
    <row r="2175" spans="1:19" ht="18" customHeight="1" x14ac:dyDescent="0.25">
      <c r="A2175" s="59"/>
      <c r="B2175" s="60"/>
      <c r="C2175" s="65"/>
      <c r="D2175" s="60"/>
      <c r="E2175" s="59"/>
      <c r="F2175" s="62"/>
      <c r="G2175" s="63"/>
      <c r="H2175" s="64"/>
      <c r="I2175" s="65"/>
      <c r="J2175" s="65"/>
      <c r="K2175" s="65"/>
      <c r="L2175" s="65"/>
      <c r="M2175" s="65"/>
      <c r="N2175" s="65"/>
      <c r="O2175" s="81">
        <f t="shared" si="99"/>
        <v>0</v>
      </c>
      <c r="P2175" s="81">
        <f t="shared" si="100"/>
        <v>0</v>
      </c>
      <c r="Q2175" s="65"/>
      <c r="R2175" s="67"/>
      <c r="S2175" s="83">
        <f t="shared" si="101"/>
        <v>0</v>
      </c>
    </row>
    <row r="2176" spans="1:19" ht="18" customHeight="1" x14ac:dyDescent="0.25">
      <c r="A2176" s="68"/>
      <c r="B2176" s="69"/>
      <c r="C2176" s="74"/>
      <c r="D2176" s="69"/>
      <c r="E2176" s="68"/>
      <c r="F2176" s="71"/>
      <c r="G2176" s="72"/>
      <c r="H2176" s="73"/>
      <c r="I2176" s="74"/>
      <c r="J2176" s="74"/>
      <c r="K2176" s="74"/>
      <c r="L2176" s="74"/>
      <c r="M2176" s="74"/>
      <c r="N2176" s="74"/>
      <c r="O2176" s="82">
        <f t="shared" si="99"/>
        <v>0</v>
      </c>
      <c r="P2176" s="82">
        <f t="shared" si="100"/>
        <v>0</v>
      </c>
      <c r="Q2176" s="74"/>
      <c r="R2176" s="76"/>
      <c r="S2176" s="84">
        <f t="shared" si="101"/>
        <v>0</v>
      </c>
    </row>
    <row r="2177" spans="1:19" ht="18" customHeight="1" x14ac:dyDescent="0.25">
      <c r="A2177" s="59"/>
      <c r="B2177" s="60"/>
      <c r="C2177" s="65"/>
      <c r="D2177" s="60"/>
      <c r="E2177" s="59"/>
      <c r="F2177" s="62"/>
      <c r="G2177" s="63"/>
      <c r="H2177" s="64"/>
      <c r="I2177" s="65"/>
      <c r="J2177" s="65"/>
      <c r="K2177" s="65"/>
      <c r="L2177" s="65"/>
      <c r="M2177" s="65"/>
      <c r="N2177" s="65"/>
      <c r="O2177" s="81">
        <f t="shared" si="99"/>
        <v>0</v>
      </c>
      <c r="P2177" s="81">
        <f t="shared" si="100"/>
        <v>0</v>
      </c>
      <c r="Q2177" s="65"/>
      <c r="R2177" s="67"/>
      <c r="S2177" s="83">
        <f t="shared" si="101"/>
        <v>0</v>
      </c>
    </row>
    <row r="2178" spans="1:19" ht="18" customHeight="1" x14ac:dyDescent="0.25">
      <c r="A2178" s="68"/>
      <c r="B2178" s="69"/>
      <c r="C2178" s="74"/>
      <c r="D2178" s="69"/>
      <c r="E2178" s="68"/>
      <c r="F2178" s="71"/>
      <c r="G2178" s="72"/>
      <c r="H2178" s="73"/>
      <c r="I2178" s="74"/>
      <c r="J2178" s="74"/>
      <c r="K2178" s="74"/>
      <c r="L2178" s="74"/>
      <c r="M2178" s="74"/>
      <c r="N2178" s="74"/>
      <c r="O2178" s="82">
        <f t="shared" si="99"/>
        <v>0</v>
      </c>
      <c r="P2178" s="82">
        <f t="shared" si="100"/>
        <v>0</v>
      </c>
      <c r="Q2178" s="74"/>
      <c r="R2178" s="76"/>
      <c r="S2178" s="84">
        <f t="shared" si="101"/>
        <v>0</v>
      </c>
    </row>
    <row r="2179" spans="1:19" ht="18" customHeight="1" x14ac:dyDescent="0.25">
      <c r="A2179" s="59"/>
      <c r="B2179" s="60"/>
      <c r="C2179" s="65"/>
      <c r="D2179" s="60"/>
      <c r="E2179" s="59"/>
      <c r="F2179" s="62"/>
      <c r="G2179" s="63"/>
      <c r="H2179" s="64"/>
      <c r="I2179" s="65"/>
      <c r="J2179" s="65"/>
      <c r="K2179" s="65"/>
      <c r="L2179" s="65"/>
      <c r="M2179" s="65"/>
      <c r="N2179" s="65"/>
      <c r="O2179" s="81">
        <f t="shared" si="99"/>
        <v>0</v>
      </c>
      <c r="P2179" s="81">
        <f t="shared" si="100"/>
        <v>0</v>
      </c>
      <c r="Q2179" s="65"/>
      <c r="R2179" s="67"/>
      <c r="S2179" s="83">
        <f t="shared" si="101"/>
        <v>0</v>
      </c>
    </row>
    <row r="2180" spans="1:19" ht="18" customHeight="1" x14ac:dyDescent="0.25">
      <c r="A2180" s="68"/>
      <c r="B2180" s="69"/>
      <c r="C2180" s="74"/>
      <c r="D2180" s="69"/>
      <c r="E2180" s="68"/>
      <c r="F2180" s="71"/>
      <c r="G2180" s="72"/>
      <c r="H2180" s="73"/>
      <c r="I2180" s="74"/>
      <c r="J2180" s="74"/>
      <c r="K2180" s="74"/>
      <c r="L2180" s="74"/>
      <c r="M2180" s="74"/>
      <c r="N2180" s="74"/>
      <c r="O2180" s="82">
        <f t="shared" si="99"/>
        <v>0</v>
      </c>
      <c r="P2180" s="82">
        <f t="shared" si="100"/>
        <v>0</v>
      </c>
      <c r="Q2180" s="74"/>
      <c r="R2180" s="76"/>
      <c r="S2180" s="84">
        <f t="shared" si="101"/>
        <v>0</v>
      </c>
    </row>
    <row r="2181" spans="1:19" ht="18" customHeight="1" x14ac:dyDescent="0.25">
      <c r="A2181" s="59"/>
      <c r="B2181" s="60"/>
      <c r="C2181" s="65"/>
      <c r="D2181" s="60"/>
      <c r="E2181" s="59"/>
      <c r="F2181" s="62"/>
      <c r="G2181" s="63"/>
      <c r="H2181" s="64"/>
      <c r="I2181" s="65"/>
      <c r="J2181" s="65"/>
      <c r="K2181" s="65"/>
      <c r="L2181" s="65"/>
      <c r="M2181" s="65"/>
      <c r="N2181" s="65"/>
      <c r="O2181" s="81">
        <f t="shared" si="99"/>
        <v>0</v>
      </c>
      <c r="P2181" s="81">
        <f t="shared" si="100"/>
        <v>0</v>
      </c>
      <c r="Q2181" s="65"/>
      <c r="R2181" s="67"/>
      <c r="S2181" s="83">
        <f t="shared" si="101"/>
        <v>0</v>
      </c>
    </row>
    <row r="2182" spans="1:19" ht="18" customHeight="1" x14ac:dyDescent="0.25">
      <c r="A2182" s="68"/>
      <c r="B2182" s="69"/>
      <c r="C2182" s="74"/>
      <c r="D2182" s="69"/>
      <c r="E2182" s="68"/>
      <c r="F2182" s="71"/>
      <c r="G2182" s="72"/>
      <c r="H2182" s="73"/>
      <c r="I2182" s="74"/>
      <c r="J2182" s="74"/>
      <c r="K2182" s="74"/>
      <c r="L2182" s="74"/>
      <c r="M2182" s="74"/>
      <c r="N2182" s="74"/>
      <c r="O2182" s="82" t="e">
        <f>#N/A</f>
        <v>#N/A</v>
      </c>
      <c r="P2182" s="82" t="e">
        <f>#N/A</f>
        <v>#N/A</v>
      </c>
      <c r="Q2182" s="74"/>
      <c r="R2182" s="76"/>
      <c r="S2182" s="84">
        <f t="shared" si="101"/>
        <v>0</v>
      </c>
    </row>
    <row r="2183" spans="1:19" ht="18" customHeight="1" x14ac:dyDescent="0.25">
      <c r="A2183" s="59"/>
      <c r="B2183" s="60"/>
      <c r="C2183" s="65"/>
      <c r="D2183" s="60"/>
      <c r="E2183" s="59"/>
      <c r="F2183" s="62"/>
      <c r="G2183" s="63"/>
      <c r="H2183" s="64"/>
      <c r="I2183" s="65"/>
      <c r="J2183" s="65"/>
      <c r="K2183" s="65"/>
      <c r="L2183" s="65"/>
      <c r="M2183" s="65"/>
      <c r="N2183" s="65"/>
      <c r="O2183" s="81">
        <f t="shared" ref="O2183:O2245" si="102">IF(G2183="Reimbursement ","",I2183+J2183+K2183+L2183+M2183)</f>
        <v>0</v>
      </c>
      <c r="P2183" s="81">
        <f t="shared" ref="P2183:P2245" si="103">IF(G2183="Reimbursement ","",H2183-O2183)</f>
        <v>0</v>
      </c>
      <c r="Q2183" s="65"/>
      <c r="R2183" s="67"/>
      <c r="S2183" s="83">
        <f t="shared" ref="S2183:S2246" si="104">IF(OR(R2183="",Q2183=""),0,IF(R2183&gt;Q2183,R2183-Q2183,0))</f>
        <v>0</v>
      </c>
    </row>
    <row r="2184" spans="1:19" ht="18" customHeight="1" x14ac:dyDescent="0.25">
      <c r="A2184" s="68"/>
      <c r="B2184" s="69"/>
      <c r="C2184" s="74"/>
      <c r="D2184" s="69"/>
      <c r="E2184" s="68"/>
      <c r="F2184" s="71"/>
      <c r="G2184" s="72"/>
      <c r="H2184" s="73"/>
      <c r="I2184" s="74"/>
      <c r="J2184" s="74"/>
      <c r="K2184" s="74"/>
      <c r="L2184" s="74"/>
      <c r="M2184" s="74"/>
      <c r="N2184" s="74"/>
      <c r="O2184" s="82">
        <f t="shared" si="102"/>
        <v>0</v>
      </c>
      <c r="P2184" s="82">
        <f t="shared" si="103"/>
        <v>0</v>
      </c>
      <c r="Q2184" s="74"/>
      <c r="R2184" s="76"/>
      <c r="S2184" s="84">
        <f t="shared" si="104"/>
        <v>0</v>
      </c>
    </row>
    <row r="2185" spans="1:19" ht="18" customHeight="1" x14ac:dyDescent="0.25">
      <c r="A2185" s="59"/>
      <c r="B2185" s="60"/>
      <c r="C2185" s="65"/>
      <c r="D2185" s="60"/>
      <c r="E2185" s="59"/>
      <c r="F2185" s="62"/>
      <c r="G2185" s="63"/>
      <c r="H2185" s="64"/>
      <c r="I2185" s="65"/>
      <c r="J2185" s="65"/>
      <c r="K2185" s="65"/>
      <c r="L2185" s="65"/>
      <c r="M2185" s="65"/>
      <c r="N2185" s="65"/>
      <c r="O2185" s="81">
        <f t="shared" si="102"/>
        <v>0</v>
      </c>
      <c r="P2185" s="81">
        <f t="shared" si="103"/>
        <v>0</v>
      </c>
      <c r="Q2185" s="65"/>
      <c r="R2185" s="67"/>
      <c r="S2185" s="83">
        <f t="shared" si="104"/>
        <v>0</v>
      </c>
    </row>
    <row r="2186" spans="1:19" ht="18" customHeight="1" x14ac:dyDescent="0.25">
      <c r="A2186" s="68"/>
      <c r="B2186" s="69"/>
      <c r="C2186" s="74"/>
      <c r="D2186" s="69"/>
      <c r="E2186" s="68"/>
      <c r="F2186" s="71"/>
      <c r="G2186" s="72"/>
      <c r="H2186" s="73"/>
      <c r="I2186" s="74"/>
      <c r="J2186" s="74"/>
      <c r="K2186" s="74"/>
      <c r="L2186" s="74"/>
      <c r="M2186" s="74"/>
      <c r="N2186" s="74"/>
      <c r="O2186" s="82">
        <f t="shared" si="102"/>
        <v>0</v>
      </c>
      <c r="P2186" s="82">
        <f t="shared" si="103"/>
        <v>0</v>
      </c>
      <c r="Q2186" s="74"/>
      <c r="R2186" s="76"/>
      <c r="S2186" s="84">
        <f t="shared" si="104"/>
        <v>0</v>
      </c>
    </row>
    <row r="2187" spans="1:19" ht="18" customHeight="1" x14ac:dyDescent="0.25">
      <c r="A2187" s="59"/>
      <c r="B2187" s="60"/>
      <c r="C2187" s="65"/>
      <c r="D2187" s="60"/>
      <c r="E2187" s="59"/>
      <c r="F2187" s="62"/>
      <c r="G2187" s="63"/>
      <c r="H2187" s="64"/>
      <c r="I2187" s="65"/>
      <c r="J2187" s="65"/>
      <c r="K2187" s="65"/>
      <c r="L2187" s="65"/>
      <c r="M2187" s="65"/>
      <c r="N2187" s="65"/>
      <c r="O2187" s="81">
        <f t="shared" si="102"/>
        <v>0</v>
      </c>
      <c r="P2187" s="81">
        <f t="shared" si="103"/>
        <v>0</v>
      </c>
      <c r="Q2187" s="65"/>
      <c r="R2187" s="67"/>
      <c r="S2187" s="83">
        <f t="shared" si="104"/>
        <v>0</v>
      </c>
    </row>
    <row r="2188" spans="1:19" ht="18" customHeight="1" x14ac:dyDescent="0.25">
      <c r="A2188" s="68"/>
      <c r="B2188" s="69"/>
      <c r="C2188" s="74"/>
      <c r="D2188" s="69"/>
      <c r="E2188" s="68"/>
      <c r="F2188" s="71"/>
      <c r="G2188" s="72"/>
      <c r="H2188" s="73"/>
      <c r="I2188" s="74"/>
      <c r="J2188" s="74"/>
      <c r="K2188" s="74"/>
      <c r="L2188" s="74"/>
      <c r="M2188" s="74"/>
      <c r="N2188" s="74"/>
      <c r="O2188" s="82">
        <f t="shared" si="102"/>
        <v>0</v>
      </c>
      <c r="P2188" s="82">
        <f t="shared" si="103"/>
        <v>0</v>
      </c>
      <c r="Q2188" s="74"/>
      <c r="R2188" s="76"/>
      <c r="S2188" s="84">
        <f t="shared" si="104"/>
        <v>0</v>
      </c>
    </row>
    <row r="2189" spans="1:19" ht="18" customHeight="1" x14ac:dyDescent="0.25">
      <c r="A2189" s="59"/>
      <c r="B2189" s="60"/>
      <c r="C2189" s="65"/>
      <c r="D2189" s="60"/>
      <c r="E2189" s="59"/>
      <c r="F2189" s="62"/>
      <c r="G2189" s="63"/>
      <c r="H2189" s="64"/>
      <c r="I2189" s="65"/>
      <c r="J2189" s="65"/>
      <c r="K2189" s="65"/>
      <c r="L2189" s="65"/>
      <c r="M2189" s="65"/>
      <c r="N2189" s="65"/>
      <c r="O2189" s="81">
        <f t="shared" si="102"/>
        <v>0</v>
      </c>
      <c r="P2189" s="81">
        <f t="shared" si="103"/>
        <v>0</v>
      </c>
      <c r="Q2189" s="65"/>
      <c r="R2189" s="67"/>
      <c r="S2189" s="83">
        <f t="shared" si="104"/>
        <v>0</v>
      </c>
    </row>
    <row r="2190" spans="1:19" ht="18" customHeight="1" x14ac:dyDescent="0.25">
      <c r="A2190" s="68"/>
      <c r="B2190" s="69"/>
      <c r="C2190" s="74"/>
      <c r="D2190" s="69"/>
      <c r="E2190" s="68"/>
      <c r="F2190" s="71"/>
      <c r="G2190" s="72"/>
      <c r="H2190" s="73"/>
      <c r="I2190" s="74"/>
      <c r="J2190" s="74"/>
      <c r="K2190" s="74"/>
      <c r="L2190" s="74"/>
      <c r="M2190" s="74"/>
      <c r="N2190" s="74"/>
      <c r="O2190" s="82">
        <f t="shared" si="102"/>
        <v>0</v>
      </c>
      <c r="P2190" s="82">
        <f t="shared" si="103"/>
        <v>0</v>
      </c>
      <c r="Q2190" s="74"/>
      <c r="R2190" s="76"/>
      <c r="S2190" s="84">
        <f t="shared" si="104"/>
        <v>0</v>
      </c>
    </row>
    <row r="2191" spans="1:19" ht="18" customHeight="1" x14ac:dyDescent="0.25">
      <c r="A2191" s="59"/>
      <c r="B2191" s="60"/>
      <c r="C2191" s="65"/>
      <c r="D2191" s="60"/>
      <c r="E2191" s="59"/>
      <c r="F2191" s="62"/>
      <c r="G2191" s="63"/>
      <c r="H2191" s="64"/>
      <c r="I2191" s="65"/>
      <c r="J2191" s="65"/>
      <c r="K2191" s="65"/>
      <c r="L2191" s="65"/>
      <c r="M2191" s="65"/>
      <c r="N2191" s="65"/>
      <c r="O2191" s="81">
        <f t="shared" si="102"/>
        <v>0</v>
      </c>
      <c r="P2191" s="81">
        <f t="shared" si="103"/>
        <v>0</v>
      </c>
      <c r="Q2191" s="65"/>
      <c r="R2191" s="67"/>
      <c r="S2191" s="83">
        <f t="shared" si="104"/>
        <v>0</v>
      </c>
    </row>
    <row r="2192" spans="1:19" ht="18" customHeight="1" x14ac:dyDescent="0.25">
      <c r="A2192" s="68"/>
      <c r="B2192" s="69"/>
      <c r="C2192" s="74"/>
      <c r="D2192" s="69"/>
      <c r="E2192" s="68"/>
      <c r="F2192" s="71"/>
      <c r="G2192" s="72"/>
      <c r="H2192" s="73"/>
      <c r="I2192" s="74"/>
      <c r="J2192" s="74"/>
      <c r="K2192" s="74"/>
      <c r="L2192" s="74"/>
      <c r="M2192" s="74"/>
      <c r="N2192" s="74"/>
      <c r="O2192" s="82">
        <f t="shared" si="102"/>
        <v>0</v>
      </c>
      <c r="P2192" s="82">
        <f t="shared" si="103"/>
        <v>0</v>
      </c>
      <c r="Q2192" s="74"/>
      <c r="R2192" s="76"/>
      <c r="S2192" s="84">
        <f t="shared" si="104"/>
        <v>0</v>
      </c>
    </row>
    <row r="2193" spans="1:19" ht="18" customHeight="1" x14ac:dyDescent="0.25">
      <c r="A2193" s="59"/>
      <c r="B2193" s="60"/>
      <c r="C2193" s="65"/>
      <c r="D2193" s="60"/>
      <c r="E2193" s="59"/>
      <c r="F2193" s="62"/>
      <c r="G2193" s="63"/>
      <c r="H2193" s="64"/>
      <c r="I2193" s="65"/>
      <c r="J2193" s="65"/>
      <c r="K2193" s="65"/>
      <c r="L2193" s="65"/>
      <c r="M2193" s="65"/>
      <c r="N2193" s="65"/>
      <c r="O2193" s="81">
        <f t="shared" si="102"/>
        <v>0</v>
      </c>
      <c r="P2193" s="81">
        <f t="shared" si="103"/>
        <v>0</v>
      </c>
      <c r="Q2193" s="65"/>
      <c r="R2193" s="67"/>
      <c r="S2193" s="83">
        <f t="shared" si="104"/>
        <v>0</v>
      </c>
    </row>
    <row r="2194" spans="1:19" ht="18" customHeight="1" x14ac:dyDescent="0.25">
      <c r="A2194" s="68"/>
      <c r="B2194" s="69"/>
      <c r="C2194" s="74"/>
      <c r="D2194" s="69"/>
      <c r="E2194" s="68"/>
      <c r="F2194" s="71"/>
      <c r="G2194" s="72"/>
      <c r="H2194" s="73"/>
      <c r="I2194" s="74"/>
      <c r="J2194" s="74"/>
      <c r="K2194" s="74"/>
      <c r="L2194" s="74"/>
      <c r="M2194" s="74"/>
      <c r="N2194" s="74"/>
      <c r="O2194" s="82">
        <f t="shared" si="102"/>
        <v>0</v>
      </c>
      <c r="P2194" s="82">
        <f t="shared" si="103"/>
        <v>0</v>
      </c>
      <c r="Q2194" s="74"/>
      <c r="R2194" s="76"/>
      <c r="S2194" s="84">
        <f t="shared" si="104"/>
        <v>0</v>
      </c>
    </row>
    <row r="2195" spans="1:19" ht="18" customHeight="1" x14ac:dyDescent="0.25">
      <c r="A2195" s="59"/>
      <c r="B2195" s="60"/>
      <c r="C2195" s="65"/>
      <c r="D2195" s="60"/>
      <c r="E2195" s="59"/>
      <c r="F2195" s="62"/>
      <c r="G2195" s="63"/>
      <c r="H2195" s="64"/>
      <c r="I2195" s="65"/>
      <c r="J2195" s="65"/>
      <c r="K2195" s="65"/>
      <c r="L2195" s="65"/>
      <c r="M2195" s="65"/>
      <c r="N2195" s="65"/>
      <c r="O2195" s="81">
        <f t="shared" si="102"/>
        <v>0</v>
      </c>
      <c r="P2195" s="81">
        <f t="shared" si="103"/>
        <v>0</v>
      </c>
      <c r="Q2195" s="65"/>
      <c r="R2195" s="67"/>
      <c r="S2195" s="83">
        <f t="shared" si="104"/>
        <v>0</v>
      </c>
    </row>
    <row r="2196" spans="1:19" ht="18" customHeight="1" x14ac:dyDescent="0.25">
      <c r="A2196" s="68"/>
      <c r="B2196" s="69"/>
      <c r="C2196" s="74"/>
      <c r="D2196" s="69"/>
      <c r="E2196" s="68"/>
      <c r="F2196" s="71"/>
      <c r="G2196" s="72"/>
      <c r="H2196" s="73"/>
      <c r="I2196" s="74"/>
      <c r="J2196" s="74"/>
      <c r="K2196" s="74"/>
      <c r="L2196" s="74"/>
      <c r="M2196" s="74"/>
      <c r="N2196" s="74"/>
      <c r="O2196" s="82">
        <f t="shared" si="102"/>
        <v>0</v>
      </c>
      <c r="P2196" s="82">
        <f t="shared" si="103"/>
        <v>0</v>
      </c>
      <c r="Q2196" s="74"/>
      <c r="R2196" s="76"/>
      <c r="S2196" s="84">
        <f t="shared" si="104"/>
        <v>0</v>
      </c>
    </row>
    <row r="2197" spans="1:19" ht="18" customHeight="1" x14ac:dyDescent="0.25">
      <c r="A2197" s="59"/>
      <c r="B2197" s="60"/>
      <c r="C2197" s="65"/>
      <c r="D2197" s="60"/>
      <c r="E2197" s="59"/>
      <c r="F2197" s="62"/>
      <c r="G2197" s="63"/>
      <c r="H2197" s="64"/>
      <c r="I2197" s="65"/>
      <c r="J2197" s="65"/>
      <c r="K2197" s="65"/>
      <c r="L2197" s="65"/>
      <c r="M2197" s="65"/>
      <c r="N2197" s="65"/>
      <c r="O2197" s="81">
        <f t="shared" si="102"/>
        <v>0</v>
      </c>
      <c r="P2197" s="81">
        <f t="shared" si="103"/>
        <v>0</v>
      </c>
      <c r="Q2197" s="65"/>
      <c r="R2197" s="67"/>
      <c r="S2197" s="83">
        <f t="shared" si="104"/>
        <v>0</v>
      </c>
    </row>
    <row r="2198" spans="1:19" ht="18" customHeight="1" x14ac:dyDescent="0.25">
      <c r="A2198" s="68"/>
      <c r="B2198" s="69"/>
      <c r="C2198" s="74"/>
      <c r="D2198" s="69"/>
      <c r="E2198" s="68"/>
      <c r="F2198" s="71"/>
      <c r="G2198" s="72"/>
      <c r="H2198" s="73"/>
      <c r="I2198" s="74"/>
      <c r="J2198" s="74"/>
      <c r="K2198" s="74"/>
      <c r="L2198" s="74"/>
      <c r="M2198" s="74"/>
      <c r="N2198" s="74"/>
      <c r="O2198" s="82">
        <f t="shared" si="102"/>
        <v>0</v>
      </c>
      <c r="P2198" s="82">
        <f t="shared" si="103"/>
        <v>0</v>
      </c>
      <c r="Q2198" s="74"/>
      <c r="R2198" s="76"/>
      <c r="S2198" s="84">
        <f t="shared" si="104"/>
        <v>0</v>
      </c>
    </row>
    <row r="2199" spans="1:19" ht="18" customHeight="1" x14ac:dyDescent="0.25">
      <c r="A2199" s="59"/>
      <c r="B2199" s="60"/>
      <c r="C2199" s="65"/>
      <c r="D2199" s="60"/>
      <c r="E2199" s="59"/>
      <c r="F2199" s="62"/>
      <c r="G2199" s="63"/>
      <c r="H2199" s="64"/>
      <c r="I2199" s="65"/>
      <c r="J2199" s="65"/>
      <c r="K2199" s="65"/>
      <c r="L2199" s="65"/>
      <c r="M2199" s="65"/>
      <c r="N2199" s="65"/>
      <c r="O2199" s="81">
        <f t="shared" si="102"/>
        <v>0</v>
      </c>
      <c r="P2199" s="81">
        <f t="shared" si="103"/>
        <v>0</v>
      </c>
      <c r="Q2199" s="65"/>
      <c r="R2199" s="67"/>
      <c r="S2199" s="83">
        <f t="shared" si="104"/>
        <v>0</v>
      </c>
    </row>
    <row r="2200" spans="1:19" ht="18" customHeight="1" x14ac:dyDescent="0.25">
      <c r="A2200" s="68"/>
      <c r="B2200" s="69"/>
      <c r="C2200" s="74"/>
      <c r="D2200" s="69"/>
      <c r="E2200" s="68"/>
      <c r="F2200" s="71"/>
      <c r="G2200" s="72"/>
      <c r="H2200" s="73"/>
      <c r="I2200" s="74"/>
      <c r="J2200" s="74"/>
      <c r="K2200" s="74"/>
      <c r="L2200" s="74"/>
      <c r="M2200" s="74"/>
      <c r="N2200" s="74"/>
      <c r="O2200" s="82">
        <f t="shared" si="102"/>
        <v>0</v>
      </c>
      <c r="P2200" s="82">
        <f t="shared" si="103"/>
        <v>0</v>
      </c>
      <c r="Q2200" s="74"/>
      <c r="R2200" s="76"/>
      <c r="S2200" s="84">
        <f t="shared" si="104"/>
        <v>0</v>
      </c>
    </row>
    <row r="2201" spans="1:19" ht="18" customHeight="1" x14ac:dyDescent="0.25">
      <c r="A2201" s="59"/>
      <c r="B2201" s="60"/>
      <c r="C2201" s="65"/>
      <c r="D2201" s="60"/>
      <c r="E2201" s="59"/>
      <c r="F2201" s="62"/>
      <c r="G2201" s="63"/>
      <c r="H2201" s="64"/>
      <c r="I2201" s="65"/>
      <c r="J2201" s="65"/>
      <c r="K2201" s="65"/>
      <c r="L2201" s="65"/>
      <c r="M2201" s="65"/>
      <c r="N2201" s="65"/>
      <c r="O2201" s="81">
        <f t="shared" si="102"/>
        <v>0</v>
      </c>
      <c r="P2201" s="81">
        <f t="shared" si="103"/>
        <v>0</v>
      </c>
      <c r="Q2201" s="65"/>
      <c r="R2201" s="67"/>
      <c r="S2201" s="83">
        <f t="shared" si="104"/>
        <v>0</v>
      </c>
    </row>
    <row r="2202" spans="1:19" ht="18" customHeight="1" x14ac:dyDescent="0.25">
      <c r="A2202" s="68"/>
      <c r="B2202" s="69"/>
      <c r="C2202" s="74"/>
      <c r="D2202" s="69"/>
      <c r="E2202" s="68"/>
      <c r="F2202" s="71"/>
      <c r="G2202" s="72"/>
      <c r="H2202" s="73"/>
      <c r="I2202" s="74"/>
      <c r="J2202" s="74"/>
      <c r="K2202" s="74"/>
      <c r="L2202" s="74"/>
      <c r="M2202" s="74"/>
      <c r="N2202" s="74"/>
      <c r="O2202" s="82">
        <f t="shared" si="102"/>
        <v>0</v>
      </c>
      <c r="P2202" s="82">
        <f t="shared" si="103"/>
        <v>0</v>
      </c>
      <c r="Q2202" s="74"/>
      <c r="R2202" s="76"/>
      <c r="S2202" s="84">
        <f t="shared" si="104"/>
        <v>0</v>
      </c>
    </row>
    <row r="2203" spans="1:19" ht="18" customHeight="1" x14ac:dyDescent="0.25">
      <c r="A2203" s="59"/>
      <c r="B2203" s="60"/>
      <c r="C2203" s="65"/>
      <c r="D2203" s="60"/>
      <c r="E2203" s="59"/>
      <c r="F2203" s="62"/>
      <c r="G2203" s="63"/>
      <c r="H2203" s="64"/>
      <c r="I2203" s="65"/>
      <c r="J2203" s="65"/>
      <c r="K2203" s="65"/>
      <c r="L2203" s="65"/>
      <c r="M2203" s="65"/>
      <c r="N2203" s="65"/>
      <c r="O2203" s="81">
        <f t="shared" si="102"/>
        <v>0</v>
      </c>
      <c r="P2203" s="81">
        <f t="shared" si="103"/>
        <v>0</v>
      </c>
      <c r="Q2203" s="65"/>
      <c r="R2203" s="67"/>
      <c r="S2203" s="83">
        <f t="shared" si="104"/>
        <v>0</v>
      </c>
    </row>
    <row r="2204" spans="1:19" ht="18" customHeight="1" x14ac:dyDescent="0.25">
      <c r="A2204" s="68"/>
      <c r="B2204" s="69"/>
      <c r="C2204" s="74"/>
      <c r="D2204" s="69"/>
      <c r="E2204" s="68"/>
      <c r="F2204" s="71"/>
      <c r="G2204" s="72"/>
      <c r="H2204" s="73"/>
      <c r="I2204" s="74"/>
      <c r="J2204" s="74"/>
      <c r="K2204" s="74"/>
      <c r="L2204" s="74"/>
      <c r="M2204" s="74"/>
      <c r="N2204" s="74"/>
      <c r="O2204" s="82">
        <f t="shared" si="102"/>
        <v>0</v>
      </c>
      <c r="P2204" s="82">
        <f t="shared" si="103"/>
        <v>0</v>
      </c>
      <c r="Q2204" s="74"/>
      <c r="R2204" s="76"/>
      <c r="S2204" s="84">
        <f t="shared" si="104"/>
        <v>0</v>
      </c>
    </row>
    <row r="2205" spans="1:19" ht="18" customHeight="1" x14ac:dyDescent="0.25">
      <c r="A2205" s="59"/>
      <c r="B2205" s="60"/>
      <c r="C2205" s="65"/>
      <c r="D2205" s="60"/>
      <c r="E2205" s="59"/>
      <c r="F2205" s="62"/>
      <c r="G2205" s="63"/>
      <c r="H2205" s="64"/>
      <c r="I2205" s="65"/>
      <c r="J2205" s="65"/>
      <c r="K2205" s="65"/>
      <c r="L2205" s="65"/>
      <c r="M2205" s="65"/>
      <c r="N2205" s="65"/>
      <c r="O2205" s="81">
        <f t="shared" si="102"/>
        <v>0</v>
      </c>
      <c r="P2205" s="81">
        <f t="shared" si="103"/>
        <v>0</v>
      </c>
      <c r="Q2205" s="65"/>
      <c r="R2205" s="67"/>
      <c r="S2205" s="83">
        <f t="shared" si="104"/>
        <v>0</v>
      </c>
    </row>
    <row r="2206" spans="1:19" ht="18" customHeight="1" x14ac:dyDescent="0.25">
      <c r="A2206" s="68"/>
      <c r="B2206" s="69"/>
      <c r="C2206" s="74"/>
      <c r="D2206" s="69"/>
      <c r="E2206" s="68"/>
      <c r="F2206" s="71"/>
      <c r="G2206" s="72"/>
      <c r="H2206" s="73"/>
      <c r="I2206" s="74"/>
      <c r="J2206" s="74"/>
      <c r="K2206" s="74"/>
      <c r="L2206" s="74"/>
      <c r="M2206" s="74"/>
      <c r="N2206" s="74"/>
      <c r="O2206" s="82">
        <f t="shared" si="102"/>
        <v>0</v>
      </c>
      <c r="P2206" s="82">
        <f t="shared" si="103"/>
        <v>0</v>
      </c>
      <c r="Q2206" s="74"/>
      <c r="R2206" s="76"/>
      <c r="S2206" s="84">
        <f t="shared" si="104"/>
        <v>0</v>
      </c>
    </row>
    <row r="2207" spans="1:19" ht="18" customHeight="1" x14ac:dyDescent="0.25">
      <c r="A2207" s="59"/>
      <c r="B2207" s="60"/>
      <c r="C2207" s="65"/>
      <c r="D2207" s="60"/>
      <c r="E2207" s="59"/>
      <c r="F2207" s="62"/>
      <c r="G2207" s="63"/>
      <c r="H2207" s="64"/>
      <c r="I2207" s="65"/>
      <c r="J2207" s="65"/>
      <c r="K2207" s="65"/>
      <c r="L2207" s="65"/>
      <c r="M2207" s="65"/>
      <c r="N2207" s="65"/>
      <c r="O2207" s="81">
        <f t="shared" si="102"/>
        <v>0</v>
      </c>
      <c r="P2207" s="81">
        <f t="shared" si="103"/>
        <v>0</v>
      </c>
      <c r="Q2207" s="65"/>
      <c r="R2207" s="67"/>
      <c r="S2207" s="83">
        <f t="shared" si="104"/>
        <v>0</v>
      </c>
    </row>
    <row r="2208" spans="1:19" ht="18" customHeight="1" x14ac:dyDescent="0.25">
      <c r="A2208" s="68"/>
      <c r="B2208" s="69"/>
      <c r="C2208" s="74"/>
      <c r="D2208" s="69"/>
      <c r="E2208" s="68"/>
      <c r="F2208" s="71"/>
      <c r="G2208" s="72"/>
      <c r="H2208" s="73"/>
      <c r="I2208" s="74"/>
      <c r="J2208" s="74"/>
      <c r="K2208" s="74"/>
      <c r="L2208" s="74"/>
      <c r="M2208" s="74"/>
      <c r="N2208" s="74"/>
      <c r="O2208" s="82">
        <f t="shared" si="102"/>
        <v>0</v>
      </c>
      <c r="P2208" s="82">
        <f t="shared" si="103"/>
        <v>0</v>
      </c>
      <c r="Q2208" s="74"/>
      <c r="R2208" s="76"/>
      <c r="S2208" s="84">
        <f t="shared" si="104"/>
        <v>0</v>
      </c>
    </row>
    <row r="2209" spans="1:19" ht="18" customHeight="1" x14ac:dyDescent="0.25">
      <c r="A2209" s="59"/>
      <c r="B2209" s="60"/>
      <c r="C2209" s="65"/>
      <c r="D2209" s="60"/>
      <c r="E2209" s="59"/>
      <c r="F2209" s="62"/>
      <c r="G2209" s="63"/>
      <c r="H2209" s="64"/>
      <c r="I2209" s="65"/>
      <c r="J2209" s="65"/>
      <c r="K2209" s="65"/>
      <c r="L2209" s="65"/>
      <c r="M2209" s="65"/>
      <c r="N2209" s="65"/>
      <c r="O2209" s="81">
        <f t="shared" si="102"/>
        <v>0</v>
      </c>
      <c r="P2209" s="81">
        <f t="shared" si="103"/>
        <v>0</v>
      </c>
      <c r="Q2209" s="65"/>
      <c r="R2209" s="67"/>
      <c r="S2209" s="83">
        <f t="shared" si="104"/>
        <v>0</v>
      </c>
    </row>
    <row r="2210" spans="1:19" ht="18" customHeight="1" x14ac:dyDescent="0.25">
      <c r="A2210" s="68"/>
      <c r="B2210" s="69"/>
      <c r="C2210" s="74"/>
      <c r="D2210" s="69"/>
      <c r="E2210" s="68"/>
      <c r="F2210" s="71"/>
      <c r="G2210" s="72"/>
      <c r="H2210" s="73"/>
      <c r="I2210" s="74"/>
      <c r="J2210" s="74"/>
      <c r="K2210" s="74"/>
      <c r="L2210" s="74"/>
      <c r="M2210" s="74"/>
      <c r="N2210" s="74"/>
      <c r="O2210" s="82">
        <f t="shared" si="102"/>
        <v>0</v>
      </c>
      <c r="P2210" s="82">
        <f t="shared" si="103"/>
        <v>0</v>
      </c>
      <c r="Q2210" s="74"/>
      <c r="R2210" s="76"/>
      <c r="S2210" s="84">
        <f t="shared" si="104"/>
        <v>0</v>
      </c>
    </row>
    <row r="2211" spans="1:19" ht="18" customHeight="1" x14ac:dyDescent="0.25">
      <c r="A2211" s="59"/>
      <c r="B2211" s="60"/>
      <c r="C2211" s="65"/>
      <c r="D2211" s="60"/>
      <c r="E2211" s="59"/>
      <c r="F2211" s="62"/>
      <c r="G2211" s="63"/>
      <c r="H2211" s="64"/>
      <c r="I2211" s="65"/>
      <c r="J2211" s="65"/>
      <c r="K2211" s="65"/>
      <c r="L2211" s="65"/>
      <c r="M2211" s="65"/>
      <c r="N2211" s="65"/>
      <c r="O2211" s="81">
        <f t="shared" si="102"/>
        <v>0</v>
      </c>
      <c r="P2211" s="81">
        <f t="shared" si="103"/>
        <v>0</v>
      </c>
      <c r="Q2211" s="65"/>
      <c r="R2211" s="67"/>
      <c r="S2211" s="83">
        <f t="shared" si="104"/>
        <v>0</v>
      </c>
    </row>
    <row r="2212" spans="1:19" ht="18" customHeight="1" x14ac:dyDescent="0.25">
      <c r="A2212" s="68"/>
      <c r="B2212" s="69"/>
      <c r="C2212" s="74"/>
      <c r="D2212" s="69"/>
      <c r="E2212" s="68"/>
      <c r="F2212" s="71"/>
      <c r="G2212" s="72"/>
      <c r="H2212" s="73"/>
      <c r="I2212" s="74"/>
      <c r="J2212" s="74"/>
      <c r="K2212" s="74"/>
      <c r="L2212" s="74"/>
      <c r="M2212" s="74"/>
      <c r="N2212" s="74"/>
      <c r="O2212" s="82">
        <f t="shared" si="102"/>
        <v>0</v>
      </c>
      <c r="P2212" s="82">
        <f t="shared" si="103"/>
        <v>0</v>
      </c>
      <c r="Q2212" s="74"/>
      <c r="R2212" s="76"/>
      <c r="S2212" s="84">
        <f t="shared" si="104"/>
        <v>0</v>
      </c>
    </row>
    <row r="2213" spans="1:19" ht="18" customHeight="1" x14ac:dyDescent="0.25">
      <c r="A2213" s="59"/>
      <c r="B2213" s="60"/>
      <c r="C2213" s="65"/>
      <c r="D2213" s="60"/>
      <c r="E2213" s="59"/>
      <c r="F2213" s="62"/>
      <c r="G2213" s="63"/>
      <c r="H2213" s="64"/>
      <c r="I2213" s="65"/>
      <c r="J2213" s="65"/>
      <c r="K2213" s="65"/>
      <c r="L2213" s="65"/>
      <c r="M2213" s="65"/>
      <c r="N2213" s="65"/>
      <c r="O2213" s="81">
        <f t="shared" si="102"/>
        <v>0</v>
      </c>
      <c r="P2213" s="81">
        <f t="shared" si="103"/>
        <v>0</v>
      </c>
      <c r="Q2213" s="65"/>
      <c r="R2213" s="67"/>
      <c r="S2213" s="83">
        <f t="shared" si="104"/>
        <v>0</v>
      </c>
    </row>
    <row r="2214" spans="1:19" ht="18" customHeight="1" x14ac:dyDescent="0.25">
      <c r="A2214" s="68"/>
      <c r="B2214" s="69"/>
      <c r="C2214" s="74"/>
      <c r="D2214" s="69"/>
      <c r="E2214" s="68"/>
      <c r="F2214" s="71"/>
      <c r="G2214" s="72"/>
      <c r="H2214" s="73"/>
      <c r="I2214" s="74"/>
      <c r="J2214" s="74"/>
      <c r="K2214" s="74"/>
      <c r="L2214" s="74"/>
      <c r="M2214" s="74"/>
      <c r="N2214" s="74"/>
      <c r="O2214" s="82">
        <f t="shared" si="102"/>
        <v>0</v>
      </c>
      <c r="P2214" s="82">
        <f t="shared" si="103"/>
        <v>0</v>
      </c>
      <c r="Q2214" s="74"/>
      <c r="R2214" s="76"/>
      <c r="S2214" s="84">
        <f t="shared" si="104"/>
        <v>0</v>
      </c>
    </row>
    <row r="2215" spans="1:19" ht="18" customHeight="1" x14ac:dyDescent="0.25">
      <c r="A2215" s="59"/>
      <c r="B2215" s="60"/>
      <c r="C2215" s="65"/>
      <c r="D2215" s="60"/>
      <c r="E2215" s="59"/>
      <c r="F2215" s="62"/>
      <c r="G2215" s="63"/>
      <c r="H2215" s="64"/>
      <c r="I2215" s="65"/>
      <c r="J2215" s="65"/>
      <c r="K2215" s="65"/>
      <c r="L2215" s="65"/>
      <c r="M2215" s="65"/>
      <c r="N2215" s="65"/>
      <c r="O2215" s="81">
        <f t="shared" si="102"/>
        <v>0</v>
      </c>
      <c r="P2215" s="81">
        <f t="shared" si="103"/>
        <v>0</v>
      </c>
      <c r="Q2215" s="65"/>
      <c r="R2215" s="67"/>
      <c r="S2215" s="83">
        <f t="shared" si="104"/>
        <v>0</v>
      </c>
    </row>
    <row r="2216" spans="1:19" ht="18" customHeight="1" x14ac:dyDescent="0.25">
      <c r="A2216" s="68"/>
      <c r="B2216" s="69"/>
      <c r="C2216" s="74"/>
      <c r="D2216" s="69"/>
      <c r="E2216" s="68"/>
      <c r="F2216" s="71"/>
      <c r="G2216" s="72"/>
      <c r="H2216" s="73"/>
      <c r="I2216" s="74"/>
      <c r="J2216" s="74"/>
      <c r="K2216" s="74"/>
      <c r="L2216" s="74"/>
      <c r="M2216" s="74"/>
      <c r="N2216" s="74"/>
      <c r="O2216" s="82">
        <f t="shared" si="102"/>
        <v>0</v>
      </c>
      <c r="P2216" s="82">
        <f t="shared" si="103"/>
        <v>0</v>
      </c>
      <c r="Q2216" s="74"/>
      <c r="R2216" s="76"/>
      <c r="S2216" s="84">
        <f t="shared" si="104"/>
        <v>0</v>
      </c>
    </row>
    <row r="2217" spans="1:19" ht="18" customHeight="1" x14ac:dyDescent="0.25">
      <c r="A2217" s="59"/>
      <c r="B2217" s="60"/>
      <c r="C2217" s="65"/>
      <c r="D2217" s="60"/>
      <c r="E2217" s="59"/>
      <c r="F2217" s="62"/>
      <c r="G2217" s="63"/>
      <c r="H2217" s="64"/>
      <c r="I2217" s="65"/>
      <c r="J2217" s="65"/>
      <c r="K2217" s="65"/>
      <c r="L2217" s="65"/>
      <c r="M2217" s="65"/>
      <c r="N2217" s="65"/>
      <c r="O2217" s="81">
        <f t="shared" si="102"/>
        <v>0</v>
      </c>
      <c r="P2217" s="81">
        <f t="shared" si="103"/>
        <v>0</v>
      </c>
      <c r="Q2217" s="65"/>
      <c r="R2217" s="67"/>
      <c r="S2217" s="83">
        <f t="shared" si="104"/>
        <v>0</v>
      </c>
    </row>
    <row r="2218" spans="1:19" ht="18" customHeight="1" x14ac:dyDescent="0.25">
      <c r="A2218" s="68"/>
      <c r="B2218" s="69"/>
      <c r="C2218" s="74"/>
      <c r="D2218" s="69"/>
      <c r="E2218" s="68"/>
      <c r="F2218" s="71"/>
      <c r="G2218" s="72"/>
      <c r="H2218" s="73"/>
      <c r="I2218" s="74"/>
      <c r="J2218" s="74"/>
      <c r="K2218" s="74"/>
      <c r="L2218" s="74"/>
      <c r="M2218" s="74"/>
      <c r="N2218" s="74"/>
      <c r="O2218" s="82">
        <f t="shared" si="102"/>
        <v>0</v>
      </c>
      <c r="P2218" s="82">
        <f t="shared" si="103"/>
        <v>0</v>
      </c>
      <c r="Q2218" s="74"/>
      <c r="R2218" s="76"/>
      <c r="S2218" s="84">
        <f t="shared" si="104"/>
        <v>0</v>
      </c>
    </row>
    <row r="2219" spans="1:19" ht="18" customHeight="1" x14ac:dyDescent="0.25">
      <c r="A2219" s="59"/>
      <c r="B2219" s="60"/>
      <c r="C2219" s="65"/>
      <c r="D2219" s="60"/>
      <c r="E2219" s="59"/>
      <c r="F2219" s="62"/>
      <c r="G2219" s="63"/>
      <c r="H2219" s="64"/>
      <c r="I2219" s="65"/>
      <c r="J2219" s="65"/>
      <c r="K2219" s="65"/>
      <c r="L2219" s="65"/>
      <c r="M2219" s="65"/>
      <c r="N2219" s="65"/>
      <c r="O2219" s="81">
        <f t="shared" si="102"/>
        <v>0</v>
      </c>
      <c r="P2219" s="81">
        <f t="shared" si="103"/>
        <v>0</v>
      </c>
      <c r="Q2219" s="65"/>
      <c r="R2219" s="67"/>
      <c r="S2219" s="83">
        <f t="shared" si="104"/>
        <v>0</v>
      </c>
    </row>
    <row r="2220" spans="1:19" ht="18" customHeight="1" x14ac:dyDescent="0.25">
      <c r="A2220" s="68"/>
      <c r="B2220" s="69"/>
      <c r="C2220" s="74"/>
      <c r="D2220" s="69"/>
      <c r="E2220" s="68"/>
      <c r="F2220" s="71"/>
      <c r="G2220" s="72"/>
      <c r="H2220" s="73"/>
      <c r="I2220" s="74"/>
      <c r="J2220" s="74"/>
      <c r="K2220" s="74"/>
      <c r="L2220" s="74"/>
      <c r="M2220" s="74"/>
      <c r="N2220" s="74"/>
      <c r="O2220" s="82">
        <f t="shared" si="102"/>
        <v>0</v>
      </c>
      <c r="P2220" s="82">
        <f t="shared" si="103"/>
        <v>0</v>
      </c>
      <c r="Q2220" s="74"/>
      <c r="R2220" s="76"/>
      <c r="S2220" s="84">
        <f t="shared" si="104"/>
        <v>0</v>
      </c>
    </row>
    <row r="2221" spans="1:19" ht="18" customHeight="1" x14ac:dyDescent="0.25">
      <c r="A2221" s="59"/>
      <c r="B2221" s="60"/>
      <c r="C2221" s="65"/>
      <c r="D2221" s="60"/>
      <c r="E2221" s="59"/>
      <c r="F2221" s="62"/>
      <c r="G2221" s="63"/>
      <c r="H2221" s="64"/>
      <c r="I2221" s="65"/>
      <c r="J2221" s="65"/>
      <c r="K2221" s="65"/>
      <c r="L2221" s="65"/>
      <c r="M2221" s="65"/>
      <c r="N2221" s="65"/>
      <c r="O2221" s="81">
        <f t="shared" si="102"/>
        <v>0</v>
      </c>
      <c r="P2221" s="81">
        <f t="shared" si="103"/>
        <v>0</v>
      </c>
      <c r="Q2221" s="65"/>
      <c r="R2221" s="67"/>
      <c r="S2221" s="83">
        <f t="shared" si="104"/>
        <v>0</v>
      </c>
    </row>
    <row r="2222" spans="1:19" ht="18" customHeight="1" x14ac:dyDescent="0.25">
      <c r="A2222" s="68"/>
      <c r="B2222" s="69"/>
      <c r="C2222" s="74"/>
      <c r="D2222" s="69"/>
      <c r="E2222" s="68"/>
      <c r="F2222" s="71"/>
      <c r="G2222" s="72"/>
      <c r="H2222" s="73"/>
      <c r="I2222" s="74"/>
      <c r="J2222" s="74"/>
      <c r="K2222" s="74"/>
      <c r="L2222" s="74"/>
      <c r="M2222" s="74"/>
      <c r="N2222" s="74"/>
      <c r="O2222" s="82">
        <f t="shared" si="102"/>
        <v>0</v>
      </c>
      <c r="P2222" s="82">
        <f t="shared" si="103"/>
        <v>0</v>
      </c>
      <c r="Q2222" s="74"/>
      <c r="R2222" s="76"/>
      <c r="S2222" s="84">
        <f t="shared" si="104"/>
        <v>0</v>
      </c>
    </row>
    <row r="2223" spans="1:19" ht="18" customHeight="1" x14ac:dyDescent="0.25">
      <c r="A2223" s="59"/>
      <c r="B2223" s="60"/>
      <c r="C2223" s="65"/>
      <c r="D2223" s="60"/>
      <c r="E2223" s="59"/>
      <c r="F2223" s="62"/>
      <c r="G2223" s="63"/>
      <c r="H2223" s="64"/>
      <c r="I2223" s="65"/>
      <c r="J2223" s="65"/>
      <c r="K2223" s="65"/>
      <c r="L2223" s="65"/>
      <c r="M2223" s="65"/>
      <c r="N2223" s="65"/>
      <c r="O2223" s="81">
        <f t="shared" si="102"/>
        <v>0</v>
      </c>
      <c r="P2223" s="81">
        <f t="shared" si="103"/>
        <v>0</v>
      </c>
      <c r="Q2223" s="65"/>
      <c r="R2223" s="67"/>
      <c r="S2223" s="83">
        <f t="shared" si="104"/>
        <v>0</v>
      </c>
    </row>
    <row r="2224" spans="1:19" ht="18" customHeight="1" x14ac:dyDescent="0.25">
      <c r="A2224" s="68"/>
      <c r="B2224" s="69"/>
      <c r="C2224" s="74"/>
      <c r="D2224" s="69"/>
      <c r="E2224" s="68"/>
      <c r="F2224" s="71"/>
      <c r="G2224" s="72"/>
      <c r="H2224" s="73"/>
      <c r="I2224" s="74"/>
      <c r="J2224" s="74"/>
      <c r="K2224" s="74"/>
      <c r="L2224" s="74"/>
      <c r="M2224" s="74"/>
      <c r="N2224" s="74"/>
      <c r="O2224" s="82">
        <f t="shared" si="102"/>
        <v>0</v>
      </c>
      <c r="P2224" s="82">
        <f t="shared" si="103"/>
        <v>0</v>
      </c>
      <c r="Q2224" s="74"/>
      <c r="R2224" s="76"/>
      <c r="S2224" s="84">
        <f t="shared" si="104"/>
        <v>0</v>
      </c>
    </row>
    <row r="2225" spans="1:19" ht="18" customHeight="1" x14ac:dyDescent="0.25">
      <c r="A2225" s="59"/>
      <c r="B2225" s="60"/>
      <c r="C2225" s="65"/>
      <c r="D2225" s="60"/>
      <c r="E2225" s="59"/>
      <c r="F2225" s="62"/>
      <c r="G2225" s="63"/>
      <c r="H2225" s="64"/>
      <c r="I2225" s="65"/>
      <c r="J2225" s="65"/>
      <c r="K2225" s="65"/>
      <c r="L2225" s="65"/>
      <c r="M2225" s="65"/>
      <c r="N2225" s="65"/>
      <c r="O2225" s="81">
        <f t="shared" si="102"/>
        <v>0</v>
      </c>
      <c r="P2225" s="81">
        <f t="shared" si="103"/>
        <v>0</v>
      </c>
      <c r="Q2225" s="65"/>
      <c r="R2225" s="67"/>
      <c r="S2225" s="83">
        <f t="shared" si="104"/>
        <v>0</v>
      </c>
    </row>
    <row r="2226" spans="1:19" ht="18" customHeight="1" x14ac:dyDescent="0.25">
      <c r="A2226" s="68"/>
      <c r="B2226" s="69"/>
      <c r="C2226" s="74"/>
      <c r="D2226" s="69"/>
      <c r="E2226" s="68"/>
      <c r="F2226" s="71"/>
      <c r="G2226" s="72"/>
      <c r="H2226" s="73"/>
      <c r="I2226" s="74"/>
      <c r="J2226" s="74"/>
      <c r="K2226" s="74"/>
      <c r="L2226" s="74"/>
      <c r="M2226" s="74"/>
      <c r="N2226" s="74"/>
      <c r="O2226" s="82">
        <f t="shared" si="102"/>
        <v>0</v>
      </c>
      <c r="P2226" s="82">
        <f t="shared" si="103"/>
        <v>0</v>
      </c>
      <c r="Q2226" s="74"/>
      <c r="R2226" s="76"/>
      <c r="S2226" s="84">
        <f t="shared" si="104"/>
        <v>0</v>
      </c>
    </row>
    <row r="2227" spans="1:19" ht="18" customHeight="1" x14ac:dyDescent="0.25">
      <c r="A2227" s="59"/>
      <c r="B2227" s="60"/>
      <c r="C2227" s="65"/>
      <c r="D2227" s="60"/>
      <c r="E2227" s="59"/>
      <c r="F2227" s="62"/>
      <c r="G2227" s="63"/>
      <c r="H2227" s="64"/>
      <c r="I2227" s="65"/>
      <c r="J2227" s="65"/>
      <c r="K2227" s="65"/>
      <c r="L2227" s="65"/>
      <c r="M2227" s="65"/>
      <c r="N2227" s="65"/>
      <c r="O2227" s="81">
        <f t="shared" si="102"/>
        <v>0</v>
      </c>
      <c r="P2227" s="81">
        <f t="shared" si="103"/>
        <v>0</v>
      </c>
      <c r="Q2227" s="65"/>
      <c r="R2227" s="67"/>
      <c r="S2227" s="83">
        <f t="shared" si="104"/>
        <v>0</v>
      </c>
    </row>
    <row r="2228" spans="1:19" ht="18" customHeight="1" x14ac:dyDescent="0.25">
      <c r="A2228" s="68"/>
      <c r="B2228" s="69"/>
      <c r="C2228" s="74"/>
      <c r="D2228" s="69"/>
      <c r="E2228" s="68"/>
      <c r="F2228" s="71"/>
      <c r="G2228" s="72"/>
      <c r="H2228" s="73"/>
      <c r="I2228" s="74"/>
      <c r="J2228" s="74"/>
      <c r="K2228" s="74"/>
      <c r="L2228" s="74"/>
      <c r="M2228" s="74"/>
      <c r="N2228" s="74"/>
      <c r="O2228" s="82">
        <f t="shared" si="102"/>
        <v>0</v>
      </c>
      <c r="P2228" s="82">
        <f t="shared" si="103"/>
        <v>0</v>
      </c>
      <c r="Q2228" s="74"/>
      <c r="R2228" s="76"/>
      <c r="S2228" s="84">
        <f t="shared" si="104"/>
        <v>0</v>
      </c>
    </row>
    <row r="2229" spans="1:19" ht="18" customHeight="1" x14ac:dyDescent="0.25">
      <c r="A2229" s="59"/>
      <c r="B2229" s="60"/>
      <c r="C2229" s="65"/>
      <c r="D2229" s="60"/>
      <c r="E2229" s="59"/>
      <c r="F2229" s="62"/>
      <c r="G2229" s="63"/>
      <c r="H2229" s="64"/>
      <c r="I2229" s="65"/>
      <c r="J2229" s="65"/>
      <c r="K2229" s="65"/>
      <c r="L2229" s="65"/>
      <c r="M2229" s="65"/>
      <c r="N2229" s="65"/>
      <c r="O2229" s="81">
        <f t="shared" si="102"/>
        <v>0</v>
      </c>
      <c r="P2229" s="81">
        <f t="shared" si="103"/>
        <v>0</v>
      </c>
      <c r="Q2229" s="65"/>
      <c r="R2229" s="67"/>
      <c r="S2229" s="83">
        <f t="shared" si="104"/>
        <v>0</v>
      </c>
    </row>
    <row r="2230" spans="1:19" ht="18" customHeight="1" x14ac:dyDescent="0.25">
      <c r="A2230" s="68"/>
      <c r="B2230" s="69"/>
      <c r="C2230" s="74"/>
      <c r="D2230" s="69"/>
      <c r="E2230" s="68"/>
      <c r="F2230" s="71"/>
      <c r="G2230" s="72"/>
      <c r="H2230" s="73"/>
      <c r="I2230" s="74"/>
      <c r="J2230" s="74"/>
      <c r="K2230" s="74"/>
      <c r="L2230" s="74"/>
      <c r="M2230" s="74"/>
      <c r="N2230" s="74"/>
      <c r="O2230" s="82">
        <f t="shared" si="102"/>
        <v>0</v>
      </c>
      <c r="P2230" s="82">
        <f t="shared" si="103"/>
        <v>0</v>
      </c>
      <c r="Q2230" s="74"/>
      <c r="R2230" s="76"/>
      <c r="S2230" s="84">
        <f t="shared" si="104"/>
        <v>0</v>
      </c>
    </row>
    <row r="2231" spans="1:19" ht="18" customHeight="1" x14ac:dyDescent="0.25">
      <c r="A2231" s="59"/>
      <c r="B2231" s="60"/>
      <c r="C2231" s="65"/>
      <c r="D2231" s="60"/>
      <c r="E2231" s="59"/>
      <c r="F2231" s="62"/>
      <c r="G2231" s="63"/>
      <c r="H2231" s="64"/>
      <c r="I2231" s="65"/>
      <c r="J2231" s="65"/>
      <c r="K2231" s="65"/>
      <c r="L2231" s="65"/>
      <c r="M2231" s="65"/>
      <c r="N2231" s="65"/>
      <c r="O2231" s="81">
        <f t="shared" si="102"/>
        <v>0</v>
      </c>
      <c r="P2231" s="81">
        <f t="shared" si="103"/>
        <v>0</v>
      </c>
      <c r="Q2231" s="65"/>
      <c r="R2231" s="67"/>
      <c r="S2231" s="83">
        <f t="shared" si="104"/>
        <v>0</v>
      </c>
    </row>
    <row r="2232" spans="1:19" ht="18" customHeight="1" x14ac:dyDescent="0.25">
      <c r="A2232" s="68"/>
      <c r="B2232" s="69"/>
      <c r="C2232" s="74"/>
      <c r="D2232" s="69"/>
      <c r="E2232" s="68"/>
      <c r="F2232" s="71"/>
      <c r="G2232" s="72"/>
      <c r="H2232" s="73"/>
      <c r="I2232" s="74"/>
      <c r="J2232" s="74"/>
      <c r="K2232" s="74"/>
      <c r="L2232" s="74"/>
      <c r="M2232" s="74"/>
      <c r="N2232" s="74"/>
      <c r="O2232" s="82">
        <f t="shared" si="102"/>
        <v>0</v>
      </c>
      <c r="P2232" s="82">
        <f t="shared" si="103"/>
        <v>0</v>
      </c>
      <c r="Q2232" s="74"/>
      <c r="R2232" s="76"/>
      <c r="S2232" s="84">
        <f t="shared" si="104"/>
        <v>0</v>
      </c>
    </row>
    <row r="2233" spans="1:19" ht="18" customHeight="1" x14ac:dyDescent="0.25">
      <c r="A2233" s="59"/>
      <c r="B2233" s="60"/>
      <c r="C2233" s="65"/>
      <c r="D2233" s="60"/>
      <c r="E2233" s="59"/>
      <c r="F2233" s="62"/>
      <c r="G2233" s="63"/>
      <c r="H2233" s="64"/>
      <c r="I2233" s="65"/>
      <c r="J2233" s="65"/>
      <c r="K2233" s="65"/>
      <c r="L2233" s="65"/>
      <c r="M2233" s="65"/>
      <c r="N2233" s="65"/>
      <c r="O2233" s="81">
        <f t="shared" si="102"/>
        <v>0</v>
      </c>
      <c r="P2233" s="81">
        <f t="shared" si="103"/>
        <v>0</v>
      </c>
      <c r="Q2233" s="65"/>
      <c r="R2233" s="67"/>
      <c r="S2233" s="83">
        <f t="shared" si="104"/>
        <v>0</v>
      </c>
    </row>
    <row r="2234" spans="1:19" ht="18" customHeight="1" x14ac:dyDescent="0.25">
      <c r="A2234" s="68"/>
      <c r="B2234" s="69"/>
      <c r="C2234" s="74"/>
      <c r="D2234" s="69"/>
      <c r="E2234" s="68"/>
      <c r="F2234" s="71"/>
      <c r="G2234" s="72"/>
      <c r="H2234" s="73"/>
      <c r="I2234" s="74"/>
      <c r="J2234" s="74"/>
      <c r="K2234" s="74"/>
      <c r="L2234" s="74"/>
      <c r="M2234" s="74"/>
      <c r="N2234" s="74"/>
      <c r="O2234" s="82">
        <f t="shared" si="102"/>
        <v>0</v>
      </c>
      <c r="P2234" s="82">
        <f t="shared" si="103"/>
        <v>0</v>
      </c>
      <c r="Q2234" s="74"/>
      <c r="R2234" s="76"/>
      <c r="S2234" s="84">
        <f t="shared" si="104"/>
        <v>0</v>
      </c>
    </row>
    <row r="2235" spans="1:19" ht="18" customHeight="1" x14ac:dyDescent="0.25">
      <c r="A2235" s="59"/>
      <c r="B2235" s="60"/>
      <c r="C2235" s="65"/>
      <c r="D2235" s="60"/>
      <c r="E2235" s="59"/>
      <c r="F2235" s="62"/>
      <c r="G2235" s="63"/>
      <c r="H2235" s="64"/>
      <c r="I2235" s="65"/>
      <c r="J2235" s="65"/>
      <c r="K2235" s="65"/>
      <c r="L2235" s="65"/>
      <c r="M2235" s="65"/>
      <c r="N2235" s="65"/>
      <c r="O2235" s="81">
        <f t="shared" si="102"/>
        <v>0</v>
      </c>
      <c r="P2235" s="81">
        <f t="shared" si="103"/>
        <v>0</v>
      </c>
      <c r="Q2235" s="65"/>
      <c r="R2235" s="67"/>
      <c r="S2235" s="83">
        <f t="shared" si="104"/>
        <v>0</v>
      </c>
    </row>
    <row r="2236" spans="1:19" ht="18" customHeight="1" x14ac:dyDescent="0.25">
      <c r="A2236" s="68"/>
      <c r="B2236" s="69"/>
      <c r="C2236" s="74"/>
      <c r="D2236" s="69"/>
      <c r="E2236" s="68"/>
      <c r="F2236" s="71"/>
      <c r="G2236" s="72"/>
      <c r="H2236" s="73"/>
      <c r="I2236" s="74"/>
      <c r="J2236" s="74"/>
      <c r="K2236" s="74"/>
      <c r="L2236" s="74"/>
      <c r="M2236" s="74"/>
      <c r="N2236" s="74"/>
      <c r="O2236" s="82">
        <f t="shared" si="102"/>
        <v>0</v>
      </c>
      <c r="P2236" s="82">
        <f t="shared" si="103"/>
        <v>0</v>
      </c>
      <c r="Q2236" s="74"/>
      <c r="R2236" s="76"/>
      <c r="S2236" s="84">
        <f t="shared" si="104"/>
        <v>0</v>
      </c>
    </row>
    <row r="2237" spans="1:19" ht="18" customHeight="1" x14ac:dyDescent="0.25">
      <c r="A2237" s="59"/>
      <c r="B2237" s="60"/>
      <c r="C2237" s="65"/>
      <c r="D2237" s="60"/>
      <c r="E2237" s="59"/>
      <c r="F2237" s="62"/>
      <c r="G2237" s="63"/>
      <c r="H2237" s="64"/>
      <c r="I2237" s="65"/>
      <c r="J2237" s="65"/>
      <c r="K2237" s="65"/>
      <c r="L2237" s="65"/>
      <c r="M2237" s="65"/>
      <c r="N2237" s="65"/>
      <c r="O2237" s="81">
        <f t="shared" si="102"/>
        <v>0</v>
      </c>
      <c r="P2237" s="81">
        <f t="shared" si="103"/>
        <v>0</v>
      </c>
      <c r="Q2237" s="65"/>
      <c r="R2237" s="67"/>
      <c r="S2237" s="83">
        <f t="shared" si="104"/>
        <v>0</v>
      </c>
    </row>
    <row r="2238" spans="1:19" ht="18" customHeight="1" x14ac:dyDescent="0.25">
      <c r="A2238" s="68"/>
      <c r="B2238" s="69"/>
      <c r="C2238" s="74"/>
      <c r="D2238" s="69"/>
      <c r="E2238" s="68"/>
      <c r="F2238" s="71"/>
      <c r="G2238" s="72"/>
      <c r="H2238" s="73"/>
      <c r="I2238" s="74"/>
      <c r="J2238" s="74"/>
      <c r="K2238" s="74"/>
      <c r="L2238" s="74"/>
      <c r="M2238" s="74"/>
      <c r="N2238" s="74"/>
      <c r="O2238" s="82">
        <f t="shared" si="102"/>
        <v>0</v>
      </c>
      <c r="P2238" s="82">
        <f t="shared" si="103"/>
        <v>0</v>
      </c>
      <c r="Q2238" s="74"/>
      <c r="R2238" s="76"/>
      <c r="S2238" s="84">
        <f t="shared" si="104"/>
        <v>0</v>
      </c>
    </row>
    <row r="2239" spans="1:19" ht="18" customHeight="1" x14ac:dyDescent="0.25">
      <c r="A2239" s="59"/>
      <c r="B2239" s="60"/>
      <c r="C2239" s="65"/>
      <c r="D2239" s="60"/>
      <c r="E2239" s="59"/>
      <c r="F2239" s="62"/>
      <c r="G2239" s="63"/>
      <c r="H2239" s="64"/>
      <c r="I2239" s="65"/>
      <c r="J2239" s="65"/>
      <c r="K2239" s="65"/>
      <c r="L2239" s="65"/>
      <c r="M2239" s="65"/>
      <c r="N2239" s="65"/>
      <c r="O2239" s="81">
        <f t="shared" si="102"/>
        <v>0</v>
      </c>
      <c r="P2239" s="81">
        <f t="shared" si="103"/>
        <v>0</v>
      </c>
      <c r="Q2239" s="65"/>
      <c r="R2239" s="67"/>
      <c r="S2239" s="83">
        <f t="shared" si="104"/>
        <v>0</v>
      </c>
    </row>
    <row r="2240" spans="1:19" ht="18" customHeight="1" x14ac:dyDescent="0.25">
      <c r="A2240" s="68"/>
      <c r="B2240" s="69"/>
      <c r="C2240" s="74"/>
      <c r="D2240" s="69"/>
      <c r="E2240" s="68"/>
      <c r="F2240" s="71"/>
      <c r="G2240" s="72"/>
      <c r="H2240" s="73"/>
      <c r="I2240" s="74"/>
      <c r="J2240" s="74"/>
      <c r="K2240" s="74"/>
      <c r="L2240" s="74"/>
      <c r="M2240" s="74"/>
      <c r="N2240" s="74"/>
      <c r="O2240" s="82">
        <f t="shared" si="102"/>
        <v>0</v>
      </c>
      <c r="P2240" s="82">
        <f t="shared" si="103"/>
        <v>0</v>
      </c>
      <c r="Q2240" s="74"/>
      <c r="R2240" s="76"/>
      <c r="S2240" s="84">
        <f t="shared" si="104"/>
        <v>0</v>
      </c>
    </row>
    <row r="2241" spans="1:19" ht="18" customHeight="1" x14ac:dyDescent="0.25">
      <c r="A2241" s="59"/>
      <c r="B2241" s="60"/>
      <c r="C2241" s="65"/>
      <c r="D2241" s="60"/>
      <c r="E2241" s="59"/>
      <c r="F2241" s="62"/>
      <c r="G2241" s="63"/>
      <c r="H2241" s="64"/>
      <c r="I2241" s="65"/>
      <c r="J2241" s="65"/>
      <c r="K2241" s="65"/>
      <c r="L2241" s="65"/>
      <c r="M2241" s="65"/>
      <c r="N2241" s="65"/>
      <c r="O2241" s="81">
        <f t="shared" si="102"/>
        <v>0</v>
      </c>
      <c r="P2241" s="81">
        <f t="shared" si="103"/>
        <v>0</v>
      </c>
      <c r="Q2241" s="65"/>
      <c r="R2241" s="67"/>
      <c r="S2241" s="83">
        <f t="shared" si="104"/>
        <v>0</v>
      </c>
    </row>
    <row r="2242" spans="1:19" ht="18" customHeight="1" x14ac:dyDescent="0.25">
      <c r="A2242" s="68"/>
      <c r="B2242" s="69"/>
      <c r="C2242" s="74"/>
      <c r="D2242" s="69"/>
      <c r="E2242" s="68"/>
      <c r="F2242" s="71"/>
      <c r="G2242" s="72"/>
      <c r="H2242" s="73"/>
      <c r="I2242" s="74"/>
      <c r="J2242" s="74"/>
      <c r="K2242" s="74"/>
      <c r="L2242" s="74"/>
      <c r="M2242" s="74"/>
      <c r="N2242" s="74"/>
      <c r="O2242" s="82">
        <f t="shared" si="102"/>
        <v>0</v>
      </c>
      <c r="P2242" s="82">
        <f t="shared" si="103"/>
        <v>0</v>
      </c>
      <c r="Q2242" s="74"/>
      <c r="R2242" s="76"/>
      <c r="S2242" s="84">
        <f t="shared" si="104"/>
        <v>0</v>
      </c>
    </row>
    <row r="2243" spans="1:19" ht="18" customHeight="1" x14ac:dyDescent="0.25">
      <c r="A2243" s="59"/>
      <c r="B2243" s="60"/>
      <c r="C2243" s="65"/>
      <c r="D2243" s="60"/>
      <c r="E2243" s="59"/>
      <c r="F2243" s="62"/>
      <c r="G2243" s="63"/>
      <c r="H2243" s="64"/>
      <c r="I2243" s="65"/>
      <c r="J2243" s="65"/>
      <c r="K2243" s="65"/>
      <c r="L2243" s="65"/>
      <c r="M2243" s="65"/>
      <c r="N2243" s="65"/>
      <c r="O2243" s="81">
        <f t="shared" si="102"/>
        <v>0</v>
      </c>
      <c r="P2243" s="81">
        <f t="shared" si="103"/>
        <v>0</v>
      </c>
      <c r="Q2243" s="65"/>
      <c r="R2243" s="67"/>
      <c r="S2243" s="83">
        <f t="shared" si="104"/>
        <v>0</v>
      </c>
    </row>
    <row r="2244" spans="1:19" ht="18" customHeight="1" x14ac:dyDescent="0.25">
      <c r="A2244" s="68"/>
      <c r="B2244" s="69"/>
      <c r="C2244" s="74"/>
      <c r="D2244" s="69"/>
      <c r="E2244" s="68"/>
      <c r="F2244" s="71"/>
      <c r="G2244" s="72"/>
      <c r="H2244" s="73"/>
      <c r="I2244" s="74"/>
      <c r="J2244" s="74"/>
      <c r="K2244" s="74"/>
      <c r="L2244" s="74"/>
      <c r="M2244" s="74"/>
      <c r="N2244" s="74"/>
      <c r="O2244" s="82">
        <f t="shared" si="102"/>
        <v>0</v>
      </c>
      <c r="P2244" s="82">
        <f t="shared" si="103"/>
        <v>0</v>
      </c>
      <c r="Q2244" s="74"/>
      <c r="R2244" s="76"/>
      <c r="S2244" s="84">
        <f t="shared" si="104"/>
        <v>0</v>
      </c>
    </row>
    <row r="2245" spans="1:19" ht="18" customHeight="1" x14ac:dyDescent="0.25">
      <c r="A2245" s="59"/>
      <c r="B2245" s="60"/>
      <c r="C2245" s="65"/>
      <c r="D2245" s="60"/>
      <c r="E2245" s="59"/>
      <c r="F2245" s="62"/>
      <c r="G2245" s="63"/>
      <c r="H2245" s="64"/>
      <c r="I2245" s="65"/>
      <c r="J2245" s="65"/>
      <c r="K2245" s="65"/>
      <c r="L2245" s="65"/>
      <c r="M2245" s="65"/>
      <c r="N2245" s="65"/>
      <c r="O2245" s="81">
        <f t="shared" si="102"/>
        <v>0</v>
      </c>
      <c r="P2245" s="81">
        <f t="shared" si="103"/>
        <v>0</v>
      </c>
      <c r="Q2245" s="65"/>
      <c r="R2245" s="67"/>
      <c r="S2245" s="83">
        <f t="shared" si="104"/>
        <v>0</v>
      </c>
    </row>
    <row r="2246" spans="1:19" ht="18" customHeight="1" x14ac:dyDescent="0.25">
      <c r="A2246" s="68"/>
      <c r="B2246" s="69"/>
      <c r="C2246" s="74"/>
      <c r="D2246" s="69"/>
      <c r="E2246" s="68"/>
      <c r="F2246" s="71"/>
      <c r="G2246" s="72"/>
      <c r="H2246" s="73"/>
      <c r="I2246" s="74"/>
      <c r="J2246" s="74"/>
      <c r="K2246" s="74"/>
      <c r="L2246" s="74"/>
      <c r="M2246" s="74"/>
      <c r="N2246" s="74"/>
      <c r="O2246" s="82" t="e">
        <f>#N/A</f>
        <v>#N/A</v>
      </c>
      <c r="P2246" s="82" t="e">
        <f>#N/A</f>
        <v>#N/A</v>
      </c>
      <c r="Q2246" s="74"/>
      <c r="R2246" s="76"/>
      <c r="S2246" s="84">
        <f t="shared" si="104"/>
        <v>0</v>
      </c>
    </row>
    <row r="2247" spans="1:19" ht="18" customHeight="1" x14ac:dyDescent="0.25">
      <c r="A2247" s="59"/>
      <c r="B2247" s="60"/>
      <c r="C2247" s="65"/>
      <c r="D2247" s="60"/>
      <c r="E2247" s="59"/>
      <c r="F2247" s="62"/>
      <c r="G2247" s="63"/>
      <c r="H2247" s="64"/>
      <c r="I2247" s="65"/>
      <c r="J2247" s="65"/>
      <c r="K2247" s="65"/>
      <c r="L2247" s="65"/>
      <c r="M2247" s="65"/>
      <c r="N2247" s="65"/>
      <c r="O2247" s="81">
        <f t="shared" ref="O2247:O2309" si="105">IF(G2247="Reimbursement ","",I2247+J2247+K2247+L2247+M2247)</f>
        <v>0</v>
      </c>
      <c r="P2247" s="81">
        <f t="shared" ref="P2247:P2309" si="106">IF(G2247="Reimbursement ","",H2247-O2247)</f>
        <v>0</v>
      </c>
      <c r="Q2247" s="65"/>
      <c r="R2247" s="67"/>
      <c r="S2247" s="83">
        <f t="shared" ref="S2247:S2310" si="107">IF(OR(R2247="",Q2247=""),0,IF(R2247&gt;Q2247,R2247-Q2247,0))</f>
        <v>0</v>
      </c>
    </row>
    <row r="2248" spans="1:19" ht="18" customHeight="1" x14ac:dyDescent="0.25">
      <c r="A2248" s="68"/>
      <c r="B2248" s="69"/>
      <c r="C2248" s="74"/>
      <c r="D2248" s="69"/>
      <c r="E2248" s="68"/>
      <c r="F2248" s="71"/>
      <c r="G2248" s="72"/>
      <c r="H2248" s="73"/>
      <c r="I2248" s="74"/>
      <c r="J2248" s="74"/>
      <c r="K2248" s="74"/>
      <c r="L2248" s="74"/>
      <c r="M2248" s="74"/>
      <c r="N2248" s="74"/>
      <c r="O2248" s="82">
        <f t="shared" si="105"/>
        <v>0</v>
      </c>
      <c r="P2248" s="82">
        <f t="shared" si="106"/>
        <v>0</v>
      </c>
      <c r="Q2248" s="74"/>
      <c r="R2248" s="76"/>
      <c r="S2248" s="84">
        <f t="shared" si="107"/>
        <v>0</v>
      </c>
    </row>
    <row r="2249" spans="1:19" ht="18" customHeight="1" x14ac:dyDescent="0.25">
      <c r="A2249" s="59"/>
      <c r="B2249" s="60"/>
      <c r="C2249" s="65"/>
      <c r="D2249" s="60"/>
      <c r="E2249" s="59"/>
      <c r="F2249" s="62"/>
      <c r="G2249" s="63"/>
      <c r="H2249" s="64"/>
      <c r="I2249" s="65"/>
      <c r="J2249" s="65"/>
      <c r="K2249" s="65"/>
      <c r="L2249" s="65"/>
      <c r="M2249" s="65"/>
      <c r="N2249" s="65"/>
      <c r="O2249" s="81">
        <f t="shared" si="105"/>
        <v>0</v>
      </c>
      <c r="P2249" s="81">
        <f t="shared" si="106"/>
        <v>0</v>
      </c>
      <c r="Q2249" s="65"/>
      <c r="R2249" s="67"/>
      <c r="S2249" s="83">
        <f t="shared" si="107"/>
        <v>0</v>
      </c>
    </row>
    <row r="2250" spans="1:19" ht="18" customHeight="1" x14ac:dyDescent="0.25">
      <c r="A2250" s="68"/>
      <c r="B2250" s="69"/>
      <c r="C2250" s="74"/>
      <c r="D2250" s="69"/>
      <c r="E2250" s="68"/>
      <c r="F2250" s="71"/>
      <c r="G2250" s="72"/>
      <c r="H2250" s="73"/>
      <c r="I2250" s="74"/>
      <c r="J2250" s="74"/>
      <c r="K2250" s="74"/>
      <c r="L2250" s="74"/>
      <c r="M2250" s="74"/>
      <c r="N2250" s="74"/>
      <c r="O2250" s="82">
        <f t="shared" si="105"/>
        <v>0</v>
      </c>
      <c r="P2250" s="82">
        <f t="shared" si="106"/>
        <v>0</v>
      </c>
      <c r="Q2250" s="74"/>
      <c r="R2250" s="76"/>
      <c r="S2250" s="84">
        <f t="shared" si="107"/>
        <v>0</v>
      </c>
    </row>
    <row r="2251" spans="1:19" ht="18" customHeight="1" x14ac:dyDescent="0.25">
      <c r="A2251" s="59"/>
      <c r="B2251" s="60"/>
      <c r="C2251" s="65"/>
      <c r="D2251" s="60"/>
      <c r="E2251" s="59"/>
      <c r="F2251" s="62"/>
      <c r="G2251" s="63"/>
      <c r="H2251" s="64"/>
      <c r="I2251" s="65"/>
      <c r="J2251" s="65"/>
      <c r="K2251" s="65"/>
      <c r="L2251" s="65"/>
      <c r="M2251" s="65"/>
      <c r="N2251" s="65"/>
      <c r="O2251" s="81">
        <f t="shared" si="105"/>
        <v>0</v>
      </c>
      <c r="P2251" s="81">
        <f t="shared" si="106"/>
        <v>0</v>
      </c>
      <c r="Q2251" s="65"/>
      <c r="R2251" s="67"/>
      <c r="S2251" s="83">
        <f t="shared" si="107"/>
        <v>0</v>
      </c>
    </row>
    <row r="2252" spans="1:19" ht="18" customHeight="1" x14ac:dyDescent="0.25">
      <c r="A2252" s="68"/>
      <c r="B2252" s="69"/>
      <c r="C2252" s="74"/>
      <c r="D2252" s="69"/>
      <c r="E2252" s="68"/>
      <c r="F2252" s="71"/>
      <c r="G2252" s="72"/>
      <c r="H2252" s="73"/>
      <c r="I2252" s="74"/>
      <c r="J2252" s="74"/>
      <c r="K2252" s="74"/>
      <c r="L2252" s="74"/>
      <c r="M2252" s="74"/>
      <c r="N2252" s="74"/>
      <c r="O2252" s="82">
        <f t="shared" si="105"/>
        <v>0</v>
      </c>
      <c r="P2252" s="82">
        <f t="shared" si="106"/>
        <v>0</v>
      </c>
      <c r="Q2252" s="74"/>
      <c r="R2252" s="76"/>
      <c r="S2252" s="84">
        <f t="shared" si="107"/>
        <v>0</v>
      </c>
    </row>
    <row r="2253" spans="1:19" ht="18" customHeight="1" x14ac:dyDescent="0.25">
      <c r="A2253" s="59"/>
      <c r="B2253" s="60"/>
      <c r="C2253" s="65"/>
      <c r="D2253" s="60"/>
      <c r="E2253" s="59"/>
      <c r="F2253" s="62"/>
      <c r="G2253" s="63"/>
      <c r="H2253" s="64"/>
      <c r="I2253" s="65"/>
      <c r="J2253" s="65"/>
      <c r="K2253" s="65"/>
      <c r="L2253" s="65"/>
      <c r="M2253" s="65"/>
      <c r="N2253" s="65"/>
      <c r="O2253" s="81">
        <f t="shared" si="105"/>
        <v>0</v>
      </c>
      <c r="P2253" s="81">
        <f t="shared" si="106"/>
        <v>0</v>
      </c>
      <c r="Q2253" s="65"/>
      <c r="R2253" s="67"/>
      <c r="S2253" s="83">
        <f t="shared" si="107"/>
        <v>0</v>
      </c>
    </row>
    <row r="2254" spans="1:19" ht="18" customHeight="1" x14ac:dyDescent="0.25">
      <c r="A2254" s="68"/>
      <c r="B2254" s="69"/>
      <c r="C2254" s="74"/>
      <c r="D2254" s="69"/>
      <c r="E2254" s="68"/>
      <c r="F2254" s="71"/>
      <c r="G2254" s="72"/>
      <c r="H2254" s="73"/>
      <c r="I2254" s="74"/>
      <c r="J2254" s="74"/>
      <c r="K2254" s="74"/>
      <c r="L2254" s="74"/>
      <c r="M2254" s="74"/>
      <c r="N2254" s="74"/>
      <c r="O2254" s="82">
        <f t="shared" si="105"/>
        <v>0</v>
      </c>
      <c r="P2254" s="82">
        <f t="shared" si="106"/>
        <v>0</v>
      </c>
      <c r="Q2254" s="74"/>
      <c r="R2254" s="76"/>
      <c r="S2254" s="84">
        <f t="shared" si="107"/>
        <v>0</v>
      </c>
    </row>
    <row r="2255" spans="1:19" ht="18" customHeight="1" x14ac:dyDescent="0.25">
      <c r="A2255" s="59"/>
      <c r="B2255" s="60"/>
      <c r="C2255" s="65"/>
      <c r="D2255" s="60"/>
      <c r="E2255" s="59"/>
      <c r="F2255" s="62"/>
      <c r="G2255" s="63"/>
      <c r="H2255" s="64"/>
      <c r="I2255" s="65"/>
      <c r="J2255" s="65"/>
      <c r="K2255" s="65"/>
      <c r="L2255" s="65"/>
      <c r="M2255" s="65"/>
      <c r="N2255" s="65"/>
      <c r="O2255" s="81">
        <f t="shared" si="105"/>
        <v>0</v>
      </c>
      <c r="P2255" s="81">
        <f t="shared" si="106"/>
        <v>0</v>
      </c>
      <c r="Q2255" s="65"/>
      <c r="R2255" s="67"/>
      <c r="S2255" s="83">
        <f t="shared" si="107"/>
        <v>0</v>
      </c>
    </row>
    <row r="2256" spans="1:19" ht="18" customHeight="1" x14ac:dyDescent="0.25">
      <c r="A2256" s="68"/>
      <c r="B2256" s="69"/>
      <c r="C2256" s="74"/>
      <c r="D2256" s="69"/>
      <c r="E2256" s="68"/>
      <c r="F2256" s="71"/>
      <c r="G2256" s="72"/>
      <c r="H2256" s="73"/>
      <c r="I2256" s="74"/>
      <c r="J2256" s="74"/>
      <c r="K2256" s="74"/>
      <c r="L2256" s="74"/>
      <c r="M2256" s="74"/>
      <c r="N2256" s="74"/>
      <c r="O2256" s="82">
        <f t="shared" si="105"/>
        <v>0</v>
      </c>
      <c r="P2256" s="82">
        <f t="shared" si="106"/>
        <v>0</v>
      </c>
      <c r="Q2256" s="74"/>
      <c r="R2256" s="76"/>
      <c r="S2256" s="84">
        <f t="shared" si="107"/>
        <v>0</v>
      </c>
    </row>
    <row r="2257" spans="1:19" ht="18" customHeight="1" x14ac:dyDescent="0.25">
      <c r="A2257" s="59"/>
      <c r="B2257" s="60"/>
      <c r="C2257" s="65"/>
      <c r="D2257" s="60"/>
      <c r="E2257" s="59"/>
      <c r="F2257" s="62"/>
      <c r="G2257" s="63"/>
      <c r="H2257" s="64"/>
      <c r="I2257" s="65"/>
      <c r="J2257" s="65"/>
      <c r="K2257" s="65"/>
      <c r="L2257" s="65"/>
      <c r="M2257" s="65"/>
      <c r="N2257" s="65"/>
      <c r="O2257" s="81">
        <f t="shared" si="105"/>
        <v>0</v>
      </c>
      <c r="P2257" s="81">
        <f t="shared" si="106"/>
        <v>0</v>
      </c>
      <c r="Q2257" s="65"/>
      <c r="R2257" s="67"/>
      <c r="S2257" s="83">
        <f t="shared" si="107"/>
        <v>0</v>
      </c>
    </row>
    <row r="2258" spans="1:19" ht="18" customHeight="1" x14ac:dyDescent="0.25">
      <c r="A2258" s="68"/>
      <c r="B2258" s="69"/>
      <c r="C2258" s="74"/>
      <c r="D2258" s="69"/>
      <c r="E2258" s="68"/>
      <c r="F2258" s="71"/>
      <c r="G2258" s="72"/>
      <c r="H2258" s="73"/>
      <c r="I2258" s="74"/>
      <c r="J2258" s="74"/>
      <c r="K2258" s="74"/>
      <c r="L2258" s="74"/>
      <c r="M2258" s="74"/>
      <c r="N2258" s="74"/>
      <c r="O2258" s="82">
        <f t="shared" si="105"/>
        <v>0</v>
      </c>
      <c r="P2258" s="82">
        <f t="shared" si="106"/>
        <v>0</v>
      </c>
      <c r="Q2258" s="74"/>
      <c r="R2258" s="76"/>
      <c r="S2258" s="84">
        <f t="shared" si="107"/>
        <v>0</v>
      </c>
    </row>
    <row r="2259" spans="1:19" ht="18" customHeight="1" x14ac:dyDescent="0.25">
      <c r="A2259" s="59"/>
      <c r="B2259" s="60"/>
      <c r="C2259" s="65"/>
      <c r="D2259" s="60"/>
      <c r="E2259" s="59"/>
      <c r="F2259" s="62"/>
      <c r="G2259" s="63"/>
      <c r="H2259" s="64"/>
      <c r="I2259" s="65"/>
      <c r="J2259" s="65"/>
      <c r="K2259" s="65"/>
      <c r="L2259" s="65"/>
      <c r="M2259" s="65"/>
      <c r="N2259" s="65"/>
      <c r="O2259" s="81">
        <f t="shared" si="105"/>
        <v>0</v>
      </c>
      <c r="P2259" s="81">
        <f t="shared" si="106"/>
        <v>0</v>
      </c>
      <c r="Q2259" s="65"/>
      <c r="R2259" s="67"/>
      <c r="S2259" s="83">
        <f t="shared" si="107"/>
        <v>0</v>
      </c>
    </row>
    <row r="2260" spans="1:19" ht="18" customHeight="1" x14ac:dyDescent="0.25">
      <c r="A2260" s="68"/>
      <c r="B2260" s="69"/>
      <c r="C2260" s="74"/>
      <c r="D2260" s="69"/>
      <c r="E2260" s="68"/>
      <c r="F2260" s="71"/>
      <c r="G2260" s="72"/>
      <c r="H2260" s="73"/>
      <c r="I2260" s="74"/>
      <c r="J2260" s="74"/>
      <c r="K2260" s="74"/>
      <c r="L2260" s="74"/>
      <c r="M2260" s="74"/>
      <c r="N2260" s="74"/>
      <c r="O2260" s="82">
        <f t="shared" si="105"/>
        <v>0</v>
      </c>
      <c r="P2260" s="82">
        <f t="shared" si="106"/>
        <v>0</v>
      </c>
      <c r="Q2260" s="74"/>
      <c r="R2260" s="76"/>
      <c r="S2260" s="84">
        <f t="shared" si="107"/>
        <v>0</v>
      </c>
    </row>
    <row r="2261" spans="1:19" ht="18" customHeight="1" x14ac:dyDescent="0.25">
      <c r="A2261" s="59"/>
      <c r="B2261" s="60"/>
      <c r="C2261" s="65"/>
      <c r="D2261" s="60"/>
      <c r="E2261" s="59"/>
      <c r="F2261" s="62"/>
      <c r="G2261" s="63"/>
      <c r="H2261" s="64"/>
      <c r="I2261" s="65"/>
      <c r="J2261" s="65"/>
      <c r="K2261" s="65"/>
      <c r="L2261" s="65"/>
      <c r="M2261" s="65"/>
      <c r="N2261" s="65"/>
      <c r="O2261" s="81">
        <f t="shared" si="105"/>
        <v>0</v>
      </c>
      <c r="P2261" s="81">
        <f t="shared" si="106"/>
        <v>0</v>
      </c>
      <c r="Q2261" s="65"/>
      <c r="R2261" s="67"/>
      <c r="S2261" s="83">
        <f t="shared" si="107"/>
        <v>0</v>
      </c>
    </row>
    <row r="2262" spans="1:19" ht="18" customHeight="1" x14ac:dyDescent="0.25">
      <c r="A2262" s="68"/>
      <c r="B2262" s="69"/>
      <c r="C2262" s="74"/>
      <c r="D2262" s="69"/>
      <c r="E2262" s="68"/>
      <c r="F2262" s="71"/>
      <c r="G2262" s="72"/>
      <c r="H2262" s="73"/>
      <c r="I2262" s="74"/>
      <c r="J2262" s="74"/>
      <c r="K2262" s="74"/>
      <c r="L2262" s="74"/>
      <c r="M2262" s="74"/>
      <c r="N2262" s="74"/>
      <c r="O2262" s="82">
        <f t="shared" si="105"/>
        <v>0</v>
      </c>
      <c r="P2262" s="82">
        <f t="shared" si="106"/>
        <v>0</v>
      </c>
      <c r="Q2262" s="74"/>
      <c r="R2262" s="76"/>
      <c r="S2262" s="84">
        <f t="shared" si="107"/>
        <v>0</v>
      </c>
    </row>
    <row r="2263" spans="1:19" ht="18" customHeight="1" x14ac:dyDescent="0.25">
      <c r="A2263" s="59"/>
      <c r="B2263" s="60"/>
      <c r="C2263" s="65"/>
      <c r="D2263" s="60"/>
      <c r="E2263" s="59"/>
      <c r="F2263" s="62"/>
      <c r="G2263" s="63"/>
      <c r="H2263" s="64"/>
      <c r="I2263" s="65"/>
      <c r="J2263" s="65"/>
      <c r="K2263" s="65"/>
      <c r="L2263" s="65"/>
      <c r="M2263" s="65"/>
      <c r="N2263" s="65"/>
      <c r="O2263" s="81">
        <f t="shared" si="105"/>
        <v>0</v>
      </c>
      <c r="P2263" s="81">
        <f t="shared" si="106"/>
        <v>0</v>
      </c>
      <c r="Q2263" s="65"/>
      <c r="R2263" s="67"/>
      <c r="S2263" s="83">
        <f t="shared" si="107"/>
        <v>0</v>
      </c>
    </row>
    <row r="2264" spans="1:19" ht="18" customHeight="1" x14ac:dyDescent="0.25">
      <c r="A2264" s="68"/>
      <c r="B2264" s="69"/>
      <c r="C2264" s="74"/>
      <c r="D2264" s="69"/>
      <c r="E2264" s="68"/>
      <c r="F2264" s="71"/>
      <c r="G2264" s="72"/>
      <c r="H2264" s="73"/>
      <c r="I2264" s="74"/>
      <c r="J2264" s="74"/>
      <c r="K2264" s="74"/>
      <c r="L2264" s="74"/>
      <c r="M2264" s="74"/>
      <c r="N2264" s="74"/>
      <c r="O2264" s="82">
        <f t="shared" si="105"/>
        <v>0</v>
      </c>
      <c r="P2264" s="82">
        <f t="shared" si="106"/>
        <v>0</v>
      </c>
      <c r="Q2264" s="74"/>
      <c r="R2264" s="76"/>
      <c r="S2264" s="84">
        <f t="shared" si="107"/>
        <v>0</v>
      </c>
    </row>
    <row r="2265" spans="1:19" ht="18" customHeight="1" x14ac:dyDescent="0.25">
      <c r="A2265" s="59"/>
      <c r="B2265" s="60"/>
      <c r="C2265" s="65"/>
      <c r="D2265" s="60"/>
      <c r="E2265" s="59"/>
      <c r="F2265" s="62"/>
      <c r="G2265" s="63"/>
      <c r="H2265" s="64"/>
      <c r="I2265" s="65"/>
      <c r="J2265" s="65"/>
      <c r="K2265" s="65"/>
      <c r="L2265" s="65"/>
      <c r="M2265" s="65"/>
      <c r="N2265" s="65"/>
      <c r="O2265" s="81">
        <f t="shared" si="105"/>
        <v>0</v>
      </c>
      <c r="P2265" s="81">
        <f t="shared" si="106"/>
        <v>0</v>
      </c>
      <c r="Q2265" s="65"/>
      <c r="R2265" s="67"/>
      <c r="S2265" s="83">
        <f t="shared" si="107"/>
        <v>0</v>
      </c>
    </row>
    <row r="2266" spans="1:19" ht="18" customHeight="1" x14ac:dyDescent="0.25">
      <c r="A2266" s="68"/>
      <c r="B2266" s="69"/>
      <c r="C2266" s="74"/>
      <c r="D2266" s="69"/>
      <c r="E2266" s="68"/>
      <c r="F2266" s="71"/>
      <c r="G2266" s="72"/>
      <c r="H2266" s="73"/>
      <c r="I2266" s="74"/>
      <c r="J2266" s="74"/>
      <c r="K2266" s="74"/>
      <c r="L2266" s="74"/>
      <c r="M2266" s="74"/>
      <c r="N2266" s="74"/>
      <c r="O2266" s="82">
        <f t="shared" si="105"/>
        <v>0</v>
      </c>
      <c r="P2266" s="82">
        <f t="shared" si="106"/>
        <v>0</v>
      </c>
      <c r="Q2266" s="74"/>
      <c r="R2266" s="76"/>
      <c r="S2266" s="84">
        <f t="shared" si="107"/>
        <v>0</v>
      </c>
    </row>
    <row r="2267" spans="1:19" ht="18" customHeight="1" x14ac:dyDescent="0.25">
      <c r="A2267" s="59"/>
      <c r="B2267" s="60"/>
      <c r="C2267" s="65"/>
      <c r="D2267" s="60"/>
      <c r="E2267" s="59"/>
      <c r="F2267" s="62"/>
      <c r="G2267" s="63"/>
      <c r="H2267" s="64"/>
      <c r="I2267" s="65"/>
      <c r="J2267" s="65"/>
      <c r="K2267" s="65"/>
      <c r="L2267" s="65"/>
      <c r="M2267" s="65"/>
      <c r="N2267" s="65"/>
      <c r="O2267" s="81">
        <f t="shared" si="105"/>
        <v>0</v>
      </c>
      <c r="P2267" s="81">
        <f t="shared" si="106"/>
        <v>0</v>
      </c>
      <c r="Q2267" s="65"/>
      <c r="R2267" s="67"/>
      <c r="S2267" s="83">
        <f t="shared" si="107"/>
        <v>0</v>
      </c>
    </row>
    <row r="2268" spans="1:19" ht="18" customHeight="1" x14ac:dyDescent="0.25">
      <c r="A2268" s="68"/>
      <c r="B2268" s="69"/>
      <c r="C2268" s="74"/>
      <c r="D2268" s="69"/>
      <c r="E2268" s="68"/>
      <c r="F2268" s="71"/>
      <c r="G2268" s="72"/>
      <c r="H2268" s="73"/>
      <c r="I2268" s="74"/>
      <c r="J2268" s="74"/>
      <c r="K2268" s="74"/>
      <c r="L2268" s="74"/>
      <c r="M2268" s="74"/>
      <c r="N2268" s="74"/>
      <c r="O2268" s="82">
        <f t="shared" si="105"/>
        <v>0</v>
      </c>
      <c r="P2268" s="82">
        <f t="shared" si="106"/>
        <v>0</v>
      </c>
      <c r="Q2268" s="74"/>
      <c r="R2268" s="76"/>
      <c r="S2268" s="84">
        <f t="shared" si="107"/>
        <v>0</v>
      </c>
    </row>
    <row r="2269" spans="1:19" ht="18" customHeight="1" x14ac:dyDescent="0.25">
      <c r="A2269" s="59"/>
      <c r="B2269" s="60"/>
      <c r="C2269" s="65"/>
      <c r="D2269" s="60"/>
      <c r="E2269" s="59"/>
      <c r="F2269" s="62"/>
      <c r="G2269" s="63"/>
      <c r="H2269" s="64"/>
      <c r="I2269" s="65"/>
      <c r="J2269" s="65"/>
      <c r="K2269" s="65"/>
      <c r="L2269" s="65"/>
      <c r="M2269" s="65"/>
      <c r="N2269" s="65"/>
      <c r="O2269" s="81">
        <f t="shared" si="105"/>
        <v>0</v>
      </c>
      <c r="P2269" s="81">
        <f t="shared" si="106"/>
        <v>0</v>
      </c>
      <c r="Q2269" s="65"/>
      <c r="R2269" s="67"/>
      <c r="S2269" s="83">
        <f t="shared" si="107"/>
        <v>0</v>
      </c>
    </row>
    <row r="2270" spans="1:19" ht="18" customHeight="1" x14ac:dyDescent="0.25">
      <c r="A2270" s="68"/>
      <c r="B2270" s="69"/>
      <c r="C2270" s="74"/>
      <c r="D2270" s="69"/>
      <c r="E2270" s="68"/>
      <c r="F2270" s="71"/>
      <c r="G2270" s="72"/>
      <c r="H2270" s="73"/>
      <c r="I2270" s="74"/>
      <c r="J2270" s="74"/>
      <c r="K2270" s="74"/>
      <c r="L2270" s="74"/>
      <c r="M2270" s="74"/>
      <c r="N2270" s="74"/>
      <c r="O2270" s="82">
        <f t="shared" si="105"/>
        <v>0</v>
      </c>
      <c r="P2270" s="82">
        <f t="shared" si="106"/>
        <v>0</v>
      </c>
      <c r="Q2270" s="74"/>
      <c r="R2270" s="76"/>
      <c r="S2270" s="84">
        <f t="shared" si="107"/>
        <v>0</v>
      </c>
    </row>
    <row r="2271" spans="1:19" ht="18" customHeight="1" x14ac:dyDescent="0.25">
      <c r="A2271" s="59"/>
      <c r="B2271" s="60"/>
      <c r="C2271" s="65"/>
      <c r="D2271" s="60"/>
      <c r="E2271" s="59"/>
      <c r="F2271" s="62"/>
      <c r="G2271" s="63"/>
      <c r="H2271" s="64"/>
      <c r="I2271" s="65"/>
      <c r="J2271" s="65"/>
      <c r="K2271" s="65"/>
      <c r="L2271" s="65"/>
      <c r="M2271" s="65"/>
      <c r="N2271" s="65"/>
      <c r="O2271" s="81">
        <f t="shared" si="105"/>
        <v>0</v>
      </c>
      <c r="P2271" s="81">
        <f t="shared" si="106"/>
        <v>0</v>
      </c>
      <c r="Q2271" s="65"/>
      <c r="R2271" s="67"/>
      <c r="S2271" s="83">
        <f t="shared" si="107"/>
        <v>0</v>
      </c>
    </row>
    <row r="2272" spans="1:19" ht="18" customHeight="1" x14ac:dyDescent="0.25">
      <c r="A2272" s="68"/>
      <c r="B2272" s="69"/>
      <c r="C2272" s="74"/>
      <c r="D2272" s="69"/>
      <c r="E2272" s="68"/>
      <c r="F2272" s="71"/>
      <c r="G2272" s="72"/>
      <c r="H2272" s="73"/>
      <c r="I2272" s="74"/>
      <c r="J2272" s="74"/>
      <c r="K2272" s="74"/>
      <c r="L2272" s="74"/>
      <c r="M2272" s="74"/>
      <c r="N2272" s="74"/>
      <c r="O2272" s="82">
        <f t="shared" si="105"/>
        <v>0</v>
      </c>
      <c r="P2272" s="82">
        <f t="shared" si="106"/>
        <v>0</v>
      </c>
      <c r="Q2272" s="74"/>
      <c r="R2272" s="76"/>
      <c r="S2272" s="84">
        <f t="shared" si="107"/>
        <v>0</v>
      </c>
    </row>
    <row r="2273" spans="1:19" ht="18" customHeight="1" x14ac:dyDescent="0.25">
      <c r="A2273" s="59"/>
      <c r="B2273" s="60"/>
      <c r="C2273" s="65"/>
      <c r="D2273" s="60"/>
      <c r="E2273" s="59"/>
      <c r="F2273" s="62"/>
      <c r="G2273" s="63"/>
      <c r="H2273" s="64"/>
      <c r="I2273" s="65"/>
      <c r="J2273" s="65"/>
      <c r="K2273" s="65"/>
      <c r="L2273" s="65"/>
      <c r="M2273" s="65"/>
      <c r="N2273" s="65"/>
      <c r="O2273" s="81">
        <f t="shared" si="105"/>
        <v>0</v>
      </c>
      <c r="P2273" s="81">
        <f t="shared" si="106"/>
        <v>0</v>
      </c>
      <c r="Q2273" s="65"/>
      <c r="R2273" s="67"/>
      <c r="S2273" s="83">
        <f t="shared" si="107"/>
        <v>0</v>
      </c>
    </row>
    <row r="2274" spans="1:19" ht="18" customHeight="1" x14ac:dyDescent="0.25">
      <c r="A2274" s="68"/>
      <c r="B2274" s="69"/>
      <c r="C2274" s="74"/>
      <c r="D2274" s="69"/>
      <c r="E2274" s="68"/>
      <c r="F2274" s="71"/>
      <c r="G2274" s="72"/>
      <c r="H2274" s="73"/>
      <c r="I2274" s="74"/>
      <c r="J2274" s="74"/>
      <c r="K2274" s="74"/>
      <c r="L2274" s="74"/>
      <c r="M2274" s="74"/>
      <c r="N2274" s="74"/>
      <c r="O2274" s="82">
        <f t="shared" si="105"/>
        <v>0</v>
      </c>
      <c r="P2274" s="82">
        <f t="shared" si="106"/>
        <v>0</v>
      </c>
      <c r="Q2274" s="74"/>
      <c r="R2274" s="76"/>
      <c r="S2274" s="84">
        <f t="shared" si="107"/>
        <v>0</v>
      </c>
    </row>
    <row r="2275" spans="1:19" ht="18" customHeight="1" x14ac:dyDescent="0.25">
      <c r="A2275" s="59"/>
      <c r="B2275" s="60"/>
      <c r="C2275" s="65"/>
      <c r="D2275" s="60"/>
      <c r="E2275" s="59"/>
      <c r="F2275" s="62"/>
      <c r="G2275" s="63"/>
      <c r="H2275" s="64"/>
      <c r="I2275" s="65"/>
      <c r="J2275" s="65"/>
      <c r="K2275" s="65"/>
      <c r="L2275" s="65"/>
      <c r="M2275" s="65"/>
      <c r="N2275" s="65"/>
      <c r="O2275" s="81">
        <f t="shared" si="105"/>
        <v>0</v>
      </c>
      <c r="P2275" s="81">
        <f t="shared" si="106"/>
        <v>0</v>
      </c>
      <c r="Q2275" s="65"/>
      <c r="R2275" s="67"/>
      <c r="S2275" s="83">
        <f t="shared" si="107"/>
        <v>0</v>
      </c>
    </row>
    <row r="2276" spans="1:19" ht="18" customHeight="1" x14ac:dyDescent="0.25">
      <c r="A2276" s="68"/>
      <c r="B2276" s="69"/>
      <c r="C2276" s="74"/>
      <c r="D2276" s="69"/>
      <c r="E2276" s="68"/>
      <c r="F2276" s="71"/>
      <c r="G2276" s="72"/>
      <c r="H2276" s="73"/>
      <c r="I2276" s="74"/>
      <c r="J2276" s="74"/>
      <c r="K2276" s="74"/>
      <c r="L2276" s="74"/>
      <c r="M2276" s="74"/>
      <c r="N2276" s="74"/>
      <c r="O2276" s="82">
        <f t="shared" si="105"/>
        <v>0</v>
      </c>
      <c r="P2276" s="82">
        <f t="shared" si="106"/>
        <v>0</v>
      </c>
      <c r="Q2276" s="74"/>
      <c r="R2276" s="76"/>
      <c r="S2276" s="84">
        <f t="shared" si="107"/>
        <v>0</v>
      </c>
    </row>
    <row r="2277" spans="1:19" ht="18" customHeight="1" x14ac:dyDescent="0.25">
      <c r="A2277" s="59"/>
      <c r="B2277" s="60"/>
      <c r="C2277" s="65"/>
      <c r="D2277" s="60"/>
      <c r="E2277" s="59"/>
      <c r="F2277" s="62"/>
      <c r="G2277" s="63"/>
      <c r="H2277" s="64"/>
      <c r="I2277" s="65"/>
      <c r="J2277" s="65"/>
      <c r="K2277" s="65"/>
      <c r="L2277" s="65"/>
      <c r="M2277" s="65"/>
      <c r="N2277" s="65"/>
      <c r="O2277" s="81">
        <f t="shared" si="105"/>
        <v>0</v>
      </c>
      <c r="P2277" s="81">
        <f t="shared" si="106"/>
        <v>0</v>
      </c>
      <c r="Q2277" s="65"/>
      <c r="R2277" s="67"/>
      <c r="S2277" s="83">
        <f t="shared" si="107"/>
        <v>0</v>
      </c>
    </row>
    <row r="2278" spans="1:19" ht="18" customHeight="1" x14ac:dyDescent="0.25">
      <c r="A2278" s="68"/>
      <c r="B2278" s="69"/>
      <c r="C2278" s="74"/>
      <c r="D2278" s="69"/>
      <c r="E2278" s="68"/>
      <c r="F2278" s="71"/>
      <c r="G2278" s="72"/>
      <c r="H2278" s="73"/>
      <c r="I2278" s="74"/>
      <c r="J2278" s="74"/>
      <c r="K2278" s="74"/>
      <c r="L2278" s="74"/>
      <c r="M2278" s="74"/>
      <c r="N2278" s="74"/>
      <c r="O2278" s="82">
        <f t="shared" si="105"/>
        <v>0</v>
      </c>
      <c r="P2278" s="82">
        <f t="shared" si="106"/>
        <v>0</v>
      </c>
      <c r="Q2278" s="74"/>
      <c r="R2278" s="76"/>
      <c r="S2278" s="84">
        <f t="shared" si="107"/>
        <v>0</v>
      </c>
    </row>
    <row r="2279" spans="1:19" ht="18" customHeight="1" x14ac:dyDescent="0.25">
      <c r="A2279" s="59"/>
      <c r="B2279" s="60"/>
      <c r="C2279" s="65"/>
      <c r="D2279" s="60"/>
      <c r="E2279" s="59"/>
      <c r="F2279" s="62"/>
      <c r="G2279" s="63"/>
      <c r="H2279" s="64"/>
      <c r="I2279" s="65"/>
      <c r="J2279" s="65"/>
      <c r="K2279" s="65"/>
      <c r="L2279" s="65"/>
      <c r="M2279" s="65"/>
      <c r="N2279" s="65"/>
      <c r="O2279" s="81">
        <f t="shared" si="105"/>
        <v>0</v>
      </c>
      <c r="P2279" s="81">
        <f t="shared" si="106"/>
        <v>0</v>
      </c>
      <c r="Q2279" s="65"/>
      <c r="R2279" s="67"/>
      <c r="S2279" s="83">
        <f t="shared" si="107"/>
        <v>0</v>
      </c>
    </row>
    <row r="2280" spans="1:19" ht="18" customHeight="1" x14ac:dyDescent="0.25">
      <c r="A2280" s="68"/>
      <c r="B2280" s="69"/>
      <c r="C2280" s="74"/>
      <c r="D2280" s="69"/>
      <c r="E2280" s="68"/>
      <c r="F2280" s="71"/>
      <c r="G2280" s="72"/>
      <c r="H2280" s="73"/>
      <c r="I2280" s="74"/>
      <c r="J2280" s="74"/>
      <c r="K2280" s="74"/>
      <c r="L2280" s="74"/>
      <c r="M2280" s="74"/>
      <c r="N2280" s="74"/>
      <c r="O2280" s="82">
        <f t="shared" si="105"/>
        <v>0</v>
      </c>
      <c r="P2280" s="82">
        <f t="shared" si="106"/>
        <v>0</v>
      </c>
      <c r="Q2280" s="74"/>
      <c r="R2280" s="76"/>
      <c r="S2280" s="84">
        <f t="shared" si="107"/>
        <v>0</v>
      </c>
    </row>
    <row r="2281" spans="1:19" ht="18" customHeight="1" x14ac:dyDescent="0.25">
      <c r="A2281" s="59"/>
      <c r="B2281" s="60"/>
      <c r="C2281" s="65"/>
      <c r="D2281" s="60"/>
      <c r="E2281" s="59"/>
      <c r="F2281" s="62"/>
      <c r="G2281" s="63"/>
      <c r="H2281" s="64"/>
      <c r="I2281" s="65"/>
      <c r="J2281" s="65"/>
      <c r="K2281" s="65"/>
      <c r="L2281" s="65"/>
      <c r="M2281" s="65"/>
      <c r="N2281" s="65"/>
      <c r="O2281" s="81">
        <f t="shared" si="105"/>
        <v>0</v>
      </c>
      <c r="P2281" s="81">
        <f t="shared" si="106"/>
        <v>0</v>
      </c>
      <c r="Q2281" s="65"/>
      <c r="R2281" s="67"/>
      <c r="S2281" s="83">
        <f t="shared" si="107"/>
        <v>0</v>
      </c>
    </row>
    <row r="2282" spans="1:19" ht="18" customHeight="1" x14ac:dyDescent="0.25">
      <c r="A2282" s="68"/>
      <c r="B2282" s="69"/>
      <c r="C2282" s="74"/>
      <c r="D2282" s="69"/>
      <c r="E2282" s="68"/>
      <c r="F2282" s="71"/>
      <c r="G2282" s="72"/>
      <c r="H2282" s="73"/>
      <c r="I2282" s="74"/>
      <c r="J2282" s="74"/>
      <c r="K2282" s="74"/>
      <c r="L2282" s="74"/>
      <c r="M2282" s="74"/>
      <c r="N2282" s="74"/>
      <c r="O2282" s="82">
        <f t="shared" si="105"/>
        <v>0</v>
      </c>
      <c r="P2282" s="82">
        <f t="shared" si="106"/>
        <v>0</v>
      </c>
      <c r="Q2282" s="74"/>
      <c r="R2282" s="76"/>
      <c r="S2282" s="84">
        <f t="shared" si="107"/>
        <v>0</v>
      </c>
    </row>
    <row r="2283" spans="1:19" ht="18" customHeight="1" x14ac:dyDescent="0.25">
      <c r="A2283" s="59"/>
      <c r="B2283" s="60"/>
      <c r="C2283" s="65"/>
      <c r="D2283" s="60"/>
      <c r="E2283" s="59"/>
      <c r="F2283" s="62"/>
      <c r="G2283" s="63"/>
      <c r="H2283" s="64"/>
      <c r="I2283" s="65"/>
      <c r="J2283" s="65"/>
      <c r="K2283" s="65"/>
      <c r="L2283" s="65"/>
      <c r="M2283" s="65"/>
      <c r="N2283" s="65"/>
      <c r="O2283" s="81">
        <f t="shared" si="105"/>
        <v>0</v>
      </c>
      <c r="P2283" s="81">
        <f t="shared" si="106"/>
        <v>0</v>
      </c>
      <c r="Q2283" s="65"/>
      <c r="R2283" s="67"/>
      <c r="S2283" s="83">
        <f t="shared" si="107"/>
        <v>0</v>
      </c>
    </row>
    <row r="2284" spans="1:19" ht="18" customHeight="1" x14ac:dyDescent="0.25">
      <c r="A2284" s="68"/>
      <c r="B2284" s="69"/>
      <c r="C2284" s="74"/>
      <c r="D2284" s="69"/>
      <c r="E2284" s="68"/>
      <c r="F2284" s="71"/>
      <c r="G2284" s="72"/>
      <c r="H2284" s="73"/>
      <c r="I2284" s="74"/>
      <c r="J2284" s="74"/>
      <c r="K2284" s="74"/>
      <c r="L2284" s="74"/>
      <c r="M2284" s="74"/>
      <c r="N2284" s="74"/>
      <c r="O2284" s="82">
        <f t="shared" si="105"/>
        <v>0</v>
      </c>
      <c r="P2284" s="82">
        <f t="shared" si="106"/>
        <v>0</v>
      </c>
      <c r="Q2284" s="74"/>
      <c r="R2284" s="76"/>
      <c r="S2284" s="84">
        <f t="shared" si="107"/>
        <v>0</v>
      </c>
    </row>
    <row r="2285" spans="1:19" ht="18" customHeight="1" x14ac:dyDescent="0.25">
      <c r="A2285" s="59"/>
      <c r="B2285" s="60"/>
      <c r="C2285" s="65"/>
      <c r="D2285" s="60"/>
      <c r="E2285" s="59"/>
      <c r="F2285" s="62"/>
      <c r="G2285" s="63"/>
      <c r="H2285" s="64"/>
      <c r="I2285" s="65"/>
      <c r="J2285" s="65"/>
      <c r="K2285" s="65"/>
      <c r="L2285" s="65"/>
      <c r="M2285" s="65"/>
      <c r="N2285" s="65"/>
      <c r="O2285" s="81">
        <f t="shared" si="105"/>
        <v>0</v>
      </c>
      <c r="P2285" s="81">
        <f t="shared" si="106"/>
        <v>0</v>
      </c>
      <c r="Q2285" s="65"/>
      <c r="R2285" s="67"/>
      <c r="S2285" s="83">
        <f t="shared" si="107"/>
        <v>0</v>
      </c>
    </row>
    <row r="2286" spans="1:19" ht="18" customHeight="1" x14ac:dyDescent="0.25">
      <c r="A2286" s="68"/>
      <c r="B2286" s="69"/>
      <c r="C2286" s="74"/>
      <c r="D2286" s="69"/>
      <c r="E2286" s="68"/>
      <c r="F2286" s="71"/>
      <c r="G2286" s="72"/>
      <c r="H2286" s="73"/>
      <c r="I2286" s="74"/>
      <c r="J2286" s="74"/>
      <c r="K2286" s="74"/>
      <c r="L2286" s="74"/>
      <c r="M2286" s="74"/>
      <c r="N2286" s="74"/>
      <c r="O2286" s="82">
        <f t="shared" si="105"/>
        <v>0</v>
      </c>
      <c r="P2286" s="82">
        <f t="shared" si="106"/>
        <v>0</v>
      </c>
      <c r="Q2286" s="74"/>
      <c r="R2286" s="76"/>
      <c r="S2286" s="84">
        <f t="shared" si="107"/>
        <v>0</v>
      </c>
    </row>
    <row r="2287" spans="1:19" ht="18" customHeight="1" x14ac:dyDescent="0.25">
      <c r="A2287" s="59"/>
      <c r="B2287" s="60"/>
      <c r="C2287" s="65"/>
      <c r="D2287" s="60"/>
      <c r="E2287" s="59"/>
      <c r="F2287" s="62"/>
      <c r="G2287" s="63"/>
      <c r="H2287" s="64"/>
      <c r="I2287" s="65"/>
      <c r="J2287" s="65"/>
      <c r="K2287" s="65"/>
      <c r="L2287" s="65"/>
      <c r="M2287" s="65"/>
      <c r="N2287" s="65"/>
      <c r="O2287" s="81">
        <f t="shared" si="105"/>
        <v>0</v>
      </c>
      <c r="P2287" s="81">
        <f t="shared" si="106"/>
        <v>0</v>
      </c>
      <c r="Q2287" s="65"/>
      <c r="R2287" s="67"/>
      <c r="S2287" s="83">
        <f t="shared" si="107"/>
        <v>0</v>
      </c>
    </row>
    <row r="2288" spans="1:19" ht="18" customHeight="1" x14ac:dyDescent="0.25">
      <c r="A2288" s="68"/>
      <c r="B2288" s="69"/>
      <c r="C2288" s="74"/>
      <c r="D2288" s="69"/>
      <c r="E2288" s="68"/>
      <c r="F2288" s="71"/>
      <c r="G2288" s="72"/>
      <c r="H2288" s="73"/>
      <c r="I2288" s="74"/>
      <c r="J2288" s="74"/>
      <c r="K2288" s="74"/>
      <c r="L2288" s="74"/>
      <c r="M2288" s="74"/>
      <c r="N2288" s="74"/>
      <c r="O2288" s="82">
        <f t="shared" si="105"/>
        <v>0</v>
      </c>
      <c r="P2288" s="82">
        <f t="shared" si="106"/>
        <v>0</v>
      </c>
      <c r="Q2288" s="74"/>
      <c r="R2288" s="76"/>
      <c r="S2288" s="84">
        <f t="shared" si="107"/>
        <v>0</v>
      </c>
    </row>
    <row r="2289" spans="1:19" ht="18" customHeight="1" x14ac:dyDescent="0.25">
      <c r="A2289" s="59"/>
      <c r="B2289" s="60"/>
      <c r="C2289" s="65"/>
      <c r="D2289" s="60"/>
      <c r="E2289" s="59"/>
      <c r="F2289" s="62"/>
      <c r="G2289" s="63"/>
      <c r="H2289" s="64"/>
      <c r="I2289" s="65"/>
      <c r="J2289" s="65"/>
      <c r="K2289" s="65"/>
      <c r="L2289" s="65"/>
      <c r="M2289" s="65"/>
      <c r="N2289" s="65"/>
      <c r="O2289" s="81">
        <f t="shared" si="105"/>
        <v>0</v>
      </c>
      <c r="P2289" s="81">
        <f t="shared" si="106"/>
        <v>0</v>
      </c>
      <c r="Q2289" s="65"/>
      <c r="R2289" s="67"/>
      <c r="S2289" s="83">
        <f t="shared" si="107"/>
        <v>0</v>
      </c>
    </row>
    <row r="2290" spans="1:19" ht="18" customHeight="1" x14ac:dyDescent="0.25">
      <c r="A2290" s="68"/>
      <c r="B2290" s="69"/>
      <c r="C2290" s="74"/>
      <c r="D2290" s="69"/>
      <c r="E2290" s="68"/>
      <c r="F2290" s="71"/>
      <c r="G2290" s="72"/>
      <c r="H2290" s="73"/>
      <c r="I2290" s="74"/>
      <c r="J2290" s="74"/>
      <c r="K2290" s="74"/>
      <c r="L2290" s="74"/>
      <c r="M2290" s="74"/>
      <c r="N2290" s="74"/>
      <c r="O2290" s="82">
        <f t="shared" si="105"/>
        <v>0</v>
      </c>
      <c r="P2290" s="82">
        <f t="shared" si="106"/>
        <v>0</v>
      </c>
      <c r="Q2290" s="74"/>
      <c r="R2290" s="76"/>
      <c r="S2290" s="84">
        <f t="shared" si="107"/>
        <v>0</v>
      </c>
    </row>
    <row r="2291" spans="1:19" ht="18" customHeight="1" x14ac:dyDescent="0.25">
      <c r="A2291" s="59"/>
      <c r="B2291" s="60"/>
      <c r="C2291" s="65"/>
      <c r="D2291" s="60"/>
      <c r="E2291" s="59"/>
      <c r="F2291" s="62"/>
      <c r="G2291" s="63"/>
      <c r="H2291" s="64"/>
      <c r="I2291" s="65"/>
      <c r="J2291" s="65"/>
      <c r="K2291" s="65"/>
      <c r="L2291" s="65"/>
      <c r="M2291" s="65"/>
      <c r="N2291" s="65"/>
      <c r="O2291" s="81">
        <f t="shared" si="105"/>
        <v>0</v>
      </c>
      <c r="P2291" s="81">
        <f t="shared" si="106"/>
        <v>0</v>
      </c>
      <c r="Q2291" s="65"/>
      <c r="R2291" s="67"/>
      <c r="S2291" s="83">
        <f t="shared" si="107"/>
        <v>0</v>
      </c>
    </row>
    <row r="2292" spans="1:19" ht="18" customHeight="1" x14ac:dyDescent="0.25">
      <c r="A2292" s="68"/>
      <c r="B2292" s="69"/>
      <c r="C2292" s="74"/>
      <c r="D2292" s="69"/>
      <c r="E2292" s="68"/>
      <c r="F2292" s="71"/>
      <c r="G2292" s="72"/>
      <c r="H2292" s="73"/>
      <c r="I2292" s="74"/>
      <c r="J2292" s="74"/>
      <c r="K2292" s="74"/>
      <c r="L2292" s="74"/>
      <c r="M2292" s="74"/>
      <c r="N2292" s="74"/>
      <c r="O2292" s="82">
        <f t="shared" si="105"/>
        <v>0</v>
      </c>
      <c r="P2292" s="82">
        <f t="shared" si="106"/>
        <v>0</v>
      </c>
      <c r="Q2292" s="74"/>
      <c r="R2292" s="76"/>
      <c r="S2292" s="84">
        <f t="shared" si="107"/>
        <v>0</v>
      </c>
    </row>
    <row r="2293" spans="1:19" ht="18" customHeight="1" x14ac:dyDescent="0.25">
      <c r="A2293" s="59"/>
      <c r="B2293" s="60"/>
      <c r="C2293" s="65"/>
      <c r="D2293" s="60"/>
      <c r="E2293" s="59"/>
      <c r="F2293" s="62"/>
      <c r="G2293" s="63"/>
      <c r="H2293" s="64"/>
      <c r="I2293" s="65"/>
      <c r="J2293" s="65"/>
      <c r="K2293" s="65"/>
      <c r="L2293" s="65"/>
      <c r="M2293" s="65"/>
      <c r="N2293" s="65"/>
      <c r="O2293" s="81">
        <f t="shared" si="105"/>
        <v>0</v>
      </c>
      <c r="P2293" s="81">
        <f t="shared" si="106"/>
        <v>0</v>
      </c>
      <c r="Q2293" s="65"/>
      <c r="R2293" s="67"/>
      <c r="S2293" s="83">
        <f t="shared" si="107"/>
        <v>0</v>
      </c>
    </row>
    <row r="2294" spans="1:19" ht="18" customHeight="1" x14ac:dyDescent="0.25">
      <c r="A2294" s="68"/>
      <c r="B2294" s="69"/>
      <c r="C2294" s="74"/>
      <c r="D2294" s="69"/>
      <c r="E2294" s="68"/>
      <c r="F2294" s="71"/>
      <c r="G2294" s="72"/>
      <c r="H2294" s="73"/>
      <c r="I2294" s="74"/>
      <c r="J2294" s="74"/>
      <c r="K2294" s="74"/>
      <c r="L2294" s="74"/>
      <c r="M2294" s="74"/>
      <c r="N2294" s="74"/>
      <c r="O2294" s="82">
        <f t="shared" si="105"/>
        <v>0</v>
      </c>
      <c r="P2294" s="82">
        <f t="shared" si="106"/>
        <v>0</v>
      </c>
      <c r="Q2294" s="74"/>
      <c r="R2294" s="76"/>
      <c r="S2294" s="84">
        <f t="shared" si="107"/>
        <v>0</v>
      </c>
    </row>
    <row r="2295" spans="1:19" ht="18" customHeight="1" x14ac:dyDescent="0.25">
      <c r="A2295" s="59"/>
      <c r="B2295" s="60"/>
      <c r="C2295" s="65"/>
      <c r="D2295" s="60"/>
      <c r="E2295" s="59"/>
      <c r="F2295" s="62"/>
      <c r="G2295" s="63"/>
      <c r="H2295" s="64"/>
      <c r="I2295" s="65"/>
      <c r="J2295" s="65"/>
      <c r="K2295" s="65"/>
      <c r="L2295" s="65"/>
      <c r="M2295" s="65"/>
      <c r="N2295" s="65"/>
      <c r="O2295" s="81">
        <f t="shared" si="105"/>
        <v>0</v>
      </c>
      <c r="P2295" s="81">
        <f t="shared" si="106"/>
        <v>0</v>
      </c>
      <c r="Q2295" s="65"/>
      <c r="R2295" s="67"/>
      <c r="S2295" s="83">
        <f t="shared" si="107"/>
        <v>0</v>
      </c>
    </row>
    <row r="2296" spans="1:19" ht="18" customHeight="1" x14ac:dyDescent="0.25">
      <c r="A2296" s="68"/>
      <c r="B2296" s="69"/>
      <c r="C2296" s="74"/>
      <c r="D2296" s="69"/>
      <c r="E2296" s="68"/>
      <c r="F2296" s="71"/>
      <c r="G2296" s="72"/>
      <c r="H2296" s="73"/>
      <c r="I2296" s="74"/>
      <c r="J2296" s="74"/>
      <c r="K2296" s="74"/>
      <c r="L2296" s="74"/>
      <c r="M2296" s="74"/>
      <c r="N2296" s="74"/>
      <c r="O2296" s="82">
        <f t="shared" si="105"/>
        <v>0</v>
      </c>
      <c r="P2296" s="82">
        <f t="shared" si="106"/>
        <v>0</v>
      </c>
      <c r="Q2296" s="74"/>
      <c r="R2296" s="76"/>
      <c r="S2296" s="84">
        <f t="shared" si="107"/>
        <v>0</v>
      </c>
    </row>
    <row r="2297" spans="1:19" ht="18" customHeight="1" x14ac:dyDescent="0.25">
      <c r="A2297" s="59"/>
      <c r="B2297" s="60"/>
      <c r="C2297" s="65"/>
      <c r="D2297" s="60"/>
      <c r="E2297" s="59"/>
      <c r="F2297" s="62"/>
      <c r="G2297" s="63"/>
      <c r="H2297" s="64"/>
      <c r="I2297" s="65"/>
      <c r="J2297" s="65"/>
      <c r="K2297" s="65"/>
      <c r="L2297" s="65"/>
      <c r="M2297" s="65"/>
      <c r="N2297" s="65"/>
      <c r="O2297" s="81">
        <f t="shared" si="105"/>
        <v>0</v>
      </c>
      <c r="P2297" s="81">
        <f t="shared" si="106"/>
        <v>0</v>
      </c>
      <c r="Q2297" s="65"/>
      <c r="R2297" s="67"/>
      <c r="S2297" s="83">
        <f t="shared" si="107"/>
        <v>0</v>
      </c>
    </row>
    <row r="2298" spans="1:19" ht="18" customHeight="1" x14ac:dyDescent="0.25">
      <c r="A2298" s="68"/>
      <c r="B2298" s="69"/>
      <c r="C2298" s="74"/>
      <c r="D2298" s="69"/>
      <c r="E2298" s="68"/>
      <c r="F2298" s="71"/>
      <c r="G2298" s="72"/>
      <c r="H2298" s="73"/>
      <c r="I2298" s="74"/>
      <c r="J2298" s="74"/>
      <c r="K2298" s="74"/>
      <c r="L2298" s="74"/>
      <c r="M2298" s="74"/>
      <c r="N2298" s="74"/>
      <c r="O2298" s="82">
        <f t="shared" si="105"/>
        <v>0</v>
      </c>
      <c r="P2298" s="82">
        <f t="shared" si="106"/>
        <v>0</v>
      </c>
      <c r="Q2298" s="74"/>
      <c r="R2298" s="76"/>
      <c r="S2298" s="84">
        <f t="shared" si="107"/>
        <v>0</v>
      </c>
    </row>
    <row r="2299" spans="1:19" ht="18" customHeight="1" x14ac:dyDescent="0.25">
      <c r="A2299" s="59"/>
      <c r="B2299" s="60"/>
      <c r="C2299" s="65"/>
      <c r="D2299" s="60"/>
      <c r="E2299" s="59"/>
      <c r="F2299" s="62"/>
      <c r="G2299" s="63"/>
      <c r="H2299" s="64"/>
      <c r="I2299" s="65"/>
      <c r="J2299" s="65"/>
      <c r="K2299" s="65"/>
      <c r="L2299" s="65"/>
      <c r="M2299" s="65"/>
      <c r="N2299" s="65"/>
      <c r="O2299" s="81">
        <f t="shared" si="105"/>
        <v>0</v>
      </c>
      <c r="P2299" s="81">
        <f t="shared" si="106"/>
        <v>0</v>
      </c>
      <c r="Q2299" s="65"/>
      <c r="R2299" s="67"/>
      <c r="S2299" s="83">
        <f t="shared" si="107"/>
        <v>0</v>
      </c>
    </row>
    <row r="2300" spans="1:19" ht="18" customHeight="1" x14ac:dyDescent="0.25">
      <c r="A2300" s="68"/>
      <c r="B2300" s="69"/>
      <c r="C2300" s="74"/>
      <c r="D2300" s="69"/>
      <c r="E2300" s="68"/>
      <c r="F2300" s="71"/>
      <c r="G2300" s="72"/>
      <c r="H2300" s="73"/>
      <c r="I2300" s="74"/>
      <c r="J2300" s="74"/>
      <c r="K2300" s="74"/>
      <c r="L2300" s="74"/>
      <c r="M2300" s="74"/>
      <c r="N2300" s="74"/>
      <c r="O2300" s="82">
        <f t="shared" si="105"/>
        <v>0</v>
      </c>
      <c r="P2300" s="82">
        <f t="shared" si="106"/>
        <v>0</v>
      </c>
      <c r="Q2300" s="74"/>
      <c r="R2300" s="76"/>
      <c r="S2300" s="84">
        <f t="shared" si="107"/>
        <v>0</v>
      </c>
    </row>
    <row r="2301" spans="1:19" ht="18" customHeight="1" x14ac:dyDescent="0.25">
      <c r="A2301" s="59"/>
      <c r="B2301" s="60"/>
      <c r="C2301" s="65"/>
      <c r="D2301" s="60"/>
      <c r="E2301" s="59"/>
      <c r="F2301" s="62"/>
      <c r="G2301" s="63"/>
      <c r="H2301" s="64"/>
      <c r="I2301" s="65"/>
      <c r="J2301" s="65"/>
      <c r="K2301" s="65"/>
      <c r="L2301" s="65"/>
      <c r="M2301" s="65"/>
      <c r="N2301" s="65"/>
      <c r="O2301" s="81">
        <f t="shared" si="105"/>
        <v>0</v>
      </c>
      <c r="P2301" s="81">
        <f t="shared" si="106"/>
        <v>0</v>
      </c>
      <c r="Q2301" s="65"/>
      <c r="R2301" s="67"/>
      <c r="S2301" s="83">
        <f t="shared" si="107"/>
        <v>0</v>
      </c>
    </row>
    <row r="2302" spans="1:19" ht="18" customHeight="1" x14ac:dyDescent="0.25">
      <c r="A2302" s="68"/>
      <c r="B2302" s="69"/>
      <c r="C2302" s="74"/>
      <c r="D2302" s="69"/>
      <c r="E2302" s="68"/>
      <c r="F2302" s="71"/>
      <c r="G2302" s="72"/>
      <c r="H2302" s="73"/>
      <c r="I2302" s="74"/>
      <c r="J2302" s="74"/>
      <c r="K2302" s="74"/>
      <c r="L2302" s="74"/>
      <c r="M2302" s="74"/>
      <c r="N2302" s="74"/>
      <c r="O2302" s="82">
        <f t="shared" si="105"/>
        <v>0</v>
      </c>
      <c r="P2302" s="82">
        <f t="shared" si="106"/>
        <v>0</v>
      </c>
      <c r="Q2302" s="74"/>
      <c r="R2302" s="76"/>
      <c r="S2302" s="84">
        <f t="shared" si="107"/>
        <v>0</v>
      </c>
    </row>
    <row r="2303" spans="1:19" ht="18" customHeight="1" x14ac:dyDescent="0.25">
      <c r="A2303" s="59"/>
      <c r="B2303" s="60"/>
      <c r="C2303" s="65"/>
      <c r="D2303" s="60"/>
      <c r="E2303" s="59"/>
      <c r="F2303" s="62"/>
      <c r="G2303" s="63"/>
      <c r="H2303" s="64"/>
      <c r="I2303" s="65"/>
      <c r="J2303" s="65"/>
      <c r="K2303" s="65"/>
      <c r="L2303" s="65"/>
      <c r="M2303" s="65"/>
      <c r="N2303" s="65"/>
      <c r="O2303" s="81">
        <f t="shared" si="105"/>
        <v>0</v>
      </c>
      <c r="P2303" s="81">
        <f t="shared" si="106"/>
        <v>0</v>
      </c>
      <c r="Q2303" s="65"/>
      <c r="R2303" s="67"/>
      <c r="S2303" s="83">
        <f t="shared" si="107"/>
        <v>0</v>
      </c>
    </row>
    <row r="2304" spans="1:19" ht="18" customHeight="1" x14ac:dyDescent="0.25">
      <c r="A2304" s="68"/>
      <c r="B2304" s="69"/>
      <c r="C2304" s="74"/>
      <c r="D2304" s="69"/>
      <c r="E2304" s="68"/>
      <c r="F2304" s="71"/>
      <c r="G2304" s="72"/>
      <c r="H2304" s="73"/>
      <c r="I2304" s="74"/>
      <c r="J2304" s="74"/>
      <c r="K2304" s="74"/>
      <c r="L2304" s="74"/>
      <c r="M2304" s="74"/>
      <c r="N2304" s="74"/>
      <c r="O2304" s="82">
        <f t="shared" si="105"/>
        <v>0</v>
      </c>
      <c r="P2304" s="82">
        <f t="shared" si="106"/>
        <v>0</v>
      </c>
      <c r="Q2304" s="74"/>
      <c r="R2304" s="76"/>
      <c r="S2304" s="84">
        <f t="shared" si="107"/>
        <v>0</v>
      </c>
    </row>
    <row r="2305" spans="1:19" ht="18" customHeight="1" x14ac:dyDescent="0.25">
      <c r="A2305" s="59"/>
      <c r="B2305" s="60"/>
      <c r="C2305" s="65"/>
      <c r="D2305" s="60"/>
      <c r="E2305" s="59"/>
      <c r="F2305" s="62"/>
      <c r="G2305" s="63"/>
      <c r="H2305" s="64"/>
      <c r="I2305" s="65"/>
      <c r="J2305" s="65"/>
      <c r="K2305" s="65"/>
      <c r="L2305" s="65"/>
      <c r="M2305" s="65"/>
      <c r="N2305" s="65"/>
      <c r="O2305" s="81">
        <f t="shared" si="105"/>
        <v>0</v>
      </c>
      <c r="P2305" s="81">
        <f t="shared" si="106"/>
        <v>0</v>
      </c>
      <c r="Q2305" s="65"/>
      <c r="R2305" s="67"/>
      <c r="S2305" s="83">
        <f t="shared" si="107"/>
        <v>0</v>
      </c>
    </row>
    <row r="2306" spans="1:19" ht="18" customHeight="1" x14ac:dyDescent="0.25">
      <c r="A2306" s="68"/>
      <c r="B2306" s="69"/>
      <c r="C2306" s="74"/>
      <c r="D2306" s="69"/>
      <c r="E2306" s="68"/>
      <c r="F2306" s="71"/>
      <c r="G2306" s="72"/>
      <c r="H2306" s="73"/>
      <c r="I2306" s="74"/>
      <c r="J2306" s="74"/>
      <c r="K2306" s="74"/>
      <c r="L2306" s="74"/>
      <c r="M2306" s="74"/>
      <c r="N2306" s="74"/>
      <c r="O2306" s="82">
        <f t="shared" si="105"/>
        <v>0</v>
      </c>
      <c r="P2306" s="82">
        <f t="shared" si="106"/>
        <v>0</v>
      </c>
      <c r="Q2306" s="74"/>
      <c r="R2306" s="76"/>
      <c r="S2306" s="84">
        <f t="shared" si="107"/>
        <v>0</v>
      </c>
    </row>
    <row r="2307" spans="1:19" ht="18" customHeight="1" x14ac:dyDescent="0.25">
      <c r="A2307" s="59"/>
      <c r="B2307" s="60"/>
      <c r="C2307" s="65"/>
      <c r="D2307" s="60"/>
      <c r="E2307" s="59"/>
      <c r="F2307" s="62"/>
      <c r="G2307" s="63"/>
      <c r="H2307" s="64"/>
      <c r="I2307" s="65"/>
      <c r="J2307" s="65"/>
      <c r="K2307" s="65"/>
      <c r="L2307" s="65"/>
      <c r="M2307" s="65"/>
      <c r="N2307" s="65"/>
      <c r="O2307" s="81">
        <f t="shared" si="105"/>
        <v>0</v>
      </c>
      <c r="P2307" s="81">
        <f t="shared" si="106"/>
        <v>0</v>
      </c>
      <c r="Q2307" s="65"/>
      <c r="R2307" s="67"/>
      <c r="S2307" s="83">
        <f t="shared" si="107"/>
        <v>0</v>
      </c>
    </row>
    <row r="2308" spans="1:19" ht="18" customHeight="1" x14ac:dyDescent="0.25">
      <c r="A2308" s="68"/>
      <c r="B2308" s="69"/>
      <c r="C2308" s="74"/>
      <c r="D2308" s="69"/>
      <c r="E2308" s="68"/>
      <c r="F2308" s="71"/>
      <c r="G2308" s="72"/>
      <c r="H2308" s="73"/>
      <c r="I2308" s="74"/>
      <c r="J2308" s="74"/>
      <c r="K2308" s="74"/>
      <c r="L2308" s="74"/>
      <c r="M2308" s="74"/>
      <c r="N2308" s="74"/>
      <c r="O2308" s="82">
        <f t="shared" si="105"/>
        <v>0</v>
      </c>
      <c r="P2308" s="82">
        <f t="shared" si="106"/>
        <v>0</v>
      </c>
      <c r="Q2308" s="74"/>
      <c r="R2308" s="76"/>
      <c r="S2308" s="84">
        <f t="shared" si="107"/>
        <v>0</v>
      </c>
    </row>
    <row r="2309" spans="1:19" ht="18" customHeight="1" x14ac:dyDescent="0.25">
      <c r="A2309" s="59"/>
      <c r="B2309" s="60"/>
      <c r="C2309" s="65"/>
      <c r="D2309" s="60"/>
      <c r="E2309" s="59"/>
      <c r="F2309" s="62"/>
      <c r="G2309" s="63"/>
      <c r="H2309" s="64"/>
      <c r="I2309" s="65"/>
      <c r="J2309" s="65"/>
      <c r="K2309" s="65"/>
      <c r="L2309" s="65"/>
      <c r="M2309" s="65"/>
      <c r="N2309" s="65"/>
      <c r="O2309" s="81">
        <f t="shared" si="105"/>
        <v>0</v>
      </c>
      <c r="P2309" s="81">
        <f t="shared" si="106"/>
        <v>0</v>
      </c>
      <c r="Q2309" s="65"/>
      <c r="R2309" s="67"/>
      <c r="S2309" s="83">
        <f t="shared" si="107"/>
        <v>0</v>
      </c>
    </row>
    <row r="2310" spans="1:19" ht="18" customHeight="1" x14ac:dyDescent="0.25">
      <c r="A2310" s="68"/>
      <c r="B2310" s="69"/>
      <c r="C2310" s="74"/>
      <c r="D2310" s="69"/>
      <c r="E2310" s="68"/>
      <c r="F2310" s="71"/>
      <c r="G2310" s="72"/>
      <c r="H2310" s="73"/>
      <c r="I2310" s="74"/>
      <c r="J2310" s="74"/>
      <c r="K2310" s="74"/>
      <c r="L2310" s="74"/>
      <c r="M2310" s="74"/>
      <c r="N2310" s="74"/>
      <c r="O2310" s="82" t="e">
        <f>#N/A</f>
        <v>#N/A</v>
      </c>
      <c r="P2310" s="82" t="e">
        <f>#N/A</f>
        <v>#N/A</v>
      </c>
      <c r="Q2310" s="74"/>
      <c r="R2310" s="76"/>
      <c r="S2310" s="84">
        <f t="shared" si="107"/>
        <v>0</v>
      </c>
    </row>
    <row r="2311" spans="1:19" ht="18" customHeight="1" x14ac:dyDescent="0.25">
      <c r="A2311" s="59"/>
      <c r="B2311" s="60"/>
      <c r="C2311" s="65"/>
      <c r="D2311" s="60"/>
      <c r="E2311" s="59"/>
      <c r="F2311" s="62"/>
      <c r="G2311" s="63"/>
      <c r="H2311" s="64"/>
      <c r="I2311" s="65"/>
      <c r="J2311" s="65"/>
      <c r="K2311" s="65"/>
      <c r="L2311" s="65"/>
      <c r="M2311" s="65"/>
      <c r="N2311" s="65"/>
      <c r="O2311" s="81">
        <f t="shared" ref="O2311:O2373" si="108">IF(G2311="Reimbursement ","",I2311+J2311+K2311+L2311+M2311)</f>
        <v>0</v>
      </c>
      <c r="P2311" s="81">
        <f t="shared" ref="P2311:P2373" si="109">IF(G2311="Reimbursement ","",H2311-O2311)</f>
        <v>0</v>
      </c>
      <c r="Q2311" s="65"/>
      <c r="R2311" s="67"/>
      <c r="S2311" s="83">
        <f t="shared" ref="S2311:S2374" si="110">IF(OR(R2311="",Q2311=""),0,IF(R2311&gt;Q2311,R2311-Q2311,0))</f>
        <v>0</v>
      </c>
    </row>
    <row r="2312" spans="1:19" ht="18" customHeight="1" x14ac:dyDescent="0.25">
      <c r="A2312" s="68"/>
      <c r="B2312" s="69"/>
      <c r="C2312" s="74"/>
      <c r="D2312" s="69"/>
      <c r="E2312" s="68"/>
      <c r="F2312" s="71"/>
      <c r="G2312" s="72"/>
      <c r="H2312" s="73"/>
      <c r="I2312" s="74"/>
      <c r="J2312" s="74"/>
      <c r="K2312" s="74"/>
      <c r="L2312" s="74"/>
      <c r="M2312" s="74"/>
      <c r="N2312" s="74"/>
      <c r="O2312" s="82">
        <f t="shared" si="108"/>
        <v>0</v>
      </c>
      <c r="P2312" s="82">
        <f t="shared" si="109"/>
        <v>0</v>
      </c>
      <c r="Q2312" s="74"/>
      <c r="R2312" s="76"/>
      <c r="S2312" s="84">
        <f t="shared" si="110"/>
        <v>0</v>
      </c>
    </row>
    <row r="2313" spans="1:19" ht="18" customHeight="1" x14ac:dyDescent="0.25">
      <c r="A2313" s="59"/>
      <c r="B2313" s="60"/>
      <c r="C2313" s="65"/>
      <c r="D2313" s="60"/>
      <c r="E2313" s="59"/>
      <c r="F2313" s="62"/>
      <c r="G2313" s="63"/>
      <c r="H2313" s="64"/>
      <c r="I2313" s="65"/>
      <c r="J2313" s="65"/>
      <c r="K2313" s="65"/>
      <c r="L2313" s="65"/>
      <c r="M2313" s="65"/>
      <c r="N2313" s="65"/>
      <c r="O2313" s="81">
        <f t="shared" si="108"/>
        <v>0</v>
      </c>
      <c r="P2313" s="81">
        <f t="shared" si="109"/>
        <v>0</v>
      </c>
      <c r="Q2313" s="65"/>
      <c r="R2313" s="67"/>
      <c r="S2313" s="83">
        <f t="shared" si="110"/>
        <v>0</v>
      </c>
    </row>
    <row r="2314" spans="1:19" ht="18" customHeight="1" x14ac:dyDescent="0.25">
      <c r="A2314" s="68"/>
      <c r="B2314" s="69"/>
      <c r="C2314" s="74"/>
      <c r="D2314" s="69"/>
      <c r="E2314" s="68"/>
      <c r="F2314" s="71"/>
      <c r="G2314" s="72"/>
      <c r="H2314" s="73"/>
      <c r="I2314" s="74"/>
      <c r="J2314" s="74"/>
      <c r="K2314" s="74"/>
      <c r="L2314" s="74"/>
      <c r="M2314" s="74"/>
      <c r="N2314" s="74"/>
      <c r="O2314" s="82">
        <f t="shared" si="108"/>
        <v>0</v>
      </c>
      <c r="P2314" s="82">
        <f t="shared" si="109"/>
        <v>0</v>
      </c>
      <c r="Q2314" s="74"/>
      <c r="R2314" s="76"/>
      <c r="S2314" s="84">
        <f t="shared" si="110"/>
        <v>0</v>
      </c>
    </row>
    <row r="2315" spans="1:19" ht="18" customHeight="1" x14ac:dyDescent="0.25">
      <c r="A2315" s="59"/>
      <c r="B2315" s="60"/>
      <c r="C2315" s="65"/>
      <c r="D2315" s="60"/>
      <c r="E2315" s="59"/>
      <c r="F2315" s="62"/>
      <c r="G2315" s="63"/>
      <c r="H2315" s="64"/>
      <c r="I2315" s="65"/>
      <c r="J2315" s="65"/>
      <c r="K2315" s="65"/>
      <c r="L2315" s="65"/>
      <c r="M2315" s="65"/>
      <c r="N2315" s="65"/>
      <c r="O2315" s="81">
        <f t="shared" si="108"/>
        <v>0</v>
      </c>
      <c r="P2315" s="81">
        <f t="shared" si="109"/>
        <v>0</v>
      </c>
      <c r="Q2315" s="65"/>
      <c r="R2315" s="67"/>
      <c r="S2315" s="83">
        <f t="shared" si="110"/>
        <v>0</v>
      </c>
    </row>
    <row r="2316" spans="1:19" ht="18" customHeight="1" x14ac:dyDescent="0.25">
      <c r="A2316" s="68"/>
      <c r="B2316" s="69"/>
      <c r="C2316" s="74"/>
      <c r="D2316" s="69"/>
      <c r="E2316" s="68"/>
      <c r="F2316" s="71"/>
      <c r="G2316" s="72"/>
      <c r="H2316" s="73"/>
      <c r="I2316" s="74"/>
      <c r="J2316" s="74"/>
      <c r="K2316" s="74"/>
      <c r="L2316" s="74"/>
      <c r="M2316" s="74"/>
      <c r="N2316" s="74"/>
      <c r="O2316" s="82">
        <f t="shared" si="108"/>
        <v>0</v>
      </c>
      <c r="P2316" s="82">
        <f t="shared" si="109"/>
        <v>0</v>
      </c>
      <c r="Q2316" s="74"/>
      <c r="R2316" s="76"/>
      <c r="S2316" s="84">
        <f t="shared" si="110"/>
        <v>0</v>
      </c>
    </row>
    <row r="2317" spans="1:19" ht="18" customHeight="1" x14ac:dyDescent="0.25">
      <c r="A2317" s="59"/>
      <c r="B2317" s="60"/>
      <c r="C2317" s="65"/>
      <c r="D2317" s="60"/>
      <c r="E2317" s="59"/>
      <c r="F2317" s="62"/>
      <c r="G2317" s="63"/>
      <c r="H2317" s="64"/>
      <c r="I2317" s="65"/>
      <c r="J2317" s="65"/>
      <c r="K2317" s="65"/>
      <c r="L2317" s="65"/>
      <c r="M2317" s="65"/>
      <c r="N2317" s="65"/>
      <c r="O2317" s="81">
        <f t="shared" si="108"/>
        <v>0</v>
      </c>
      <c r="P2317" s="81">
        <f t="shared" si="109"/>
        <v>0</v>
      </c>
      <c r="Q2317" s="65"/>
      <c r="R2317" s="67"/>
      <c r="S2317" s="83">
        <f t="shared" si="110"/>
        <v>0</v>
      </c>
    </row>
    <row r="2318" spans="1:19" ht="18" customHeight="1" x14ac:dyDescent="0.25">
      <c r="A2318" s="68"/>
      <c r="B2318" s="69"/>
      <c r="C2318" s="74"/>
      <c r="D2318" s="69"/>
      <c r="E2318" s="68"/>
      <c r="F2318" s="71"/>
      <c r="G2318" s="72"/>
      <c r="H2318" s="73"/>
      <c r="I2318" s="74"/>
      <c r="J2318" s="74"/>
      <c r="K2318" s="74"/>
      <c r="L2318" s="74"/>
      <c r="M2318" s="74"/>
      <c r="N2318" s="74"/>
      <c r="O2318" s="82">
        <f t="shared" si="108"/>
        <v>0</v>
      </c>
      <c r="P2318" s="82">
        <f t="shared" si="109"/>
        <v>0</v>
      </c>
      <c r="Q2318" s="74"/>
      <c r="R2318" s="76"/>
      <c r="S2318" s="84">
        <f t="shared" si="110"/>
        <v>0</v>
      </c>
    </row>
    <row r="2319" spans="1:19" ht="18" customHeight="1" x14ac:dyDescent="0.25">
      <c r="A2319" s="59"/>
      <c r="B2319" s="60"/>
      <c r="C2319" s="65"/>
      <c r="D2319" s="60"/>
      <c r="E2319" s="59"/>
      <c r="F2319" s="62"/>
      <c r="G2319" s="63"/>
      <c r="H2319" s="64"/>
      <c r="I2319" s="65"/>
      <c r="J2319" s="65"/>
      <c r="K2319" s="65"/>
      <c r="L2319" s="65"/>
      <c r="M2319" s="65"/>
      <c r="N2319" s="65"/>
      <c r="O2319" s="81">
        <f t="shared" si="108"/>
        <v>0</v>
      </c>
      <c r="P2319" s="81">
        <f t="shared" si="109"/>
        <v>0</v>
      </c>
      <c r="Q2319" s="65"/>
      <c r="R2319" s="67"/>
      <c r="S2319" s="83">
        <f t="shared" si="110"/>
        <v>0</v>
      </c>
    </row>
    <row r="2320" spans="1:19" ht="18" customHeight="1" x14ac:dyDescent="0.25">
      <c r="A2320" s="68"/>
      <c r="B2320" s="69"/>
      <c r="C2320" s="74"/>
      <c r="D2320" s="69"/>
      <c r="E2320" s="68"/>
      <c r="F2320" s="71"/>
      <c r="G2320" s="72"/>
      <c r="H2320" s="73"/>
      <c r="I2320" s="74"/>
      <c r="J2320" s="74"/>
      <c r="K2320" s="74"/>
      <c r="L2320" s="74"/>
      <c r="M2320" s="74"/>
      <c r="N2320" s="74"/>
      <c r="O2320" s="82">
        <f t="shared" si="108"/>
        <v>0</v>
      </c>
      <c r="P2320" s="82">
        <f t="shared" si="109"/>
        <v>0</v>
      </c>
      <c r="Q2320" s="74"/>
      <c r="R2320" s="76"/>
      <c r="S2320" s="84">
        <f t="shared" si="110"/>
        <v>0</v>
      </c>
    </row>
    <row r="2321" spans="1:19" ht="18" customHeight="1" x14ac:dyDescent="0.25">
      <c r="A2321" s="59"/>
      <c r="B2321" s="60"/>
      <c r="C2321" s="65"/>
      <c r="D2321" s="60"/>
      <c r="E2321" s="59"/>
      <c r="F2321" s="62"/>
      <c r="G2321" s="63"/>
      <c r="H2321" s="64"/>
      <c r="I2321" s="65"/>
      <c r="J2321" s="65"/>
      <c r="K2321" s="65"/>
      <c r="L2321" s="65"/>
      <c r="M2321" s="65"/>
      <c r="N2321" s="65"/>
      <c r="O2321" s="81">
        <f t="shared" si="108"/>
        <v>0</v>
      </c>
      <c r="P2321" s="81">
        <f t="shared" si="109"/>
        <v>0</v>
      </c>
      <c r="Q2321" s="65"/>
      <c r="R2321" s="67"/>
      <c r="S2321" s="83">
        <f t="shared" si="110"/>
        <v>0</v>
      </c>
    </row>
    <row r="2322" spans="1:19" ht="18" customHeight="1" x14ac:dyDescent="0.25">
      <c r="A2322" s="68"/>
      <c r="B2322" s="69"/>
      <c r="C2322" s="74"/>
      <c r="D2322" s="69"/>
      <c r="E2322" s="68"/>
      <c r="F2322" s="71"/>
      <c r="G2322" s="72"/>
      <c r="H2322" s="73"/>
      <c r="I2322" s="74"/>
      <c r="J2322" s="74"/>
      <c r="K2322" s="74"/>
      <c r="L2322" s="74"/>
      <c r="M2322" s="74"/>
      <c r="N2322" s="74"/>
      <c r="O2322" s="82">
        <f t="shared" si="108"/>
        <v>0</v>
      </c>
      <c r="P2322" s="82">
        <f t="shared" si="109"/>
        <v>0</v>
      </c>
      <c r="Q2322" s="74"/>
      <c r="R2322" s="76"/>
      <c r="S2322" s="84">
        <f t="shared" si="110"/>
        <v>0</v>
      </c>
    </row>
    <row r="2323" spans="1:19" ht="18" customHeight="1" x14ac:dyDescent="0.25">
      <c r="A2323" s="59"/>
      <c r="B2323" s="60"/>
      <c r="C2323" s="65"/>
      <c r="D2323" s="60"/>
      <c r="E2323" s="59"/>
      <c r="F2323" s="62"/>
      <c r="G2323" s="63"/>
      <c r="H2323" s="64"/>
      <c r="I2323" s="65"/>
      <c r="J2323" s="65"/>
      <c r="K2323" s="65"/>
      <c r="L2323" s="65"/>
      <c r="M2323" s="65"/>
      <c r="N2323" s="65"/>
      <c r="O2323" s="81">
        <f t="shared" si="108"/>
        <v>0</v>
      </c>
      <c r="P2323" s="81">
        <f t="shared" si="109"/>
        <v>0</v>
      </c>
      <c r="Q2323" s="65"/>
      <c r="R2323" s="67"/>
      <c r="S2323" s="83">
        <f t="shared" si="110"/>
        <v>0</v>
      </c>
    </row>
    <row r="2324" spans="1:19" ht="18" customHeight="1" x14ac:dyDescent="0.25">
      <c r="A2324" s="68"/>
      <c r="B2324" s="69"/>
      <c r="C2324" s="74"/>
      <c r="D2324" s="69"/>
      <c r="E2324" s="68"/>
      <c r="F2324" s="71"/>
      <c r="G2324" s="72"/>
      <c r="H2324" s="73"/>
      <c r="I2324" s="74"/>
      <c r="J2324" s="74"/>
      <c r="K2324" s="74"/>
      <c r="L2324" s="74"/>
      <c r="M2324" s="74"/>
      <c r="N2324" s="74"/>
      <c r="O2324" s="82">
        <f t="shared" si="108"/>
        <v>0</v>
      </c>
      <c r="P2324" s="82">
        <f t="shared" si="109"/>
        <v>0</v>
      </c>
      <c r="Q2324" s="74"/>
      <c r="R2324" s="76"/>
      <c r="S2324" s="84">
        <f t="shared" si="110"/>
        <v>0</v>
      </c>
    </row>
    <row r="2325" spans="1:19" ht="18" customHeight="1" x14ac:dyDescent="0.25">
      <c r="A2325" s="59"/>
      <c r="B2325" s="60"/>
      <c r="C2325" s="65"/>
      <c r="D2325" s="60"/>
      <c r="E2325" s="59"/>
      <c r="F2325" s="62"/>
      <c r="G2325" s="63"/>
      <c r="H2325" s="64"/>
      <c r="I2325" s="65"/>
      <c r="J2325" s="65"/>
      <c r="K2325" s="65"/>
      <c r="L2325" s="65"/>
      <c r="M2325" s="65"/>
      <c r="N2325" s="65"/>
      <c r="O2325" s="81">
        <f t="shared" si="108"/>
        <v>0</v>
      </c>
      <c r="P2325" s="81">
        <f t="shared" si="109"/>
        <v>0</v>
      </c>
      <c r="Q2325" s="65"/>
      <c r="R2325" s="67"/>
      <c r="S2325" s="83">
        <f t="shared" si="110"/>
        <v>0</v>
      </c>
    </row>
    <row r="2326" spans="1:19" ht="18" customHeight="1" x14ac:dyDescent="0.25">
      <c r="A2326" s="68"/>
      <c r="B2326" s="69"/>
      <c r="C2326" s="74"/>
      <c r="D2326" s="69"/>
      <c r="E2326" s="68"/>
      <c r="F2326" s="71"/>
      <c r="G2326" s="72"/>
      <c r="H2326" s="73"/>
      <c r="I2326" s="74"/>
      <c r="J2326" s="74"/>
      <c r="K2326" s="74"/>
      <c r="L2326" s="74"/>
      <c r="M2326" s="74"/>
      <c r="N2326" s="74"/>
      <c r="O2326" s="82">
        <f t="shared" si="108"/>
        <v>0</v>
      </c>
      <c r="P2326" s="82">
        <f t="shared" si="109"/>
        <v>0</v>
      </c>
      <c r="Q2326" s="74"/>
      <c r="R2326" s="76"/>
      <c r="S2326" s="84">
        <f t="shared" si="110"/>
        <v>0</v>
      </c>
    </row>
    <row r="2327" spans="1:19" ht="18" customHeight="1" x14ac:dyDescent="0.25">
      <c r="A2327" s="59"/>
      <c r="B2327" s="60"/>
      <c r="C2327" s="65"/>
      <c r="D2327" s="60"/>
      <c r="E2327" s="59"/>
      <c r="F2327" s="62"/>
      <c r="G2327" s="63"/>
      <c r="H2327" s="64"/>
      <c r="I2327" s="65"/>
      <c r="J2327" s="65"/>
      <c r="K2327" s="65"/>
      <c r="L2327" s="65"/>
      <c r="M2327" s="65"/>
      <c r="N2327" s="65"/>
      <c r="O2327" s="81">
        <f t="shared" si="108"/>
        <v>0</v>
      </c>
      <c r="P2327" s="81">
        <f t="shared" si="109"/>
        <v>0</v>
      </c>
      <c r="Q2327" s="65"/>
      <c r="R2327" s="67"/>
      <c r="S2327" s="83">
        <f t="shared" si="110"/>
        <v>0</v>
      </c>
    </row>
    <row r="2328" spans="1:19" ht="18" customHeight="1" x14ac:dyDescent="0.25">
      <c r="A2328" s="68"/>
      <c r="B2328" s="69"/>
      <c r="C2328" s="74"/>
      <c r="D2328" s="69"/>
      <c r="E2328" s="68"/>
      <c r="F2328" s="71"/>
      <c r="G2328" s="72"/>
      <c r="H2328" s="73"/>
      <c r="I2328" s="74"/>
      <c r="J2328" s="74"/>
      <c r="K2328" s="74"/>
      <c r="L2328" s="74"/>
      <c r="M2328" s="74"/>
      <c r="N2328" s="74"/>
      <c r="O2328" s="82">
        <f t="shared" si="108"/>
        <v>0</v>
      </c>
      <c r="P2328" s="82">
        <f t="shared" si="109"/>
        <v>0</v>
      </c>
      <c r="Q2328" s="74"/>
      <c r="R2328" s="76"/>
      <c r="S2328" s="84">
        <f t="shared" si="110"/>
        <v>0</v>
      </c>
    </row>
    <row r="2329" spans="1:19" ht="18" customHeight="1" x14ac:dyDescent="0.25">
      <c r="A2329" s="59"/>
      <c r="B2329" s="60"/>
      <c r="C2329" s="65"/>
      <c r="D2329" s="60"/>
      <c r="E2329" s="59"/>
      <c r="F2329" s="62"/>
      <c r="G2329" s="63"/>
      <c r="H2329" s="64"/>
      <c r="I2329" s="65"/>
      <c r="J2329" s="65"/>
      <c r="K2329" s="65"/>
      <c r="L2329" s="65"/>
      <c r="M2329" s="65"/>
      <c r="N2329" s="65"/>
      <c r="O2329" s="81">
        <f t="shared" si="108"/>
        <v>0</v>
      </c>
      <c r="P2329" s="81">
        <f t="shared" si="109"/>
        <v>0</v>
      </c>
      <c r="Q2329" s="65"/>
      <c r="R2329" s="67"/>
      <c r="S2329" s="83">
        <f t="shared" si="110"/>
        <v>0</v>
      </c>
    </row>
    <row r="2330" spans="1:19" ht="18" customHeight="1" x14ac:dyDescent="0.25">
      <c r="A2330" s="68"/>
      <c r="B2330" s="69"/>
      <c r="C2330" s="74"/>
      <c r="D2330" s="69"/>
      <c r="E2330" s="68"/>
      <c r="F2330" s="71"/>
      <c r="G2330" s="72"/>
      <c r="H2330" s="73"/>
      <c r="I2330" s="74"/>
      <c r="J2330" s="74"/>
      <c r="K2330" s="74"/>
      <c r="L2330" s="74"/>
      <c r="M2330" s="74"/>
      <c r="N2330" s="74"/>
      <c r="O2330" s="82">
        <f t="shared" si="108"/>
        <v>0</v>
      </c>
      <c r="P2330" s="82">
        <f t="shared" si="109"/>
        <v>0</v>
      </c>
      <c r="Q2330" s="74"/>
      <c r="R2330" s="76"/>
      <c r="S2330" s="84">
        <f t="shared" si="110"/>
        <v>0</v>
      </c>
    </row>
    <row r="2331" spans="1:19" ht="18" customHeight="1" x14ac:dyDescent="0.25">
      <c r="A2331" s="59"/>
      <c r="B2331" s="60"/>
      <c r="C2331" s="65"/>
      <c r="D2331" s="60"/>
      <c r="E2331" s="59"/>
      <c r="F2331" s="62"/>
      <c r="G2331" s="63"/>
      <c r="H2331" s="64"/>
      <c r="I2331" s="65"/>
      <c r="J2331" s="65"/>
      <c r="K2331" s="65"/>
      <c r="L2331" s="65"/>
      <c r="M2331" s="65"/>
      <c r="N2331" s="65"/>
      <c r="O2331" s="81">
        <f t="shared" si="108"/>
        <v>0</v>
      </c>
      <c r="P2331" s="81">
        <f t="shared" si="109"/>
        <v>0</v>
      </c>
      <c r="Q2331" s="65"/>
      <c r="R2331" s="67"/>
      <c r="S2331" s="83">
        <f t="shared" si="110"/>
        <v>0</v>
      </c>
    </row>
    <row r="2332" spans="1:19" ht="18" customHeight="1" x14ac:dyDescent="0.25">
      <c r="A2332" s="68"/>
      <c r="B2332" s="69"/>
      <c r="C2332" s="74"/>
      <c r="D2332" s="69"/>
      <c r="E2332" s="68"/>
      <c r="F2332" s="71"/>
      <c r="G2332" s="72"/>
      <c r="H2332" s="73"/>
      <c r="I2332" s="74"/>
      <c r="J2332" s="74"/>
      <c r="K2332" s="74"/>
      <c r="L2332" s="74"/>
      <c r="M2332" s="74"/>
      <c r="N2332" s="74"/>
      <c r="O2332" s="82">
        <f t="shared" si="108"/>
        <v>0</v>
      </c>
      <c r="P2332" s="82">
        <f t="shared" si="109"/>
        <v>0</v>
      </c>
      <c r="Q2332" s="74"/>
      <c r="R2332" s="76"/>
      <c r="S2332" s="84">
        <f t="shared" si="110"/>
        <v>0</v>
      </c>
    </row>
    <row r="2333" spans="1:19" ht="18" customHeight="1" x14ac:dyDescent="0.25">
      <c r="A2333" s="59"/>
      <c r="B2333" s="60"/>
      <c r="C2333" s="65"/>
      <c r="D2333" s="60"/>
      <c r="E2333" s="59"/>
      <c r="F2333" s="62"/>
      <c r="G2333" s="63"/>
      <c r="H2333" s="64"/>
      <c r="I2333" s="65"/>
      <c r="J2333" s="65"/>
      <c r="K2333" s="65"/>
      <c r="L2333" s="65"/>
      <c r="M2333" s="65"/>
      <c r="N2333" s="65"/>
      <c r="O2333" s="81">
        <f t="shared" si="108"/>
        <v>0</v>
      </c>
      <c r="P2333" s="81">
        <f t="shared" si="109"/>
        <v>0</v>
      </c>
      <c r="Q2333" s="65"/>
      <c r="R2333" s="67"/>
      <c r="S2333" s="83">
        <f t="shared" si="110"/>
        <v>0</v>
      </c>
    </row>
    <row r="2334" spans="1:19" ht="18" customHeight="1" x14ac:dyDescent="0.25">
      <c r="A2334" s="68"/>
      <c r="B2334" s="69"/>
      <c r="C2334" s="74"/>
      <c r="D2334" s="69"/>
      <c r="E2334" s="68"/>
      <c r="F2334" s="71"/>
      <c r="G2334" s="72"/>
      <c r="H2334" s="73"/>
      <c r="I2334" s="74"/>
      <c r="J2334" s="74"/>
      <c r="K2334" s="74"/>
      <c r="L2334" s="74"/>
      <c r="M2334" s="74"/>
      <c r="N2334" s="74"/>
      <c r="O2334" s="82">
        <f t="shared" si="108"/>
        <v>0</v>
      </c>
      <c r="P2334" s="82">
        <f t="shared" si="109"/>
        <v>0</v>
      </c>
      <c r="Q2334" s="74"/>
      <c r="R2334" s="76"/>
      <c r="S2334" s="84">
        <f t="shared" si="110"/>
        <v>0</v>
      </c>
    </row>
    <row r="2335" spans="1:19" ht="18" customHeight="1" x14ac:dyDescent="0.25">
      <c r="A2335" s="59"/>
      <c r="B2335" s="60"/>
      <c r="C2335" s="65"/>
      <c r="D2335" s="60"/>
      <c r="E2335" s="59"/>
      <c r="F2335" s="62"/>
      <c r="G2335" s="63"/>
      <c r="H2335" s="64"/>
      <c r="I2335" s="65"/>
      <c r="J2335" s="65"/>
      <c r="K2335" s="65"/>
      <c r="L2335" s="65"/>
      <c r="M2335" s="65"/>
      <c r="N2335" s="65"/>
      <c r="O2335" s="81">
        <f t="shared" si="108"/>
        <v>0</v>
      </c>
      <c r="P2335" s="81">
        <f t="shared" si="109"/>
        <v>0</v>
      </c>
      <c r="Q2335" s="65"/>
      <c r="R2335" s="67"/>
      <c r="S2335" s="83">
        <f t="shared" si="110"/>
        <v>0</v>
      </c>
    </row>
    <row r="2336" spans="1:19" ht="18" customHeight="1" x14ac:dyDescent="0.25">
      <c r="A2336" s="68"/>
      <c r="B2336" s="69"/>
      <c r="C2336" s="74"/>
      <c r="D2336" s="69"/>
      <c r="E2336" s="68"/>
      <c r="F2336" s="71"/>
      <c r="G2336" s="72"/>
      <c r="H2336" s="73"/>
      <c r="I2336" s="74"/>
      <c r="J2336" s="74"/>
      <c r="K2336" s="74"/>
      <c r="L2336" s="74"/>
      <c r="M2336" s="74"/>
      <c r="N2336" s="74"/>
      <c r="O2336" s="82">
        <f t="shared" si="108"/>
        <v>0</v>
      </c>
      <c r="P2336" s="82">
        <f t="shared" si="109"/>
        <v>0</v>
      </c>
      <c r="Q2336" s="74"/>
      <c r="R2336" s="76"/>
      <c r="S2336" s="84">
        <f t="shared" si="110"/>
        <v>0</v>
      </c>
    </row>
    <row r="2337" spans="1:19" ht="18" customHeight="1" x14ac:dyDescent="0.25">
      <c r="A2337" s="59"/>
      <c r="B2337" s="60"/>
      <c r="C2337" s="65"/>
      <c r="D2337" s="60"/>
      <c r="E2337" s="59"/>
      <c r="F2337" s="62"/>
      <c r="G2337" s="63"/>
      <c r="H2337" s="64"/>
      <c r="I2337" s="65"/>
      <c r="J2337" s="65"/>
      <c r="K2337" s="65"/>
      <c r="L2337" s="65"/>
      <c r="M2337" s="65"/>
      <c r="N2337" s="65"/>
      <c r="O2337" s="81">
        <f t="shared" si="108"/>
        <v>0</v>
      </c>
      <c r="P2337" s="81">
        <f t="shared" si="109"/>
        <v>0</v>
      </c>
      <c r="Q2337" s="65"/>
      <c r="R2337" s="67"/>
      <c r="S2337" s="83">
        <f t="shared" si="110"/>
        <v>0</v>
      </c>
    </row>
    <row r="2338" spans="1:19" ht="18" customHeight="1" x14ac:dyDescent="0.25">
      <c r="A2338" s="68"/>
      <c r="B2338" s="69"/>
      <c r="C2338" s="74"/>
      <c r="D2338" s="69"/>
      <c r="E2338" s="68"/>
      <c r="F2338" s="71"/>
      <c r="G2338" s="72"/>
      <c r="H2338" s="73"/>
      <c r="I2338" s="74"/>
      <c r="J2338" s="74"/>
      <c r="K2338" s="74"/>
      <c r="L2338" s="74"/>
      <c r="M2338" s="74"/>
      <c r="N2338" s="74"/>
      <c r="O2338" s="82">
        <f t="shared" si="108"/>
        <v>0</v>
      </c>
      <c r="P2338" s="82">
        <f t="shared" si="109"/>
        <v>0</v>
      </c>
      <c r="Q2338" s="74"/>
      <c r="R2338" s="76"/>
      <c r="S2338" s="84">
        <f t="shared" si="110"/>
        <v>0</v>
      </c>
    </row>
    <row r="2339" spans="1:19" ht="18" customHeight="1" x14ac:dyDescent="0.25">
      <c r="A2339" s="59"/>
      <c r="B2339" s="60"/>
      <c r="C2339" s="65"/>
      <c r="D2339" s="60"/>
      <c r="E2339" s="59"/>
      <c r="F2339" s="62"/>
      <c r="G2339" s="63"/>
      <c r="H2339" s="64"/>
      <c r="I2339" s="65"/>
      <c r="J2339" s="65"/>
      <c r="K2339" s="65"/>
      <c r="L2339" s="65"/>
      <c r="M2339" s="65"/>
      <c r="N2339" s="65"/>
      <c r="O2339" s="81">
        <f t="shared" si="108"/>
        <v>0</v>
      </c>
      <c r="P2339" s="81">
        <f t="shared" si="109"/>
        <v>0</v>
      </c>
      <c r="Q2339" s="65"/>
      <c r="R2339" s="67"/>
      <c r="S2339" s="83">
        <f t="shared" si="110"/>
        <v>0</v>
      </c>
    </row>
    <row r="2340" spans="1:19" ht="18" customHeight="1" x14ac:dyDescent="0.25">
      <c r="A2340" s="68"/>
      <c r="B2340" s="69"/>
      <c r="C2340" s="74"/>
      <c r="D2340" s="69"/>
      <c r="E2340" s="68"/>
      <c r="F2340" s="71"/>
      <c r="G2340" s="72"/>
      <c r="H2340" s="73"/>
      <c r="I2340" s="74"/>
      <c r="J2340" s="74"/>
      <c r="K2340" s="74"/>
      <c r="L2340" s="74"/>
      <c r="M2340" s="74"/>
      <c r="N2340" s="74"/>
      <c r="O2340" s="82">
        <f t="shared" si="108"/>
        <v>0</v>
      </c>
      <c r="P2340" s="82">
        <f t="shared" si="109"/>
        <v>0</v>
      </c>
      <c r="Q2340" s="74"/>
      <c r="R2340" s="76"/>
      <c r="S2340" s="84">
        <f t="shared" si="110"/>
        <v>0</v>
      </c>
    </row>
    <row r="2341" spans="1:19" ht="18" customHeight="1" x14ac:dyDescent="0.25">
      <c r="A2341" s="59"/>
      <c r="B2341" s="60"/>
      <c r="C2341" s="65"/>
      <c r="D2341" s="60"/>
      <c r="E2341" s="59"/>
      <c r="F2341" s="62"/>
      <c r="G2341" s="63"/>
      <c r="H2341" s="64"/>
      <c r="I2341" s="65"/>
      <c r="J2341" s="65"/>
      <c r="K2341" s="65"/>
      <c r="L2341" s="65"/>
      <c r="M2341" s="65"/>
      <c r="N2341" s="65"/>
      <c r="O2341" s="81">
        <f t="shared" si="108"/>
        <v>0</v>
      </c>
      <c r="P2341" s="81">
        <f t="shared" si="109"/>
        <v>0</v>
      </c>
      <c r="Q2341" s="65"/>
      <c r="R2341" s="67"/>
      <c r="S2341" s="83">
        <f t="shared" si="110"/>
        <v>0</v>
      </c>
    </row>
    <row r="2342" spans="1:19" ht="18" customHeight="1" x14ac:dyDescent="0.25">
      <c r="A2342" s="68"/>
      <c r="B2342" s="69"/>
      <c r="C2342" s="74"/>
      <c r="D2342" s="69"/>
      <c r="E2342" s="68"/>
      <c r="F2342" s="71"/>
      <c r="G2342" s="72"/>
      <c r="H2342" s="73"/>
      <c r="I2342" s="74"/>
      <c r="J2342" s="74"/>
      <c r="K2342" s="74"/>
      <c r="L2342" s="74"/>
      <c r="M2342" s="74"/>
      <c r="N2342" s="74"/>
      <c r="O2342" s="82">
        <f t="shared" si="108"/>
        <v>0</v>
      </c>
      <c r="P2342" s="82">
        <f t="shared" si="109"/>
        <v>0</v>
      </c>
      <c r="Q2342" s="74"/>
      <c r="R2342" s="76"/>
      <c r="S2342" s="84">
        <f t="shared" si="110"/>
        <v>0</v>
      </c>
    </row>
    <row r="2343" spans="1:19" ht="18" customHeight="1" x14ac:dyDescent="0.25">
      <c r="A2343" s="59"/>
      <c r="B2343" s="60"/>
      <c r="C2343" s="65"/>
      <c r="D2343" s="60"/>
      <c r="E2343" s="59"/>
      <c r="F2343" s="62"/>
      <c r="G2343" s="63"/>
      <c r="H2343" s="64"/>
      <c r="I2343" s="65"/>
      <c r="J2343" s="65"/>
      <c r="K2343" s="65"/>
      <c r="L2343" s="65"/>
      <c r="M2343" s="65"/>
      <c r="N2343" s="65"/>
      <c r="O2343" s="81">
        <f t="shared" si="108"/>
        <v>0</v>
      </c>
      <c r="P2343" s="81">
        <f t="shared" si="109"/>
        <v>0</v>
      </c>
      <c r="Q2343" s="65"/>
      <c r="R2343" s="67"/>
      <c r="S2343" s="83">
        <f t="shared" si="110"/>
        <v>0</v>
      </c>
    </row>
    <row r="2344" spans="1:19" ht="18" customHeight="1" x14ac:dyDescent="0.25">
      <c r="A2344" s="68"/>
      <c r="B2344" s="69"/>
      <c r="C2344" s="74"/>
      <c r="D2344" s="69"/>
      <c r="E2344" s="68"/>
      <c r="F2344" s="71"/>
      <c r="G2344" s="72"/>
      <c r="H2344" s="73"/>
      <c r="I2344" s="74"/>
      <c r="J2344" s="74"/>
      <c r="K2344" s="74"/>
      <c r="L2344" s="74"/>
      <c r="M2344" s="74"/>
      <c r="N2344" s="74"/>
      <c r="O2344" s="82">
        <f t="shared" si="108"/>
        <v>0</v>
      </c>
      <c r="P2344" s="82">
        <f t="shared" si="109"/>
        <v>0</v>
      </c>
      <c r="Q2344" s="74"/>
      <c r="R2344" s="76"/>
      <c r="S2344" s="84">
        <f t="shared" si="110"/>
        <v>0</v>
      </c>
    </row>
    <row r="2345" spans="1:19" ht="18" customHeight="1" x14ac:dyDescent="0.25">
      <c r="A2345" s="59"/>
      <c r="B2345" s="60"/>
      <c r="C2345" s="65"/>
      <c r="D2345" s="60"/>
      <c r="E2345" s="59"/>
      <c r="F2345" s="62"/>
      <c r="G2345" s="63"/>
      <c r="H2345" s="64"/>
      <c r="I2345" s="65"/>
      <c r="J2345" s="65"/>
      <c r="K2345" s="65"/>
      <c r="L2345" s="65"/>
      <c r="M2345" s="65"/>
      <c r="N2345" s="65"/>
      <c r="O2345" s="81">
        <f t="shared" si="108"/>
        <v>0</v>
      </c>
      <c r="P2345" s="81">
        <f t="shared" si="109"/>
        <v>0</v>
      </c>
      <c r="Q2345" s="65"/>
      <c r="R2345" s="67"/>
      <c r="S2345" s="83">
        <f t="shared" si="110"/>
        <v>0</v>
      </c>
    </row>
    <row r="2346" spans="1:19" ht="18" customHeight="1" x14ac:dyDescent="0.25">
      <c r="A2346" s="68"/>
      <c r="B2346" s="69"/>
      <c r="C2346" s="74"/>
      <c r="D2346" s="69"/>
      <c r="E2346" s="68"/>
      <c r="F2346" s="71"/>
      <c r="G2346" s="72"/>
      <c r="H2346" s="73"/>
      <c r="I2346" s="74"/>
      <c r="J2346" s="74"/>
      <c r="K2346" s="74"/>
      <c r="L2346" s="74"/>
      <c r="M2346" s="74"/>
      <c r="N2346" s="74"/>
      <c r="O2346" s="82">
        <f t="shared" si="108"/>
        <v>0</v>
      </c>
      <c r="P2346" s="82">
        <f t="shared" si="109"/>
        <v>0</v>
      </c>
      <c r="Q2346" s="74"/>
      <c r="R2346" s="76"/>
      <c r="S2346" s="84">
        <f t="shared" si="110"/>
        <v>0</v>
      </c>
    </row>
    <row r="2347" spans="1:19" ht="18" customHeight="1" x14ac:dyDescent="0.25">
      <c r="A2347" s="59"/>
      <c r="B2347" s="60"/>
      <c r="C2347" s="65"/>
      <c r="D2347" s="60"/>
      <c r="E2347" s="59"/>
      <c r="F2347" s="62"/>
      <c r="G2347" s="63"/>
      <c r="H2347" s="64"/>
      <c r="I2347" s="65"/>
      <c r="J2347" s="65"/>
      <c r="K2347" s="65"/>
      <c r="L2347" s="65"/>
      <c r="M2347" s="65"/>
      <c r="N2347" s="65"/>
      <c r="O2347" s="81">
        <f t="shared" si="108"/>
        <v>0</v>
      </c>
      <c r="P2347" s="81">
        <f t="shared" si="109"/>
        <v>0</v>
      </c>
      <c r="Q2347" s="65"/>
      <c r="R2347" s="67"/>
      <c r="S2347" s="83">
        <f t="shared" si="110"/>
        <v>0</v>
      </c>
    </row>
    <row r="2348" spans="1:19" ht="18" customHeight="1" x14ac:dyDescent="0.25">
      <c r="A2348" s="68"/>
      <c r="B2348" s="69"/>
      <c r="C2348" s="74"/>
      <c r="D2348" s="69"/>
      <c r="E2348" s="68"/>
      <c r="F2348" s="71"/>
      <c r="G2348" s="72"/>
      <c r="H2348" s="73"/>
      <c r="I2348" s="74"/>
      <c r="J2348" s="74"/>
      <c r="K2348" s="74"/>
      <c r="L2348" s="74"/>
      <c r="M2348" s="74"/>
      <c r="N2348" s="74"/>
      <c r="O2348" s="82">
        <f t="shared" si="108"/>
        <v>0</v>
      </c>
      <c r="P2348" s="82">
        <f t="shared" si="109"/>
        <v>0</v>
      </c>
      <c r="Q2348" s="74"/>
      <c r="R2348" s="76"/>
      <c r="S2348" s="84">
        <f t="shared" si="110"/>
        <v>0</v>
      </c>
    </row>
    <row r="2349" spans="1:19" ht="18" customHeight="1" x14ac:dyDescent="0.25">
      <c r="A2349" s="59"/>
      <c r="B2349" s="60"/>
      <c r="C2349" s="65"/>
      <c r="D2349" s="60"/>
      <c r="E2349" s="59"/>
      <c r="F2349" s="62"/>
      <c r="G2349" s="63"/>
      <c r="H2349" s="64"/>
      <c r="I2349" s="65"/>
      <c r="J2349" s="65"/>
      <c r="K2349" s="65"/>
      <c r="L2349" s="65"/>
      <c r="M2349" s="65"/>
      <c r="N2349" s="65"/>
      <c r="O2349" s="81">
        <f t="shared" si="108"/>
        <v>0</v>
      </c>
      <c r="P2349" s="81">
        <f t="shared" si="109"/>
        <v>0</v>
      </c>
      <c r="Q2349" s="65"/>
      <c r="R2349" s="67"/>
      <c r="S2349" s="83">
        <f t="shared" si="110"/>
        <v>0</v>
      </c>
    </row>
    <row r="2350" spans="1:19" ht="18" customHeight="1" x14ac:dyDescent="0.25">
      <c r="A2350" s="68"/>
      <c r="B2350" s="69"/>
      <c r="C2350" s="74"/>
      <c r="D2350" s="69"/>
      <c r="E2350" s="68"/>
      <c r="F2350" s="71"/>
      <c r="G2350" s="72"/>
      <c r="H2350" s="73"/>
      <c r="I2350" s="74"/>
      <c r="J2350" s="74"/>
      <c r="K2350" s="74"/>
      <c r="L2350" s="74"/>
      <c r="M2350" s="74"/>
      <c r="N2350" s="74"/>
      <c r="O2350" s="82">
        <f t="shared" si="108"/>
        <v>0</v>
      </c>
      <c r="P2350" s="82">
        <f t="shared" si="109"/>
        <v>0</v>
      </c>
      <c r="Q2350" s="74"/>
      <c r="R2350" s="76"/>
      <c r="S2350" s="84">
        <f t="shared" si="110"/>
        <v>0</v>
      </c>
    </row>
    <row r="2351" spans="1:19" ht="18" customHeight="1" x14ac:dyDescent="0.25">
      <c r="A2351" s="59"/>
      <c r="B2351" s="60"/>
      <c r="C2351" s="65"/>
      <c r="D2351" s="60"/>
      <c r="E2351" s="59"/>
      <c r="F2351" s="62"/>
      <c r="G2351" s="63"/>
      <c r="H2351" s="64"/>
      <c r="I2351" s="65"/>
      <c r="J2351" s="65"/>
      <c r="K2351" s="65"/>
      <c r="L2351" s="65"/>
      <c r="M2351" s="65"/>
      <c r="N2351" s="65"/>
      <c r="O2351" s="81">
        <f t="shared" si="108"/>
        <v>0</v>
      </c>
      <c r="P2351" s="81">
        <f t="shared" si="109"/>
        <v>0</v>
      </c>
      <c r="Q2351" s="65"/>
      <c r="R2351" s="67"/>
      <c r="S2351" s="83">
        <f t="shared" si="110"/>
        <v>0</v>
      </c>
    </row>
    <row r="2352" spans="1:19" ht="18" customHeight="1" x14ac:dyDescent="0.25">
      <c r="A2352" s="68"/>
      <c r="B2352" s="69"/>
      <c r="C2352" s="74"/>
      <c r="D2352" s="69"/>
      <c r="E2352" s="68"/>
      <c r="F2352" s="71"/>
      <c r="G2352" s="72"/>
      <c r="H2352" s="73"/>
      <c r="I2352" s="74"/>
      <c r="J2352" s="74"/>
      <c r="K2352" s="74"/>
      <c r="L2352" s="74"/>
      <c r="M2352" s="74"/>
      <c r="N2352" s="74"/>
      <c r="O2352" s="82">
        <f t="shared" si="108"/>
        <v>0</v>
      </c>
      <c r="P2352" s="82">
        <f t="shared" si="109"/>
        <v>0</v>
      </c>
      <c r="Q2352" s="74"/>
      <c r="R2352" s="76"/>
      <c r="S2352" s="84">
        <f t="shared" si="110"/>
        <v>0</v>
      </c>
    </row>
    <row r="2353" spans="1:19" ht="18" customHeight="1" x14ac:dyDescent="0.25">
      <c r="A2353" s="59"/>
      <c r="B2353" s="60"/>
      <c r="C2353" s="65"/>
      <c r="D2353" s="60"/>
      <c r="E2353" s="59"/>
      <c r="F2353" s="62"/>
      <c r="G2353" s="63"/>
      <c r="H2353" s="64"/>
      <c r="I2353" s="65"/>
      <c r="J2353" s="65"/>
      <c r="K2353" s="65"/>
      <c r="L2353" s="65"/>
      <c r="M2353" s="65"/>
      <c r="N2353" s="65"/>
      <c r="O2353" s="81">
        <f t="shared" si="108"/>
        <v>0</v>
      </c>
      <c r="P2353" s="81">
        <f t="shared" si="109"/>
        <v>0</v>
      </c>
      <c r="Q2353" s="65"/>
      <c r="R2353" s="67"/>
      <c r="S2353" s="83">
        <f t="shared" si="110"/>
        <v>0</v>
      </c>
    </row>
    <row r="2354" spans="1:19" ht="18" customHeight="1" x14ac:dyDescent="0.25">
      <c r="A2354" s="68"/>
      <c r="B2354" s="69"/>
      <c r="C2354" s="74"/>
      <c r="D2354" s="69"/>
      <c r="E2354" s="68"/>
      <c r="F2354" s="71"/>
      <c r="G2354" s="72"/>
      <c r="H2354" s="73"/>
      <c r="I2354" s="74"/>
      <c r="J2354" s="74"/>
      <c r="K2354" s="74"/>
      <c r="L2354" s="74"/>
      <c r="M2354" s="74"/>
      <c r="N2354" s="74"/>
      <c r="O2354" s="82">
        <f t="shared" si="108"/>
        <v>0</v>
      </c>
      <c r="P2354" s="82">
        <f t="shared" si="109"/>
        <v>0</v>
      </c>
      <c r="Q2354" s="74"/>
      <c r="R2354" s="76"/>
      <c r="S2354" s="84">
        <f t="shared" si="110"/>
        <v>0</v>
      </c>
    </row>
    <row r="2355" spans="1:19" ht="18" customHeight="1" x14ac:dyDescent="0.25">
      <c r="A2355" s="59"/>
      <c r="B2355" s="60"/>
      <c r="C2355" s="65"/>
      <c r="D2355" s="60"/>
      <c r="E2355" s="59"/>
      <c r="F2355" s="62"/>
      <c r="G2355" s="63"/>
      <c r="H2355" s="64"/>
      <c r="I2355" s="65"/>
      <c r="J2355" s="65"/>
      <c r="K2355" s="65"/>
      <c r="L2355" s="65"/>
      <c r="M2355" s="65"/>
      <c r="N2355" s="65"/>
      <c r="O2355" s="81">
        <f t="shared" si="108"/>
        <v>0</v>
      </c>
      <c r="P2355" s="81">
        <f t="shared" si="109"/>
        <v>0</v>
      </c>
      <c r="Q2355" s="65"/>
      <c r="R2355" s="67"/>
      <c r="S2355" s="83">
        <f t="shared" si="110"/>
        <v>0</v>
      </c>
    </row>
    <row r="2356" spans="1:19" ht="18" customHeight="1" x14ac:dyDescent="0.25">
      <c r="A2356" s="68"/>
      <c r="B2356" s="69"/>
      <c r="C2356" s="74"/>
      <c r="D2356" s="69"/>
      <c r="E2356" s="68"/>
      <c r="F2356" s="71"/>
      <c r="G2356" s="72"/>
      <c r="H2356" s="73"/>
      <c r="I2356" s="74"/>
      <c r="J2356" s="74"/>
      <c r="K2356" s="74"/>
      <c r="L2356" s="74"/>
      <c r="M2356" s="74"/>
      <c r="N2356" s="74"/>
      <c r="O2356" s="82">
        <f t="shared" si="108"/>
        <v>0</v>
      </c>
      <c r="P2356" s="82">
        <f t="shared" si="109"/>
        <v>0</v>
      </c>
      <c r="Q2356" s="74"/>
      <c r="R2356" s="76"/>
      <c r="S2356" s="84">
        <f t="shared" si="110"/>
        <v>0</v>
      </c>
    </row>
    <row r="2357" spans="1:19" ht="18" customHeight="1" x14ac:dyDescent="0.25">
      <c r="A2357" s="59"/>
      <c r="B2357" s="60"/>
      <c r="C2357" s="65"/>
      <c r="D2357" s="60"/>
      <c r="E2357" s="59"/>
      <c r="F2357" s="62"/>
      <c r="G2357" s="63"/>
      <c r="H2357" s="64"/>
      <c r="I2357" s="65"/>
      <c r="J2357" s="65"/>
      <c r="K2357" s="65"/>
      <c r="L2357" s="65"/>
      <c r="M2357" s="65"/>
      <c r="N2357" s="65"/>
      <c r="O2357" s="81">
        <f t="shared" si="108"/>
        <v>0</v>
      </c>
      <c r="P2357" s="81">
        <f t="shared" si="109"/>
        <v>0</v>
      </c>
      <c r="Q2357" s="65"/>
      <c r="R2357" s="67"/>
      <c r="S2357" s="83">
        <f t="shared" si="110"/>
        <v>0</v>
      </c>
    </row>
    <row r="2358" spans="1:19" ht="18" customHeight="1" x14ac:dyDescent="0.25">
      <c r="A2358" s="68"/>
      <c r="B2358" s="69"/>
      <c r="C2358" s="74"/>
      <c r="D2358" s="69"/>
      <c r="E2358" s="68"/>
      <c r="F2358" s="71"/>
      <c r="G2358" s="72"/>
      <c r="H2358" s="73"/>
      <c r="I2358" s="74"/>
      <c r="J2358" s="74"/>
      <c r="K2358" s="74"/>
      <c r="L2358" s="74"/>
      <c r="M2358" s="74"/>
      <c r="N2358" s="74"/>
      <c r="O2358" s="82">
        <f t="shared" si="108"/>
        <v>0</v>
      </c>
      <c r="P2358" s="82">
        <f t="shared" si="109"/>
        <v>0</v>
      </c>
      <c r="Q2358" s="74"/>
      <c r="R2358" s="76"/>
      <c r="S2358" s="84">
        <f t="shared" si="110"/>
        <v>0</v>
      </c>
    </row>
    <row r="2359" spans="1:19" ht="18" customHeight="1" x14ac:dyDescent="0.25">
      <c r="A2359" s="59"/>
      <c r="B2359" s="60"/>
      <c r="C2359" s="65"/>
      <c r="D2359" s="60"/>
      <c r="E2359" s="59"/>
      <c r="F2359" s="62"/>
      <c r="G2359" s="63"/>
      <c r="H2359" s="64"/>
      <c r="I2359" s="65"/>
      <c r="J2359" s="65"/>
      <c r="K2359" s="65"/>
      <c r="L2359" s="65"/>
      <c r="M2359" s="65"/>
      <c r="N2359" s="65"/>
      <c r="O2359" s="81">
        <f t="shared" si="108"/>
        <v>0</v>
      </c>
      <c r="P2359" s="81">
        <f t="shared" si="109"/>
        <v>0</v>
      </c>
      <c r="Q2359" s="65"/>
      <c r="R2359" s="67"/>
      <c r="S2359" s="83">
        <f t="shared" si="110"/>
        <v>0</v>
      </c>
    </row>
    <row r="2360" spans="1:19" ht="18" customHeight="1" x14ac:dyDescent="0.25">
      <c r="A2360" s="68"/>
      <c r="B2360" s="69"/>
      <c r="C2360" s="74"/>
      <c r="D2360" s="69"/>
      <c r="E2360" s="68"/>
      <c r="F2360" s="71"/>
      <c r="G2360" s="72"/>
      <c r="H2360" s="73"/>
      <c r="I2360" s="74"/>
      <c r="J2360" s="74"/>
      <c r="K2360" s="74"/>
      <c r="L2360" s="74"/>
      <c r="M2360" s="74"/>
      <c r="N2360" s="74"/>
      <c r="O2360" s="82">
        <f t="shared" si="108"/>
        <v>0</v>
      </c>
      <c r="P2360" s="82">
        <f t="shared" si="109"/>
        <v>0</v>
      </c>
      <c r="Q2360" s="74"/>
      <c r="R2360" s="76"/>
      <c r="S2360" s="84">
        <f t="shared" si="110"/>
        <v>0</v>
      </c>
    </row>
    <row r="2361" spans="1:19" ht="18" customHeight="1" x14ac:dyDescent="0.25">
      <c r="A2361" s="59"/>
      <c r="B2361" s="60"/>
      <c r="C2361" s="65"/>
      <c r="D2361" s="60"/>
      <c r="E2361" s="59"/>
      <c r="F2361" s="62"/>
      <c r="G2361" s="63"/>
      <c r="H2361" s="64"/>
      <c r="I2361" s="65"/>
      <c r="J2361" s="65"/>
      <c r="K2361" s="65"/>
      <c r="L2361" s="65"/>
      <c r="M2361" s="65"/>
      <c r="N2361" s="65"/>
      <c r="O2361" s="81">
        <f t="shared" si="108"/>
        <v>0</v>
      </c>
      <c r="P2361" s="81">
        <f t="shared" si="109"/>
        <v>0</v>
      </c>
      <c r="Q2361" s="65"/>
      <c r="R2361" s="67"/>
      <c r="S2361" s="83">
        <f t="shared" si="110"/>
        <v>0</v>
      </c>
    </row>
    <row r="2362" spans="1:19" ht="18" customHeight="1" x14ac:dyDescent="0.25">
      <c r="A2362" s="68"/>
      <c r="B2362" s="69"/>
      <c r="C2362" s="74"/>
      <c r="D2362" s="69"/>
      <c r="E2362" s="68"/>
      <c r="F2362" s="71"/>
      <c r="G2362" s="72"/>
      <c r="H2362" s="73"/>
      <c r="I2362" s="74"/>
      <c r="J2362" s="74"/>
      <c r="K2362" s="74"/>
      <c r="L2362" s="74"/>
      <c r="M2362" s="74"/>
      <c r="N2362" s="74"/>
      <c r="O2362" s="82">
        <f t="shared" si="108"/>
        <v>0</v>
      </c>
      <c r="P2362" s="82">
        <f t="shared" si="109"/>
        <v>0</v>
      </c>
      <c r="Q2362" s="74"/>
      <c r="R2362" s="76"/>
      <c r="S2362" s="84">
        <f t="shared" si="110"/>
        <v>0</v>
      </c>
    </row>
    <row r="2363" spans="1:19" ht="18" customHeight="1" x14ac:dyDescent="0.25">
      <c r="A2363" s="59"/>
      <c r="B2363" s="60"/>
      <c r="C2363" s="65"/>
      <c r="D2363" s="60"/>
      <c r="E2363" s="59"/>
      <c r="F2363" s="62"/>
      <c r="G2363" s="63"/>
      <c r="H2363" s="64"/>
      <c r="I2363" s="65"/>
      <c r="J2363" s="65"/>
      <c r="K2363" s="65"/>
      <c r="L2363" s="65"/>
      <c r="M2363" s="65"/>
      <c r="N2363" s="65"/>
      <c r="O2363" s="81">
        <f t="shared" si="108"/>
        <v>0</v>
      </c>
      <c r="P2363" s="81">
        <f t="shared" si="109"/>
        <v>0</v>
      </c>
      <c r="Q2363" s="65"/>
      <c r="R2363" s="67"/>
      <c r="S2363" s="83">
        <f t="shared" si="110"/>
        <v>0</v>
      </c>
    </row>
    <row r="2364" spans="1:19" ht="18" customHeight="1" x14ac:dyDescent="0.25">
      <c r="A2364" s="68"/>
      <c r="B2364" s="69"/>
      <c r="C2364" s="74"/>
      <c r="D2364" s="69"/>
      <c r="E2364" s="68"/>
      <c r="F2364" s="71"/>
      <c r="G2364" s="72"/>
      <c r="H2364" s="73"/>
      <c r="I2364" s="74"/>
      <c r="J2364" s="74"/>
      <c r="K2364" s="74"/>
      <c r="L2364" s="74"/>
      <c r="M2364" s="74"/>
      <c r="N2364" s="74"/>
      <c r="O2364" s="82">
        <f t="shared" si="108"/>
        <v>0</v>
      </c>
      <c r="P2364" s="82">
        <f t="shared" si="109"/>
        <v>0</v>
      </c>
      <c r="Q2364" s="74"/>
      <c r="R2364" s="76"/>
      <c r="S2364" s="84">
        <f t="shared" si="110"/>
        <v>0</v>
      </c>
    </row>
    <row r="2365" spans="1:19" ht="18" customHeight="1" x14ac:dyDescent="0.25">
      <c r="A2365" s="59"/>
      <c r="B2365" s="60"/>
      <c r="C2365" s="65"/>
      <c r="D2365" s="60"/>
      <c r="E2365" s="59"/>
      <c r="F2365" s="62"/>
      <c r="G2365" s="63"/>
      <c r="H2365" s="64"/>
      <c r="I2365" s="65"/>
      <c r="J2365" s="65"/>
      <c r="K2365" s="65"/>
      <c r="L2365" s="65"/>
      <c r="M2365" s="65"/>
      <c r="N2365" s="65"/>
      <c r="O2365" s="81">
        <f t="shared" si="108"/>
        <v>0</v>
      </c>
      <c r="P2365" s="81">
        <f t="shared" si="109"/>
        <v>0</v>
      </c>
      <c r="Q2365" s="65"/>
      <c r="R2365" s="67"/>
      <c r="S2365" s="83">
        <f t="shared" si="110"/>
        <v>0</v>
      </c>
    </row>
    <row r="2366" spans="1:19" ht="18" customHeight="1" x14ac:dyDescent="0.25">
      <c r="A2366" s="68"/>
      <c r="B2366" s="69"/>
      <c r="C2366" s="74"/>
      <c r="D2366" s="69"/>
      <c r="E2366" s="68"/>
      <c r="F2366" s="71"/>
      <c r="G2366" s="72"/>
      <c r="H2366" s="73"/>
      <c r="I2366" s="74"/>
      <c r="J2366" s="74"/>
      <c r="K2366" s="74"/>
      <c r="L2366" s="74"/>
      <c r="M2366" s="74"/>
      <c r="N2366" s="74"/>
      <c r="O2366" s="82">
        <f t="shared" si="108"/>
        <v>0</v>
      </c>
      <c r="P2366" s="82">
        <f t="shared" si="109"/>
        <v>0</v>
      </c>
      <c r="Q2366" s="74"/>
      <c r="R2366" s="76"/>
      <c r="S2366" s="84">
        <f t="shared" si="110"/>
        <v>0</v>
      </c>
    </row>
    <row r="2367" spans="1:19" ht="18" customHeight="1" x14ac:dyDescent="0.25">
      <c r="A2367" s="59"/>
      <c r="B2367" s="60"/>
      <c r="C2367" s="65"/>
      <c r="D2367" s="60"/>
      <c r="E2367" s="59"/>
      <c r="F2367" s="62"/>
      <c r="G2367" s="63"/>
      <c r="H2367" s="64"/>
      <c r="I2367" s="65"/>
      <c r="J2367" s="65"/>
      <c r="K2367" s="65"/>
      <c r="L2367" s="65"/>
      <c r="M2367" s="65"/>
      <c r="N2367" s="65"/>
      <c r="O2367" s="81">
        <f t="shared" si="108"/>
        <v>0</v>
      </c>
      <c r="P2367" s="81">
        <f t="shared" si="109"/>
        <v>0</v>
      </c>
      <c r="Q2367" s="65"/>
      <c r="R2367" s="67"/>
      <c r="S2367" s="83">
        <f t="shared" si="110"/>
        <v>0</v>
      </c>
    </row>
    <row r="2368" spans="1:19" ht="18" customHeight="1" x14ac:dyDescent="0.25">
      <c r="A2368" s="68"/>
      <c r="B2368" s="69"/>
      <c r="C2368" s="74"/>
      <c r="D2368" s="69"/>
      <c r="E2368" s="68"/>
      <c r="F2368" s="71"/>
      <c r="G2368" s="72"/>
      <c r="H2368" s="73"/>
      <c r="I2368" s="74"/>
      <c r="J2368" s="74"/>
      <c r="K2368" s="74"/>
      <c r="L2368" s="74"/>
      <c r="M2368" s="74"/>
      <c r="N2368" s="74"/>
      <c r="O2368" s="82">
        <f t="shared" si="108"/>
        <v>0</v>
      </c>
      <c r="P2368" s="82">
        <f t="shared" si="109"/>
        <v>0</v>
      </c>
      <c r="Q2368" s="74"/>
      <c r="R2368" s="76"/>
      <c r="S2368" s="84">
        <f t="shared" si="110"/>
        <v>0</v>
      </c>
    </row>
    <row r="2369" spans="1:19" ht="18" customHeight="1" x14ac:dyDescent="0.25">
      <c r="A2369" s="59"/>
      <c r="B2369" s="60"/>
      <c r="C2369" s="65"/>
      <c r="D2369" s="60"/>
      <c r="E2369" s="59"/>
      <c r="F2369" s="62"/>
      <c r="G2369" s="63"/>
      <c r="H2369" s="64"/>
      <c r="I2369" s="65"/>
      <c r="J2369" s="65"/>
      <c r="K2369" s="65"/>
      <c r="L2369" s="65"/>
      <c r="M2369" s="65"/>
      <c r="N2369" s="65"/>
      <c r="O2369" s="81">
        <f t="shared" si="108"/>
        <v>0</v>
      </c>
      <c r="P2369" s="81">
        <f t="shared" si="109"/>
        <v>0</v>
      </c>
      <c r="Q2369" s="65"/>
      <c r="R2369" s="67"/>
      <c r="S2369" s="83">
        <f t="shared" si="110"/>
        <v>0</v>
      </c>
    </row>
    <row r="2370" spans="1:19" ht="18" customHeight="1" x14ac:dyDescent="0.25">
      <c r="A2370" s="68"/>
      <c r="B2370" s="69"/>
      <c r="C2370" s="74"/>
      <c r="D2370" s="69"/>
      <c r="E2370" s="68"/>
      <c r="F2370" s="71"/>
      <c r="G2370" s="72"/>
      <c r="H2370" s="73"/>
      <c r="I2370" s="74"/>
      <c r="J2370" s="74"/>
      <c r="K2370" s="74"/>
      <c r="L2370" s="74"/>
      <c r="M2370" s="74"/>
      <c r="N2370" s="74"/>
      <c r="O2370" s="82">
        <f t="shared" si="108"/>
        <v>0</v>
      </c>
      <c r="P2370" s="82">
        <f t="shared" si="109"/>
        <v>0</v>
      </c>
      <c r="Q2370" s="74"/>
      <c r="R2370" s="76"/>
      <c r="S2370" s="84">
        <f t="shared" si="110"/>
        <v>0</v>
      </c>
    </row>
    <row r="2371" spans="1:19" ht="18" customHeight="1" x14ac:dyDescent="0.25">
      <c r="A2371" s="59"/>
      <c r="B2371" s="60"/>
      <c r="C2371" s="65"/>
      <c r="D2371" s="60"/>
      <c r="E2371" s="59"/>
      <c r="F2371" s="62"/>
      <c r="G2371" s="63"/>
      <c r="H2371" s="64"/>
      <c r="I2371" s="65"/>
      <c r="J2371" s="65"/>
      <c r="K2371" s="65"/>
      <c r="L2371" s="65"/>
      <c r="M2371" s="65"/>
      <c r="N2371" s="65"/>
      <c r="O2371" s="81">
        <f t="shared" si="108"/>
        <v>0</v>
      </c>
      <c r="P2371" s="81">
        <f t="shared" si="109"/>
        <v>0</v>
      </c>
      <c r="Q2371" s="65"/>
      <c r="R2371" s="67"/>
      <c r="S2371" s="83">
        <f t="shared" si="110"/>
        <v>0</v>
      </c>
    </row>
    <row r="2372" spans="1:19" ht="18" customHeight="1" x14ac:dyDescent="0.25">
      <c r="A2372" s="68"/>
      <c r="B2372" s="69"/>
      <c r="C2372" s="74"/>
      <c r="D2372" s="69"/>
      <c r="E2372" s="68"/>
      <c r="F2372" s="71"/>
      <c r="G2372" s="72"/>
      <c r="H2372" s="73"/>
      <c r="I2372" s="74"/>
      <c r="J2372" s="74"/>
      <c r="K2372" s="74"/>
      <c r="L2372" s="74"/>
      <c r="M2372" s="74"/>
      <c r="N2372" s="74"/>
      <c r="O2372" s="82">
        <f t="shared" si="108"/>
        <v>0</v>
      </c>
      <c r="P2372" s="82">
        <f t="shared" si="109"/>
        <v>0</v>
      </c>
      <c r="Q2372" s="74"/>
      <c r="R2372" s="76"/>
      <c r="S2372" s="84">
        <f t="shared" si="110"/>
        <v>0</v>
      </c>
    </row>
    <row r="2373" spans="1:19" ht="18" customHeight="1" x14ac:dyDescent="0.25">
      <c r="A2373" s="59"/>
      <c r="B2373" s="60"/>
      <c r="C2373" s="65"/>
      <c r="D2373" s="60"/>
      <c r="E2373" s="59"/>
      <c r="F2373" s="62"/>
      <c r="G2373" s="63"/>
      <c r="H2373" s="64"/>
      <c r="I2373" s="65"/>
      <c r="J2373" s="65"/>
      <c r="K2373" s="65"/>
      <c r="L2373" s="65"/>
      <c r="M2373" s="65"/>
      <c r="N2373" s="65"/>
      <c r="O2373" s="81">
        <f t="shared" si="108"/>
        <v>0</v>
      </c>
      <c r="P2373" s="81">
        <f t="shared" si="109"/>
        <v>0</v>
      </c>
      <c r="Q2373" s="65"/>
      <c r="R2373" s="67"/>
      <c r="S2373" s="83">
        <f t="shared" si="110"/>
        <v>0</v>
      </c>
    </row>
    <row r="2374" spans="1:19" ht="18" customHeight="1" x14ac:dyDescent="0.25">
      <c r="A2374" s="68"/>
      <c r="B2374" s="69"/>
      <c r="C2374" s="74"/>
      <c r="D2374" s="69"/>
      <c r="E2374" s="68"/>
      <c r="F2374" s="71"/>
      <c r="G2374" s="72"/>
      <c r="H2374" s="73"/>
      <c r="I2374" s="74"/>
      <c r="J2374" s="74"/>
      <c r="K2374" s="74"/>
      <c r="L2374" s="74"/>
      <c r="M2374" s="74"/>
      <c r="N2374" s="74"/>
      <c r="O2374" s="82" t="e">
        <f>#N/A</f>
        <v>#N/A</v>
      </c>
      <c r="P2374" s="82" t="e">
        <f>#N/A</f>
        <v>#N/A</v>
      </c>
      <c r="Q2374" s="74"/>
      <c r="R2374" s="76"/>
      <c r="S2374" s="84">
        <f t="shared" si="110"/>
        <v>0</v>
      </c>
    </row>
    <row r="2375" spans="1:19" ht="18" customHeight="1" x14ac:dyDescent="0.25">
      <c r="A2375" s="59"/>
      <c r="B2375" s="60"/>
      <c r="C2375" s="65"/>
      <c r="D2375" s="60"/>
      <c r="E2375" s="59"/>
      <c r="F2375" s="62"/>
      <c r="G2375" s="63"/>
      <c r="H2375" s="64"/>
      <c r="I2375" s="65"/>
      <c r="J2375" s="65"/>
      <c r="K2375" s="65"/>
      <c r="L2375" s="65"/>
      <c r="M2375" s="65"/>
      <c r="N2375" s="65"/>
      <c r="O2375" s="81">
        <f t="shared" ref="O2375:O2437" si="111">IF(G2375="Reimbursement ","",I2375+J2375+K2375+L2375+M2375)</f>
        <v>0</v>
      </c>
      <c r="P2375" s="81">
        <f t="shared" ref="P2375:P2437" si="112">IF(G2375="Reimbursement ","",H2375-O2375)</f>
        <v>0</v>
      </c>
      <c r="Q2375" s="65"/>
      <c r="R2375" s="67"/>
      <c r="S2375" s="83">
        <f t="shared" ref="S2375:S2438" si="113">IF(OR(R2375="",Q2375=""),0,IF(R2375&gt;Q2375,R2375-Q2375,0))</f>
        <v>0</v>
      </c>
    </row>
    <row r="2376" spans="1:19" ht="18" customHeight="1" x14ac:dyDescent="0.25">
      <c r="A2376" s="68"/>
      <c r="B2376" s="69"/>
      <c r="C2376" s="74"/>
      <c r="D2376" s="69"/>
      <c r="E2376" s="68"/>
      <c r="F2376" s="71"/>
      <c r="G2376" s="72"/>
      <c r="H2376" s="73"/>
      <c r="I2376" s="74"/>
      <c r="J2376" s="74"/>
      <c r="K2376" s="74"/>
      <c r="L2376" s="74"/>
      <c r="M2376" s="74"/>
      <c r="N2376" s="74"/>
      <c r="O2376" s="82">
        <f t="shared" si="111"/>
        <v>0</v>
      </c>
      <c r="P2376" s="82">
        <f t="shared" si="112"/>
        <v>0</v>
      </c>
      <c r="Q2376" s="74"/>
      <c r="R2376" s="76"/>
      <c r="S2376" s="84">
        <f t="shared" si="113"/>
        <v>0</v>
      </c>
    </row>
    <row r="2377" spans="1:19" ht="18" customHeight="1" x14ac:dyDescent="0.25">
      <c r="A2377" s="59"/>
      <c r="B2377" s="60"/>
      <c r="C2377" s="65"/>
      <c r="D2377" s="60"/>
      <c r="E2377" s="59"/>
      <c r="F2377" s="62"/>
      <c r="G2377" s="63"/>
      <c r="H2377" s="64"/>
      <c r="I2377" s="65"/>
      <c r="J2377" s="65"/>
      <c r="K2377" s="65"/>
      <c r="L2377" s="65"/>
      <c r="M2377" s="65"/>
      <c r="N2377" s="65"/>
      <c r="O2377" s="81">
        <f t="shared" si="111"/>
        <v>0</v>
      </c>
      <c r="P2377" s="81">
        <f t="shared" si="112"/>
        <v>0</v>
      </c>
      <c r="Q2377" s="65"/>
      <c r="R2377" s="67"/>
      <c r="S2377" s="83">
        <f t="shared" si="113"/>
        <v>0</v>
      </c>
    </row>
    <row r="2378" spans="1:19" ht="18" customHeight="1" x14ac:dyDescent="0.25">
      <c r="A2378" s="68"/>
      <c r="B2378" s="69"/>
      <c r="C2378" s="74"/>
      <c r="D2378" s="69"/>
      <c r="E2378" s="68"/>
      <c r="F2378" s="71"/>
      <c r="G2378" s="72"/>
      <c r="H2378" s="73"/>
      <c r="I2378" s="74"/>
      <c r="J2378" s="74"/>
      <c r="K2378" s="74"/>
      <c r="L2378" s="74"/>
      <c r="M2378" s="74"/>
      <c r="N2378" s="74"/>
      <c r="O2378" s="82">
        <f t="shared" si="111"/>
        <v>0</v>
      </c>
      <c r="P2378" s="82">
        <f t="shared" si="112"/>
        <v>0</v>
      </c>
      <c r="Q2378" s="74"/>
      <c r="R2378" s="76"/>
      <c r="S2378" s="84">
        <f t="shared" si="113"/>
        <v>0</v>
      </c>
    </row>
    <row r="2379" spans="1:19" ht="18" customHeight="1" x14ac:dyDescent="0.25">
      <c r="A2379" s="59"/>
      <c r="B2379" s="60"/>
      <c r="C2379" s="65"/>
      <c r="D2379" s="60"/>
      <c r="E2379" s="59"/>
      <c r="F2379" s="62"/>
      <c r="G2379" s="63"/>
      <c r="H2379" s="64"/>
      <c r="I2379" s="65"/>
      <c r="J2379" s="65"/>
      <c r="K2379" s="65"/>
      <c r="L2379" s="65"/>
      <c r="M2379" s="65"/>
      <c r="N2379" s="65"/>
      <c r="O2379" s="81">
        <f t="shared" si="111"/>
        <v>0</v>
      </c>
      <c r="P2379" s="81">
        <f t="shared" si="112"/>
        <v>0</v>
      </c>
      <c r="Q2379" s="65"/>
      <c r="R2379" s="67"/>
      <c r="S2379" s="83">
        <f t="shared" si="113"/>
        <v>0</v>
      </c>
    </row>
    <row r="2380" spans="1:19" ht="18" customHeight="1" x14ac:dyDescent="0.25">
      <c r="A2380" s="68"/>
      <c r="B2380" s="69"/>
      <c r="C2380" s="74"/>
      <c r="D2380" s="69"/>
      <c r="E2380" s="68"/>
      <c r="F2380" s="71"/>
      <c r="G2380" s="72"/>
      <c r="H2380" s="73"/>
      <c r="I2380" s="74"/>
      <c r="J2380" s="74"/>
      <c r="K2380" s="74"/>
      <c r="L2380" s="74"/>
      <c r="M2380" s="74"/>
      <c r="N2380" s="74"/>
      <c r="O2380" s="82">
        <f t="shared" si="111"/>
        <v>0</v>
      </c>
      <c r="P2380" s="82">
        <f t="shared" si="112"/>
        <v>0</v>
      </c>
      <c r="Q2380" s="74"/>
      <c r="R2380" s="76"/>
      <c r="S2380" s="84">
        <f t="shared" si="113"/>
        <v>0</v>
      </c>
    </row>
    <row r="2381" spans="1:19" ht="18" customHeight="1" x14ac:dyDescent="0.25">
      <c r="A2381" s="59"/>
      <c r="B2381" s="60"/>
      <c r="C2381" s="65"/>
      <c r="D2381" s="60"/>
      <c r="E2381" s="59"/>
      <c r="F2381" s="62"/>
      <c r="G2381" s="63"/>
      <c r="H2381" s="64"/>
      <c r="I2381" s="65"/>
      <c r="J2381" s="65"/>
      <c r="K2381" s="65"/>
      <c r="L2381" s="65"/>
      <c r="M2381" s="65"/>
      <c r="N2381" s="65"/>
      <c r="O2381" s="81">
        <f t="shared" si="111"/>
        <v>0</v>
      </c>
      <c r="P2381" s="81">
        <f t="shared" si="112"/>
        <v>0</v>
      </c>
      <c r="Q2381" s="65"/>
      <c r="R2381" s="67"/>
      <c r="S2381" s="83">
        <f t="shared" si="113"/>
        <v>0</v>
      </c>
    </row>
    <row r="2382" spans="1:19" ht="18" customHeight="1" x14ac:dyDescent="0.25">
      <c r="A2382" s="68"/>
      <c r="B2382" s="69"/>
      <c r="C2382" s="74"/>
      <c r="D2382" s="69"/>
      <c r="E2382" s="68"/>
      <c r="F2382" s="71"/>
      <c r="G2382" s="72"/>
      <c r="H2382" s="73"/>
      <c r="I2382" s="74"/>
      <c r="J2382" s="74"/>
      <c r="K2382" s="74"/>
      <c r="L2382" s="74"/>
      <c r="M2382" s="74"/>
      <c r="N2382" s="74"/>
      <c r="O2382" s="82">
        <f t="shared" si="111"/>
        <v>0</v>
      </c>
      <c r="P2382" s="82">
        <f t="shared" si="112"/>
        <v>0</v>
      </c>
      <c r="Q2382" s="74"/>
      <c r="R2382" s="76"/>
      <c r="S2382" s="84">
        <f t="shared" si="113"/>
        <v>0</v>
      </c>
    </row>
    <row r="2383" spans="1:19" ht="18" customHeight="1" x14ac:dyDescent="0.25">
      <c r="A2383" s="59"/>
      <c r="B2383" s="60"/>
      <c r="C2383" s="65"/>
      <c r="D2383" s="60"/>
      <c r="E2383" s="59"/>
      <c r="F2383" s="62"/>
      <c r="G2383" s="63"/>
      <c r="H2383" s="64"/>
      <c r="I2383" s="65"/>
      <c r="J2383" s="65"/>
      <c r="K2383" s="65"/>
      <c r="L2383" s="65"/>
      <c r="M2383" s="65"/>
      <c r="N2383" s="65"/>
      <c r="O2383" s="81">
        <f t="shared" si="111"/>
        <v>0</v>
      </c>
      <c r="P2383" s="81">
        <f t="shared" si="112"/>
        <v>0</v>
      </c>
      <c r="Q2383" s="65"/>
      <c r="R2383" s="67"/>
      <c r="S2383" s="83">
        <f t="shared" si="113"/>
        <v>0</v>
      </c>
    </row>
    <row r="2384" spans="1:19" ht="18" customHeight="1" x14ac:dyDescent="0.25">
      <c r="A2384" s="68"/>
      <c r="B2384" s="69"/>
      <c r="C2384" s="74"/>
      <c r="D2384" s="69"/>
      <c r="E2384" s="68"/>
      <c r="F2384" s="71"/>
      <c r="G2384" s="72"/>
      <c r="H2384" s="73"/>
      <c r="I2384" s="74"/>
      <c r="J2384" s="74"/>
      <c r="K2384" s="74"/>
      <c r="L2384" s="74"/>
      <c r="M2384" s="74"/>
      <c r="N2384" s="74"/>
      <c r="O2384" s="82">
        <f t="shared" si="111"/>
        <v>0</v>
      </c>
      <c r="P2384" s="82">
        <f t="shared" si="112"/>
        <v>0</v>
      </c>
      <c r="Q2384" s="74"/>
      <c r="R2384" s="76"/>
      <c r="S2384" s="84">
        <f t="shared" si="113"/>
        <v>0</v>
      </c>
    </row>
    <row r="2385" spans="1:19" ht="18" customHeight="1" x14ac:dyDescent="0.25">
      <c r="A2385" s="59"/>
      <c r="B2385" s="60"/>
      <c r="C2385" s="65"/>
      <c r="D2385" s="60"/>
      <c r="E2385" s="59"/>
      <c r="F2385" s="62"/>
      <c r="G2385" s="63"/>
      <c r="H2385" s="64"/>
      <c r="I2385" s="65"/>
      <c r="J2385" s="65"/>
      <c r="K2385" s="65"/>
      <c r="L2385" s="65"/>
      <c r="M2385" s="65"/>
      <c r="N2385" s="65"/>
      <c r="O2385" s="81">
        <f t="shared" si="111"/>
        <v>0</v>
      </c>
      <c r="P2385" s="81">
        <f t="shared" si="112"/>
        <v>0</v>
      </c>
      <c r="Q2385" s="65"/>
      <c r="R2385" s="67"/>
      <c r="S2385" s="83">
        <f t="shared" si="113"/>
        <v>0</v>
      </c>
    </row>
    <row r="2386" spans="1:19" ht="18" customHeight="1" x14ac:dyDescent="0.25">
      <c r="A2386" s="68"/>
      <c r="B2386" s="69"/>
      <c r="C2386" s="74"/>
      <c r="D2386" s="69"/>
      <c r="E2386" s="68"/>
      <c r="F2386" s="71"/>
      <c r="G2386" s="72"/>
      <c r="H2386" s="73"/>
      <c r="I2386" s="74"/>
      <c r="J2386" s="74"/>
      <c r="K2386" s="74"/>
      <c r="L2386" s="74"/>
      <c r="M2386" s="74"/>
      <c r="N2386" s="74"/>
      <c r="O2386" s="82">
        <f t="shared" si="111"/>
        <v>0</v>
      </c>
      <c r="P2386" s="82">
        <f t="shared" si="112"/>
        <v>0</v>
      </c>
      <c r="Q2386" s="74"/>
      <c r="R2386" s="76"/>
      <c r="S2386" s="84">
        <f t="shared" si="113"/>
        <v>0</v>
      </c>
    </row>
    <row r="2387" spans="1:19" ht="18" customHeight="1" x14ac:dyDescent="0.25">
      <c r="A2387" s="59"/>
      <c r="B2387" s="60"/>
      <c r="C2387" s="65"/>
      <c r="D2387" s="60"/>
      <c r="E2387" s="59"/>
      <c r="F2387" s="62"/>
      <c r="G2387" s="63"/>
      <c r="H2387" s="64"/>
      <c r="I2387" s="65"/>
      <c r="J2387" s="65"/>
      <c r="K2387" s="65"/>
      <c r="L2387" s="65"/>
      <c r="M2387" s="65"/>
      <c r="N2387" s="65"/>
      <c r="O2387" s="81">
        <f t="shared" si="111"/>
        <v>0</v>
      </c>
      <c r="P2387" s="81">
        <f t="shared" si="112"/>
        <v>0</v>
      </c>
      <c r="Q2387" s="65"/>
      <c r="R2387" s="67"/>
      <c r="S2387" s="83">
        <f t="shared" si="113"/>
        <v>0</v>
      </c>
    </row>
    <row r="2388" spans="1:19" ht="18" customHeight="1" x14ac:dyDescent="0.25">
      <c r="A2388" s="68"/>
      <c r="B2388" s="69"/>
      <c r="C2388" s="74"/>
      <c r="D2388" s="69"/>
      <c r="E2388" s="68"/>
      <c r="F2388" s="71"/>
      <c r="G2388" s="72"/>
      <c r="H2388" s="73"/>
      <c r="I2388" s="74"/>
      <c r="J2388" s="74"/>
      <c r="K2388" s="74"/>
      <c r="L2388" s="74"/>
      <c r="M2388" s="74"/>
      <c r="N2388" s="74"/>
      <c r="O2388" s="82">
        <f t="shared" si="111"/>
        <v>0</v>
      </c>
      <c r="P2388" s="82">
        <f t="shared" si="112"/>
        <v>0</v>
      </c>
      <c r="Q2388" s="74"/>
      <c r="R2388" s="76"/>
      <c r="S2388" s="84">
        <f t="shared" si="113"/>
        <v>0</v>
      </c>
    </row>
    <row r="2389" spans="1:19" ht="18" customHeight="1" x14ac:dyDescent="0.25">
      <c r="A2389" s="59"/>
      <c r="B2389" s="60"/>
      <c r="C2389" s="65"/>
      <c r="D2389" s="60"/>
      <c r="E2389" s="59"/>
      <c r="F2389" s="62"/>
      <c r="G2389" s="63"/>
      <c r="H2389" s="64"/>
      <c r="I2389" s="65"/>
      <c r="J2389" s="65"/>
      <c r="K2389" s="65"/>
      <c r="L2389" s="65"/>
      <c r="M2389" s="65"/>
      <c r="N2389" s="65"/>
      <c r="O2389" s="81">
        <f t="shared" si="111"/>
        <v>0</v>
      </c>
      <c r="P2389" s="81">
        <f t="shared" si="112"/>
        <v>0</v>
      </c>
      <c r="Q2389" s="65"/>
      <c r="R2389" s="67"/>
      <c r="S2389" s="83">
        <f t="shared" si="113"/>
        <v>0</v>
      </c>
    </row>
    <row r="2390" spans="1:19" ht="18" customHeight="1" x14ac:dyDescent="0.25">
      <c r="A2390" s="68"/>
      <c r="B2390" s="69"/>
      <c r="C2390" s="74"/>
      <c r="D2390" s="69"/>
      <c r="E2390" s="68"/>
      <c r="F2390" s="71"/>
      <c r="G2390" s="72"/>
      <c r="H2390" s="73"/>
      <c r="I2390" s="74"/>
      <c r="J2390" s="74"/>
      <c r="K2390" s="74"/>
      <c r="L2390" s="74"/>
      <c r="M2390" s="74"/>
      <c r="N2390" s="74"/>
      <c r="O2390" s="82">
        <f t="shared" si="111"/>
        <v>0</v>
      </c>
      <c r="P2390" s="82">
        <f t="shared" si="112"/>
        <v>0</v>
      </c>
      <c r="Q2390" s="74"/>
      <c r="R2390" s="76"/>
      <c r="S2390" s="84">
        <f t="shared" si="113"/>
        <v>0</v>
      </c>
    </row>
    <row r="2391" spans="1:19" ht="18" customHeight="1" x14ac:dyDescent="0.25">
      <c r="A2391" s="59"/>
      <c r="B2391" s="60"/>
      <c r="C2391" s="65"/>
      <c r="D2391" s="60"/>
      <c r="E2391" s="59"/>
      <c r="F2391" s="62"/>
      <c r="G2391" s="63"/>
      <c r="H2391" s="64"/>
      <c r="I2391" s="65"/>
      <c r="J2391" s="65"/>
      <c r="K2391" s="65"/>
      <c r="L2391" s="65"/>
      <c r="M2391" s="65"/>
      <c r="N2391" s="65"/>
      <c r="O2391" s="81">
        <f t="shared" si="111"/>
        <v>0</v>
      </c>
      <c r="P2391" s="81">
        <f t="shared" si="112"/>
        <v>0</v>
      </c>
      <c r="Q2391" s="65"/>
      <c r="R2391" s="67"/>
      <c r="S2391" s="83">
        <f t="shared" si="113"/>
        <v>0</v>
      </c>
    </row>
    <row r="2392" spans="1:19" ht="18" customHeight="1" x14ac:dyDescent="0.25">
      <c r="A2392" s="68"/>
      <c r="B2392" s="69"/>
      <c r="C2392" s="74"/>
      <c r="D2392" s="69"/>
      <c r="E2392" s="68"/>
      <c r="F2392" s="71"/>
      <c r="G2392" s="72"/>
      <c r="H2392" s="73"/>
      <c r="I2392" s="74"/>
      <c r="J2392" s="74"/>
      <c r="K2392" s="74"/>
      <c r="L2392" s="74"/>
      <c r="M2392" s="74"/>
      <c r="N2392" s="74"/>
      <c r="O2392" s="82">
        <f t="shared" si="111"/>
        <v>0</v>
      </c>
      <c r="P2392" s="82">
        <f t="shared" si="112"/>
        <v>0</v>
      </c>
      <c r="Q2392" s="74"/>
      <c r="R2392" s="76"/>
      <c r="S2392" s="84">
        <f t="shared" si="113"/>
        <v>0</v>
      </c>
    </row>
    <row r="2393" spans="1:19" ht="18" customHeight="1" x14ac:dyDescent="0.25">
      <c r="A2393" s="59"/>
      <c r="B2393" s="60"/>
      <c r="C2393" s="65"/>
      <c r="D2393" s="60"/>
      <c r="E2393" s="59"/>
      <c r="F2393" s="62"/>
      <c r="G2393" s="63"/>
      <c r="H2393" s="64"/>
      <c r="I2393" s="65"/>
      <c r="J2393" s="65"/>
      <c r="K2393" s="65"/>
      <c r="L2393" s="65"/>
      <c r="M2393" s="65"/>
      <c r="N2393" s="65"/>
      <c r="O2393" s="81">
        <f t="shared" si="111"/>
        <v>0</v>
      </c>
      <c r="P2393" s="81">
        <f t="shared" si="112"/>
        <v>0</v>
      </c>
      <c r="Q2393" s="65"/>
      <c r="R2393" s="67"/>
      <c r="S2393" s="83">
        <f t="shared" si="113"/>
        <v>0</v>
      </c>
    </row>
    <row r="2394" spans="1:19" ht="18" customHeight="1" x14ac:dyDescent="0.25">
      <c r="A2394" s="68"/>
      <c r="B2394" s="69"/>
      <c r="C2394" s="74"/>
      <c r="D2394" s="69"/>
      <c r="E2394" s="68"/>
      <c r="F2394" s="71"/>
      <c r="G2394" s="72"/>
      <c r="H2394" s="73"/>
      <c r="I2394" s="74"/>
      <c r="J2394" s="74"/>
      <c r="K2394" s="74"/>
      <c r="L2394" s="74"/>
      <c r="M2394" s="74"/>
      <c r="N2394" s="74"/>
      <c r="O2394" s="82">
        <f t="shared" si="111"/>
        <v>0</v>
      </c>
      <c r="P2394" s="82">
        <f t="shared" si="112"/>
        <v>0</v>
      </c>
      <c r="Q2394" s="74"/>
      <c r="R2394" s="76"/>
      <c r="S2394" s="84">
        <f t="shared" si="113"/>
        <v>0</v>
      </c>
    </row>
    <row r="2395" spans="1:19" ht="18" customHeight="1" x14ac:dyDescent="0.25">
      <c r="A2395" s="59"/>
      <c r="B2395" s="60"/>
      <c r="C2395" s="65"/>
      <c r="D2395" s="60"/>
      <c r="E2395" s="59"/>
      <c r="F2395" s="62"/>
      <c r="G2395" s="63"/>
      <c r="H2395" s="64"/>
      <c r="I2395" s="65"/>
      <c r="J2395" s="65"/>
      <c r="K2395" s="65"/>
      <c r="L2395" s="65"/>
      <c r="M2395" s="65"/>
      <c r="N2395" s="65"/>
      <c r="O2395" s="81">
        <f t="shared" si="111"/>
        <v>0</v>
      </c>
      <c r="P2395" s="81">
        <f t="shared" si="112"/>
        <v>0</v>
      </c>
      <c r="Q2395" s="65"/>
      <c r="R2395" s="67"/>
      <c r="S2395" s="83">
        <f t="shared" si="113"/>
        <v>0</v>
      </c>
    </row>
    <row r="2396" spans="1:19" ht="18" customHeight="1" x14ac:dyDescent="0.25">
      <c r="A2396" s="68"/>
      <c r="B2396" s="69"/>
      <c r="C2396" s="74"/>
      <c r="D2396" s="69"/>
      <c r="E2396" s="68"/>
      <c r="F2396" s="71"/>
      <c r="G2396" s="72"/>
      <c r="H2396" s="73"/>
      <c r="I2396" s="74"/>
      <c r="J2396" s="74"/>
      <c r="K2396" s="74"/>
      <c r="L2396" s="74"/>
      <c r="M2396" s="74"/>
      <c r="N2396" s="74"/>
      <c r="O2396" s="82">
        <f t="shared" si="111"/>
        <v>0</v>
      </c>
      <c r="P2396" s="82">
        <f t="shared" si="112"/>
        <v>0</v>
      </c>
      <c r="Q2396" s="74"/>
      <c r="R2396" s="76"/>
      <c r="S2396" s="84">
        <f t="shared" si="113"/>
        <v>0</v>
      </c>
    </row>
    <row r="2397" spans="1:19" ht="18" customHeight="1" x14ac:dyDescent="0.25">
      <c r="A2397" s="59"/>
      <c r="B2397" s="60"/>
      <c r="C2397" s="65"/>
      <c r="D2397" s="60"/>
      <c r="E2397" s="59"/>
      <c r="F2397" s="62"/>
      <c r="G2397" s="63"/>
      <c r="H2397" s="64"/>
      <c r="I2397" s="65"/>
      <c r="J2397" s="65"/>
      <c r="K2397" s="65"/>
      <c r="L2397" s="65"/>
      <c r="M2397" s="65"/>
      <c r="N2397" s="65"/>
      <c r="O2397" s="81">
        <f t="shared" si="111"/>
        <v>0</v>
      </c>
      <c r="P2397" s="81">
        <f t="shared" si="112"/>
        <v>0</v>
      </c>
      <c r="Q2397" s="65"/>
      <c r="R2397" s="67"/>
      <c r="S2397" s="83">
        <f t="shared" si="113"/>
        <v>0</v>
      </c>
    </row>
    <row r="2398" spans="1:19" ht="18" customHeight="1" x14ac:dyDescent="0.25">
      <c r="A2398" s="68"/>
      <c r="B2398" s="69"/>
      <c r="C2398" s="74"/>
      <c r="D2398" s="69"/>
      <c r="E2398" s="68"/>
      <c r="F2398" s="71"/>
      <c r="G2398" s="72"/>
      <c r="H2398" s="73"/>
      <c r="I2398" s="74"/>
      <c r="J2398" s="74"/>
      <c r="K2398" s="74"/>
      <c r="L2398" s="74"/>
      <c r="M2398" s="74"/>
      <c r="N2398" s="74"/>
      <c r="O2398" s="82">
        <f t="shared" si="111"/>
        <v>0</v>
      </c>
      <c r="P2398" s="82">
        <f t="shared" si="112"/>
        <v>0</v>
      </c>
      <c r="Q2398" s="74"/>
      <c r="R2398" s="76"/>
      <c r="S2398" s="84">
        <f t="shared" si="113"/>
        <v>0</v>
      </c>
    </row>
    <row r="2399" spans="1:19" ht="18" customHeight="1" x14ac:dyDescent="0.25">
      <c r="A2399" s="59"/>
      <c r="B2399" s="60"/>
      <c r="C2399" s="65"/>
      <c r="D2399" s="60"/>
      <c r="E2399" s="59"/>
      <c r="F2399" s="62"/>
      <c r="G2399" s="63"/>
      <c r="H2399" s="64"/>
      <c r="I2399" s="65"/>
      <c r="J2399" s="65"/>
      <c r="K2399" s="65"/>
      <c r="L2399" s="65"/>
      <c r="M2399" s="65"/>
      <c r="N2399" s="65"/>
      <c r="O2399" s="81">
        <f t="shared" si="111"/>
        <v>0</v>
      </c>
      <c r="P2399" s="81">
        <f t="shared" si="112"/>
        <v>0</v>
      </c>
      <c r="Q2399" s="65"/>
      <c r="R2399" s="67"/>
      <c r="S2399" s="83">
        <f t="shared" si="113"/>
        <v>0</v>
      </c>
    </row>
    <row r="2400" spans="1:19" ht="18" customHeight="1" x14ac:dyDescent="0.25">
      <c r="A2400" s="68"/>
      <c r="B2400" s="69"/>
      <c r="C2400" s="74"/>
      <c r="D2400" s="69"/>
      <c r="E2400" s="68"/>
      <c r="F2400" s="71"/>
      <c r="G2400" s="72"/>
      <c r="H2400" s="73"/>
      <c r="I2400" s="74"/>
      <c r="J2400" s="74"/>
      <c r="K2400" s="74"/>
      <c r="L2400" s="74"/>
      <c r="M2400" s="74"/>
      <c r="N2400" s="74"/>
      <c r="O2400" s="82">
        <f t="shared" si="111"/>
        <v>0</v>
      </c>
      <c r="P2400" s="82">
        <f t="shared" si="112"/>
        <v>0</v>
      </c>
      <c r="Q2400" s="74"/>
      <c r="R2400" s="76"/>
      <c r="S2400" s="84">
        <f t="shared" si="113"/>
        <v>0</v>
      </c>
    </row>
    <row r="2401" spans="1:19" ht="18" customHeight="1" x14ac:dyDescent="0.25">
      <c r="A2401" s="59"/>
      <c r="B2401" s="60"/>
      <c r="C2401" s="65"/>
      <c r="D2401" s="60"/>
      <c r="E2401" s="59"/>
      <c r="F2401" s="62"/>
      <c r="G2401" s="63"/>
      <c r="H2401" s="64"/>
      <c r="I2401" s="65"/>
      <c r="J2401" s="65"/>
      <c r="K2401" s="65"/>
      <c r="L2401" s="65"/>
      <c r="M2401" s="65"/>
      <c r="N2401" s="65"/>
      <c r="O2401" s="81">
        <f t="shared" si="111"/>
        <v>0</v>
      </c>
      <c r="P2401" s="81">
        <f t="shared" si="112"/>
        <v>0</v>
      </c>
      <c r="Q2401" s="65"/>
      <c r="R2401" s="67"/>
      <c r="S2401" s="83">
        <f t="shared" si="113"/>
        <v>0</v>
      </c>
    </row>
    <row r="2402" spans="1:19" ht="18" customHeight="1" x14ac:dyDescent="0.25">
      <c r="A2402" s="68"/>
      <c r="B2402" s="69"/>
      <c r="C2402" s="74"/>
      <c r="D2402" s="69"/>
      <c r="E2402" s="68"/>
      <c r="F2402" s="71"/>
      <c r="G2402" s="72"/>
      <c r="H2402" s="73"/>
      <c r="I2402" s="74"/>
      <c r="J2402" s="74"/>
      <c r="K2402" s="74"/>
      <c r="L2402" s="74"/>
      <c r="M2402" s="74"/>
      <c r="N2402" s="74"/>
      <c r="O2402" s="82">
        <f t="shared" si="111"/>
        <v>0</v>
      </c>
      <c r="P2402" s="82">
        <f t="shared" si="112"/>
        <v>0</v>
      </c>
      <c r="Q2402" s="74"/>
      <c r="R2402" s="76"/>
      <c r="S2402" s="84">
        <f t="shared" si="113"/>
        <v>0</v>
      </c>
    </row>
    <row r="2403" spans="1:19" ht="18" customHeight="1" x14ac:dyDescent="0.25">
      <c r="A2403" s="59"/>
      <c r="B2403" s="60"/>
      <c r="C2403" s="65"/>
      <c r="D2403" s="60"/>
      <c r="E2403" s="59"/>
      <c r="F2403" s="62"/>
      <c r="G2403" s="63"/>
      <c r="H2403" s="64"/>
      <c r="I2403" s="65"/>
      <c r="J2403" s="65"/>
      <c r="K2403" s="65"/>
      <c r="L2403" s="65"/>
      <c r="M2403" s="65"/>
      <c r="N2403" s="65"/>
      <c r="O2403" s="81">
        <f t="shared" si="111"/>
        <v>0</v>
      </c>
      <c r="P2403" s="81">
        <f t="shared" si="112"/>
        <v>0</v>
      </c>
      <c r="Q2403" s="65"/>
      <c r="R2403" s="67"/>
      <c r="S2403" s="83">
        <f t="shared" si="113"/>
        <v>0</v>
      </c>
    </row>
    <row r="2404" spans="1:19" ht="18" customHeight="1" x14ac:dyDescent="0.25">
      <c r="A2404" s="68"/>
      <c r="B2404" s="69"/>
      <c r="C2404" s="74"/>
      <c r="D2404" s="69"/>
      <c r="E2404" s="68"/>
      <c r="F2404" s="71"/>
      <c r="G2404" s="72"/>
      <c r="H2404" s="73"/>
      <c r="I2404" s="74"/>
      <c r="J2404" s="74"/>
      <c r="K2404" s="74"/>
      <c r="L2404" s="74"/>
      <c r="M2404" s="74"/>
      <c r="N2404" s="74"/>
      <c r="O2404" s="82">
        <f t="shared" si="111"/>
        <v>0</v>
      </c>
      <c r="P2404" s="82">
        <f t="shared" si="112"/>
        <v>0</v>
      </c>
      <c r="Q2404" s="74"/>
      <c r="R2404" s="76"/>
      <c r="S2404" s="84">
        <f t="shared" si="113"/>
        <v>0</v>
      </c>
    </row>
    <row r="2405" spans="1:19" ht="18" customHeight="1" x14ac:dyDescent="0.25">
      <c r="A2405" s="59"/>
      <c r="B2405" s="60"/>
      <c r="C2405" s="65"/>
      <c r="D2405" s="60"/>
      <c r="E2405" s="59"/>
      <c r="F2405" s="62"/>
      <c r="G2405" s="63"/>
      <c r="H2405" s="64"/>
      <c r="I2405" s="65"/>
      <c r="J2405" s="65"/>
      <c r="K2405" s="65"/>
      <c r="L2405" s="65"/>
      <c r="M2405" s="65"/>
      <c r="N2405" s="65"/>
      <c r="O2405" s="81">
        <f t="shared" si="111"/>
        <v>0</v>
      </c>
      <c r="P2405" s="81">
        <f t="shared" si="112"/>
        <v>0</v>
      </c>
      <c r="Q2405" s="65"/>
      <c r="R2405" s="67"/>
      <c r="S2405" s="83">
        <f t="shared" si="113"/>
        <v>0</v>
      </c>
    </row>
    <row r="2406" spans="1:19" ht="18" customHeight="1" x14ac:dyDescent="0.25">
      <c r="A2406" s="68"/>
      <c r="B2406" s="69"/>
      <c r="C2406" s="74"/>
      <c r="D2406" s="69"/>
      <c r="E2406" s="68"/>
      <c r="F2406" s="71"/>
      <c r="G2406" s="72"/>
      <c r="H2406" s="73"/>
      <c r="I2406" s="74"/>
      <c r="J2406" s="74"/>
      <c r="K2406" s="74"/>
      <c r="L2406" s="74"/>
      <c r="M2406" s="74"/>
      <c r="N2406" s="74"/>
      <c r="O2406" s="82">
        <f t="shared" si="111"/>
        <v>0</v>
      </c>
      <c r="P2406" s="82">
        <f t="shared" si="112"/>
        <v>0</v>
      </c>
      <c r="Q2406" s="74"/>
      <c r="R2406" s="76"/>
      <c r="S2406" s="84">
        <f t="shared" si="113"/>
        <v>0</v>
      </c>
    </row>
    <row r="2407" spans="1:19" ht="18" customHeight="1" x14ac:dyDescent="0.25">
      <c r="A2407" s="59"/>
      <c r="B2407" s="60"/>
      <c r="C2407" s="65"/>
      <c r="D2407" s="60"/>
      <c r="E2407" s="59"/>
      <c r="F2407" s="62"/>
      <c r="G2407" s="63"/>
      <c r="H2407" s="64"/>
      <c r="I2407" s="65"/>
      <c r="J2407" s="65"/>
      <c r="K2407" s="65"/>
      <c r="L2407" s="65"/>
      <c r="M2407" s="65"/>
      <c r="N2407" s="65"/>
      <c r="O2407" s="81">
        <f t="shared" si="111"/>
        <v>0</v>
      </c>
      <c r="P2407" s="81">
        <f t="shared" si="112"/>
        <v>0</v>
      </c>
      <c r="Q2407" s="65"/>
      <c r="R2407" s="67"/>
      <c r="S2407" s="83">
        <f t="shared" si="113"/>
        <v>0</v>
      </c>
    </row>
    <row r="2408" spans="1:19" ht="18" customHeight="1" x14ac:dyDescent="0.25">
      <c r="A2408" s="68"/>
      <c r="B2408" s="69"/>
      <c r="C2408" s="74"/>
      <c r="D2408" s="69"/>
      <c r="E2408" s="68"/>
      <c r="F2408" s="71"/>
      <c r="G2408" s="72"/>
      <c r="H2408" s="73"/>
      <c r="I2408" s="74"/>
      <c r="J2408" s="74"/>
      <c r="K2408" s="74"/>
      <c r="L2408" s="74"/>
      <c r="M2408" s="74"/>
      <c r="N2408" s="74"/>
      <c r="O2408" s="82">
        <f t="shared" si="111"/>
        <v>0</v>
      </c>
      <c r="P2408" s="82">
        <f t="shared" si="112"/>
        <v>0</v>
      </c>
      <c r="Q2408" s="74"/>
      <c r="R2408" s="76"/>
      <c r="S2408" s="84">
        <f t="shared" si="113"/>
        <v>0</v>
      </c>
    </row>
    <row r="2409" spans="1:19" ht="18" customHeight="1" x14ac:dyDescent="0.25">
      <c r="A2409" s="59"/>
      <c r="B2409" s="60"/>
      <c r="C2409" s="65"/>
      <c r="D2409" s="60"/>
      <c r="E2409" s="59"/>
      <c r="F2409" s="62"/>
      <c r="G2409" s="63"/>
      <c r="H2409" s="64"/>
      <c r="I2409" s="65"/>
      <c r="J2409" s="65"/>
      <c r="K2409" s="65"/>
      <c r="L2409" s="65"/>
      <c r="M2409" s="65"/>
      <c r="N2409" s="65"/>
      <c r="O2409" s="81">
        <f t="shared" si="111"/>
        <v>0</v>
      </c>
      <c r="P2409" s="81">
        <f t="shared" si="112"/>
        <v>0</v>
      </c>
      <c r="Q2409" s="65"/>
      <c r="R2409" s="67"/>
      <c r="S2409" s="83">
        <f t="shared" si="113"/>
        <v>0</v>
      </c>
    </row>
    <row r="2410" spans="1:19" ht="18" customHeight="1" x14ac:dyDescent="0.25">
      <c r="A2410" s="68"/>
      <c r="B2410" s="69"/>
      <c r="C2410" s="74"/>
      <c r="D2410" s="69"/>
      <c r="E2410" s="68"/>
      <c r="F2410" s="71"/>
      <c r="G2410" s="72"/>
      <c r="H2410" s="73"/>
      <c r="I2410" s="74"/>
      <c r="J2410" s="74"/>
      <c r="K2410" s="74"/>
      <c r="L2410" s="74"/>
      <c r="M2410" s="74"/>
      <c r="N2410" s="74"/>
      <c r="O2410" s="82">
        <f t="shared" si="111"/>
        <v>0</v>
      </c>
      <c r="P2410" s="82">
        <f t="shared" si="112"/>
        <v>0</v>
      </c>
      <c r="Q2410" s="74"/>
      <c r="R2410" s="76"/>
      <c r="S2410" s="84">
        <f t="shared" si="113"/>
        <v>0</v>
      </c>
    </row>
    <row r="2411" spans="1:19" ht="18" customHeight="1" x14ac:dyDescent="0.25">
      <c r="A2411" s="59"/>
      <c r="B2411" s="60"/>
      <c r="C2411" s="65"/>
      <c r="D2411" s="60"/>
      <c r="E2411" s="59"/>
      <c r="F2411" s="62"/>
      <c r="G2411" s="63"/>
      <c r="H2411" s="64"/>
      <c r="I2411" s="65"/>
      <c r="J2411" s="65"/>
      <c r="K2411" s="65"/>
      <c r="L2411" s="65"/>
      <c r="M2411" s="65"/>
      <c r="N2411" s="65"/>
      <c r="O2411" s="81">
        <f t="shared" si="111"/>
        <v>0</v>
      </c>
      <c r="P2411" s="81">
        <f t="shared" si="112"/>
        <v>0</v>
      </c>
      <c r="Q2411" s="65"/>
      <c r="R2411" s="67"/>
      <c r="S2411" s="83">
        <f t="shared" si="113"/>
        <v>0</v>
      </c>
    </row>
    <row r="2412" spans="1:19" ht="18" customHeight="1" x14ac:dyDescent="0.25">
      <c r="A2412" s="68"/>
      <c r="B2412" s="69"/>
      <c r="C2412" s="74"/>
      <c r="D2412" s="69"/>
      <c r="E2412" s="68"/>
      <c r="F2412" s="71"/>
      <c r="G2412" s="72"/>
      <c r="H2412" s="73"/>
      <c r="I2412" s="74"/>
      <c r="J2412" s="74"/>
      <c r="K2412" s="74"/>
      <c r="L2412" s="74"/>
      <c r="M2412" s="74"/>
      <c r="N2412" s="74"/>
      <c r="O2412" s="82">
        <f t="shared" si="111"/>
        <v>0</v>
      </c>
      <c r="P2412" s="82">
        <f t="shared" si="112"/>
        <v>0</v>
      </c>
      <c r="Q2412" s="74"/>
      <c r="R2412" s="76"/>
      <c r="S2412" s="84">
        <f t="shared" si="113"/>
        <v>0</v>
      </c>
    </row>
    <row r="2413" spans="1:19" ht="18" customHeight="1" x14ac:dyDescent="0.25">
      <c r="A2413" s="59"/>
      <c r="B2413" s="60"/>
      <c r="C2413" s="65"/>
      <c r="D2413" s="60"/>
      <c r="E2413" s="59"/>
      <c r="F2413" s="62"/>
      <c r="G2413" s="63"/>
      <c r="H2413" s="64"/>
      <c r="I2413" s="65"/>
      <c r="J2413" s="65"/>
      <c r="K2413" s="65"/>
      <c r="L2413" s="65"/>
      <c r="M2413" s="65"/>
      <c r="N2413" s="65"/>
      <c r="O2413" s="81">
        <f t="shared" si="111"/>
        <v>0</v>
      </c>
      <c r="P2413" s="81">
        <f t="shared" si="112"/>
        <v>0</v>
      </c>
      <c r="Q2413" s="65"/>
      <c r="R2413" s="67"/>
      <c r="S2413" s="83">
        <f t="shared" si="113"/>
        <v>0</v>
      </c>
    </row>
    <row r="2414" spans="1:19" ht="18" customHeight="1" x14ac:dyDescent="0.25">
      <c r="A2414" s="68"/>
      <c r="B2414" s="69"/>
      <c r="C2414" s="74"/>
      <c r="D2414" s="69"/>
      <c r="E2414" s="68"/>
      <c r="F2414" s="71"/>
      <c r="G2414" s="72"/>
      <c r="H2414" s="73"/>
      <c r="I2414" s="74"/>
      <c r="J2414" s="74"/>
      <c r="K2414" s="74"/>
      <c r="L2414" s="74"/>
      <c r="M2414" s="74"/>
      <c r="N2414" s="74"/>
      <c r="O2414" s="82">
        <f t="shared" si="111"/>
        <v>0</v>
      </c>
      <c r="P2414" s="82">
        <f t="shared" si="112"/>
        <v>0</v>
      </c>
      <c r="Q2414" s="74"/>
      <c r="R2414" s="76"/>
      <c r="S2414" s="84">
        <f t="shared" si="113"/>
        <v>0</v>
      </c>
    </row>
    <row r="2415" spans="1:19" ht="18" customHeight="1" x14ac:dyDescent="0.25">
      <c r="A2415" s="59"/>
      <c r="B2415" s="60"/>
      <c r="C2415" s="65"/>
      <c r="D2415" s="60"/>
      <c r="E2415" s="59"/>
      <c r="F2415" s="62"/>
      <c r="G2415" s="63"/>
      <c r="H2415" s="64"/>
      <c r="I2415" s="65"/>
      <c r="J2415" s="65"/>
      <c r="K2415" s="65"/>
      <c r="L2415" s="65"/>
      <c r="M2415" s="65"/>
      <c r="N2415" s="65"/>
      <c r="O2415" s="81">
        <f t="shared" si="111"/>
        <v>0</v>
      </c>
      <c r="P2415" s="81">
        <f t="shared" si="112"/>
        <v>0</v>
      </c>
      <c r="Q2415" s="65"/>
      <c r="R2415" s="67"/>
      <c r="S2415" s="83">
        <f t="shared" si="113"/>
        <v>0</v>
      </c>
    </row>
    <row r="2416" spans="1:19" ht="18" customHeight="1" x14ac:dyDescent="0.25">
      <c r="A2416" s="68"/>
      <c r="B2416" s="69"/>
      <c r="C2416" s="74"/>
      <c r="D2416" s="69"/>
      <c r="E2416" s="68"/>
      <c r="F2416" s="71"/>
      <c r="G2416" s="72"/>
      <c r="H2416" s="73"/>
      <c r="I2416" s="74"/>
      <c r="J2416" s="74"/>
      <c r="K2416" s="74"/>
      <c r="L2416" s="74"/>
      <c r="M2416" s="74"/>
      <c r="N2416" s="74"/>
      <c r="O2416" s="82">
        <f t="shared" si="111"/>
        <v>0</v>
      </c>
      <c r="P2416" s="82">
        <f t="shared" si="112"/>
        <v>0</v>
      </c>
      <c r="Q2416" s="74"/>
      <c r="R2416" s="76"/>
      <c r="S2416" s="84">
        <f t="shared" si="113"/>
        <v>0</v>
      </c>
    </row>
    <row r="2417" spans="1:19" ht="18" customHeight="1" x14ac:dyDescent="0.25">
      <c r="A2417" s="59"/>
      <c r="B2417" s="60"/>
      <c r="C2417" s="65"/>
      <c r="D2417" s="60"/>
      <c r="E2417" s="59"/>
      <c r="F2417" s="62"/>
      <c r="G2417" s="63"/>
      <c r="H2417" s="64"/>
      <c r="I2417" s="65"/>
      <c r="J2417" s="65"/>
      <c r="K2417" s="65"/>
      <c r="L2417" s="65"/>
      <c r="M2417" s="65"/>
      <c r="N2417" s="65"/>
      <c r="O2417" s="81">
        <f t="shared" si="111"/>
        <v>0</v>
      </c>
      <c r="P2417" s="81">
        <f t="shared" si="112"/>
        <v>0</v>
      </c>
      <c r="Q2417" s="65"/>
      <c r="R2417" s="67"/>
      <c r="S2417" s="83">
        <f t="shared" si="113"/>
        <v>0</v>
      </c>
    </row>
    <row r="2418" spans="1:19" ht="18" customHeight="1" x14ac:dyDescent="0.25">
      <c r="A2418" s="68"/>
      <c r="B2418" s="69"/>
      <c r="C2418" s="74"/>
      <c r="D2418" s="69"/>
      <c r="E2418" s="68"/>
      <c r="F2418" s="71"/>
      <c r="G2418" s="72"/>
      <c r="H2418" s="73"/>
      <c r="I2418" s="74"/>
      <c r="J2418" s="74"/>
      <c r="K2418" s="74"/>
      <c r="L2418" s="74"/>
      <c r="M2418" s="74"/>
      <c r="N2418" s="74"/>
      <c r="O2418" s="82">
        <f t="shared" si="111"/>
        <v>0</v>
      </c>
      <c r="P2418" s="82">
        <f t="shared" si="112"/>
        <v>0</v>
      </c>
      <c r="Q2418" s="74"/>
      <c r="R2418" s="76"/>
      <c r="S2418" s="84">
        <f t="shared" si="113"/>
        <v>0</v>
      </c>
    </row>
    <row r="2419" spans="1:19" ht="18" customHeight="1" x14ac:dyDescent="0.25">
      <c r="A2419" s="59"/>
      <c r="B2419" s="60"/>
      <c r="C2419" s="65"/>
      <c r="D2419" s="60"/>
      <c r="E2419" s="59"/>
      <c r="F2419" s="62"/>
      <c r="G2419" s="63"/>
      <c r="H2419" s="64"/>
      <c r="I2419" s="65"/>
      <c r="J2419" s="65"/>
      <c r="K2419" s="65"/>
      <c r="L2419" s="65"/>
      <c r="M2419" s="65"/>
      <c r="N2419" s="65"/>
      <c r="O2419" s="81">
        <f t="shared" si="111"/>
        <v>0</v>
      </c>
      <c r="P2419" s="81">
        <f t="shared" si="112"/>
        <v>0</v>
      </c>
      <c r="Q2419" s="65"/>
      <c r="R2419" s="67"/>
      <c r="S2419" s="83">
        <f t="shared" si="113"/>
        <v>0</v>
      </c>
    </row>
    <row r="2420" spans="1:19" ht="18" customHeight="1" x14ac:dyDescent="0.25">
      <c r="A2420" s="68"/>
      <c r="B2420" s="69"/>
      <c r="C2420" s="74"/>
      <c r="D2420" s="69"/>
      <c r="E2420" s="68"/>
      <c r="F2420" s="71"/>
      <c r="G2420" s="72"/>
      <c r="H2420" s="73"/>
      <c r="I2420" s="74"/>
      <c r="J2420" s="74"/>
      <c r="K2420" s="74"/>
      <c r="L2420" s="74"/>
      <c r="M2420" s="74"/>
      <c r="N2420" s="74"/>
      <c r="O2420" s="82">
        <f t="shared" si="111"/>
        <v>0</v>
      </c>
      <c r="P2420" s="82">
        <f t="shared" si="112"/>
        <v>0</v>
      </c>
      <c r="Q2420" s="74"/>
      <c r="R2420" s="76"/>
      <c r="S2420" s="84">
        <f t="shared" si="113"/>
        <v>0</v>
      </c>
    </row>
    <row r="2421" spans="1:19" ht="18" customHeight="1" x14ac:dyDescent="0.25">
      <c r="A2421" s="59"/>
      <c r="B2421" s="60"/>
      <c r="C2421" s="65"/>
      <c r="D2421" s="60"/>
      <c r="E2421" s="59"/>
      <c r="F2421" s="62"/>
      <c r="G2421" s="63"/>
      <c r="H2421" s="64"/>
      <c r="I2421" s="65"/>
      <c r="J2421" s="65"/>
      <c r="K2421" s="65"/>
      <c r="L2421" s="65"/>
      <c r="M2421" s="65"/>
      <c r="N2421" s="65"/>
      <c r="O2421" s="81">
        <f t="shared" si="111"/>
        <v>0</v>
      </c>
      <c r="P2421" s="81">
        <f t="shared" si="112"/>
        <v>0</v>
      </c>
      <c r="Q2421" s="65"/>
      <c r="R2421" s="67"/>
      <c r="S2421" s="83">
        <f t="shared" si="113"/>
        <v>0</v>
      </c>
    </row>
    <row r="2422" spans="1:19" ht="18" customHeight="1" x14ac:dyDescent="0.25">
      <c r="A2422" s="68"/>
      <c r="B2422" s="69"/>
      <c r="C2422" s="74"/>
      <c r="D2422" s="69"/>
      <c r="E2422" s="68"/>
      <c r="F2422" s="71"/>
      <c r="G2422" s="72"/>
      <c r="H2422" s="73"/>
      <c r="I2422" s="74"/>
      <c r="J2422" s="74"/>
      <c r="K2422" s="74"/>
      <c r="L2422" s="74"/>
      <c r="M2422" s="74"/>
      <c r="N2422" s="74"/>
      <c r="O2422" s="82">
        <f t="shared" si="111"/>
        <v>0</v>
      </c>
      <c r="P2422" s="82">
        <f t="shared" si="112"/>
        <v>0</v>
      </c>
      <c r="Q2422" s="74"/>
      <c r="R2422" s="76"/>
      <c r="S2422" s="84">
        <f t="shared" si="113"/>
        <v>0</v>
      </c>
    </row>
    <row r="2423" spans="1:19" ht="18" customHeight="1" x14ac:dyDescent="0.25">
      <c r="A2423" s="59"/>
      <c r="B2423" s="60"/>
      <c r="C2423" s="65"/>
      <c r="D2423" s="60"/>
      <c r="E2423" s="59"/>
      <c r="F2423" s="62"/>
      <c r="G2423" s="63"/>
      <c r="H2423" s="64"/>
      <c r="I2423" s="65"/>
      <c r="J2423" s="65"/>
      <c r="K2423" s="65"/>
      <c r="L2423" s="65"/>
      <c r="M2423" s="65"/>
      <c r="N2423" s="65"/>
      <c r="O2423" s="81">
        <f t="shared" si="111"/>
        <v>0</v>
      </c>
      <c r="P2423" s="81">
        <f t="shared" si="112"/>
        <v>0</v>
      </c>
      <c r="Q2423" s="65"/>
      <c r="R2423" s="67"/>
      <c r="S2423" s="83">
        <f t="shared" si="113"/>
        <v>0</v>
      </c>
    </row>
    <row r="2424" spans="1:19" ht="18" customHeight="1" x14ac:dyDescent="0.25">
      <c r="A2424" s="68"/>
      <c r="B2424" s="69"/>
      <c r="C2424" s="74"/>
      <c r="D2424" s="69"/>
      <c r="E2424" s="68"/>
      <c r="F2424" s="71"/>
      <c r="G2424" s="72"/>
      <c r="H2424" s="73"/>
      <c r="I2424" s="74"/>
      <c r="J2424" s="74"/>
      <c r="K2424" s="74"/>
      <c r="L2424" s="74"/>
      <c r="M2424" s="74"/>
      <c r="N2424" s="74"/>
      <c r="O2424" s="82">
        <f t="shared" si="111"/>
        <v>0</v>
      </c>
      <c r="P2424" s="82">
        <f t="shared" si="112"/>
        <v>0</v>
      </c>
      <c r="Q2424" s="74"/>
      <c r="R2424" s="76"/>
      <c r="S2424" s="84">
        <f t="shared" si="113"/>
        <v>0</v>
      </c>
    </row>
    <row r="2425" spans="1:19" ht="18" customHeight="1" x14ac:dyDescent="0.25">
      <c r="A2425" s="59"/>
      <c r="B2425" s="60"/>
      <c r="C2425" s="65"/>
      <c r="D2425" s="60"/>
      <c r="E2425" s="59"/>
      <c r="F2425" s="62"/>
      <c r="G2425" s="63"/>
      <c r="H2425" s="64"/>
      <c r="I2425" s="65"/>
      <c r="J2425" s="65"/>
      <c r="K2425" s="65"/>
      <c r="L2425" s="65"/>
      <c r="M2425" s="65"/>
      <c r="N2425" s="65"/>
      <c r="O2425" s="81">
        <f t="shared" si="111"/>
        <v>0</v>
      </c>
      <c r="P2425" s="81">
        <f t="shared" si="112"/>
        <v>0</v>
      </c>
      <c r="Q2425" s="65"/>
      <c r="R2425" s="67"/>
      <c r="S2425" s="83">
        <f t="shared" si="113"/>
        <v>0</v>
      </c>
    </row>
    <row r="2426" spans="1:19" ht="18" customHeight="1" x14ac:dyDescent="0.25">
      <c r="A2426" s="68"/>
      <c r="B2426" s="69"/>
      <c r="C2426" s="74"/>
      <c r="D2426" s="69"/>
      <c r="E2426" s="68"/>
      <c r="F2426" s="71"/>
      <c r="G2426" s="72"/>
      <c r="H2426" s="73"/>
      <c r="I2426" s="74"/>
      <c r="J2426" s="74"/>
      <c r="K2426" s="74"/>
      <c r="L2426" s="74"/>
      <c r="M2426" s="74"/>
      <c r="N2426" s="74"/>
      <c r="O2426" s="82">
        <f t="shared" si="111"/>
        <v>0</v>
      </c>
      <c r="P2426" s="82">
        <f t="shared" si="112"/>
        <v>0</v>
      </c>
      <c r="Q2426" s="74"/>
      <c r="R2426" s="76"/>
      <c r="S2426" s="84">
        <f t="shared" si="113"/>
        <v>0</v>
      </c>
    </row>
    <row r="2427" spans="1:19" ht="18" customHeight="1" x14ac:dyDescent="0.25">
      <c r="A2427" s="59"/>
      <c r="B2427" s="60"/>
      <c r="C2427" s="65"/>
      <c r="D2427" s="60"/>
      <c r="E2427" s="59"/>
      <c r="F2427" s="62"/>
      <c r="G2427" s="63"/>
      <c r="H2427" s="64"/>
      <c r="I2427" s="65"/>
      <c r="J2427" s="65"/>
      <c r="K2427" s="65"/>
      <c r="L2427" s="65"/>
      <c r="M2427" s="65"/>
      <c r="N2427" s="65"/>
      <c r="O2427" s="81">
        <f t="shared" si="111"/>
        <v>0</v>
      </c>
      <c r="P2427" s="81">
        <f t="shared" si="112"/>
        <v>0</v>
      </c>
      <c r="Q2427" s="65"/>
      <c r="R2427" s="67"/>
      <c r="S2427" s="83">
        <f t="shared" si="113"/>
        <v>0</v>
      </c>
    </row>
    <row r="2428" spans="1:19" ht="18" customHeight="1" x14ac:dyDescent="0.25">
      <c r="A2428" s="68"/>
      <c r="B2428" s="69"/>
      <c r="C2428" s="74"/>
      <c r="D2428" s="69"/>
      <c r="E2428" s="68"/>
      <c r="F2428" s="71"/>
      <c r="G2428" s="72"/>
      <c r="H2428" s="73"/>
      <c r="I2428" s="74"/>
      <c r="J2428" s="74"/>
      <c r="K2428" s="74"/>
      <c r="L2428" s="74"/>
      <c r="M2428" s="74"/>
      <c r="N2428" s="74"/>
      <c r="O2428" s="82">
        <f t="shared" si="111"/>
        <v>0</v>
      </c>
      <c r="P2428" s="82">
        <f t="shared" si="112"/>
        <v>0</v>
      </c>
      <c r="Q2428" s="74"/>
      <c r="R2428" s="76"/>
      <c r="S2428" s="84">
        <f t="shared" si="113"/>
        <v>0</v>
      </c>
    </row>
    <row r="2429" spans="1:19" ht="18" customHeight="1" x14ac:dyDescent="0.25">
      <c r="A2429" s="59"/>
      <c r="B2429" s="60"/>
      <c r="C2429" s="65"/>
      <c r="D2429" s="60"/>
      <c r="E2429" s="59"/>
      <c r="F2429" s="62"/>
      <c r="G2429" s="63"/>
      <c r="H2429" s="64"/>
      <c r="I2429" s="65"/>
      <c r="J2429" s="65"/>
      <c r="K2429" s="65"/>
      <c r="L2429" s="65"/>
      <c r="M2429" s="65"/>
      <c r="N2429" s="65"/>
      <c r="O2429" s="81">
        <f t="shared" si="111"/>
        <v>0</v>
      </c>
      <c r="P2429" s="81">
        <f t="shared" si="112"/>
        <v>0</v>
      </c>
      <c r="Q2429" s="65"/>
      <c r="R2429" s="67"/>
      <c r="S2429" s="83">
        <f t="shared" si="113"/>
        <v>0</v>
      </c>
    </row>
    <row r="2430" spans="1:19" ht="18" customHeight="1" x14ac:dyDescent="0.25">
      <c r="A2430" s="68"/>
      <c r="B2430" s="69"/>
      <c r="C2430" s="74"/>
      <c r="D2430" s="69"/>
      <c r="E2430" s="68"/>
      <c r="F2430" s="71"/>
      <c r="G2430" s="72"/>
      <c r="H2430" s="73"/>
      <c r="I2430" s="74"/>
      <c r="J2430" s="74"/>
      <c r="K2430" s="74"/>
      <c r="L2430" s="74"/>
      <c r="M2430" s="74"/>
      <c r="N2430" s="74"/>
      <c r="O2430" s="82">
        <f t="shared" si="111"/>
        <v>0</v>
      </c>
      <c r="P2430" s="82">
        <f t="shared" si="112"/>
        <v>0</v>
      </c>
      <c r="Q2430" s="74"/>
      <c r="R2430" s="76"/>
      <c r="S2430" s="84">
        <f t="shared" si="113"/>
        <v>0</v>
      </c>
    </row>
    <row r="2431" spans="1:19" ht="18" customHeight="1" x14ac:dyDescent="0.25">
      <c r="A2431" s="59"/>
      <c r="B2431" s="60"/>
      <c r="C2431" s="65"/>
      <c r="D2431" s="60"/>
      <c r="E2431" s="59"/>
      <c r="F2431" s="62"/>
      <c r="G2431" s="63"/>
      <c r="H2431" s="64"/>
      <c r="I2431" s="65"/>
      <c r="J2431" s="65"/>
      <c r="K2431" s="65"/>
      <c r="L2431" s="65"/>
      <c r="M2431" s="65"/>
      <c r="N2431" s="65"/>
      <c r="O2431" s="81">
        <f t="shared" si="111"/>
        <v>0</v>
      </c>
      <c r="P2431" s="81">
        <f t="shared" si="112"/>
        <v>0</v>
      </c>
      <c r="Q2431" s="65"/>
      <c r="R2431" s="67"/>
      <c r="S2431" s="83">
        <f t="shared" si="113"/>
        <v>0</v>
      </c>
    </row>
    <row r="2432" spans="1:19" ht="18" customHeight="1" x14ac:dyDescent="0.25">
      <c r="A2432" s="68"/>
      <c r="B2432" s="69"/>
      <c r="C2432" s="74"/>
      <c r="D2432" s="69"/>
      <c r="E2432" s="68"/>
      <c r="F2432" s="71"/>
      <c r="G2432" s="72"/>
      <c r="H2432" s="73"/>
      <c r="I2432" s="74"/>
      <c r="J2432" s="74"/>
      <c r="K2432" s="74"/>
      <c r="L2432" s="74"/>
      <c r="M2432" s="74"/>
      <c r="N2432" s="74"/>
      <c r="O2432" s="82">
        <f t="shared" si="111"/>
        <v>0</v>
      </c>
      <c r="P2432" s="82">
        <f t="shared" si="112"/>
        <v>0</v>
      </c>
      <c r="Q2432" s="74"/>
      <c r="R2432" s="76"/>
      <c r="S2432" s="84">
        <f t="shared" si="113"/>
        <v>0</v>
      </c>
    </row>
    <row r="2433" spans="1:19" ht="18" customHeight="1" x14ac:dyDescent="0.25">
      <c r="A2433" s="59"/>
      <c r="B2433" s="60"/>
      <c r="C2433" s="65"/>
      <c r="D2433" s="60"/>
      <c r="E2433" s="59"/>
      <c r="F2433" s="62"/>
      <c r="G2433" s="63"/>
      <c r="H2433" s="64"/>
      <c r="I2433" s="65"/>
      <c r="J2433" s="65"/>
      <c r="K2433" s="65"/>
      <c r="L2433" s="65"/>
      <c r="M2433" s="65"/>
      <c r="N2433" s="65"/>
      <c r="O2433" s="81">
        <f t="shared" si="111"/>
        <v>0</v>
      </c>
      <c r="P2433" s="81">
        <f t="shared" si="112"/>
        <v>0</v>
      </c>
      <c r="Q2433" s="65"/>
      <c r="R2433" s="67"/>
      <c r="S2433" s="83">
        <f t="shared" si="113"/>
        <v>0</v>
      </c>
    </row>
    <row r="2434" spans="1:19" ht="18" customHeight="1" x14ac:dyDescent="0.25">
      <c r="A2434" s="68"/>
      <c r="B2434" s="69"/>
      <c r="C2434" s="74"/>
      <c r="D2434" s="69"/>
      <c r="E2434" s="68"/>
      <c r="F2434" s="71"/>
      <c r="G2434" s="72"/>
      <c r="H2434" s="73"/>
      <c r="I2434" s="74"/>
      <c r="J2434" s="74"/>
      <c r="K2434" s="74"/>
      <c r="L2434" s="74"/>
      <c r="M2434" s="74"/>
      <c r="N2434" s="74"/>
      <c r="O2434" s="82">
        <f t="shared" si="111"/>
        <v>0</v>
      </c>
      <c r="P2434" s="82">
        <f t="shared" si="112"/>
        <v>0</v>
      </c>
      <c r="Q2434" s="74"/>
      <c r="R2434" s="76"/>
      <c r="S2434" s="84">
        <f t="shared" si="113"/>
        <v>0</v>
      </c>
    </row>
    <row r="2435" spans="1:19" ht="18" customHeight="1" x14ac:dyDescent="0.25">
      <c r="A2435" s="59"/>
      <c r="B2435" s="60"/>
      <c r="C2435" s="65"/>
      <c r="D2435" s="60"/>
      <c r="E2435" s="59"/>
      <c r="F2435" s="62"/>
      <c r="G2435" s="63"/>
      <c r="H2435" s="64"/>
      <c r="I2435" s="65"/>
      <c r="J2435" s="65"/>
      <c r="K2435" s="65"/>
      <c r="L2435" s="65"/>
      <c r="M2435" s="65"/>
      <c r="N2435" s="65"/>
      <c r="O2435" s="81">
        <f t="shared" si="111"/>
        <v>0</v>
      </c>
      <c r="P2435" s="81">
        <f t="shared" si="112"/>
        <v>0</v>
      </c>
      <c r="Q2435" s="65"/>
      <c r="R2435" s="67"/>
      <c r="S2435" s="83">
        <f t="shared" si="113"/>
        <v>0</v>
      </c>
    </row>
    <row r="2436" spans="1:19" ht="18" customHeight="1" x14ac:dyDescent="0.25">
      <c r="A2436" s="68"/>
      <c r="B2436" s="69"/>
      <c r="C2436" s="74"/>
      <c r="D2436" s="69"/>
      <c r="E2436" s="68"/>
      <c r="F2436" s="71"/>
      <c r="G2436" s="72"/>
      <c r="H2436" s="73"/>
      <c r="I2436" s="74"/>
      <c r="J2436" s="74"/>
      <c r="K2436" s="74"/>
      <c r="L2436" s="74"/>
      <c r="M2436" s="74"/>
      <c r="N2436" s="74"/>
      <c r="O2436" s="82">
        <f t="shared" si="111"/>
        <v>0</v>
      </c>
      <c r="P2436" s="82">
        <f t="shared" si="112"/>
        <v>0</v>
      </c>
      <c r="Q2436" s="74"/>
      <c r="R2436" s="76"/>
      <c r="S2436" s="84">
        <f t="shared" si="113"/>
        <v>0</v>
      </c>
    </row>
    <row r="2437" spans="1:19" ht="18" customHeight="1" x14ac:dyDescent="0.25">
      <c r="A2437" s="59"/>
      <c r="B2437" s="60"/>
      <c r="C2437" s="65"/>
      <c r="D2437" s="60"/>
      <c r="E2437" s="59"/>
      <c r="F2437" s="62"/>
      <c r="G2437" s="63"/>
      <c r="H2437" s="64"/>
      <c r="I2437" s="65"/>
      <c r="J2437" s="65"/>
      <c r="K2437" s="65"/>
      <c r="L2437" s="65"/>
      <c r="M2437" s="65"/>
      <c r="N2437" s="65"/>
      <c r="O2437" s="81">
        <f t="shared" si="111"/>
        <v>0</v>
      </c>
      <c r="P2437" s="81">
        <f t="shared" si="112"/>
        <v>0</v>
      </c>
      <c r="Q2437" s="65"/>
      <c r="R2437" s="67"/>
      <c r="S2437" s="83">
        <f t="shared" si="113"/>
        <v>0</v>
      </c>
    </row>
    <row r="2438" spans="1:19" ht="18" customHeight="1" x14ac:dyDescent="0.25">
      <c r="A2438" s="68"/>
      <c r="B2438" s="69"/>
      <c r="C2438" s="74"/>
      <c r="D2438" s="69"/>
      <c r="E2438" s="68"/>
      <c r="F2438" s="71"/>
      <c r="G2438" s="72"/>
      <c r="H2438" s="73"/>
      <c r="I2438" s="74"/>
      <c r="J2438" s="74"/>
      <c r="K2438" s="74"/>
      <c r="L2438" s="74"/>
      <c r="M2438" s="74"/>
      <c r="N2438" s="74"/>
      <c r="O2438" s="82" t="e">
        <f>#N/A</f>
        <v>#N/A</v>
      </c>
      <c r="P2438" s="82" t="e">
        <f>#N/A</f>
        <v>#N/A</v>
      </c>
      <c r="Q2438" s="74"/>
      <c r="R2438" s="76"/>
      <c r="S2438" s="84">
        <f t="shared" si="113"/>
        <v>0</v>
      </c>
    </row>
    <row r="2439" spans="1:19" ht="18" customHeight="1" x14ac:dyDescent="0.25">
      <c r="A2439" s="59"/>
      <c r="B2439" s="60"/>
      <c r="C2439" s="65"/>
      <c r="D2439" s="60"/>
      <c r="E2439" s="59"/>
      <c r="F2439" s="62"/>
      <c r="G2439" s="63"/>
      <c r="H2439" s="64"/>
      <c r="I2439" s="65"/>
      <c r="J2439" s="65"/>
      <c r="K2439" s="65"/>
      <c r="L2439" s="65"/>
      <c r="M2439" s="65"/>
      <c r="N2439" s="65"/>
      <c r="O2439" s="81">
        <f t="shared" ref="O2439:O2501" si="114">IF(G2439="Reimbursement ","",I2439+J2439+K2439+L2439+M2439)</f>
        <v>0</v>
      </c>
      <c r="P2439" s="81">
        <f t="shared" ref="P2439:P2501" si="115">IF(G2439="Reimbursement ","",H2439-O2439)</f>
        <v>0</v>
      </c>
      <c r="Q2439" s="65"/>
      <c r="R2439" s="67"/>
      <c r="S2439" s="83">
        <f t="shared" ref="S2439:S2502" si="116">IF(OR(R2439="",Q2439=""),0,IF(R2439&gt;Q2439,R2439-Q2439,0))</f>
        <v>0</v>
      </c>
    </row>
    <row r="2440" spans="1:19" ht="18" customHeight="1" x14ac:dyDescent="0.25">
      <c r="A2440" s="68"/>
      <c r="B2440" s="69"/>
      <c r="C2440" s="74"/>
      <c r="D2440" s="69"/>
      <c r="E2440" s="68"/>
      <c r="F2440" s="71"/>
      <c r="G2440" s="72"/>
      <c r="H2440" s="73"/>
      <c r="I2440" s="74"/>
      <c r="J2440" s="74"/>
      <c r="K2440" s="74"/>
      <c r="L2440" s="74"/>
      <c r="M2440" s="74"/>
      <c r="N2440" s="74"/>
      <c r="O2440" s="82">
        <f t="shared" si="114"/>
        <v>0</v>
      </c>
      <c r="P2440" s="82">
        <f t="shared" si="115"/>
        <v>0</v>
      </c>
      <c r="Q2440" s="74"/>
      <c r="R2440" s="76"/>
      <c r="S2440" s="84">
        <f t="shared" si="116"/>
        <v>0</v>
      </c>
    </row>
    <row r="2441" spans="1:19" ht="18" customHeight="1" x14ac:dyDescent="0.25">
      <c r="A2441" s="59"/>
      <c r="B2441" s="60"/>
      <c r="C2441" s="65"/>
      <c r="D2441" s="60"/>
      <c r="E2441" s="59"/>
      <c r="F2441" s="62"/>
      <c r="G2441" s="63"/>
      <c r="H2441" s="64"/>
      <c r="I2441" s="65"/>
      <c r="J2441" s="65"/>
      <c r="K2441" s="65"/>
      <c r="L2441" s="65"/>
      <c r="M2441" s="65"/>
      <c r="N2441" s="65"/>
      <c r="O2441" s="81">
        <f t="shared" si="114"/>
        <v>0</v>
      </c>
      <c r="P2441" s="81">
        <f t="shared" si="115"/>
        <v>0</v>
      </c>
      <c r="Q2441" s="65"/>
      <c r="R2441" s="67"/>
      <c r="S2441" s="83">
        <f t="shared" si="116"/>
        <v>0</v>
      </c>
    </row>
    <row r="2442" spans="1:19" ht="18" customHeight="1" x14ac:dyDescent="0.25">
      <c r="A2442" s="68"/>
      <c r="B2442" s="69"/>
      <c r="C2442" s="74"/>
      <c r="D2442" s="69"/>
      <c r="E2442" s="68"/>
      <c r="F2442" s="71"/>
      <c r="G2442" s="72"/>
      <c r="H2442" s="73"/>
      <c r="I2442" s="74"/>
      <c r="J2442" s="74"/>
      <c r="K2442" s="74"/>
      <c r="L2442" s="74"/>
      <c r="M2442" s="74"/>
      <c r="N2442" s="74"/>
      <c r="O2442" s="82">
        <f t="shared" si="114"/>
        <v>0</v>
      </c>
      <c r="P2442" s="82">
        <f t="shared" si="115"/>
        <v>0</v>
      </c>
      <c r="Q2442" s="74"/>
      <c r="R2442" s="76"/>
      <c r="S2442" s="84">
        <f t="shared" si="116"/>
        <v>0</v>
      </c>
    </row>
    <row r="2443" spans="1:19" ht="18" customHeight="1" x14ac:dyDescent="0.25">
      <c r="A2443" s="59"/>
      <c r="B2443" s="60"/>
      <c r="C2443" s="65"/>
      <c r="D2443" s="60"/>
      <c r="E2443" s="59"/>
      <c r="F2443" s="62"/>
      <c r="G2443" s="63"/>
      <c r="H2443" s="64"/>
      <c r="I2443" s="65"/>
      <c r="J2443" s="65"/>
      <c r="K2443" s="65"/>
      <c r="L2443" s="65"/>
      <c r="M2443" s="65"/>
      <c r="N2443" s="65"/>
      <c r="O2443" s="81">
        <f t="shared" si="114"/>
        <v>0</v>
      </c>
      <c r="P2443" s="81">
        <f t="shared" si="115"/>
        <v>0</v>
      </c>
      <c r="Q2443" s="65"/>
      <c r="R2443" s="67"/>
      <c r="S2443" s="83">
        <f t="shared" si="116"/>
        <v>0</v>
      </c>
    </row>
    <row r="2444" spans="1:19" ht="18" customHeight="1" x14ac:dyDescent="0.25">
      <c r="A2444" s="68"/>
      <c r="B2444" s="69"/>
      <c r="C2444" s="74"/>
      <c r="D2444" s="69"/>
      <c r="E2444" s="68"/>
      <c r="F2444" s="71"/>
      <c r="G2444" s="72"/>
      <c r="H2444" s="73"/>
      <c r="I2444" s="74"/>
      <c r="J2444" s="74"/>
      <c r="K2444" s="74"/>
      <c r="L2444" s="74"/>
      <c r="M2444" s="74"/>
      <c r="N2444" s="74"/>
      <c r="O2444" s="82">
        <f t="shared" si="114"/>
        <v>0</v>
      </c>
      <c r="P2444" s="82">
        <f t="shared" si="115"/>
        <v>0</v>
      </c>
      <c r="Q2444" s="74"/>
      <c r="R2444" s="76"/>
      <c r="S2444" s="84">
        <f t="shared" si="116"/>
        <v>0</v>
      </c>
    </row>
    <row r="2445" spans="1:19" ht="18" customHeight="1" x14ac:dyDescent="0.25">
      <c r="A2445" s="59"/>
      <c r="B2445" s="60"/>
      <c r="C2445" s="65"/>
      <c r="D2445" s="60"/>
      <c r="E2445" s="59"/>
      <c r="F2445" s="62"/>
      <c r="G2445" s="63"/>
      <c r="H2445" s="64"/>
      <c r="I2445" s="65"/>
      <c r="J2445" s="65"/>
      <c r="K2445" s="65"/>
      <c r="L2445" s="65"/>
      <c r="M2445" s="65"/>
      <c r="N2445" s="65"/>
      <c r="O2445" s="81">
        <f t="shared" si="114"/>
        <v>0</v>
      </c>
      <c r="P2445" s="81">
        <f t="shared" si="115"/>
        <v>0</v>
      </c>
      <c r="Q2445" s="65"/>
      <c r="R2445" s="67"/>
      <c r="S2445" s="83">
        <f t="shared" si="116"/>
        <v>0</v>
      </c>
    </row>
    <row r="2446" spans="1:19" ht="18" customHeight="1" x14ac:dyDescent="0.25">
      <c r="A2446" s="68"/>
      <c r="B2446" s="69"/>
      <c r="C2446" s="74"/>
      <c r="D2446" s="69"/>
      <c r="E2446" s="68"/>
      <c r="F2446" s="71"/>
      <c r="G2446" s="72"/>
      <c r="H2446" s="73"/>
      <c r="I2446" s="74"/>
      <c r="J2446" s="74"/>
      <c r="K2446" s="74"/>
      <c r="L2446" s="74"/>
      <c r="M2446" s="74"/>
      <c r="N2446" s="74"/>
      <c r="O2446" s="82">
        <f t="shared" si="114"/>
        <v>0</v>
      </c>
      <c r="P2446" s="82">
        <f t="shared" si="115"/>
        <v>0</v>
      </c>
      <c r="Q2446" s="74"/>
      <c r="R2446" s="76"/>
      <c r="S2446" s="84">
        <f t="shared" si="116"/>
        <v>0</v>
      </c>
    </row>
    <row r="2447" spans="1:19" ht="18" customHeight="1" x14ac:dyDescent="0.25">
      <c r="A2447" s="59"/>
      <c r="B2447" s="60"/>
      <c r="C2447" s="65"/>
      <c r="D2447" s="60"/>
      <c r="E2447" s="59"/>
      <c r="F2447" s="62"/>
      <c r="G2447" s="63"/>
      <c r="H2447" s="64"/>
      <c r="I2447" s="65"/>
      <c r="J2447" s="65"/>
      <c r="K2447" s="65"/>
      <c r="L2447" s="65"/>
      <c r="M2447" s="65"/>
      <c r="N2447" s="65"/>
      <c r="O2447" s="81">
        <f t="shared" si="114"/>
        <v>0</v>
      </c>
      <c r="P2447" s="81">
        <f t="shared" si="115"/>
        <v>0</v>
      </c>
      <c r="Q2447" s="65"/>
      <c r="R2447" s="67"/>
      <c r="S2447" s="83">
        <f t="shared" si="116"/>
        <v>0</v>
      </c>
    </row>
    <row r="2448" spans="1:19" ht="18" customHeight="1" x14ac:dyDescent="0.25">
      <c r="A2448" s="68"/>
      <c r="B2448" s="69"/>
      <c r="C2448" s="74"/>
      <c r="D2448" s="69"/>
      <c r="E2448" s="68"/>
      <c r="F2448" s="71"/>
      <c r="G2448" s="72"/>
      <c r="H2448" s="73"/>
      <c r="I2448" s="74"/>
      <c r="J2448" s="74"/>
      <c r="K2448" s="74"/>
      <c r="L2448" s="74"/>
      <c r="M2448" s="74"/>
      <c r="N2448" s="74"/>
      <c r="O2448" s="82">
        <f t="shared" si="114"/>
        <v>0</v>
      </c>
      <c r="P2448" s="82">
        <f t="shared" si="115"/>
        <v>0</v>
      </c>
      <c r="Q2448" s="74"/>
      <c r="R2448" s="76"/>
      <c r="S2448" s="84">
        <f t="shared" si="116"/>
        <v>0</v>
      </c>
    </row>
    <row r="2449" spans="1:19" ht="18" customHeight="1" x14ac:dyDescent="0.25">
      <c r="A2449" s="59"/>
      <c r="B2449" s="60"/>
      <c r="C2449" s="65"/>
      <c r="D2449" s="60"/>
      <c r="E2449" s="59"/>
      <c r="F2449" s="62"/>
      <c r="G2449" s="63"/>
      <c r="H2449" s="64"/>
      <c r="I2449" s="65"/>
      <c r="J2449" s="65"/>
      <c r="K2449" s="65"/>
      <c r="L2449" s="65"/>
      <c r="M2449" s="65"/>
      <c r="N2449" s="65"/>
      <c r="O2449" s="81">
        <f t="shared" si="114"/>
        <v>0</v>
      </c>
      <c r="P2449" s="81">
        <f t="shared" si="115"/>
        <v>0</v>
      </c>
      <c r="Q2449" s="65"/>
      <c r="R2449" s="67"/>
      <c r="S2449" s="83">
        <f t="shared" si="116"/>
        <v>0</v>
      </c>
    </row>
    <row r="2450" spans="1:19" ht="18" customHeight="1" x14ac:dyDescent="0.25">
      <c r="A2450" s="68"/>
      <c r="B2450" s="69"/>
      <c r="C2450" s="74"/>
      <c r="D2450" s="69"/>
      <c r="E2450" s="68"/>
      <c r="F2450" s="71"/>
      <c r="G2450" s="72"/>
      <c r="H2450" s="73"/>
      <c r="I2450" s="74"/>
      <c r="J2450" s="74"/>
      <c r="K2450" s="74"/>
      <c r="L2450" s="74"/>
      <c r="M2450" s="74"/>
      <c r="N2450" s="74"/>
      <c r="O2450" s="82">
        <f t="shared" si="114"/>
        <v>0</v>
      </c>
      <c r="P2450" s="82">
        <f t="shared" si="115"/>
        <v>0</v>
      </c>
      <c r="Q2450" s="74"/>
      <c r="R2450" s="76"/>
      <c r="S2450" s="84">
        <f t="shared" si="116"/>
        <v>0</v>
      </c>
    </row>
    <row r="2451" spans="1:19" ht="18" customHeight="1" x14ac:dyDescent="0.25">
      <c r="A2451" s="59"/>
      <c r="B2451" s="60"/>
      <c r="C2451" s="65"/>
      <c r="D2451" s="60"/>
      <c r="E2451" s="59"/>
      <c r="F2451" s="62"/>
      <c r="G2451" s="63"/>
      <c r="H2451" s="64"/>
      <c r="I2451" s="65"/>
      <c r="J2451" s="65"/>
      <c r="K2451" s="65"/>
      <c r="L2451" s="65"/>
      <c r="M2451" s="65"/>
      <c r="N2451" s="65"/>
      <c r="O2451" s="81">
        <f t="shared" si="114"/>
        <v>0</v>
      </c>
      <c r="P2451" s="81">
        <f t="shared" si="115"/>
        <v>0</v>
      </c>
      <c r="Q2451" s="65"/>
      <c r="R2451" s="67"/>
      <c r="S2451" s="83">
        <f t="shared" si="116"/>
        <v>0</v>
      </c>
    </row>
    <row r="2452" spans="1:19" ht="18" customHeight="1" x14ac:dyDescent="0.25">
      <c r="A2452" s="68"/>
      <c r="B2452" s="69"/>
      <c r="C2452" s="74"/>
      <c r="D2452" s="69"/>
      <c r="E2452" s="68"/>
      <c r="F2452" s="71"/>
      <c r="G2452" s="72"/>
      <c r="H2452" s="73"/>
      <c r="I2452" s="74"/>
      <c r="J2452" s="74"/>
      <c r="K2452" s="74"/>
      <c r="L2452" s="74"/>
      <c r="M2452" s="74"/>
      <c r="N2452" s="74"/>
      <c r="O2452" s="82">
        <f t="shared" si="114"/>
        <v>0</v>
      </c>
      <c r="P2452" s="82">
        <f t="shared" si="115"/>
        <v>0</v>
      </c>
      <c r="Q2452" s="74"/>
      <c r="R2452" s="76"/>
      <c r="S2452" s="84">
        <f t="shared" si="116"/>
        <v>0</v>
      </c>
    </row>
    <row r="2453" spans="1:19" ht="18" customHeight="1" x14ac:dyDescent="0.25">
      <c r="A2453" s="59"/>
      <c r="B2453" s="60"/>
      <c r="C2453" s="65"/>
      <c r="D2453" s="60"/>
      <c r="E2453" s="59"/>
      <c r="F2453" s="62"/>
      <c r="G2453" s="63"/>
      <c r="H2453" s="64"/>
      <c r="I2453" s="65"/>
      <c r="J2453" s="65"/>
      <c r="K2453" s="65"/>
      <c r="L2453" s="65"/>
      <c r="M2453" s="65"/>
      <c r="N2453" s="65"/>
      <c r="O2453" s="81">
        <f t="shared" si="114"/>
        <v>0</v>
      </c>
      <c r="P2453" s="81">
        <f t="shared" si="115"/>
        <v>0</v>
      </c>
      <c r="Q2453" s="65"/>
      <c r="R2453" s="67"/>
      <c r="S2453" s="83">
        <f t="shared" si="116"/>
        <v>0</v>
      </c>
    </row>
    <row r="2454" spans="1:19" ht="18" customHeight="1" x14ac:dyDescent="0.25">
      <c r="A2454" s="68"/>
      <c r="B2454" s="69"/>
      <c r="C2454" s="74"/>
      <c r="D2454" s="69"/>
      <c r="E2454" s="68"/>
      <c r="F2454" s="71"/>
      <c r="G2454" s="72"/>
      <c r="H2454" s="73"/>
      <c r="I2454" s="74"/>
      <c r="J2454" s="74"/>
      <c r="K2454" s="74"/>
      <c r="L2454" s="74"/>
      <c r="M2454" s="74"/>
      <c r="N2454" s="74"/>
      <c r="O2454" s="82">
        <f t="shared" si="114"/>
        <v>0</v>
      </c>
      <c r="P2454" s="82">
        <f t="shared" si="115"/>
        <v>0</v>
      </c>
      <c r="Q2454" s="74"/>
      <c r="R2454" s="76"/>
      <c r="S2454" s="84">
        <f t="shared" si="116"/>
        <v>0</v>
      </c>
    </row>
    <row r="2455" spans="1:19" ht="18" customHeight="1" x14ac:dyDescent="0.25">
      <c r="A2455" s="59"/>
      <c r="B2455" s="60"/>
      <c r="C2455" s="65"/>
      <c r="D2455" s="60"/>
      <c r="E2455" s="59"/>
      <c r="F2455" s="62"/>
      <c r="G2455" s="63"/>
      <c r="H2455" s="64"/>
      <c r="I2455" s="65"/>
      <c r="J2455" s="65"/>
      <c r="K2455" s="65"/>
      <c r="L2455" s="65"/>
      <c r="M2455" s="65"/>
      <c r="N2455" s="65"/>
      <c r="O2455" s="81">
        <f t="shared" si="114"/>
        <v>0</v>
      </c>
      <c r="P2455" s="81">
        <f t="shared" si="115"/>
        <v>0</v>
      </c>
      <c r="Q2455" s="65"/>
      <c r="R2455" s="67"/>
      <c r="S2455" s="83">
        <f t="shared" si="116"/>
        <v>0</v>
      </c>
    </row>
    <row r="2456" spans="1:19" ht="18" customHeight="1" x14ac:dyDescent="0.25">
      <c r="A2456" s="68"/>
      <c r="B2456" s="69"/>
      <c r="C2456" s="74"/>
      <c r="D2456" s="69"/>
      <c r="E2456" s="68"/>
      <c r="F2456" s="71"/>
      <c r="G2456" s="72"/>
      <c r="H2456" s="73"/>
      <c r="I2456" s="74"/>
      <c r="J2456" s="74"/>
      <c r="K2456" s="74"/>
      <c r="L2456" s="74"/>
      <c r="M2456" s="74"/>
      <c r="N2456" s="74"/>
      <c r="O2456" s="82">
        <f t="shared" si="114"/>
        <v>0</v>
      </c>
      <c r="P2456" s="82">
        <f t="shared" si="115"/>
        <v>0</v>
      </c>
      <c r="Q2456" s="74"/>
      <c r="R2456" s="76"/>
      <c r="S2456" s="84">
        <f t="shared" si="116"/>
        <v>0</v>
      </c>
    </row>
    <row r="2457" spans="1:19" ht="18" customHeight="1" x14ac:dyDescent="0.25">
      <c r="A2457" s="59"/>
      <c r="B2457" s="60"/>
      <c r="C2457" s="65"/>
      <c r="D2457" s="60"/>
      <c r="E2457" s="59"/>
      <c r="F2457" s="62"/>
      <c r="G2457" s="63"/>
      <c r="H2457" s="64"/>
      <c r="I2457" s="65"/>
      <c r="J2457" s="65"/>
      <c r="K2457" s="65"/>
      <c r="L2457" s="65"/>
      <c r="M2457" s="65"/>
      <c r="N2457" s="65"/>
      <c r="O2457" s="81">
        <f t="shared" si="114"/>
        <v>0</v>
      </c>
      <c r="P2457" s="81">
        <f t="shared" si="115"/>
        <v>0</v>
      </c>
      <c r="Q2457" s="65"/>
      <c r="R2457" s="67"/>
      <c r="S2457" s="83">
        <f t="shared" si="116"/>
        <v>0</v>
      </c>
    </row>
    <row r="2458" spans="1:19" ht="18" customHeight="1" x14ac:dyDescent="0.25">
      <c r="A2458" s="68"/>
      <c r="B2458" s="69"/>
      <c r="C2458" s="74"/>
      <c r="D2458" s="69"/>
      <c r="E2458" s="68"/>
      <c r="F2458" s="71"/>
      <c r="G2458" s="72"/>
      <c r="H2458" s="73"/>
      <c r="I2458" s="74"/>
      <c r="J2458" s="74"/>
      <c r="K2458" s="74"/>
      <c r="L2458" s="74"/>
      <c r="M2458" s="74"/>
      <c r="N2458" s="74"/>
      <c r="O2458" s="82">
        <f t="shared" si="114"/>
        <v>0</v>
      </c>
      <c r="P2458" s="82">
        <f t="shared" si="115"/>
        <v>0</v>
      </c>
      <c r="Q2458" s="74"/>
      <c r="R2458" s="76"/>
      <c r="S2458" s="84">
        <f t="shared" si="116"/>
        <v>0</v>
      </c>
    </row>
    <row r="2459" spans="1:19" ht="18" customHeight="1" x14ac:dyDescent="0.25">
      <c r="A2459" s="59"/>
      <c r="B2459" s="60"/>
      <c r="C2459" s="65"/>
      <c r="D2459" s="60"/>
      <c r="E2459" s="59"/>
      <c r="F2459" s="62"/>
      <c r="G2459" s="63"/>
      <c r="H2459" s="64"/>
      <c r="I2459" s="65"/>
      <c r="J2459" s="65"/>
      <c r="K2459" s="65"/>
      <c r="L2459" s="65"/>
      <c r="M2459" s="65"/>
      <c r="N2459" s="65"/>
      <c r="O2459" s="81">
        <f t="shared" si="114"/>
        <v>0</v>
      </c>
      <c r="P2459" s="81">
        <f t="shared" si="115"/>
        <v>0</v>
      </c>
      <c r="Q2459" s="65"/>
      <c r="R2459" s="67"/>
      <c r="S2459" s="83">
        <f t="shared" si="116"/>
        <v>0</v>
      </c>
    </row>
    <row r="2460" spans="1:19" ht="18" customHeight="1" x14ac:dyDescent="0.25">
      <c r="A2460" s="68"/>
      <c r="B2460" s="69"/>
      <c r="C2460" s="74"/>
      <c r="D2460" s="69"/>
      <c r="E2460" s="68"/>
      <c r="F2460" s="71"/>
      <c r="G2460" s="72"/>
      <c r="H2460" s="73"/>
      <c r="I2460" s="74"/>
      <c r="J2460" s="74"/>
      <c r="K2460" s="74"/>
      <c r="L2460" s="74"/>
      <c r="M2460" s="74"/>
      <c r="N2460" s="74"/>
      <c r="O2460" s="82">
        <f t="shared" si="114"/>
        <v>0</v>
      </c>
      <c r="P2460" s="82">
        <f t="shared" si="115"/>
        <v>0</v>
      </c>
      <c r="Q2460" s="74"/>
      <c r="R2460" s="76"/>
      <c r="S2460" s="84">
        <f t="shared" si="116"/>
        <v>0</v>
      </c>
    </row>
    <row r="2461" spans="1:19" ht="18" customHeight="1" x14ac:dyDescent="0.25">
      <c r="A2461" s="59"/>
      <c r="B2461" s="60"/>
      <c r="C2461" s="65"/>
      <c r="D2461" s="60"/>
      <c r="E2461" s="59"/>
      <c r="F2461" s="62"/>
      <c r="G2461" s="63"/>
      <c r="H2461" s="64"/>
      <c r="I2461" s="65"/>
      <c r="J2461" s="65"/>
      <c r="K2461" s="65"/>
      <c r="L2461" s="65"/>
      <c r="M2461" s="65"/>
      <c r="N2461" s="65"/>
      <c r="O2461" s="81">
        <f t="shared" si="114"/>
        <v>0</v>
      </c>
      <c r="P2461" s="81">
        <f t="shared" si="115"/>
        <v>0</v>
      </c>
      <c r="Q2461" s="65"/>
      <c r="R2461" s="67"/>
      <c r="S2461" s="83">
        <f t="shared" si="116"/>
        <v>0</v>
      </c>
    </row>
    <row r="2462" spans="1:19" ht="18" customHeight="1" x14ac:dyDescent="0.25">
      <c r="A2462" s="68"/>
      <c r="B2462" s="69"/>
      <c r="C2462" s="74"/>
      <c r="D2462" s="69"/>
      <c r="E2462" s="68"/>
      <c r="F2462" s="71"/>
      <c r="G2462" s="72"/>
      <c r="H2462" s="73"/>
      <c r="I2462" s="74"/>
      <c r="J2462" s="74"/>
      <c r="K2462" s="74"/>
      <c r="L2462" s="74"/>
      <c r="M2462" s="74"/>
      <c r="N2462" s="74"/>
      <c r="O2462" s="82">
        <f t="shared" si="114"/>
        <v>0</v>
      </c>
      <c r="P2462" s="82">
        <f t="shared" si="115"/>
        <v>0</v>
      </c>
      <c r="Q2462" s="74"/>
      <c r="R2462" s="76"/>
      <c r="S2462" s="84">
        <f t="shared" si="116"/>
        <v>0</v>
      </c>
    </row>
    <row r="2463" spans="1:19" ht="18" customHeight="1" x14ac:dyDescent="0.25">
      <c r="A2463" s="59"/>
      <c r="B2463" s="60"/>
      <c r="C2463" s="65"/>
      <c r="D2463" s="60"/>
      <c r="E2463" s="59"/>
      <c r="F2463" s="62"/>
      <c r="G2463" s="63"/>
      <c r="H2463" s="64"/>
      <c r="I2463" s="65"/>
      <c r="J2463" s="65"/>
      <c r="K2463" s="65"/>
      <c r="L2463" s="65"/>
      <c r="M2463" s="65"/>
      <c r="N2463" s="65"/>
      <c r="O2463" s="81">
        <f t="shared" si="114"/>
        <v>0</v>
      </c>
      <c r="P2463" s="81">
        <f t="shared" si="115"/>
        <v>0</v>
      </c>
      <c r="Q2463" s="65"/>
      <c r="R2463" s="67"/>
      <c r="S2463" s="83">
        <f t="shared" si="116"/>
        <v>0</v>
      </c>
    </row>
    <row r="2464" spans="1:19" ht="18" customHeight="1" x14ac:dyDescent="0.25">
      <c r="A2464" s="68"/>
      <c r="B2464" s="69"/>
      <c r="C2464" s="74"/>
      <c r="D2464" s="69"/>
      <c r="E2464" s="68"/>
      <c r="F2464" s="71"/>
      <c r="G2464" s="72"/>
      <c r="H2464" s="73"/>
      <c r="I2464" s="74"/>
      <c r="J2464" s="74"/>
      <c r="K2464" s="74"/>
      <c r="L2464" s="74"/>
      <c r="M2464" s="74"/>
      <c r="N2464" s="74"/>
      <c r="O2464" s="82">
        <f t="shared" si="114"/>
        <v>0</v>
      </c>
      <c r="P2464" s="82">
        <f t="shared" si="115"/>
        <v>0</v>
      </c>
      <c r="Q2464" s="74"/>
      <c r="R2464" s="76"/>
      <c r="S2464" s="84">
        <f t="shared" si="116"/>
        <v>0</v>
      </c>
    </row>
    <row r="2465" spans="1:19" ht="18" customHeight="1" x14ac:dyDescent="0.25">
      <c r="A2465" s="59"/>
      <c r="B2465" s="60"/>
      <c r="C2465" s="65"/>
      <c r="D2465" s="60"/>
      <c r="E2465" s="59"/>
      <c r="F2465" s="62"/>
      <c r="G2465" s="63"/>
      <c r="H2465" s="64"/>
      <c r="I2465" s="65"/>
      <c r="J2465" s="65"/>
      <c r="K2465" s="65"/>
      <c r="L2465" s="65"/>
      <c r="M2465" s="65"/>
      <c r="N2465" s="65"/>
      <c r="O2465" s="81">
        <f t="shared" si="114"/>
        <v>0</v>
      </c>
      <c r="P2465" s="81">
        <f t="shared" si="115"/>
        <v>0</v>
      </c>
      <c r="Q2465" s="65"/>
      <c r="R2465" s="67"/>
      <c r="S2465" s="83">
        <f t="shared" si="116"/>
        <v>0</v>
      </c>
    </row>
    <row r="2466" spans="1:19" ht="18" customHeight="1" x14ac:dyDescent="0.25">
      <c r="A2466" s="68"/>
      <c r="B2466" s="69"/>
      <c r="C2466" s="74"/>
      <c r="D2466" s="69"/>
      <c r="E2466" s="68"/>
      <c r="F2466" s="71"/>
      <c r="G2466" s="72"/>
      <c r="H2466" s="73"/>
      <c r="I2466" s="74"/>
      <c r="J2466" s="74"/>
      <c r="K2466" s="74"/>
      <c r="L2466" s="74"/>
      <c r="M2466" s="74"/>
      <c r="N2466" s="74"/>
      <c r="O2466" s="82">
        <f t="shared" si="114"/>
        <v>0</v>
      </c>
      <c r="P2466" s="82">
        <f t="shared" si="115"/>
        <v>0</v>
      </c>
      <c r="Q2466" s="74"/>
      <c r="R2466" s="76"/>
      <c r="S2466" s="84">
        <f t="shared" si="116"/>
        <v>0</v>
      </c>
    </row>
    <row r="2467" spans="1:19" ht="18" customHeight="1" x14ac:dyDescent="0.25">
      <c r="A2467" s="59"/>
      <c r="B2467" s="60"/>
      <c r="C2467" s="65"/>
      <c r="D2467" s="60"/>
      <c r="E2467" s="59"/>
      <c r="F2467" s="62"/>
      <c r="G2467" s="63"/>
      <c r="H2467" s="64"/>
      <c r="I2467" s="65"/>
      <c r="J2467" s="65"/>
      <c r="K2467" s="65"/>
      <c r="L2467" s="65"/>
      <c r="M2467" s="65"/>
      <c r="N2467" s="65"/>
      <c r="O2467" s="81">
        <f t="shared" si="114"/>
        <v>0</v>
      </c>
      <c r="P2467" s="81">
        <f t="shared" si="115"/>
        <v>0</v>
      </c>
      <c r="Q2467" s="65"/>
      <c r="R2467" s="67"/>
      <c r="S2467" s="83">
        <f t="shared" si="116"/>
        <v>0</v>
      </c>
    </row>
    <row r="2468" spans="1:19" ht="18" customHeight="1" x14ac:dyDescent="0.25">
      <c r="A2468" s="68"/>
      <c r="B2468" s="69"/>
      <c r="C2468" s="74"/>
      <c r="D2468" s="69"/>
      <c r="E2468" s="68"/>
      <c r="F2468" s="71"/>
      <c r="G2468" s="72"/>
      <c r="H2468" s="73"/>
      <c r="I2468" s="74"/>
      <c r="J2468" s="74"/>
      <c r="K2468" s="74"/>
      <c r="L2468" s="74"/>
      <c r="M2468" s="74"/>
      <c r="N2468" s="74"/>
      <c r="O2468" s="82">
        <f t="shared" si="114"/>
        <v>0</v>
      </c>
      <c r="P2468" s="82">
        <f t="shared" si="115"/>
        <v>0</v>
      </c>
      <c r="Q2468" s="74"/>
      <c r="R2468" s="76"/>
      <c r="S2468" s="84">
        <f t="shared" si="116"/>
        <v>0</v>
      </c>
    </row>
    <row r="2469" spans="1:19" ht="18" customHeight="1" x14ac:dyDescent="0.25">
      <c r="A2469" s="59"/>
      <c r="B2469" s="60"/>
      <c r="C2469" s="65"/>
      <c r="D2469" s="60"/>
      <c r="E2469" s="59"/>
      <c r="F2469" s="62"/>
      <c r="G2469" s="63"/>
      <c r="H2469" s="64"/>
      <c r="I2469" s="65"/>
      <c r="J2469" s="65"/>
      <c r="K2469" s="65"/>
      <c r="L2469" s="65"/>
      <c r="M2469" s="65"/>
      <c r="N2469" s="65"/>
      <c r="O2469" s="81">
        <f t="shared" si="114"/>
        <v>0</v>
      </c>
      <c r="P2469" s="81">
        <f t="shared" si="115"/>
        <v>0</v>
      </c>
      <c r="Q2469" s="65"/>
      <c r="R2469" s="67"/>
      <c r="S2469" s="83">
        <f t="shared" si="116"/>
        <v>0</v>
      </c>
    </row>
    <row r="2470" spans="1:19" ht="18" customHeight="1" x14ac:dyDescent="0.25">
      <c r="A2470" s="68"/>
      <c r="B2470" s="69"/>
      <c r="C2470" s="74"/>
      <c r="D2470" s="69"/>
      <c r="E2470" s="68"/>
      <c r="F2470" s="71"/>
      <c r="G2470" s="72"/>
      <c r="H2470" s="73"/>
      <c r="I2470" s="74"/>
      <c r="J2470" s="74"/>
      <c r="K2470" s="74"/>
      <c r="L2470" s="74"/>
      <c r="M2470" s="74"/>
      <c r="N2470" s="74"/>
      <c r="O2470" s="82">
        <f t="shared" si="114"/>
        <v>0</v>
      </c>
      <c r="P2470" s="82">
        <f t="shared" si="115"/>
        <v>0</v>
      </c>
      <c r="Q2470" s="74"/>
      <c r="R2470" s="76"/>
      <c r="S2470" s="84">
        <f t="shared" si="116"/>
        <v>0</v>
      </c>
    </row>
    <row r="2471" spans="1:19" ht="18" customHeight="1" x14ac:dyDescent="0.25">
      <c r="A2471" s="59"/>
      <c r="B2471" s="60"/>
      <c r="C2471" s="65"/>
      <c r="D2471" s="60"/>
      <c r="E2471" s="59"/>
      <c r="F2471" s="62"/>
      <c r="G2471" s="63"/>
      <c r="H2471" s="64"/>
      <c r="I2471" s="65"/>
      <c r="J2471" s="65"/>
      <c r="K2471" s="65"/>
      <c r="L2471" s="65"/>
      <c r="M2471" s="65"/>
      <c r="N2471" s="65"/>
      <c r="O2471" s="81">
        <f t="shared" si="114"/>
        <v>0</v>
      </c>
      <c r="P2471" s="81">
        <f t="shared" si="115"/>
        <v>0</v>
      </c>
      <c r="Q2471" s="65"/>
      <c r="R2471" s="67"/>
      <c r="S2471" s="83">
        <f t="shared" si="116"/>
        <v>0</v>
      </c>
    </row>
    <row r="2472" spans="1:19" ht="18" customHeight="1" x14ac:dyDescent="0.25">
      <c r="A2472" s="68"/>
      <c r="B2472" s="69"/>
      <c r="C2472" s="74"/>
      <c r="D2472" s="69"/>
      <c r="E2472" s="68"/>
      <c r="F2472" s="71"/>
      <c r="G2472" s="72"/>
      <c r="H2472" s="73"/>
      <c r="I2472" s="74"/>
      <c r="J2472" s="74"/>
      <c r="K2472" s="74"/>
      <c r="L2472" s="74"/>
      <c r="M2472" s="74"/>
      <c r="N2472" s="74"/>
      <c r="O2472" s="82">
        <f t="shared" si="114"/>
        <v>0</v>
      </c>
      <c r="P2472" s="82">
        <f t="shared" si="115"/>
        <v>0</v>
      </c>
      <c r="Q2472" s="74"/>
      <c r="R2472" s="76"/>
      <c r="S2472" s="84">
        <f t="shared" si="116"/>
        <v>0</v>
      </c>
    </row>
    <row r="2473" spans="1:19" ht="18" customHeight="1" x14ac:dyDescent="0.25">
      <c r="A2473" s="59"/>
      <c r="B2473" s="60"/>
      <c r="C2473" s="65"/>
      <c r="D2473" s="60"/>
      <c r="E2473" s="59"/>
      <c r="F2473" s="62"/>
      <c r="G2473" s="63"/>
      <c r="H2473" s="64"/>
      <c r="I2473" s="65"/>
      <c r="J2473" s="65"/>
      <c r="K2473" s="65"/>
      <c r="L2473" s="65"/>
      <c r="M2473" s="65"/>
      <c r="N2473" s="65"/>
      <c r="O2473" s="81">
        <f t="shared" si="114"/>
        <v>0</v>
      </c>
      <c r="P2473" s="81">
        <f t="shared" si="115"/>
        <v>0</v>
      </c>
      <c r="Q2473" s="65"/>
      <c r="R2473" s="67"/>
      <c r="S2473" s="83">
        <f t="shared" si="116"/>
        <v>0</v>
      </c>
    </row>
    <row r="2474" spans="1:19" ht="18" customHeight="1" x14ac:dyDescent="0.25">
      <c r="A2474" s="68"/>
      <c r="B2474" s="69"/>
      <c r="C2474" s="74"/>
      <c r="D2474" s="69"/>
      <c r="E2474" s="68"/>
      <c r="F2474" s="71"/>
      <c r="G2474" s="72"/>
      <c r="H2474" s="73"/>
      <c r="I2474" s="74"/>
      <c r="J2474" s="74"/>
      <c r="K2474" s="74"/>
      <c r="L2474" s="74"/>
      <c r="M2474" s="74"/>
      <c r="N2474" s="74"/>
      <c r="O2474" s="82">
        <f t="shared" si="114"/>
        <v>0</v>
      </c>
      <c r="P2474" s="82">
        <f t="shared" si="115"/>
        <v>0</v>
      </c>
      <c r="Q2474" s="74"/>
      <c r="R2474" s="76"/>
      <c r="S2474" s="84">
        <f t="shared" si="116"/>
        <v>0</v>
      </c>
    </row>
    <row r="2475" spans="1:19" ht="18" customHeight="1" x14ac:dyDescent="0.25">
      <c r="A2475" s="59"/>
      <c r="B2475" s="60"/>
      <c r="C2475" s="65"/>
      <c r="D2475" s="60"/>
      <c r="E2475" s="59"/>
      <c r="F2475" s="62"/>
      <c r="G2475" s="63"/>
      <c r="H2475" s="64"/>
      <c r="I2475" s="65"/>
      <c r="J2475" s="65"/>
      <c r="K2475" s="65"/>
      <c r="L2475" s="65"/>
      <c r="M2475" s="65"/>
      <c r="N2475" s="65"/>
      <c r="O2475" s="81">
        <f t="shared" si="114"/>
        <v>0</v>
      </c>
      <c r="P2475" s="81">
        <f t="shared" si="115"/>
        <v>0</v>
      </c>
      <c r="Q2475" s="65"/>
      <c r="R2475" s="67"/>
      <c r="S2475" s="83">
        <f t="shared" si="116"/>
        <v>0</v>
      </c>
    </row>
    <row r="2476" spans="1:19" ht="18" customHeight="1" x14ac:dyDescent="0.25">
      <c r="A2476" s="68"/>
      <c r="B2476" s="69"/>
      <c r="C2476" s="74"/>
      <c r="D2476" s="69"/>
      <c r="E2476" s="68"/>
      <c r="F2476" s="71"/>
      <c r="G2476" s="72"/>
      <c r="H2476" s="73"/>
      <c r="I2476" s="74"/>
      <c r="J2476" s="74"/>
      <c r="K2476" s="74"/>
      <c r="L2476" s="74"/>
      <c r="M2476" s="74"/>
      <c r="N2476" s="74"/>
      <c r="O2476" s="82">
        <f t="shared" si="114"/>
        <v>0</v>
      </c>
      <c r="P2476" s="82">
        <f t="shared" si="115"/>
        <v>0</v>
      </c>
      <c r="Q2476" s="74"/>
      <c r="R2476" s="76"/>
      <c r="S2476" s="84">
        <f t="shared" si="116"/>
        <v>0</v>
      </c>
    </row>
    <row r="2477" spans="1:19" ht="18" customHeight="1" x14ac:dyDescent="0.25">
      <c r="A2477" s="59"/>
      <c r="B2477" s="60"/>
      <c r="C2477" s="65"/>
      <c r="D2477" s="60"/>
      <c r="E2477" s="59"/>
      <c r="F2477" s="62"/>
      <c r="G2477" s="63"/>
      <c r="H2477" s="64"/>
      <c r="I2477" s="65"/>
      <c r="J2477" s="65"/>
      <c r="K2477" s="65"/>
      <c r="L2477" s="65"/>
      <c r="M2477" s="65"/>
      <c r="N2477" s="65"/>
      <c r="O2477" s="81">
        <f t="shared" si="114"/>
        <v>0</v>
      </c>
      <c r="P2477" s="81">
        <f t="shared" si="115"/>
        <v>0</v>
      </c>
      <c r="Q2477" s="65"/>
      <c r="R2477" s="67"/>
      <c r="S2477" s="83">
        <f t="shared" si="116"/>
        <v>0</v>
      </c>
    </row>
    <row r="2478" spans="1:19" ht="18" customHeight="1" x14ac:dyDescent="0.25">
      <c r="A2478" s="68"/>
      <c r="B2478" s="69"/>
      <c r="C2478" s="74"/>
      <c r="D2478" s="69"/>
      <c r="E2478" s="68"/>
      <c r="F2478" s="71"/>
      <c r="G2478" s="72"/>
      <c r="H2478" s="73"/>
      <c r="I2478" s="74"/>
      <c r="J2478" s="74"/>
      <c r="K2478" s="74"/>
      <c r="L2478" s="74"/>
      <c r="M2478" s="74"/>
      <c r="N2478" s="74"/>
      <c r="O2478" s="82">
        <f t="shared" si="114"/>
        <v>0</v>
      </c>
      <c r="P2478" s="82">
        <f t="shared" si="115"/>
        <v>0</v>
      </c>
      <c r="Q2478" s="74"/>
      <c r="R2478" s="76"/>
      <c r="S2478" s="84">
        <f t="shared" si="116"/>
        <v>0</v>
      </c>
    </row>
    <row r="2479" spans="1:19" ht="18" customHeight="1" x14ac:dyDescent="0.25">
      <c r="A2479" s="59"/>
      <c r="B2479" s="60"/>
      <c r="C2479" s="65"/>
      <c r="D2479" s="60"/>
      <c r="E2479" s="59"/>
      <c r="F2479" s="62"/>
      <c r="G2479" s="63"/>
      <c r="H2479" s="64"/>
      <c r="I2479" s="65"/>
      <c r="J2479" s="65"/>
      <c r="K2479" s="65"/>
      <c r="L2479" s="65"/>
      <c r="M2479" s="65"/>
      <c r="N2479" s="65"/>
      <c r="O2479" s="81">
        <f t="shared" si="114"/>
        <v>0</v>
      </c>
      <c r="P2479" s="81">
        <f t="shared" si="115"/>
        <v>0</v>
      </c>
      <c r="Q2479" s="65"/>
      <c r="R2479" s="67"/>
      <c r="S2479" s="83">
        <f t="shared" si="116"/>
        <v>0</v>
      </c>
    </row>
    <row r="2480" spans="1:19" ht="18" customHeight="1" x14ac:dyDescent="0.25">
      <c r="A2480" s="68"/>
      <c r="B2480" s="69"/>
      <c r="C2480" s="74"/>
      <c r="D2480" s="69"/>
      <c r="E2480" s="68"/>
      <c r="F2480" s="71"/>
      <c r="G2480" s="72"/>
      <c r="H2480" s="73"/>
      <c r="I2480" s="74"/>
      <c r="J2480" s="74"/>
      <c r="K2480" s="74"/>
      <c r="L2480" s="74"/>
      <c r="M2480" s="74"/>
      <c r="N2480" s="74"/>
      <c r="O2480" s="82">
        <f t="shared" si="114"/>
        <v>0</v>
      </c>
      <c r="P2480" s="82">
        <f t="shared" si="115"/>
        <v>0</v>
      </c>
      <c r="Q2480" s="74"/>
      <c r="R2480" s="76"/>
      <c r="S2480" s="84">
        <f t="shared" si="116"/>
        <v>0</v>
      </c>
    </row>
    <row r="2481" spans="1:19" ht="18" customHeight="1" x14ac:dyDescent="0.25">
      <c r="A2481" s="59"/>
      <c r="B2481" s="60"/>
      <c r="C2481" s="65"/>
      <c r="D2481" s="60"/>
      <c r="E2481" s="59"/>
      <c r="F2481" s="62"/>
      <c r="G2481" s="63"/>
      <c r="H2481" s="64"/>
      <c r="I2481" s="65"/>
      <c r="J2481" s="65"/>
      <c r="K2481" s="65"/>
      <c r="L2481" s="65"/>
      <c r="M2481" s="65"/>
      <c r="N2481" s="65"/>
      <c r="O2481" s="81">
        <f t="shared" si="114"/>
        <v>0</v>
      </c>
      <c r="P2481" s="81">
        <f t="shared" si="115"/>
        <v>0</v>
      </c>
      <c r="Q2481" s="65"/>
      <c r="R2481" s="67"/>
      <c r="S2481" s="83">
        <f t="shared" si="116"/>
        <v>0</v>
      </c>
    </row>
    <row r="2482" spans="1:19" ht="18" customHeight="1" x14ac:dyDescent="0.25">
      <c r="A2482" s="68"/>
      <c r="B2482" s="69"/>
      <c r="C2482" s="74"/>
      <c r="D2482" s="69"/>
      <c r="E2482" s="68"/>
      <c r="F2482" s="71"/>
      <c r="G2482" s="72"/>
      <c r="H2482" s="73"/>
      <c r="I2482" s="74"/>
      <c r="J2482" s="74"/>
      <c r="K2482" s="74"/>
      <c r="L2482" s="74"/>
      <c r="M2482" s="74"/>
      <c r="N2482" s="74"/>
      <c r="O2482" s="82">
        <f t="shared" si="114"/>
        <v>0</v>
      </c>
      <c r="P2482" s="82">
        <f t="shared" si="115"/>
        <v>0</v>
      </c>
      <c r="Q2482" s="74"/>
      <c r="R2482" s="76"/>
      <c r="S2482" s="84">
        <f t="shared" si="116"/>
        <v>0</v>
      </c>
    </row>
    <row r="2483" spans="1:19" ht="18" customHeight="1" x14ac:dyDescent="0.25">
      <c r="A2483" s="59"/>
      <c r="B2483" s="60"/>
      <c r="C2483" s="65"/>
      <c r="D2483" s="60"/>
      <c r="E2483" s="59"/>
      <c r="F2483" s="62"/>
      <c r="G2483" s="63"/>
      <c r="H2483" s="64"/>
      <c r="I2483" s="65"/>
      <c r="J2483" s="65"/>
      <c r="K2483" s="65"/>
      <c r="L2483" s="65"/>
      <c r="M2483" s="65"/>
      <c r="N2483" s="65"/>
      <c r="O2483" s="81">
        <f t="shared" si="114"/>
        <v>0</v>
      </c>
      <c r="P2483" s="81">
        <f t="shared" si="115"/>
        <v>0</v>
      </c>
      <c r="Q2483" s="65"/>
      <c r="R2483" s="67"/>
      <c r="S2483" s="83">
        <f t="shared" si="116"/>
        <v>0</v>
      </c>
    </row>
    <row r="2484" spans="1:19" ht="18" customHeight="1" x14ac:dyDescent="0.25">
      <c r="A2484" s="68"/>
      <c r="B2484" s="69"/>
      <c r="C2484" s="74"/>
      <c r="D2484" s="69"/>
      <c r="E2484" s="68"/>
      <c r="F2484" s="71"/>
      <c r="G2484" s="72"/>
      <c r="H2484" s="73"/>
      <c r="I2484" s="74"/>
      <c r="J2484" s="74"/>
      <c r="K2484" s="74"/>
      <c r="L2484" s="74"/>
      <c r="M2484" s="74"/>
      <c r="N2484" s="74"/>
      <c r="O2484" s="82">
        <f t="shared" si="114"/>
        <v>0</v>
      </c>
      <c r="P2484" s="82">
        <f t="shared" si="115"/>
        <v>0</v>
      </c>
      <c r="Q2484" s="74"/>
      <c r="R2484" s="76"/>
      <c r="S2484" s="84">
        <f t="shared" si="116"/>
        <v>0</v>
      </c>
    </row>
    <row r="2485" spans="1:19" ht="18" customHeight="1" x14ac:dyDescent="0.25">
      <c r="A2485" s="59"/>
      <c r="B2485" s="60"/>
      <c r="C2485" s="65"/>
      <c r="D2485" s="60"/>
      <c r="E2485" s="59"/>
      <c r="F2485" s="62"/>
      <c r="G2485" s="63"/>
      <c r="H2485" s="64"/>
      <c r="I2485" s="65"/>
      <c r="J2485" s="65"/>
      <c r="K2485" s="65"/>
      <c r="L2485" s="65"/>
      <c r="M2485" s="65"/>
      <c r="N2485" s="65"/>
      <c r="O2485" s="81">
        <f t="shared" si="114"/>
        <v>0</v>
      </c>
      <c r="P2485" s="81">
        <f t="shared" si="115"/>
        <v>0</v>
      </c>
      <c r="Q2485" s="65"/>
      <c r="R2485" s="67"/>
      <c r="S2485" s="83">
        <f t="shared" si="116"/>
        <v>0</v>
      </c>
    </row>
    <row r="2486" spans="1:19" ht="18" customHeight="1" x14ac:dyDescent="0.25">
      <c r="A2486" s="68"/>
      <c r="B2486" s="69"/>
      <c r="C2486" s="74"/>
      <c r="D2486" s="69"/>
      <c r="E2486" s="68"/>
      <c r="F2486" s="71"/>
      <c r="G2486" s="72"/>
      <c r="H2486" s="73"/>
      <c r="I2486" s="74"/>
      <c r="J2486" s="74"/>
      <c r="K2486" s="74"/>
      <c r="L2486" s="74"/>
      <c r="M2486" s="74"/>
      <c r="N2486" s="74"/>
      <c r="O2486" s="82">
        <f t="shared" si="114"/>
        <v>0</v>
      </c>
      <c r="P2486" s="82">
        <f t="shared" si="115"/>
        <v>0</v>
      </c>
      <c r="Q2486" s="74"/>
      <c r="R2486" s="76"/>
      <c r="S2486" s="84">
        <f t="shared" si="116"/>
        <v>0</v>
      </c>
    </row>
    <row r="2487" spans="1:19" ht="18" customHeight="1" x14ac:dyDescent="0.25">
      <c r="A2487" s="59"/>
      <c r="B2487" s="60"/>
      <c r="C2487" s="65"/>
      <c r="D2487" s="60"/>
      <c r="E2487" s="59"/>
      <c r="F2487" s="62"/>
      <c r="G2487" s="63"/>
      <c r="H2487" s="64"/>
      <c r="I2487" s="65"/>
      <c r="J2487" s="65"/>
      <c r="K2487" s="65"/>
      <c r="L2487" s="65"/>
      <c r="M2487" s="65"/>
      <c r="N2487" s="65"/>
      <c r="O2487" s="81">
        <f t="shared" si="114"/>
        <v>0</v>
      </c>
      <c r="P2487" s="81">
        <f t="shared" si="115"/>
        <v>0</v>
      </c>
      <c r="Q2487" s="65"/>
      <c r="R2487" s="67"/>
      <c r="S2487" s="83">
        <f t="shared" si="116"/>
        <v>0</v>
      </c>
    </row>
    <row r="2488" spans="1:19" ht="18" customHeight="1" x14ac:dyDescent="0.25">
      <c r="A2488" s="68"/>
      <c r="B2488" s="69"/>
      <c r="C2488" s="74"/>
      <c r="D2488" s="69"/>
      <c r="E2488" s="68"/>
      <c r="F2488" s="71"/>
      <c r="G2488" s="72"/>
      <c r="H2488" s="73"/>
      <c r="I2488" s="74"/>
      <c r="J2488" s="74"/>
      <c r="K2488" s="74"/>
      <c r="L2488" s="74"/>
      <c r="M2488" s="74"/>
      <c r="N2488" s="74"/>
      <c r="O2488" s="82">
        <f t="shared" si="114"/>
        <v>0</v>
      </c>
      <c r="P2488" s="82">
        <f t="shared" si="115"/>
        <v>0</v>
      </c>
      <c r="Q2488" s="74"/>
      <c r="R2488" s="76"/>
      <c r="S2488" s="84">
        <f t="shared" si="116"/>
        <v>0</v>
      </c>
    </row>
    <row r="2489" spans="1:19" ht="18" customHeight="1" x14ac:dyDescent="0.25">
      <c r="A2489" s="59"/>
      <c r="B2489" s="60"/>
      <c r="C2489" s="65"/>
      <c r="D2489" s="60"/>
      <c r="E2489" s="59"/>
      <c r="F2489" s="62"/>
      <c r="G2489" s="63"/>
      <c r="H2489" s="64"/>
      <c r="I2489" s="65"/>
      <c r="J2489" s="65"/>
      <c r="K2489" s="65"/>
      <c r="L2489" s="65"/>
      <c r="M2489" s="65"/>
      <c r="N2489" s="65"/>
      <c r="O2489" s="81">
        <f t="shared" si="114"/>
        <v>0</v>
      </c>
      <c r="P2489" s="81">
        <f t="shared" si="115"/>
        <v>0</v>
      </c>
      <c r="Q2489" s="65"/>
      <c r="R2489" s="67"/>
      <c r="S2489" s="83">
        <f t="shared" si="116"/>
        <v>0</v>
      </c>
    </row>
    <row r="2490" spans="1:19" ht="18" customHeight="1" x14ac:dyDescent="0.25">
      <c r="A2490" s="68"/>
      <c r="B2490" s="69"/>
      <c r="C2490" s="74"/>
      <c r="D2490" s="69"/>
      <c r="E2490" s="68"/>
      <c r="F2490" s="71"/>
      <c r="G2490" s="72"/>
      <c r="H2490" s="73"/>
      <c r="I2490" s="74"/>
      <c r="J2490" s="74"/>
      <c r="K2490" s="74"/>
      <c r="L2490" s="74"/>
      <c r="M2490" s="74"/>
      <c r="N2490" s="74"/>
      <c r="O2490" s="82">
        <f t="shared" si="114"/>
        <v>0</v>
      </c>
      <c r="P2490" s="82">
        <f t="shared" si="115"/>
        <v>0</v>
      </c>
      <c r="Q2490" s="74"/>
      <c r="R2490" s="76"/>
      <c r="S2490" s="84">
        <f t="shared" si="116"/>
        <v>0</v>
      </c>
    </row>
    <row r="2491" spans="1:19" ht="18" customHeight="1" x14ac:dyDescent="0.25">
      <c r="A2491" s="59"/>
      <c r="B2491" s="60"/>
      <c r="C2491" s="65"/>
      <c r="D2491" s="60"/>
      <c r="E2491" s="59"/>
      <c r="F2491" s="62"/>
      <c r="G2491" s="63"/>
      <c r="H2491" s="64"/>
      <c r="I2491" s="65"/>
      <c r="J2491" s="65"/>
      <c r="K2491" s="65"/>
      <c r="L2491" s="65"/>
      <c r="M2491" s="65"/>
      <c r="N2491" s="65"/>
      <c r="O2491" s="81">
        <f t="shared" si="114"/>
        <v>0</v>
      </c>
      <c r="P2491" s="81">
        <f t="shared" si="115"/>
        <v>0</v>
      </c>
      <c r="Q2491" s="65"/>
      <c r="R2491" s="67"/>
      <c r="S2491" s="83">
        <f t="shared" si="116"/>
        <v>0</v>
      </c>
    </row>
    <row r="2492" spans="1:19" ht="18" customHeight="1" x14ac:dyDescent="0.25">
      <c r="A2492" s="68"/>
      <c r="B2492" s="69"/>
      <c r="C2492" s="74"/>
      <c r="D2492" s="69"/>
      <c r="E2492" s="68"/>
      <c r="F2492" s="71"/>
      <c r="G2492" s="72"/>
      <c r="H2492" s="73"/>
      <c r="I2492" s="74"/>
      <c r="J2492" s="74"/>
      <c r="K2492" s="74"/>
      <c r="L2492" s="74"/>
      <c r="M2492" s="74"/>
      <c r="N2492" s="74"/>
      <c r="O2492" s="82">
        <f t="shared" si="114"/>
        <v>0</v>
      </c>
      <c r="P2492" s="82">
        <f t="shared" si="115"/>
        <v>0</v>
      </c>
      <c r="Q2492" s="74"/>
      <c r="R2492" s="76"/>
      <c r="S2492" s="84">
        <f t="shared" si="116"/>
        <v>0</v>
      </c>
    </row>
    <row r="2493" spans="1:19" ht="18" customHeight="1" x14ac:dyDescent="0.25">
      <c r="A2493" s="59"/>
      <c r="B2493" s="60"/>
      <c r="C2493" s="65"/>
      <c r="D2493" s="60"/>
      <c r="E2493" s="59"/>
      <c r="F2493" s="62"/>
      <c r="G2493" s="63"/>
      <c r="H2493" s="64"/>
      <c r="I2493" s="65"/>
      <c r="J2493" s="65"/>
      <c r="K2493" s="65"/>
      <c r="L2493" s="65"/>
      <c r="M2493" s="65"/>
      <c r="N2493" s="65"/>
      <c r="O2493" s="81">
        <f t="shared" si="114"/>
        <v>0</v>
      </c>
      <c r="P2493" s="81">
        <f t="shared" si="115"/>
        <v>0</v>
      </c>
      <c r="Q2493" s="65"/>
      <c r="R2493" s="67"/>
      <c r="S2493" s="83">
        <f t="shared" si="116"/>
        <v>0</v>
      </c>
    </row>
    <row r="2494" spans="1:19" ht="18" customHeight="1" x14ac:dyDescent="0.25">
      <c r="A2494" s="68"/>
      <c r="B2494" s="69"/>
      <c r="C2494" s="74"/>
      <c r="D2494" s="69"/>
      <c r="E2494" s="68"/>
      <c r="F2494" s="71"/>
      <c r="G2494" s="72"/>
      <c r="H2494" s="73"/>
      <c r="I2494" s="74"/>
      <c r="J2494" s="74"/>
      <c r="K2494" s="74"/>
      <c r="L2494" s="74"/>
      <c r="M2494" s="74"/>
      <c r="N2494" s="74"/>
      <c r="O2494" s="82">
        <f t="shared" si="114"/>
        <v>0</v>
      </c>
      <c r="P2494" s="82">
        <f t="shared" si="115"/>
        <v>0</v>
      </c>
      <c r="Q2494" s="74"/>
      <c r="R2494" s="76"/>
      <c r="S2494" s="84">
        <f t="shared" si="116"/>
        <v>0</v>
      </c>
    </row>
    <row r="2495" spans="1:19" ht="18" customHeight="1" x14ac:dyDescent="0.25">
      <c r="A2495" s="59"/>
      <c r="B2495" s="60"/>
      <c r="C2495" s="65"/>
      <c r="D2495" s="60"/>
      <c r="E2495" s="59"/>
      <c r="F2495" s="62"/>
      <c r="G2495" s="63"/>
      <c r="H2495" s="64"/>
      <c r="I2495" s="65"/>
      <c r="J2495" s="65"/>
      <c r="K2495" s="65"/>
      <c r="L2495" s="65"/>
      <c r="M2495" s="65"/>
      <c r="N2495" s="65"/>
      <c r="O2495" s="81">
        <f t="shared" si="114"/>
        <v>0</v>
      </c>
      <c r="P2495" s="81">
        <f t="shared" si="115"/>
        <v>0</v>
      </c>
      <c r="Q2495" s="65"/>
      <c r="R2495" s="67"/>
      <c r="S2495" s="83">
        <f t="shared" si="116"/>
        <v>0</v>
      </c>
    </row>
    <row r="2496" spans="1:19" ht="18" customHeight="1" x14ac:dyDescent="0.25">
      <c r="A2496" s="68"/>
      <c r="B2496" s="69"/>
      <c r="C2496" s="74"/>
      <c r="D2496" s="69"/>
      <c r="E2496" s="68"/>
      <c r="F2496" s="71"/>
      <c r="G2496" s="72"/>
      <c r="H2496" s="73"/>
      <c r="I2496" s="74"/>
      <c r="J2496" s="74"/>
      <c r="K2496" s="74"/>
      <c r="L2496" s="74"/>
      <c r="M2496" s="74"/>
      <c r="N2496" s="74"/>
      <c r="O2496" s="82">
        <f t="shared" si="114"/>
        <v>0</v>
      </c>
      <c r="P2496" s="82">
        <f t="shared" si="115"/>
        <v>0</v>
      </c>
      <c r="Q2496" s="74"/>
      <c r="R2496" s="76"/>
      <c r="S2496" s="84">
        <f t="shared" si="116"/>
        <v>0</v>
      </c>
    </row>
    <row r="2497" spans="1:19" ht="18" customHeight="1" x14ac:dyDescent="0.25">
      <c r="A2497" s="59"/>
      <c r="B2497" s="60"/>
      <c r="C2497" s="65"/>
      <c r="D2497" s="60"/>
      <c r="E2497" s="59"/>
      <c r="F2497" s="62"/>
      <c r="G2497" s="63"/>
      <c r="H2497" s="64"/>
      <c r="I2497" s="65"/>
      <c r="J2497" s="65"/>
      <c r="K2497" s="65"/>
      <c r="L2497" s="65"/>
      <c r="M2497" s="65"/>
      <c r="N2497" s="65"/>
      <c r="O2497" s="81">
        <f t="shared" si="114"/>
        <v>0</v>
      </c>
      <c r="P2497" s="81">
        <f t="shared" si="115"/>
        <v>0</v>
      </c>
      <c r="Q2497" s="65"/>
      <c r="R2497" s="67"/>
      <c r="S2497" s="83">
        <f t="shared" si="116"/>
        <v>0</v>
      </c>
    </row>
    <row r="2498" spans="1:19" ht="18" customHeight="1" x14ac:dyDescent="0.25">
      <c r="A2498" s="68"/>
      <c r="B2498" s="69"/>
      <c r="C2498" s="74"/>
      <c r="D2498" s="69"/>
      <c r="E2498" s="68"/>
      <c r="F2498" s="71"/>
      <c r="G2498" s="72"/>
      <c r="H2498" s="73"/>
      <c r="I2498" s="74"/>
      <c r="J2498" s="74"/>
      <c r="K2498" s="74"/>
      <c r="L2498" s="74"/>
      <c r="M2498" s="74"/>
      <c r="N2498" s="74"/>
      <c r="O2498" s="82">
        <f t="shared" si="114"/>
        <v>0</v>
      </c>
      <c r="P2498" s="82">
        <f t="shared" si="115"/>
        <v>0</v>
      </c>
      <c r="Q2498" s="74"/>
      <c r="R2498" s="76"/>
      <c r="S2498" s="84">
        <f t="shared" si="116"/>
        <v>0</v>
      </c>
    </row>
    <row r="2499" spans="1:19" ht="18" customHeight="1" x14ac:dyDescent="0.25">
      <c r="A2499" s="59"/>
      <c r="B2499" s="60"/>
      <c r="C2499" s="65"/>
      <c r="D2499" s="60"/>
      <c r="E2499" s="59"/>
      <c r="F2499" s="62"/>
      <c r="G2499" s="63"/>
      <c r="H2499" s="64"/>
      <c r="I2499" s="65"/>
      <c r="J2499" s="65"/>
      <c r="K2499" s="65"/>
      <c r="L2499" s="65"/>
      <c r="M2499" s="65"/>
      <c r="N2499" s="65"/>
      <c r="O2499" s="81">
        <f t="shared" si="114"/>
        <v>0</v>
      </c>
      <c r="P2499" s="81">
        <f t="shared" si="115"/>
        <v>0</v>
      </c>
      <c r="Q2499" s="65"/>
      <c r="R2499" s="67"/>
      <c r="S2499" s="83">
        <f t="shared" si="116"/>
        <v>0</v>
      </c>
    </row>
    <row r="2500" spans="1:19" ht="18" customHeight="1" x14ac:dyDescent="0.25">
      <c r="A2500" s="68"/>
      <c r="B2500" s="69"/>
      <c r="C2500" s="74"/>
      <c r="D2500" s="69"/>
      <c r="E2500" s="68"/>
      <c r="F2500" s="71"/>
      <c r="G2500" s="72"/>
      <c r="H2500" s="73"/>
      <c r="I2500" s="74"/>
      <c r="J2500" s="74"/>
      <c r="K2500" s="74"/>
      <c r="L2500" s="74"/>
      <c r="M2500" s="74"/>
      <c r="N2500" s="74"/>
      <c r="O2500" s="82">
        <f t="shared" si="114"/>
        <v>0</v>
      </c>
      <c r="P2500" s="82">
        <f t="shared" si="115"/>
        <v>0</v>
      </c>
      <c r="Q2500" s="74"/>
      <c r="R2500" s="76"/>
      <c r="S2500" s="84">
        <f t="shared" si="116"/>
        <v>0</v>
      </c>
    </row>
    <row r="2501" spans="1:19" ht="18" customHeight="1" x14ac:dyDescent="0.25">
      <c r="A2501" s="59"/>
      <c r="B2501" s="60"/>
      <c r="C2501" s="65"/>
      <c r="D2501" s="60"/>
      <c r="E2501" s="59"/>
      <c r="F2501" s="62"/>
      <c r="G2501" s="63"/>
      <c r="H2501" s="64"/>
      <c r="I2501" s="65"/>
      <c r="J2501" s="65"/>
      <c r="K2501" s="65"/>
      <c r="L2501" s="65"/>
      <c r="M2501" s="65"/>
      <c r="N2501" s="65"/>
      <c r="O2501" s="81">
        <f t="shared" si="114"/>
        <v>0</v>
      </c>
      <c r="P2501" s="81">
        <f t="shared" si="115"/>
        <v>0</v>
      </c>
      <c r="Q2501" s="65"/>
      <c r="R2501" s="67"/>
      <c r="S2501" s="83">
        <f t="shared" si="116"/>
        <v>0</v>
      </c>
    </row>
    <row r="2502" spans="1:19" ht="18" customHeight="1" x14ac:dyDescent="0.25">
      <c r="A2502" s="68"/>
      <c r="B2502" s="69"/>
      <c r="C2502" s="74"/>
      <c r="D2502" s="69"/>
      <c r="E2502" s="68"/>
      <c r="F2502" s="71"/>
      <c r="G2502" s="72"/>
      <c r="H2502" s="73"/>
      <c r="I2502" s="74"/>
      <c r="J2502" s="74"/>
      <c r="K2502" s="74"/>
      <c r="L2502" s="74"/>
      <c r="M2502" s="74"/>
      <c r="N2502" s="74"/>
      <c r="O2502" s="82" t="e">
        <f>#N/A</f>
        <v>#N/A</v>
      </c>
      <c r="P2502" s="82" t="e">
        <f>#N/A</f>
        <v>#N/A</v>
      </c>
      <c r="Q2502" s="74"/>
      <c r="R2502" s="76"/>
      <c r="S2502" s="84">
        <f t="shared" si="116"/>
        <v>0</v>
      </c>
    </row>
    <row r="2503" spans="1:19" ht="18" customHeight="1" x14ac:dyDescent="0.25">
      <c r="A2503" s="59"/>
      <c r="B2503" s="60"/>
      <c r="C2503" s="65"/>
      <c r="D2503" s="60"/>
      <c r="E2503" s="59"/>
      <c r="F2503" s="62"/>
      <c r="G2503" s="63"/>
      <c r="H2503" s="64"/>
      <c r="I2503" s="65"/>
      <c r="J2503" s="65"/>
      <c r="K2503" s="65"/>
      <c r="L2503" s="65"/>
      <c r="M2503" s="65"/>
      <c r="N2503" s="65"/>
      <c r="O2503" s="81">
        <f t="shared" ref="O2503:O2565" si="117">IF(G2503="Reimbursement ","",I2503+J2503+K2503+L2503+M2503)</f>
        <v>0</v>
      </c>
      <c r="P2503" s="81">
        <f t="shared" ref="P2503:P2565" si="118">IF(G2503="Reimbursement ","",H2503-O2503)</f>
        <v>0</v>
      </c>
      <c r="Q2503" s="65"/>
      <c r="R2503" s="67"/>
      <c r="S2503" s="83">
        <f t="shared" ref="S2503:S2566" si="119">IF(OR(R2503="",Q2503=""),0,IF(R2503&gt;Q2503,R2503-Q2503,0))</f>
        <v>0</v>
      </c>
    </row>
    <row r="2504" spans="1:19" ht="18" customHeight="1" x14ac:dyDescent="0.25">
      <c r="A2504" s="68"/>
      <c r="B2504" s="69"/>
      <c r="C2504" s="74"/>
      <c r="D2504" s="69"/>
      <c r="E2504" s="68"/>
      <c r="F2504" s="71"/>
      <c r="G2504" s="72"/>
      <c r="H2504" s="73"/>
      <c r="I2504" s="74"/>
      <c r="J2504" s="74"/>
      <c r="K2504" s="74"/>
      <c r="L2504" s="74"/>
      <c r="M2504" s="74"/>
      <c r="N2504" s="74"/>
      <c r="O2504" s="82">
        <f t="shared" si="117"/>
        <v>0</v>
      </c>
      <c r="P2504" s="82">
        <f t="shared" si="118"/>
        <v>0</v>
      </c>
      <c r="Q2504" s="74"/>
      <c r="R2504" s="76"/>
      <c r="S2504" s="84">
        <f t="shared" si="119"/>
        <v>0</v>
      </c>
    </row>
    <row r="2505" spans="1:19" ht="18" customHeight="1" x14ac:dyDescent="0.25">
      <c r="A2505" s="59"/>
      <c r="B2505" s="60"/>
      <c r="C2505" s="65"/>
      <c r="D2505" s="60"/>
      <c r="E2505" s="59"/>
      <c r="F2505" s="62"/>
      <c r="G2505" s="63"/>
      <c r="H2505" s="64"/>
      <c r="I2505" s="65"/>
      <c r="J2505" s="65"/>
      <c r="K2505" s="65"/>
      <c r="L2505" s="65"/>
      <c r="M2505" s="65"/>
      <c r="N2505" s="65"/>
      <c r="O2505" s="81">
        <f t="shared" si="117"/>
        <v>0</v>
      </c>
      <c r="P2505" s="81">
        <f t="shared" si="118"/>
        <v>0</v>
      </c>
      <c r="Q2505" s="65"/>
      <c r="R2505" s="67"/>
      <c r="S2505" s="83">
        <f t="shared" si="119"/>
        <v>0</v>
      </c>
    </row>
    <row r="2506" spans="1:19" ht="18" customHeight="1" x14ac:dyDescent="0.25">
      <c r="A2506" s="68"/>
      <c r="B2506" s="69"/>
      <c r="C2506" s="74"/>
      <c r="D2506" s="69"/>
      <c r="E2506" s="68"/>
      <c r="F2506" s="71"/>
      <c r="G2506" s="72"/>
      <c r="H2506" s="73"/>
      <c r="I2506" s="74"/>
      <c r="J2506" s="74"/>
      <c r="K2506" s="74"/>
      <c r="L2506" s="74"/>
      <c r="M2506" s="74"/>
      <c r="N2506" s="74"/>
      <c r="O2506" s="82">
        <f t="shared" si="117"/>
        <v>0</v>
      </c>
      <c r="P2506" s="82">
        <f t="shared" si="118"/>
        <v>0</v>
      </c>
      <c r="Q2506" s="74"/>
      <c r="R2506" s="76"/>
      <c r="S2506" s="84">
        <f t="shared" si="119"/>
        <v>0</v>
      </c>
    </row>
    <row r="2507" spans="1:19" ht="18" customHeight="1" x14ac:dyDescent="0.25">
      <c r="A2507" s="59"/>
      <c r="B2507" s="60"/>
      <c r="C2507" s="65"/>
      <c r="D2507" s="60"/>
      <c r="E2507" s="59"/>
      <c r="F2507" s="62"/>
      <c r="G2507" s="63"/>
      <c r="H2507" s="64"/>
      <c r="I2507" s="65"/>
      <c r="J2507" s="65"/>
      <c r="K2507" s="65"/>
      <c r="L2507" s="65"/>
      <c r="M2507" s="65"/>
      <c r="N2507" s="65"/>
      <c r="O2507" s="81">
        <f t="shared" si="117"/>
        <v>0</v>
      </c>
      <c r="P2507" s="81">
        <f t="shared" si="118"/>
        <v>0</v>
      </c>
      <c r="Q2507" s="65"/>
      <c r="R2507" s="67"/>
      <c r="S2507" s="83">
        <f t="shared" si="119"/>
        <v>0</v>
      </c>
    </row>
    <row r="2508" spans="1:19" ht="18" customHeight="1" x14ac:dyDescent="0.25">
      <c r="A2508" s="68"/>
      <c r="B2508" s="69"/>
      <c r="C2508" s="74"/>
      <c r="D2508" s="69"/>
      <c r="E2508" s="68"/>
      <c r="F2508" s="71"/>
      <c r="G2508" s="72"/>
      <c r="H2508" s="73"/>
      <c r="I2508" s="74"/>
      <c r="J2508" s="74"/>
      <c r="K2508" s="74"/>
      <c r="L2508" s="74"/>
      <c r="M2508" s="74"/>
      <c r="N2508" s="74"/>
      <c r="O2508" s="82">
        <f t="shared" si="117"/>
        <v>0</v>
      </c>
      <c r="P2508" s="82">
        <f t="shared" si="118"/>
        <v>0</v>
      </c>
      <c r="Q2508" s="74"/>
      <c r="R2508" s="76"/>
      <c r="S2508" s="84">
        <f t="shared" si="119"/>
        <v>0</v>
      </c>
    </row>
    <row r="2509" spans="1:19" ht="18" customHeight="1" x14ac:dyDescent="0.25">
      <c r="A2509" s="59"/>
      <c r="B2509" s="60"/>
      <c r="C2509" s="65"/>
      <c r="D2509" s="60"/>
      <c r="E2509" s="59"/>
      <c r="F2509" s="62"/>
      <c r="G2509" s="63"/>
      <c r="H2509" s="64"/>
      <c r="I2509" s="65"/>
      <c r="J2509" s="65"/>
      <c r="K2509" s="65"/>
      <c r="L2509" s="65"/>
      <c r="M2509" s="65"/>
      <c r="N2509" s="65"/>
      <c r="O2509" s="81">
        <f t="shared" si="117"/>
        <v>0</v>
      </c>
      <c r="P2509" s="81">
        <f t="shared" si="118"/>
        <v>0</v>
      </c>
      <c r="Q2509" s="65"/>
      <c r="R2509" s="67"/>
      <c r="S2509" s="83">
        <f t="shared" si="119"/>
        <v>0</v>
      </c>
    </row>
    <row r="2510" spans="1:19" ht="18" customHeight="1" x14ac:dyDescent="0.25">
      <c r="A2510" s="68"/>
      <c r="B2510" s="69"/>
      <c r="C2510" s="74"/>
      <c r="D2510" s="69"/>
      <c r="E2510" s="68"/>
      <c r="F2510" s="71"/>
      <c r="G2510" s="72"/>
      <c r="H2510" s="73"/>
      <c r="I2510" s="74"/>
      <c r="J2510" s="74"/>
      <c r="K2510" s="74"/>
      <c r="L2510" s="74"/>
      <c r="M2510" s="74"/>
      <c r="N2510" s="74"/>
      <c r="O2510" s="82">
        <f t="shared" si="117"/>
        <v>0</v>
      </c>
      <c r="P2510" s="82">
        <f t="shared" si="118"/>
        <v>0</v>
      </c>
      <c r="Q2510" s="74"/>
      <c r="R2510" s="76"/>
      <c r="S2510" s="84">
        <f t="shared" si="119"/>
        <v>0</v>
      </c>
    </row>
    <row r="2511" spans="1:19" ht="18" customHeight="1" x14ac:dyDescent="0.25">
      <c r="A2511" s="59"/>
      <c r="B2511" s="60"/>
      <c r="C2511" s="65"/>
      <c r="D2511" s="60"/>
      <c r="E2511" s="59"/>
      <c r="F2511" s="62"/>
      <c r="G2511" s="63"/>
      <c r="H2511" s="64"/>
      <c r="I2511" s="65"/>
      <c r="J2511" s="65"/>
      <c r="K2511" s="65"/>
      <c r="L2511" s="65"/>
      <c r="M2511" s="65"/>
      <c r="N2511" s="65"/>
      <c r="O2511" s="81">
        <f t="shared" si="117"/>
        <v>0</v>
      </c>
      <c r="P2511" s="81">
        <f t="shared" si="118"/>
        <v>0</v>
      </c>
      <c r="Q2511" s="65"/>
      <c r="R2511" s="67"/>
      <c r="S2511" s="83">
        <f t="shared" si="119"/>
        <v>0</v>
      </c>
    </row>
    <row r="2512" spans="1:19" ht="18" customHeight="1" x14ac:dyDescent="0.25">
      <c r="A2512" s="68"/>
      <c r="B2512" s="69"/>
      <c r="C2512" s="74"/>
      <c r="D2512" s="69"/>
      <c r="E2512" s="68"/>
      <c r="F2512" s="71"/>
      <c r="G2512" s="72"/>
      <c r="H2512" s="73"/>
      <c r="I2512" s="74"/>
      <c r="J2512" s="74"/>
      <c r="K2512" s="74"/>
      <c r="L2512" s="74"/>
      <c r="M2512" s="74"/>
      <c r="N2512" s="74"/>
      <c r="O2512" s="82">
        <f t="shared" si="117"/>
        <v>0</v>
      </c>
      <c r="P2512" s="82">
        <f t="shared" si="118"/>
        <v>0</v>
      </c>
      <c r="Q2512" s="74"/>
      <c r="R2512" s="76"/>
      <c r="S2512" s="84">
        <f t="shared" si="119"/>
        <v>0</v>
      </c>
    </row>
    <row r="2513" spans="1:19" ht="18" customHeight="1" x14ac:dyDescent="0.25">
      <c r="A2513" s="59"/>
      <c r="B2513" s="60"/>
      <c r="C2513" s="65"/>
      <c r="D2513" s="60"/>
      <c r="E2513" s="59"/>
      <c r="F2513" s="62"/>
      <c r="G2513" s="63"/>
      <c r="H2513" s="64"/>
      <c r="I2513" s="65"/>
      <c r="J2513" s="65"/>
      <c r="K2513" s="65"/>
      <c r="L2513" s="65"/>
      <c r="M2513" s="65"/>
      <c r="N2513" s="65"/>
      <c r="O2513" s="81">
        <f t="shared" si="117"/>
        <v>0</v>
      </c>
      <c r="P2513" s="81">
        <f t="shared" si="118"/>
        <v>0</v>
      </c>
      <c r="Q2513" s="65"/>
      <c r="R2513" s="67"/>
      <c r="S2513" s="83">
        <f t="shared" si="119"/>
        <v>0</v>
      </c>
    </row>
    <row r="2514" spans="1:19" ht="18" customHeight="1" x14ac:dyDescent="0.25">
      <c r="A2514" s="68"/>
      <c r="B2514" s="69"/>
      <c r="C2514" s="74"/>
      <c r="D2514" s="69"/>
      <c r="E2514" s="68"/>
      <c r="F2514" s="71"/>
      <c r="G2514" s="72"/>
      <c r="H2514" s="73"/>
      <c r="I2514" s="74"/>
      <c r="J2514" s="74"/>
      <c r="K2514" s="74"/>
      <c r="L2514" s="74"/>
      <c r="M2514" s="74"/>
      <c r="N2514" s="74"/>
      <c r="O2514" s="82">
        <f t="shared" si="117"/>
        <v>0</v>
      </c>
      <c r="P2514" s="82">
        <f t="shared" si="118"/>
        <v>0</v>
      </c>
      <c r="Q2514" s="74"/>
      <c r="R2514" s="76"/>
      <c r="S2514" s="84">
        <f t="shared" si="119"/>
        <v>0</v>
      </c>
    </row>
    <row r="2515" spans="1:19" ht="18" customHeight="1" x14ac:dyDescent="0.25">
      <c r="A2515" s="59"/>
      <c r="B2515" s="60"/>
      <c r="C2515" s="65"/>
      <c r="D2515" s="60"/>
      <c r="E2515" s="59"/>
      <c r="F2515" s="62"/>
      <c r="G2515" s="63"/>
      <c r="H2515" s="64"/>
      <c r="I2515" s="65"/>
      <c r="J2515" s="65"/>
      <c r="K2515" s="65"/>
      <c r="L2515" s="65"/>
      <c r="M2515" s="65"/>
      <c r="N2515" s="65"/>
      <c r="O2515" s="81">
        <f t="shared" si="117"/>
        <v>0</v>
      </c>
      <c r="P2515" s="81">
        <f t="shared" si="118"/>
        <v>0</v>
      </c>
      <c r="Q2515" s="65"/>
      <c r="R2515" s="67"/>
      <c r="S2515" s="83">
        <f t="shared" si="119"/>
        <v>0</v>
      </c>
    </row>
    <row r="2516" spans="1:19" ht="18" customHeight="1" x14ac:dyDescent="0.25">
      <c r="A2516" s="68"/>
      <c r="B2516" s="69"/>
      <c r="C2516" s="74"/>
      <c r="D2516" s="69"/>
      <c r="E2516" s="68"/>
      <c r="F2516" s="71"/>
      <c r="G2516" s="72"/>
      <c r="H2516" s="73"/>
      <c r="I2516" s="74"/>
      <c r="J2516" s="74"/>
      <c r="K2516" s="74"/>
      <c r="L2516" s="74"/>
      <c r="M2516" s="74"/>
      <c r="N2516" s="74"/>
      <c r="O2516" s="82">
        <f t="shared" si="117"/>
        <v>0</v>
      </c>
      <c r="P2516" s="82">
        <f t="shared" si="118"/>
        <v>0</v>
      </c>
      <c r="Q2516" s="74"/>
      <c r="R2516" s="76"/>
      <c r="S2516" s="84">
        <f t="shared" si="119"/>
        <v>0</v>
      </c>
    </row>
    <row r="2517" spans="1:19" ht="18" customHeight="1" x14ac:dyDescent="0.25">
      <c r="A2517" s="59"/>
      <c r="B2517" s="60"/>
      <c r="C2517" s="65"/>
      <c r="D2517" s="60"/>
      <c r="E2517" s="59"/>
      <c r="F2517" s="62"/>
      <c r="G2517" s="63"/>
      <c r="H2517" s="64"/>
      <c r="I2517" s="65"/>
      <c r="J2517" s="65"/>
      <c r="K2517" s="65"/>
      <c r="L2517" s="65"/>
      <c r="M2517" s="65"/>
      <c r="N2517" s="65"/>
      <c r="O2517" s="81">
        <f t="shared" si="117"/>
        <v>0</v>
      </c>
      <c r="P2517" s="81">
        <f t="shared" si="118"/>
        <v>0</v>
      </c>
      <c r="Q2517" s="65"/>
      <c r="R2517" s="67"/>
      <c r="S2517" s="83">
        <f t="shared" si="119"/>
        <v>0</v>
      </c>
    </row>
    <row r="2518" spans="1:19" ht="18" customHeight="1" x14ac:dyDescent="0.25">
      <c r="A2518" s="68"/>
      <c r="B2518" s="69"/>
      <c r="C2518" s="74"/>
      <c r="D2518" s="69"/>
      <c r="E2518" s="68"/>
      <c r="F2518" s="71"/>
      <c r="G2518" s="72"/>
      <c r="H2518" s="73"/>
      <c r="I2518" s="74"/>
      <c r="J2518" s="74"/>
      <c r="K2518" s="74"/>
      <c r="L2518" s="74"/>
      <c r="M2518" s="74"/>
      <c r="N2518" s="74"/>
      <c r="O2518" s="82">
        <f t="shared" si="117"/>
        <v>0</v>
      </c>
      <c r="P2518" s="82">
        <f t="shared" si="118"/>
        <v>0</v>
      </c>
      <c r="Q2518" s="74"/>
      <c r="R2518" s="76"/>
      <c r="S2518" s="84">
        <f t="shared" si="119"/>
        <v>0</v>
      </c>
    </row>
    <row r="2519" spans="1:19" ht="18" customHeight="1" x14ac:dyDescent="0.25">
      <c r="A2519" s="59"/>
      <c r="B2519" s="60"/>
      <c r="C2519" s="65"/>
      <c r="D2519" s="60"/>
      <c r="E2519" s="59"/>
      <c r="F2519" s="62"/>
      <c r="G2519" s="63"/>
      <c r="H2519" s="64"/>
      <c r="I2519" s="65"/>
      <c r="J2519" s="65"/>
      <c r="K2519" s="65"/>
      <c r="L2519" s="65"/>
      <c r="M2519" s="65"/>
      <c r="N2519" s="65"/>
      <c r="O2519" s="81">
        <f t="shared" si="117"/>
        <v>0</v>
      </c>
      <c r="P2519" s="81">
        <f t="shared" si="118"/>
        <v>0</v>
      </c>
      <c r="Q2519" s="65"/>
      <c r="R2519" s="67"/>
      <c r="S2519" s="83">
        <f t="shared" si="119"/>
        <v>0</v>
      </c>
    </row>
    <row r="2520" spans="1:19" ht="18" customHeight="1" x14ac:dyDescent="0.25">
      <c r="A2520" s="68"/>
      <c r="B2520" s="69"/>
      <c r="C2520" s="74"/>
      <c r="D2520" s="69"/>
      <c r="E2520" s="68"/>
      <c r="F2520" s="71"/>
      <c r="G2520" s="72"/>
      <c r="H2520" s="73"/>
      <c r="I2520" s="74"/>
      <c r="J2520" s="74"/>
      <c r="K2520" s="74"/>
      <c r="L2520" s="74"/>
      <c r="M2520" s="74"/>
      <c r="N2520" s="74"/>
      <c r="O2520" s="82">
        <f t="shared" si="117"/>
        <v>0</v>
      </c>
      <c r="P2520" s="82">
        <f t="shared" si="118"/>
        <v>0</v>
      </c>
      <c r="Q2520" s="74"/>
      <c r="R2520" s="76"/>
      <c r="S2520" s="84">
        <f t="shared" si="119"/>
        <v>0</v>
      </c>
    </row>
    <row r="2521" spans="1:19" ht="18" customHeight="1" x14ac:dyDescent="0.25">
      <c r="A2521" s="59"/>
      <c r="B2521" s="60"/>
      <c r="C2521" s="65"/>
      <c r="D2521" s="60"/>
      <c r="E2521" s="59"/>
      <c r="F2521" s="62"/>
      <c r="G2521" s="63"/>
      <c r="H2521" s="64"/>
      <c r="I2521" s="65"/>
      <c r="J2521" s="65"/>
      <c r="K2521" s="65"/>
      <c r="L2521" s="65"/>
      <c r="M2521" s="65"/>
      <c r="N2521" s="65"/>
      <c r="O2521" s="81">
        <f t="shared" si="117"/>
        <v>0</v>
      </c>
      <c r="P2521" s="81">
        <f t="shared" si="118"/>
        <v>0</v>
      </c>
      <c r="Q2521" s="65"/>
      <c r="R2521" s="67"/>
      <c r="S2521" s="83">
        <f t="shared" si="119"/>
        <v>0</v>
      </c>
    </row>
    <row r="2522" spans="1:19" ht="18" customHeight="1" x14ac:dyDescent="0.25">
      <c r="A2522" s="68"/>
      <c r="B2522" s="69"/>
      <c r="C2522" s="74"/>
      <c r="D2522" s="69"/>
      <c r="E2522" s="68"/>
      <c r="F2522" s="71"/>
      <c r="G2522" s="72"/>
      <c r="H2522" s="73"/>
      <c r="I2522" s="74"/>
      <c r="J2522" s="74"/>
      <c r="K2522" s="74"/>
      <c r="L2522" s="74"/>
      <c r="M2522" s="74"/>
      <c r="N2522" s="74"/>
      <c r="O2522" s="82">
        <f t="shared" si="117"/>
        <v>0</v>
      </c>
      <c r="P2522" s="82">
        <f t="shared" si="118"/>
        <v>0</v>
      </c>
      <c r="Q2522" s="74"/>
      <c r="R2522" s="76"/>
      <c r="S2522" s="84">
        <f t="shared" si="119"/>
        <v>0</v>
      </c>
    </row>
    <row r="2523" spans="1:19" ht="18" customHeight="1" x14ac:dyDescent="0.25">
      <c r="A2523" s="59"/>
      <c r="B2523" s="60"/>
      <c r="C2523" s="65"/>
      <c r="D2523" s="60"/>
      <c r="E2523" s="59"/>
      <c r="F2523" s="62"/>
      <c r="G2523" s="63"/>
      <c r="H2523" s="64"/>
      <c r="I2523" s="65"/>
      <c r="J2523" s="65"/>
      <c r="K2523" s="65"/>
      <c r="L2523" s="65"/>
      <c r="M2523" s="65"/>
      <c r="N2523" s="65"/>
      <c r="O2523" s="81">
        <f t="shared" si="117"/>
        <v>0</v>
      </c>
      <c r="P2523" s="81">
        <f t="shared" si="118"/>
        <v>0</v>
      </c>
      <c r="Q2523" s="65"/>
      <c r="R2523" s="67"/>
      <c r="S2523" s="83">
        <f t="shared" si="119"/>
        <v>0</v>
      </c>
    </row>
    <row r="2524" spans="1:19" ht="18" customHeight="1" x14ac:dyDescent="0.25">
      <c r="A2524" s="68"/>
      <c r="B2524" s="69"/>
      <c r="C2524" s="74"/>
      <c r="D2524" s="69"/>
      <c r="E2524" s="68"/>
      <c r="F2524" s="71"/>
      <c r="G2524" s="72"/>
      <c r="H2524" s="73"/>
      <c r="I2524" s="74"/>
      <c r="J2524" s="74"/>
      <c r="K2524" s="74"/>
      <c r="L2524" s="74"/>
      <c r="M2524" s="74"/>
      <c r="N2524" s="74"/>
      <c r="O2524" s="82">
        <f t="shared" si="117"/>
        <v>0</v>
      </c>
      <c r="P2524" s="82">
        <f t="shared" si="118"/>
        <v>0</v>
      </c>
      <c r="Q2524" s="74"/>
      <c r="R2524" s="76"/>
      <c r="S2524" s="84">
        <f t="shared" si="119"/>
        <v>0</v>
      </c>
    </row>
    <row r="2525" spans="1:19" ht="18" customHeight="1" x14ac:dyDescent="0.25">
      <c r="A2525" s="59"/>
      <c r="B2525" s="60"/>
      <c r="C2525" s="65"/>
      <c r="D2525" s="60"/>
      <c r="E2525" s="59"/>
      <c r="F2525" s="62"/>
      <c r="G2525" s="63"/>
      <c r="H2525" s="64"/>
      <c r="I2525" s="65"/>
      <c r="J2525" s="65"/>
      <c r="K2525" s="65"/>
      <c r="L2525" s="65"/>
      <c r="M2525" s="65"/>
      <c r="N2525" s="65"/>
      <c r="O2525" s="81">
        <f t="shared" si="117"/>
        <v>0</v>
      </c>
      <c r="P2525" s="81">
        <f t="shared" si="118"/>
        <v>0</v>
      </c>
      <c r="Q2525" s="65"/>
      <c r="R2525" s="67"/>
      <c r="S2525" s="83">
        <f t="shared" si="119"/>
        <v>0</v>
      </c>
    </row>
    <row r="2526" spans="1:19" ht="18" customHeight="1" x14ac:dyDescent="0.25">
      <c r="A2526" s="68"/>
      <c r="B2526" s="69"/>
      <c r="C2526" s="74"/>
      <c r="D2526" s="69"/>
      <c r="E2526" s="68"/>
      <c r="F2526" s="71"/>
      <c r="G2526" s="72"/>
      <c r="H2526" s="73"/>
      <c r="I2526" s="74"/>
      <c r="J2526" s="74"/>
      <c r="K2526" s="74"/>
      <c r="L2526" s="74"/>
      <c r="M2526" s="74"/>
      <c r="N2526" s="74"/>
      <c r="O2526" s="82">
        <f t="shared" si="117"/>
        <v>0</v>
      </c>
      <c r="P2526" s="82">
        <f t="shared" si="118"/>
        <v>0</v>
      </c>
      <c r="Q2526" s="74"/>
      <c r="R2526" s="76"/>
      <c r="S2526" s="84">
        <f t="shared" si="119"/>
        <v>0</v>
      </c>
    </row>
    <row r="2527" spans="1:19" ht="18" customHeight="1" x14ac:dyDescent="0.25">
      <c r="A2527" s="59"/>
      <c r="B2527" s="60"/>
      <c r="C2527" s="65"/>
      <c r="D2527" s="60"/>
      <c r="E2527" s="59"/>
      <c r="F2527" s="62"/>
      <c r="G2527" s="63"/>
      <c r="H2527" s="64"/>
      <c r="I2527" s="65"/>
      <c r="J2527" s="65"/>
      <c r="K2527" s="65"/>
      <c r="L2527" s="65"/>
      <c r="M2527" s="65"/>
      <c r="N2527" s="65"/>
      <c r="O2527" s="81">
        <f t="shared" si="117"/>
        <v>0</v>
      </c>
      <c r="P2527" s="81">
        <f t="shared" si="118"/>
        <v>0</v>
      </c>
      <c r="Q2527" s="65"/>
      <c r="R2527" s="67"/>
      <c r="S2527" s="83">
        <f t="shared" si="119"/>
        <v>0</v>
      </c>
    </row>
    <row r="2528" spans="1:19" ht="18" customHeight="1" x14ac:dyDescent="0.25">
      <c r="A2528" s="68"/>
      <c r="B2528" s="69"/>
      <c r="C2528" s="74"/>
      <c r="D2528" s="69"/>
      <c r="E2528" s="68"/>
      <c r="F2528" s="71"/>
      <c r="G2528" s="72"/>
      <c r="H2528" s="73"/>
      <c r="I2528" s="74"/>
      <c r="J2528" s="74"/>
      <c r="K2528" s="74"/>
      <c r="L2528" s="74"/>
      <c r="M2528" s="74"/>
      <c r="N2528" s="74"/>
      <c r="O2528" s="82">
        <f t="shared" si="117"/>
        <v>0</v>
      </c>
      <c r="P2528" s="82">
        <f t="shared" si="118"/>
        <v>0</v>
      </c>
      <c r="Q2528" s="74"/>
      <c r="R2528" s="76"/>
      <c r="S2528" s="84">
        <f t="shared" si="119"/>
        <v>0</v>
      </c>
    </row>
    <row r="2529" spans="1:19" ht="18" customHeight="1" x14ac:dyDescent="0.25">
      <c r="A2529" s="59"/>
      <c r="B2529" s="60"/>
      <c r="C2529" s="65"/>
      <c r="D2529" s="60"/>
      <c r="E2529" s="59"/>
      <c r="F2529" s="62"/>
      <c r="G2529" s="63"/>
      <c r="H2529" s="64"/>
      <c r="I2529" s="65"/>
      <c r="J2529" s="65"/>
      <c r="K2529" s="65"/>
      <c r="L2529" s="65"/>
      <c r="M2529" s="65"/>
      <c r="N2529" s="65"/>
      <c r="O2529" s="81">
        <f t="shared" si="117"/>
        <v>0</v>
      </c>
      <c r="P2529" s="81">
        <f t="shared" si="118"/>
        <v>0</v>
      </c>
      <c r="Q2529" s="65"/>
      <c r="R2529" s="67"/>
      <c r="S2529" s="83">
        <f t="shared" si="119"/>
        <v>0</v>
      </c>
    </row>
    <row r="2530" spans="1:19" ht="18" customHeight="1" x14ac:dyDescent="0.25">
      <c r="A2530" s="68"/>
      <c r="B2530" s="69"/>
      <c r="C2530" s="74"/>
      <c r="D2530" s="69"/>
      <c r="E2530" s="68"/>
      <c r="F2530" s="71"/>
      <c r="G2530" s="72"/>
      <c r="H2530" s="73"/>
      <c r="I2530" s="74"/>
      <c r="J2530" s="74"/>
      <c r="K2530" s="74"/>
      <c r="L2530" s="74"/>
      <c r="M2530" s="74"/>
      <c r="N2530" s="74"/>
      <c r="O2530" s="82">
        <f t="shared" si="117"/>
        <v>0</v>
      </c>
      <c r="P2530" s="82">
        <f t="shared" si="118"/>
        <v>0</v>
      </c>
      <c r="Q2530" s="74"/>
      <c r="R2530" s="76"/>
      <c r="S2530" s="84">
        <f t="shared" si="119"/>
        <v>0</v>
      </c>
    </row>
    <row r="2531" spans="1:19" ht="18" customHeight="1" x14ac:dyDescent="0.25">
      <c r="A2531" s="59"/>
      <c r="B2531" s="60"/>
      <c r="C2531" s="65"/>
      <c r="D2531" s="60"/>
      <c r="E2531" s="59"/>
      <c r="F2531" s="62"/>
      <c r="G2531" s="63"/>
      <c r="H2531" s="64"/>
      <c r="I2531" s="65"/>
      <c r="J2531" s="65"/>
      <c r="K2531" s="65"/>
      <c r="L2531" s="65"/>
      <c r="M2531" s="65"/>
      <c r="N2531" s="65"/>
      <c r="O2531" s="81">
        <f t="shared" si="117"/>
        <v>0</v>
      </c>
      <c r="P2531" s="81">
        <f t="shared" si="118"/>
        <v>0</v>
      </c>
      <c r="Q2531" s="65"/>
      <c r="R2531" s="67"/>
      <c r="S2531" s="83">
        <f t="shared" si="119"/>
        <v>0</v>
      </c>
    </row>
    <row r="2532" spans="1:19" ht="18" customHeight="1" x14ac:dyDescent="0.25">
      <c r="A2532" s="68"/>
      <c r="B2532" s="69"/>
      <c r="C2532" s="74"/>
      <c r="D2532" s="69"/>
      <c r="E2532" s="68"/>
      <c r="F2532" s="71"/>
      <c r="G2532" s="72"/>
      <c r="H2532" s="73"/>
      <c r="I2532" s="74"/>
      <c r="J2532" s="74"/>
      <c r="K2532" s="74"/>
      <c r="L2532" s="74"/>
      <c r="M2532" s="74"/>
      <c r="N2532" s="74"/>
      <c r="O2532" s="82">
        <f t="shared" si="117"/>
        <v>0</v>
      </c>
      <c r="P2532" s="82">
        <f t="shared" si="118"/>
        <v>0</v>
      </c>
      <c r="Q2532" s="74"/>
      <c r="R2532" s="76"/>
      <c r="S2532" s="84">
        <f t="shared" si="119"/>
        <v>0</v>
      </c>
    </row>
    <row r="2533" spans="1:19" ht="18" customHeight="1" x14ac:dyDescent="0.25">
      <c r="A2533" s="59"/>
      <c r="B2533" s="60"/>
      <c r="C2533" s="65"/>
      <c r="D2533" s="60"/>
      <c r="E2533" s="59"/>
      <c r="F2533" s="62"/>
      <c r="G2533" s="63"/>
      <c r="H2533" s="64"/>
      <c r="I2533" s="65"/>
      <c r="J2533" s="65"/>
      <c r="K2533" s="65"/>
      <c r="L2533" s="65"/>
      <c r="M2533" s="65"/>
      <c r="N2533" s="65"/>
      <c r="O2533" s="81">
        <f t="shared" si="117"/>
        <v>0</v>
      </c>
      <c r="P2533" s="81">
        <f t="shared" si="118"/>
        <v>0</v>
      </c>
      <c r="Q2533" s="65"/>
      <c r="R2533" s="67"/>
      <c r="S2533" s="83">
        <f t="shared" si="119"/>
        <v>0</v>
      </c>
    </row>
    <row r="2534" spans="1:19" ht="18" customHeight="1" x14ac:dyDescent="0.25">
      <c r="A2534" s="68"/>
      <c r="B2534" s="69"/>
      <c r="C2534" s="74"/>
      <c r="D2534" s="69"/>
      <c r="E2534" s="68"/>
      <c r="F2534" s="71"/>
      <c r="G2534" s="72"/>
      <c r="H2534" s="73"/>
      <c r="I2534" s="74"/>
      <c r="J2534" s="74"/>
      <c r="K2534" s="74"/>
      <c r="L2534" s="74"/>
      <c r="M2534" s="74"/>
      <c r="N2534" s="74"/>
      <c r="O2534" s="82">
        <f t="shared" si="117"/>
        <v>0</v>
      </c>
      <c r="P2534" s="82">
        <f t="shared" si="118"/>
        <v>0</v>
      </c>
      <c r="Q2534" s="74"/>
      <c r="R2534" s="76"/>
      <c r="S2534" s="84">
        <f t="shared" si="119"/>
        <v>0</v>
      </c>
    </row>
    <row r="2535" spans="1:19" ht="18" customHeight="1" x14ac:dyDescent="0.25">
      <c r="A2535" s="59"/>
      <c r="B2535" s="60"/>
      <c r="C2535" s="65"/>
      <c r="D2535" s="60"/>
      <c r="E2535" s="59"/>
      <c r="F2535" s="62"/>
      <c r="G2535" s="63"/>
      <c r="H2535" s="64"/>
      <c r="I2535" s="65"/>
      <c r="J2535" s="65"/>
      <c r="K2535" s="65"/>
      <c r="L2535" s="65"/>
      <c r="M2535" s="65"/>
      <c r="N2535" s="65"/>
      <c r="O2535" s="81">
        <f t="shared" si="117"/>
        <v>0</v>
      </c>
      <c r="P2535" s="81">
        <f t="shared" si="118"/>
        <v>0</v>
      </c>
      <c r="Q2535" s="65"/>
      <c r="R2535" s="67"/>
      <c r="S2535" s="83">
        <f t="shared" si="119"/>
        <v>0</v>
      </c>
    </row>
    <row r="2536" spans="1:19" ht="18" customHeight="1" x14ac:dyDescent="0.25">
      <c r="A2536" s="68"/>
      <c r="B2536" s="69"/>
      <c r="C2536" s="74"/>
      <c r="D2536" s="69"/>
      <c r="E2536" s="68"/>
      <c r="F2536" s="71"/>
      <c r="G2536" s="72"/>
      <c r="H2536" s="73"/>
      <c r="I2536" s="74"/>
      <c r="J2536" s="74"/>
      <c r="K2536" s="74"/>
      <c r="L2536" s="74"/>
      <c r="M2536" s="74"/>
      <c r="N2536" s="74"/>
      <c r="O2536" s="82">
        <f t="shared" si="117"/>
        <v>0</v>
      </c>
      <c r="P2536" s="82">
        <f t="shared" si="118"/>
        <v>0</v>
      </c>
      <c r="Q2536" s="74"/>
      <c r="R2536" s="76"/>
      <c r="S2536" s="84">
        <f t="shared" si="119"/>
        <v>0</v>
      </c>
    </row>
    <row r="2537" spans="1:19" ht="18" customHeight="1" x14ac:dyDescent="0.25">
      <c r="A2537" s="59"/>
      <c r="B2537" s="60"/>
      <c r="C2537" s="65"/>
      <c r="D2537" s="60"/>
      <c r="E2537" s="59"/>
      <c r="F2537" s="62"/>
      <c r="G2537" s="63"/>
      <c r="H2537" s="64"/>
      <c r="I2537" s="65"/>
      <c r="J2537" s="65"/>
      <c r="K2537" s="65"/>
      <c r="L2537" s="65"/>
      <c r="M2537" s="65"/>
      <c r="N2537" s="65"/>
      <c r="O2537" s="81">
        <f t="shared" si="117"/>
        <v>0</v>
      </c>
      <c r="P2537" s="81">
        <f t="shared" si="118"/>
        <v>0</v>
      </c>
      <c r="Q2537" s="65"/>
      <c r="R2537" s="67"/>
      <c r="S2537" s="83">
        <f t="shared" si="119"/>
        <v>0</v>
      </c>
    </row>
    <row r="2538" spans="1:19" ht="18" customHeight="1" x14ac:dyDescent="0.25">
      <c r="A2538" s="68"/>
      <c r="B2538" s="69"/>
      <c r="C2538" s="74"/>
      <c r="D2538" s="69"/>
      <c r="E2538" s="68"/>
      <c r="F2538" s="71"/>
      <c r="G2538" s="72"/>
      <c r="H2538" s="73"/>
      <c r="I2538" s="74"/>
      <c r="J2538" s="74"/>
      <c r="K2538" s="74"/>
      <c r="L2538" s="74"/>
      <c r="M2538" s="74"/>
      <c r="N2538" s="74"/>
      <c r="O2538" s="82">
        <f t="shared" si="117"/>
        <v>0</v>
      </c>
      <c r="P2538" s="82">
        <f t="shared" si="118"/>
        <v>0</v>
      </c>
      <c r="Q2538" s="74"/>
      <c r="R2538" s="76"/>
      <c r="S2538" s="84">
        <f t="shared" si="119"/>
        <v>0</v>
      </c>
    </row>
    <row r="2539" spans="1:19" ht="18" customHeight="1" x14ac:dyDescent="0.25">
      <c r="A2539" s="59"/>
      <c r="B2539" s="60"/>
      <c r="C2539" s="65"/>
      <c r="D2539" s="60"/>
      <c r="E2539" s="59"/>
      <c r="F2539" s="62"/>
      <c r="G2539" s="63"/>
      <c r="H2539" s="64"/>
      <c r="I2539" s="65"/>
      <c r="J2539" s="65"/>
      <c r="K2539" s="65"/>
      <c r="L2539" s="65"/>
      <c r="M2539" s="65"/>
      <c r="N2539" s="65"/>
      <c r="O2539" s="81">
        <f t="shared" si="117"/>
        <v>0</v>
      </c>
      <c r="P2539" s="81">
        <f t="shared" si="118"/>
        <v>0</v>
      </c>
      <c r="Q2539" s="65"/>
      <c r="R2539" s="67"/>
      <c r="S2539" s="83">
        <f t="shared" si="119"/>
        <v>0</v>
      </c>
    </row>
    <row r="2540" spans="1:19" ht="18" customHeight="1" x14ac:dyDescent="0.25">
      <c r="A2540" s="68"/>
      <c r="B2540" s="69"/>
      <c r="C2540" s="74"/>
      <c r="D2540" s="69"/>
      <c r="E2540" s="68"/>
      <c r="F2540" s="71"/>
      <c r="G2540" s="72"/>
      <c r="H2540" s="73"/>
      <c r="I2540" s="74"/>
      <c r="J2540" s="74"/>
      <c r="K2540" s="74"/>
      <c r="L2540" s="74"/>
      <c r="M2540" s="74"/>
      <c r="N2540" s="74"/>
      <c r="O2540" s="82">
        <f t="shared" si="117"/>
        <v>0</v>
      </c>
      <c r="P2540" s="82">
        <f t="shared" si="118"/>
        <v>0</v>
      </c>
      <c r="Q2540" s="74"/>
      <c r="R2540" s="76"/>
      <c r="S2540" s="84">
        <f t="shared" si="119"/>
        <v>0</v>
      </c>
    </row>
    <row r="2541" spans="1:19" ht="18" customHeight="1" x14ac:dyDescent="0.25">
      <c r="A2541" s="59"/>
      <c r="B2541" s="60"/>
      <c r="C2541" s="65"/>
      <c r="D2541" s="60"/>
      <c r="E2541" s="59"/>
      <c r="F2541" s="62"/>
      <c r="G2541" s="63"/>
      <c r="H2541" s="64"/>
      <c r="I2541" s="65"/>
      <c r="J2541" s="65"/>
      <c r="K2541" s="65"/>
      <c r="L2541" s="65"/>
      <c r="M2541" s="65"/>
      <c r="N2541" s="65"/>
      <c r="O2541" s="81">
        <f t="shared" si="117"/>
        <v>0</v>
      </c>
      <c r="P2541" s="81">
        <f t="shared" si="118"/>
        <v>0</v>
      </c>
      <c r="Q2541" s="65"/>
      <c r="R2541" s="67"/>
      <c r="S2541" s="83">
        <f t="shared" si="119"/>
        <v>0</v>
      </c>
    </row>
    <row r="2542" spans="1:19" ht="18" customHeight="1" x14ac:dyDescent="0.25">
      <c r="A2542" s="68"/>
      <c r="B2542" s="69"/>
      <c r="C2542" s="74"/>
      <c r="D2542" s="69"/>
      <c r="E2542" s="68"/>
      <c r="F2542" s="71"/>
      <c r="G2542" s="72"/>
      <c r="H2542" s="73"/>
      <c r="I2542" s="74"/>
      <c r="J2542" s="74"/>
      <c r="K2542" s="74"/>
      <c r="L2542" s="74"/>
      <c r="M2542" s="74"/>
      <c r="N2542" s="74"/>
      <c r="O2542" s="82">
        <f t="shared" si="117"/>
        <v>0</v>
      </c>
      <c r="P2542" s="82">
        <f t="shared" si="118"/>
        <v>0</v>
      </c>
      <c r="Q2542" s="74"/>
      <c r="R2542" s="76"/>
      <c r="S2542" s="84">
        <f t="shared" si="119"/>
        <v>0</v>
      </c>
    </row>
    <row r="2543" spans="1:19" ht="18" customHeight="1" x14ac:dyDescent="0.25">
      <c r="A2543" s="59"/>
      <c r="B2543" s="60"/>
      <c r="C2543" s="65"/>
      <c r="D2543" s="60"/>
      <c r="E2543" s="59"/>
      <c r="F2543" s="62"/>
      <c r="G2543" s="63"/>
      <c r="H2543" s="64"/>
      <c r="I2543" s="65"/>
      <c r="J2543" s="65"/>
      <c r="K2543" s="65"/>
      <c r="L2543" s="65"/>
      <c r="M2543" s="65"/>
      <c r="N2543" s="65"/>
      <c r="O2543" s="81">
        <f t="shared" si="117"/>
        <v>0</v>
      </c>
      <c r="P2543" s="81">
        <f t="shared" si="118"/>
        <v>0</v>
      </c>
      <c r="Q2543" s="65"/>
      <c r="R2543" s="67"/>
      <c r="S2543" s="83">
        <f t="shared" si="119"/>
        <v>0</v>
      </c>
    </row>
    <row r="2544" spans="1:19" ht="18" customHeight="1" x14ac:dyDescent="0.25">
      <c r="A2544" s="68"/>
      <c r="B2544" s="69"/>
      <c r="C2544" s="74"/>
      <c r="D2544" s="69"/>
      <c r="E2544" s="68"/>
      <c r="F2544" s="71"/>
      <c r="G2544" s="72"/>
      <c r="H2544" s="73"/>
      <c r="I2544" s="74"/>
      <c r="J2544" s="74"/>
      <c r="K2544" s="74"/>
      <c r="L2544" s="74"/>
      <c r="M2544" s="74"/>
      <c r="N2544" s="74"/>
      <c r="O2544" s="82">
        <f t="shared" si="117"/>
        <v>0</v>
      </c>
      <c r="P2544" s="82">
        <f t="shared" si="118"/>
        <v>0</v>
      </c>
      <c r="Q2544" s="74"/>
      <c r="R2544" s="76"/>
      <c r="S2544" s="84">
        <f t="shared" si="119"/>
        <v>0</v>
      </c>
    </row>
    <row r="2545" spans="1:19" ht="18" customHeight="1" x14ac:dyDescent="0.25">
      <c r="A2545" s="59"/>
      <c r="B2545" s="60"/>
      <c r="C2545" s="65"/>
      <c r="D2545" s="60"/>
      <c r="E2545" s="59"/>
      <c r="F2545" s="62"/>
      <c r="G2545" s="63"/>
      <c r="H2545" s="64"/>
      <c r="I2545" s="65"/>
      <c r="J2545" s="65"/>
      <c r="K2545" s="65"/>
      <c r="L2545" s="65"/>
      <c r="M2545" s="65"/>
      <c r="N2545" s="65"/>
      <c r="O2545" s="81">
        <f t="shared" si="117"/>
        <v>0</v>
      </c>
      <c r="P2545" s="81">
        <f t="shared" si="118"/>
        <v>0</v>
      </c>
      <c r="Q2545" s="65"/>
      <c r="R2545" s="67"/>
      <c r="S2545" s="83">
        <f t="shared" si="119"/>
        <v>0</v>
      </c>
    </row>
    <row r="2546" spans="1:19" ht="18" customHeight="1" x14ac:dyDescent="0.25">
      <c r="A2546" s="68"/>
      <c r="B2546" s="69"/>
      <c r="C2546" s="74"/>
      <c r="D2546" s="69"/>
      <c r="E2546" s="68"/>
      <c r="F2546" s="71"/>
      <c r="G2546" s="72"/>
      <c r="H2546" s="73"/>
      <c r="I2546" s="74"/>
      <c r="J2546" s="74"/>
      <c r="K2546" s="74"/>
      <c r="L2546" s="74"/>
      <c r="M2546" s="74"/>
      <c r="N2546" s="74"/>
      <c r="O2546" s="82">
        <f t="shared" si="117"/>
        <v>0</v>
      </c>
      <c r="P2546" s="82">
        <f t="shared" si="118"/>
        <v>0</v>
      </c>
      <c r="Q2546" s="74"/>
      <c r="R2546" s="76"/>
      <c r="S2546" s="84">
        <f t="shared" si="119"/>
        <v>0</v>
      </c>
    </row>
    <row r="2547" spans="1:19" ht="18" customHeight="1" x14ac:dyDescent="0.25">
      <c r="A2547" s="59"/>
      <c r="B2547" s="60"/>
      <c r="C2547" s="65"/>
      <c r="D2547" s="60"/>
      <c r="E2547" s="59"/>
      <c r="F2547" s="62"/>
      <c r="G2547" s="63"/>
      <c r="H2547" s="64"/>
      <c r="I2547" s="65"/>
      <c r="J2547" s="65"/>
      <c r="K2547" s="65"/>
      <c r="L2547" s="65"/>
      <c r="M2547" s="65"/>
      <c r="N2547" s="65"/>
      <c r="O2547" s="81">
        <f t="shared" si="117"/>
        <v>0</v>
      </c>
      <c r="P2547" s="81">
        <f t="shared" si="118"/>
        <v>0</v>
      </c>
      <c r="Q2547" s="65"/>
      <c r="R2547" s="67"/>
      <c r="S2547" s="83">
        <f t="shared" si="119"/>
        <v>0</v>
      </c>
    </row>
    <row r="2548" spans="1:19" ht="18" customHeight="1" x14ac:dyDescent="0.25">
      <c r="A2548" s="68"/>
      <c r="B2548" s="69"/>
      <c r="C2548" s="74"/>
      <c r="D2548" s="69"/>
      <c r="E2548" s="68"/>
      <c r="F2548" s="71"/>
      <c r="G2548" s="72"/>
      <c r="H2548" s="73"/>
      <c r="I2548" s="74"/>
      <c r="J2548" s="74"/>
      <c r="K2548" s="74"/>
      <c r="L2548" s="74"/>
      <c r="M2548" s="74"/>
      <c r="N2548" s="74"/>
      <c r="O2548" s="82">
        <f t="shared" si="117"/>
        <v>0</v>
      </c>
      <c r="P2548" s="82">
        <f t="shared" si="118"/>
        <v>0</v>
      </c>
      <c r="Q2548" s="74"/>
      <c r="R2548" s="76"/>
      <c r="S2548" s="84">
        <f t="shared" si="119"/>
        <v>0</v>
      </c>
    </row>
    <row r="2549" spans="1:19" ht="18" customHeight="1" x14ac:dyDescent="0.25">
      <c r="A2549" s="59"/>
      <c r="B2549" s="60"/>
      <c r="C2549" s="65"/>
      <c r="D2549" s="60"/>
      <c r="E2549" s="59"/>
      <c r="F2549" s="62"/>
      <c r="G2549" s="63"/>
      <c r="H2549" s="64"/>
      <c r="I2549" s="65"/>
      <c r="J2549" s="65"/>
      <c r="K2549" s="65"/>
      <c r="L2549" s="65"/>
      <c r="M2549" s="65"/>
      <c r="N2549" s="65"/>
      <c r="O2549" s="81">
        <f t="shared" si="117"/>
        <v>0</v>
      </c>
      <c r="P2549" s="81">
        <f t="shared" si="118"/>
        <v>0</v>
      </c>
      <c r="Q2549" s="65"/>
      <c r="R2549" s="67"/>
      <c r="S2549" s="83">
        <f t="shared" si="119"/>
        <v>0</v>
      </c>
    </row>
    <row r="2550" spans="1:19" ht="18" customHeight="1" x14ac:dyDescent="0.25">
      <c r="A2550" s="68"/>
      <c r="B2550" s="69"/>
      <c r="C2550" s="74"/>
      <c r="D2550" s="69"/>
      <c r="E2550" s="68"/>
      <c r="F2550" s="71"/>
      <c r="G2550" s="72"/>
      <c r="H2550" s="73"/>
      <c r="I2550" s="74"/>
      <c r="J2550" s="74"/>
      <c r="K2550" s="74"/>
      <c r="L2550" s="74"/>
      <c r="M2550" s="74"/>
      <c r="N2550" s="74"/>
      <c r="O2550" s="82">
        <f t="shared" si="117"/>
        <v>0</v>
      </c>
      <c r="P2550" s="82">
        <f t="shared" si="118"/>
        <v>0</v>
      </c>
      <c r="Q2550" s="74"/>
      <c r="R2550" s="76"/>
      <c r="S2550" s="84">
        <f t="shared" si="119"/>
        <v>0</v>
      </c>
    </row>
    <row r="2551" spans="1:19" ht="18" customHeight="1" x14ac:dyDescent="0.25">
      <c r="A2551" s="59"/>
      <c r="B2551" s="60"/>
      <c r="C2551" s="65"/>
      <c r="D2551" s="60"/>
      <c r="E2551" s="59"/>
      <c r="F2551" s="62"/>
      <c r="G2551" s="63"/>
      <c r="H2551" s="64"/>
      <c r="I2551" s="65"/>
      <c r="J2551" s="65"/>
      <c r="K2551" s="65"/>
      <c r="L2551" s="65"/>
      <c r="M2551" s="65"/>
      <c r="N2551" s="65"/>
      <c r="O2551" s="81">
        <f t="shared" si="117"/>
        <v>0</v>
      </c>
      <c r="P2551" s="81">
        <f t="shared" si="118"/>
        <v>0</v>
      </c>
      <c r="Q2551" s="65"/>
      <c r="R2551" s="67"/>
      <c r="S2551" s="83">
        <f t="shared" si="119"/>
        <v>0</v>
      </c>
    </row>
    <row r="2552" spans="1:19" ht="18" customHeight="1" x14ac:dyDescent="0.25">
      <c r="A2552" s="68"/>
      <c r="B2552" s="69"/>
      <c r="C2552" s="74"/>
      <c r="D2552" s="69"/>
      <c r="E2552" s="68"/>
      <c r="F2552" s="71"/>
      <c r="G2552" s="72"/>
      <c r="H2552" s="73"/>
      <c r="I2552" s="74"/>
      <c r="J2552" s="74"/>
      <c r="K2552" s="74"/>
      <c r="L2552" s="74"/>
      <c r="M2552" s="74"/>
      <c r="N2552" s="74"/>
      <c r="O2552" s="82">
        <f t="shared" si="117"/>
        <v>0</v>
      </c>
      <c r="P2552" s="82">
        <f t="shared" si="118"/>
        <v>0</v>
      </c>
      <c r="Q2552" s="74"/>
      <c r="R2552" s="76"/>
      <c r="S2552" s="84">
        <f t="shared" si="119"/>
        <v>0</v>
      </c>
    </row>
    <row r="2553" spans="1:19" ht="18" customHeight="1" x14ac:dyDescent="0.25">
      <c r="A2553" s="59"/>
      <c r="B2553" s="60"/>
      <c r="C2553" s="65"/>
      <c r="D2553" s="60"/>
      <c r="E2553" s="59"/>
      <c r="F2553" s="62"/>
      <c r="G2553" s="63"/>
      <c r="H2553" s="64"/>
      <c r="I2553" s="65"/>
      <c r="J2553" s="65"/>
      <c r="K2553" s="65"/>
      <c r="L2553" s="65"/>
      <c r="M2553" s="65"/>
      <c r="N2553" s="65"/>
      <c r="O2553" s="81">
        <f t="shared" si="117"/>
        <v>0</v>
      </c>
      <c r="P2553" s="81">
        <f t="shared" si="118"/>
        <v>0</v>
      </c>
      <c r="Q2553" s="65"/>
      <c r="R2553" s="67"/>
      <c r="S2553" s="83">
        <f t="shared" si="119"/>
        <v>0</v>
      </c>
    </row>
    <row r="2554" spans="1:19" ht="18" customHeight="1" x14ac:dyDescent="0.25">
      <c r="A2554" s="68"/>
      <c r="B2554" s="69"/>
      <c r="C2554" s="74"/>
      <c r="D2554" s="69"/>
      <c r="E2554" s="68"/>
      <c r="F2554" s="71"/>
      <c r="G2554" s="72"/>
      <c r="H2554" s="73"/>
      <c r="I2554" s="74"/>
      <c r="J2554" s="74"/>
      <c r="K2554" s="74"/>
      <c r="L2554" s="74"/>
      <c r="M2554" s="74"/>
      <c r="N2554" s="74"/>
      <c r="O2554" s="82">
        <f t="shared" si="117"/>
        <v>0</v>
      </c>
      <c r="P2554" s="82">
        <f t="shared" si="118"/>
        <v>0</v>
      </c>
      <c r="Q2554" s="74"/>
      <c r="R2554" s="76"/>
      <c r="S2554" s="84">
        <f t="shared" si="119"/>
        <v>0</v>
      </c>
    </row>
    <row r="2555" spans="1:19" ht="18" customHeight="1" x14ac:dyDescent="0.25">
      <c r="A2555" s="59"/>
      <c r="B2555" s="60"/>
      <c r="C2555" s="65"/>
      <c r="D2555" s="60"/>
      <c r="E2555" s="59"/>
      <c r="F2555" s="62"/>
      <c r="G2555" s="63"/>
      <c r="H2555" s="64"/>
      <c r="I2555" s="65"/>
      <c r="J2555" s="65"/>
      <c r="K2555" s="65"/>
      <c r="L2555" s="65"/>
      <c r="M2555" s="65"/>
      <c r="N2555" s="65"/>
      <c r="O2555" s="81">
        <f t="shared" si="117"/>
        <v>0</v>
      </c>
      <c r="P2555" s="81">
        <f t="shared" si="118"/>
        <v>0</v>
      </c>
      <c r="Q2555" s="65"/>
      <c r="R2555" s="67"/>
      <c r="S2555" s="83">
        <f t="shared" si="119"/>
        <v>0</v>
      </c>
    </row>
    <row r="2556" spans="1:19" ht="18" customHeight="1" x14ac:dyDescent="0.25">
      <c r="A2556" s="68"/>
      <c r="B2556" s="69"/>
      <c r="C2556" s="74"/>
      <c r="D2556" s="69"/>
      <c r="E2556" s="68"/>
      <c r="F2556" s="71"/>
      <c r="G2556" s="72"/>
      <c r="H2556" s="73"/>
      <c r="I2556" s="74"/>
      <c r="J2556" s="74"/>
      <c r="K2556" s="74"/>
      <c r="L2556" s="74"/>
      <c r="M2556" s="74"/>
      <c r="N2556" s="74"/>
      <c r="O2556" s="82">
        <f t="shared" si="117"/>
        <v>0</v>
      </c>
      <c r="P2556" s="82">
        <f t="shared" si="118"/>
        <v>0</v>
      </c>
      <c r="Q2556" s="74"/>
      <c r="R2556" s="76"/>
      <c r="S2556" s="84">
        <f t="shared" si="119"/>
        <v>0</v>
      </c>
    </row>
    <row r="2557" spans="1:19" ht="18" customHeight="1" x14ac:dyDescent="0.25">
      <c r="A2557" s="59"/>
      <c r="B2557" s="60"/>
      <c r="C2557" s="65"/>
      <c r="D2557" s="60"/>
      <c r="E2557" s="59"/>
      <c r="F2557" s="62"/>
      <c r="G2557" s="63"/>
      <c r="H2557" s="64"/>
      <c r="I2557" s="65"/>
      <c r="J2557" s="65"/>
      <c r="K2557" s="65"/>
      <c r="L2557" s="65"/>
      <c r="M2557" s="65"/>
      <c r="N2557" s="65"/>
      <c r="O2557" s="81">
        <f t="shared" si="117"/>
        <v>0</v>
      </c>
      <c r="P2557" s="81">
        <f t="shared" si="118"/>
        <v>0</v>
      </c>
      <c r="Q2557" s="65"/>
      <c r="R2557" s="67"/>
      <c r="S2557" s="83">
        <f t="shared" si="119"/>
        <v>0</v>
      </c>
    </row>
    <row r="2558" spans="1:19" ht="18" customHeight="1" x14ac:dyDescent="0.25">
      <c r="A2558" s="68"/>
      <c r="B2558" s="69"/>
      <c r="C2558" s="74"/>
      <c r="D2558" s="69"/>
      <c r="E2558" s="68"/>
      <c r="F2558" s="71"/>
      <c r="G2558" s="72"/>
      <c r="H2558" s="73"/>
      <c r="I2558" s="74"/>
      <c r="J2558" s="74"/>
      <c r="K2558" s="74"/>
      <c r="L2558" s="74"/>
      <c r="M2558" s="74"/>
      <c r="N2558" s="74"/>
      <c r="O2558" s="82">
        <f t="shared" si="117"/>
        <v>0</v>
      </c>
      <c r="P2558" s="82">
        <f t="shared" si="118"/>
        <v>0</v>
      </c>
      <c r="Q2558" s="74"/>
      <c r="R2558" s="76"/>
      <c r="S2558" s="84">
        <f t="shared" si="119"/>
        <v>0</v>
      </c>
    </row>
    <row r="2559" spans="1:19" ht="18" customHeight="1" x14ac:dyDescent="0.25">
      <c r="A2559" s="59"/>
      <c r="B2559" s="60"/>
      <c r="C2559" s="65"/>
      <c r="D2559" s="60"/>
      <c r="E2559" s="59"/>
      <c r="F2559" s="62"/>
      <c r="G2559" s="63"/>
      <c r="H2559" s="64"/>
      <c r="I2559" s="65"/>
      <c r="J2559" s="65"/>
      <c r="K2559" s="65"/>
      <c r="L2559" s="65"/>
      <c r="M2559" s="65"/>
      <c r="N2559" s="65"/>
      <c r="O2559" s="81">
        <f t="shared" si="117"/>
        <v>0</v>
      </c>
      <c r="P2559" s="81">
        <f t="shared" si="118"/>
        <v>0</v>
      </c>
      <c r="Q2559" s="65"/>
      <c r="R2559" s="67"/>
      <c r="S2559" s="83">
        <f t="shared" si="119"/>
        <v>0</v>
      </c>
    </row>
    <row r="2560" spans="1:19" ht="18" customHeight="1" x14ac:dyDescent="0.25">
      <c r="A2560" s="68"/>
      <c r="B2560" s="69"/>
      <c r="C2560" s="74"/>
      <c r="D2560" s="69"/>
      <c r="E2560" s="68"/>
      <c r="F2560" s="71"/>
      <c r="G2560" s="72"/>
      <c r="H2560" s="73"/>
      <c r="I2560" s="74"/>
      <c r="J2560" s="74"/>
      <c r="K2560" s="74"/>
      <c r="L2560" s="74"/>
      <c r="M2560" s="74"/>
      <c r="N2560" s="74"/>
      <c r="O2560" s="82">
        <f t="shared" si="117"/>
        <v>0</v>
      </c>
      <c r="P2560" s="82">
        <f t="shared" si="118"/>
        <v>0</v>
      </c>
      <c r="Q2560" s="74"/>
      <c r="R2560" s="76"/>
      <c r="S2560" s="84">
        <f t="shared" si="119"/>
        <v>0</v>
      </c>
    </row>
    <row r="2561" spans="1:19" ht="18" customHeight="1" x14ac:dyDescent="0.25">
      <c r="A2561" s="59"/>
      <c r="B2561" s="60"/>
      <c r="C2561" s="65"/>
      <c r="D2561" s="60"/>
      <c r="E2561" s="59"/>
      <c r="F2561" s="62"/>
      <c r="G2561" s="63"/>
      <c r="H2561" s="64"/>
      <c r="I2561" s="65"/>
      <c r="J2561" s="65"/>
      <c r="K2561" s="65"/>
      <c r="L2561" s="65"/>
      <c r="M2561" s="65"/>
      <c r="N2561" s="65"/>
      <c r="O2561" s="81">
        <f t="shared" si="117"/>
        <v>0</v>
      </c>
      <c r="P2561" s="81">
        <f t="shared" si="118"/>
        <v>0</v>
      </c>
      <c r="Q2561" s="65"/>
      <c r="R2561" s="67"/>
      <c r="S2561" s="83">
        <f t="shared" si="119"/>
        <v>0</v>
      </c>
    </row>
    <row r="2562" spans="1:19" ht="18" customHeight="1" x14ac:dyDescent="0.25">
      <c r="A2562" s="68"/>
      <c r="B2562" s="69"/>
      <c r="C2562" s="74"/>
      <c r="D2562" s="69"/>
      <c r="E2562" s="68"/>
      <c r="F2562" s="71"/>
      <c r="G2562" s="72"/>
      <c r="H2562" s="73"/>
      <c r="I2562" s="74"/>
      <c r="J2562" s="74"/>
      <c r="K2562" s="74"/>
      <c r="L2562" s="74"/>
      <c r="M2562" s="74"/>
      <c r="N2562" s="74"/>
      <c r="O2562" s="82">
        <f t="shared" si="117"/>
        <v>0</v>
      </c>
      <c r="P2562" s="82">
        <f t="shared" si="118"/>
        <v>0</v>
      </c>
      <c r="Q2562" s="74"/>
      <c r="R2562" s="76"/>
      <c r="S2562" s="84">
        <f t="shared" si="119"/>
        <v>0</v>
      </c>
    </row>
    <row r="2563" spans="1:19" ht="18" customHeight="1" x14ac:dyDescent="0.25">
      <c r="A2563" s="59"/>
      <c r="B2563" s="60"/>
      <c r="C2563" s="65"/>
      <c r="D2563" s="60"/>
      <c r="E2563" s="59"/>
      <c r="F2563" s="62"/>
      <c r="G2563" s="63"/>
      <c r="H2563" s="64"/>
      <c r="I2563" s="65"/>
      <c r="J2563" s="65"/>
      <c r="K2563" s="65"/>
      <c r="L2563" s="65"/>
      <c r="M2563" s="65"/>
      <c r="N2563" s="65"/>
      <c r="O2563" s="81">
        <f t="shared" si="117"/>
        <v>0</v>
      </c>
      <c r="P2563" s="81">
        <f t="shared" si="118"/>
        <v>0</v>
      </c>
      <c r="Q2563" s="65"/>
      <c r="R2563" s="67"/>
      <c r="S2563" s="83">
        <f t="shared" si="119"/>
        <v>0</v>
      </c>
    </row>
    <row r="2564" spans="1:19" ht="18" customHeight="1" x14ac:dyDescent="0.25">
      <c r="A2564" s="68"/>
      <c r="B2564" s="69"/>
      <c r="C2564" s="74"/>
      <c r="D2564" s="69"/>
      <c r="E2564" s="68"/>
      <c r="F2564" s="71"/>
      <c r="G2564" s="72"/>
      <c r="H2564" s="73"/>
      <c r="I2564" s="74"/>
      <c r="J2564" s="74"/>
      <c r="K2564" s="74"/>
      <c r="L2564" s="74"/>
      <c r="M2564" s="74"/>
      <c r="N2564" s="74"/>
      <c r="O2564" s="82">
        <f t="shared" si="117"/>
        <v>0</v>
      </c>
      <c r="P2564" s="82">
        <f t="shared" si="118"/>
        <v>0</v>
      </c>
      <c r="Q2564" s="74"/>
      <c r="R2564" s="76"/>
      <c r="S2564" s="84">
        <f t="shared" si="119"/>
        <v>0</v>
      </c>
    </row>
    <row r="2565" spans="1:19" ht="18" customHeight="1" x14ac:dyDescent="0.25">
      <c r="A2565" s="59"/>
      <c r="B2565" s="60"/>
      <c r="C2565" s="65"/>
      <c r="D2565" s="60"/>
      <c r="E2565" s="59"/>
      <c r="F2565" s="62"/>
      <c r="G2565" s="63"/>
      <c r="H2565" s="64"/>
      <c r="I2565" s="65"/>
      <c r="J2565" s="65"/>
      <c r="K2565" s="65"/>
      <c r="L2565" s="65"/>
      <c r="M2565" s="65"/>
      <c r="N2565" s="65"/>
      <c r="O2565" s="81">
        <f t="shared" si="117"/>
        <v>0</v>
      </c>
      <c r="P2565" s="81">
        <f t="shared" si="118"/>
        <v>0</v>
      </c>
      <c r="Q2565" s="65"/>
      <c r="R2565" s="67"/>
      <c r="S2565" s="83">
        <f t="shared" si="119"/>
        <v>0</v>
      </c>
    </row>
    <row r="2566" spans="1:19" ht="18" customHeight="1" x14ac:dyDescent="0.25">
      <c r="A2566" s="68"/>
      <c r="B2566" s="69"/>
      <c r="C2566" s="74"/>
      <c r="D2566" s="69"/>
      <c r="E2566" s="68"/>
      <c r="F2566" s="71"/>
      <c r="G2566" s="72"/>
      <c r="H2566" s="73"/>
      <c r="I2566" s="74"/>
      <c r="J2566" s="74"/>
      <c r="K2566" s="74"/>
      <c r="L2566" s="74"/>
      <c r="M2566" s="74"/>
      <c r="N2566" s="74"/>
      <c r="O2566" s="82" t="e">
        <f>#N/A</f>
        <v>#N/A</v>
      </c>
      <c r="P2566" s="82" t="e">
        <f>#N/A</f>
        <v>#N/A</v>
      </c>
      <c r="Q2566" s="74"/>
      <c r="R2566" s="76"/>
      <c r="S2566" s="84">
        <f t="shared" si="119"/>
        <v>0</v>
      </c>
    </row>
    <row r="2567" spans="1:19" ht="18" customHeight="1" x14ac:dyDescent="0.25">
      <c r="A2567" s="59"/>
      <c r="B2567" s="60"/>
      <c r="C2567" s="65"/>
      <c r="D2567" s="60"/>
      <c r="E2567" s="59"/>
      <c r="F2567" s="62"/>
      <c r="G2567" s="63"/>
      <c r="H2567" s="64"/>
      <c r="I2567" s="65"/>
      <c r="J2567" s="65"/>
      <c r="K2567" s="65"/>
      <c r="L2567" s="65"/>
      <c r="M2567" s="65"/>
      <c r="N2567" s="65"/>
      <c r="O2567" s="81">
        <f t="shared" ref="O2567:O2629" si="120">IF(G2567="Reimbursement ","",I2567+J2567+K2567+L2567+M2567)</f>
        <v>0</v>
      </c>
      <c r="P2567" s="81">
        <f t="shared" ref="P2567:P2629" si="121">IF(G2567="Reimbursement ","",H2567-O2567)</f>
        <v>0</v>
      </c>
      <c r="Q2567" s="65"/>
      <c r="R2567" s="67"/>
      <c r="S2567" s="83">
        <f t="shared" ref="S2567:S2630" si="122">IF(OR(R2567="",Q2567=""),0,IF(R2567&gt;Q2567,R2567-Q2567,0))</f>
        <v>0</v>
      </c>
    </row>
    <row r="2568" spans="1:19" ht="18" customHeight="1" x14ac:dyDescent="0.25">
      <c r="A2568" s="68"/>
      <c r="B2568" s="69"/>
      <c r="C2568" s="74"/>
      <c r="D2568" s="69"/>
      <c r="E2568" s="68"/>
      <c r="F2568" s="71"/>
      <c r="G2568" s="72"/>
      <c r="H2568" s="73"/>
      <c r="I2568" s="74"/>
      <c r="J2568" s="74"/>
      <c r="K2568" s="74"/>
      <c r="L2568" s="74"/>
      <c r="M2568" s="74"/>
      <c r="N2568" s="74"/>
      <c r="O2568" s="82">
        <f t="shared" si="120"/>
        <v>0</v>
      </c>
      <c r="P2568" s="82">
        <f t="shared" si="121"/>
        <v>0</v>
      </c>
      <c r="Q2568" s="74"/>
      <c r="R2568" s="76"/>
      <c r="S2568" s="84">
        <f t="shared" si="122"/>
        <v>0</v>
      </c>
    </row>
    <row r="2569" spans="1:19" ht="18" customHeight="1" x14ac:dyDescent="0.25">
      <c r="A2569" s="59"/>
      <c r="B2569" s="60"/>
      <c r="C2569" s="65"/>
      <c r="D2569" s="60"/>
      <c r="E2569" s="59"/>
      <c r="F2569" s="62"/>
      <c r="G2569" s="63"/>
      <c r="H2569" s="64"/>
      <c r="I2569" s="65"/>
      <c r="J2569" s="65"/>
      <c r="K2569" s="65"/>
      <c r="L2569" s="65"/>
      <c r="M2569" s="65"/>
      <c r="N2569" s="65"/>
      <c r="O2569" s="81">
        <f t="shared" si="120"/>
        <v>0</v>
      </c>
      <c r="P2569" s="81">
        <f t="shared" si="121"/>
        <v>0</v>
      </c>
      <c r="Q2569" s="65"/>
      <c r="R2569" s="67"/>
      <c r="S2569" s="83">
        <f t="shared" si="122"/>
        <v>0</v>
      </c>
    </row>
    <row r="2570" spans="1:19" ht="18" customHeight="1" x14ac:dyDescent="0.25">
      <c r="A2570" s="68"/>
      <c r="B2570" s="69"/>
      <c r="C2570" s="74"/>
      <c r="D2570" s="69"/>
      <c r="E2570" s="68"/>
      <c r="F2570" s="71"/>
      <c r="G2570" s="72"/>
      <c r="H2570" s="73"/>
      <c r="I2570" s="74"/>
      <c r="J2570" s="74"/>
      <c r="K2570" s="74"/>
      <c r="L2570" s="74"/>
      <c r="M2570" s="74"/>
      <c r="N2570" s="74"/>
      <c r="O2570" s="82">
        <f t="shared" si="120"/>
        <v>0</v>
      </c>
      <c r="P2570" s="82">
        <f t="shared" si="121"/>
        <v>0</v>
      </c>
      <c r="Q2570" s="74"/>
      <c r="R2570" s="76"/>
      <c r="S2570" s="84">
        <f t="shared" si="122"/>
        <v>0</v>
      </c>
    </row>
    <row r="2571" spans="1:19" ht="18" customHeight="1" x14ac:dyDescent="0.25">
      <c r="A2571" s="59"/>
      <c r="B2571" s="60"/>
      <c r="C2571" s="65"/>
      <c r="D2571" s="60"/>
      <c r="E2571" s="59"/>
      <c r="F2571" s="62"/>
      <c r="G2571" s="63"/>
      <c r="H2571" s="64"/>
      <c r="I2571" s="65"/>
      <c r="J2571" s="65"/>
      <c r="K2571" s="65"/>
      <c r="L2571" s="65"/>
      <c r="M2571" s="65"/>
      <c r="N2571" s="65"/>
      <c r="O2571" s="81">
        <f t="shared" si="120"/>
        <v>0</v>
      </c>
      <c r="P2571" s="81">
        <f t="shared" si="121"/>
        <v>0</v>
      </c>
      <c r="Q2571" s="65"/>
      <c r="R2571" s="67"/>
      <c r="S2571" s="83">
        <f t="shared" si="122"/>
        <v>0</v>
      </c>
    </row>
    <row r="2572" spans="1:19" ht="18" customHeight="1" x14ac:dyDescent="0.25">
      <c r="A2572" s="68"/>
      <c r="B2572" s="69"/>
      <c r="C2572" s="74"/>
      <c r="D2572" s="69"/>
      <c r="E2572" s="68"/>
      <c r="F2572" s="71"/>
      <c r="G2572" s="72"/>
      <c r="H2572" s="73"/>
      <c r="I2572" s="74"/>
      <c r="J2572" s="74"/>
      <c r="K2572" s="74"/>
      <c r="L2572" s="74"/>
      <c r="M2572" s="74"/>
      <c r="N2572" s="74"/>
      <c r="O2572" s="82">
        <f t="shared" si="120"/>
        <v>0</v>
      </c>
      <c r="P2572" s="82">
        <f t="shared" si="121"/>
        <v>0</v>
      </c>
      <c r="Q2572" s="74"/>
      <c r="R2572" s="76"/>
      <c r="S2572" s="84">
        <f t="shared" si="122"/>
        <v>0</v>
      </c>
    </row>
    <row r="2573" spans="1:19" ht="18" customHeight="1" x14ac:dyDescent="0.25">
      <c r="A2573" s="59"/>
      <c r="B2573" s="60"/>
      <c r="C2573" s="65"/>
      <c r="D2573" s="60"/>
      <c r="E2573" s="59"/>
      <c r="F2573" s="62"/>
      <c r="G2573" s="63"/>
      <c r="H2573" s="64"/>
      <c r="I2573" s="65"/>
      <c r="J2573" s="65"/>
      <c r="K2573" s="65"/>
      <c r="L2573" s="65"/>
      <c r="M2573" s="65"/>
      <c r="N2573" s="65"/>
      <c r="O2573" s="81">
        <f t="shared" si="120"/>
        <v>0</v>
      </c>
      <c r="P2573" s="81">
        <f t="shared" si="121"/>
        <v>0</v>
      </c>
      <c r="Q2573" s="65"/>
      <c r="R2573" s="67"/>
      <c r="S2573" s="83">
        <f t="shared" si="122"/>
        <v>0</v>
      </c>
    </row>
    <row r="2574" spans="1:19" ht="18" customHeight="1" x14ac:dyDescent="0.25">
      <c r="A2574" s="68"/>
      <c r="B2574" s="69"/>
      <c r="C2574" s="74"/>
      <c r="D2574" s="69"/>
      <c r="E2574" s="68"/>
      <c r="F2574" s="71"/>
      <c r="G2574" s="72"/>
      <c r="H2574" s="73"/>
      <c r="I2574" s="74"/>
      <c r="J2574" s="74"/>
      <c r="K2574" s="74"/>
      <c r="L2574" s="74"/>
      <c r="M2574" s="74"/>
      <c r="N2574" s="74"/>
      <c r="O2574" s="82">
        <f t="shared" si="120"/>
        <v>0</v>
      </c>
      <c r="P2574" s="82">
        <f t="shared" si="121"/>
        <v>0</v>
      </c>
      <c r="Q2574" s="74"/>
      <c r="R2574" s="76"/>
      <c r="S2574" s="84">
        <f t="shared" si="122"/>
        <v>0</v>
      </c>
    </row>
    <row r="2575" spans="1:19" ht="18" customHeight="1" x14ac:dyDescent="0.25">
      <c r="A2575" s="59"/>
      <c r="B2575" s="60"/>
      <c r="C2575" s="65"/>
      <c r="D2575" s="60"/>
      <c r="E2575" s="59"/>
      <c r="F2575" s="62"/>
      <c r="G2575" s="63"/>
      <c r="H2575" s="64"/>
      <c r="I2575" s="65"/>
      <c r="J2575" s="65"/>
      <c r="K2575" s="65"/>
      <c r="L2575" s="65"/>
      <c r="M2575" s="65"/>
      <c r="N2575" s="65"/>
      <c r="O2575" s="81">
        <f t="shared" si="120"/>
        <v>0</v>
      </c>
      <c r="P2575" s="81">
        <f t="shared" si="121"/>
        <v>0</v>
      </c>
      <c r="Q2575" s="65"/>
      <c r="R2575" s="67"/>
      <c r="S2575" s="83">
        <f t="shared" si="122"/>
        <v>0</v>
      </c>
    </row>
    <row r="2576" spans="1:19" ht="18" customHeight="1" x14ac:dyDescent="0.25">
      <c r="A2576" s="68"/>
      <c r="B2576" s="69"/>
      <c r="C2576" s="74"/>
      <c r="D2576" s="69"/>
      <c r="E2576" s="68"/>
      <c r="F2576" s="71"/>
      <c r="G2576" s="72"/>
      <c r="H2576" s="73"/>
      <c r="I2576" s="74"/>
      <c r="J2576" s="74"/>
      <c r="K2576" s="74"/>
      <c r="L2576" s="74"/>
      <c r="M2576" s="74"/>
      <c r="N2576" s="74"/>
      <c r="O2576" s="82">
        <f t="shared" si="120"/>
        <v>0</v>
      </c>
      <c r="P2576" s="82">
        <f t="shared" si="121"/>
        <v>0</v>
      </c>
      <c r="Q2576" s="74"/>
      <c r="R2576" s="76"/>
      <c r="S2576" s="84">
        <f t="shared" si="122"/>
        <v>0</v>
      </c>
    </row>
    <row r="2577" spans="1:19" ht="18" customHeight="1" x14ac:dyDescent="0.25">
      <c r="A2577" s="59"/>
      <c r="B2577" s="60"/>
      <c r="C2577" s="65"/>
      <c r="D2577" s="60"/>
      <c r="E2577" s="59"/>
      <c r="F2577" s="62"/>
      <c r="G2577" s="63"/>
      <c r="H2577" s="64"/>
      <c r="I2577" s="65"/>
      <c r="J2577" s="65"/>
      <c r="K2577" s="65"/>
      <c r="L2577" s="65"/>
      <c r="M2577" s="65"/>
      <c r="N2577" s="65"/>
      <c r="O2577" s="81">
        <f t="shared" si="120"/>
        <v>0</v>
      </c>
      <c r="P2577" s="81">
        <f t="shared" si="121"/>
        <v>0</v>
      </c>
      <c r="Q2577" s="65"/>
      <c r="R2577" s="67"/>
      <c r="S2577" s="83">
        <f t="shared" si="122"/>
        <v>0</v>
      </c>
    </row>
    <row r="2578" spans="1:19" ht="18" customHeight="1" x14ac:dyDescent="0.25">
      <c r="A2578" s="68"/>
      <c r="B2578" s="69"/>
      <c r="C2578" s="74"/>
      <c r="D2578" s="69"/>
      <c r="E2578" s="68"/>
      <c r="F2578" s="71"/>
      <c r="G2578" s="72"/>
      <c r="H2578" s="73"/>
      <c r="I2578" s="74"/>
      <c r="J2578" s="74"/>
      <c r="K2578" s="74"/>
      <c r="L2578" s="74"/>
      <c r="M2578" s="74"/>
      <c r="N2578" s="74"/>
      <c r="O2578" s="82">
        <f t="shared" si="120"/>
        <v>0</v>
      </c>
      <c r="P2578" s="82">
        <f t="shared" si="121"/>
        <v>0</v>
      </c>
      <c r="Q2578" s="74"/>
      <c r="R2578" s="76"/>
      <c r="S2578" s="84">
        <f t="shared" si="122"/>
        <v>0</v>
      </c>
    </row>
    <row r="2579" spans="1:19" ht="18" customHeight="1" x14ac:dyDescent="0.25">
      <c r="A2579" s="59"/>
      <c r="B2579" s="60"/>
      <c r="C2579" s="65"/>
      <c r="D2579" s="60"/>
      <c r="E2579" s="59"/>
      <c r="F2579" s="62"/>
      <c r="G2579" s="63"/>
      <c r="H2579" s="64"/>
      <c r="I2579" s="65"/>
      <c r="J2579" s="65"/>
      <c r="K2579" s="65"/>
      <c r="L2579" s="65"/>
      <c r="M2579" s="65"/>
      <c r="N2579" s="65"/>
      <c r="O2579" s="81">
        <f t="shared" si="120"/>
        <v>0</v>
      </c>
      <c r="P2579" s="81">
        <f t="shared" si="121"/>
        <v>0</v>
      </c>
      <c r="Q2579" s="65"/>
      <c r="R2579" s="67"/>
      <c r="S2579" s="83">
        <f t="shared" si="122"/>
        <v>0</v>
      </c>
    </row>
    <row r="2580" spans="1:19" ht="18" customHeight="1" x14ac:dyDescent="0.25">
      <c r="A2580" s="68"/>
      <c r="B2580" s="69"/>
      <c r="C2580" s="74"/>
      <c r="D2580" s="69"/>
      <c r="E2580" s="68"/>
      <c r="F2580" s="71"/>
      <c r="G2580" s="72"/>
      <c r="H2580" s="73"/>
      <c r="I2580" s="74"/>
      <c r="J2580" s="74"/>
      <c r="K2580" s="74"/>
      <c r="L2580" s="74"/>
      <c r="M2580" s="74"/>
      <c r="N2580" s="74"/>
      <c r="O2580" s="82">
        <f t="shared" si="120"/>
        <v>0</v>
      </c>
      <c r="P2580" s="82">
        <f t="shared" si="121"/>
        <v>0</v>
      </c>
      <c r="Q2580" s="74"/>
      <c r="R2580" s="76"/>
      <c r="S2580" s="84">
        <f t="shared" si="122"/>
        <v>0</v>
      </c>
    </row>
    <row r="2581" spans="1:19" ht="18" customHeight="1" x14ac:dyDescent="0.25">
      <c r="A2581" s="59"/>
      <c r="B2581" s="60"/>
      <c r="C2581" s="65"/>
      <c r="D2581" s="60"/>
      <c r="E2581" s="59"/>
      <c r="F2581" s="62"/>
      <c r="G2581" s="63"/>
      <c r="H2581" s="64"/>
      <c r="I2581" s="65"/>
      <c r="J2581" s="65"/>
      <c r="K2581" s="65"/>
      <c r="L2581" s="65"/>
      <c r="M2581" s="65"/>
      <c r="N2581" s="65"/>
      <c r="O2581" s="81">
        <f t="shared" si="120"/>
        <v>0</v>
      </c>
      <c r="P2581" s="81">
        <f t="shared" si="121"/>
        <v>0</v>
      </c>
      <c r="Q2581" s="65"/>
      <c r="R2581" s="67"/>
      <c r="S2581" s="83">
        <f t="shared" si="122"/>
        <v>0</v>
      </c>
    </row>
    <row r="2582" spans="1:19" ht="18" customHeight="1" x14ac:dyDescent="0.25">
      <c r="A2582" s="68"/>
      <c r="B2582" s="69"/>
      <c r="C2582" s="74"/>
      <c r="D2582" s="69"/>
      <c r="E2582" s="68"/>
      <c r="F2582" s="71"/>
      <c r="G2582" s="72"/>
      <c r="H2582" s="73"/>
      <c r="I2582" s="74"/>
      <c r="J2582" s="74"/>
      <c r="K2582" s="74"/>
      <c r="L2582" s="74"/>
      <c r="M2582" s="74"/>
      <c r="N2582" s="74"/>
      <c r="O2582" s="82">
        <f t="shared" si="120"/>
        <v>0</v>
      </c>
      <c r="P2582" s="82">
        <f t="shared" si="121"/>
        <v>0</v>
      </c>
      <c r="Q2582" s="74"/>
      <c r="R2582" s="76"/>
      <c r="S2582" s="84">
        <f t="shared" si="122"/>
        <v>0</v>
      </c>
    </row>
    <row r="2583" spans="1:19" ht="18" customHeight="1" x14ac:dyDescent="0.25">
      <c r="A2583" s="59"/>
      <c r="B2583" s="60"/>
      <c r="C2583" s="65"/>
      <c r="D2583" s="60"/>
      <c r="E2583" s="59"/>
      <c r="F2583" s="62"/>
      <c r="G2583" s="63"/>
      <c r="H2583" s="64"/>
      <c r="I2583" s="65"/>
      <c r="J2583" s="65"/>
      <c r="K2583" s="65"/>
      <c r="L2583" s="65"/>
      <c r="M2583" s="65"/>
      <c r="N2583" s="65"/>
      <c r="O2583" s="81">
        <f t="shared" si="120"/>
        <v>0</v>
      </c>
      <c r="P2583" s="81">
        <f t="shared" si="121"/>
        <v>0</v>
      </c>
      <c r="Q2583" s="65"/>
      <c r="R2583" s="67"/>
      <c r="S2583" s="83">
        <f t="shared" si="122"/>
        <v>0</v>
      </c>
    </row>
    <row r="2584" spans="1:19" ht="18" customHeight="1" x14ac:dyDescent="0.25">
      <c r="A2584" s="68"/>
      <c r="B2584" s="69"/>
      <c r="C2584" s="74"/>
      <c r="D2584" s="69"/>
      <c r="E2584" s="68"/>
      <c r="F2584" s="71"/>
      <c r="G2584" s="72"/>
      <c r="H2584" s="73"/>
      <c r="I2584" s="74"/>
      <c r="J2584" s="74"/>
      <c r="K2584" s="74"/>
      <c r="L2584" s="74"/>
      <c r="M2584" s="74"/>
      <c r="N2584" s="74"/>
      <c r="O2584" s="82">
        <f t="shared" si="120"/>
        <v>0</v>
      </c>
      <c r="P2584" s="82">
        <f t="shared" si="121"/>
        <v>0</v>
      </c>
      <c r="Q2584" s="74"/>
      <c r="R2584" s="76"/>
      <c r="S2584" s="84">
        <f t="shared" si="122"/>
        <v>0</v>
      </c>
    </row>
    <row r="2585" spans="1:19" ht="18" customHeight="1" x14ac:dyDescent="0.25">
      <c r="A2585" s="59"/>
      <c r="B2585" s="60"/>
      <c r="C2585" s="65"/>
      <c r="D2585" s="60"/>
      <c r="E2585" s="59"/>
      <c r="F2585" s="62"/>
      <c r="G2585" s="63"/>
      <c r="H2585" s="64"/>
      <c r="I2585" s="65"/>
      <c r="J2585" s="65"/>
      <c r="K2585" s="65"/>
      <c r="L2585" s="65"/>
      <c r="M2585" s="65"/>
      <c r="N2585" s="65"/>
      <c r="O2585" s="81">
        <f t="shared" si="120"/>
        <v>0</v>
      </c>
      <c r="P2585" s="81">
        <f t="shared" si="121"/>
        <v>0</v>
      </c>
      <c r="Q2585" s="65"/>
      <c r="R2585" s="67"/>
      <c r="S2585" s="83">
        <f t="shared" si="122"/>
        <v>0</v>
      </c>
    </row>
    <row r="2586" spans="1:19" ht="18" customHeight="1" x14ac:dyDescent="0.25">
      <c r="A2586" s="68"/>
      <c r="B2586" s="69"/>
      <c r="C2586" s="74"/>
      <c r="D2586" s="69"/>
      <c r="E2586" s="68"/>
      <c r="F2586" s="71"/>
      <c r="G2586" s="72"/>
      <c r="H2586" s="73"/>
      <c r="I2586" s="74"/>
      <c r="J2586" s="74"/>
      <c r="K2586" s="74"/>
      <c r="L2586" s="74"/>
      <c r="M2586" s="74"/>
      <c r="N2586" s="74"/>
      <c r="O2586" s="82">
        <f t="shared" si="120"/>
        <v>0</v>
      </c>
      <c r="P2586" s="82">
        <f t="shared" si="121"/>
        <v>0</v>
      </c>
      <c r="Q2586" s="74"/>
      <c r="R2586" s="76"/>
      <c r="S2586" s="84">
        <f t="shared" si="122"/>
        <v>0</v>
      </c>
    </row>
    <row r="2587" spans="1:19" ht="18" customHeight="1" x14ac:dyDescent="0.25">
      <c r="A2587" s="59"/>
      <c r="B2587" s="60"/>
      <c r="C2587" s="65"/>
      <c r="D2587" s="60"/>
      <c r="E2587" s="59"/>
      <c r="F2587" s="62"/>
      <c r="G2587" s="63"/>
      <c r="H2587" s="64"/>
      <c r="I2587" s="65"/>
      <c r="J2587" s="65"/>
      <c r="K2587" s="65"/>
      <c r="L2587" s="65"/>
      <c r="M2587" s="65"/>
      <c r="N2587" s="65"/>
      <c r="O2587" s="81">
        <f t="shared" si="120"/>
        <v>0</v>
      </c>
      <c r="P2587" s="81">
        <f t="shared" si="121"/>
        <v>0</v>
      </c>
      <c r="Q2587" s="65"/>
      <c r="R2587" s="67"/>
      <c r="S2587" s="83">
        <f t="shared" si="122"/>
        <v>0</v>
      </c>
    </row>
    <row r="2588" spans="1:19" ht="18" customHeight="1" x14ac:dyDescent="0.25">
      <c r="A2588" s="68"/>
      <c r="B2588" s="69"/>
      <c r="C2588" s="74"/>
      <c r="D2588" s="69"/>
      <c r="E2588" s="68"/>
      <c r="F2588" s="71"/>
      <c r="G2588" s="72"/>
      <c r="H2588" s="73"/>
      <c r="I2588" s="74"/>
      <c r="J2588" s="74"/>
      <c r="K2588" s="74"/>
      <c r="L2588" s="74"/>
      <c r="M2588" s="74"/>
      <c r="N2588" s="74"/>
      <c r="O2588" s="82">
        <f t="shared" si="120"/>
        <v>0</v>
      </c>
      <c r="P2588" s="82">
        <f t="shared" si="121"/>
        <v>0</v>
      </c>
      <c r="Q2588" s="74"/>
      <c r="R2588" s="76"/>
      <c r="S2588" s="84">
        <f t="shared" si="122"/>
        <v>0</v>
      </c>
    </row>
    <row r="2589" spans="1:19" ht="18" customHeight="1" x14ac:dyDescent="0.25">
      <c r="A2589" s="59"/>
      <c r="B2589" s="60"/>
      <c r="C2589" s="65"/>
      <c r="D2589" s="60"/>
      <c r="E2589" s="59"/>
      <c r="F2589" s="62"/>
      <c r="G2589" s="63"/>
      <c r="H2589" s="64"/>
      <c r="I2589" s="65"/>
      <c r="J2589" s="65"/>
      <c r="K2589" s="65"/>
      <c r="L2589" s="65"/>
      <c r="M2589" s="65"/>
      <c r="N2589" s="65"/>
      <c r="O2589" s="81">
        <f t="shared" si="120"/>
        <v>0</v>
      </c>
      <c r="P2589" s="81">
        <f t="shared" si="121"/>
        <v>0</v>
      </c>
      <c r="Q2589" s="65"/>
      <c r="R2589" s="67"/>
      <c r="S2589" s="83">
        <f t="shared" si="122"/>
        <v>0</v>
      </c>
    </row>
    <row r="2590" spans="1:19" ht="18" customHeight="1" x14ac:dyDescent="0.25">
      <c r="A2590" s="68"/>
      <c r="B2590" s="69"/>
      <c r="C2590" s="74"/>
      <c r="D2590" s="69"/>
      <c r="E2590" s="68"/>
      <c r="F2590" s="71"/>
      <c r="G2590" s="72"/>
      <c r="H2590" s="73"/>
      <c r="I2590" s="74"/>
      <c r="J2590" s="74"/>
      <c r="K2590" s="74"/>
      <c r="L2590" s="74"/>
      <c r="M2590" s="74"/>
      <c r="N2590" s="74"/>
      <c r="O2590" s="82">
        <f t="shared" si="120"/>
        <v>0</v>
      </c>
      <c r="P2590" s="82">
        <f t="shared" si="121"/>
        <v>0</v>
      </c>
      <c r="Q2590" s="74"/>
      <c r="R2590" s="76"/>
      <c r="S2590" s="84">
        <f t="shared" si="122"/>
        <v>0</v>
      </c>
    </row>
    <row r="2591" spans="1:19" ht="18" customHeight="1" x14ac:dyDescent="0.25">
      <c r="A2591" s="59"/>
      <c r="B2591" s="60"/>
      <c r="C2591" s="65"/>
      <c r="D2591" s="60"/>
      <c r="E2591" s="59"/>
      <c r="F2591" s="62"/>
      <c r="G2591" s="63"/>
      <c r="H2591" s="64"/>
      <c r="I2591" s="65"/>
      <c r="J2591" s="65"/>
      <c r="K2591" s="65"/>
      <c r="L2591" s="65"/>
      <c r="M2591" s="65"/>
      <c r="N2591" s="65"/>
      <c r="O2591" s="81">
        <f t="shared" si="120"/>
        <v>0</v>
      </c>
      <c r="P2591" s="81">
        <f t="shared" si="121"/>
        <v>0</v>
      </c>
      <c r="Q2591" s="65"/>
      <c r="R2591" s="67"/>
      <c r="S2591" s="83">
        <f t="shared" si="122"/>
        <v>0</v>
      </c>
    </row>
    <row r="2592" spans="1:19" ht="18" customHeight="1" x14ac:dyDescent="0.25">
      <c r="A2592" s="68"/>
      <c r="B2592" s="69"/>
      <c r="C2592" s="74"/>
      <c r="D2592" s="69"/>
      <c r="E2592" s="68"/>
      <c r="F2592" s="71"/>
      <c r="G2592" s="72"/>
      <c r="H2592" s="73"/>
      <c r="I2592" s="74"/>
      <c r="J2592" s="74"/>
      <c r="K2592" s="74"/>
      <c r="L2592" s="74"/>
      <c r="M2592" s="74"/>
      <c r="N2592" s="74"/>
      <c r="O2592" s="82">
        <f t="shared" si="120"/>
        <v>0</v>
      </c>
      <c r="P2592" s="82">
        <f t="shared" si="121"/>
        <v>0</v>
      </c>
      <c r="Q2592" s="74"/>
      <c r="R2592" s="76"/>
      <c r="S2592" s="84">
        <f t="shared" si="122"/>
        <v>0</v>
      </c>
    </row>
    <row r="2593" spans="1:19" ht="18" customHeight="1" x14ac:dyDescent="0.25">
      <c r="A2593" s="59"/>
      <c r="B2593" s="60"/>
      <c r="C2593" s="65"/>
      <c r="D2593" s="60"/>
      <c r="E2593" s="59"/>
      <c r="F2593" s="62"/>
      <c r="G2593" s="63"/>
      <c r="H2593" s="64"/>
      <c r="I2593" s="65"/>
      <c r="J2593" s="65"/>
      <c r="K2593" s="65"/>
      <c r="L2593" s="65"/>
      <c r="M2593" s="65"/>
      <c r="N2593" s="65"/>
      <c r="O2593" s="81">
        <f t="shared" si="120"/>
        <v>0</v>
      </c>
      <c r="P2593" s="81">
        <f t="shared" si="121"/>
        <v>0</v>
      </c>
      <c r="Q2593" s="65"/>
      <c r="R2593" s="67"/>
      <c r="S2593" s="83">
        <f t="shared" si="122"/>
        <v>0</v>
      </c>
    </row>
    <row r="2594" spans="1:19" ht="18" customHeight="1" x14ac:dyDescent="0.25">
      <c r="A2594" s="68"/>
      <c r="B2594" s="69"/>
      <c r="C2594" s="74"/>
      <c r="D2594" s="69"/>
      <c r="E2594" s="68"/>
      <c r="F2594" s="71"/>
      <c r="G2594" s="72"/>
      <c r="H2594" s="73"/>
      <c r="I2594" s="74"/>
      <c r="J2594" s="74"/>
      <c r="K2594" s="74"/>
      <c r="L2594" s="74"/>
      <c r="M2594" s="74"/>
      <c r="N2594" s="74"/>
      <c r="O2594" s="82">
        <f t="shared" si="120"/>
        <v>0</v>
      </c>
      <c r="P2594" s="82">
        <f t="shared" si="121"/>
        <v>0</v>
      </c>
      <c r="Q2594" s="74"/>
      <c r="R2594" s="76"/>
      <c r="S2594" s="84">
        <f t="shared" si="122"/>
        <v>0</v>
      </c>
    </row>
    <row r="2595" spans="1:19" ht="18" customHeight="1" x14ac:dyDescent="0.25">
      <c r="A2595" s="59"/>
      <c r="B2595" s="60"/>
      <c r="C2595" s="65"/>
      <c r="D2595" s="60"/>
      <c r="E2595" s="59"/>
      <c r="F2595" s="62"/>
      <c r="G2595" s="63"/>
      <c r="H2595" s="64"/>
      <c r="I2595" s="65"/>
      <c r="J2595" s="65"/>
      <c r="K2595" s="65"/>
      <c r="L2595" s="65"/>
      <c r="M2595" s="65"/>
      <c r="N2595" s="65"/>
      <c r="O2595" s="81">
        <f t="shared" si="120"/>
        <v>0</v>
      </c>
      <c r="P2595" s="81">
        <f t="shared" si="121"/>
        <v>0</v>
      </c>
      <c r="Q2595" s="65"/>
      <c r="R2595" s="67"/>
      <c r="S2595" s="83">
        <f t="shared" si="122"/>
        <v>0</v>
      </c>
    </row>
    <row r="2596" spans="1:19" ht="18" customHeight="1" x14ac:dyDescent="0.25">
      <c r="A2596" s="68"/>
      <c r="B2596" s="69"/>
      <c r="C2596" s="74"/>
      <c r="D2596" s="69"/>
      <c r="E2596" s="68"/>
      <c r="F2596" s="71"/>
      <c r="G2596" s="72"/>
      <c r="H2596" s="73"/>
      <c r="I2596" s="74"/>
      <c r="J2596" s="74"/>
      <c r="K2596" s="74"/>
      <c r="L2596" s="74"/>
      <c r="M2596" s="74"/>
      <c r="N2596" s="74"/>
      <c r="O2596" s="82">
        <f t="shared" si="120"/>
        <v>0</v>
      </c>
      <c r="P2596" s="82">
        <f t="shared" si="121"/>
        <v>0</v>
      </c>
      <c r="Q2596" s="74"/>
      <c r="R2596" s="76"/>
      <c r="S2596" s="84">
        <f t="shared" si="122"/>
        <v>0</v>
      </c>
    </row>
    <row r="2597" spans="1:19" ht="18" customHeight="1" x14ac:dyDescent="0.25">
      <c r="A2597" s="59"/>
      <c r="B2597" s="60"/>
      <c r="C2597" s="65"/>
      <c r="D2597" s="60"/>
      <c r="E2597" s="59"/>
      <c r="F2597" s="62"/>
      <c r="G2597" s="63"/>
      <c r="H2597" s="64"/>
      <c r="I2597" s="65"/>
      <c r="J2597" s="65"/>
      <c r="K2597" s="65"/>
      <c r="L2597" s="65"/>
      <c r="M2597" s="65"/>
      <c r="N2597" s="65"/>
      <c r="O2597" s="81">
        <f t="shared" si="120"/>
        <v>0</v>
      </c>
      <c r="P2597" s="81">
        <f t="shared" si="121"/>
        <v>0</v>
      </c>
      <c r="Q2597" s="65"/>
      <c r="R2597" s="67"/>
      <c r="S2597" s="83">
        <f t="shared" si="122"/>
        <v>0</v>
      </c>
    </row>
    <row r="2598" spans="1:19" ht="18" customHeight="1" x14ac:dyDescent="0.25">
      <c r="A2598" s="68"/>
      <c r="B2598" s="69"/>
      <c r="C2598" s="74"/>
      <c r="D2598" s="69"/>
      <c r="E2598" s="68"/>
      <c r="F2598" s="71"/>
      <c r="G2598" s="72"/>
      <c r="H2598" s="73"/>
      <c r="I2598" s="74"/>
      <c r="J2598" s="74"/>
      <c r="K2598" s="74"/>
      <c r="L2598" s="74"/>
      <c r="M2598" s="74"/>
      <c r="N2598" s="74"/>
      <c r="O2598" s="82">
        <f t="shared" si="120"/>
        <v>0</v>
      </c>
      <c r="P2598" s="82">
        <f t="shared" si="121"/>
        <v>0</v>
      </c>
      <c r="Q2598" s="74"/>
      <c r="R2598" s="76"/>
      <c r="S2598" s="84">
        <f t="shared" si="122"/>
        <v>0</v>
      </c>
    </row>
    <row r="2599" spans="1:19" ht="18" customHeight="1" x14ac:dyDescent="0.25">
      <c r="A2599" s="59"/>
      <c r="B2599" s="60"/>
      <c r="C2599" s="65"/>
      <c r="D2599" s="60"/>
      <c r="E2599" s="59"/>
      <c r="F2599" s="62"/>
      <c r="G2599" s="63"/>
      <c r="H2599" s="64"/>
      <c r="I2599" s="65"/>
      <c r="J2599" s="65"/>
      <c r="K2599" s="65"/>
      <c r="L2599" s="65"/>
      <c r="M2599" s="65"/>
      <c r="N2599" s="65"/>
      <c r="O2599" s="81">
        <f t="shared" si="120"/>
        <v>0</v>
      </c>
      <c r="P2599" s="81">
        <f t="shared" si="121"/>
        <v>0</v>
      </c>
      <c r="Q2599" s="65"/>
      <c r="R2599" s="67"/>
      <c r="S2599" s="83">
        <f t="shared" si="122"/>
        <v>0</v>
      </c>
    </row>
    <row r="2600" spans="1:19" ht="18" customHeight="1" x14ac:dyDescent="0.25">
      <c r="A2600" s="68"/>
      <c r="B2600" s="69"/>
      <c r="C2600" s="74"/>
      <c r="D2600" s="69"/>
      <c r="E2600" s="68"/>
      <c r="F2600" s="71"/>
      <c r="G2600" s="72"/>
      <c r="H2600" s="73"/>
      <c r="I2600" s="74"/>
      <c r="J2600" s="74"/>
      <c r="K2600" s="74"/>
      <c r="L2600" s="74"/>
      <c r="M2600" s="74"/>
      <c r="N2600" s="74"/>
      <c r="O2600" s="82">
        <f t="shared" si="120"/>
        <v>0</v>
      </c>
      <c r="P2600" s="82">
        <f t="shared" si="121"/>
        <v>0</v>
      </c>
      <c r="Q2600" s="74"/>
      <c r="R2600" s="76"/>
      <c r="S2600" s="84">
        <f t="shared" si="122"/>
        <v>0</v>
      </c>
    </row>
    <row r="2601" spans="1:19" ht="18" customHeight="1" x14ac:dyDescent="0.25">
      <c r="A2601" s="59"/>
      <c r="B2601" s="60"/>
      <c r="C2601" s="65"/>
      <c r="D2601" s="60"/>
      <c r="E2601" s="59"/>
      <c r="F2601" s="62"/>
      <c r="G2601" s="63"/>
      <c r="H2601" s="64"/>
      <c r="I2601" s="65"/>
      <c r="J2601" s="65"/>
      <c r="K2601" s="65"/>
      <c r="L2601" s="65"/>
      <c r="M2601" s="65"/>
      <c r="N2601" s="65"/>
      <c r="O2601" s="81">
        <f t="shared" si="120"/>
        <v>0</v>
      </c>
      <c r="P2601" s="81">
        <f t="shared" si="121"/>
        <v>0</v>
      </c>
      <c r="Q2601" s="65"/>
      <c r="R2601" s="67"/>
      <c r="S2601" s="83">
        <f t="shared" si="122"/>
        <v>0</v>
      </c>
    </row>
    <row r="2602" spans="1:19" ht="18" customHeight="1" x14ac:dyDescent="0.25">
      <c r="A2602" s="68"/>
      <c r="B2602" s="69"/>
      <c r="C2602" s="74"/>
      <c r="D2602" s="69"/>
      <c r="E2602" s="68"/>
      <c r="F2602" s="71"/>
      <c r="G2602" s="72"/>
      <c r="H2602" s="73"/>
      <c r="I2602" s="74"/>
      <c r="J2602" s="74"/>
      <c r="K2602" s="74"/>
      <c r="L2602" s="74"/>
      <c r="M2602" s="74"/>
      <c r="N2602" s="74"/>
      <c r="O2602" s="82">
        <f t="shared" si="120"/>
        <v>0</v>
      </c>
      <c r="P2602" s="82">
        <f t="shared" si="121"/>
        <v>0</v>
      </c>
      <c r="Q2602" s="74"/>
      <c r="R2602" s="76"/>
      <c r="S2602" s="84">
        <f t="shared" si="122"/>
        <v>0</v>
      </c>
    </row>
    <row r="2603" spans="1:19" ht="18" customHeight="1" x14ac:dyDescent="0.25">
      <c r="A2603" s="59"/>
      <c r="B2603" s="60"/>
      <c r="C2603" s="65"/>
      <c r="D2603" s="60"/>
      <c r="E2603" s="59"/>
      <c r="F2603" s="62"/>
      <c r="G2603" s="63"/>
      <c r="H2603" s="64"/>
      <c r="I2603" s="65"/>
      <c r="J2603" s="65"/>
      <c r="K2603" s="65"/>
      <c r="L2603" s="65"/>
      <c r="M2603" s="65"/>
      <c r="N2603" s="65"/>
      <c r="O2603" s="81">
        <f t="shared" si="120"/>
        <v>0</v>
      </c>
      <c r="P2603" s="81">
        <f t="shared" si="121"/>
        <v>0</v>
      </c>
      <c r="Q2603" s="65"/>
      <c r="R2603" s="67"/>
      <c r="S2603" s="83">
        <f t="shared" si="122"/>
        <v>0</v>
      </c>
    </row>
    <row r="2604" spans="1:19" ht="18" customHeight="1" x14ac:dyDescent="0.25">
      <c r="A2604" s="68"/>
      <c r="B2604" s="69"/>
      <c r="C2604" s="74"/>
      <c r="D2604" s="69"/>
      <c r="E2604" s="68"/>
      <c r="F2604" s="71"/>
      <c r="G2604" s="72"/>
      <c r="H2604" s="73"/>
      <c r="I2604" s="74"/>
      <c r="J2604" s="74"/>
      <c r="K2604" s="74"/>
      <c r="L2604" s="74"/>
      <c r="M2604" s="74"/>
      <c r="N2604" s="74"/>
      <c r="O2604" s="82">
        <f t="shared" si="120"/>
        <v>0</v>
      </c>
      <c r="P2604" s="82">
        <f t="shared" si="121"/>
        <v>0</v>
      </c>
      <c r="Q2604" s="74"/>
      <c r="R2604" s="76"/>
      <c r="S2604" s="84">
        <f t="shared" si="122"/>
        <v>0</v>
      </c>
    </row>
    <row r="2605" spans="1:19" ht="18" customHeight="1" x14ac:dyDescent="0.25">
      <c r="A2605" s="59"/>
      <c r="B2605" s="60"/>
      <c r="C2605" s="65"/>
      <c r="D2605" s="60"/>
      <c r="E2605" s="59"/>
      <c r="F2605" s="62"/>
      <c r="G2605" s="63"/>
      <c r="H2605" s="64"/>
      <c r="I2605" s="65"/>
      <c r="J2605" s="65"/>
      <c r="K2605" s="65"/>
      <c r="L2605" s="65"/>
      <c r="M2605" s="65"/>
      <c r="N2605" s="65"/>
      <c r="O2605" s="81">
        <f t="shared" si="120"/>
        <v>0</v>
      </c>
      <c r="P2605" s="81">
        <f t="shared" si="121"/>
        <v>0</v>
      </c>
      <c r="Q2605" s="65"/>
      <c r="R2605" s="67"/>
      <c r="S2605" s="83">
        <f t="shared" si="122"/>
        <v>0</v>
      </c>
    </row>
    <row r="2606" spans="1:19" ht="18" customHeight="1" x14ac:dyDescent="0.25">
      <c r="A2606" s="68"/>
      <c r="B2606" s="69"/>
      <c r="C2606" s="74"/>
      <c r="D2606" s="69"/>
      <c r="E2606" s="68"/>
      <c r="F2606" s="71"/>
      <c r="G2606" s="72"/>
      <c r="H2606" s="73"/>
      <c r="I2606" s="74"/>
      <c r="J2606" s="74"/>
      <c r="K2606" s="74"/>
      <c r="L2606" s="74"/>
      <c r="M2606" s="74"/>
      <c r="N2606" s="74"/>
      <c r="O2606" s="82">
        <f t="shared" si="120"/>
        <v>0</v>
      </c>
      <c r="P2606" s="82">
        <f t="shared" si="121"/>
        <v>0</v>
      </c>
      <c r="Q2606" s="74"/>
      <c r="R2606" s="76"/>
      <c r="S2606" s="84">
        <f t="shared" si="122"/>
        <v>0</v>
      </c>
    </row>
    <row r="2607" spans="1:19" ht="18" customHeight="1" x14ac:dyDescent="0.25">
      <c r="A2607" s="59"/>
      <c r="B2607" s="60"/>
      <c r="C2607" s="65"/>
      <c r="D2607" s="60"/>
      <c r="E2607" s="59"/>
      <c r="F2607" s="62"/>
      <c r="G2607" s="63"/>
      <c r="H2607" s="64"/>
      <c r="I2607" s="65"/>
      <c r="J2607" s="65"/>
      <c r="K2607" s="65"/>
      <c r="L2607" s="65"/>
      <c r="M2607" s="65"/>
      <c r="N2607" s="65"/>
      <c r="O2607" s="81">
        <f t="shared" si="120"/>
        <v>0</v>
      </c>
      <c r="P2607" s="81">
        <f t="shared" si="121"/>
        <v>0</v>
      </c>
      <c r="Q2607" s="65"/>
      <c r="R2607" s="67"/>
      <c r="S2607" s="83">
        <f t="shared" si="122"/>
        <v>0</v>
      </c>
    </row>
    <row r="2608" spans="1:19" ht="18" customHeight="1" x14ac:dyDescent="0.25">
      <c r="A2608" s="68"/>
      <c r="B2608" s="69"/>
      <c r="C2608" s="74"/>
      <c r="D2608" s="69"/>
      <c r="E2608" s="68"/>
      <c r="F2608" s="71"/>
      <c r="G2608" s="72"/>
      <c r="H2608" s="73"/>
      <c r="I2608" s="74"/>
      <c r="J2608" s="74"/>
      <c r="K2608" s="74"/>
      <c r="L2608" s="74"/>
      <c r="M2608" s="74"/>
      <c r="N2608" s="74"/>
      <c r="O2608" s="82">
        <f t="shared" si="120"/>
        <v>0</v>
      </c>
      <c r="P2608" s="82">
        <f t="shared" si="121"/>
        <v>0</v>
      </c>
      <c r="Q2608" s="74"/>
      <c r="R2608" s="76"/>
      <c r="S2608" s="84">
        <f t="shared" si="122"/>
        <v>0</v>
      </c>
    </row>
    <row r="2609" spans="1:19" ht="18" customHeight="1" x14ac:dyDescent="0.25">
      <c r="A2609" s="59"/>
      <c r="B2609" s="60"/>
      <c r="C2609" s="65"/>
      <c r="D2609" s="60"/>
      <c r="E2609" s="59"/>
      <c r="F2609" s="62"/>
      <c r="G2609" s="63"/>
      <c r="H2609" s="64"/>
      <c r="I2609" s="65"/>
      <c r="J2609" s="65"/>
      <c r="K2609" s="65"/>
      <c r="L2609" s="65"/>
      <c r="M2609" s="65"/>
      <c r="N2609" s="65"/>
      <c r="O2609" s="81">
        <f t="shared" si="120"/>
        <v>0</v>
      </c>
      <c r="P2609" s="81">
        <f t="shared" si="121"/>
        <v>0</v>
      </c>
      <c r="Q2609" s="65"/>
      <c r="R2609" s="67"/>
      <c r="S2609" s="83">
        <f t="shared" si="122"/>
        <v>0</v>
      </c>
    </row>
    <row r="2610" spans="1:19" ht="18" customHeight="1" x14ac:dyDescent="0.25">
      <c r="A2610" s="68"/>
      <c r="B2610" s="69"/>
      <c r="C2610" s="74"/>
      <c r="D2610" s="69"/>
      <c r="E2610" s="68"/>
      <c r="F2610" s="71"/>
      <c r="G2610" s="72"/>
      <c r="H2610" s="73"/>
      <c r="I2610" s="74"/>
      <c r="J2610" s="74"/>
      <c r="K2610" s="74"/>
      <c r="L2610" s="74"/>
      <c r="M2610" s="74"/>
      <c r="N2610" s="74"/>
      <c r="O2610" s="82">
        <f t="shared" si="120"/>
        <v>0</v>
      </c>
      <c r="P2610" s="82">
        <f t="shared" si="121"/>
        <v>0</v>
      </c>
      <c r="Q2610" s="74"/>
      <c r="R2610" s="76"/>
      <c r="S2610" s="84">
        <f t="shared" si="122"/>
        <v>0</v>
      </c>
    </row>
    <row r="2611" spans="1:19" ht="18" customHeight="1" x14ac:dyDescent="0.25">
      <c r="A2611" s="59"/>
      <c r="B2611" s="60"/>
      <c r="C2611" s="65"/>
      <c r="D2611" s="60"/>
      <c r="E2611" s="59"/>
      <c r="F2611" s="62"/>
      <c r="G2611" s="63"/>
      <c r="H2611" s="64"/>
      <c r="I2611" s="65"/>
      <c r="J2611" s="65"/>
      <c r="K2611" s="65"/>
      <c r="L2611" s="65"/>
      <c r="M2611" s="65"/>
      <c r="N2611" s="65"/>
      <c r="O2611" s="81">
        <f t="shared" si="120"/>
        <v>0</v>
      </c>
      <c r="P2611" s="81">
        <f t="shared" si="121"/>
        <v>0</v>
      </c>
      <c r="Q2611" s="65"/>
      <c r="R2611" s="67"/>
      <c r="S2611" s="83">
        <f t="shared" si="122"/>
        <v>0</v>
      </c>
    </row>
    <row r="2612" spans="1:19" ht="18" customHeight="1" x14ac:dyDescent="0.25">
      <c r="A2612" s="68"/>
      <c r="B2612" s="69"/>
      <c r="C2612" s="74"/>
      <c r="D2612" s="69"/>
      <c r="E2612" s="68"/>
      <c r="F2612" s="71"/>
      <c r="G2612" s="72"/>
      <c r="H2612" s="73"/>
      <c r="I2612" s="74"/>
      <c r="J2612" s="74"/>
      <c r="K2612" s="74"/>
      <c r="L2612" s="74"/>
      <c r="M2612" s="74"/>
      <c r="N2612" s="74"/>
      <c r="O2612" s="82">
        <f t="shared" si="120"/>
        <v>0</v>
      </c>
      <c r="P2612" s="82">
        <f t="shared" si="121"/>
        <v>0</v>
      </c>
      <c r="Q2612" s="74"/>
      <c r="R2612" s="76"/>
      <c r="S2612" s="84">
        <f t="shared" si="122"/>
        <v>0</v>
      </c>
    </row>
    <row r="2613" spans="1:19" ht="18" customHeight="1" x14ac:dyDescent="0.25">
      <c r="A2613" s="59"/>
      <c r="B2613" s="60"/>
      <c r="C2613" s="65"/>
      <c r="D2613" s="60"/>
      <c r="E2613" s="59"/>
      <c r="F2613" s="62"/>
      <c r="G2613" s="63"/>
      <c r="H2613" s="64"/>
      <c r="I2613" s="65"/>
      <c r="J2613" s="65"/>
      <c r="K2613" s="65"/>
      <c r="L2613" s="65"/>
      <c r="M2613" s="65"/>
      <c r="N2613" s="65"/>
      <c r="O2613" s="81">
        <f t="shared" si="120"/>
        <v>0</v>
      </c>
      <c r="P2613" s="81">
        <f t="shared" si="121"/>
        <v>0</v>
      </c>
      <c r="Q2613" s="65"/>
      <c r="R2613" s="67"/>
      <c r="S2613" s="83">
        <f t="shared" si="122"/>
        <v>0</v>
      </c>
    </row>
    <row r="2614" spans="1:19" ht="18" customHeight="1" x14ac:dyDescent="0.25">
      <c r="A2614" s="68"/>
      <c r="B2614" s="69"/>
      <c r="C2614" s="74"/>
      <c r="D2614" s="69"/>
      <c r="E2614" s="68"/>
      <c r="F2614" s="71"/>
      <c r="G2614" s="72"/>
      <c r="H2614" s="73"/>
      <c r="I2614" s="74"/>
      <c r="J2614" s="74"/>
      <c r="K2614" s="74"/>
      <c r="L2614" s="74"/>
      <c r="M2614" s="74"/>
      <c r="N2614" s="74"/>
      <c r="O2614" s="82">
        <f t="shared" si="120"/>
        <v>0</v>
      </c>
      <c r="P2614" s="82">
        <f t="shared" si="121"/>
        <v>0</v>
      </c>
      <c r="Q2614" s="74"/>
      <c r="R2614" s="76"/>
      <c r="S2614" s="84">
        <f t="shared" si="122"/>
        <v>0</v>
      </c>
    </row>
    <row r="2615" spans="1:19" ht="18" customHeight="1" x14ac:dyDescent="0.25">
      <c r="A2615" s="59"/>
      <c r="B2615" s="60"/>
      <c r="C2615" s="65"/>
      <c r="D2615" s="60"/>
      <c r="E2615" s="59"/>
      <c r="F2615" s="62"/>
      <c r="G2615" s="63"/>
      <c r="H2615" s="64"/>
      <c r="I2615" s="65"/>
      <c r="J2615" s="65"/>
      <c r="K2615" s="65"/>
      <c r="L2615" s="65"/>
      <c r="M2615" s="65"/>
      <c r="N2615" s="65"/>
      <c r="O2615" s="81">
        <f t="shared" si="120"/>
        <v>0</v>
      </c>
      <c r="P2615" s="81">
        <f t="shared" si="121"/>
        <v>0</v>
      </c>
      <c r="Q2615" s="65"/>
      <c r="R2615" s="67"/>
      <c r="S2615" s="83">
        <f t="shared" si="122"/>
        <v>0</v>
      </c>
    </row>
    <row r="2616" spans="1:19" ht="18" customHeight="1" x14ac:dyDescent="0.25">
      <c r="A2616" s="68"/>
      <c r="B2616" s="69"/>
      <c r="C2616" s="74"/>
      <c r="D2616" s="69"/>
      <c r="E2616" s="68"/>
      <c r="F2616" s="71"/>
      <c r="G2616" s="72"/>
      <c r="H2616" s="73"/>
      <c r="I2616" s="74"/>
      <c r="J2616" s="74"/>
      <c r="K2616" s="74"/>
      <c r="L2616" s="74"/>
      <c r="M2616" s="74"/>
      <c r="N2616" s="74"/>
      <c r="O2616" s="82">
        <f t="shared" si="120"/>
        <v>0</v>
      </c>
      <c r="P2616" s="82">
        <f t="shared" si="121"/>
        <v>0</v>
      </c>
      <c r="Q2616" s="74"/>
      <c r="R2616" s="76"/>
      <c r="S2616" s="84">
        <f t="shared" si="122"/>
        <v>0</v>
      </c>
    </row>
    <row r="2617" spans="1:19" ht="18" customHeight="1" x14ac:dyDescent="0.25">
      <c r="A2617" s="59"/>
      <c r="B2617" s="60"/>
      <c r="C2617" s="65"/>
      <c r="D2617" s="60"/>
      <c r="E2617" s="59"/>
      <c r="F2617" s="62"/>
      <c r="G2617" s="63"/>
      <c r="H2617" s="64"/>
      <c r="I2617" s="65"/>
      <c r="J2617" s="65"/>
      <c r="K2617" s="65"/>
      <c r="L2617" s="65"/>
      <c r="M2617" s="65"/>
      <c r="N2617" s="65"/>
      <c r="O2617" s="81">
        <f t="shared" si="120"/>
        <v>0</v>
      </c>
      <c r="P2617" s="81">
        <f t="shared" si="121"/>
        <v>0</v>
      </c>
      <c r="Q2617" s="65"/>
      <c r="R2617" s="67"/>
      <c r="S2617" s="83">
        <f t="shared" si="122"/>
        <v>0</v>
      </c>
    </row>
    <row r="2618" spans="1:19" ht="18" customHeight="1" x14ac:dyDescent="0.25">
      <c r="A2618" s="68"/>
      <c r="B2618" s="69"/>
      <c r="C2618" s="74"/>
      <c r="D2618" s="69"/>
      <c r="E2618" s="68"/>
      <c r="F2618" s="71"/>
      <c r="G2618" s="72"/>
      <c r="H2618" s="73"/>
      <c r="I2618" s="74"/>
      <c r="J2618" s="74"/>
      <c r="K2618" s="74"/>
      <c r="L2618" s="74"/>
      <c r="M2618" s="74"/>
      <c r="N2618" s="74"/>
      <c r="O2618" s="82">
        <f t="shared" si="120"/>
        <v>0</v>
      </c>
      <c r="P2618" s="82">
        <f t="shared" si="121"/>
        <v>0</v>
      </c>
      <c r="Q2618" s="74"/>
      <c r="R2618" s="76"/>
      <c r="S2618" s="84">
        <f t="shared" si="122"/>
        <v>0</v>
      </c>
    </row>
    <row r="2619" spans="1:19" ht="18" customHeight="1" x14ac:dyDescent="0.25">
      <c r="A2619" s="59"/>
      <c r="B2619" s="60"/>
      <c r="C2619" s="65"/>
      <c r="D2619" s="60"/>
      <c r="E2619" s="59"/>
      <c r="F2619" s="62"/>
      <c r="G2619" s="63"/>
      <c r="H2619" s="64"/>
      <c r="I2619" s="65"/>
      <c r="J2619" s="65"/>
      <c r="K2619" s="65"/>
      <c r="L2619" s="65"/>
      <c r="M2619" s="65"/>
      <c r="N2619" s="65"/>
      <c r="O2619" s="81">
        <f t="shared" si="120"/>
        <v>0</v>
      </c>
      <c r="P2619" s="81">
        <f t="shared" si="121"/>
        <v>0</v>
      </c>
      <c r="Q2619" s="65"/>
      <c r="R2619" s="67"/>
      <c r="S2619" s="83">
        <f t="shared" si="122"/>
        <v>0</v>
      </c>
    </row>
    <row r="2620" spans="1:19" ht="18" customHeight="1" x14ac:dyDescent="0.25">
      <c r="A2620" s="68"/>
      <c r="B2620" s="69"/>
      <c r="C2620" s="74"/>
      <c r="D2620" s="69"/>
      <c r="E2620" s="68"/>
      <c r="F2620" s="71"/>
      <c r="G2620" s="72"/>
      <c r="H2620" s="73"/>
      <c r="I2620" s="74"/>
      <c r="J2620" s="74"/>
      <c r="K2620" s="74"/>
      <c r="L2620" s="74"/>
      <c r="M2620" s="74"/>
      <c r="N2620" s="74"/>
      <c r="O2620" s="82">
        <f t="shared" si="120"/>
        <v>0</v>
      </c>
      <c r="P2620" s="82">
        <f t="shared" si="121"/>
        <v>0</v>
      </c>
      <c r="Q2620" s="74"/>
      <c r="R2620" s="76"/>
      <c r="S2620" s="84">
        <f t="shared" si="122"/>
        <v>0</v>
      </c>
    </row>
    <row r="2621" spans="1:19" ht="18" customHeight="1" x14ac:dyDescent="0.25">
      <c r="A2621" s="59"/>
      <c r="B2621" s="60"/>
      <c r="C2621" s="65"/>
      <c r="D2621" s="60"/>
      <c r="E2621" s="59"/>
      <c r="F2621" s="62"/>
      <c r="G2621" s="63"/>
      <c r="H2621" s="64"/>
      <c r="I2621" s="65"/>
      <c r="J2621" s="65"/>
      <c r="K2621" s="65"/>
      <c r="L2621" s="65"/>
      <c r="M2621" s="65"/>
      <c r="N2621" s="65"/>
      <c r="O2621" s="81">
        <f t="shared" si="120"/>
        <v>0</v>
      </c>
      <c r="P2621" s="81">
        <f t="shared" si="121"/>
        <v>0</v>
      </c>
      <c r="Q2621" s="65"/>
      <c r="R2621" s="67"/>
      <c r="S2621" s="83">
        <f t="shared" si="122"/>
        <v>0</v>
      </c>
    </row>
    <row r="2622" spans="1:19" ht="18" customHeight="1" x14ac:dyDescent="0.25">
      <c r="A2622" s="68"/>
      <c r="B2622" s="69"/>
      <c r="C2622" s="74"/>
      <c r="D2622" s="69"/>
      <c r="E2622" s="68"/>
      <c r="F2622" s="71"/>
      <c r="G2622" s="72"/>
      <c r="H2622" s="73"/>
      <c r="I2622" s="74"/>
      <c r="J2622" s="74"/>
      <c r="K2622" s="74"/>
      <c r="L2622" s="74"/>
      <c r="M2622" s="74"/>
      <c r="N2622" s="74"/>
      <c r="O2622" s="82">
        <f t="shared" si="120"/>
        <v>0</v>
      </c>
      <c r="P2622" s="82">
        <f t="shared" si="121"/>
        <v>0</v>
      </c>
      <c r="Q2622" s="74"/>
      <c r="R2622" s="76"/>
      <c r="S2622" s="84">
        <f t="shared" si="122"/>
        <v>0</v>
      </c>
    </row>
    <row r="2623" spans="1:19" ht="18" customHeight="1" x14ac:dyDescent="0.25">
      <c r="A2623" s="59"/>
      <c r="B2623" s="60"/>
      <c r="C2623" s="65"/>
      <c r="D2623" s="60"/>
      <c r="E2623" s="59"/>
      <c r="F2623" s="62"/>
      <c r="G2623" s="63"/>
      <c r="H2623" s="64"/>
      <c r="I2623" s="65"/>
      <c r="J2623" s="65"/>
      <c r="K2623" s="65"/>
      <c r="L2623" s="65"/>
      <c r="M2623" s="65"/>
      <c r="N2623" s="65"/>
      <c r="O2623" s="81">
        <f t="shared" si="120"/>
        <v>0</v>
      </c>
      <c r="P2623" s="81">
        <f t="shared" si="121"/>
        <v>0</v>
      </c>
      <c r="Q2623" s="65"/>
      <c r="R2623" s="67"/>
      <c r="S2623" s="83">
        <f t="shared" si="122"/>
        <v>0</v>
      </c>
    </row>
    <row r="2624" spans="1:19" ht="18" customHeight="1" x14ac:dyDescent="0.25">
      <c r="A2624" s="68"/>
      <c r="B2624" s="69"/>
      <c r="C2624" s="74"/>
      <c r="D2624" s="69"/>
      <c r="E2624" s="68"/>
      <c r="F2624" s="71"/>
      <c r="G2624" s="72"/>
      <c r="H2624" s="73"/>
      <c r="I2624" s="74"/>
      <c r="J2624" s="74"/>
      <c r="K2624" s="74"/>
      <c r="L2624" s="74"/>
      <c r="M2624" s="74"/>
      <c r="N2624" s="74"/>
      <c r="O2624" s="82">
        <f t="shared" si="120"/>
        <v>0</v>
      </c>
      <c r="P2624" s="82">
        <f t="shared" si="121"/>
        <v>0</v>
      </c>
      <c r="Q2624" s="74"/>
      <c r="R2624" s="76"/>
      <c r="S2624" s="84">
        <f t="shared" si="122"/>
        <v>0</v>
      </c>
    </row>
    <row r="2625" spans="1:19" ht="18" customHeight="1" x14ac:dyDescent="0.25">
      <c r="A2625" s="59"/>
      <c r="B2625" s="60"/>
      <c r="C2625" s="65"/>
      <c r="D2625" s="60"/>
      <c r="E2625" s="59"/>
      <c r="F2625" s="62"/>
      <c r="G2625" s="63"/>
      <c r="H2625" s="64"/>
      <c r="I2625" s="65"/>
      <c r="J2625" s="65"/>
      <c r="K2625" s="65"/>
      <c r="L2625" s="65"/>
      <c r="M2625" s="65"/>
      <c r="N2625" s="65"/>
      <c r="O2625" s="81">
        <f t="shared" si="120"/>
        <v>0</v>
      </c>
      <c r="P2625" s="81">
        <f t="shared" si="121"/>
        <v>0</v>
      </c>
      <c r="Q2625" s="65"/>
      <c r="R2625" s="67"/>
      <c r="S2625" s="83">
        <f t="shared" si="122"/>
        <v>0</v>
      </c>
    </row>
    <row r="2626" spans="1:19" ht="18" customHeight="1" x14ac:dyDescent="0.25">
      <c r="A2626" s="68"/>
      <c r="B2626" s="69"/>
      <c r="C2626" s="74"/>
      <c r="D2626" s="69"/>
      <c r="E2626" s="68"/>
      <c r="F2626" s="71"/>
      <c r="G2626" s="72"/>
      <c r="H2626" s="73"/>
      <c r="I2626" s="74"/>
      <c r="J2626" s="74"/>
      <c r="K2626" s="74"/>
      <c r="L2626" s="74"/>
      <c r="M2626" s="74"/>
      <c r="N2626" s="74"/>
      <c r="O2626" s="82">
        <f t="shared" si="120"/>
        <v>0</v>
      </c>
      <c r="P2626" s="82">
        <f t="shared" si="121"/>
        <v>0</v>
      </c>
      <c r="Q2626" s="74"/>
      <c r="R2626" s="76"/>
      <c r="S2626" s="84">
        <f t="shared" si="122"/>
        <v>0</v>
      </c>
    </row>
    <row r="2627" spans="1:19" ht="18" customHeight="1" x14ac:dyDescent="0.25">
      <c r="A2627" s="59"/>
      <c r="B2627" s="60"/>
      <c r="C2627" s="65"/>
      <c r="D2627" s="60"/>
      <c r="E2627" s="59"/>
      <c r="F2627" s="62"/>
      <c r="G2627" s="63"/>
      <c r="H2627" s="64"/>
      <c r="I2627" s="65"/>
      <c r="J2627" s="65"/>
      <c r="K2627" s="65"/>
      <c r="L2627" s="65"/>
      <c r="M2627" s="65"/>
      <c r="N2627" s="65"/>
      <c r="O2627" s="81">
        <f t="shared" si="120"/>
        <v>0</v>
      </c>
      <c r="P2627" s="81">
        <f t="shared" si="121"/>
        <v>0</v>
      </c>
      <c r="Q2627" s="65"/>
      <c r="R2627" s="67"/>
      <c r="S2627" s="83">
        <f t="shared" si="122"/>
        <v>0</v>
      </c>
    </row>
    <row r="2628" spans="1:19" ht="18" customHeight="1" x14ac:dyDescent="0.25">
      <c r="A2628" s="68"/>
      <c r="B2628" s="69"/>
      <c r="C2628" s="74"/>
      <c r="D2628" s="69"/>
      <c r="E2628" s="68"/>
      <c r="F2628" s="71"/>
      <c r="G2628" s="72"/>
      <c r="H2628" s="73"/>
      <c r="I2628" s="74"/>
      <c r="J2628" s="74"/>
      <c r="K2628" s="74"/>
      <c r="L2628" s="74"/>
      <c r="M2628" s="74"/>
      <c r="N2628" s="74"/>
      <c r="O2628" s="82">
        <f t="shared" si="120"/>
        <v>0</v>
      </c>
      <c r="P2628" s="82">
        <f t="shared" si="121"/>
        <v>0</v>
      </c>
      <c r="Q2628" s="74"/>
      <c r="R2628" s="76"/>
      <c r="S2628" s="84">
        <f t="shared" si="122"/>
        <v>0</v>
      </c>
    </row>
    <row r="2629" spans="1:19" ht="18" customHeight="1" x14ac:dyDescent="0.25">
      <c r="A2629" s="59"/>
      <c r="B2629" s="60"/>
      <c r="C2629" s="65"/>
      <c r="D2629" s="60"/>
      <c r="E2629" s="59"/>
      <c r="F2629" s="62"/>
      <c r="G2629" s="63"/>
      <c r="H2629" s="64"/>
      <c r="I2629" s="65"/>
      <c r="J2629" s="65"/>
      <c r="K2629" s="65"/>
      <c r="L2629" s="65"/>
      <c r="M2629" s="65"/>
      <c r="N2629" s="65"/>
      <c r="O2629" s="81">
        <f t="shared" si="120"/>
        <v>0</v>
      </c>
      <c r="P2629" s="81">
        <f t="shared" si="121"/>
        <v>0</v>
      </c>
      <c r="Q2629" s="65"/>
      <c r="R2629" s="67"/>
      <c r="S2629" s="83">
        <f t="shared" si="122"/>
        <v>0</v>
      </c>
    </row>
    <row r="2630" spans="1:19" ht="18" customHeight="1" x14ac:dyDescent="0.25">
      <c r="A2630" s="68"/>
      <c r="B2630" s="69"/>
      <c r="C2630" s="74"/>
      <c r="D2630" s="69"/>
      <c r="E2630" s="68"/>
      <c r="F2630" s="71"/>
      <c r="G2630" s="72"/>
      <c r="H2630" s="73"/>
      <c r="I2630" s="74"/>
      <c r="J2630" s="74"/>
      <c r="K2630" s="74"/>
      <c r="L2630" s="74"/>
      <c r="M2630" s="74"/>
      <c r="N2630" s="74"/>
      <c r="O2630" s="82" t="e">
        <f>#N/A</f>
        <v>#N/A</v>
      </c>
      <c r="P2630" s="82" t="e">
        <f>#N/A</f>
        <v>#N/A</v>
      </c>
      <c r="Q2630" s="74"/>
      <c r="R2630" s="76"/>
      <c r="S2630" s="84">
        <f t="shared" si="122"/>
        <v>0</v>
      </c>
    </row>
    <row r="2631" spans="1:19" ht="18" customHeight="1" x14ac:dyDescent="0.25">
      <c r="A2631" s="59"/>
      <c r="B2631" s="60"/>
      <c r="C2631" s="65"/>
      <c r="D2631" s="60"/>
      <c r="E2631" s="59"/>
      <c r="F2631" s="62"/>
      <c r="G2631" s="63"/>
      <c r="H2631" s="64"/>
      <c r="I2631" s="65"/>
      <c r="J2631" s="65"/>
      <c r="K2631" s="65"/>
      <c r="L2631" s="65"/>
      <c r="M2631" s="65"/>
      <c r="N2631" s="65"/>
      <c r="O2631" s="81">
        <f t="shared" ref="O2631:O2693" si="123">IF(G2631="Reimbursement ","",I2631+J2631+K2631+L2631+M2631)</f>
        <v>0</v>
      </c>
      <c r="P2631" s="81">
        <f t="shared" ref="P2631:P2693" si="124">IF(G2631="Reimbursement ","",H2631-O2631)</f>
        <v>0</v>
      </c>
      <c r="Q2631" s="65"/>
      <c r="R2631" s="67"/>
      <c r="S2631" s="83">
        <f t="shared" ref="S2631:S2694" si="125">IF(OR(R2631="",Q2631=""),0,IF(R2631&gt;Q2631,R2631-Q2631,0))</f>
        <v>0</v>
      </c>
    </row>
    <row r="2632" spans="1:19" ht="18" customHeight="1" x14ac:dyDescent="0.25">
      <c r="A2632" s="68"/>
      <c r="B2632" s="69"/>
      <c r="C2632" s="74"/>
      <c r="D2632" s="69"/>
      <c r="E2632" s="68"/>
      <c r="F2632" s="71"/>
      <c r="G2632" s="72"/>
      <c r="H2632" s="73"/>
      <c r="I2632" s="74"/>
      <c r="J2632" s="74"/>
      <c r="K2632" s="74"/>
      <c r="L2632" s="74"/>
      <c r="M2632" s="74"/>
      <c r="N2632" s="74"/>
      <c r="O2632" s="82">
        <f t="shared" si="123"/>
        <v>0</v>
      </c>
      <c r="P2632" s="82">
        <f t="shared" si="124"/>
        <v>0</v>
      </c>
      <c r="Q2632" s="74"/>
      <c r="R2632" s="76"/>
      <c r="S2632" s="84">
        <f t="shared" si="125"/>
        <v>0</v>
      </c>
    </row>
    <row r="2633" spans="1:19" ht="18" customHeight="1" x14ac:dyDescent="0.25">
      <c r="A2633" s="59"/>
      <c r="B2633" s="60"/>
      <c r="C2633" s="65"/>
      <c r="D2633" s="60"/>
      <c r="E2633" s="59"/>
      <c r="F2633" s="62"/>
      <c r="G2633" s="63"/>
      <c r="H2633" s="64"/>
      <c r="I2633" s="65"/>
      <c r="J2633" s="65"/>
      <c r="K2633" s="65"/>
      <c r="L2633" s="65"/>
      <c r="M2633" s="65"/>
      <c r="N2633" s="65"/>
      <c r="O2633" s="81">
        <f t="shared" si="123"/>
        <v>0</v>
      </c>
      <c r="P2633" s="81">
        <f t="shared" si="124"/>
        <v>0</v>
      </c>
      <c r="Q2633" s="65"/>
      <c r="R2633" s="67"/>
      <c r="S2633" s="83">
        <f t="shared" si="125"/>
        <v>0</v>
      </c>
    </row>
    <row r="2634" spans="1:19" ht="18" customHeight="1" x14ac:dyDescent="0.25">
      <c r="A2634" s="68"/>
      <c r="B2634" s="69"/>
      <c r="C2634" s="74"/>
      <c r="D2634" s="69"/>
      <c r="E2634" s="68"/>
      <c r="F2634" s="71"/>
      <c r="G2634" s="72"/>
      <c r="H2634" s="73"/>
      <c r="I2634" s="74"/>
      <c r="J2634" s="74"/>
      <c r="K2634" s="74"/>
      <c r="L2634" s="74"/>
      <c r="M2634" s="74"/>
      <c r="N2634" s="74"/>
      <c r="O2634" s="82">
        <f t="shared" si="123"/>
        <v>0</v>
      </c>
      <c r="P2634" s="82">
        <f t="shared" si="124"/>
        <v>0</v>
      </c>
      <c r="Q2634" s="74"/>
      <c r="R2634" s="76"/>
      <c r="S2634" s="84">
        <f t="shared" si="125"/>
        <v>0</v>
      </c>
    </row>
    <row r="2635" spans="1:19" ht="18" customHeight="1" x14ac:dyDescent="0.25">
      <c r="A2635" s="59"/>
      <c r="B2635" s="60"/>
      <c r="C2635" s="65"/>
      <c r="D2635" s="60"/>
      <c r="E2635" s="59"/>
      <c r="F2635" s="62"/>
      <c r="G2635" s="63"/>
      <c r="H2635" s="64"/>
      <c r="I2635" s="65"/>
      <c r="J2635" s="65"/>
      <c r="K2635" s="65"/>
      <c r="L2635" s="65"/>
      <c r="M2635" s="65"/>
      <c r="N2635" s="65"/>
      <c r="O2635" s="81">
        <f t="shared" si="123"/>
        <v>0</v>
      </c>
      <c r="P2635" s="81">
        <f t="shared" si="124"/>
        <v>0</v>
      </c>
      <c r="Q2635" s="65"/>
      <c r="R2635" s="67"/>
      <c r="S2635" s="83">
        <f t="shared" si="125"/>
        <v>0</v>
      </c>
    </row>
    <row r="2636" spans="1:19" ht="18" customHeight="1" x14ac:dyDescent="0.25">
      <c r="A2636" s="68"/>
      <c r="B2636" s="69"/>
      <c r="C2636" s="74"/>
      <c r="D2636" s="69"/>
      <c r="E2636" s="68"/>
      <c r="F2636" s="71"/>
      <c r="G2636" s="72"/>
      <c r="H2636" s="73"/>
      <c r="I2636" s="74"/>
      <c r="J2636" s="74"/>
      <c r="K2636" s="74"/>
      <c r="L2636" s="74"/>
      <c r="M2636" s="74"/>
      <c r="N2636" s="74"/>
      <c r="O2636" s="82">
        <f t="shared" si="123"/>
        <v>0</v>
      </c>
      <c r="P2636" s="82">
        <f t="shared" si="124"/>
        <v>0</v>
      </c>
      <c r="Q2636" s="74"/>
      <c r="R2636" s="76"/>
      <c r="S2636" s="84">
        <f t="shared" si="125"/>
        <v>0</v>
      </c>
    </row>
    <row r="2637" spans="1:19" ht="18" customHeight="1" x14ac:dyDescent="0.25">
      <c r="A2637" s="59"/>
      <c r="B2637" s="60"/>
      <c r="C2637" s="65"/>
      <c r="D2637" s="60"/>
      <c r="E2637" s="59"/>
      <c r="F2637" s="62"/>
      <c r="G2637" s="63"/>
      <c r="H2637" s="64"/>
      <c r="I2637" s="65"/>
      <c r="J2637" s="65"/>
      <c r="K2637" s="65"/>
      <c r="L2637" s="65"/>
      <c r="M2637" s="65"/>
      <c r="N2637" s="65"/>
      <c r="O2637" s="81">
        <f t="shared" si="123"/>
        <v>0</v>
      </c>
      <c r="P2637" s="81">
        <f t="shared" si="124"/>
        <v>0</v>
      </c>
      <c r="Q2637" s="65"/>
      <c r="R2637" s="67"/>
      <c r="S2637" s="83">
        <f t="shared" si="125"/>
        <v>0</v>
      </c>
    </row>
    <row r="2638" spans="1:19" ht="18" customHeight="1" x14ac:dyDescent="0.25">
      <c r="A2638" s="68"/>
      <c r="B2638" s="69"/>
      <c r="C2638" s="74"/>
      <c r="D2638" s="69"/>
      <c r="E2638" s="68"/>
      <c r="F2638" s="71"/>
      <c r="G2638" s="72"/>
      <c r="H2638" s="73"/>
      <c r="I2638" s="74"/>
      <c r="J2638" s="74"/>
      <c r="K2638" s="74"/>
      <c r="L2638" s="74"/>
      <c r="M2638" s="74"/>
      <c r="N2638" s="74"/>
      <c r="O2638" s="82">
        <f t="shared" si="123"/>
        <v>0</v>
      </c>
      <c r="P2638" s="82">
        <f t="shared" si="124"/>
        <v>0</v>
      </c>
      <c r="Q2638" s="74"/>
      <c r="R2638" s="76"/>
      <c r="S2638" s="84">
        <f t="shared" si="125"/>
        <v>0</v>
      </c>
    </row>
    <row r="2639" spans="1:19" ht="18" customHeight="1" x14ac:dyDescent="0.25">
      <c r="A2639" s="59"/>
      <c r="B2639" s="60"/>
      <c r="C2639" s="65"/>
      <c r="D2639" s="60"/>
      <c r="E2639" s="59"/>
      <c r="F2639" s="62"/>
      <c r="G2639" s="63"/>
      <c r="H2639" s="64"/>
      <c r="I2639" s="65"/>
      <c r="J2639" s="65"/>
      <c r="K2639" s="65"/>
      <c r="L2639" s="65"/>
      <c r="M2639" s="65"/>
      <c r="N2639" s="65"/>
      <c r="O2639" s="81">
        <f t="shared" si="123"/>
        <v>0</v>
      </c>
      <c r="P2639" s="81">
        <f t="shared" si="124"/>
        <v>0</v>
      </c>
      <c r="Q2639" s="65"/>
      <c r="R2639" s="67"/>
      <c r="S2639" s="83">
        <f t="shared" si="125"/>
        <v>0</v>
      </c>
    </row>
    <row r="2640" spans="1:19" ht="18" customHeight="1" x14ac:dyDescent="0.25">
      <c r="A2640" s="68"/>
      <c r="B2640" s="69"/>
      <c r="C2640" s="74"/>
      <c r="D2640" s="69"/>
      <c r="E2640" s="68"/>
      <c r="F2640" s="71"/>
      <c r="G2640" s="72"/>
      <c r="H2640" s="73"/>
      <c r="I2640" s="74"/>
      <c r="J2640" s="74"/>
      <c r="K2640" s="74"/>
      <c r="L2640" s="74"/>
      <c r="M2640" s="74"/>
      <c r="N2640" s="74"/>
      <c r="O2640" s="82">
        <f t="shared" si="123"/>
        <v>0</v>
      </c>
      <c r="P2640" s="82">
        <f t="shared" si="124"/>
        <v>0</v>
      </c>
      <c r="Q2640" s="74"/>
      <c r="R2640" s="76"/>
      <c r="S2640" s="84">
        <f t="shared" si="125"/>
        <v>0</v>
      </c>
    </row>
    <row r="2641" spans="1:19" ht="18" customHeight="1" x14ac:dyDescent="0.25">
      <c r="A2641" s="59"/>
      <c r="B2641" s="60"/>
      <c r="C2641" s="65"/>
      <c r="D2641" s="60"/>
      <c r="E2641" s="59"/>
      <c r="F2641" s="62"/>
      <c r="G2641" s="63"/>
      <c r="H2641" s="64"/>
      <c r="I2641" s="65"/>
      <c r="J2641" s="65"/>
      <c r="K2641" s="65"/>
      <c r="L2641" s="65"/>
      <c r="M2641" s="65"/>
      <c r="N2641" s="65"/>
      <c r="O2641" s="81">
        <f t="shared" si="123"/>
        <v>0</v>
      </c>
      <c r="P2641" s="81">
        <f t="shared" si="124"/>
        <v>0</v>
      </c>
      <c r="Q2641" s="65"/>
      <c r="R2641" s="67"/>
      <c r="S2641" s="83">
        <f t="shared" si="125"/>
        <v>0</v>
      </c>
    </row>
    <row r="2642" spans="1:19" ht="18" customHeight="1" x14ac:dyDescent="0.25">
      <c r="A2642" s="68"/>
      <c r="B2642" s="69"/>
      <c r="C2642" s="74"/>
      <c r="D2642" s="69"/>
      <c r="E2642" s="68"/>
      <c r="F2642" s="71"/>
      <c r="G2642" s="72"/>
      <c r="H2642" s="73"/>
      <c r="I2642" s="74"/>
      <c r="J2642" s="74"/>
      <c r="K2642" s="74"/>
      <c r="L2642" s="74"/>
      <c r="M2642" s="74"/>
      <c r="N2642" s="74"/>
      <c r="O2642" s="82">
        <f t="shared" si="123"/>
        <v>0</v>
      </c>
      <c r="P2642" s="82">
        <f t="shared" si="124"/>
        <v>0</v>
      </c>
      <c r="Q2642" s="74"/>
      <c r="R2642" s="76"/>
      <c r="S2642" s="84">
        <f t="shared" si="125"/>
        <v>0</v>
      </c>
    </row>
    <row r="2643" spans="1:19" ht="18" customHeight="1" x14ac:dyDescent="0.25">
      <c r="A2643" s="59"/>
      <c r="B2643" s="60"/>
      <c r="C2643" s="65"/>
      <c r="D2643" s="60"/>
      <c r="E2643" s="59"/>
      <c r="F2643" s="62"/>
      <c r="G2643" s="63"/>
      <c r="H2643" s="64"/>
      <c r="I2643" s="65"/>
      <c r="J2643" s="65"/>
      <c r="K2643" s="65"/>
      <c r="L2643" s="65"/>
      <c r="M2643" s="65"/>
      <c r="N2643" s="65"/>
      <c r="O2643" s="81">
        <f t="shared" si="123"/>
        <v>0</v>
      </c>
      <c r="P2643" s="81">
        <f t="shared" si="124"/>
        <v>0</v>
      </c>
      <c r="Q2643" s="65"/>
      <c r="R2643" s="67"/>
      <c r="S2643" s="83">
        <f t="shared" si="125"/>
        <v>0</v>
      </c>
    </row>
    <row r="2644" spans="1:19" ht="18" customHeight="1" x14ac:dyDescent="0.25">
      <c r="A2644" s="68"/>
      <c r="B2644" s="69"/>
      <c r="C2644" s="74"/>
      <c r="D2644" s="69"/>
      <c r="E2644" s="68"/>
      <c r="F2644" s="71"/>
      <c r="G2644" s="72"/>
      <c r="H2644" s="73"/>
      <c r="I2644" s="74"/>
      <c r="J2644" s="74"/>
      <c r="K2644" s="74"/>
      <c r="L2644" s="74"/>
      <c r="M2644" s="74"/>
      <c r="N2644" s="74"/>
      <c r="O2644" s="82">
        <f t="shared" si="123"/>
        <v>0</v>
      </c>
      <c r="P2644" s="82">
        <f t="shared" si="124"/>
        <v>0</v>
      </c>
      <c r="Q2644" s="74"/>
      <c r="R2644" s="76"/>
      <c r="S2644" s="84">
        <f t="shared" si="125"/>
        <v>0</v>
      </c>
    </row>
    <row r="2645" spans="1:19" ht="18" customHeight="1" x14ac:dyDescent="0.25">
      <c r="A2645" s="59"/>
      <c r="B2645" s="60"/>
      <c r="C2645" s="65"/>
      <c r="D2645" s="60"/>
      <c r="E2645" s="59"/>
      <c r="F2645" s="62"/>
      <c r="G2645" s="63"/>
      <c r="H2645" s="64"/>
      <c r="I2645" s="65"/>
      <c r="J2645" s="65"/>
      <c r="K2645" s="65"/>
      <c r="L2645" s="65"/>
      <c r="M2645" s="65"/>
      <c r="N2645" s="65"/>
      <c r="O2645" s="81">
        <f t="shared" si="123"/>
        <v>0</v>
      </c>
      <c r="P2645" s="81">
        <f t="shared" si="124"/>
        <v>0</v>
      </c>
      <c r="Q2645" s="65"/>
      <c r="R2645" s="67"/>
      <c r="S2645" s="83">
        <f t="shared" si="125"/>
        <v>0</v>
      </c>
    </row>
    <row r="2646" spans="1:19" ht="18" customHeight="1" x14ac:dyDescent="0.25">
      <c r="A2646" s="68"/>
      <c r="B2646" s="69"/>
      <c r="C2646" s="74"/>
      <c r="D2646" s="69"/>
      <c r="E2646" s="68"/>
      <c r="F2646" s="71"/>
      <c r="G2646" s="72"/>
      <c r="H2646" s="73"/>
      <c r="I2646" s="74"/>
      <c r="J2646" s="74"/>
      <c r="K2646" s="74"/>
      <c r="L2646" s="74"/>
      <c r="M2646" s="74"/>
      <c r="N2646" s="74"/>
      <c r="O2646" s="82">
        <f t="shared" si="123"/>
        <v>0</v>
      </c>
      <c r="P2646" s="82">
        <f t="shared" si="124"/>
        <v>0</v>
      </c>
      <c r="Q2646" s="74"/>
      <c r="R2646" s="76"/>
      <c r="S2646" s="84">
        <f t="shared" si="125"/>
        <v>0</v>
      </c>
    </row>
    <row r="2647" spans="1:19" ht="18" customHeight="1" x14ac:dyDescent="0.25">
      <c r="A2647" s="59"/>
      <c r="B2647" s="60"/>
      <c r="C2647" s="65"/>
      <c r="D2647" s="60"/>
      <c r="E2647" s="59"/>
      <c r="F2647" s="62"/>
      <c r="G2647" s="63"/>
      <c r="H2647" s="64"/>
      <c r="I2647" s="65"/>
      <c r="J2647" s="65"/>
      <c r="K2647" s="65"/>
      <c r="L2647" s="65"/>
      <c r="M2647" s="65"/>
      <c r="N2647" s="65"/>
      <c r="O2647" s="81">
        <f t="shared" si="123"/>
        <v>0</v>
      </c>
      <c r="P2647" s="81">
        <f t="shared" si="124"/>
        <v>0</v>
      </c>
      <c r="Q2647" s="65"/>
      <c r="R2647" s="67"/>
      <c r="S2647" s="83">
        <f t="shared" si="125"/>
        <v>0</v>
      </c>
    </row>
    <row r="2648" spans="1:19" ht="18" customHeight="1" x14ac:dyDescent="0.25">
      <c r="A2648" s="68"/>
      <c r="B2648" s="69"/>
      <c r="C2648" s="74"/>
      <c r="D2648" s="69"/>
      <c r="E2648" s="68"/>
      <c r="F2648" s="71"/>
      <c r="G2648" s="72"/>
      <c r="H2648" s="73"/>
      <c r="I2648" s="74"/>
      <c r="J2648" s="74"/>
      <c r="K2648" s="74"/>
      <c r="L2648" s="74"/>
      <c r="M2648" s="74"/>
      <c r="N2648" s="74"/>
      <c r="O2648" s="82">
        <f t="shared" si="123"/>
        <v>0</v>
      </c>
      <c r="P2648" s="82">
        <f t="shared" si="124"/>
        <v>0</v>
      </c>
      <c r="Q2648" s="74"/>
      <c r="R2648" s="76"/>
      <c r="S2648" s="84">
        <f t="shared" si="125"/>
        <v>0</v>
      </c>
    </row>
    <row r="2649" spans="1:19" ht="18" customHeight="1" x14ac:dyDescent="0.25">
      <c r="A2649" s="59"/>
      <c r="B2649" s="60"/>
      <c r="C2649" s="65"/>
      <c r="D2649" s="60"/>
      <c r="E2649" s="59"/>
      <c r="F2649" s="62"/>
      <c r="G2649" s="63"/>
      <c r="H2649" s="64"/>
      <c r="I2649" s="65"/>
      <c r="J2649" s="65"/>
      <c r="K2649" s="65"/>
      <c r="L2649" s="65"/>
      <c r="M2649" s="65"/>
      <c r="N2649" s="65"/>
      <c r="O2649" s="81">
        <f t="shared" si="123"/>
        <v>0</v>
      </c>
      <c r="P2649" s="81">
        <f t="shared" si="124"/>
        <v>0</v>
      </c>
      <c r="Q2649" s="65"/>
      <c r="R2649" s="67"/>
      <c r="S2649" s="83">
        <f t="shared" si="125"/>
        <v>0</v>
      </c>
    </row>
    <row r="2650" spans="1:19" ht="18" customHeight="1" x14ac:dyDescent="0.25">
      <c r="A2650" s="68"/>
      <c r="B2650" s="69"/>
      <c r="C2650" s="74"/>
      <c r="D2650" s="69"/>
      <c r="E2650" s="68"/>
      <c r="F2650" s="71"/>
      <c r="G2650" s="72"/>
      <c r="H2650" s="73"/>
      <c r="I2650" s="74"/>
      <c r="J2650" s="74"/>
      <c r="K2650" s="74"/>
      <c r="L2650" s="74"/>
      <c r="M2650" s="74"/>
      <c r="N2650" s="74"/>
      <c r="O2650" s="82">
        <f t="shared" si="123"/>
        <v>0</v>
      </c>
      <c r="P2650" s="82">
        <f t="shared" si="124"/>
        <v>0</v>
      </c>
      <c r="Q2650" s="74"/>
      <c r="R2650" s="76"/>
      <c r="S2650" s="84">
        <f t="shared" si="125"/>
        <v>0</v>
      </c>
    </row>
    <row r="2651" spans="1:19" ht="18" customHeight="1" x14ac:dyDescent="0.25">
      <c r="A2651" s="59"/>
      <c r="B2651" s="60"/>
      <c r="C2651" s="65"/>
      <c r="D2651" s="60"/>
      <c r="E2651" s="59"/>
      <c r="F2651" s="62"/>
      <c r="G2651" s="63"/>
      <c r="H2651" s="64"/>
      <c r="I2651" s="65"/>
      <c r="J2651" s="65"/>
      <c r="K2651" s="65"/>
      <c r="L2651" s="65"/>
      <c r="M2651" s="65"/>
      <c r="N2651" s="65"/>
      <c r="O2651" s="81">
        <f t="shared" si="123"/>
        <v>0</v>
      </c>
      <c r="P2651" s="81">
        <f t="shared" si="124"/>
        <v>0</v>
      </c>
      <c r="Q2651" s="65"/>
      <c r="R2651" s="67"/>
      <c r="S2651" s="83">
        <f t="shared" si="125"/>
        <v>0</v>
      </c>
    </row>
    <row r="2652" spans="1:19" ht="18" customHeight="1" x14ac:dyDescent="0.25">
      <c r="A2652" s="68"/>
      <c r="B2652" s="69"/>
      <c r="C2652" s="74"/>
      <c r="D2652" s="69"/>
      <c r="E2652" s="68"/>
      <c r="F2652" s="71"/>
      <c r="G2652" s="72"/>
      <c r="H2652" s="73"/>
      <c r="I2652" s="74"/>
      <c r="J2652" s="74"/>
      <c r="K2652" s="74"/>
      <c r="L2652" s="74"/>
      <c r="M2652" s="74"/>
      <c r="N2652" s="74"/>
      <c r="O2652" s="82">
        <f t="shared" si="123"/>
        <v>0</v>
      </c>
      <c r="P2652" s="82">
        <f t="shared" si="124"/>
        <v>0</v>
      </c>
      <c r="Q2652" s="74"/>
      <c r="R2652" s="76"/>
      <c r="S2652" s="84">
        <f t="shared" si="125"/>
        <v>0</v>
      </c>
    </row>
    <row r="2653" spans="1:19" ht="18" customHeight="1" x14ac:dyDescent="0.25">
      <c r="A2653" s="59"/>
      <c r="B2653" s="60"/>
      <c r="C2653" s="65"/>
      <c r="D2653" s="60"/>
      <c r="E2653" s="59"/>
      <c r="F2653" s="62"/>
      <c r="G2653" s="63"/>
      <c r="H2653" s="64"/>
      <c r="I2653" s="65"/>
      <c r="J2653" s="65"/>
      <c r="K2653" s="65"/>
      <c r="L2653" s="65"/>
      <c r="M2653" s="65"/>
      <c r="N2653" s="65"/>
      <c r="O2653" s="81">
        <f t="shared" si="123"/>
        <v>0</v>
      </c>
      <c r="P2653" s="81">
        <f t="shared" si="124"/>
        <v>0</v>
      </c>
      <c r="Q2653" s="65"/>
      <c r="R2653" s="67"/>
      <c r="S2653" s="83">
        <f t="shared" si="125"/>
        <v>0</v>
      </c>
    </row>
    <row r="2654" spans="1:19" ht="18" customHeight="1" x14ac:dyDescent="0.25">
      <c r="A2654" s="68"/>
      <c r="B2654" s="69"/>
      <c r="C2654" s="74"/>
      <c r="D2654" s="69"/>
      <c r="E2654" s="68"/>
      <c r="F2654" s="71"/>
      <c r="G2654" s="72"/>
      <c r="H2654" s="73"/>
      <c r="I2654" s="74"/>
      <c r="J2654" s="74"/>
      <c r="K2654" s="74"/>
      <c r="L2654" s="74"/>
      <c r="M2654" s="74"/>
      <c r="N2654" s="74"/>
      <c r="O2654" s="82">
        <f t="shared" si="123"/>
        <v>0</v>
      </c>
      <c r="P2654" s="82">
        <f t="shared" si="124"/>
        <v>0</v>
      </c>
      <c r="Q2654" s="74"/>
      <c r="R2654" s="76"/>
      <c r="S2654" s="84">
        <f t="shared" si="125"/>
        <v>0</v>
      </c>
    </row>
    <row r="2655" spans="1:19" ht="18" customHeight="1" x14ac:dyDescent="0.25">
      <c r="A2655" s="59"/>
      <c r="B2655" s="60"/>
      <c r="C2655" s="65"/>
      <c r="D2655" s="60"/>
      <c r="E2655" s="59"/>
      <c r="F2655" s="62"/>
      <c r="G2655" s="63"/>
      <c r="H2655" s="64"/>
      <c r="I2655" s="65"/>
      <c r="J2655" s="65"/>
      <c r="K2655" s="65"/>
      <c r="L2655" s="65"/>
      <c r="M2655" s="65"/>
      <c r="N2655" s="65"/>
      <c r="O2655" s="81">
        <f t="shared" si="123"/>
        <v>0</v>
      </c>
      <c r="P2655" s="81">
        <f t="shared" si="124"/>
        <v>0</v>
      </c>
      <c r="Q2655" s="65"/>
      <c r="R2655" s="67"/>
      <c r="S2655" s="83">
        <f t="shared" si="125"/>
        <v>0</v>
      </c>
    </row>
    <row r="2656" spans="1:19" ht="18" customHeight="1" x14ac:dyDescent="0.25">
      <c r="A2656" s="68"/>
      <c r="B2656" s="69"/>
      <c r="C2656" s="74"/>
      <c r="D2656" s="69"/>
      <c r="E2656" s="68"/>
      <c r="F2656" s="71"/>
      <c r="G2656" s="72"/>
      <c r="H2656" s="73"/>
      <c r="I2656" s="74"/>
      <c r="J2656" s="74"/>
      <c r="K2656" s="74"/>
      <c r="L2656" s="74"/>
      <c r="M2656" s="74"/>
      <c r="N2656" s="74"/>
      <c r="O2656" s="82">
        <f t="shared" si="123"/>
        <v>0</v>
      </c>
      <c r="P2656" s="82">
        <f t="shared" si="124"/>
        <v>0</v>
      </c>
      <c r="Q2656" s="74"/>
      <c r="R2656" s="76"/>
      <c r="S2656" s="84">
        <f t="shared" si="125"/>
        <v>0</v>
      </c>
    </row>
    <row r="2657" spans="1:19" ht="18" customHeight="1" x14ac:dyDescent="0.25">
      <c r="A2657" s="59"/>
      <c r="B2657" s="60"/>
      <c r="C2657" s="65"/>
      <c r="D2657" s="60"/>
      <c r="E2657" s="59"/>
      <c r="F2657" s="62"/>
      <c r="G2657" s="63"/>
      <c r="H2657" s="64"/>
      <c r="I2657" s="65"/>
      <c r="J2657" s="65"/>
      <c r="K2657" s="65"/>
      <c r="L2657" s="65"/>
      <c r="M2657" s="65"/>
      <c r="N2657" s="65"/>
      <c r="O2657" s="81">
        <f t="shared" si="123"/>
        <v>0</v>
      </c>
      <c r="P2657" s="81">
        <f t="shared" si="124"/>
        <v>0</v>
      </c>
      <c r="Q2657" s="65"/>
      <c r="R2657" s="67"/>
      <c r="S2657" s="83">
        <f t="shared" si="125"/>
        <v>0</v>
      </c>
    </row>
    <row r="2658" spans="1:19" ht="18" customHeight="1" x14ac:dyDescent="0.25">
      <c r="A2658" s="68"/>
      <c r="B2658" s="69"/>
      <c r="C2658" s="74"/>
      <c r="D2658" s="69"/>
      <c r="E2658" s="68"/>
      <c r="F2658" s="71"/>
      <c r="G2658" s="72"/>
      <c r="H2658" s="73"/>
      <c r="I2658" s="74"/>
      <c r="J2658" s="74"/>
      <c r="K2658" s="74"/>
      <c r="L2658" s="74"/>
      <c r="M2658" s="74"/>
      <c r="N2658" s="74"/>
      <c r="O2658" s="82">
        <f t="shared" si="123"/>
        <v>0</v>
      </c>
      <c r="P2658" s="82">
        <f t="shared" si="124"/>
        <v>0</v>
      </c>
      <c r="Q2658" s="74"/>
      <c r="R2658" s="76"/>
      <c r="S2658" s="84">
        <f t="shared" si="125"/>
        <v>0</v>
      </c>
    </row>
    <row r="2659" spans="1:19" ht="18" customHeight="1" x14ac:dyDescent="0.25">
      <c r="A2659" s="59"/>
      <c r="B2659" s="60"/>
      <c r="C2659" s="65"/>
      <c r="D2659" s="60"/>
      <c r="E2659" s="59"/>
      <c r="F2659" s="62"/>
      <c r="G2659" s="63"/>
      <c r="H2659" s="64"/>
      <c r="I2659" s="65"/>
      <c r="J2659" s="65"/>
      <c r="K2659" s="65"/>
      <c r="L2659" s="65"/>
      <c r="M2659" s="65"/>
      <c r="N2659" s="65"/>
      <c r="O2659" s="81">
        <f t="shared" si="123"/>
        <v>0</v>
      </c>
      <c r="P2659" s="81">
        <f t="shared" si="124"/>
        <v>0</v>
      </c>
      <c r="Q2659" s="65"/>
      <c r="R2659" s="67"/>
      <c r="S2659" s="83">
        <f t="shared" si="125"/>
        <v>0</v>
      </c>
    </row>
    <row r="2660" spans="1:19" ht="18" customHeight="1" x14ac:dyDescent="0.25">
      <c r="A2660" s="68"/>
      <c r="B2660" s="69"/>
      <c r="C2660" s="74"/>
      <c r="D2660" s="69"/>
      <c r="E2660" s="68"/>
      <c r="F2660" s="71"/>
      <c r="G2660" s="72"/>
      <c r="H2660" s="73"/>
      <c r="I2660" s="74"/>
      <c r="J2660" s="74"/>
      <c r="K2660" s="74"/>
      <c r="L2660" s="74"/>
      <c r="M2660" s="74"/>
      <c r="N2660" s="74"/>
      <c r="O2660" s="82">
        <f t="shared" si="123"/>
        <v>0</v>
      </c>
      <c r="P2660" s="82">
        <f t="shared" si="124"/>
        <v>0</v>
      </c>
      <c r="Q2660" s="74"/>
      <c r="R2660" s="76"/>
      <c r="S2660" s="84">
        <f t="shared" si="125"/>
        <v>0</v>
      </c>
    </row>
    <row r="2661" spans="1:19" ht="18" customHeight="1" x14ac:dyDescent="0.25">
      <c r="A2661" s="59"/>
      <c r="B2661" s="60"/>
      <c r="C2661" s="65"/>
      <c r="D2661" s="60"/>
      <c r="E2661" s="59"/>
      <c r="F2661" s="62"/>
      <c r="G2661" s="63"/>
      <c r="H2661" s="64"/>
      <c r="I2661" s="65"/>
      <c r="J2661" s="65"/>
      <c r="K2661" s="65"/>
      <c r="L2661" s="65"/>
      <c r="M2661" s="65"/>
      <c r="N2661" s="65"/>
      <c r="O2661" s="81">
        <f t="shared" si="123"/>
        <v>0</v>
      </c>
      <c r="P2661" s="81">
        <f t="shared" si="124"/>
        <v>0</v>
      </c>
      <c r="Q2661" s="65"/>
      <c r="R2661" s="67"/>
      <c r="S2661" s="83">
        <f t="shared" si="125"/>
        <v>0</v>
      </c>
    </row>
    <row r="2662" spans="1:19" ht="18" customHeight="1" x14ac:dyDescent="0.25">
      <c r="A2662" s="68"/>
      <c r="B2662" s="69"/>
      <c r="C2662" s="74"/>
      <c r="D2662" s="69"/>
      <c r="E2662" s="68"/>
      <c r="F2662" s="71"/>
      <c r="G2662" s="72"/>
      <c r="H2662" s="73"/>
      <c r="I2662" s="74"/>
      <c r="J2662" s="74"/>
      <c r="K2662" s="74"/>
      <c r="L2662" s="74"/>
      <c r="M2662" s="74"/>
      <c r="N2662" s="74"/>
      <c r="O2662" s="82">
        <f t="shared" si="123"/>
        <v>0</v>
      </c>
      <c r="P2662" s="82">
        <f t="shared" si="124"/>
        <v>0</v>
      </c>
      <c r="Q2662" s="74"/>
      <c r="R2662" s="76"/>
      <c r="S2662" s="84">
        <f t="shared" si="125"/>
        <v>0</v>
      </c>
    </row>
    <row r="2663" spans="1:19" ht="18" customHeight="1" x14ac:dyDescent="0.25">
      <c r="A2663" s="59"/>
      <c r="B2663" s="60"/>
      <c r="C2663" s="65"/>
      <c r="D2663" s="60"/>
      <c r="E2663" s="59"/>
      <c r="F2663" s="62"/>
      <c r="G2663" s="63"/>
      <c r="H2663" s="64"/>
      <c r="I2663" s="65"/>
      <c r="J2663" s="65"/>
      <c r="K2663" s="65"/>
      <c r="L2663" s="65"/>
      <c r="M2663" s="65"/>
      <c r="N2663" s="65"/>
      <c r="O2663" s="81">
        <f t="shared" si="123"/>
        <v>0</v>
      </c>
      <c r="P2663" s="81">
        <f t="shared" si="124"/>
        <v>0</v>
      </c>
      <c r="Q2663" s="65"/>
      <c r="R2663" s="67"/>
      <c r="S2663" s="83">
        <f t="shared" si="125"/>
        <v>0</v>
      </c>
    </row>
    <row r="2664" spans="1:19" ht="18" customHeight="1" x14ac:dyDescent="0.25">
      <c r="A2664" s="68"/>
      <c r="B2664" s="69"/>
      <c r="C2664" s="74"/>
      <c r="D2664" s="69"/>
      <c r="E2664" s="68"/>
      <c r="F2664" s="71"/>
      <c r="G2664" s="72"/>
      <c r="H2664" s="73"/>
      <c r="I2664" s="74"/>
      <c r="J2664" s="74"/>
      <c r="K2664" s="74"/>
      <c r="L2664" s="74"/>
      <c r="M2664" s="74"/>
      <c r="N2664" s="74"/>
      <c r="O2664" s="82">
        <f t="shared" si="123"/>
        <v>0</v>
      </c>
      <c r="P2664" s="82">
        <f t="shared" si="124"/>
        <v>0</v>
      </c>
      <c r="Q2664" s="74"/>
      <c r="R2664" s="76"/>
      <c r="S2664" s="84">
        <f t="shared" si="125"/>
        <v>0</v>
      </c>
    </row>
    <row r="2665" spans="1:19" ht="18" customHeight="1" x14ac:dyDescent="0.25">
      <c r="A2665" s="59"/>
      <c r="B2665" s="60"/>
      <c r="C2665" s="65"/>
      <c r="D2665" s="60"/>
      <c r="E2665" s="59"/>
      <c r="F2665" s="62"/>
      <c r="G2665" s="63"/>
      <c r="H2665" s="64"/>
      <c r="I2665" s="65"/>
      <c r="J2665" s="65"/>
      <c r="K2665" s="65"/>
      <c r="L2665" s="65"/>
      <c r="M2665" s="65"/>
      <c r="N2665" s="65"/>
      <c r="O2665" s="81">
        <f t="shared" si="123"/>
        <v>0</v>
      </c>
      <c r="P2665" s="81">
        <f t="shared" si="124"/>
        <v>0</v>
      </c>
      <c r="Q2665" s="65"/>
      <c r="R2665" s="67"/>
      <c r="S2665" s="83">
        <f t="shared" si="125"/>
        <v>0</v>
      </c>
    </row>
    <row r="2666" spans="1:19" ht="18" customHeight="1" x14ac:dyDescent="0.25">
      <c r="A2666" s="68"/>
      <c r="B2666" s="69"/>
      <c r="C2666" s="74"/>
      <c r="D2666" s="69"/>
      <c r="E2666" s="68"/>
      <c r="F2666" s="71"/>
      <c r="G2666" s="72"/>
      <c r="H2666" s="73"/>
      <c r="I2666" s="74"/>
      <c r="J2666" s="74"/>
      <c r="K2666" s="74"/>
      <c r="L2666" s="74"/>
      <c r="M2666" s="74"/>
      <c r="N2666" s="74"/>
      <c r="O2666" s="82">
        <f t="shared" si="123"/>
        <v>0</v>
      </c>
      <c r="P2666" s="82">
        <f t="shared" si="124"/>
        <v>0</v>
      </c>
      <c r="Q2666" s="74"/>
      <c r="R2666" s="76"/>
      <c r="S2666" s="84">
        <f t="shared" si="125"/>
        <v>0</v>
      </c>
    </row>
    <row r="2667" spans="1:19" ht="18" customHeight="1" x14ac:dyDescent="0.25">
      <c r="A2667" s="59"/>
      <c r="B2667" s="60"/>
      <c r="C2667" s="65"/>
      <c r="D2667" s="60"/>
      <c r="E2667" s="59"/>
      <c r="F2667" s="62"/>
      <c r="G2667" s="63"/>
      <c r="H2667" s="64"/>
      <c r="I2667" s="65"/>
      <c r="J2667" s="65"/>
      <c r="K2667" s="65"/>
      <c r="L2667" s="65"/>
      <c r="M2667" s="65"/>
      <c r="N2667" s="65"/>
      <c r="O2667" s="81">
        <f t="shared" si="123"/>
        <v>0</v>
      </c>
      <c r="P2667" s="81">
        <f t="shared" si="124"/>
        <v>0</v>
      </c>
      <c r="Q2667" s="65"/>
      <c r="R2667" s="67"/>
      <c r="S2667" s="83">
        <f t="shared" si="125"/>
        <v>0</v>
      </c>
    </row>
    <row r="2668" spans="1:19" ht="18" customHeight="1" x14ac:dyDescent="0.25">
      <c r="A2668" s="68"/>
      <c r="B2668" s="69"/>
      <c r="C2668" s="74"/>
      <c r="D2668" s="69"/>
      <c r="E2668" s="68"/>
      <c r="F2668" s="71"/>
      <c r="G2668" s="72"/>
      <c r="H2668" s="73"/>
      <c r="I2668" s="74"/>
      <c r="J2668" s="74"/>
      <c r="K2668" s="74"/>
      <c r="L2668" s="74"/>
      <c r="M2668" s="74"/>
      <c r="N2668" s="74"/>
      <c r="O2668" s="82">
        <f t="shared" si="123"/>
        <v>0</v>
      </c>
      <c r="P2668" s="82">
        <f t="shared" si="124"/>
        <v>0</v>
      </c>
      <c r="Q2668" s="74"/>
      <c r="R2668" s="76"/>
      <c r="S2668" s="84">
        <f t="shared" si="125"/>
        <v>0</v>
      </c>
    </row>
    <row r="2669" spans="1:19" ht="18" customHeight="1" x14ac:dyDescent="0.25">
      <c r="A2669" s="59"/>
      <c r="B2669" s="60"/>
      <c r="C2669" s="65"/>
      <c r="D2669" s="60"/>
      <c r="E2669" s="59"/>
      <c r="F2669" s="62"/>
      <c r="G2669" s="63"/>
      <c r="H2669" s="64"/>
      <c r="I2669" s="65"/>
      <c r="J2669" s="65"/>
      <c r="K2669" s="65"/>
      <c r="L2669" s="65"/>
      <c r="M2669" s="65"/>
      <c r="N2669" s="65"/>
      <c r="O2669" s="81">
        <f t="shared" si="123"/>
        <v>0</v>
      </c>
      <c r="P2669" s="81">
        <f t="shared" si="124"/>
        <v>0</v>
      </c>
      <c r="Q2669" s="65"/>
      <c r="R2669" s="67"/>
      <c r="S2669" s="83">
        <f t="shared" si="125"/>
        <v>0</v>
      </c>
    </row>
    <row r="2670" spans="1:19" ht="18" customHeight="1" x14ac:dyDescent="0.25">
      <c r="A2670" s="68"/>
      <c r="B2670" s="69"/>
      <c r="C2670" s="74"/>
      <c r="D2670" s="69"/>
      <c r="E2670" s="68"/>
      <c r="F2670" s="71"/>
      <c r="G2670" s="72"/>
      <c r="H2670" s="73"/>
      <c r="I2670" s="74"/>
      <c r="J2670" s="74"/>
      <c r="K2670" s="74"/>
      <c r="L2670" s="74"/>
      <c r="M2670" s="74"/>
      <c r="N2670" s="74"/>
      <c r="O2670" s="82">
        <f t="shared" si="123"/>
        <v>0</v>
      </c>
      <c r="P2670" s="82">
        <f t="shared" si="124"/>
        <v>0</v>
      </c>
      <c r="Q2670" s="74"/>
      <c r="R2670" s="76"/>
      <c r="S2670" s="84">
        <f t="shared" si="125"/>
        <v>0</v>
      </c>
    </row>
    <row r="2671" spans="1:19" ht="18" customHeight="1" x14ac:dyDescent="0.25">
      <c r="A2671" s="59"/>
      <c r="B2671" s="60"/>
      <c r="C2671" s="65"/>
      <c r="D2671" s="60"/>
      <c r="E2671" s="59"/>
      <c r="F2671" s="62"/>
      <c r="G2671" s="63"/>
      <c r="H2671" s="64"/>
      <c r="I2671" s="65"/>
      <c r="J2671" s="65"/>
      <c r="K2671" s="65"/>
      <c r="L2671" s="65"/>
      <c r="M2671" s="65"/>
      <c r="N2671" s="65"/>
      <c r="O2671" s="81">
        <f t="shared" si="123"/>
        <v>0</v>
      </c>
      <c r="P2671" s="81">
        <f t="shared" si="124"/>
        <v>0</v>
      </c>
      <c r="Q2671" s="65"/>
      <c r="R2671" s="67"/>
      <c r="S2671" s="83">
        <f t="shared" si="125"/>
        <v>0</v>
      </c>
    </row>
    <row r="2672" spans="1:19" ht="18" customHeight="1" x14ac:dyDescent="0.25">
      <c r="A2672" s="68"/>
      <c r="B2672" s="69"/>
      <c r="C2672" s="74"/>
      <c r="D2672" s="69"/>
      <c r="E2672" s="68"/>
      <c r="F2672" s="71"/>
      <c r="G2672" s="72"/>
      <c r="H2672" s="73"/>
      <c r="I2672" s="74"/>
      <c r="J2672" s="74"/>
      <c r="K2672" s="74"/>
      <c r="L2672" s="74"/>
      <c r="M2672" s="74"/>
      <c r="N2672" s="74"/>
      <c r="O2672" s="82">
        <f t="shared" si="123"/>
        <v>0</v>
      </c>
      <c r="P2672" s="82">
        <f t="shared" si="124"/>
        <v>0</v>
      </c>
      <c r="Q2672" s="74"/>
      <c r="R2672" s="76"/>
      <c r="S2672" s="84">
        <f t="shared" si="125"/>
        <v>0</v>
      </c>
    </row>
    <row r="2673" spans="1:19" ht="18" customHeight="1" x14ac:dyDescent="0.25">
      <c r="A2673" s="59"/>
      <c r="B2673" s="60"/>
      <c r="C2673" s="65"/>
      <c r="D2673" s="60"/>
      <c r="E2673" s="59"/>
      <c r="F2673" s="62"/>
      <c r="G2673" s="63"/>
      <c r="H2673" s="64"/>
      <c r="I2673" s="65"/>
      <c r="J2673" s="65"/>
      <c r="K2673" s="65"/>
      <c r="L2673" s="65"/>
      <c r="M2673" s="65"/>
      <c r="N2673" s="65"/>
      <c r="O2673" s="81">
        <f t="shared" si="123"/>
        <v>0</v>
      </c>
      <c r="P2673" s="81">
        <f t="shared" si="124"/>
        <v>0</v>
      </c>
      <c r="Q2673" s="65"/>
      <c r="R2673" s="67"/>
      <c r="S2673" s="83">
        <f t="shared" si="125"/>
        <v>0</v>
      </c>
    </row>
    <row r="2674" spans="1:19" ht="18" customHeight="1" x14ac:dyDescent="0.25">
      <c r="A2674" s="68"/>
      <c r="B2674" s="69"/>
      <c r="C2674" s="74"/>
      <c r="D2674" s="69"/>
      <c r="E2674" s="68"/>
      <c r="F2674" s="71"/>
      <c r="G2674" s="72"/>
      <c r="H2674" s="73"/>
      <c r="I2674" s="74"/>
      <c r="J2674" s="74"/>
      <c r="K2674" s="74"/>
      <c r="L2674" s="74"/>
      <c r="M2674" s="74"/>
      <c r="N2674" s="74"/>
      <c r="O2674" s="82">
        <f t="shared" si="123"/>
        <v>0</v>
      </c>
      <c r="P2674" s="82">
        <f t="shared" si="124"/>
        <v>0</v>
      </c>
      <c r="Q2674" s="74"/>
      <c r="R2674" s="76"/>
      <c r="S2674" s="84">
        <f t="shared" si="125"/>
        <v>0</v>
      </c>
    </row>
    <row r="2675" spans="1:19" ht="18" customHeight="1" x14ac:dyDescent="0.25">
      <c r="A2675" s="59"/>
      <c r="B2675" s="60"/>
      <c r="C2675" s="65"/>
      <c r="D2675" s="60"/>
      <c r="E2675" s="59"/>
      <c r="F2675" s="62"/>
      <c r="G2675" s="63"/>
      <c r="H2675" s="64"/>
      <c r="I2675" s="65"/>
      <c r="J2675" s="65"/>
      <c r="K2675" s="65"/>
      <c r="L2675" s="65"/>
      <c r="M2675" s="65"/>
      <c r="N2675" s="65"/>
      <c r="O2675" s="81">
        <f t="shared" si="123"/>
        <v>0</v>
      </c>
      <c r="P2675" s="81">
        <f t="shared" si="124"/>
        <v>0</v>
      </c>
      <c r="Q2675" s="65"/>
      <c r="R2675" s="67"/>
      <c r="S2675" s="83">
        <f t="shared" si="125"/>
        <v>0</v>
      </c>
    </row>
    <row r="2676" spans="1:19" ht="18" customHeight="1" x14ac:dyDescent="0.25">
      <c r="A2676" s="68"/>
      <c r="B2676" s="69"/>
      <c r="C2676" s="74"/>
      <c r="D2676" s="69"/>
      <c r="E2676" s="68"/>
      <c r="F2676" s="71"/>
      <c r="G2676" s="72"/>
      <c r="H2676" s="73"/>
      <c r="I2676" s="74"/>
      <c r="J2676" s="74"/>
      <c r="K2676" s="74"/>
      <c r="L2676" s="74"/>
      <c r="M2676" s="74"/>
      <c r="N2676" s="74"/>
      <c r="O2676" s="82">
        <f t="shared" si="123"/>
        <v>0</v>
      </c>
      <c r="P2676" s="82">
        <f t="shared" si="124"/>
        <v>0</v>
      </c>
      <c r="Q2676" s="74"/>
      <c r="R2676" s="76"/>
      <c r="S2676" s="84">
        <f t="shared" si="125"/>
        <v>0</v>
      </c>
    </row>
    <row r="2677" spans="1:19" ht="18" customHeight="1" x14ac:dyDescent="0.25">
      <c r="A2677" s="59"/>
      <c r="B2677" s="60"/>
      <c r="C2677" s="65"/>
      <c r="D2677" s="60"/>
      <c r="E2677" s="59"/>
      <c r="F2677" s="62"/>
      <c r="G2677" s="63"/>
      <c r="H2677" s="64"/>
      <c r="I2677" s="65"/>
      <c r="J2677" s="65"/>
      <c r="K2677" s="65"/>
      <c r="L2677" s="65"/>
      <c r="M2677" s="65"/>
      <c r="N2677" s="65"/>
      <c r="O2677" s="81">
        <f t="shared" si="123"/>
        <v>0</v>
      </c>
      <c r="P2677" s="81">
        <f t="shared" si="124"/>
        <v>0</v>
      </c>
      <c r="Q2677" s="65"/>
      <c r="R2677" s="67"/>
      <c r="S2677" s="83">
        <f t="shared" si="125"/>
        <v>0</v>
      </c>
    </row>
    <row r="2678" spans="1:19" ht="18" customHeight="1" x14ac:dyDescent="0.25">
      <c r="A2678" s="68"/>
      <c r="B2678" s="69"/>
      <c r="C2678" s="74"/>
      <c r="D2678" s="69"/>
      <c r="E2678" s="68"/>
      <c r="F2678" s="71"/>
      <c r="G2678" s="72"/>
      <c r="H2678" s="73"/>
      <c r="I2678" s="74"/>
      <c r="J2678" s="74"/>
      <c r="K2678" s="74"/>
      <c r="L2678" s="74"/>
      <c r="M2678" s="74"/>
      <c r="N2678" s="74"/>
      <c r="O2678" s="82">
        <f t="shared" si="123"/>
        <v>0</v>
      </c>
      <c r="P2678" s="82">
        <f t="shared" si="124"/>
        <v>0</v>
      </c>
      <c r="Q2678" s="74"/>
      <c r="R2678" s="76"/>
      <c r="S2678" s="84">
        <f t="shared" si="125"/>
        <v>0</v>
      </c>
    </row>
    <row r="2679" spans="1:19" ht="18" customHeight="1" x14ac:dyDescent="0.25">
      <c r="A2679" s="59"/>
      <c r="B2679" s="60"/>
      <c r="C2679" s="65"/>
      <c r="D2679" s="60"/>
      <c r="E2679" s="59"/>
      <c r="F2679" s="62"/>
      <c r="G2679" s="63"/>
      <c r="H2679" s="64"/>
      <c r="I2679" s="65"/>
      <c r="J2679" s="65"/>
      <c r="K2679" s="65"/>
      <c r="L2679" s="65"/>
      <c r="M2679" s="65"/>
      <c r="N2679" s="65"/>
      <c r="O2679" s="81">
        <f t="shared" si="123"/>
        <v>0</v>
      </c>
      <c r="P2679" s="81">
        <f t="shared" si="124"/>
        <v>0</v>
      </c>
      <c r="Q2679" s="65"/>
      <c r="R2679" s="67"/>
      <c r="S2679" s="83">
        <f t="shared" si="125"/>
        <v>0</v>
      </c>
    </row>
    <row r="2680" spans="1:19" ht="18" customHeight="1" x14ac:dyDescent="0.25">
      <c r="A2680" s="68"/>
      <c r="B2680" s="69"/>
      <c r="C2680" s="74"/>
      <c r="D2680" s="69"/>
      <c r="E2680" s="68"/>
      <c r="F2680" s="71"/>
      <c r="G2680" s="72"/>
      <c r="H2680" s="73"/>
      <c r="I2680" s="74"/>
      <c r="J2680" s="74"/>
      <c r="K2680" s="74"/>
      <c r="L2680" s="74"/>
      <c r="M2680" s="74"/>
      <c r="N2680" s="74"/>
      <c r="O2680" s="82">
        <f t="shared" si="123"/>
        <v>0</v>
      </c>
      <c r="P2680" s="82">
        <f t="shared" si="124"/>
        <v>0</v>
      </c>
      <c r="Q2680" s="74"/>
      <c r="R2680" s="76"/>
      <c r="S2680" s="84">
        <f t="shared" si="125"/>
        <v>0</v>
      </c>
    </row>
    <row r="2681" spans="1:19" ht="18" customHeight="1" x14ac:dyDescent="0.25">
      <c r="A2681" s="59"/>
      <c r="B2681" s="60"/>
      <c r="C2681" s="65"/>
      <c r="D2681" s="60"/>
      <c r="E2681" s="59"/>
      <c r="F2681" s="62"/>
      <c r="G2681" s="63"/>
      <c r="H2681" s="64"/>
      <c r="I2681" s="65"/>
      <c r="J2681" s="65"/>
      <c r="K2681" s="65"/>
      <c r="L2681" s="65"/>
      <c r="M2681" s="65"/>
      <c r="N2681" s="65"/>
      <c r="O2681" s="81">
        <f t="shared" si="123"/>
        <v>0</v>
      </c>
      <c r="P2681" s="81">
        <f t="shared" si="124"/>
        <v>0</v>
      </c>
      <c r="Q2681" s="65"/>
      <c r="R2681" s="67"/>
      <c r="S2681" s="83">
        <f t="shared" si="125"/>
        <v>0</v>
      </c>
    </row>
    <row r="2682" spans="1:19" ht="18" customHeight="1" x14ac:dyDescent="0.25">
      <c r="A2682" s="68"/>
      <c r="B2682" s="69"/>
      <c r="C2682" s="74"/>
      <c r="D2682" s="69"/>
      <c r="E2682" s="68"/>
      <c r="F2682" s="71"/>
      <c r="G2682" s="72"/>
      <c r="H2682" s="73"/>
      <c r="I2682" s="74"/>
      <c r="J2682" s="74"/>
      <c r="K2682" s="74"/>
      <c r="L2682" s="74"/>
      <c r="M2682" s="74"/>
      <c r="N2682" s="74"/>
      <c r="O2682" s="82">
        <f t="shared" si="123"/>
        <v>0</v>
      </c>
      <c r="P2682" s="82">
        <f t="shared" si="124"/>
        <v>0</v>
      </c>
      <c r="Q2682" s="74"/>
      <c r="R2682" s="76"/>
      <c r="S2682" s="84">
        <f t="shared" si="125"/>
        <v>0</v>
      </c>
    </row>
    <row r="2683" spans="1:19" ht="18" customHeight="1" x14ac:dyDescent="0.25">
      <c r="A2683" s="59"/>
      <c r="B2683" s="60"/>
      <c r="C2683" s="65"/>
      <c r="D2683" s="60"/>
      <c r="E2683" s="59"/>
      <c r="F2683" s="62"/>
      <c r="G2683" s="63"/>
      <c r="H2683" s="64"/>
      <c r="I2683" s="65"/>
      <c r="J2683" s="65"/>
      <c r="K2683" s="65"/>
      <c r="L2683" s="65"/>
      <c r="M2683" s="65"/>
      <c r="N2683" s="65"/>
      <c r="O2683" s="81">
        <f t="shared" si="123"/>
        <v>0</v>
      </c>
      <c r="P2683" s="81">
        <f t="shared" si="124"/>
        <v>0</v>
      </c>
      <c r="Q2683" s="65"/>
      <c r="R2683" s="67"/>
      <c r="S2683" s="83">
        <f t="shared" si="125"/>
        <v>0</v>
      </c>
    </row>
    <row r="2684" spans="1:19" ht="18" customHeight="1" x14ac:dyDescent="0.25">
      <c r="A2684" s="68"/>
      <c r="B2684" s="69"/>
      <c r="C2684" s="74"/>
      <c r="D2684" s="69"/>
      <c r="E2684" s="68"/>
      <c r="F2684" s="71"/>
      <c r="G2684" s="72"/>
      <c r="H2684" s="73"/>
      <c r="I2684" s="74"/>
      <c r="J2684" s="74"/>
      <c r="K2684" s="74"/>
      <c r="L2684" s="74"/>
      <c r="M2684" s="74"/>
      <c r="N2684" s="74"/>
      <c r="O2684" s="82">
        <f t="shared" si="123"/>
        <v>0</v>
      </c>
      <c r="P2684" s="82">
        <f t="shared" si="124"/>
        <v>0</v>
      </c>
      <c r="Q2684" s="74"/>
      <c r="R2684" s="76"/>
      <c r="S2684" s="84">
        <f t="shared" si="125"/>
        <v>0</v>
      </c>
    </row>
    <row r="2685" spans="1:19" ht="18" customHeight="1" x14ac:dyDescent="0.25">
      <c r="A2685" s="59"/>
      <c r="B2685" s="60"/>
      <c r="C2685" s="65"/>
      <c r="D2685" s="60"/>
      <c r="E2685" s="59"/>
      <c r="F2685" s="62"/>
      <c r="G2685" s="63"/>
      <c r="H2685" s="64"/>
      <c r="I2685" s="65"/>
      <c r="J2685" s="65"/>
      <c r="K2685" s="65"/>
      <c r="L2685" s="65"/>
      <c r="M2685" s="65"/>
      <c r="N2685" s="65"/>
      <c r="O2685" s="81">
        <f t="shared" si="123"/>
        <v>0</v>
      </c>
      <c r="P2685" s="81">
        <f t="shared" si="124"/>
        <v>0</v>
      </c>
      <c r="Q2685" s="65"/>
      <c r="R2685" s="67"/>
      <c r="S2685" s="83">
        <f t="shared" si="125"/>
        <v>0</v>
      </c>
    </row>
    <row r="2686" spans="1:19" ht="18" customHeight="1" x14ac:dyDescent="0.25">
      <c r="A2686" s="68"/>
      <c r="B2686" s="69"/>
      <c r="C2686" s="74"/>
      <c r="D2686" s="69"/>
      <c r="E2686" s="68"/>
      <c r="F2686" s="71"/>
      <c r="G2686" s="72"/>
      <c r="H2686" s="73"/>
      <c r="I2686" s="74"/>
      <c r="J2686" s="74"/>
      <c r="K2686" s="74"/>
      <c r="L2686" s="74"/>
      <c r="M2686" s="74"/>
      <c r="N2686" s="74"/>
      <c r="O2686" s="82">
        <f t="shared" si="123"/>
        <v>0</v>
      </c>
      <c r="P2686" s="82">
        <f t="shared" si="124"/>
        <v>0</v>
      </c>
      <c r="Q2686" s="74"/>
      <c r="R2686" s="76"/>
      <c r="S2686" s="84">
        <f t="shared" si="125"/>
        <v>0</v>
      </c>
    </row>
    <row r="2687" spans="1:19" ht="18" customHeight="1" x14ac:dyDescent="0.25">
      <c r="A2687" s="59"/>
      <c r="B2687" s="60"/>
      <c r="C2687" s="65"/>
      <c r="D2687" s="60"/>
      <c r="E2687" s="59"/>
      <c r="F2687" s="62"/>
      <c r="G2687" s="63"/>
      <c r="H2687" s="64"/>
      <c r="I2687" s="65"/>
      <c r="J2687" s="65"/>
      <c r="K2687" s="65"/>
      <c r="L2687" s="65"/>
      <c r="M2687" s="65"/>
      <c r="N2687" s="65"/>
      <c r="O2687" s="81">
        <f t="shared" si="123"/>
        <v>0</v>
      </c>
      <c r="P2687" s="81">
        <f t="shared" si="124"/>
        <v>0</v>
      </c>
      <c r="Q2687" s="65"/>
      <c r="R2687" s="67"/>
      <c r="S2687" s="83">
        <f t="shared" si="125"/>
        <v>0</v>
      </c>
    </row>
    <row r="2688" spans="1:19" ht="18" customHeight="1" x14ac:dyDescent="0.25">
      <c r="A2688" s="68"/>
      <c r="B2688" s="69"/>
      <c r="C2688" s="74"/>
      <c r="D2688" s="69"/>
      <c r="E2688" s="68"/>
      <c r="F2688" s="71"/>
      <c r="G2688" s="72"/>
      <c r="H2688" s="73"/>
      <c r="I2688" s="74"/>
      <c r="J2688" s="74"/>
      <c r="K2688" s="74"/>
      <c r="L2688" s="74"/>
      <c r="M2688" s="74"/>
      <c r="N2688" s="74"/>
      <c r="O2688" s="82">
        <f t="shared" si="123"/>
        <v>0</v>
      </c>
      <c r="P2688" s="82">
        <f t="shared" si="124"/>
        <v>0</v>
      </c>
      <c r="Q2688" s="74"/>
      <c r="R2688" s="76"/>
      <c r="S2688" s="84">
        <f t="shared" si="125"/>
        <v>0</v>
      </c>
    </row>
    <row r="2689" spans="1:19" ht="18" customHeight="1" x14ac:dyDescent="0.25">
      <c r="A2689" s="59"/>
      <c r="B2689" s="60"/>
      <c r="C2689" s="65"/>
      <c r="D2689" s="60"/>
      <c r="E2689" s="59"/>
      <c r="F2689" s="62"/>
      <c r="G2689" s="63"/>
      <c r="H2689" s="64"/>
      <c r="I2689" s="65"/>
      <c r="J2689" s="65"/>
      <c r="K2689" s="65"/>
      <c r="L2689" s="65"/>
      <c r="M2689" s="65"/>
      <c r="N2689" s="65"/>
      <c r="O2689" s="81">
        <f t="shared" si="123"/>
        <v>0</v>
      </c>
      <c r="P2689" s="81">
        <f t="shared" si="124"/>
        <v>0</v>
      </c>
      <c r="Q2689" s="65"/>
      <c r="R2689" s="67"/>
      <c r="S2689" s="83">
        <f t="shared" si="125"/>
        <v>0</v>
      </c>
    </row>
    <row r="2690" spans="1:19" ht="18" customHeight="1" x14ac:dyDescent="0.25">
      <c r="A2690" s="68"/>
      <c r="B2690" s="69"/>
      <c r="C2690" s="74"/>
      <c r="D2690" s="69"/>
      <c r="E2690" s="68"/>
      <c r="F2690" s="71"/>
      <c r="G2690" s="72"/>
      <c r="H2690" s="73"/>
      <c r="I2690" s="74"/>
      <c r="J2690" s="74"/>
      <c r="K2690" s="74"/>
      <c r="L2690" s="74"/>
      <c r="M2690" s="74"/>
      <c r="N2690" s="74"/>
      <c r="O2690" s="82">
        <f t="shared" si="123"/>
        <v>0</v>
      </c>
      <c r="P2690" s="82">
        <f t="shared" si="124"/>
        <v>0</v>
      </c>
      <c r="Q2690" s="74"/>
      <c r="R2690" s="76"/>
      <c r="S2690" s="84">
        <f t="shared" si="125"/>
        <v>0</v>
      </c>
    </row>
    <row r="2691" spans="1:19" ht="18" customHeight="1" x14ac:dyDescent="0.25">
      <c r="A2691" s="59"/>
      <c r="B2691" s="60"/>
      <c r="C2691" s="65"/>
      <c r="D2691" s="60"/>
      <c r="E2691" s="59"/>
      <c r="F2691" s="62"/>
      <c r="G2691" s="63"/>
      <c r="H2691" s="64"/>
      <c r="I2691" s="65"/>
      <c r="J2691" s="65"/>
      <c r="K2691" s="65"/>
      <c r="L2691" s="65"/>
      <c r="M2691" s="65"/>
      <c r="N2691" s="65"/>
      <c r="O2691" s="81">
        <f t="shared" si="123"/>
        <v>0</v>
      </c>
      <c r="P2691" s="81">
        <f t="shared" si="124"/>
        <v>0</v>
      </c>
      <c r="Q2691" s="65"/>
      <c r="R2691" s="67"/>
      <c r="S2691" s="83">
        <f t="shared" si="125"/>
        <v>0</v>
      </c>
    </row>
    <row r="2692" spans="1:19" ht="18" customHeight="1" x14ac:dyDescent="0.25">
      <c r="A2692" s="68"/>
      <c r="B2692" s="69"/>
      <c r="C2692" s="74"/>
      <c r="D2692" s="69"/>
      <c r="E2692" s="68"/>
      <c r="F2692" s="71"/>
      <c r="G2692" s="72"/>
      <c r="H2692" s="73"/>
      <c r="I2692" s="74"/>
      <c r="J2692" s="74"/>
      <c r="K2692" s="74"/>
      <c r="L2692" s="74"/>
      <c r="M2692" s="74"/>
      <c r="N2692" s="74"/>
      <c r="O2692" s="82">
        <f t="shared" si="123"/>
        <v>0</v>
      </c>
      <c r="P2692" s="82">
        <f t="shared" si="124"/>
        <v>0</v>
      </c>
      <c r="Q2692" s="74"/>
      <c r="R2692" s="76"/>
      <c r="S2692" s="84">
        <f t="shared" si="125"/>
        <v>0</v>
      </c>
    </row>
    <row r="2693" spans="1:19" ht="18" customHeight="1" x14ac:dyDescent="0.25">
      <c r="A2693" s="59"/>
      <c r="B2693" s="60"/>
      <c r="C2693" s="65"/>
      <c r="D2693" s="60"/>
      <c r="E2693" s="59"/>
      <c r="F2693" s="62"/>
      <c r="G2693" s="63"/>
      <c r="H2693" s="64"/>
      <c r="I2693" s="65"/>
      <c r="J2693" s="65"/>
      <c r="K2693" s="65"/>
      <c r="L2693" s="65"/>
      <c r="M2693" s="65"/>
      <c r="N2693" s="65"/>
      <c r="O2693" s="81">
        <f t="shared" si="123"/>
        <v>0</v>
      </c>
      <c r="P2693" s="81">
        <f t="shared" si="124"/>
        <v>0</v>
      </c>
      <c r="Q2693" s="65"/>
      <c r="R2693" s="67"/>
      <c r="S2693" s="83">
        <f t="shared" si="125"/>
        <v>0</v>
      </c>
    </row>
    <row r="2694" spans="1:19" ht="18" customHeight="1" x14ac:dyDescent="0.25">
      <c r="A2694" s="68"/>
      <c r="B2694" s="69"/>
      <c r="C2694" s="74"/>
      <c r="D2694" s="69"/>
      <c r="E2694" s="68"/>
      <c r="F2694" s="71"/>
      <c r="G2694" s="72"/>
      <c r="H2694" s="73"/>
      <c r="I2694" s="74"/>
      <c r="J2694" s="74"/>
      <c r="K2694" s="74"/>
      <c r="L2694" s="74"/>
      <c r="M2694" s="74"/>
      <c r="N2694" s="74"/>
      <c r="O2694" s="82" t="e">
        <f>#N/A</f>
        <v>#N/A</v>
      </c>
      <c r="P2694" s="82" t="e">
        <f>#N/A</f>
        <v>#N/A</v>
      </c>
      <c r="Q2694" s="74"/>
      <c r="R2694" s="76"/>
      <c r="S2694" s="84">
        <f t="shared" si="125"/>
        <v>0</v>
      </c>
    </row>
    <row r="2695" spans="1:19" ht="18" customHeight="1" x14ac:dyDescent="0.25">
      <c r="A2695" s="59"/>
      <c r="B2695" s="60"/>
      <c r="C2695" s="65"/>
      <c r="D2695" s="60"/>
      <c r="E2695" s="59"/>
      <c r="F2695" s="62"/>
      <c r="G2695" s="63"/>
      <c r="H2695" s="64"/>
      <c r="I2695" s="65"/>
      <c r="J2695" s="65"/>
      <c r="K2695" s="65"/>
      <c r="L2695" s="65"/>
      <c r="M2695" s="65"/>
      <c r="N2695" s="65"/>
      <c r="O2695" s="81">
        <f t="shared" ref="O2695:O2757" si="126">IF(G2695="Reimbursement ","",I2695+J2695+K2695+L2695+M2695)</f>
        <v>0</v>
      </c>
      <c r="P2695" s="81">
        <f t="shared" ref="P2695:P2757" si="127">IF(G2695="Reimbursement ","",H2695-O2695)</f>
        <v>0</v>
      </c>
      <c r="Q2695" s="65"/>
      <c r="R2695" s="67"/>
      <c r="S2695" s="83">
        <f t="shared" ref="S2695:S2758" si="128">IF(OR(R2695="",Q2695=""),0,IF(R2695&gt;Q2695,R2695-Q2695,0))</f>
        <v>0</v>
      </c>
    </row>
    <row r="2696" spans="1:19" ht="18" customHeight="1" x14ac:dyDescent="0.25">
      <c r="A2696" s="68"/>
      <c r="B2696" s="69"/>
      <c r="C2696" s="74"/>
      <c r="D2696" s="69"/>
      <c r="E2696" s="68"/>
      <c r="F2696" s="71"/>
      <c r="G2696" s="72"/>
      <c r="H2696" s="73"/>
      <c r="I2696" s="74"/>
      <c r="J2696" s="74"/>
      <c r="K2696" s="74"/>
      <c r="L2696" s="74"/>
      <c r="M2696" s="74"/>
      <c r="N2696" s="74"/>
      <c r="O2696" s="82">
        <f t="shared" si="126"/>
        <v>0</v>
      </c>
      <c r="P2696" s="82">
        <f t="shared" si="127"/>
        <v>0</v>
      </c>
      <c r="Q2696" s="74"/>
      <c r="R2696" s="76"/>
      <c r="S2696" s="84">
        <f t="shared" si="128"/>
        <v>0</v>
      </c>
    </row>
    <row r="2697" spans="1:19" ht="18" customHeight="1" x14ac:dyDescent="0.25">
      <c r="A2697" s="59"/>
      <c r="B2697" s="60"/>
      <c r="C2697" s="65"/>
      <c r="D2697" s="60"/>
      <c r="E2697" s="59"/>
      <c r="F2697" s="62"/>
      <c r="G2697" s="63"/>
      <c r="H2697" s="64"/>
      <c r="I2697" s="65"/>
      <c r="J2697" s="65"/>
      <c r="K2697" s="65"/>
      <c r="L2697" s="65"/>
      <c r="M2697" s="65"/>
      <c r="N2697" s="65"/>
      <c r="O2697" s="81">
        <f t="shared" si="126"/>
        <v>0</v>
      </c>
      <c r="P2697" s="81">
        <f t="shared" si="127"/>
        <v>0</v>
      </c>
      <c r="Q2697" s="65"/>
      <c r="R2697" s="67"/>
      <c r="S2697" s="83">
        <f t="shared" si="128"/>
        <v>0</v>
      </c>
    </row>
    <row r="2698" spans="1:19" ht="18" customHeight="1" x14ac:dyDescent="0.25">
      <c r="A2698" s="68"/>
      <c r="B2698" s="69"/>
      <c r="C2698" s="74"/>
      <c r="D2698" s="69"/>
      <c r="E2698" s="68"/>
      <c r="F2698" s="71"/>
      <c r="G2698" s="72"/>
      <c r="H2698" s="73"/>
      <c r="I2698" s="74"/>
      <c r="J2698" s="74"/>
      <c r="K2698" s="74"/>
      <c r="L2698" s="74"/>
      <c r="M2698" s="74"/>
      <c r="N2698" s="74"/>
      <c r="O2698" s="82">
        <f t="shared" si="126"/>
        <v>0</v>
      </c>
      <c r="P2698" s="82">
        <f t="shared" si="127"/>
        <v>0</v>
      </c>
      <c r="Q2698" s="74"/>
      <c r="R2698" s="76"/>
      <c r="S2698" s="84">
        <f t="shared" si="128"/>
        <v>0</v>
      </c>
    </row>
    <row r="2699" spans="1:19" ht="18" customHeight="1" x14ac:dyDescent="0.25">
      <c r="A2699" s="59"/>
      <c r="B2699" s="60"/>
      <c r="C2699" s="65"/>
      <c r="D2699" s="60"/>
      <c r="E2699" s="59"/>
      <c r="F2699" s="62"/>
      <c r="G2699" s="63"/>
      <c r="H2699" s="64"/>
      <c r="I2699" s="65"/>
      <c r="J2699" s="65"/>
      <c r="K2699" s="65"/>
      <c r="L2699" s="65"/>
      <c r="M2699" s="65"/>
      <c r="N2699" s="65"/>
      <c r="O2699" s="81">
        <f t="shared" si="126"/>
        <v>0</v>
      </c>
      <c r="P2699" s="81">
        <f t="shared" si="127"/>
        <v>0</v>
      </c>
      <c r="Q2699" s="65"/>
      <c r="R2699" s="67"/>
      <c r="S2699" s="83">
        <f t="shared" si="128"/>
        <v>0</v>
      </c>
    </row>
    <row r="2700" spans="1:19" ht="18" customHeight="1" x14ac:dyDescent="0.25">
      <c r="A2700" s="68"/>
      <c r="B2700" s="69"/>
      <c r="C2700" s="74"/>
      <c r="D2700" s="69"/>
      <c r="E2700" s="68"/>
      <c r="F2700" s="71"/>
      <c r="G2700" s="72"/>
      <c r="H2700" s="73"/>
      <c r="I2700" s="74"/>
      <c r="J2700" s="74"/>
      <c r="K2700" s="74"/>
      <c r="L2700" s="74"/>
      <c r="M2700" s="74"/>
      <c r="N2700" s="74"/>
      <c r="O2700" s="82">
        <f t="shared" si="126"/>
        <v>0</v>
      </c>
      <c r="P2700" s="82">
        <f t="shared" si="127"/>
        <v>0</v>
      </c>
      <c r="Q2700" s="74"/>
      <c r="R2700" s="76"/>
      <c r="S2700" s="84">
        <f t="shared" si="128"/>
        <v>0</v>
      </c>
    </row>
    <row r="2701" spans="1:19" ht="18" customHeight="1" x14ac:dyDescent="0.25">
      <c r="A2701" s="59"/>
      <c r="B2701" s="60"/>
      <c r="C2701" s="65"/>
      <c r="D2701" s="60"/>
      <c r="E2701" s="59"/>
      <c r="F2701" s="62"/>
      <c r="G2701" s="63"/>
      <c r="H2701" s="64"/>
      <c r="I2701" s="65"/>
      <c r="J2701" s="65"/>
      <c r="K2701" s="65"/>
      <c r="L2701" s="65"/>
      <c r="M2701" s="65"/>
      <c r="N2701" s="65"/>
      <c r="O2701" s="81">
        <f t="shared" si="126"/>
        <v>0</v>
      </c>
      <c r="P2701" s="81">
        <f t="shared" si="127"/>
        <v>0</v>
      </c>
      <c r="Q2701" s="65"/>
      <c r="R2701" s="67"/>
      <c r="S2701" s="83">
        <f t="shared" si="128"/>
        <v>0</v>
      </c>
    </row>
    <row r="2702" spans="1:19" ht="18" customHeight="1" x14ac:dyDescent="0.25">
      <c r="A2702" s="68"/>
      <c r="B2702" s="69"/>
      <c r="C2702" s="74"/>
      <c r="D2702" s="69"/>
      <c r="E2702" s="68"/>
      <c r="F2702" s="71"/>
      <c r="G2702" s="72"/>
      <c r="H2702" s="73"/>
      <c r="I2702" s="74"/>
      <c r="J2702" s="74"/>
      <c r="K2702" s="74"/>
      <c r="L2702" s="74"/>
      <c r="M2702" s="74"/>
      <c r="N2702" s="74"/>
      <c r="O2702" s="82">
        <f t="shared" si="126"/>
        <v>0</v>
      </c>
      <c r="P2702" s="82">
        <f t="shared" si="127"/>
        <v>0</v>
      </c>
      <c r="Q2702" s="74"/>
      <c r="R2702" s="76"/>
      <c r="S2702" s="84">
        <f t="shared" si="128"/>
        <v>0</v>
      </c>
    </row>
    <row r="2703" spans="1:19" ht="18" customHeight="1" x14ac:dyDescent="0.25">
      <c r="A2703" s="59"/>
      <c r="B2703" s="60"/>
      <c r="C2703" s="65"/>
      <c r="D2703" s="60"/>
      <c r="E2703" s="59"/>
      <c r="F2703" s="62"/>
      <c r="G2703" s="63"/>
      <c r="H2703" s="64"/>
      <c r="I2703" s="65"/>
      <c r="J2703" s="65"/>
      <c r="K2703" s="65"/>
      <c r="L2703" s="65"/>
      <c r="M2703" s="65"/>
      <c r="N2703" s="65"/>
      <c r="O2703" s="81">
        <f t="shared" si="126"/>
        <v>0</v>
      </c>
      <c r="P2703" s="81">
        <f t="shared" si="127"/>
        <v>0</v>
      </c>
      <c r="Q2703" s="65"/>
      <c r="R2703" s="67"/>
      <c r="S2703" s="83">
        <f t="shared" si="128"/>
        <v>0</v>
      </c>
    </row>
    <row r="2704" spans="1:19" ht="18" customHeight="1" x14ac:dyDescent="0.25">
      <c r="A2704" s="68"/>
      <c r="B2704" s="69"/>
      <c r="C2704" s="74"/>
      <c r="D2704" s="69"/>
      <c r="E2704" s="68"/>
      <c r="F2704" s="71"/>
      <c r="G2704" s="72"/>
      <c r="H2704" s="73"/>
      <c r="I2704" s="74"/>
      <c r="J2704" s="74"/>
      <c r="K2704" s="74"/>
      <c r="L2704" s="74"/>
      <c r="M2704" s="74"/>
      <c r="N2704" s="74"/>
      <c r="O2704" s="82">
        <f t="shared" si="126"/>
        <v>0</v>
      </c>
      <c r="P2704" s="82">
        <f t="shared" si="127"/>
        <v>0</v>
      </c>
      <c r="Q2704" s="74"/>
      <c r="R2704" s="76"/>
      <c r="S2704" s="84">
        <f t="shared" si="128"/>
        <v>0</v>
      </c>
    </row>
    <row r="2705" spans="1:19" ht="18" customHeight="1" x14ac:dyDescent="0.25">
      <c r="A2705" s="59"/>
      <c r="B2705" s="60"/>
      <c r="C2705" s="65"/>
      <c r="D2705" s="60"/>
      <c r="E2705" s="59"/>
      <c r="F2705" s="62"/>
      <c r="G2705" s="63"/>
      <c r="H2705" s="64"/>
      <c r="I2705" s="65"/>
      <c r="J2705" s="65"/>
      <c r="K2705" s="65"/>
      <c r="L2705" s="65"/>
      <c r="M2705" s="65"/>
      <c r="N2705" s="65"/>
      <c r="O2705" s="81">
        <f t="shared" si="126"/>
        <v>0</v>
      </c>
      <c r="P2705" s="81">
        <f t="shared" si="127"/>
        <v>0</v>
      </c>
      <c r="Q2705" s="65"/>
      <c r="R2705" s="67"/>
      <c r="S2705" s="83">
        <f t="shared" si="128"/>
        <v>0</v>
      </c>
    </row>
    <row r="2706" spans="1:19" ht="18" customHeight="1" x14ac:dyDescent="0.25">
      <c r="A2706" s="68"/>
      <c r="B2706" s="69"/>
      <c r="C2706" s="74"/>
      <c r="D2706" s="69"/>
      <c r="E2706" s="68"/>
      <c r="F2706" s="71"/>
      <c r="G2706" s="72"/>
      <c r="H2706" s="73"/>
      <c r="I2706" s="74"/>
      <c r="J2706" s="74"/>
      <c r="K2706" s="74"/>
      <c r="L2706" s="74"/>
      <c r="M2706" s="74"/>
      <c r="N2706" s="74"/>
      <c r="O2706" s="82">
        <f t="shared" si="126"/>
        <v>0</v>
      </c>
      <c r="P2706" s="82">
        <f t="shared" si="127"/>
        <v>0</v>
      </c>
      <c r="Q2706" s="74"/>
      <c r="R2706" s="76"/>
      <c r="S2706" s="84">
        <f t="shared" si="128"/>
        <v>0</v>
      </c>
    </row>
    <row r="2707" spans="1:19" ht="18" customHeight="1" x14ac:dyDescent="0.25">
      <c r="A2707" s="59"/>
      <c r="B2707" s="60"/>
      <c r="C2707" s="65"/>
      <c r="D2707" s="60"/>
      <c r="E2707" s="59"/>
      <c r="F2707" s="62"/>
      <c r="G2707" s="63"/>
      <c r="H2707" s="64"/>
      <c r="I2707" s="65"/>
      <c r="J2707" s="65"/>
      <c r="K2707" s="65"/>
      <c r="L2707" s="65"/>
      <c r="M2707" s="65"/>
      <c r="N2707" s="65"/>
      <c r="O2707" s="81">
        <f t="shared" si="126"/>
        <v>0</v>
      </c>
      <c r="P2707" s="81">
        <f t="shared" si="127"/>
        <v>0</v>
      </c>
      <c r="Q2707" s="65"/>
      <c r="R2707" s="67"/>
      <c r="S2707" s="83">
        <f t="shared" si="128"/>
        <v>0</v>
      </c>
    </row>
    <row r="2708" spans="1:19" ht="18" customHeight="1" x14ac:dyDescent="0.25">
      <c r="A2708" s="68"/>
      <c r="B2708" s="69"/>
      <c r="C2708" s="74"/>
      <c r="D2708" s="69"/>
      <c r="E2708" s="68"/>
      <c r="F2708" s="71"/>
      <c r="G2708" s="72"/>
      <c r="H2708" s="73"/>
      <c r="I2708" s="74"/>
      <c r="J2708" s="74"/>
      <c r="K2708" s="74"/>
      <c r="L2708" s="74"/>
      <c r="M2708" s="74"/>
      <c r="N2708" s="74"/>
      <c r="O2708" s="82">
        <f t="shared" si="126"/>
        <v>0</v>
      </c>
      <c r="P2708" s="82">
        <f t="shared" si="127"/>
        <v>0</v>
      </c>
      <c r="Q2708" s="74"/>
      <c r="R2708" s="76"/>
      <c r="S2708" s="84">
        <f t="shared" si="128"/>
        <v>0</v>
      </c>
    </row>
    <row r="2709" spans="1:19" ht="18" customHeight="1" x14ac:dyDescent="0.25">
      <c r="A2709" s="59"/>
      <c r="B2709" s="60"/>
      <c r="C2709" s="65"/>
      <c r="D2709" s="60"/>
      <c r="E2709" s="59"/>
      <c r="F2709" s="62"/>
      <c r="G2709" s="63"/>
      <c r="H2709" s="64"/>
      <c r="I2709" s="65"/>
      <c r="J2709" s="65"/>
      <c r="K2709" s="65"/>
      <c r="L2709" s="65"/>
      <c r="M2709" s="65"/>
      <c r="N2709" s="65"/>
      <c r="O2709" s="81">
        <f t="shared" si="126"/>
        <v>0</v>
      </c>
      <c r="P2709" s="81">
        <f t="shared" si="127"/>
        <v>0</v>
      </c>
      <c r="Q2709" s="65"/>
      <c r="R2709" s="67"/>
      <c r="S2709" s="83">
        <f t="shared" si="128"/>
        <v>0</v>
      </c>
    </row>
    <row r="2710" spans="1:19" ht="18" customHeight="1" x14ac:dyDescent="0.25">
      <c r="A2710" s="68"/>
      <c r="B2710" s="69"/>
      <c r="C2710" s="74"/>
      <c r="D2710" s="69"/>
      <c r="E2710" s="68"/>
      <c r="F2710" s="71"/>
      <c r="G2710" s="72"/>
      <c r="H2710" s="73"/>
      <c r="I2710" s="74"/>
      <c r="J2710" s="74"/>
      <c r="K2710" s="74"/>
      <c r="L2710" s="74"/>
      <c r="M2710" s="74"/>
      <c r="N2710" s="74"/>
      <c r="O2710" s="82">
        <f t="shared" si="126"/>
        <v>0</v>
      </c>
      <c r="P2710" s="82">
        <f t="shared" si="127"/>
        <v>0</v>
      </c>
      <c r="Q2710" s="74"/>
      <c r="R2710" s="76"/>
      <c r="S2710" s="84">
        <f t="shared" si="128"/>
        <v>0</v>
      </c>
    </row>
    <row r="2711" spans="1:19" ht="18" customHeight="1" x14ac:dyDescent="0.25">
      <c r="A2711" s="59"/>
      <c r="B2711" s="60"/>
      <c r="C2711" s="65"/>
      <c r="D2711" s="60"/>
      <c r="E2711" s="59"/>
      <c r="F2711" s="62"/>
      <c r="G2711" s="63"/>
      <c r="H2711" s="64"/>
      <c r="I2711" s="65"/>
      <c r="J2711" s="65"/>
      <c r="K2711" s="65"/>
      <c r="L2711" s="65"/>
      <c r="M2711" s="65"/>
      <c r="N2711" s="65"/>
      <c r="O2711" s="81">
        <f t="shared" si="126"/>
        <v>0</v>
      </c>
      <c r="P2711" s="81">
        <f t="shared" si="127"/>
        <v>0</v>
      </c>
      <c r="Q2711" s="65"/>
      <c r="R2711" s="67"/>
      <c r="S2711" s="83">
        <f t="shared" si="128"/>
        <v>0</v>
      </c>
    </row>
    <row r="2712" spans="1:19" ht="18" customHeight="1" x14ac:dyDescent="0.25">
      <c r="A2712" s="68"/>
      <c r="B2712" s="69"/>
      <c r="C2712" s="74"/>
      <c r="D2712" s="69"/>
      <c r="E2712" s="68"/>
      <c r="F2712" s="71"/>
      <c r="G2712" s="72"/>
      <c r="H2712" s="73"/>
      <c r="I2712" s="74"/>
      <c r="J2712" s="74"/>
      <c r="K2712" s="74"/>
      <c r="L2712" s="74"/>
      <c r="M2712" s="74"/>
      <c r="N2712" s="74"/>
      <c r="O2712" s="82">
        <f t="shared" si="126"/>
        <v>0</v>
      </c>
      <c r="P2712" s="82">
        <f t="shared" si="127"/>
        <v>0</v>
      </c>
      <c r="Q2712" s="74"/>
      <c r="R2712" s="76"/>
      <c r="S2712" s="84">
        <f t="shared" si="128"/>
        <v>0</v>
      </c>
    </row>
    <row r="2713" spans="1:19" ht="18" customHeight="1" x14ac:dyDescent="0.25">
      <c r="A2713" s="59"/>
      <c r="B2713" s="60"/>
      <c r="C2713" s="65"/>
      <c r="D2713" s="60"/>
      <c r="E2713" s="59"/>
      <c r="F2713" s="62"/>
      <c r="G2713" s="63"/>
      <c r="H2713" s="64"/>
      <c r="I2713" s="65"/>
      <c r="J2713" s="65"/>
      <c r="K2713" s="65"/>
      <c r="L2713" s="65"/>
      <c r="M2713" s="65"/>
      <c r="N2713" s="65"/>
      <c r="O2713" s="81">
        <f t="shared" si="126"/>
        <v>0</v>
      </c>
      <c r="P2713" s="81">
        <f t="shared" si="127"/>
        <v>0</v>
      </c>
      <c r="Q2713" s="65"/>
      <c r="R2713" s="67"/>
      <c r="S2713" s="83">
        <f t="shared" si="128"/>
        <v>0</v>
      </c>
    </row>
    <row r="2714" spans="1:19" ht="18" customHeight="1" x14ac:dyDescent="0.25">
      <c r="A2714" s="68"/>
      <c r="B2714" s="69"/>
      <c r="C2714" s="74"/>
      <c r="D2714" s="69"/>
      <c r="E2714" s="68"/>
      <c r="F2714" s="71"/>
      <c r="G2714" s="72"/>
      <c r="H2714" s="73"/>
      <c r="I2714" s="74"/>
      <c r="J2714" s="74"/>
      <c r="K2714" s="74"/>
      <c r="L2714" s="74"/>
      <c r="M2714" s="74"/>
      <c r="N2714" s="74"/>
      <c r="O2714" s="82">
        <f t="shared" si="126"/>
        <v>0</v>
      </c>
      <c r="P2714" s="82">
        <f t="shared" si="127"/>
        <v>0</v>
      </c>
      <c r="Q2714" s="74"/>
      <c r="R2714" s="76"/>
      <c r="S2714" s="84">
        <f t="shared" si="128"/>
        <v>0</v>
      </c>
    </row>
    <row r="2715" spans="1:19" ht="18" customHeight="1" x14ac:dyDescent="0.25">
      <c r="A2715" s="59"/>
      <c r="B2715" s="60"/>
      <c r="C2715" s="65"/>
      <c r="D2715" s="60"/>
      <c r="E2715" s="59"/>
      <c r="F2715" s="62"/>
      <c r="G2715" s="63"/>
      <c r="H2715" s="64"/>
      <c r="I2715" s="65"/>
      <c r="J2715" s="65"/>
      <c r="K2715" s="65"/>
      <c r="L2715" s="65"/>
      <c r="M2715" s="65"/>
      <c r="N2715" s="65"/>
      <c r="O2715" s="81">
        <f t="shared" si="126"/>
        <v>0</v>
      </c>
      <c r="P2715" s="81">
        <f t="shared" si="127"/>
        <v>0</v>
      </c>
      <c r="Q2715" s="65"/>
      <c r="R2715" s="67"/>
      <c r="S2715" s="83">
        <f t="shared" si="128"/>
        <v>0</v>
      </c>
    </row>
    <row r="2716" spans="1:19" ht="18" customHeight="1" x14ac:dyDescent="0.25">
      <c r="A2716" s="68"/>
      <c r="B2716" s="69"/>
      <c r="C2716" s="74"/>
      <c r="D2716" s="69"/>
      <c r="E2716" s="68"/>
      <c r="F2716" s="71"/>
      <c r="G2716" s="72"/>
      <c r="H2716" s="73"/>
      <c r="I2716" s="74"/>
      <c r="J2716" s="74"/>
      <c r="K2716" s="74"/>
      <c r="L2716" s="74"/>
      <c r="M2716" s="74"/>
      <c r="N2716" s="74"/>
      <c r="O2716" s="82">
        <f t="shared" si="126"/>
        <v>0</v>
      </c>
      <c r="P2716" s="82">
        <f t="shared" si="127"/>
        <v>0</v>
      </c>
      <c r="Q2716" s="74"/>
      <c r="R2716" s="76"/>
      <c r="S2716" s="84">
        <f t="shared" si="128"/>
        <v>0</v>
      </c>
    </row>
    <row r="2717" spans="1:19" ht="18" customHeight="1" x14ac:dyDescent="0.25">
      <c r="A2717" s="59"/>
      <c r="B2717" s="60"/>
      <c r="C2717" s="65"/>
      <c r="D2717" s="60"/>
      <c r="E2717" s="59"/>
      <c r="F2717" s="62"/>
      <c r="G2717" s="63"/>
      <c r="H2717" s="64"/>
      <c r="I2717" s="65"/>
      <c r="J2717" s="65"/>
      <c r="K2717" s="65"/>
      <c r="L2717" s="65"/>
      <c r="M2717" s="65"/>
      <c r="N2717" s="65"/>
      <c r="O2717" s="81">
        <f t="shared" si="126"/>
        <v>0</v>
      </c>
      <c r="P2717" s="81">
        <f t="shared" si="127"/>
        <v>0</v>
      </c>
      <c r="Q2717" s="65"/>
      <c r="R2717" s="67"/>
      <c r="S2717" s="83">
        <f t="shared" si="128"/>
        <v>0</v>
      </c>
    </row>
    <row r="2718" spans="1:19" ht="18" customHeight="1" x14ac:dyDescent="0.25">
      <c r="A2718" s="68"/>
      <c r="B2718" s="69"/>
      <c r="C2718" s="74"/>
      <c r="D2718" s="69"/>
      <c r="E2718" s="68"/>
      <c r="F2718" s="71"/>
      <c r="G2718" s="72"/>
      <c r="H2718" s="73"/>
      <c r="I2718" s="74"/>
      <c r="J2718" s="74"/>
      <c r="K2718" s="74"/>
      <c r="L2718" s="74"/>
      <c r="M2718" s="74"/>
      <c r="N2718" s="74"/>
      <c r="O2718" s="82">
        <f t="shared" si="126"/>
        <v>0</v>
      </c>
      <c r="P2718" s="82">
        <f t="shared" si="127"/>
        <v>0</v>
      </c>
      <c r="Q2718" s="74"/>
      <c r="R2718" s="76"/>
      <c r="S2718" s="84">
        <f t="shared" si="128"/>
        <v>0</v>
      </c>
    </row>
    <row r="2719" spans="1:19" ht="18" customHeight="1" x14ac:dyDescent="0.25">
      <c r="A2719" s="59"/>
      <c r="B2719" s="60"/>
      <c r="C2719" s="65"/>
      <c r="D2719" s="60"/>
      <c r="E2719" s="59"/>
      <c r="F2719" s="62"/>
      <c r="G2719" s="63"/>
      <c r="H2719" s="64"/>
      <c r="I2719" s="65"/>
      <c r="J2719" s="65"/>
      <c r="K2719" s="65"/>
      <c r="L2719" s="65"/>
      <c r="M2719" s="65"/>
      <c r="N2719" s="65"/>
      <c r="O2719" s="81">
        <f t="shared" si="126"/>
        <v>0</v>
      </c>
      <c r="P2719" s="81">
        <f t="shared" si="127"/>
        <v>0</v>
      </c>
      <c r="Q2719" s="65"/>
      <c r="R2719" s="67"/>
      <c r="S2719" s="83">
        <f t="shared" si="128"/>
        <v>0</v>
      </c>
    </row>
    <row r="2720" spans="1:19" ht="18" customHeight="1" x14ac:dyDescent="0.25">
      <c r="A2720" s="68"/>
      <c r="B2720" s="69"/>
      <c r="C2720" s="74"/>
      <c r="D2720" s="69"/>
      <c r="E2720" s="68"/>
      <c r="F2720" s="71"/>
      <c r="G2720" s="72"/>
      <c r="H2720" s="73"/>
      <c r="I2720" s="74"/>
      <c r="J2720" s="74"/>
      <c r="K2720" s="74"/>
      <c r="L2720" s="74"/>
      <c r="M2720" s="74"/>
      <c r="N2720" s="74"/>
      <c r="O2720" s="82">
        <f t="shared" si="126"/>
        <v>0</v>
      </c>
      <c r="P2720" s="82">
        <f t="shared" si="127"/>
        <v>0</v>
      </c>
      <c r="Q2720" s="74"/>
      <c r="R2720" s="76"/>
      <c r="S2720" s="84">
        <f t="shared" si="128"/>
        <v>0</v>
      </c>
    </row>
    <row r="2721" spans="1:19" ht="18" customHeight="1" x14ac:dyDescent="0.25">
      <c r="A2721" s="59"/>
      <c r="B2721" s="60"/>
      <c r="C2721" s="65"/>
      <c r="D2721" s="60"/>
      <c r="E2721" s="59"/>
      <c r="F2721" s="62"/>
      <c r="G2721" s="63"/>
      <c r="H2721" s="64"/>
      <c r="I2721" s="65"/>
      <c r="J2721" s="65"/>
      <c r="K2721" s="65"/>
      <c r="L2721" s="65"/>
      <c r="M2721" s="65"/>
      <c r="N2721" s="65"/>
      <c r="O2721" s="81">
        <f t="shared" si="126"/>
        <v>0</v>
      </c>
      <c r="P2721" s="81">
        <f t="shared" si="127"/>
        <v>0</v>
      </c>
      <c r="Q2721" s="65"/>
      <c r="R2721" s="67"/>
      <c r="S2721" s="83">
        <f t="shared" si="128"/>
        <v>0</v>
      </c>
    </row>
    <row r="2722" spans="1:19" ht="18" customHeight="1" x14ac:dyDescent="0.25">
      <c r="A2722" s="68"/>
      <c r="B2722" s="69"/>
      <c r="C2722" s="74"/>
      <c r="D2722" s="69"/>
      <c r="E2722" s="68"/>
      <c r="F2722" s="71"/>
      <c r="G2722" s="72"/>
      <c r="H2722" s="73"/>
      <c r="I2722" s="74"/>
      <c r="J2722" s="74"/>
      <c r="K2722" s="74"/>
      <c r="L2722" s="74"/>
      <c r="M2722" s="74"/>
      <c r="N2722" s="74"/>
      <c r="O2722" s="82">
        <f t="shared" si="126"/>
        <v>0</v>
      </c>
      <c r="P2722" s="82">
        <f t="shared" si="127"/>
        <v>0</v>
      </c>
      <c r="Q2722" s="74"/>
      <c r="R2722" s="76"/>
      <c r="S2722" s="84">
        <f t="shared" si="128"/>
        <v>0</v>
      </c>
    </row>
    <row r="2723" spans="1:19" ht="18" customHeight="1" x14ac:dyDescent="0.25">
      <c r="A2723" s="59"/>
      <c r="B2723" s="60"/>
      <c r="C2723" s="65"/>
      <c r="D2723" s="60"/>
      <c r="E2723" s="59"/>
      <c r="F2723" s="62"/>
      <c r="G2723" s="63"/>
      <c r="H2723" s="64"/>
      <c r="I2723" s="65"/>
      <c r="J2723" s="65"/>
      <c r="K2723" s="65"/>
      <c r="L2723" s="65"/>
      <c r="M2723" s="65"/>
      <c r="N2723" s="65"/>
      <c r="O2723" s="81">
        <f t="shared" si="126"/>
        <v>0</v>
      </c>
      <c r="P2723" s="81">
        <f t="shared" si="127"/>
        <v>0</v>
      </c>
      <c r="Q2723" s="65"/>
      <c r="R2723" s="67"/>
      <c r="S2723" s="83">
        <f t="shared" si="128"/>
        <v>0</v>
      </c>
    </row>
    <row r="2724" spans="1:19" ht="18" customHeight="1" x14ac:dyDescent="0.25">
      <c r="A2724" s="68"/>
      <c r="B2724" s="69"/>
      <c r="C2724" s="74"/>
      <c r="D2724" s="69"/>
      <c r="E2724" s="68"/>
      <c r="F2724" s="71"/>
      <c r="G2724" s="72"/>
      <c r="H2724" s="73"/>
      <c r="I2724" s="74"/>
      <c r="J2724" s="74"/>
      <c r="K2724" s="74"/>
      <c r="L2724" s="74"/>
      <c r="M2724" s="74"/>
      <c r="N2724" s="74"/>
      <c r="O2724" s="82">
        <f t="shared" si="126"/>
        <v>0</v>
      </c>
      <c r="P2724" s="82">
        <f t="shared" si="127"/>
        <v>0</v>
      </c>
      <c r="Q2724" s="74"/>
      <c r="R2724" s="76"/>
      <c r="S2724" s="84">
        <f t="shared" si="128"/>
        <v>0</v>
      </c>
    </row>
    <row r="2725" spans="1:19" ht="18" customHeight="1" x14ac:dyDescent="0.25">
      <c r="A2725" s="59"/>
      <c r="B2725" s="60"/>
      <c r="C2725" s="65"/>
      <c r="D2725" s="60"/>
      <c r="E2725" s="59"/>
      <c r="F2725" s="62"/>
      <c r="G2725" s="63"/>
      <c r="H2725" s="64"/>
      <c r="I2725" s="65"/>
      <c r="J2725" s="65"/>
      <c r="K2725" s="65"/>
      <c r="L2725" s="65"/>
      <c r="M2725" s="65"/>
      <c r="N2725" s="65"/>
      <c r="O2725" s="81">
        <f t="shared" si="126"/>
        <v>0</v>
      </c>
      <c r="P2725" s="81">
        <f t="shared" si="127"/>
        <v>0</v>
      </c>
      <c r="Q2725" s="65"/>
      <c r="R2725" s="67"/>
      <c r="S2725" s="83">
        <f t="shared" si="128"/>
        <v>0</v>
      </c>
    </row>
    <row r="2726" spans="1:19" ht="18" customHeight="1" x14ac:dyDescent="0.25">
      <c r="A2726" s="68"/>
      <c r="B2726" s="69"/>
      <c r="C2726" s="74"/>
      <c r="D2726" s="69"/>
      <c r="E2726" s="68"/>
      <c r="F2726" s="71"/>
      <c r="G2726" s="72"/>
      <c r="H2726" s="73"/>
      <c r="I2726" s="74"/>
      <c r="J2726" s="74"/>
      <c r="K2726" s="74"/>
      <c r="L2726" s="74"/>
      <c r="M2726" s="74"/>
      <c r="N2726" s="74"/>
      <c r="O2726" s="82">
        <f t="shared" si="126"/>
        <v>0</v>
      </c>
      <c r="P2726" s="82">
        <f t="shared" si="127"/>
        <v>0</v>
      </c>
      <c r="Q2726" s="74"/>
      <c r="R2726" s="76"/>
      <c r="S2726" s="84">
        <f t="shared" si="128"/>
        <v>0</v>
      </c>
    </row>
    <row r="2727" spans="1:19" ht="18" customHeight="1" x14ac:dyDescent="0.25">
      <c r="A2727" s="59"/>
      <c r="B2727" s="60"/>
      <c r="C2727" s="65"/>
      <c r="D2727" s="60"/>
      <c r="E2727" s="59"/>
      <c r="F2727" s="62"/>
      <c r="G2727" s="63"/>
      <c r="H2727" s="64"/>
      <c r="I2727" s="65"/>
      <c r="J2727" s="65"/>
      <c r="K2727" s="65"/>
      <c r="L2727" s="65"/>
      <c r="M2727" s="65"/>
      <c r="N2727" s="65"/>
      <c r="O2727" s="81">
        <f t="shared" si="126"/>
        <v>0</v>
      </c>
      <c r="P2727" s="81">
        <f t="shared" si="127"/>
        <v>0</v>
      </c>
      <c r="Q2727" s="65"/>
      <c r="R2727" s="67"/>
      <c r="S2727" s="83">
        <f t="shared" si="128"/>
        <v>0</v>
      </c>
    </row>
    <row r="2728" spans="1:19" ht="18" customHeight="1" x14ac:dyDescent="0.25">
      <c r="A2728" s="68"/>
      <c r="B2728" s="69"/>
      <c r="C2728" s="74"/>
      <c r="D2728" s="69"/>
      <c r="E2728" s="68"/>
      <c r="F2728" s="71"/>
      <c r="G2728" s="72"/>
      <c r="H2728" s="73"/>
      <c r="I2728" s="74"/>
      <c r="J2728" s="74"/>
      <c r="K2728" s="74"/>
      <c r="L2728" s="74"/>
      <c r="M2728" s="74"/>
      <c r="N2728" s="74"/>
      <c r="O2728" s="82">
        <f t="shared" si="126"/>
        <v>0</v>
      </c>
      <c r="P2728" s="82">
        <f t="shared" si="127"/>
        <v>0</v>
      </c>
      <c r="Q2728" s="74"/>
      <c r="R2728" s="76"/>
      <c r="S2728" s="84">
        <f t="shared" si="128"/>
        <v>0</v>
      </c>
    </row>
    <row r="2729" spans="1:19" ht="18" customHeight="1" x14ac:dyDescent="0.25">
      <c r="A2729" s="59"/>
      <c r="B2729" s="60"/>
      <c r="C2729" s="65"/>
      <c r="D2729" s="60"/>
      <c r="E2729" s="59"/>
      <c r="F2729" s="62"/>
      <c r="G2729" s="63"/>
      <c r="H2729" s="64"/>
      <c r="I2729" s="65"/>
      <c r="J2729" s="65"/>
      <c r="K2729" s="65"/>
      <c r="L2729" s="65"/>
      <c r="M2729" s="65"/>
      <c r="N2729" s="65"/>
      <c r="O2729" s="81">
        <f t="shared" si="126"/>
        <v>0</v>
      </c>
      <c r="P2729" s="81">
        <f t="shared" si="127"/>
        <v>0</v>
      </c>
      <c r="Q2729" s="65"/>
      <c r="R2729" s="67"/>
      <c r="S2729" s="83">
        <f t="shared" si="128"/>
        <v>0</v>
      </c>
    </row>
    <row r="2730" spans="1:19" ht="18" customHeight="1" x14ac:dyDescent="0.25">
      <c r="A2730" s="68"/>
      <c r="B2730" s="69"/>
      <c r="C2730" s="74"/>
      <c r="D2730" s="69"/>
      <c r="E2730" s="68"/>
      <c r="F2730" s="71"/>
      <c r="G2730" s="72"/>
      <c r="H2730" s="73"/>
      <c r="I2730" s="74"/>
      <c r="J2730" s="74"/>
      <c r="K2730" s="74"/>
      <c r="L2730" s="74"/>
      <c r="M2730" s="74"/>
      <c r="N2730" s="74"/>
      <c r="O2730" s="82">
        <f t="shared" si="126"/>
        <v>0</v>
      </c>
      <c r="P2730" s="82">
        <f t="shared" si="127"/>
        <v>0</v>
      </c>
      <c r="Q2730" s="74"/>
      <c r="R2730" s="76"/>
      <c r="S2730" s="84">
        <f t="shared" si="128"/>
        <v>0</v>
      </c>
    </row>
    <row r="2731" spans="1:19" ht="18" customHeight="1" x14ac:dyDescent="0.25">
      <c r="A2731" s="59"/>
      <c r="B2731" s="60"/>
      <c r="C2731" s="65"/>
      <c r="D2731" s="60"/>
      <c r="E2731" s="59"/>
      <c r="F2731" s="62"/>
      <c r="G2731" s="63"/>
      <c r="H2731" s="64"/>
      <c r="I2731" s="65"/>
      <c r="J2731" s="65"/>
      <c r="K2731" s="65"/>
      <c r="L2731" s="65"/>
      <c r="M2731" s="65"/>
      <c r="N2731" s="65"/>
      <c r="O2731" s="81">
        <f t="shared" si="126"/>
        <v>0</v>
      </c>
      <c r="P2731" s="81">
        <f t="shared" si="127"/>
        <v>0</v>
      </c>
      <c r="Q2731" s="65"/>
      <c r="R2731" s="67"/>
      <c r="S2731" s="83">
        <f t="shared" si="128"/>
        <v>0</v>
      </c>
    </row>
    <row r="2732" spans="1:19" ht="18" customHeight="1" x14ac:dyDescent="0.25">
      <c r="A2732" s="68"/>
      <c r="B2732" s="69"/>
      <c r="C2732" s="74"/>
      <c r="D2732" s="69"/>
      <c r="E2732" s="68"/>
      <c r="F2732" s="71"/>
      <c r="G2732" s="72"/>
      <c r="H2732" s="73"/>
      <c r="I2732" s="74"/>
      <c r="J2732" s="74"/>
      <c r="K2732" s="74"/>
      <c r="L2732" s="74"/>
      <c r="M2732" s="74"/>
      <c r="N2732" s="74"/>
      <c r="O2732" s="82">
        <f t="shared" si="126"/>
        <v>0</v>
      </c>
      <c r="P2732" s="82">
        <f t="shared" si="127"/>
        <v>0</v>
      </c>
      <c r="Q2732" s="74"/>
      <c r="R2732" s="76"/>
      <c r="S2732" s="84">
        <f t="shared" si="128"/>
        <v>0</v>
      </c>
    </row>
    <row r="2733" spans="1:19" ht="18" customHeight="1" x14ac:dyDescent="0.25">
      <c r="A2733" s="59"/>
      <c r="B2733" s="60"/>
      <c r="C2733" s="65"/>
      <c r="D2733" s="60"/>
      <c r="E2733" s="59"/>
      <c r="F2733" s="62"/>
      <c r="G2733" s="63"/>
      <c r="H2733" s="64"/>
      <c r="I2733" s="65"/>
      <c r="J2733" s="65"/>
      <c r="K2733" s="65"/>
      <c r="L2733" s="65"/>
      <c r="M2733" s="65"/>
      <c r="N2733" s="65"/>
      <c r="O2733" s="81">
        <f t="shared" si="126"/>
        <v>0</v>
      </c>
      <c r="P2733" s="81">
        <f t="shared" si="127"/>
        <v>0</v>
      </c>
      <c r="Q2733" s="65"/>
      <c r="R2733" s="67"/>
      <c r="S2733" s="83">
        <f t="shared" si="128"/>
        <v>0</v>
      </c>
    </row>
    <row r="2734" spans="1:19" ht="18" customHeight="1" x14ac:dyDescent="0.25">
      <c r="A2734" s="68"/>
      <c r="B2734" s="69"/>
      <c r="C2734" s="74"/>
      <c r="D2734" s="69"/>
      <c r="E2734" s="68"/>
      <c r="F2734" s="71"/>
      <c r="G2734" s="72"/>
      <c r="H2734" s="73"/>
      <c r="I2734" s="74"/>
      <c r="J2734" s="74"/>
      <c r="K2734" s="74"/>
      <c r="L2734" s="74"/>
      <c r="M2734" s="74"/>
      <c r="N2734" s="74"/>
      <c r="O2734" s="82">
        <f t="shared" si="126"/>
        <v>0</v>
      </c>
      <c r="P2734" s="82">
        <f t="shared" si="127"/>
        <v>0</v>
      </c>
      <c r="Q2734" s="74"/>
      <c r="R2734" s="76"/>
      <c r="S2734" s="84">
        <f t="shared" si="128"/>
        <v>0</v>
      </c>
    </row>
    <row r="2735" spans="1:19" ht="18" customHeight="1" x14ac:dyDescent="0.25">
      <c r="A2735" s="59"/>
      <c r="B2735" s="60"/>
      <c r="C2735" s="65"/>
      <c r="D2735" s="60"/>
      <c r="E2735" s="59"/>
      <c r="F2735" s="62"/>
      <c r="G2735" s="63"/>
      <c r="H2735" s="64"/>
      <c r="I2735" s="65"/>
      <c r="J2735" s="65"/>
      <c r="K2735" s="65"/>
      <c r="L2735" s="65"/>
      <c r="M2735" s="65"/>
      <c r="N2735" s="65"/>
      <c r="O2735" s="81">
        <f t="shared" si="126"/>
        <v>0</v>
      </c>
      <c r="P2735" s="81">
        <f t="shared" si="127"/>
        <v>0</v>
      </c>
      <c r="Q2735" s="65"/>
      <c r="R2735" s="67"/>
      <c r="S2735" s="83">
        <f t="shared" si="128"/>
        <v>0</v>
      </c>
    </row>
    <row r="2736" spans="1:19" ht="18" customHeight="1" x14ac:dyDescent="0.25">
      <c r="A2736" s="68"/>
      <c r="B2736" s="69"/>
      <c r="C2736" s="74"/>
      <c r="D2736" s="69"/>
      <c r="E2736" s="68"/>
      <c r="F2736" s="71"/>
      <c r="G2736" s="72"/>
      <c r="H2736" s="73"/>
      <c r="I2736" s="74"/>
      <c r="J2736" s="74"/>
      <c r="K2736" s="74"/>
      <c r="L2736" s="74"/>
      <c r="M2736" s="74"/>
      <c r="N2736" s="74"/>
      <c r="O2736" s="82">
        <f t="shared" si="126"/>
        <v>0</v>
      </c>
      <c r="P2736" s="82">
        <f t="shared" si="127"/>
        <v>0</v>
      </c>
      <c r="Q2736" s="74"/>
      <c r="R2736" s="76"/>
      <c r="S2736" s="84">
        <f t="shared" si="128"/>
        <v>0</v>
      </c>
    </row>
    <row r="2737" spans="1:19" ht="18" customHeight="1" x14ac:dyDescent="0.25">
      <c r="A2737" s="59"/>
      <c r="B2737" s="60"/>
      <c r="C2737" s="65"/>
      <c r="D2737" s="60"/>
      <c r="E2737" s="59"/>
      <c r="F2737" s="62"/>
      <c r="G2737" s="63"/>
      <c r="H2737" s="64"/>
      <c r="I2737" s="65"/>
      <c r="J2737" s="65"/>
      <c r="K2737" s="65"/>
      <c r="L2737" s="65"/>
      <c r="M2737" s="65"/>
      <c r="N2737" s="65"/>
      <c r="O2737" s="81">
        <f t="shared" si="126"/>
        <v>0</v>
      </c>
      <c r="P2737" s="81">
        <f t="shared" si="127"/>
        <v>0</v>
      </c>
      <c r="Q2737" s="65"/>
      <c r="R2737" s="67"/>
      <c r="S2737" s="83">
        <f t="shared" si="128"/>
        <v>0</v>
      </c>
    </row>
    <row r="2738" spans="1:19" ht="18" customHeight="1" x14ac:dyDescent="0.25">
      <c r="A2738" s="68"/>
      <c r="B2738" s="69"/>
      <c r="C2738" s="74"/>
      <c r="D2738" s="69"/>
      <c r="E2738" s="68"/>
      <c r="F2738" s="71"/>
      <c r="G2738" s="72"/>
      <c r="H2738" s="73"/>
      <c r="I2738" s="74"/>
      <c r="J2738" s="74"/>
      <c r="K2738" s="74"/>
      <c r="L2738" s="74"/>
      <c r="M2738" s="74"/>
      <c r="N2738" s="74"/>
      <c r="O2738" s="82">
        <f t="shared" si="126"/>
        <v>0</v>
      </c>
      <c r="P2738" s="82">
        <f t="shared" si="127"/>
        <v>0</v>
      </c>
      <c r="Q2738" s="74"/>
      <c r="R2738" s="76"/>
      <c r="S2738" s="84">
        <f t="shared" si="128"/>
        <v>0</v>
      </c>
    </row>
    <row r="2739" spans="1:19" ht="18" customHeight="1" x14ac:dyDescent="0.25">
      <c r="A2739" s="59"/>
      <c r="B2739" s="60"/>
      <c r="C2739" s="65"/>
      <c r="D2739" s="60"/>
      <c r="E2739" s="59"/>
      <c r="F2739" s="62"/>
      <c r="G2739" s="63"/>
      <c r="H2739" s="64"/>
      <c r="I2739" s="65"/>
      <c r="J2739" s="65"/>
      <c r="K2739" s="65"/>
      <c r="L2739" s="65"/>
      <c r="M2739" s="65"/>
      <c r="N2739" s="65"/>
      <c r="O2739" s="81">
        <f t="shared" si="126"/>
        <v>0</v>
      </c>
      <c r="P2739" s="81">
        <f t="shared" si="127"/>
        <v>0</v>
      </c>
      <c r="Q2739" s="65"/>
      <c r="R2739" s="67"/>
      <c r="S2739" s="83">
        <f t="shared" si="128"/>
        <v>0</v>
      </c>
    </row>
    <row r="2740" spans="1:19" ht="18" customHeight="1" x14ac:dyDescent="0.25">
      <c r="A2740" s="68"/>
      <c r="B2740" s="69"/>
      <c r="C2740" s="74"/>
      <c r="D2740" s="69"/>
      <c r="E2740" s="68"/>
      <c r="F2740" s="71"/>
      <c r="G2740" s="72"/>
      <c r="H2740" s="73"/>
      <c r="I2740" s="74"/>
      <c r="J2740" s="74"/>
      <c r="K2740" s="74"/>
      <c r="L2740" s="74"/>
      <c r="M2740" s="74"/>
      <c r="N2740" s="74"/>
      <c r="O2740" s="82">
        <f t="shared" si="126"/>
        <v>0</v>
      </c>
      <c r="P2740" s="82">
        <f t="shared" si="127"/>
        <v>0</v>
      </c>
      <c r="Q2740" s="74"/>
      <c r="R2740" s="76"/>
      <c r="S2740" s="84">
        <f t="shared" si="128"/>
        <v>0</v>
      </c>
    </row>
    <row r="2741" spans="1:19" ht="18" customHeight="1" x14ac:dyDescent="0.25">
      <c r="A2741" s="59"/>
      <c r="B2741" s="60"/>
      <c r="C2741" s="65"/>
      <c r="D2741" s="60"/>
      <c r="E2741" s="59"/>
      <c r="F2741" s="62"/>
      <c r="G2741" s="63"/>
      <c r="H2741" s="64"/>
      <c r="I2741" s="65"/>
      <c r="J2741" s="65"/>
      <c r="K2741" s="65"/>
      <c r="L2741" s="65"/>
      <c r="M2741" s="65"/>
      <c r="N2741" s="65"/>
      <c r="O2741" s="81">
        <f t="shared" si="126"/>
        <v>0</v>
      </c>
      <c r="P2741" s="81">
        <f t="shared" si="127"/>
        <v>0</v>
      </c>
      <c r="Q2741" s="65"/>
      <c r="R2741" s="67"/>
      <c r="S2741" s="83">
        <f t="shared" si="128"/>
        <v>0</v>
      </c>
    </row>
    <row r="2742" spans="1:19" ht="18" customHeight="1" x14ac:dyDescent="0.25">
      <c r="A2742" s="68"/>
      <c r="B2742" s="69"/>
      <c r="C2742" s="74"/>
      <c r="D2742" s="69"/>
      <c r="E2742" s="68"/>
      <c r="F2742" s="71"/>
      <c r="G2742" s="72"/>
      <c r="H2742" s="73"/>
      <c r="I2742" s="74"/>
      <c r="J2742" s="74"/>
      <c r="K2742" s="74"/>
      <c r="L2742" s="74"/>
      <c r="M2742" s="74"/>
      <c r="N2742" s="74"/>
      <c r="O2742" s="82">
        <f t="shared" si="126"/>
        <v>0</v>
      </c>
      <c r="P2742" s="82">
        <f t="shared" si="127"/>
        <v>0</v>
      </c>
      <c r="Q2742" s="74"/>
      <c r="R2742" s="76"/>
      <c r="S2742" s="84">
        <f t="shared" si="128"/>
        <v>0</v>
      </c>
    </row>
    <row r="2743" spans="1:19" ht="18" customHeight="1" x14ac:dyDescent="0.25">
      <c r="A2743" s="59"/>
      <c r="B2743" s="60"/>
      <c r="C2743" s="65"/>
      <c r="D2743" s="60"/>
      <c r="E2743" s="59"/>
      <c r="F2743" s="62"/>
      <c r="G2743" s="63"/>
      <c r="H2743" s="64"/>
      <c r="I2743" s="65"/>
      <c r="J2743" s="65"/>
      <c r="K2743" s="65"/>
      <c r="L2743" s="65"/>
      <c r="M2743" s="65"/>
      <c r="N2743" s="65"/>
      <c r="O2743" s="81">
        <f t="shared" si="126"/>
        <v>0</v>
      </c>
      <c r="P2743" s="81">
        <f t="shared" si="127"/>
        <v>0</v>
      </c>
      <c r="Q2743" s="65"/>
      <c r="R2743" s="67"/>
      <c r="S2743" s="83">
        <f t="shared" si="128"/>
        <v>0</v>
      </c>
    </row>
    <row r="2744" spans="1:19" ht="18" customHeight="1" x14ac:dyDescent="0.25">
      <c r="A2744" s="68"/>
      <c r="B2744" s="69"/>
      <c r="C2744" s="74"/>
      <c r="D2744" s="69"/>
      <c r="E2744" s="68"/>
      <c r="F2744" s="71"/>
      <c r="G2744" s="72"/>
      <c r="H2744" s="73"/>
      <c r="I2744" s="74"/>
      <c r="J2744" s="74"/>
      <c r="K2744" s="74"/>
      <c r="L2744" s="74"/>
      <c r="M2744" s="74"/>
      <c r="N2744" s="74"/>
      <c r="O2744" s="82">
        <f t="shared" si="126"/>
        <v>0</v>
      </c>
      <c r="P2744" s="82">
        <f t="shared" si="127"/>
        <v>0</v>
      </c>
      <c r="Q2744" s="74"/>
      <c r="R2744" s="76"/>
      <c r="S2744" s="84">
        <f t="shared" si="128"/>
        <v>0</v>
      </c>
    </row>
    <row r="2745" spans="1:19" ht="18" customHeight="1" x14ac:dyDescent="0.25">
      <c r="A2745" s="59"/>
      <c r="B2745" s="60"/>
      <c r="C2745" s="65"/>
      <c r="D2745" s="60"/>
      <c r="E2745" s="59"/>
      <c r="F2745" s="62"/>
      <c r="G2745" s="63"/>
      <c r="H2745" s="64"/>
      <c r="I2745" s="65"/>
      <c r="J2745" s="65"/>
      <c r="K2745" s="65"/>
      <c r="L2745" s="65"/>
      <c r="M2745" s="65"/>
      <c r="N2745" s="65"/>
      <c r="O2745" s="81">
        <f t="shared" si="126"/>
        <v>0</v>
      </c>
      <c r="P2745" s="81">
        <f t="shared" si="127"/>
        <v>0</v>
      </c>
      <c r="Q2745" s="65"/>
      <c r="R2745" s="67"/>
      <c r="S2745" s="83">
        <f t="shared" si="128"/>
        <v>0</v>
      </c>
    </row>
    <row r="2746" spans="1:19" ht="18" customHeight="1" x14ac:dyDescent="0.25">
      <c r="A2746" s="68"/>
      <c r="B2746" s="69"/>
      <c r="C2746" s="74"/>
      <c r="D2746" s="69"/>
      <c r="E2746" s="68"/>
      <c r="F2746" s="71"/>
      <c r="G2746" s="72"/>
      <c r="H2746" s="73"/>
      <c r="I2746" s="74"/>
      <c r="J2746" s="74"/>
      <c r="K2746" s="74"/>
      <c r="L2746" s="74"/>
      <c r="M2746" s="74"/>
      <c r="N2746" s="74"/>
      <c r="O2746" s="82">
        <f t="shared" si="126"/>
        <v>0</v>
      </c>
      <c r="P2746" s="82">
        <f t="shared" si="127"/>
        <v>0</v>
      </c>
      <c r="Q2746" s="74"/>
      <c r="R2746" s="76"/>
      <c r="S2746" s="84">
        <f t="shared" si="128"/>
        <v>0</v>
      </c>
    </row>
    <row r="2747" spans="1:19" ht="18" customHeight="1" x14ac:dyDescent="0.25">
      <c r="A2747" s="59"/>
      <c r="B2747" s="60"/>
      <c r="C2747" s="65"/>
      <c r="D2747" s="60"/>
      <c r="E2747" s="59"/>
      <c r="F2747" s="62"/>
      <c r="G2747" s="63"/>
      <c r="H2747" s="64"/>
      <c r="I2747" s="65"/>
      <c r="J2747" s="65"/>
      <c r="K2747" s="65"/>
      <c r="L2747" s="65"/>
      <c r="M2747" s="65"/>
      <c r="N2747" s="65"/>
      <c r="O2747" s="81">
        <f t="shared" si="126"/>
        <v>0</v>
      </c>
      <c r="P2747" s="81">
        <f t="shared" si="127"/>
        <v>0</v>
      </c>
      <c r="Q2747" s="65"/>
      <c r="R2747" s="67"/>
      <c r="S2747" s="83">
        <f t="shared" si="128"/>
        <v>0</v>
      </c>
    </row>
    <row r="2748" spans="1:19" ht="18" customHeight="1" x14ac:dyDescent="0.25">
      <c r="A2748" s="68"/>
      <c r="B2748" s="69"/>
      <c r="C2748" s="74"/>
      <c r="D2748" s="69"/>
      <c r="E2748" s="68"/>
      <c r="F2748" s="71"/>
      <c r="G2748" s="72"/>
      <c r="H2748" s="73"/>
      <c r="I2748" s="74"/>
      <c r="J2748" s="74"/>
      <c r="K2748" s="74"/>
      <c r="L2748" s="74"/>
      <c r="M2748" s="74"/>
      <c r="N2748" s="74"/>
      <c r="O2748" s="82">
        <f t="shared" si="126"/>
        <v>0</v>
      </c>
      <c r="P2748" s="82">
        <f t="shared" si="127"/>
        <v>0</v>
      </c>
      <c r="Q2748" s="74"/>
      <c r="R2748" s="76"/>
      <c r="S2748" s="84">
        <f t="shared" si="128"/>
        <v>0</v>
      </c>
    </row>
    <row r="2749" spans="1:19" ht="18" customHeight="1" x14ac:dyDescent="0.25">
      <c r="A2749" s="59"/>
      <c r="B2749" s="60"/>
      <c r="C2749" s="65"/>
      <c r="D2749" s="60"/>
      <c r="E2749" s="59"/>
      <c r="F2749" s="62"/>
      <c r="G2749" s="63"/>
      <c r="H2749" s="64"/>
      <c r="I2749" s="65"/>
      <c r="J2749" s="65"/>
      <c r="K2749" s="65"/>
      <c r="L2749" s="65"/>
      <c r="M2749" s="65"/>
      <c r="N2749" s="65"/>
      <c r="O2749" s="81">
        <f t="shared" si="126"/>
        <v>0</v>
      </c>
      <c r="P2749" s="81">
        <f t="shared" si="127"/>
        <v>0</v>
      </c>
      <c r="Q2749" s="65"/>
      <c r="R2749" s="67"/>
      <c r="S2749" s="83">
        <f t="shared" si="128"/>
        <v>0</v>
      </c>
    </row>
    <row r="2750" spans="1:19" ht="18" customHeight="1" x14ac:dyDescent="0.25">
      <c r="A2750" s="68"/>
      <c r="B2750" s="69"/>
      <c r="C2750" s="74"/>
      <c r="D2750" s="69"/>
      <c r="E2750" s="68"/>
      <c r="F2750" s="71"/>
      <c r="G2750" s="72"/>
      <c r="H2750" s="73"/>
      <c r="I2750" s="74"/>
      <c r="J2750" s="74"/>
      <c r="K2750" s="74"/>
      <c r="L2750" s="74"/>
      <c r="M2750" s="74"/>
      <c r="N2750" s="74"/>
      <c r="O2750" s="82">
        <f t="shared" si="126"/>
        <v>0</v>
      </c>
      <c r="P2750" s="82">
        <f t="shared" si="127"/>
        <v>0</v>
      </c>
      <c r="Q2750" s="74"/>
      <c r="R2750" s="76"/>
      <c r="S2750" s="84">
        <f t="shared" si="128"/>
        <v>0</v>
      </c>
    </row>
    <row r="2751" spans="1:19" ht="18" customHeight="1" x14ac:dyDescent="0.25">
      <c r="A2751" s="59"/>
      <c r="B2751" s="60"/>
      <c r="C2751" s="65"/>
      <c r="D2751" s="60"/>
      <c r="E2751" s="59"/>
      <c r="F2751" s="62"/>
      <c r="G2751" s="63"/>
      <c r="H2751" s="64"/>
      <c r="I2751" s="65"/>
      <c r="J2751" s="65"/>
      <c r="K2751" s="65"/>
      <c r="L2751" s="65"/>
      <c r="M2751" s="65"/>
      <c r="N2751" s="65"/>
      <c r="O2751" s="81">
        <f t="shared" si="126"/>
        <v>0</v>
      </c>
      <c r="P2751" s="81">
        <f t="shared" si="127"/>
        <v>0</v>
      </c>
      <c r="Q2751" s="65"/>
      <c r="R2751" s="67"/>
      <c r="S2751" s="83">
        <f t="shared" si="128"/>
        <v>0</v>
      </c>
    </row>
    <row r="2752" spans="1:19" ht="18" customHeight="1" x14ac:dyDescent="0.25">
      <c r="A2752" s="68"/>
      <c r="B2752" s="69"/>
      <c r="C2752" s="74"/>
      <c r="D2752" s="69"/>
      <c r="E2752" s="68"/>
      <c r="F2752" s="71"/>
      <c r="G2752" s="72"/>
      <c r="H2752" s="73"/>
      <c r="I2752" s="74"/>
      <c r="J2752" s="74"/>
      <c r="K2752" s="74"/>
      <c r="L2752" s="74"/>
      <c r="M2752" s="74"/>
      <c r="N2752" s="74"/>
      <c r="O2752" s="82">
        <f t="shared" si="126"/>
        <v>0</v>
      </c>
      <c r="P2752" s="82">
        <f t="shared" si="127"/>
        <v>0</v>
      </c>
      <c r="Q2752" s="74"/>
      <c r="R2752" s="76"/>
      <c r="S2752" s="84">
        <f t="shared" si="128"/>
        <v>0</v>
      </c>
    </row>
    <row r="2753" spans="1:19" ht="18" customHeight="1" x14ac:dyDescent="0.25">
      <c r="A2753" s="59"/>
      <c r="B2753" s="60"/>
      <c r="C2753" s="65"/>
      <c r="D2753" s="60"/>
      <c r="E2753" s="59"/>
      <c r="F2753" s="62"/>
      <c r="G2753" s="63"/>
      <c r="H2753" s="64"/>
      <c r="I2753" s="65"/>
      <c r="J2753" s="65"/>
      <c r="K2753" s="65"/>
      <c r="L2753" s="65"/>
      <c r="M2753" s="65"/>
      <c r="N2753" s="65"/>
      <c r="O2753" s="81">
        <f t="shared" si="126"/>
        <v>0</v>
      </c>
      <c r="P2753" s="81">
        <f t="shared" si="127"/>
        <v>0</v>
      </c>
      <c r="Q2753" s="65"/>
      <c r="R2753" s="67"/>
      <c r="S2753" s="83">
        <f t="shared" si="128"/>
        <v>0</v>
      </c>
    </row>
    <row r="2754" spans="1:19" ht="18" customHeight="1" x14ac:dyDescent="0.25">
      <c r="A2754" s="68"/>
      <c r="B2754" s="69"/>
      <c r="C2754" s="74"/>
      <c r="D2754" s="69"/>
      <c r="E2754" s="68"/>
      <c r="F2754" s="71"/>
      <c r="G2754" s="72"/>
      <c r="H2754" s="73"/>
      <c r="I2754" s="74"/>
      <c r="J2754" s="74"/>
      <c r="K2754" s="74"/>
      <c r="L2754" s="74"/>
      <c r="M2754" s="74"/>
      <c r="N2754" s="74"/>
      <c r="O2754" s="82">
        <f t="shared" si="126"/>
        <v>0</v>
      </c>
      <c r="P2754" s="82">
        <f t="shared" si="127"/>
        <v>0</v>
      </c>
      <c r="Q2754" s="74"/>
      <c r="R2754" s="76"/>
      <c r="S2754" s="84">
        <f t="shared" si="128"/>
        <v>0</v>
      </c>
    </row>
    <row r="2755" spans="1:19" ht="18" customHeight="1" x14ac:dyDescent="0.25">
      <c r="A2755" s="59"/>
      <c r="B2755" s="60"/>
      <c r="C2755" s="65"/>
      <c r="D2755" s="60"/>
      <c r="E2755" s="59"/>
      <c r="F2755" s="62"/>
      <c r="G2755" s="63"/>
      <c r="H2755" s="64"/>
      <c r="I2755" s="65"/>
      <c r="J2755" s="65"/>
      <c r="K2755" s="65"/>
      <c r="L2755" s="65"/>
      <c r="M2755" s="65"/>
      <c r="N2755" s="65"/>
      <c r="O2755" s="81">
        <f t="shared" si="126"/>
        <v>0</v>
      </c>
      <c r="P2755" s="81">
        <f t="shared" si="127"/>
        <v>0</v>
      </c>
      <c r="Q2755" s="65"/>
      <c r="R2755" s="67"/>
      <c r="S2755" s="83">
        <f t="shared" si="128"/>
        <v>0</v>
      </c>
    </row>
    <row r="2756" spans="1:19" ht="18" customHeight="1" x14ac:dyDescent="0.25">
      <c r="A2756" s="68"/>
      <c r="B2756" s="69"/>
      <c r="C2756" s="74"/>
      <c r="D2756" s="69"/>
      <c r="E2756" s="68"/>
      <c r="F2756" s="71"/>
      <c r="G2756" s="72"/>
      <c r="H2756" s="73"/>
      <c r="I2756" s="74"/>
      <c r="J2756" s="74"/>
      <c r="K2756" s="74"/>
      <c r="L2756" s="74"/>
      <c r="M2756" s="74"/>
      <c r="N2756" s="74"/>
      <c r="O2756" s="82">
        <f t="shared" si="126"/>
        <v>0</v>
      </c>
      <c r="P2756" s="82">
        <f t="shared" si="127"/>
        <v>0</v>
      </c>
      <c r="Q2756" s="74"/>
      <c r="R2756" s="76"/>
      <c r="S2756" s="84">
        <f t="shared" si="128"/>
        <v>0</v>
      </c>
    </row>
    <row r="2757" spans="1:19" ht="18" customHeight="1" x14ac:dyDescent="0.25">
      <c r="A2757" s="59"/>
      <c r="B2757" s="60"/>
      <c r="C2757" s="65"/>
      <c r="D2757" s="60"/>
      <c r="E2757" s="59"/>
      <c r="F2757" s="62"/>
      <c r="G2757" s="63"/>
      <c r="H2757" s="64"/>
      <c r="I2757" s="65"/>
      <c r="J2757" s="65"/>
      <c r="K2757" s="65"/>
      <c r="L2757" s="65"/>
      <c r="M2757" s="65"/>
      <c r="N2757" s="65"/>
      <c r="O2757" s="81">
        <f t="shared" si="126"/>
        <v>0</v>
      </c>
      <c r="P2757" s="81">
        <f t="shared" si="127"/>
        <v>0</v>
      </c>
      <c r="Q2757" s="65"/>
      <c r="R2757" s="67"/>
      <c r="S2757" s="83">
        <f t="shared" si="128"/>
        <v>0</v>
      </c>
    </row>
    <row r="2758" spans="1:19" ht="18" customHeight="1" x14ac:dyDescent="0.25">
      <c r="A2758" s="68"/>
      <c r="B2758" s="69"/>
      <c r="C2758" s="74"/>
      <c r="D2758" s="69"/>
      <c r="E2758" s="68"/>
      <c r="F2758" s="71"/>
      <c r="G2758" s="72"/>
      <c r="H2758" s="73"/>
      <c r="I2758" s="74"/>
      <c r="J2758" s="74"/>
      <c r="K2758" s="74"/>
      <c r="L2758" s="74"/>
      <c r="M2758" s="74"/>
      <c r="N2758" s="74"/>
      <c r="O2758" s="82" t="e">
        <f>#N/A</f>
        <v>#N/A</v>
      </c>
      <c r="P2758" s="82" t="e">
        <f>#N/A</f>
        <v>#N/A</v>
      </c>
      <c r="Q2758" s="74"/>
      <c r="R2758" s="76"/>
      <c r="S2758" s="84">
        <f t="shared" si="128"/>
        <v>0</v>
      </c>
    </row>
    <row r="2759" spans="1:19" ht="18" customHeight="1" x14ac:dyDescent="0.25">
      <c r="A2759" s="59"/>
      <c r="B2759" s="60"/>
      <c r="C2759" s="65"/>
      <c r="D2759" s="60"/>
      <c r="E2759" s="59"/>
      <c r="F2759" s="62"/>
      <c r="G2759" s="63"/>
      <c r="H2759" s="64"/>
      <c r="I2759" s="65"/>
      <c r="J2759" s="65"/>
      <c r="K2759" s="65"/>
      <c r="L2759" s="65"/>
      <c r="M2759" s="65"/>
      <c r="N2759" s="65"/>
      <c r="O2759" s="81">
        <f t="shared" ref="O2759:O2821" si="129">IF(G2759="Reimbursement ","",I2759+J2759+K2759+L2759+M2759)</f>
        <v>0</v>
      </c>
      <c r="P2759" s="81">
        <f t="shared" ref="P2759:P2821" si="130">IF(G2759="Reimbursement ","",H2759-O2759)</f>
        <v>0</v>
      </c>
      <c r="Q2759" s="65"/>
      <c r="R2759" s="67"/>
      <c r="S2759" s="83">
        <f t="shared" ref="S2759:S2822" si="131">IF(OR(R2759="",Q2759=""),0,IF(R2759&gt;Q2759,R2759-Q2759,0))</f>
        <v>0</v>
      </c>
    </row>
    <row r="2760" spans="1:19" ht="18" customHeight="1" x14ac:dyDescent="0.25">
      <c r="A2760" s="68"/>
      <c r="B2760" s="69"/>
      <c r="C2760" s="74"/>
      <c r="D2760" s="69"/>
      <c r="E2760" s="68"/>
      <c r="F2760" s="71"/>
      <c r="G2760" s="72"/>
      <c r="H2760" s="73"/>
      <c r="I2760" s="74"/>
      <c r="J2760" s="74"/>
      <c r="K2760" s="74"/>
      <c r="L2760" s="74"/>
      <c r="M2760" s="74"/>
      <c r="N2760" s="74"/>
      <c r="O2760" s="82">
        <f t="shared" si="129"/>
        <v>0</v>
      </c>
      <c r="P2760" s="82">
        <f t="shared" si="130"/>
        <v>0</v>
      </c>
      <c r="Q2760" s="74"/>
      <c r="R2760" s="76"/>
      <c r="S2760" s="84">
        <f t="shared" si="131"/>
        <v>0</v>
      </c>
    </row>
    <row r="2761" spans="1:19" ht="18" customHeight="1" x14ac:dyDescent="0.25">
      <c r="A2761" s="59"/>
      <c r="B2761" s="60"/>
      <c r="C2761" s="65"/>
      <c r="D2761" s="60"/>
      <c r="E2761" s="59"/>
      <c r="F2761" s="62"/>
      <c r="G2761" s="63"/>
      <c r="H2761" s="64"/>
      <c r="I2761" s="65"/>
      <c r="J2761" s="65"/>
      <c r="K2761" s="65"/>
      <c r="L2761" s="65"/>
      <c r="M2761" s="65"/>
      <c r="N2761" s="65"/>
      <c r="O2761" s="81">
        <f t="shared" si="129"/>
        <v>0</v>
      </c>
      <c r="P2761" s="81">
        <f t="shared" si="130"/>
        <v>0</v>
      </c>
      <c r="Q2761" s="65"/>
      <c r="R2761" s="67"/>
      <c r="S2761" s="83">
        <f t="shared" si="131"/>
        <v>0</v>
      </c>
    </row>
    <row r="2762" spans="1:19" ht="18" customHeight="1" x14ac:dyDescent="0.25">
      <c r="A2762" s="68"/>
      <c r="B2762" s="69"/>
      <c r="C2762" s="74"/>
      <c r="D2762" s="69"/>
      <c r="E2762" s="68"/>
      <c r="F2762" s="71"/>
      <c r="G2762" s="72"/>
      <c r="H2762" s="73"/>
      <c r="I2762" s="74"/>
      <c r="J2762" s="74"/>
      <c r="K2762" s="74"/>
      <c r="L2762" s="74"/>
      <c r="M2762" s="74"/>
      <c r="N2762" s="74"/>
      <c r="O2762" s="82">
        <f t="shared" si="129"/>
        <v>0</v>
      </c>
      <c r="P2762" s="82">
        <f t="shared" si="130"/>
        <v>0</v>
      </c>
      <c r="Q2762" s="74"/>
      <c r="R2762" s="76"/>
      <c r="S2762" s="84">
        <f t="shared" si="131"/>
        <v>0</v>
      </c>
    </row>
    <row r="2763" spans="1:19" ht="18" customHeight="1" x14ac:dyDescent="0.25">
      <c r="A2763" s="59"/>
      <c r="B2763" s="60"/>
      <c r="C2763" s="65"/>
      <c r="D2763" s="60"/>
      <c r="E2763" s="59"/>
      <c r="F2763" s="62"/>
      <c r="G2763" s="63"/>
      <c r="H2763" s="64"/>
      <c r="I2763" s="65"/>
      <c r="J2763" s="65"/>
      <c r="K2763" s="65"/>
      <c r="L2763" s="65"/>
      <c r="M2763" s="65"/>
      <c r="N2763" s="65"/>
      <c r="O2763" s="81">
        <f t="shared" si="129"/>
        <v>0</v>
      </c>
      <c r="P2763" s="81">
        <f t="shared" si="130"/>
        <v>0</v>
      </c>
      <c r="Q2763" s="65"/>
      <c r="R2763" s="67"/>
      <c r="S2763" s="83">
        <f t="shared" si="131"/>
        <v>0</v>
      </c>
    </row>
    <row r="2764" spans="1:19" ht="18" customHeight="1" x14ac:dyDescent="0.25">
      <c r="A2764" s="68"/>
      <c r="B2764" s="69"/>
      <c r="C2764" s="74"/>
      <c r="D2764" s="69"/>
      <c r="E2764" s="68"/>
      <c r="F2764" s="71"/>
      <c r="G2764" s="72"/>
      <c r="H2764" s="73"/>
      <c r="I2764" s="74"/>
      <c r="J2764" s="74"/>
      <c r="K2764" s="74"/>
      <c r="L2764" s="74"/>
      <c r="M2764" s="74"/>
      <c r="N2764" s="74"/>
      <c r="O2764" s="82">
        <f t="shared" si="129"/>
        <v>0</v>
      </c>
      <c r="P2764" s="82">
        <f t="shared" si="130"/>
        <v>0</v>
      </c>
      <c r="Q2764" s="74"/>
      <c r="R2764" s="76"/>
      <c r="S2764" s="84">
        <f t="shared" si="131"/>
        <v>0</v>
      </c>
    </row>
    <row r="2765" spans="1:19" ht="18" customHeight="1" x14ac:dyDescent="0.25">
      <c r="A2765" s="59"/>
      <c r="B2765" s="60"/>
      <c r="C2765" s="65"/>
      <c r="D2765" s="60"/>
      <c r="E2765" s="59"/>
      <c r="F2765" s="62"/>
      <c r="G2765" s="63"/>
      <c r="H2765" s="64"/>
      <c r="I2765" s="65"/>
      <c r="J2765" s="65"/>
      <c r="K2765" s="65"/>
      <c r="L2765" s="65"/>
      <c r="M2765" s="65"/>
      <c r="N2765" s="65"/>
      <c r="O2765" s="81">
        <f t="shared" si="129"/>
        <v>0</v>
      </c>
      <c r="P2765" s="81">
        <f t="shared" si="130"/>
        <v>0</v>
      </c>
      <c r="Q2765" s="65"/>
      <c r="R2765" s="67"/>
      <c r="S2765" s="83">
        <f t="shared" si="131"/>
        <v>0</v>
      </c>
    </row>
    <row r="2766" spans="1:19" ht="18" customHeight="1" x14ac:dyDescent="0.25">
      <c r="A2766" s="68"/>
      <c r="B2766" s="69"/>
      <c r="C2766" s="74"/>
      <c r="D2766" s="69"/>
      <c r="E2766" s="68"/>
      <c r="F2766" s="71"/>
      <c r="G2766" s="72"/>
      <c r="H2766" s="73"/>
      <c r="I2766" s="74"/>
      <c r="J2766" s="74"/>
      <c r="K2766" s="74"/>
      <c r="L2766" s="74"/>
      <c r="M2766" s="74"/>
      <c r="N2766" s="74"/>
      <c r="O2766" s="82">
        <f t="shared" si="129"/>
        <v>0</v>
      </c>
      <c r="P2766" s="82">
        <f t="shared" si="130"/>
        <v>0</v>
      </c>
      <c r="Q2766" s="74"/>
      <c r="R2766" s="76"/>
      <c r="S2766" s="84">
        <f t="shared" si="131"/>
        <v>0</v>
      </c>
    </row>
    <row r="2767" spans="1:19" ht="18" customHeight="1" x14ac:dyDescent="0.25">
      <c r="A2767" s="59"/>
      <c r="B2767" s="60"/>
      <c r="C2767" s="65"/>
      <c r="D2767" s="60"/>
      <c r="E2767" s="59"/>
      <c r="F2767" s="62"/>
      <c r="G2767" s="63"/>
      <c r="H2767" s="64"/>
      <c r="I2767" s="65"/>
      <c r="J2767" s="65"/>
      <c r="K2767" s="65"/>
      <c r="L2767" s="65"/>
      <c r="M2767" s="65"/>
      <c r="N2767" s="65"/>
      <c r="O2767" s="81">
        <f t="shared" si="129"/>
        <v>0</v>
      </c>
      <c r="P2767" s="81">
        <f t="shared" si="130"/>
        <v>0</v>
      </c>
      <c r="Q2767" s="65"/>
      <c r="R2767" s="67"/>
      <c r="S2767" s="83">
        <f t="shared" si="131"/>
        <v>0</v>
      </c>
    </row>
    <row r="2768" spans="1:19" ht="18" customHeight="1" x14ac:dyDescent="0.25">
      <c r="A2768" s="68"/>
      <c r="B2768" s="69"/>
      <c r="C2768" s="74"/>
      <c r="D2768" s="69"/>
      <c r="E2768" s="68"/>
      <c r="F2768" s="71"/>
      <c r="G2768" s="72"/>
      <c r="H2768" s="73"/>
      <c r="I2768" s="74"/>
      <c r="J2768" s="74"/>
      <c r="K2768" s="74"/>
      <c r="L2768" s="74"/>
      <c r="M2768" s="74"/>
      <c r="N2768" s="74"/>
      <c r="O2768" s="82">
        <f t="shared" si="129"/>
        <v>0</v>
      </c>
      <c r="P2768" s="82">
        <f t="shared" si="130"/>
        <v>0</v>
      </c>
      <c r="Q2768" s="74"/>
      <c r="R2768" s="76"/>
      <c r="S2768" s="84">
        <f t="shared" si="131"/>
        <v>0</v>
      </c>
    </row>
    <row r="2769" spans="1:19" ht="18" customHeight="1" x14ac:dyDescent="0.25">
      <c r="A2769" s="59"/>
      <c r="B2769" s="60"/>
      <c r="C2769" s="65"/>
      <c r="D2769" s="60"/>
      <c r="E2769" s="59"/>
      <c r="F2769" s="62"/>
      <c r="G2769" s="63"/>
      <c r="H2769" s="64"/>
      <c r="I2769" s="65"/>
      <c r="J2769" s="65"/>
      <c r="K2769" s="65"/>
      <c r="L2769" s="65"/>
      <c r="M2769" s="65"/>
      <c r="N2769" s="65"/>
      <c r="O2769" s="81">
        <f t="shared" si="129"/>
        <v>0</v>
      </c>
      <c r="P2769" s="81">
        <f t="shared" si="130"/>
        <v>0</v>
      </c>
      <c r="Q2769" s="65"/>
      <c r="R2769" s="67"/>
      <c r="S2769" s="83">
        <f t="shared" si="131"/>
        <v>0</v>
      </c>
    </row>
    <row r="2770" spans="1:19" ht="18" customHeight="1" x14ac:dyDescent="0.25">
      <c r="A2770" s="68"/>
      <c r="B2770" s="69"/>
      <c r="C2770" s="74"/>
      <c r="D2770" s="69"/>
      <c r="E2770" s="68"/>
      <c r="F2770" s="71"/>
      <c r="G2770" s="72"/>
      <c r="H2770" s="73"/>
      <c r="I2770" s="74"/>
      <c r="J2770" s="74"/>
      <c r="K2770" s="74"/>
      <c r="L2770" s="74"/>
      <c r="M2770" s="74"/>
      <c r="N2770" s="74"/>
      <c r="O2770" s="82">
        <f t="shared" si="129"/>
        <v>0</v>
      </c>
      <c r="P2770" s="82">
        <f t="shared" si="130"/>
        <v>0</v>
      </c>
      <c r="Q2770" s="74"/>
      <c r="R2770" s="76"/>
      <c r="S2770" s="84">
        <f t="shared" si="131"/>
        <v>0</v>
      </c>
    </row>
    <row r="2771" spans="1:19" ht="18" customHeight="1" x14ac:dyDescent="0.25">
      <c r="A2771" s="59"/>
      <c r="B2771" s="60"/>
      <c r="C2771" s="65"/>
      <c r="D2771" s="60"/>
      <c r="E2771" s="59"/>
      <c r="F2771" s="62"/>
      <c r="G2771" s="63"/>
      <c r="H2771" s="64"/>
      <c r="I2771" s="65"/>
      <c r="J2771" s="65"/>
      <c r="K2771" s="65"/>
      <c r="L2771" s="65"/>
      <c r="M2771" s="65"/>
      <c r="N2771" s="65"/>
      <c r="O2771" s="81">
        <f t="shared" si="129"/>
        <v>0</v>
      </c>
      <c r="P2771" s="81">
        <f t="shared" si="130"/>
        <v>0</v>
      </c>
      <c r="Q2771" s="65"/>
      <c r="R2771" s="67"/>
      <c r="S2771" s="83">
        <f t="shared" si="131"/>
        <v>0</v>
      </c>
    </row>
    <row r="2772" spans="1:19" ht="18" customHeight="1" x14ac:dyDescent="0.25">
      <c r="A2772" s="68"/>
      <c r="B2772" s="69"/>
      <c r="C2772" s="74"/>
      <c r="D2772" s="69"/>
      <c r="E2772" s="68"/>
      <c r="F2772" s="71"/>
      <c r="G2772" s="72"/>
      <c r="H2772" s="73"/>
      <c r="I2772" s="74"/>
      <c r="J2772" s="74"/>
      <c r="K2772" s="74"/>
      <c r="L2772" s="74"/>
      <c r="M2772" s="74"/>
      <c r="N2772" s="74"/>
      <c r="O2772" s="82">
        <f t="shared" si="129"/>
        <v>0</v>
      </c>
      <c r="P2772" s="82">
        <f t="shared" si="130"/>
        <v>0</v>
      </c>
      <c r="Q2772" s="74"/>
      <c r="R2772" s="76"/>
      <c r="S2772" s="84">
        <f t="shared" si="131"/>
        <v>0</v>
      </c>
    </row>
    <row r="2773" spans="1:19" ht="18" customHeight="1" x14ac:dyDescent="0.25">
      <c r="A2773" s="59"/>
      <c r="B2773" s="60"/>
      <c r="C2773" s="65"/>
      <c r="D2773" s="60"/>
      <c r="E2773" s="59"/>
      <c r="F2773" s="62"/>
      <c r="G2773" s="63"/>
      <c r="H2773" s="64"/>
      <c r="I2773" s="65"/>
      <c r="J2773" s="65"/>
      <c r="K2773" s="65"/>
      <c r="L2773" s="65"/>
      <c r="M2773" s="65"/>
      <c r="N2773" s="65"/>
      <c r="O2773" s="81">
        <f t="shared" si="129"/>
        <v>0</v>
      </c>
      <c r="P2773" s="81">
        <f t="shared" si="130"/>
        <v>0</v>
      </c>
      <c r="Q2773" s="65"/>
      <c r="R2773" s="67"/>
      <c r="S2773" s="83">
        <f t="shared" si="131"/>
        <v>0</v>
      </c>
    </row>
    <row r="2774" spans="1:19" ht="18" customHeight="1" x14ac:dyDescent="0.25">
      <c r="A2774" s="68"/>
      <c r="B2774" s="69"/>
      <c r="C2774" s="74"/>
      <c r="D2774" s="69"/>
      <c r="E2774" s="68"/>
      <c r="F2774" s="71"/>
      <c r="G2774" s="72"/>
      <c r="H2774" s="73"/>
      <c r="I2774" s="74"/>
      <c r="J2774" s="74"/>
      <c r="K2774" s="74"/>
      <c r="L2774" s="74"/>
      <c r="M2774" s="74"/>
      <c r="N2774" s="74"/>
      <c r="O2774" s="82">
        <f t="shared" si="129"/>
        <v>0</v>
      </c>
      <c r="P2774" s="82">
        <f t="shared" si="130"/>
        <v>0</v>
      </c>
      <c r="Q2774" s="74"/>
      <c r="R2774" s="76"/>
      <c r="S2774" s="84">
        <f t="shared" si="131"/>
        <v>0</v>
      </c>
    </row>
    <row r="2775" spans="1:19" ht="18" customHeight="1" x14ac:dyDescent="0.25">
      <c r="A2775" s="59"/>
      <c r="B2775" s="60"/>
      <c r="C2775" s="65"/>
      <c r="D2775" s="60"/>
      <c r="E2775" s="59"/>
      <c r="F2775" s="62"/>
      <c r="G2775" s="63"/>
      <c r="H2775" s="64"/>
      <c r="I2775" s="65"/>
      <c r="J2775" s="65"/>
      <c r="K2775" s="65"/>
      <c r="L2775" s="65"/>
      <c r="M2775" s="65"/>
      <c r="N2775" s="65"/>
      <c r="O2775" s="81">
        <f t="shared" si="129"/>
        <v>0</v>
      </c>
      <c r="P2775" s="81">
        <f t="shared" si="130"/>
        <v>0</v>
      </c>
      <c r="Q2775" s="65"/>
      <c r="R2775" s="67"/>
      <c r="S2775" s="83">
        <f t="shared" si="131"/>
        <v>0</v>
      </c>
    </row>
    <row r="2776" spans="1:19" ht="18" customHeight="1" x14ac:dyDescent="0.25">
      <c r="A2776" s="68"/>
      <c r="B2776" s="69"/>
      <c r="C2776" s="74"/>
      <c r="D2776" s="69"/>
      <c r="E2776" s="68"/>
      <c r="F2776" s="71"/>
      <c r="G2776" s="72"/>
      <c r="H2776" s="73"/>
      <c r="I2776" s="74"/>
      <c r="J2776" s="74"/>
      <c r="K2776" s="74"/>
      <c r="L2776" s="74"/>
      <c r="M2776" s="74"/>
      <c r="N2776" s="74"/>
      <c r="O2776" s="82">
        <f t="shared" si="129"/>
        <v>0</v>
      </c>
      <c r="P2776" s="82">
        <f t="shared" si="130"/>
        <v>0</v>
      </c>
      <c r="Q2776" s="74"/>
      <c r="R2776" s="76"/>
      <c r="S2776" s="84">
        <f t="shared" si="131"/>
        <v>0</v>
      </c>
    </row>
    <row r="2777" spans="1:19" ht="18" customHeight="1" x14ac:dyDescent="0.25">
      <c r="A2777" s="59"/>
      <c r="B2777" s="60"/>
      <c r="C2777" s="65"/>
      <c r="D2777" s="60"/>
      <c r="E2777" s="59"/>
      <c r="F2777" s="62"/>
      <c r="G2777" s="63"/>
      <c r="H2777" s="64"/>
      <c r="I2777" s="65"/>
      <c r="J2777" s="65"/>
      <c r="K2777" s="65"/>
      <c r="L2777" s="65"/>
      <c r="M2777" s="65"/>
      <c r="N2777" s="65"/>
      <c r="O2777" s="81">
        <f t="shared" si="129"/>
        <v>0</v>
      </c>
      <c r="P2777" s="81">
        <f t="shared" si="130"/>
        <v>0</v>
      </c>
      <c r="Q2777" s="65"/>
      <c r="R2777" s="67"/>
      <c r="S2777" s="83">
        <f t="shared" si="131"/>
        <v>0</v>
      </c>
    </row>
    <row r="2778" spans="1:19" ht="18" customHeight="1" x14ac:dyDescent="0.25">
      <c r="A2778" s="68"/>
      <c r="B2778" s="69"/>
      <c r="C2778" s="74"/>
      <c r="D2778" s="69"/>
      <c r="E2778" s="68"/>
      <c r="F2778" s="71"/>
      <c r="G2778" s="72"/>
      <c r="H2778" s="73"/>
      <c r="I2778" s="74"/>
      <c r="J2778" s="74"/>
      <c r="K2778" s="74"/>
      <c r="L2778" s="74"/>
      <c r="M2778" s="74"/>
      <c r="N2778" s="74"/>
      <c r="O2778" s="82">
        <f t="shared" si="129"/>
        <v>0</v>
      </c>
      <c r="P2778" s="82">
        <f t="shared" si="130"/>
        <v>0</v>
      </c>
      <c r="Q2778" s="74"/>
      <c r="R2778" s="76"/>
      <c r="S2778" s="84">
        <f t="shared" si="131"/>
        <v>0</v>
      </c>
    </row>
    <row r="2779" spans="1:19" ht="18" customHeight="1" x14ac:dyDescent="0.25">
      <c r="A2779" s="59"/>
      <c r="B2779" s="60"/>
      <c r="C2779" s="65"/>
      <c r="D2779" s="60"/>
      <c r="E2779" s="59"/>
      <c r="F2779" s="62"/>
      <c r="G2779" s="63"/>
      <c r="H2779" s="64"/>
      <c r="I2779" s="65"/>
      <c r="J2779" s="65"/>
      <c r="K2779" s="65"/>
      <c r="L2779" s="65"/>
      <c r="M2779" s="65"/>
      <c r="N2779" s="65"/>
      <c r="O2779" s="81">
        <f t="shared" si="129"/>
        <v>0</v>
      </c>
      <c r="P2779" s="81">
        <f t="shared" si="130"/>
        <v>0</v>
      </c>
      <c r="Q2779" s="65"/>
      <c r="R2779" s="67"/>
      <c r="S2779" s="83">
        <f t="shared" si="131"/>
        <v>0</v>
      </c>
    </row>
    <row r="2780" spans="1:19" ht="18" customHeight="1" x14ac:dyDescent="0.25">
      <c r="A2780" s="68"/>
      <c r="B2780" s="69"/>
      <c r="C2780" s="74"/>
      <c r="D2780" s="69"/>
      <c r="E2780" s="68"/>
      <c r="F2780" s="71"/>
      <c r="G2780" s="72"/>
      <c r="H2780" s="73"/>
      <c r="I2780" s="74"/>
      <c r="J2780" s="74"/>
      <c r="K2780" s="74"/>
      <c r="L2780" s="74"/>
      <c r="M2780" s="74"/>
      <c r="N2780" s="74"/>
      <c r="O2780" s="82">
        <f t="shared" si="129"/>
        <v>0</v>
      </c>
      <c r="P2780" s="82">
        <f t="shared" si="130"/>
        <v>0</v>
      </c>
      <c r="Q2780" s="74"/>
      <c r="R2780" s="76"/>
      <c r="S2780" s="84">
        <f t="shared" si="131"/>
        <v>0</v>
      </c>
    </row>
    <row r="2781" spans="1:19" ht="18" customHeight="1" x14ac:dyDescent="0.25">
      <c r="A2781" s="59"/>
      <c r="B2781" s="60"/>
      <c r="C2781" s="65"/>
      <c r="D2781" s="60"/>
      <c r="E2781" s="59"/>
      <c r="F2781" s="62"/>
      <c r="G2781" s="63"/>
      <c r="H2781" s="64"/>
      <c r="I2781" s="65"/>
      <c r="J2781" s="65"/>
      <c r="K2781" s="65"/>
      <c r="L2781" s="65"/>
      <c r="M2781" s="65"/>
      <c r="N2781" s="65"/>
      <c r="O2781" s="81">
        <f t="shared" si="129"/>
        <v>0</v>
      </c>
      <c r="P2781" s="81">
        <f t="shared" si="130"/>
        <v>0</v>
      </c>
      <c r="Q2781" s="65"/>
      <c r="R2781" s="67"/>
      <c r="S2781" s="83">
        <f t="shared" si="131"/>
        <v>0</v>
      </c>
    </row>
    <row r="2782" spans="1:19" ht="18" customHeight="1" x14ac:dyDescent="0.25">
      <c r="A2782" s="68"/>
      <c r="B2782" s="69"/>
      <c r="C2782" s="74"/>
      <c r="D2782" s="69"/>
      <c r="E2782" s="68"/>
      <c r="F2782" s="71"/>
      <c r="G2782" s="72"/>
      <c r="H2782" s="73"/>
      <c r="I2782" s="74"/>
      <c r="J2782" s="74"/>
      <c r="K2782" s="74"/>
      <c r="L2782" s="74"/>
      <c r="M2782" s="74"/>
      <c r="N2782" s="74"/>
      <c r="O2782" s="82">
        <f t="shared" si="129"/>
        <v>0</v>
      </c>
      <c r="P2782" s="82">
        <f t="shared" si="130"/>
        <v>0</v>
      </c>
      <c r="Q2782" s="74"/>
      <c r="R2782" s="76"/>
      <c r="S2782" s="84">
        <f t="shared" si="131"/>
        <v>0</v>
      </c>
    </row>
    <row r="2783" spans="1:19" ht="18" customHeight="1" x14ac:dyDescent="0.25">
      <c r="A2783" s="59"/>
      <c r="B2783" s="60"/>
      <c r="C2783" s="65"/>
      <c r="D2783" s="60"/>
      <c r="E2783" s="59"/>
      <c r="F2783" s="62"/>
      <c r="G2783" s="63"/>
      <c r="H2783" s="64"/>
      <c r="I2783" s="65"/>
      <c r="J2783" s="65"/>
      <c r="K2783" s="65"/>
      <c r="L2783" s="65"/>
      <c r="M2783" s="65"/>
      <c r="N2783" s="65"/>
      <c r="O2783" s="81">
        <f t="shared" si="129"/>
        <v>0</v>
      </c>
      <c r="P2783" s="81">
        <f t="shared" si="130"/>
        <v>0</v>
      </c>
      <c r="Q2783" s="65"/>
      <c r="R2783" s="67"/>
      <c r="S2783" s="83">
        <f t="shared" si="131"/>
        <v>0</v>
      </c>
    </row>
    <row r="2784" spans="1:19" ht="18" customHeight="1" x14ac:dyDescent="0.25">
      <c r="A2784" s="68"/>
      <c r="B2784" s="69"/>
      <c r="C2784" s="74"/>
      <c r="D2784" s="69"/>
      <c r="E2784" s="68"/>
      <c r="F2784" s="71"/>
      <c r="G2784" s="72"/>
      <c r="H2784" s="73"/>
      <c r="I2784" s="74"/>
      <c r="J2784" s="74"/>
      <c r="K2784" s="74"/>
      <c r="L2784" s="74"/>
      <c r="M2784" s="74"/>
      <c r="N2784" s="74"/>
      <c r="O2784" s="82">
        <f t="shared" si="129"/>
        <v>0</v>
      </c>
      <c r="P2784" s="82">
        <f t="shared" si="130"/>
        <v>0</v>
      </c>
      <c r="Q2784" s="74"/>
      <c r="R2784" s="76"/>
      <c r="S2784" s="84">
        <f t="shared" si="131"/>
        <v>0</v>
      </c>
    </row>
    <row r="2785" spans="1:19" ht="18" customHeight="1" x14ac:dyDescent="0.25">
      <c r="A2785" s="59"/>
      <c r="B2785" s="60"/>
      <c r="C2785" s="65"/>
      <c r="D2785" s="60"/>
      <c r="E2785" s="59"/>
      <c r="F2785" s="62"/>
      <c r="G2785" s="63"/>
      <c r="H2785" s="64"/>
      <c r="I2785" s="65"/>
      <c r="J2785" s="65"/>
      <c r="K2785" s="65"/>
      <c r="L2785" s="65"/>
      <c r="M2785" s="65"/>
      <c r="N2785" s="65"/>
      <c r="O2785" s="81">
        <f t="shared" si="129"/>
        <v>0</v>
      </c>
      <c r="P2785" s="81">
        <f t="shared" si="130"/>
        <v>0</v>
      </c>
      <c r="Q2785" s="65"/>
      <c r="R2785" s="67"/>
      <c r="S2785" s="83">
        <f t="shared" si="131"/>
        <v>0</v>
      </c>
    </row>
    <row r="2786" spans="1:19" ht="18" customHeight="1" x14ac:dyDescent="0.25">
      <c r="A2786" s="68"/>
      <c r="B2786" s="69"/>
      <c r="C2786" s="74"/>
      <c r="D2786" s="69"/>
      <c r="E2786" s="68"/>
      <c r="F2786" s="71"/>
      <c r="G2786" s="72"/>
      <c r="H2786" s="73"/>
      <c r="I2786" s="74"/>
      <c r="J2786" s="74"/>
      <c r="K2786" s="74"/>
      <c r="L2786" s="74"/>
      <c r="M2786" s="74"/>
      <c r="N2786" s="74"/>
      <c r="O2786" s="82">
        <f t="shared" si="129"/>
        <v>0</v>
      </c>
      <c r="P2786" s="82">
        <f t="shared" si="130"/>
        <v>0</v>
      </c>
      <c r="Q2786" s="74"/>
      <c r="R2786" s="76"/>
      <c r="S2786" s="84">
        <f t="shared" si="131"/>
        <v>0</v>
      </c>
    </row>
    <row r="2787" spans="1:19" ht="18" customHeight="1" x14ac:dyDescent="0.25">
      <c r="A2787" s="59"/>
      <c r="B2787" s="60"/>
      <c r="C2787" s="65"/>
      <c r="D2787" s="60"/>
      <c r="E2787" s="59"/>
      <c r="F2787" s="62"/>
      <c r="G2787" s="63"/>
      <c r="H2787" s="64"/>
      <c r="I2787" s="65"/>
      <c r="J2787" s="65"/>
      <c r="K2787" s="65"/>
      <c r="L2787" s="65"/>
      <c r="M2787" s="65"/>
      <c r="N2787" s="65"/>
      <c r="O2787" s="81">
        <f t="shared" si="129"/>
        <v>0</v>
      </c>
      <c r="P2787" s="81">
        <f t="shared" si="130"/>
        <v>0</v>
      </c>
      <c r="Q2787" s="65"/>
      <c r="R2787" s="67"/>
      <c r="S2787" s="83">
        <f t="shared" si="131"/>
        <v>0</v>
      </c>
    </row>
    <row r="2788" spans="1:19" ht="18" customHeight="1" x14ac:dyDescent="0.25">
      <c r="A2788" s="68"/>
      <c r="B2788" s="69"/>
      <c r="C2788" s="74"/>
      <c r="D2788" s="69"/>
      <c r="E2788" s="68"/>
      <c r="F2788" s="71"/>
      <c r="G2788" s="72"/>
      <c r="H2788" s="73"/>
      <c r="I2788" s="74"/>
      <c r="J2788" s="74"/>
      <c r="K2788" s="74"/>
      <c r="L2788" s="74"/>
      <c r="M2788" s="74"/>
      <c r="N2788" s="74"/>
      <c r="O2788" s="82">
        <f t="shared" si="129"/>
        <v>0</v>
      </c>
      <c r="P2788" s="82">
        <f t="shared" si="130"/>
        <v>0</v>
      </c>
      <c r="Q2788" s="74"/>
      <c r="R2788" s="76"/>
      <c r="S2788" s="84">
        <f t="shared" si="131"/>
        <v>0</v>
      </c>
    </row>
    <row r="2789" spans="1:19" ht="18" customHeight="1" x14ac:dyDescent="0.25">
      <c r="A2789" s="59"/>
      <c r="B2789" s="60"/>
      <c r="C2789" s="65"/>
      <c r="D2789" s="60"/>
      <c r="E2789" s="59"/>
      <c r="F2789" s="62"/>
      <c r="G2789" s="63"/>
      <c r="H2789" s="64"/>
      <c r="I2789" s="65"/>
      <c r="J2789" s="65"/>
      <c r="K2789" s="65"/>
      <c r="L2789" s="65"/>
      <c r="M2789" s="65"/>
      <c r="N2789" s="65"/>
      <c r="O2789" s="81">
        <f t="shared" si="129"/>
        <v>0</v>
      </c>
      <c r="P2789" s="81">
        <f t="shared" si="130"/>
        <v>0</v>
      </c>
      <c r="Q2789" s="65"/>
      <c r="R2789" s="67"/>
      <c r="S2789" s="83">
        <f t="shared" si="131"/>
        <v>0</v>
      </c>
    </row>
    <row r="2790" spans="1:19" ht="18" customHeight="1" x14ac:dyDescent="0.25">
      <c r="A2790" s="68"/>
      <c r="B2790" s="69"/>
      <c r="C2790" s="74"/>
      <c r="D2790" s="69"/>
      <c r="E2790" s="68"/>
      <c r="F2790" s="71"/>
      <c r="G2790" s="72"/>
      <c r="H2790" s="73"/>
      <c r="I2790" s="74"/>
      <c r="J2790" s="74"/>
      <c r="K2790" s="74"/>
      <c r="L2790" s="74"/>
      <c r="M2790" s="74"/>
      <c r="N2790" s="74"/>
      <c r="O2790" s="82">
        <f t="shared" si="129"/>
        <v>0</v>
      </c>
      <c r="P2790" s="82">
        <f t="shared" si="130"/>
        <v>0</v>
      </c>
      <c r="Q2790" s="74"/>
      <c r="R2790" s="76"/>
      <c r="S2790" s="84">
        <f t="shared" si="131"/>
        <v>0</v>
      </c>
    </row>
    <row r="2791" spans="1:19" ht="18" customHeight="1" x14ac:dyDescent="0.25">
      <c r="A2791" s="59"/>
      <c r="B2791" s="60"/>
      <c r="C2791" s="65"/>
      <c r="D2791" s="60"/>
      <c r="E2791" s="59"/>
      <c r="F2791" s="62"/>
      <c r="G2791" s="63"/>
      <c r="H2791" s="64"/>
      <c r="I2791" s="65"/>
      <c r="J2791" s="65"/>
      <c r="K2791" s="65"/>
      <c r="L2791" s="65"/>
      <c r="M2791" s="65"/>
      <c r="N2791" s="65"/>
      <c r="O2791" s="81">
        <f t="shared" si="129"/>
        <v>0</v>
      </c>
      <c r="P2791" s="81">
        <f t="shared" si="130"/>
        <v>0</v>
      </c>
      <c r="Q2791" s="65"/>
      <c r="R2791" s="67"/>
      <c r="S2791" s="83">
        <f t="shared" si="131"/>
        <v>0</v>
      </c>
    </row>
    <row r="2792" spans="1:19" ht="18" customHeight="1" x14ac:dyDescent="0.25">
      <c r="A2792" s="68"/>
      <c r="B2792" s="69"/>
      <c r="C2792" s="74"/>
      <c r="D2792" s="69"/>
      <c r="E2792" s="68"/>
      <c r="F2792" s="71"/>
      <c r="G2792" s="72"/>
      <c r="H2792" s="73"/>
      <c r="I2792" s="74"/>
      <c r="J2792" s="74"/>
      <c r="K2792" s="74"/>
      <c r="L2792" s="74"/>
      <c r="M2792" s="74"/>
      <c r="N2792" s="74"/>
      <c r="O2792" s="82">
        <f t="shared" si="129"/>
        <v>0</v>
      </c>
      <c r="P2792" s="82">
        <f t="shared" si="130"/>
        <v>0</v>
      </c>
      <c r="Q2792" s="74"/>
      <c r="R2792" s="76"/>
      <c r="S2792" s="84">
        <f t="shared" si="131"/>
        <v>0</v>
      </c>
    </row>
    <row r="2793" spans="1:19" ht="18" customHeight="1" x14ac:dyDescent="0.25">
      <c r="A2793" s="59"/>
      <c r="B2793" s="60"/>
      <c r="C2793" s="65"/>
      <c r="D2793" s="60"/>
      <c r="E2793" s="59"/>
      <c r="F2793" s="62"/>
      <c r="G2793" s="63"/>
      <c r="H2793" s="64"/>
      <c r="I2793" s="65"/>
      <c r="J2793" s="65"/>
      <c r="K2793" s="65"/>
      <c r="L2793" s="65"/>
      <c r="M2793" s="65"/>
      <c r="N2793" s="65"/>
      <c r="O2793" s="81">
        <f t="shared" si="129"/>
        <v>0</v>
      </c>
      <c r="P2793" s="81">
        <f t="shared" si="130"/>
        <v>0</v>
      </c>
      <c r="Q2793" s="65"/>
      <c r="R2793" s="67"/>
      <c r="S2793" s="83">
        <f t="shared" si="131"/>
        <v>0</v>
      </c>
    </row>
    <row r="2794" spans="1:19" ht="18" customHeight="1" x14ac:dyDescent="0.25">
      <c r="A2794" s="68"/>
      <c r="B2794" s="69"/>
      <c r="C2794" s="74"/>
      <c r="D2794" s="69"/>
      <c r="E2794" s="68"/>
      <c r="F2794" s="71"/>
      <c r="G2794" s="72"/>
      <c r="H2794" s="73"/>
      <c r="I2794" s="74"/>
      <c r="J2794" s="74"/>
      <c r="K2794" s="74"/>
      <c r="L2794" s="74"/>
      <c r="M2794" s="74"/>
      <c r="N2794" s="74"/>
      <c r="O2794" s="82">
        <f t="shared" si="129"/>
        <v>0</v>
      </c>
      <c r="P2794" s="82">
        <f t="shared" si="130"/>
        <v>0</v>
      </c>
      <c r="Q2794" s="74"/>
      <c r="R2794" s="76"/>
      <c r="S2794" s="84">
        <f t="shared" si="131"/>
        <v>0</v>
      </c>
    </row>
    <row r="2795" spans="1:19" ht="18" customHeight="1" x14ac:dyDescent="0.25">
      <c r="A2795" s="59"/>
      <c r="B2795" s="60"/>
      <c r="C2795" s="65"/>
      <c r="D2795" s="60"/>
      <c r="E2795" s="59"/>
      <c r="F2795" s="62"/>
      <c r="G2795" s="63"/>
      <c r="H2795" s="64"/>
      <c r="I2795" s="65"/>
      <c r="J2795" s="65"/>
      <c r="K2795" s="65"/>
      <c r="L2795" s="65"/>
      <c r="M2795" s="65"/>
      <c r="N2795" s="65"/>
      <c r="O2795" s="81">
        <f t="shared" si="129"/>
        <v>0</v>
      </c>
      <c r="P2795" s="81">
        <f t="shared" si="130"/>
        <v>0</v>
      </c>
      <c r="Q2795" s="65"/>
      <c r="R2795" s="67"/>
      <c r="S2795" s="83">
        <f t="shared" si="131"/>
        <v>0</v>
      </c>
    </row>
    <row r="2796" spans="1:19" ht="18" customHeight="1" x14ac:dyDescent="0.25">
      <c r="A2796" s="68"/>
      <c r="B2796" s="69"/>
      <c r="C2796" s="74"/>
      <c r="D2796" s="69"/>
      <c r="E2796" s="68"/>
      <c r="F2796" s="71"/>
      <c r="G2796" s="72"/>
      <c r="H2796" s="73"/>
      <c r="I2796" s="74"/>
      <c r="J2796" s="74"/>
      <c r="K2796" s="74"/>
      <c r="L2796" s="74"/>
      <c r="M2796" s="74"/>
      <c r="N2796" s="74"/>
      <c r="O2796" s="82">
        <f t="shared" si="129"/>
        <v>0</v>
      </c>
      <c r="P2796" s="82">
        <f t="shared" si="130"/>
        <v>0</v>
      </c>
      <c r="Q2796" s="74"/>
      <c r="R2796" s="76"/>
      <c r="S2796" s="84">
        <f t="shared" si="131"/>
        <v>0</v>
      </c>
    </row>
    <row r="2797" spans="1:19" ht="18" customHeight="1" x14ac:dyDescent="0.25">
      <c r="A2797" s="59"/>
      <c r="B2797" s="60"/>
      <c r="C2797" s="65"/>
      <c r="D2797" s="60"/>
      <c r="E2797" s="59"/>
      <c r="F2797" s="62"/>
      <c r="G2797" s="63"/>
      <c r="H2797" s="64"/>
      <c r="I2797" s="65"/>
      <c r="J2797" s="65"/>
      <c r="K2797" s="65"/>
      <c r="L2797" s="65"/>
      <c r="M2797" s="65"/>
      <c r="N2797" s="65"/>
      <c r="O2797" s="81">
        <f t="shared" si="129"/>
        <v>0</v>
      </c>
      <c r="P2797" s="81">
        <f t="shared" si="130"/>
        <v>0</v>
      </c>
      <c r="Q2797" s="65"/>
      <c r="R2797" s="67"/>
      <c r="S2797" s="83">
        <f t="shared" si="131"/>
        <v>0</v>
      </c>
    </row>
    <row r="2798" spans="1:19" ht="18" customHeight="1" x14ac:dyDescent="0.25">
      <c r="A2798" s="68"/>
      <c r="B2798" s="69"/>
      <c r="C2798" s="74"/>
      <c r="D2798" s="69"/>
      <c r="E2798" s="68"/>
      <c r="F2798" s="71"/>
      <c r="G2798" s="72"/>
      <c r="H2798" s="73"/>
      <c r="I2798" s="74"/>
      <c r="J2798" s="74"/>
      <c r="K2798" s="74"/>
      <c r="L2798" s="74"/>
      <c r="M2798" s="74"/>
      <c r="N2798" s="74"/>
      <c r="O2798" s="82">
        <f t="shared" si="129"/>
        <v>0</v>
      </c>
      <c r="P2798" s="82">
        <f t="shared" si="130"/>
        <v>0</v>
      </c>
      <c r="Q2798" s="74"/>
      <c r="R2798" s="76"/>
      <c r="S2798" s="84">
        <f t="shared" si="131"/>
        <v>0</v>
      </c>
    </row>
    <row r="2799" spans="1:19" ht="18" customHeight="1" x14ac:dyDescent="0.25">
      <c r="A2799" s="59"/>
      <c r="B2799" s="60"/>
      <c r="C2799" s="65"/>
      <c r="D2799" s="60"/>
      <c r="E2799" s="59"/>
      <c r="F2799" s="62"/>
      <c r="G2799" s="63"/>
      <c r="H2799" s="64"/>
      <c r="I2799" s="65"/>
      <c r="J2799" s="65"/>
      <c r="K2799" s="65"/>
      <c r="L2799" s="65"/>
      <c r="M2799" s="65"/>
      <c r="N2799" s="65"/>
      <c r="O2799" s="81">
        <f t="shared" si="129"/>
        <v>0</v>
      </c>
      <c r="P2799" s="81">
        <f t="shared" si="130"/>
        <v>0</v>
      </c>
      <c r="Q2799" s="65"/>
      <c r="R2799" s="67"/>
      <c r="S2799" s="83">
        <f t="shared" si="131"/>
        <v>0</v>
      </c>
    </row>
    <row r="2800" spans="1:19" ht="18" customHeight="1" x14ac:dyDescent="0.25">
      <c r="A2800" s="68"/>
      <c r="B2800" s="69"/>
      <c r="C2800" s="74"/>
      <c r="D2800" s="69"/>
      <c r="E2800" s="68"/>
      <c r="F2800" s="71"/>
      <c r="G2800" s="72"/>
      <c r="H2800" s="73"/>
      <c r="I2800" s="74"/>
      <c r="J2800" s="74"/>
      <c r="K2800" s="74"/>
      <c r="L2800" s="74"/>
      <c r="M2800" s="74"/>
      <c r="N2800" s="74"/>
      <c r="O2800" s="82">
        <f t="shared" si="129"/>
        <v>0</v>
      </c>
      <c r="P2800" s="82">
        <f t="shared" si="130"/>
        <v>0</v>
      </c>
      <c r="Q2800" s="74"/>
      <c r="R2800" s="76"/>
      <c r="S2800" s="84">
        <f t="shared" si="131"/>
        <v>0</v>
      </c>
    </row>
    <row r="2801" spans="1:19" ht="18" customHeight="1" x14ac:dyDescent="0.25">
      <c r="A2801" s="59"/>
      <c r="B2801" s="60"/>
      <c r="C2801" s="65"/>
      <c r="D2801" s="60"/>
      <c r="E2801" s="59"/>
      <c r="F2801" s="62"/>
      <c r="G2801" s="63"/>
      <c r="H2801" s="64"/>
      <c r="I2801" s="65"/>
      <c r="J2801" s="65"/>
      <c r="K2801" s="65"/>
      <c r="L2801" s="65"/>
      <c r="M2801" s="65"/>
      <c r="N2801" s="65"/>
      <c r="O2801" s="81">
        <f t="shared" si="129"/>
        <v>0</v>
      </c>
      <c r="P2801" s="81">
        <f t="shared" si="130"/>
        <v>0</v>
      </c>
      <c r="Q2801" s="65"/>
      <c r="R2801" s="67"/>
      <c r="S2801" s="83">
        <f t="shared" si="131"/>
        <v>0</v>
      </c>
    </row>
    <row r="2802" spans="1:19" ht="18" customHeight="1" x14ac:dyDescent="0.25">
      <c r="A2802" s="68"/>
      <c r="B2802" s="69"/>
      <c r="C2802" s="74"/>
      <c r="D2802" s="69"/>
      <c r="E2802" s="68"/>
      <c r="F2802" s="71"/>
      <c r="G2802" s="72"/>
      <c r="H2802" s="73"/>
      <c r="I2802" s="74"/>
      <c r="J2802" s="74"/>
      <c r="K2802" s="74"/>
      <c r="L2802" s="74"/>
      <c r="M2802" s="74"/>
      <c r="N2802" s="74"/>
      <c r="O2802" s="82">
        <f t="shared" si="129"/>
        <v>0</v>
      </c>
      <c r="P2802" s="82">
        <f t="shared" si="130"/>
        <v>0</v>
      </c>
      <c r="Q2802" s="74"/>
      <c r="R2802" s="76"/>
      <c r="S2802" s="84">
        <f t="shared" si="131"/>
        <v>0</v>
      </c>
    </row>
    <row r="2803" spans="1:19" ht="18" customHeight="1" x14ac:dyDescent="0.25">
      <c r="A2803" s="59"/>
      <c r="B2803" s="60"/>
      <c r="C2803" s="65"/>
      <c r="D2803" s="60"/>
      <c r="E2803" s="59"/>
      <c r="F2803" s="62"/>
      <c r="G2803" s="63"/>
      <c r="H2803" s="64"/>
      <c r="I2803" s="65"/>
      <c r="J2803" s="65"/>
      <c r="K2803" s="65"/>
      <c r="L2803" s="65"/>
      <c r="M2803" s="65"/>
      <c r="N2803" s="65"/>
      <c r="O2803" s="81">
        <f t="shared" si="129"/>
        <v>0</v>
      </c>
      <c r="P2803" s="81">
        <f t="shared" si="130"/>
        <v>0</v>
      </c>
      <c r="Q2803" s="65"/>
      <c r="R2803" s="67"/>
      <c r="S2803" s="83">
        <f t="shared" si="131"/>
        <v>0</v>
      </c>
    </row>
    <row r="2804" spans="1:19" ht="18" customHeight="1" x14ac:dyDescent="0.25">
      <c r="A2804" s="68"/>
      <c r="B2804" s="69"/>
      <c r="C2804" s="74"/>
      <c r="D2804" s="69"/>
      <c r="E2804" s="68"/>
      <c r="F2804" s="71"/>
      <c r="G2804" s="72"/>
      <c r="H2804" s="73"/>
      <c r="I2804" s="74"/>
      <c r="J2804" s="74"/>
      <c r="K2804" s="74"/>
      <c r="L2804" s="74"/>
      <c r="M2804" s="74"/>
      <c r="N2804" s="74"/>
      <c r="O2804" s="82">
        <f t="shared" si="129"/>
        <v>0</v>
      </c>
      <c r="P2804" s="82">
        <f t="shared" si="130"/>
        <v>0</v>
      </c>
      <c r="Q2804" s="74"/>
      <c r="R2804" s="76"/>
      <c r="S2804" s="84">
        <f t="shared" si="131"/>
        <v>0</v>
      </c>
    </row>
    <row r="2805" spans="1:19" ht="18" customHeight="1" x14ac:dyDescent="0.25">
      <c r="A2805" s="59"/>
      <c r="B2805" s="60"/>
      <c r="C2805" s="65"/>
      <c r="D2805" s="60"/>
      <c r="E2805" s="59"/>
      <c r="F2805" s="62"/>
      <c r="G2805" s="63"/>
      <c r="H2805" s="64"/>
      <c r="I2805" s="65"/>
      <c r="J2805" s="65"/>
      <c r="K2805" s="65"/>
      <c r="L2805" s="65"/>
      <c r="M2805" s="65"/>
      <c r="N2805" s="65"/>
      <c r="O2805" s="81">
        <f t="shared" si="129"/>
        <v>0</v>
      </c>
      <c r="P2805" s="81">
        <f t="shared" si="130"/>
        <v>0</v>
      </c>
      <c r="Q2805" s="65"/>
      <c r="R2805" s="67"/>
      <c r="S2805" s="83">
        <f t="shared" si="131"/>
        <v>0</v>
      </c>
    </row>
    <row r="2806" spans="1:19" ht="18" customHeight="1" x14ac:dyDescent="0.25">
      <c r="A2806" s="68"/>
      <c r="B2806" s="69"/>
      <c r="C2806" s="74"/>
      <c r="D2806" s="69"/>
      <c r="E2806" s="68"/>
      <c r="F2806" s="71"/>
      <c r="G2806" s="72"/>
      <c r="H2806" s="73"/>
      <c r="I2806" s="74"/>
      <c r="J2806" s="74"/>
      <c r="K2806" s="74"/>
      <c r="L2806" s="74"/>
      <c r="M2806" s="74"/>
      <c r="N2806" s="74"/>
      <c r="O2806" s="82">
        <f t="shared" si="129"/>
        <v>0</v>
      </c>
      <c r="P2806" s="82">
        <f t="shared" si="130"/>
        <v>0</v>
      </c>
      <c r="Q2806" s="74"/>
      <c r="R2806" s="76"/>
      <c r="S2806" s="84">
        <f t="shared" si="131"/>
        <v>0</v>
      </c>
    </row>
    <row r="2807" spans="1:19" ht="18" customHeight="1" x14ac:dyDescent="0.25">
      <c r="A2807" s="59"/>
      <c r="B2807" s="60"/>
      <c r="C2807" s="65"/>
      <c r="D2807" s="60"/>
      <c r="E2807" s="59"/>
      <c r="F2807" s="62"/>
      <c r="G2807" s="63"/>
      <c r="H2807" s="64"/>
      <c r="I2807" s="65"/>
      <c r="J2807" s="65"/>
      <c r="K2807" s="65"/>
      <c r="L2807" s="65"/>
      <c r="M2807" s="65"/>
      <c r="N2807" s="65"/>
      <c r="O2807" s="81">
        <f t="shared" si="129"/>
        <v>0</v>
      </c>
      <c r="P2807" s="81">
        <f t="shared" si="130"/>
        <v>0</v>
      </c>
      <c r="Q2807" s="65"/>
      <c r="R2807" s="67"/>
      <c r="S2807" s="83">
        <f t="shared" si="131"/>
        <v>0</v>
      </c>
    </row>
    <row r="2808" spans="1:19" ht="18" customHeight="1" x14ac:dyDescent="0.25">
      <c r="A2808" s="68"/>
      <c r="B2808" s="69"/>
      <c r="C2808" s="74"/>
      <c r="D2808" s="69"/>
      <c r="E2808" s="68"/>
      <c r="F2808" s="71"/>
      <c r="G2808" s="72"/>
      <c r="H2808" s="73"/>
      <c r="I2808" s="74"/>
      <c r="J2808" s="74"/>
      <c r="K2808" s="74"/>
      <c r="L2808" s="74"/>
      <c r="M2808" s="74"/>
      <c r="N2808" s="74"/>
      <c r="O2808" s="82">
        <f t="shared" si="129"/>
        <v>0</v>
      </c>
      <c r="P2808" s="82">
        <f t="shared" si="130"/>
        <v>0</v>
      </c>
      <c r="Q2808" s="74"/>
      <c r="R2808" s="76"/>
      <c r="S2808" s="84">
        <f t="shared" si="131"/>
        <v>0</v>
      </c>
    </row>
    <row r="2809" spans="1:19" ht="18" customHeight="1" x14ac:dyDescent="0.25">
      <c r="A2809" s="59"/>
      <c r="B2809" s="60"/>
      <c r="C2809" s="65"/>
      <c r="D2809" s="60"/>
      <c r="E2809" s="59"/>
      <c r="F2809" s="62"/>
      <c r="G2809" s="63"/>
      <c r="H2809" s="64"/>
      <c r="I2809" s="65"/>
      <c r="J2809" s="65"/>
      <c r="K2809" s="65"/>
      <c r="L2809" s="65"/>
      <c r="M2809" s="65"/>
      <c r="N2809" s="65"/>
      <c r="O2809" s="81">
        <f t="shared" si="129"/>
        <v>0</v>
      </c>
      <c r="P2809" s="81">
        <f t="shared" si="130"/>
        <v>0</v>
      </c>
      <c r="Q2809" s="65"/>
      <c r="R2809" s="67"/>
      <c r="S2809" s="83">
        <f t="shared" si="131"/>
        <v>0</v>
      </c>
    </row>
    <row r="2810" spans="1:19" ht="18" customHeight="1" x14ac:dyDescent="0.25">
      <c r="A2810" s="68"/>
      <c r="B2810" s="69"/>
      <c r="C2810" s="74"/>
      <c r="D2810" s="69"/>
      <c r="E2810" s="68"/>
      <c r="F2810" s="71"/>
      <c r="G2810" s="72"/>
      <c r="H2810" s="73"/>
      <c r="I2810" s="74"/>
      <c r="J2810" s="74"/>
      <c r="K2810" s="74"/>
      <c r="L2810" s="74"/>
      <c r="M2810" s="74"/>
      <c r="N2810" s="74"/>
      <c r="O2810" s="82">
        <f t="shared" si="129"/>
        <v>0</v>
      </c>
      <c r="P2810" s="82">
        <f t="shared" si="130"/>
        <v>0</v>
      </c>
      <c r="Q2810" s="74"/>
      <c r="R2810" s="76"/>
      <c r="S2810" s="84">
        <f t="shared" si="131"/>
        <v>0</v>
      </c>
    </row>
    <row r="2811" spans="1:19" ht="18" customHeight="1" x14ac:dyDescent="0.25">
      <c r="A2811" s="59"/>
      <c r="B2811" s="60"/>
      <c r="C2811" s="65"/>
      <c r="D2811" s="60"/>
      <c r="E2811" s="59"/>
      <c r="F2811" s="62"/>
      <c r="G2811" s="63"/>
      <c r="H2811" s="64"/>
      <c r="I2811" s="65"/>
      <c r="J2811" s="65"/>
      <c r="K2811" s="65"/>
      <c r="L2811" s="65"/>
      <c r="M2811" s="65"/>
      <c r="N2811" s="65"/>
      <c r="O2811" s="81">
        <f t="shared" si="129"/>
        <v>0</v>
      </c>
      <c r="P2811" s="81">
        <f t="shared" si="130"/>
        <v>0</v>
      </c>
      <c r="Q2811" s="65"/>
      <c r="R2811" s="67"/>
      <c r="S2811" s="83">
        <f t="shared" si="131"/>
        <v>0</v>
      </c>
    </row>
    <row r="2812" spans="1:19" ht="18" customHeight="1" x14ac:dyDescent="0.25">
      <c r="A2812" s="68"/>
      <c r="B2812" s="69"/>
      <c r="C2812" s="74"/>
      <c r="D2812" s="69"/>
      <c r="E2812" s="68"/>
      <c r="F2812" s="71"/>
      <c r="G2812" s="72"/>
      <c r="H2812" s="73"/>
      <c r="I2812" s="74"/>
      <c r="J2812" s="74"/>
      <c r="K2812" s="74"/>
      <c r="L2812" s="74"/>
      <c r="M2812" s="74"/>
      <c r="N2812" s="74"/>
      <c r="O2812" s="82">
        <f t="shared" si="129"/>
        <v>0</v>
      </c>
      <c r="P2812" s="82">
        <f t="shared" si="130"/>
        <v>0</v>
      </c>
      <c r="Q2812" s="74"/>
      <c r="R2812" s="76"/>
      <c r="S2812" s="84">
        <f t="shared" si="131"/>
        <v>0</v>
      </c>
    </row>
    <row r="2813" spans="1:19" ht="18" customHeight="1" x14ac:dyDescent="0.25">
      <c r="A2813" s="59"/>
      <c r="B2813" s="60"/>
      <c r="C2813" s="65"/>
      <c r="D2813" s="60"/>
      <c r="E2813" s="59"/>
      <c r="F2813" s="62"/>
      <c r="G2813" s="63"/>
      <c r="H2813" s="64"/>
      <c r="I2813" s="65"/>
      <c r="J2813" s="65"/>
      <c r="K2813" s="65"/>
      <c r="L2813" s="65"/>
      <c r="M2813" s="65"/>
      <c r="N2813" s="65"/>
      <c r="O2813" s="81">
        <f t="shared" si="129"/>
        <v>0</v>
      </c>
      <c r="P2813" s="81">
        <f t="shared" si="130"/>
        <v>0</v>
      </c>
      <c r="Q2813" s="65"/>
      <c r="R2813" s="67"/>
      <c r="S2813" s="83">
        <f t="shared" si="131"/>
        <v>0</v>
      </c>
    </row>
    <row r="2814" spans="1:19" ht="18" customHeight="1" x14ac:dyDescent="0.25">
      <c r="A2814" s="68"/>
      <c r="B2814" s="69"/>
      <c r="C2814" s="74"/>
      <c r="D2814" s="69"/>
      <c r="E2814" s="68"/>
      <c r="F2814" s="71"/>
      <c r="G2814" s="72"/>
      <c r="H2814" s="73"/>
      <c r="I2814" s="74"/>
      <c r="J2814" s="74"/>
      <c r="K2814" s="74"/>
      <c r="L2814" s="74"/>
      <c r="M2814" s="74"/>
      <c r="N2814" s="74"/>
      <c r="O2814" s="82">
        <f t="shared" si="129"/>
        <v>0</v>
      </c>
      <c r="P2814" s="82">
        <f t="shared" si="130"/>
        <v>0</v>
      </c>
      <c r="Q2814" s="74"/>
      <c r="R2814" s="76"/>
      <c r="S2814" s="84">
        <f t="shared" si="131"/>
        <v>0</v>
      </c>
    </row>
    <row r="2815" spans="1:19" ht="18" customHeight="1" x14ac:dyDescent="0.25">
      <c r="A2815" s="59"/>
      <c r="B2815" s="60"/>
      <c r="C2815" s="65"/>
      <c r="D2815" s="60"/>
      <c r="E2815" s="59"/>
      <c r="F2815" s="62"/>
      <c r="G2815" s="63"/>
      <c r="H2815" s="64"/>
      <c r="I2815" s="65"/>
      <c r="J2815" s="65"/>
      <c r="K2815" s="65"/>
      <c r="L2815" s="65"/>
      <c r="M2815" s="65"/>
      <c r="N2815" s="65"/>
      <c r="O2815" s="81">
        <f t="shared" si="129"/>
        <v>0</v>
      </c>
      <c r="P2815" s="81">
        <f t="shared" si="130"/>
        <v>0</v>
      </c>
      <c r="Q2815" s="65"/>
      <c r="R2815" s="67"/>
      <c r="S2815" s="83">
        <f t="shared" si="131"/>
        <v>0</v>
      </c>
    </row>
    <row r="2816" spans="1:19" ht="18" customHeight="1" x14ac:dyDescent="0.25">
      <c r="A2816" s="68"/>
      <c r="B2816" s="69"/>
      <c r="C2816" s="74"/>
      <c r="D2816" s="69"/>
      <c r="E2816" s="68"/>
      <c r="F2816" s="71"/>
      <c r="G2816" s="72"/>
      <c r="H2816" s="73"/>
      <c r="I2816" s="74"/>
      <c r="J2816" s="74"/>
      <c r="K2816" s="74"/>
      <c r="L2816" s="74"/>
      <c r="M2816" s="74"/>
      <c r="N2816" s="74"/>
      <c r="O2816" s="82">
        <f t="shared" si="129"/>
        <v>0</v>
      </c>
      <c r="P2816" s="82">
        <f t="shared" si="130"/>
        <v>0</v>
      </c>
      <c r="Q2816" s="74"/>
      <c r="R2816" s="76"/>
      <c r="S2816" s="84">
        <f t="shared" si="131"/>
        <v>0</v>
      </c>
    </row>
    <row r="2817" spans="1:19" ht="18" customHeight="1" x14ac:dyDescent="0.25">
      <c r="A2817" s="59"/>
      <c r="B2817" s="60"/>
      <c r="C2817" s="65"/>
      <c r="D2817" s="60"/>
      <c r="E2817" s="59"/>
      <c r="F2817" s="62"/>
      <c r="G2817" s="63"/>
      <c r="H2817" s="64"/>
      <c r="I2817" s="65"/>
      <c r="J2817" s="65"/>
      <c r="K2817" s="65"/>
      <c r="L2817" s="65"/>
      <c r="M2817" s="65"/>
      <c r="N2817" s="65"/>
      <c r="O2817" s="81">
        <f t="shared" si="129"/>
        <v>0</v>
      </c>
      <c r="P2817" s="81">
        <f t="shared" si="130"/>
        <v>0</v>
      </c>
      <c r="Q2817" s="65"/>
      <c r="R2817" s="67"/>
      <c r="S2817" s="83">
        <f t="shared" si="131"/>
        <v>0</v>
      </c>
    </row>
    <row r="2818" spans="1:19" ht="18" customHeight="1" x14ac:dyDescent="0.25">
      <c r="A2818" s="68"/>
      <c r="B2818" s="69"/>
      <c r="C2818" s="74"/>
      <c r="D2818" s="69"/>
      <c r="E2818" s="68"/>
      <c r="F2818" s="71"/>
      <c r="G2818" s="72"/>
      <c r="H2818" s="73"/>
      <c r="I2818" s="74"/>
      <c r="J2818" s="74"/>
      <c r="K2818" s="74"/>
      <c r="L2818" s="74"/>
      <c r="M2818" s="74"/>
      <c r="N2818" s="74"/>
      <c r="O2818" s="82">
        <f t="shared" si="129"/>
        <v>0</v>
      </c>
      <c r="P2818" s="82">
        <f t="shared" si="130"/>
        <v>0</v>
      </c>
      <c r="Q2818" s="74"/>
      <c r="R2818" s="76"/>
      <c r="S2818" s="84">
        <f t="shared" si="131"/>
        <v>0</v>
      </c>
    </row>
    <row r="2819" spans="1:19" ht="18" customHeight="1" x14ac:dyDescent="0.25">
      <c r="A2819" s="59"/>
      <c r="B2819" s="60"/>
      <c r="C2819" s="65"/>
      <c r="D2819" s="60"/>
      <c r="E2819" s="59"/>
      <c r="F2819" s="62"/>
      <c r="G2819" s="63"/>
      <c r="H2819" s="64"/>
      <c r="I2819" s="65"/>
      <c r="J2819" s="65"/>
      <c r="K2819" s="65"/>
      <c r="L2819" s="65"/>
      <c r="M2819" s="65"/>
      <c r="N2819" s="65"/>
      <c r="O2819" s="81">
        <f t="shared" si="129"/>
        <v>0</v>
      </c>
      <c r="P2819" s="81">
        <f t="shared" si="130"/>
        <v>0</v>
      </c>
      <c r="Q2819" s="65"/>
      <c r="R2819" s="67"/>
      <c r="S2819" s="83">
        <f t="shared" si="131"/>
        <v>0</v>
      </c>
    </row>
    <row r="2820" spans="1:19" ht="18" customHeight="1" x14ac:dyDescent="0.25">
      <c r="A2820" s="68"/>
      <c r="B2820" s="69"/>
      <c r="C2820" s="74"/>
      <c r="D2820" s="69"/>
      <c r="E2820" s="68"/>
      <c r="F2820" s="71"/>
      <c r="G2820" s="72"/>
      <c r="H2820" s="73"/>
      <c r="I2820" s="74"/>
      <c r="J2820" s="74"/>
      <c r="K2820" s="74"/>
      <c r="L2820" s="74"/>
      <c r="M2820" s="74"/>
      <c r="N2820" s="74"/>
      <c r="O2820" s="82">
        <f t="shared" si="129"/>
        <v>0</v>
      </c>
      <c r="P2820" s="82">
        <f t="shared" si="130"/>
        <v>0</v>
      </c>
      <c r="Q2820" s="74"/>
      <c r="R2820" s="76"/>
      <c r="S2820" s="84">
        <f t="shared" si="131"/>
        <v>0</v>
      </c>
    </row>
    <row r="2821" spans="1:19" ht="18" customHeight="1" x14ac:dyDescent="0.25">
      <c r="A2821" s="59"/>
      <c r="B2821" s="60"/>
      <c r="C2821" s="65"/>
      <c r="D2821" s="60"/>
      <c r="E2821" s="59"/>
      <c r="F2821" s="62"/>
      <c r="G2821" s="63"/>
      <c r="H2821" s="64"/>
      <c r="I2821" s="65"/>
      <c r="J2821" s="65"/>
      <c r="K2821" s="65"/>
      <c r="L2821" s="65"/>
      <c r="M2821" s="65"/>
      <c r="N2821" s="65"/>
      <c r="O2821" s="81">
        <f t="shared" si="129"/>
        <v>0</v>
      </c>
      <c r="P2821" s="81">
        <f t="shared" si="130"/>
        <v>0</v>
      </c>
      <c r="Q2821" s="65"/>
      <c r="R2821" s="67"/>
      <c r="S2821" s="83">
        <f t="shared" si="131"/>
        <v>0</v>
      </c>
    </row>
    <row r="2822" spans="1:19" ht="18" customHeight="1" x14ac:dyDescent="0.25">
      <c r="A2822" s="68"/>
      <c r="B2822" s="69"/>
      <c r="C2822" s="74"/>
      <c r="D2822" s="69"/>
      <c r="E2822" s="68"/>
      <c r="F2822" s="71"/>
      <c r="G2822" s="72"/>
      <c r="H2822" s="73"/>
      <c r="I2822" s="74"/>
      <c r="J2822" s="74"/>
      <c r="K2822" s="74"/>
      <c r="L2822" s="74"/>
      <c r="M2822" s="74"/>
      <c r="N2822" s="74"/>
      <c r="O2822" s="82" t="e">
        <f>#N/A</f>
        <v>#N/A</v>
      </c>
      <c r="P2822" s="82" t="e">
        <f>#N/A</f>
        <v>#N/A</v>
      </c>
      <c r="Q2822" s="74"/>
      <c r="R2822" s="76"/>
      <c r="S2822" s="84">
        <f t="shared" si="131"/>
        <v>0</v>
      </c>
    </row>
    <row r="2823" spans="1:19" ht="18" customHeight="1" x14ac:dyDescent="0.25">
      <c r="A2823" s="59"/>
      <c r="B2823" s="60"/>
      <c r="C2823" s="65"/>
      <c r="D2823" s="60"/>
      <c r="E2823" s="59"/>
      <c r="F2823" s="62"/>
      <c r="G2823" s="63"/>
      <c r="H2823" s="64"/>
      <c r="I2823" s="65"/>
      <c r="J2823" s="65"/>
      <c r="K2823" s="65"/>
      <c r="L2823" s="65"/>
      <c r="M2823" s="65"/>
      <c r="N2823" s="65"/>
      <c r="O2823" s="81">
        <f t="shared" ref="O2823:O2885" si="132">IF(G2823="Reimbursement ","",I2823+J2823+K2823+L2823+M2823)</f>
        <v>0</v>
      </c>
      <c r="P2823" s="81">
        <f t="shared" ref="P2823:P2885" si="133">IF(G2823="Reimbursement ","",H2823-O2823)</f>
        <v>0</v>
      </c>
      <c r="Q2823" s="65"/>
      <c r="R2823" s="67"/>
      <c r="S2823" s="83">
        <f t="shared" ref="S2823:S2886" si="134">IF(OR(R2823="",Q2823=""),0,IF(R2823&gt;Q2823,R2823-Q2823,0))</f>
        <v>0</v>
      </c>
    </row>
    <row r="2824" spans="1:19" ht="18" customHeight="1" x14ac:dyDescent="0.25">
      <c r="A2824" s="68"/>
      <c r="B2824" s="69"/>
      <c r="C2824" s="74"/>
      <c r="D2824" s="69"/>
      <c r="E2824" s="68"/>
      <c r="F2824" s="71"/>
      <c r="G2824" s="72"/>
      <c r="H2824" s="73"/>
      <c r="I2824" s="74"/>
      <c r="J2824" s="74"/>
      <c r="K2824" s="74"/>
      <c r="L2824" s="74"/>
      <c r="M2824" s="74"/>
      <c r="N2824" s="74"/>
      <c r="O2824" s="82">
        <f t="shared" si="132"/>
        <v>0</v>
      </c>
      <c r="P2824" s="82">
        <f t="shared" si="133"/>
        <v>0</v>
      </c>
      <c r="Q2824" s="74"/>
      <c r="R2824" s="76"/>
      <c r="S2824" s="84">
        <f t="shared" si="134"/>
        <v>0</v>
      </c>
    </row>
    <row r="2825" spans="1:19" ht="18" customHeight="1" x14ac:dyDescent="0.25">
      <c r="A2825" s="59"/>
      <c r="B2825" s="60"/>
      <c r="C2825" s="65"/>
      <c r="D2825" s="60"/>
      <c r="E2825" s="59"/>
      <c r="F2825" s="62"/>
      <c r="G2825" s="63"/>
      <c r="H2825" s="64"/>
      <c r="I2825" s="65"/>
      <c r="J2825" s="65"/>
      <c r="K2825" s="65"/>
      <c r="L2825" s="65"/>
      <c r="M2825" s="65"/>
      <c r="N2825" s="65"/>
      <c r="O2825" s="81">
        <f t="shared" si="132"/>
        <v>0</v>
      </c>
      <c r="P2825" s="81">
        <f t="shared" si="133"/>
        <v>0</v>
      </c>
      <c r="Q2825" s="65"/>
      <c r="R2825" s="67"/>
      <c r="S2825" s="83">
        <f t="shared" si="134"/>
        <v>0</v>
      </c>
    </row>
    <row r="2826" spans="1:19" ht="18" customHeight="1" x14ac:dyDescent="0.25">
      <c r="A2826" s="68"/>
      <c r="B2826" s="69"/>
      <c r="C2826" s="74"/>
      <c r="D2826" s="69"/>
      <c r="E2826" s="68"/>
      <c r="F2826" s="71"/>
      <c r="G2826" s="72"/>
      <c r="H2826" s="73"/>
      <c r="I2826" s="74"/>
      <c r="J2826" s="74"/>
      <c r="K2826" s="74"/>
      <c r="L2826" s="74"/>
      <c r="M2826" s="74"/>
      <c r="N2826" s="74"/>
      <c r="O2826" s="82">
        <f t="shared" si="132"/>
        <v>0</v>
      </c>
      <c r="P2826" s="82">
        <f t="shared" si="133"/>
        <v>0</v>
      </c>
      <c r="Q2826" s="74"/>
      <c r="R2826" s="76"/>
      <c r="S2826" s="84">
        <f t="shared" si="134"/>
        <v>0</v>
      </c>
    </row>
    <row r="2827" spans="1:19" ht="18" customHeight="1" x14ac:dyDescent="0.25">
      <c r="A2827" s="59"/>
      <c r="B2827" s="60"/>
      <c r="C2827" s="65"/>
      <c r="D2827" s="60"/>
      <c r="E2827" s="59"/>
      <c r="F2827" s="62"/>
      <c r="G2827" s="63"/>
      <c r="H2827" s="64"/>
      <c r="I2827" s="65"/>
      <c r="J2827" s="65"/>
      <c r="K2827" s="65"/>
      <c r="L2827" s="65"/>
      <c r="M2827" s="65"/>
      <c r="N2827" s="65"/>
      <c r="O2827" s="81">
        <f t="shared" si="132"/>
        <v>0</v>
      </c>
      <c r="P2827" s="81">
        <f t="shared" si="133"/>
        <v>0</v>
      </c>
      <c r="Q2827" s="65"/>
      <c r="R2827" s="67"/>
      <c r="S2827" s="83">
        <f t="shared" si="134"/>
        <v>0</v>
      </c>
    </row>
    <row r="2828" spans="1:19" ht="18" customHeight="1" x14ac:dyDescent="0.25">
      <c r="A2828" s="68"/>
      <c r="B2828" s="69"/>
      <c r="C2828" s="74"/>
      <c r="D2828" s="69"/>
      <c r="E2828" s="68"/>
      <c r="F2828" s="71"/>
      <c r="G2828" s="72"/>
      <c r="H2828" s="73"/>
      <c r="I2828" s="74"/>
      <c r="J2828" s="74"/>
      <c r="K2828" s="74"/>
      <c r="L2828" s="74"/>
      <c r="M2828" s="74"/>
      <c r="N2828" s="74"/>
      <c r="O2828" s="82">
        <f t="shared" si="132"/>
        <v>0</v>
      </c>
      <c r="P2828" s="82">
        <f t="shared" si="133"/>
        <v>0</v>
      </c>
      <c r="Q2828" s="74"/>
      <c r="R2828" s="76"/>
      <c r="S2828" s="84">
        <f t="shared" si="134"/>
        <v>0</v>
      </c>
    </row>
    <row r="2829" spans="1:19" ht="18" customHeight="1" x14ac:dyDescent="0.25">
      <c r="A2829" s="59"/>
      <c r="B2829" s="60"/>
      <c r="C2829" s="65"/>
      <c r="D2829" s="60"/>
      <c r="E2829" s="59"/>
      <c r="F2829" s="62"/>
      <c r="G2829" s="63"/>
      <c r="H2829" s="64"/>
      <c r="I2829" s="65"/>
      <c r="J2829" s="65"/>
      <c r="K2829" s="65"/>
      <c r="L2829" s="65"/>
      <c r="M2829" s="65"/>
      <c r="N2829" s="65"/>
      <c r="O2829" s="81">
        <f t="shared" si="132"/>
        <v>0</v>
      </c>
      <c r="P2829" s="81">
        <f t="shared" si="133"/>
        <v>0</v>
      </c>
      <c r="Q2829" s="65"/>
      <c r="R2829" s="67"/>
      <c r="S2829" s="83">
        <f t="shared" si="134"/>
        <v>0</v>
      </c>
    </row>
    <row r="2830" spans="1:19" ht="18" customHeight="1" x14ac:dyDescent="0.25">
      <c r="A2830" s="68"/>
      <c r="B2830" s="69"/>
      <c r="C2830" s="74"/>
      <c r="D2830" s="69"/>
      <c r="E2830" s="68"/>
      <c r="F2830" s="71"/>
      <c r="G2830" s="72"/>
      <c r="H2830" s="73"/>
      <c r="I2830" s="74"/>
      <c r="J2830" s="74"/>
      <c r="K2830" s="74"/>
      <c r="L2830" s="74"/>
      <c r="M2830" s="74"/>
      <c r="N2830" s="74"/>
      <c r="O2830" s="82">
        <f t="shared" si="132"/>
        <v>0</v>
      </c>
      <c r="P2830" s="82">
        <f t="shared" si="133"/>
        <v>0</v>
      </c>
      <c r="Q2830" s="74"/>
      <c r="R2830" s="76"/>
      <c r="S2830" s="84">
        <f t="shared" si="134"/>
        <v>0</v>
      </c>
    </row>
    <row r="2831" spans="1:19" ht="18" customHeight="1" x14ac:dyDescent="0.25">
      <c r="A2831" s="59"/>
      <c r="B2831" s="60"/>
      <c r="C2831" s="65"/>
      <c r="D2831" s="60"/>
      <c r="E2831" s="59"/>
      <c r="F2831" s="62"/>
      <c r="G2831" s="63"/>
      <c r="H2831" s="64"/>
      <c r="I2831" s="65"/>
      <c r="J2831" s="65"/>
      <c r="K2831" s="65"/>
      <c r="L2831" s="65"/>
      <c r="M2831" s="65"/>
      <c r="N2831" s="65"/>
      <c r="O2831" s="81">
        <f t="shared" si="132"/>
        <v>0</v>
      </c>
      <c r="P2831" s="81">
        <f t="shared" si="133"/>
        <v>0</v>
      </c>
      <c r="Q2831" s="65"/>
      <c r="R2831" s="67"/>
      <c r="S2831" s="83">
        <f t="shared" si="134"/>
        <v>0</v>
      </c>
    </row>
    <row r="2832" spans="1:19" ht="18" customHeight="1" x14ac:dyDescent="0.25">
      <c r="A2832" s="68"/>
      <c r="B2832" s="69"/>
      <c r="C2832" s="74"/>
      <c r="D2832" s="69"/>
      <c r="E2832" s="68"/>
      <c r="F2832" s="71"/>
      <c r="G2832" s="72"/>
      <c r="H2832" s="73"/>
      <c r="I2832" s="74"/>
      <c r="J2832" s="74"/>
      <c r="K2832" s="74"/>
      <c r="L2832" s="74"/>
      <c r="M2832" s="74"/>
      <c r="N2832" s="74"/>
      <c r="O2832" s="82">
        <f t="shared" si="132"/>
        <v>0</v>
      </c>
      <c r="P2832" s="82">
        <f t="shared" si="133"/>
        <v>0</v>
      </c>
      <c r="Q2832" s="74"/>
      <c r="R2832" s="76"/>
      <c r="S2832" s="84">
        <f t="shared" si="134"/>
        <v>0</v>
      </c>
    </row>
    <row r="2833" spans="1:19" ht="18" customHeight="1" x14ac:dyDescent="0.25">
      <c r="A2833" s="59"/>
      <c r="B2833" s="60"/>
      <c r="C2833" s="65"/>
      <c r="D2833" s="60"/>
      <c r="E2833" s="59"/>
      <c r="F2833" s="62"/>
      <c r="G2833" s="63"/>
      <c r="H2833" s="64"/>
      <c r="I2833" s="65"/>
      <c r="J2833" s="65"/>
      <c r="K2833" s="65"/>
      <c r="L2833" s="65"/>
      <c r="M2833" s="65"/>
      <c r="N2833" s="65"/>
      <c r="O2833" s="81">
        <f t="shared" si="132"/>
        <v>0</v>
      </c>
      <c r="P2833" s="81">
        <f t="shared" si="133"/>
        <v>0</v>
      </c>
      <c r="Q2833" s="65"/>
      <c r="R2833" s="67"/>
      <c r="S2833" s="83">
        <f t="shared" si="134"/>
        <v>0</v>
      </c>
    </row>
    <row r="2834" spans="1:19" ht="18" customHeight="1" x14ac:dyDescent="0.25">
      <c r="A2834" s="68"/>
      <c r="B2834" s="69"/>
      <c r="C2834" s="74"/>
      <c r="D2834" s="69"/>
      <c r="E2834" s="68"/>
      <c r="F2834" s="71"/>
      <c r="G2834" s="72"/>
      <c r="H2834" s="73"/>
      <c r="I2834" s="74"/>
      <c r="J2834" s="74"/>
      <c r="K2834" s="74"/>
      <c r="L2834" s="74"/>
      <c r="M2834" s="74"/>
      <c r="N2834" s="74"/>
      <c r="O2834" s="82">
        <f t="shared" si="132"/>
        <v>0</v>
      </c>
      <c r="P2834" s="82">
        <f t="shared" si="133"/>
        <v>0</v>
      </c>
      <c r="Q2834" s="74"/>
      <c r="R2834" s="76"/>
      <c r="S2834" s="84">
        <f t="shared" si="134"/>
        <v>0</v>
      </c>
    </row>
    <row r="2835" spans="1:19" ht="18" customHeight="1" x14ac:dyDescent="0.25">
      <c r="A2835" s="59"/>
      <c r="B2835" s="60"/>
      <c r="C2835" s="65"/>
      <c r="D2835" s="60"/>
      <c r="E2835" s="59"/>
      <c r="F2835" s="62"/>
      <c r="G2835" s="63"/>
      <c r="H2835" s="64"/>
      <c r="I2835" s="65"/>
      <c r="J2835" s="65"/>
      <c r="K2835" s="65"/>
      <c r="L2835" s="65"/>
      <c r="M2835" s="65"/>
      <c r="N2835" s="65"/>
      <c r="O2835" s="81">
        <f t="shared" si="132"/>
        <v>0</v>
      </c>
      <c r="P2835" s="81">
        <f t="shared" si="133"/>
        <v>0</v>
      </c>
      <c r="Q2835" s="65"/>
      <c r="R2835" s="67"/>
      <c r="S2835" s="83">
        <f t="shared" si="134"/>
        <v>0</v>
      </c>
    </row>
    <row r="2836" spans="1:19" ht="18" customHeight="1" x14ac:dyDescent="0.25">
      <c r="A2836" s="68"/>
      <c r="B2836" s="69"/>
      <c r="C2836" s="74"/>
      <c r="D2836" s="69"/>
      <c r="E2836" s="68"/>
      <c r="F2836" s="71"/>
      <c r="G2836" s="72"/>
      <c r="H2836" s="73"/>
      <c r="I2836" s="74"/>
      <c r="J2836" s="74"/>
      <c r="K2836" s="74"/>
      <c r="L2836" s="74"/>
      <c r="M2836" s="74"/>
      <c r="N2836" s="74"/>
      <c r="O2836" s="82">
        <f t="shared" si="132"/>
        <v>0</v>
      </c>
      <c r="P2836" s="82">
        <f t="shared" si="133"/>
        <v>0</v>
      </c>
      <c r="Q2836" s="74"/>
      <c r="R2836" s="76"/>
      <c r="S2836" s="84">
        <f t="shared" si="134"/>
        <v>0</v>
      </c>
    </row>
    <row r="2837" spans="1:19" ht="18" customHeight="1" x14ac:dyDescent="0.25">
      <c r="A2837" s="59"/>
      <c r="B2837" s="60"/>
      <c r="C2837" s="65"/>
      <c r="D2837" s="60"/>
      <c r="E2837" s="59"/>
      <c r="F2837" s="62"/>
      <c r="G2837" s="63"/>
      <c r="H2837" s="64"/>
      <c r="I2837" s="65"/>
      <c r="J2837" s="65"/>
      <c r="K2837" s="65"/>
      <c r="L2837" s="65"/>
      <c r="M2837" s="65"/>
      <c r="N2837" s="65"/>
      <c r="O2837" s="81">
        <f t="shared" si="132"/>
        <v>0</v>
      </c>
      <c r="P2837" s="81">
        <f t="shared" si="133"/>
        <v>0</v>
      </c>
      <c r="Q2837" s="65"/>
      <c r="R2837" s="67"/>
      <c r="S2837" s="83">
        <f t="shared" si="134"/>
        <v>0</v>
      </c>
    </row>
    <row r="2838" spans="1:19" ht="18" customHeight="1" x14ac:dyDescent="0.25">
      <c r="A2838" s="68"/>
      <c r="B2838" s="69"/>
      <c r="C2838" s="74"/>
      <c r="D2838" s="69"/>
      <c r="E2838" s="68"/>
      <c r="F2838" s="71"/>
      <c r="G2838" s="72"/>
      <c r="H2838" s="73"/>
      <c r="I2838" s="74"/>
      <c r="J2838" s="74"/>
      <c r="K2838" s="74"/>
      <c r="L2838" s="74"/>
      <c r="M2838" s="74"/>
      <c r="N2838" s="74"/>
      <c r="O2838" s="82">
        <f t="shared" si="132"/>
        <v>0</v>
      </c>
      <c r="P2838" s="82">
        <f t="shared" si="133"/>
        <v>0</v>
      </c>
      <c r="Q2838" s="74"/>
      <c r="R2838" s="76"/>
      <c r="S2838" s="84">
        <f t="shared" si="134"/>
        <v>0</v>
      </c>
    </row>
    <row r="2839" spans="1:19" ht="18" customHeight="1" x14ac:dyDescent="0.25">
      <c r="A2839" s="59"/>
      <c r="B2839" s="60"/>
      <c r="C2839" s="65"/>
      <c r="D2839" s="60"/>
      <c r="E2839" s="59"/>
      <c r="F2839" s="62"/>
      <c r="G2839" s="63"/>
      <c r="H2839" s="64"/>
      <c r="I2839" s="65"/>
      <c r="J2839" s="65"/>
      <c r="K2839" s="65"/>
      <c r="L2839" s="65"/>
      <c r="M2839" s="65"/>
      <c r="N2839" s="65"/>
      <c r="O2839" s="81">
        <f t="shared" si="132"/>
        <v>0</v>
      </c>
      <c r="P2839" s="81">
        <f t="shared" si="133"/>
        <v>0</v>
      </c>
      <c r="Q2839" s="65"/>
      <c r="R2839" s="67"/>
      <c r="S2839" s="83">
        <f t="shared" si="134"/>
        <v>0</v>
      </c>
    </row>
    <row r="2840" spans="1:19" ht="18" customHeight="1" x14ac:dyDescent="0.25">
      <c r="A2840" s="68"/>
      <c r="B2840" s="69"/>
      <c r="C2840" s="74"/>
      <c r="D2840" s="69"/>
      <c r="E2840" s="68"/>
      <c r="F2840" s="71"/>
      <c r="G2840" s="72"/>
      <c r="H2840" s="73"/>
      <c r="I2840" s="74"/>
      <c r="J2840" s="74"/>
      <c r="K2840" s="74"/>
      <c r="L2840" s="74"/>
      <c r="M2840" s="74"/>
      <c r="N2840" s="74"/>
      <c r="O2840" s="82">
        <f t="shared" si="132"/>
        <v>0</v>
      </c>
      <c r="P2840" s="82">
        <f t="shared" si="133"/>
        <v>0</v>
      </c>
      <c r="Q2840" s="74"/>
      <c r="R2840" s="76"/>
      <c r="S2840" s="84">
        <f t="shared" si="134"/>
        <v>0</v>
      </c>
    </row>
    <row r="2841" spans="1:19" ht="18" customHeight="1" x14ac:dyDescent="0.25">
      <c r="A2841" s="59"/>
      <c r="B2841" s="60"/>
      <c r="C2841" s="65"/>
      <c r="D2841" s="60"/>
      <c r="E2841" s="59"/>
      <c r="F2841" s="62"/>
      <c r="G2841" s="63"/>
      <c r="H2841" s="64"/>
      <c r="I2841" s="65"/>
      <c r="J2841" s="65"/>
      <c r="K2841" s="65"/>
      <c r="L2841" s="65"/>
      <c r="M2841" s="65"/>
      <c r="N2841" s="65"/>
      <c r="O2841" s="81">
        <f t="shared" si="132"/>
        <v>0</v>
      </c>
      <c r="P2841" s="81">
        <f t="shared" si="133"/>
        <v>0</v>
      </c>
      <c r="Q2841" s="65"/>
      <c r="R2841" s="67"/>
      <c r="S2841" s="83">
        <f t="shared" si="134"/>
        <v>0</v>
      </c>
    </row>
    <row r="2842" spans="1:19" ht="18" customHeight="1" x14ac:dyDescent="0.25">
      <c r="A2842" s="68"/>
      <c r="B2842" s="69"/>
      <c r="C2842" s="74"/>
      <c r="D2842" s="69"/>
      <c r="E2842" s="68"/>
      <c r="F2842" s="71"/>
      <c r="G2842" s="72"/>
      <c r="H2842" s="73"/>
      <c r="I2842" s="74"/>
      <c r="J2842" s="74"/>
      <c r="K2842" s="74"/>
      <c r="L2842" s="74"/>
      <c r="M2842" s="74"/>
      <c r="N2842" s="74"/>
      <c r="O2842" s="82">
        <f t="shared" si="132"/>
        <v>0</v>
      </c>
      <c r="P2842" s="82">
        <f t="shared" si="133"/>
        <v>0</v>
      </c>
      <c r="Q2842" s="74"/>
      <c r="R2842" s="76"/>
      <c r="S2842" s="84">
        <f t="shared" si="134"/>
        <v>0</v>
      </c>
    </row>
    <row r="2843" spans="1:19" ht="18" customHeight="1" x14ac:dyDescent="0.25">
      <c r="A2843" s="59"/>
      <c r="B2843" s="60"/>
      <c r="C2843" s="65"/>
      <c r="D2843" s="60"/>
      <c r="E2843" s="59"/>
      <c r="F2843" s="62"/>
      <c r="G2843" s="63"/>
      <c r="H2843" s="64"/>
      <c r="I2843" s="65"/>
      <c r="J2843" s="65"/>
      <c r="K2843" s="65"/>
      <c r="L2843" s="65"/>
      <c r="M2843" s="65"/>
      <c r="N2843" s="65"/>
      <c r="O2843" s="81">
        <f t="shared" si="132"/>
        <v>0</v>
      </c>
      <c r="P2843" s="81">
        <f t="shared" si="133"/>
        <v>0</v>
      </c>
      <c r="Q2843" s="65"/>
      <c r="R2843" s="67"/>
      <c r="S2843" s="83">
        <f t="shared" si="134"/>
        <v>0</v>
      </c>
    </row>
    <row r="2844" spans="1:19" ht="18" customHeight="1" x14ac:dyDescent="0.25">
      <c r="A2844" s="68"/>
      <c r="B2844" s="69"/>
      <c r="C2844" s="74"/>
      <c r="D2844" s="69"/>
      <c r="E2844" s="68"/>
      <c r="F2844" s="71"/>
      <c r="G2844" s="72"/>
      <c r="H2844" s="73"/>
      <c r="I2844" s="74"/>
      <c r="J2844" s="74"/>
      <c r="K2844" s="74"/>
      <c r="L2844" s="74"/>
      <c r="M2844" s="74"/>
      <c r="N2844" s="74"/>
      <c r="O2844" s="82">
        <f t="shared" si="132"/>
        <v>0</v>
      </c>
      <c r="P2844" s="82">
        <f t="shared" si="133"/>
        <v>0</v>
      </c>
      <c r="Q2844" s="74"/>
      <c r="R2844" s="76"/>
      <c r="S2844" s="84">
        <f t="shared" si="134"/>
        <v>0</v>
      </c>
    </row>
    <row r="2845" spans="1:19" ht="18" customHeight="1" x14ac:dyDescent="0.25">
      <c r="A2845" s="59"/>
      <c r="B2845" s="60"/>
      <c r="C2845" s="65"/>
      <c r="D2845" s="60"/>
      <c r="E2845" s="59"/>
      <c r="F2845" s="62"/>
      <c r="G2845" s="63"/>
      <c r="H2845" s="64"/>
      <c r="I2845" s="65"/>
      <c r="J2845" s="65"/>
      <c r="K2845" s="65"/>
      <c r="L2845" s="65"/>
      <c r="M2845" s="65"/>
      <c r="N2845" s="65"/>
      <c r="O2845" s="81">
        <f t="shared" si="132"/>
        <v>0</v>
      </c>
      <c r="P2845" s="81">
        <f t="shared" si="133"/>
        <v>0</v>
      </c>
      <c r="Q2845" s="65"/>
      <c r="R2845" s="67"/>
      <c r="S2845" s="83">
        <f t="shared" si="134"/>
        <v>0</v>
      </c>
    </row>
    <row r="2846" spans="1:19" ht="18" customHeight="1" x14ac:dyDescent="0.25">
      <c r="A2846" s="68"/>
      <c r="B2846" s="69"/>
      <c r="C2846" s="74"/>
      <c r="D2846" s="69"/>
      <c r="E2846" s="68"/>
      <c r="F2846" s="71"/>
      <c r="G2846" s="72"/>
      <c r="H2846" s="73"/>
      <c r="I2846" s="74"/>
      <c r="J2846" s="74"/>
      <c r="K2846" s="74"/>
      <c r="L2846" s="74"/>
      <c r="M2846" s="74"/>
      <c r="N2846" s="74"/>
      <c r="O2846" s="82">
        <f t="shared" si="132"/>
        <v>0</v>
      </c>
      <c r="P2846" s="82">
        <f t="shared" si="133"/>
        <v>0</v>
      </c>
      <c r="Q2846" s="74"/>
      <c r="R2846" s="76"/>
      <c r="S2846" s="84">
        <f t="shared" si="134"/>
        <v>0</v>
      </c>
    </row>
    <row r="2847" spans="1:19" ht="18" customHeight="1" x14ac:dyDescent="0.25">
      <c r="A2847" s="59"/>
      <c r="B2847" s="60"/>
      <c r="C2847" s="65"/>
      <c r="D2847" s="60"/>
      <c r="E2847" s="59"/>
      <c r="F2847" s="62"/>
      <c r="G2847" s="63"/>
      <c r="H2847" s="64"/>
      <c r="I2847" s="65"/>
      <c r="J2847" s="65"/>
      <c r="K2847" s="65"/>
      <c r="L2847" s="65"/>
      <c r="M2847" s="65"/>
      <c r="N2847" s="65"/>
      <c r="O2847" s="81">
        <f t="shared" si="132"/>
        <v>0</v>
      </c>
      <c r="P2847" s="81">
        <f t="shared" si="133"/>
        <v>0</v>
      </c>
      <c r="Q2847" s="65"/>
      <c r="R2847" s="67"/>
      <c r="S2847" s="83">
        <f t="shared" si="134"/>
        <v>0</v>
      </c>
    </row>
    <row r="2848" spans="1:19" ht="18" customHeight="1" x14ac:dyDescent="0.25">
      <c r="A2848" s="68"/>
      <c r="B2848" s="69"/>
      <c r="C2848" s="74"/>
      <c r="D2848" s="69"/>
      <c r="E2848" s="68"/>
      <c r="F2848" s="71"/>
      <c r="G2848" s="72"/>
      <c r="H2848" s="73"/>
      <c r="I2848" s="74"/>
      <c r="J2848" s="74"/>
      <c r="K2848" s="74"/>
      <c r="L2848" s="74"/>
      <c r="M2848" s="74"/>
      <c r="N2848" s="74"/>
      <c r="O2848" s="82">
        <f t="shared" si="132"/>
        <v>0</v>
      </c>
      <c r="P2848" s="82">
        <f t="shared" si="133"/>
        <v>0</v>
      </c>
      <c r="Q2848" s="74"/>
      <c r="R2848" s="76"/>
      <c r="S2848" s="84">
        <f t="shared" si="134"/>
        <v>0</v>
      </c>
    </row>
    <row r="2849" spans="1:19" ht="18" customHeight="1" x14ac:dyDescent="0.25">
      <c r="A2849" s="59"/>
      <c r="B2849" s="60"/>
      <c r="C2849" s="65"/>
      <c r="D2849" s="60"/>
      <c r="E2849" s="59"/>
      <c r="F2849" s="62"/>
      <c r="G2849" s="63"/>
      <c r="H2849" s="64"/>
      <c r="I2849" s="65"/>
      <c r="J2849" s="65"/>
      <c r="K2849" s="65"/>
      <c r="L2849" s="65"/>
      <c r="M2849" s="65"/>
      <c r="N2849" s="65"/>
      <c r="O2849" s="81">
        <f t="shared" si="132"/>
        <v>0</v>
      </c>
      <c r="P2849" s="81">
        <f t="shared" si="133"/>
        <v>0</v>
      </c>
      <c r="Q2849" s="65"/>
      <c r="R2849" s="67"/>
      <c r="S2849" s="83">
        <f t="shared" si="134"/>
        <v>0</v>
      </c>
    </row>
    <row r="2850" spans="1:19" ht="18" customHeight="1" x14ac:dyDescent="0.25">
      <c r="A2850" s="68"/>
      <c r="B2850" s="69"/>
      <c r="C2850" s="74"/>
      <c r="D2850" s="69"/>
      <c r="E2850" s="68"/>
      <c r="F2850" s="71"/>
      <c r="G2850" s="72"/>
      <c r="H2850" s="73"/>
      <c r="I2850" s="74"/>
      <c r="J2850" s="74"/>
      <c r="K2850" s="74"/>
      <c r="L2850" s="74"/>
      <c r="M2850" s="74"/>
      <c r="N2850" s="74"/>
      <c r="O2850" s="82">
        <f t="shared" si="132"/>
        <v>0</v>
      </c>
      <c r="P2850" s="82">
        <f t="shared" si="133"/>
        <v>0</v>
      </c>
      <c r="Q2850" s="74"/>
      <c r="R2850" s="76"/>
      <c r="S2850" s="84">
        <f t="shared" si="134"/>
        <v>0</v>
      </c>
    </row>
    <row r="2851" spans="1:19" ht="18" customHeight="1" x14ac:dyDescent="0.25">
      <c r="A2851" s="59"/>
      <c r="B2851" s="60"/>
      <c r="C2851" s="65"/>
      <c r="D2851" s="60"/>
      <c r="E2851" s="59"/>
      <c r="F2851" s="62"/>
      <c r="G2851" s="63"/>
      <c r="H2851" s="64"/>
      <c r="I2851" s="65"/>
      <c r="J2851" s="65"/>
      <c r="K2851" s="65"/>
      <c r="L2851" s="65"/>
      <c r="M2851" s="65"/>
      <c r="N2851" s="65"/>
      <c r="O2851" s="81">
        <f t="shared" si="132"/>
        <v>0</v>
      </c>
      <c r="P2851" s="81">
        <f t="shared" si="133"/>
        <v>0</v>
      </c>
      <c r="Q2851" s="65"/>
      <c r="R2851" s="67"/>
      <c r="S2851" s="83">
        <f t="shared" si="134"/>
        <v>0</v>
      </c>
    </row>
    <row r="2852" spans="1:19" ht="18" customHeight="1" x14ac:dyDescent="0.25">
      <c r="A2852" s="68"/>
      <c r="B2852" s="69"/>
      <c r="C2852" s="74"/>
      <c r="D2852" s="69"/>
      <c r="E2852" s="68"/>
      <c r="F2852" s="71"/>
      <c r="G2852" s="72"/>
      <c r="H2852" s="73"/>
      <c r="I2852" s="74"/>
      <c r="J2852" s="74"/>
      <c r="K2852" s="74"/>
      <c r="L2852" s="74"/>
      <c r="M2852" s="74"/>
      <c r="N2852" s="74"/>
      <c r="O2852" s="82">
        <f t="shared" si="132"/>
        <v>0</v>
      </c>
      <c r="P2852" s="82">
        <f t="shared" si="133"/>
        <v>0</v>
      </c>
      <c r="Q2852" s="74"/>
      <c r="R2852" s="76"/>
      <c r="S2852" s="84">
        <f t="shared" si="134"/>
        <v>0</v>
      </c>
    </row>
    <row r="2853" spans="1:19" ht="18" customHeight="1" x14ac:dyDescent="0.25">
      <c r="A2853" s="59"/>
      <c r="B2853" s="60"/>
      <c r="C2853" s="65"/>
      <c r="D2853" s="60"/>
      <c r="E2853" s="59"/>
      <c r="F2853" s="62"/>
      <c r="G2853" s="63"/>
      <c r="H2853" s="64"/>
      <c r="I2853" s="65"/>
      <c r="J2853" s="65"/>
      <c r="K2853" s="65"/>
      <c r="L2853" s="65"/>
      <c r="M2853" s="65"/>
      <c r="N2853" s="65"/>
      <c r="O2853" s="81">
        <f t="shared" si="132"/>
        <v>0</v>
      </c>
      <c r="P2853" s="81">
        <f t="shared" si="133"/>
        <v>0</v>
      </c>
      <c r="Q2853" s="65"/>
      <c r="R2853" s="67"/>
      <c r="S2853" s="83">
        <f t="shared" si="134"/>
        <v>0</v>
      </c>
    </row>
    <row r="2854" spans="1:19" ht="18" customHeight="1" x14ac:dyDescent="0.25">
      <c r="A2854" s="68"/>
      <c r="B2854" s="69"/>
      <c r="C2854" s="74"/>
      <c r="D2854" s="69"/>
      <c r="E2854" s="68"/>
      <c r="F2854" s="71"/>
      <c r="G2854" s="72"/>
      <c r="H2854" s="73"/>
      <c r="I2854" s="74"/>
      <c r="J2854" s="74"/>
      <c r="K2854" s="74"/>
      <c r="L2854" s="74"/>
      <c r="M2854" s="74"/>
      <c r="N2854" s="74"/>
      <c r="O2854" s="82">
        <f t="shared" si="132"/>
        <v>0</v>
      </c>
      <c r="P2854" s="82">
        <f t="shared" si="133"/>
        <v>0</v>
      </c>
      <c r="Q2854" s="74"/>
      <c r="R2854" s="76"/>
      <c r="S2854" s="84">
        <f t="shared" si="134"/>
        <v>0</v>
      </c>
    </row>
    <row r="2855" spans="1:19" ht="18" customHeight="1" x14ac:dyDescent="0.25">
      <c r="A2855" s="59"/>
      <c r="B2855" s="60"/>
      <c r="C2855" s="65"/>
      <c r="D2855" s="60"/>
      <c r="E2855" s="59"/>
      <c r="F2855" s="62"/>
      <c r="G2855" s="63"/>
      <c r="H2855" s="64"/>
      <c r="I2855" s="65"/>
      <c r="J2855" s="65"/>
      <c r="K2855" s="65"/>
      <c r="L2855" s="65"/>
      <c r="M2855" s="65"/>
      <c r="N2855" s="65"/>
      <c r="O2855" s="81">
        <f t="shared" si="132"/>
        <v>0</v>
      </c>
      <c r="P2855" s="81">
        <f t="shared" si="133"/>
        <v>0</v>
      </c>
      <c r="Q2855" s="65"/>
      <c r="R2855" s="67"/>
      <c r="S2855" s="83">
        <f t="shared" si="134"/>
        <v>0</v>
      </c>
    </row>
    <row r="2856" spans="1:19" ht="18" customHeight="1" x14ac:dyDescent="0.25">
      <c r="A2856" s="68"/>
      <c r="B2856" s="69"/>
      <c r="C2856" s="74"/>
      <c r="D2856" s="69"/>
      <c r="E2856" s="68"/>
      <c r="F2856" s="71"/>
      <c r="G2856" s="72"/>
      <c r="H2856" s="73"/>
      <c r="I2856" s="74"/>
      <c r="J2856" s="74"/>
      <c r="K2856" s="74"/>
      <c r="L2856" s="74"/>
      <c r="M2856" s="74"/>
      <c r="N2856" s="74"/>
      <c r="O2856" s="82">
        <f t="shared" si="132"/>
        <v>0</v>
      </c>
      <c r="P2856" s="82">
        <f t="shared" si="133"/>
        <v>0</v>
      </c>
      <c r="Q2856" s="74"/>
      <c r="R2856" s="76"/>
      <c r="S2856" s="84">
        <f t="shared" si="134"/>
        <v>0</v>
      </c>
    </row>
    <row r="2857" spans="1:19" ht="18" customHeight="1" x14ac:dyDescent="0.25">
      <c r="A2857" s="59"/>
      <c r="B2857" s="60"/>
      <c r="C2857" s="65"/>
      <c r="D2857" s="60"/>
      <c r="E2857" s="59"/>
      <c r="F2857" s="62"/>
      <c r="G2857" s="63"/>
      <c r="H2857" s="64"/>
      <c r="I2857" s="65"/>
      <c r="J2857" s="65"/>
      <c r="K2857" s="65"/>
      <c r="L2857" s="65"/>
      <c r="M2857" s="65"/>
      <c r="N2857" s="65"/>
      <c r="O2857" s="81">
        <f t="shared" si="132"/>
        <v>0</v>
      </c>
      <c r="P2857" s="81">
        <f t="shared" si="133"/>
        <v>0</v>
      </c>
      <c r="Q2857" s="65"/>
      <c r="R2857" s="67"/>
      <c r="S2857" s="83">
        <f t="shared" si="134"/>
        <v>0</v>
      </c>
    </row>
    <row r="2858" spans="1:19" ht="18" customHeight="1" x14ac:dyDescent="0.25">
      <c r="A2858" s="68"/>
      <c r="B2858" s="69"/>
      <c r="C2858" s="74"/>
      <c r="D2858" s="69"/>
      <c r="E2858" s="68"/>
      <c r="F2858" s="71"/>
      <c r="G2858" s="72"/>
      <c r="H2858" s="73"/>
      <c r="I2858" s="74"/>
      <c r="J2858" s="74"/>
      <c r="K2858" s="74"/>
      <c r="L2858" s="74"/>
      <c r="M2858" s="74"/>
      <c r="N2858" s="74"/>
      <c r="O2858" s="82">
        <f t="shared" si="132"/>
        <v>0</v>
      </c>
      <c r="P2858" s="82">
        <f t="shared" si="133"/>
        <v>0</v>
      </c>
      <c r="Q2858" s="74"/>
      <c r="R2858" s="76"/>
      <c r="S2858" s="84">
        <f t="shared" si="134"/>
        <v>0</v>
      </c>
    </row>
    <row r="2859" spans="1:19" ht="18" customHeight="1" x14ac:dyDescent="0.25">
      <c r="A2859" s="59"/>
      <c r="B2859" s="60"/>
      <c r="C2859" s="65"/>
      <c r="D2859" s="60"/>
      <c r="E2859" s="59"/>
      <c r="F2859" s="62"/>
      <c r="G2859" s="63"/>
      <c r="H2859" s="64"/>
      <c r="I2859" s="65"/>
      <c r="J2859" s="65"/>
      <c r="K2859" s="65"/>
      <c r="L2859" s="65"/>
      <c r="M2859" s="65"/>
      <c r="N2859" s="65"/>
      <c r="O2859" s="81">
        <f t="shared" si="132"/>
        <v>0</v>
      </c>
      <c r="P2859" s="81">
        <f t="shared" si="133"/>
        <v>0</v>
      </c>
      <c r="Q2859" s="65"/>
      <c r="R2859" s="67"/>
      <c r="S2859" s="83">
        <f t="shared" si="134"/>
        <v>0</v>
      </c>
    </row>
    <row r="2860" spans="1:19" ht="18" customHeight="1" x14ac:dyDescent="0.25">
      <c r="A2860" s="68"/>
      <c r="B2860" s="69"/>
      <c r="C2860" s="74"/>
      <c r="D2860" s="69"/>
      <c r="E2860" s="68"/>
      <c r="F2860" s="71"/>
      <c r="G2860" s="72"/>
      <c r="H2860" s="73"/>
      <c r="I2860" s="74"/>
      <c r="J2860" s="74"/>
      <c r="K2860" s="74"/>
      <c r="L2860" s="74"/>
      <c r="M2860" s="74"/>
      <c r="N2860" s="74"/>
      <c r="O2860" s="82">
        <f t="shared" si="132"/>
        <v>0</v>
      </c>
      <c r="P2860" s="82">
        <f t="shared" si="133"/>
        <v>0</v>
      </c>
      <c r="Q2860" s="74"/>
      <c r="R2860" s="76"/>
      <c r="S2860" s="84">
        <f t="shared" si="134"/>
        <v>0</v>
      </c>
    </row>
    <row r="2861" spans="1:19" ht="18" customHeight="1" x14ac:dyDescent="0.25">
      <c r="A2861" s="59"/>
      <c r="B2861" s="60"/>
      <c r="C2861" s="65"/>
      <c r="D2861" s="60"/>
      <c r="E2861" s="59"/>
      <c r="F2861" s="62"/>
      <c r="G2861" s="63"/>
      <c r="H2861" s="64"/>
      <c r="I2861" s="65"/>
      <c r="J2861" s="65"/>
      <c r="K2861" s="65"/>
      <c r="L2861" s="65"/>
      <c r="M2861" s="65"/>
      <c r="N2861" s="65"/>
      <c r="O2861" s="81">
        <f t="shared" si="132"/>
        <v>0</v>
      </c>
      <c r="P2861" s="81">
        <f t="shared" si="133"/>
        <v>0</v>
      </c>
      <c r="Q2861" s="65"/>
      <c r="R2861" s="67"/>
      <c r="S2861" s="83">
        <f t="shared" si="134"/>
        <v>0</v>
      </c>
    </row>
    <row r="2862" spans="1:19" ht="18" customHeight="1" x14ac:dyDescent="0.25">
      <c r="A2862" s="68"/>
      <c r="B2862" s="69"/>
      <c r="C2862" s="74"/>
      <c r="D2862" s="69"/>
      <c r="E2862" s="68"/>
      <c r="F2862" s="71"/>
      <c r="G2862" s="72"/>
      <c r="H2862" s="73"/>
      <c r="I2862" s="74"/>
      <c r="J2862" s="74"/>
      <c r="K2862" s="74"/>
      <c r="L2862" s="74"/>
      <c r="M2862" s="74"/>
      <c r="N2862" s="74"/>
      <c r="O2862" s="82">
        <f t="shared" si="132"/>
        <v>0</v>
      </c>
      <c r="P2862" s="82">
        <f t="shared" si="133"/>
        <v>0</v>
      </c>
      <c r="Q2862" s="74"/>
      <c r="R2862" s="76"/>
      <c r="S2862" s="84">
        <f t="shared" si="134"/>
        <v>0</v>
      </c>
    </row>
    <row r="2863" spans="1:19" ht="18" customHeight="1" x14ac:dyDescent="0.25">
      <c r="A2863" s="59"/>
      <c r="B2863" s="60"/>
      <c r="C2863" s="65"/>
      <c r="D2863" s="60"/>
      <c r="E2863" s="59"/>
      <c r="F2863" s="62"/>
      <c r="G2863" s="63"/>
      <c r="H2863" s="64"/>
      <c r="I2863" s="65"/>
      <c r="J2863" s="65"/>
      <c r="K2863" s="65"/>
      <c r="L2863" s="65"/>
      <c r="M2863" s="65"/>
      <c r="N2863" s="65"/>
      <c r="O2863" s="81">
        <f t="shared" si="132"/>
        <v>0</v>
      </c>
      <c r="P2863" s="81">
        <f t="shared" si="133"/>
        <v>0</v>
      </c>
      <c r="Q2863" s="65"/>
      <c r="R2863" s="67"/>
      <c r="S2863" s="83">
        <f t="shared" si="134"/>
        <v>0</v>
      </c>
    </row>
    <row r="2864" spans="1:19" ht="18" customHeight="1" x14ac:dyDescent="0.25">
      <c r="A2864" s="68"/>
      <c r="B2864" s="69"/>
      <c r="C2864" s="74"/>
      <c r="D2864" s="69"/>
      <c r="E2864" s="68"/>
      <c r="F2864" s="71"/>
      <c r="G2864" s="72"/>
      <c r="H2864" s="73"/>
      <c r="I2864" s="74"/>
      <c r="J2864" s="74"/>
      <c r="K2864" s="74"/>
      <c r="L2864" s="74"/>
      <c r="M2864" s="74"/>
      <c r="N2864" s="74"/>
      <c r="O2864" s="82">
        <f t="shared" si="132"/>
        <v>0</v>
      </c>
      <c r="P2864" s="82">
        <f t="shared" si="133"/>
        <v>0</v>
      </c>
      <c r="Q2864" s="74"/>
      <c r="R2864" s="76"/>
      <c r="S2864" s="84">
        <f t="shared" si="134"/>
        <v>0</v>
      </c>
    </row>
    <row r="2865" spans="1:19" ht="18" customHeight="1" x14ac:dyDescent="0.25">
      <c r="A2865" s="59"/>
      <c r="B2865" s="60"/>
      <c r="C2865" s="65"/>
      <c r="D2865" s="60"/>
      <c r="E2865" s="59"/>
      <c r="F2865" s="62"/>
      <c r="G2865" s="63"/>
      <c r="H2865" s="64"/>
      <c r="I2865" s="65"/>
      <c r="J2865" s="65"/>
      <c r="K2865" s="65"/>
      <c r="L2865" s="65"/>
      <c r="M2865" s="65"/>
      <c r="N2865" s="65"/>
      <c r="O2865" s="81">
        <f t="shared" si="132"/>
        <v>0</v>
      </c>
      <c r="P2865" s="81">
        <f t="shared" si="133"/>
        <v>0</v>
      </c>
      <c r="Q2865" s="65"/>
      <c r="R2865" s="67"/>
      <c r="S2865" s="83">
        <f t="shared" si="134"/>
        <v>0</v>
      </c>
    </row>
    <row r="2866" spans="1:19" ht="18" customHeight="1" x14ac:dyDescent="0.25">
      <c r="A2866" s="68"/>
      <c r="B2866" s="69"/>
      <c r="C2866" s="74"/>
      <c r="D2866" s="69"/>
      <c r="E2866" s="68"/>
      <c r="F2866" s="71"/>
      <c r="G2866" s="72"/>
      <c r="H2866" s="73"/>
      <c r="I2866" s="74"/>
      <c r="J2866" s="74"/>
      <c r="K2866" s="74"/>
      <c r="L2866" s="74"/>
      <c r="M2866" s="74"/>
      <c r="N2866" s="74"/>
      <c r="O2866" s="82">
        <f t="shared" si="132"/>
        <v>0</v>
      </c>
      <c r="P2866" s="82">
        <f t="shared" si="133"/>
        <v>0</v>
      </c>
      <c r="Q2866" s="74"/>
      <c r="R2866" s="76"/>
      <c r="S2866" s="84">
        <f t="shared" si="134"/>
        <v>0</v>
      </c>
    </row>
    <row r="2867" spans="1:19" ht="18" customHeight="1" x14ac:dyDescent="0.25">
      <c r="A2867" s="59"/>
      <c r="B2867" s="60"/>
      <c r="C2867" s="65"/>
      <c r="D2867" s="60"/>
      <c r="E2867" s="59"/>
      <c r="F2867" s="62"/>
      <c r="G2867" s="63"/>
      <c r="H2867" s="64"/>
      <c r="I2867" s="65"/>
      <c r="J2867" s="65"/>
      <c r="K2867" s="65"/>
      <c r="L2867" s="65"/>
      <c r="M2867" s="65"/>
      <c r="N2867" s="65"/>
      <c r="O2867" s="81">
        <f t="shared" si="132"/>
        <v>0</v>
      </c>
      <c r="P2867" s="81">
        <f t="shared" si="133"/>
        <v>0</v>
      </c>
      <c r="Q2867" s="65"/>
      <c r="R2867" s="67"/>
      <c r="S2867" s="83">
        <f t="shared" si="134"/>
        <v>0</v>
      </c>
    </row>
    <row r="2868" spans="1:19" ht="18" customHeight="1" x14ac:dyDescent="0.25">
      <c r="A2868" s="68"/>
      <c r="B2868" s="69"/>
      <c r="C2868" s="74"/>
      <c r="D2868" s="69"/>
      <c r="E2868" s="68"/>
      <c r="F2868" s="71"/>
      <c r="G2868" s="72"/>
      <c r="H2868" s="73"/>
      <c r="I2868" s="74"/>
      <c r="J2868" s="74"/>
      <c r="K2868" s="74"/>
      <c r="L2868" s="74"/>
      <c r="M2868" s="74"/>
      <c r="N2868" s="74"/>
      <c r="O2868" s="82">
        <f t="shared" si="132"/>
        <v>0</v>
      </c>
      <c r="P2868" s="82">
        <f t="shared" si="133"/>
        <v>0</v>
      </c>
      <c r="Q2868" s="74"/>
      <c r="R2868" s="76"/>
      <c r="S2868" s="84">
        <f t="shared" si="134"/>
        <v>0</v>
      </c>
    </row>
    <row r="2869" spans="1:19" ht="18" customHeight="1" x14ac:dyDescent="0.25">
      <c r="A2869" s="59"/>
      <c r="B2869" s="60"/>
      <c r="C2869" s="65"/>
      <c r="D2869" s="60"/>
      <c r="E2869" s="59"/>
      <c r="F2869" s="62"/>
      <c r="G2869" s="63"/>
      <c r="H2869" s="64"/>
      <c r="I2869" s="65"/>
      <c r="J2869" s="65"/>
      <c r="K2869" s="65"/>
      <c r="L2869" s="65"/>
      <c r="M2869" s="65"/>
      <c r="N2869" s="65"/>
      <c r="O2869" s="81">
        <f t="shared" si="132"/>
        <v>0</v>
      </c>
      <c r="P2869" s="81">
        <f t="shared" si="133"/>
        <v>0</v>
      </c>
      <c r="Q2869" s="65"/>
      <c r="R2869" s="67"/>
      <c r="S2869" s="83">
        <f t="shared" si="134"/>
        <v>0</v>
      </c>
    </row>
    <row r="2870" spans="1:19" ht="18" customHeight="1" x14ac:dyDescent="0.25">
      <c r="A2870" s="68"/>
      <c r="B2870" s="69"/>
      <c r="C2870" s="74"/>
      <c r="D2870" s="69"/>
      <c r="E2870" s="68"/>
      <c r="F2870" s="71"/>
      <c r="G2870" s="72"/>
      <c r="H2870" s="73"/>
      <c r="I2870" s="74"/>
      <c r="J2870" s="74"/>
      <c r="K2870" s="74"/>
      <c r="L2870" s="74"/>
      <c r="M2870" s="74"/>
      <c r="N2870" s="74"/>
      <c r="O2870" s="82">
        <f t="shared" si="132"/>
        <v>0</v>
      </c>
      <c r="P2870" s="82">
        <f t="shared" si="133"/>
        <v>0</v>
      </c>
      <c r="Q2870" s="74"/>
      <c r="R2870" s="76"/>
      <c r="S2870" s="84">
        <f t="shared" si="134"/>
        <v>0</v>
      </c>
    </row>
    <row r="2871" spans="1:19" ht="18" customHeight="1" x14ac:dyDescent="0.25">
      <c r="A2871" s="59"/>
      <c r="B2871" s="60"/>
      <c r="C2871" s="65"/>
      <c r="D2871" s="60"/>
      <c r="E2871" s="59"/>
      <c r="F2871" s="62"/>
      <c r="G2871" s="63"/>
      <c r="H2871" s="64"/>
      <c r="I2871" s="65"/>
      <c r="J2871" s="65"/>
      <c r="K2871" s="65"/>
      <c r="L2871" s="65"/>
      <c r="M2871" s="65"/>
      <c r="N2871" s="65"/>
      <c r="O2871" s="81">
        <f t="shared" si="132"/>
        <v>0</v>
      </c>
      <c r="P2871" s="81">
        <f t="shared" si="133"/>
        <v>0</v>
      </c>
      <c r="Q2871" s="65"/>
      <c r="R2871" s="67"/>
      <c r="S2871" s="83">
        <f t="shared" si="134"/>
        <v>0</v>
      </c>
    </row>
    <row r="2872" spans="1:19" ht="18" customHeight="1" x14ac:dyDescent="0.25">
      <c r="A2872" s="68"/>
      <c r="B2872" s="69"/>
      <c r="C2872" s="74"/>
      <c r="D2872" s="69"/>
      <c r="E2872" s="68"/>
      <c r="F2872" s="71"/>
      <c r="G2872" s="72"/>
      <c r="H2872" s="73"/>
      <c r="I2872" s="74"/>
      <c r="J2872" s="74"/>
      <c r="K2872" s="74"/>
      <c r="L2872" s="74"/>
      <c r="M2872" s="74"/>
      <c r="N2872" s="74"/>
      <c r="O2872" s="82">
        <f t="shared" si="132"/>
        <v>0</v>
      </c>
      <c r="P2872" s="82">
        <f t="shared" si="133"/>
        <v>0</v>
      </c>
      <c r="Q2872" s="74"/>
      <c r="R2872" s="76"/>
      <c r="S2872" s="84">
        <f t="shared" si="134"/>
        <v>0</v>
      </c>
    </row>
    <row r="2873" spans="1:19" ht="18" customHeight="1" x14ac:dyDescent="0.25">
      <c r="A2873" s="59"/>
      <c r="B2873" s="60"/>
      <c r="C2873" s="65"/>
      <c r="D2873" s="60"/>
      <c r="E2873" s="59"/>
      <c r="F2873" s="62"/>
      <c r="G2873" s="63"/>
      <c r="H2873" s="64"/>
      <c r="I2873" s="65"/>
      <c r="J2873" s="65"/>
      <c r="K2873" s="65"/>
      <c r="L2873" s="65"/>
      <c r="M2873" s="65"/>
      <c r="N2873" s="65"/>
      <c r="O2873" s="81">
        <f t="shared" si="132"/>
        <v>0</v>
      </c>
      <c r="P2873" s="81">
        <f t="shared" si="133"/>
        <v>0</v>
      </c>
      <c r="Q2873" s="65"/>
      <c r="R2873" s="67"/>
      <c r="S2873" s="83">
        <f t="shared" si="134"/>
        <v>0</v>
      </c>
    </row>
    <row r="2874" spans="1:19" ht="18" customHeight="1" x14ac:dyDescent="0.25">
      <c r="A2874" s="68"/>
      <c r="B2874" s="69"/>
      <c r="C2874" s="74"/>
      <c r="D2874" s="69"/>
      <c r="E2874" s="68"/>
      <c r="F2874" s="71"/>
      <c r="G2874" s="72"/>
      <c r="H2874" s="73"/>
      <c r="I2874" s="74"/>
      <c r="J2874" s="74"/>
      <c r="K2874" s="74"/>
      <c r="L2874" s="74"/>
      <c r="M2874" s="74"/>
      <c r="N2874" s="74"/>
      <c r="O2874" s="82">
        <f t="shared" si="132"/>
        <v>0</v>
      </c>
      <c r="P2874" s="82">
        <f t="shared" si="133"/>
        <v>0</v>
      </c>
      <c r="Q2874" s="74"/>
      <c r="R2874" s="76"/>
      <c r="S2874" s="84">
        <f t="shared" si="134"/>
        <v>0</v>
      </c>
    </row>
    <row r="2875" spans="1:19" ht="18" customHeight="1" x14ac:dyDescent="0.25">
      <c r="A2875" s="59"/>
      <c r="B2875" s="60"/>
      <c r="C2875" s="65"/>
      <c r="D2875" s="60"/>
      <c r="E2875" s="59"/>
      <c r="F2875" s="62"/>
      <c r="G2875" s="63"/>
      <c r="H2875" s="64"/>
      <c r="I2875" s="65"/>
      <c r="J2875" s="65"/>
      <c r="K2875" s="65"/>
      <c r="L2875" s="65"/>
      <c r="M2875" s="65"/>
      <c r="N2875" s="65"/>
      <c r="O2875" s="81">
        <f t="shared" si="132"/>
        <v>0</v>
      </c>
      <c r="P2875" s="81">
        <f t="shared" si="133"/>
        <v>0</v>
      </c>
      <c r="Q2875" s="65"/>
      <c r="R2875" s="67"/>
      <c r="S2875" s="83">
        <f t="shared" si="134"/>
        <v>0</v>
      </c>
    </row>
    <row r="2876" spans="1:19" ht="18" customHeight="1" x14ac:dyDescent="0.25">
      <c r="A2876" s="68"/>
      <c r="B2876" s="69"/>
      <c r="C2876" s="74"/>
      <c r="D2876" s="69"/>
      <c r="E2876" s="68"/>
      <c r="F2876" s="71"/>
      <c r="G2876" s="72"/>
      <c r="H2876" s="73"/>
      <c r="I2876" s="74"/>
      <c r="J2876" s="74"/>
      <c r="K2876" s="74"/>
      <c r="L2876" s="74"/>
      <c r="M2876" s="74"/>
      <c r="N2876" s="74"/>
      <c r="O2876" s="82">
        <f t="shared" si="132"/>
        <v>0</v>
      </c>
      <c r="P2876" s="82">
        <f t="shared" si="133"/>
        <v>0</v>
      </c>
      <c r="Q2876" s="74"/>
      <c r="R2876" s="76"/>
      <c r="S2876" s="84">
        <f t="shared" si="134"/>
        <v>0</v>
      </c>
    </row>
    <row r="2877" spans="1:19" ht="18" customHeight="1" x14ac:dyDescent="0.25">
      <c r="A2877" s="59"/>
      <c r="B2877" s="60"/>
      <c r="C2877" s="65"/>
      <c r="D2877" s="60"/>
      <c r="E2877" s="59"/>
      <c r="F2877" s="62"/>
      <c r="G2877" s="63"/>
      <c r="H2877" s="64"/>
      <c r="I2877" s="65"/>
      <c r="J2877" s="65"/>
      <c r="K2877" s="65"/>
      <c r="L2877" s="65"/>
      <c r="M2877" s="65"/>
      <c r="N2877" s="65"/>
      <c r="O2877" s="81">
        <f t="shared" si="132"/>
        <v>0</v>
      </c>
      <c r="P2877" s="81">
        <f t="shared" si="133"/>
        <v>0</v>
      </c>
      <c r="Q2877" s="65"/>
      <c r="R2877" s="67"/>
      <c r="S2877" s="83">
        <f t="shared" si="134"/>
        <v>0</v>
      </c>
    </row>
    <row r="2878" spans="1:19" ht="18" customHeight="1" x14ac:dyDescent="0.25">
      <c r="A2878" s="68"/>
      <c r="B2878" s="69"/>
      <c r="C2878" s="74"/>
      <c r="D2878" s="69"/>
      <c r="E2878" s="68"/>
      <c r="F2878" s="71"/>
      <c r="G2878" s="72"/>
      <c r="H2878" s="73"/>
      <c r="I2878" s="74"/>
      <c r="J2878" s="74"/>
      <c r="K2878" s="74"/>
      <c r="L2878" s="74"/>
      <c r="M2878" s="74"/>
      <c r="N2878" s="74"/>
      <c r="O2878" s="82">
        <f t="shared" si="132"/>
        <v>0</v>
      </c>
      <c r="P2878" s="82">
        <f t="shared" si="133"/>
        <v>0</v>
      </c>
      <c r="Q2878" s="74"/>
      <c r="R2878" s="76"/>
      <c r="S2878" s="84">
        <f t="shared" si="134"/>
        <v>0</v>
      </c>
    </row>
    <row r="2879" spans="1:19" ht="18" customHeight="1" x14ac:dyDescent="0.25">
      <c r="A2879" s="59"/>
      <c r="B2879" s="60"/>
      <c r="C2879" s="65"/>
      <c r="D2879" s="60"/>
      <c r="E2879" s="59"/>
      <c r="F2879" s="62"/>
      <c r="G2879" s="63"/>
      <c r="H2879" s="64"/>
      <c r="I2879" s="65"/>
      <c r="J2879" s="65"/>
      <c r="K2879" s="65"/>
      <c r="L2879" s="65"/>
      <c r="M2879" s="65"/>
      <c r="N2879" s="65"/>
      <c r="O2879" s="81">
        <f t="shared" si="132"/>
        <v>0</v>
      </c>
      <c r="P2879" s="81">
        <f t="shared" si="133"/>
        <v>0</v>
      </c>
      <c r="Q2879" s="65"/>
      <c r="R2879" s="67"/>
      <c r="S2879" s="83">
        <f t="shared" si="134"/>
        <v>0</v>
      </c>
    </row>
    <row r="2880" spans="1:19" ht="18" customHeight="1" x14ac:dyDescent="0.25">
      <c r="A2880" s="68"/>
      <c r="B2880" s="69"/>
      <c r="C2880" s="74"/>
      <c r="D2880" s="69"/>
      <c r="E2880" s="68"/>
      <c r="F2880" s="71"/>
      <c r="G2880" s="72"/>
      <c r="H2880" s="73"/>
      <c r="I2880" s="74"/>
      <c r="J2880" s="74"/>
      <c r="K2880" s="74"/>
      <c r="L2880" s="74"/>
      <c r="M2880" s="74"/>
      <c r="N2880" s="74"/>
      <c r="O2880" s="82">
        <f t="shared" si="132"/>
        <v>0</v>
      </c>
      <c r="P2880" s="82">
        <f t="shared" si="133"/>
        <v>0</v>
      </c>
      <c r="Q2880" s="74"/>
      <c r="R2880" s="76"/>
      <c r="S2880" s="84">
        <f t="shared" si="134"/>
        <v>0</v>
      </c>
    </row>
    <row r="2881" spans="1:19" ht="18" customHeight="1" x14ac:dyDescent="0.25">
      <c r="A2881" s="59"/>
      <c r="B2881" s="60"/>
      <c r="C2881" s="65"/>
      <c r="D2881" s="60"/>
      <c r="E2881" s="59"/>
      <c r="F2881" s="62"/>
      <c r="G2881" s="63"/>
      <c r="H2881" s="64"/>
      <c r="I2881" s="65"/>
      <c r="J2881" s="65"/>
      <c r="K2881" s="65"/>
      <c r="L2881" s="65"/>
      <c r="M2881" s="65"/>
      <c r="N2881" s="65"/>
      <c r="O2881" s="81">
        <f t="shared" si="132"/>
        <v>0</v>
      </c>
      <c r="P2881" s="81">
        <f t="shared" si="133"/>
        <v>0</v>
      </c>
      <c r="Q2881" s="65"/>
      <c r="R2881" s="67"/>
      <c r="S2881" s="83">
        <f t="shared" si="134"/>
        <v>0</v>
      </c>
    </row>
    <row r="2882" spans="1:19" ht="18" customHeight="1" x14ac:dyDescent="0.25">
      <c r="A2882" s="68"/>
      <c r="B2882" s="69"/>
      <c r="C2882" s="74"/>
      <c r="D2882" s="69"/>
      <c r="E2882" s="68"/>
      <c r="F2882" s="71"/>
      <c r="G2882" s="72"/>
      <c r="H2882" s="73"/>
      <c r="I2882" s="74"/>
      <c r="J2882" s="74"/>
      <c r="K2882" s="74"/>
      <c r="L2882" s="74"/>
      <c r="M2882" s="74"/>
      <c r="N2882" s="74"/>
      <c r="O2882" s="82">
        <f t="shared" si="132"/>
        <v>0</v>
      </c>
      <c r="P2882" s="82">
        <f t="shared" si="133"/>
        <v>0</v>
      </c>
      <c r="Q2882" s="74"/>
      <c r="R2882" s="76"/>
      <c r="S2882" s="84">
        <f t="shared" si="134"/>
        <v>0</v>
      </c>
    </row>
    <row r="2883" spans="1:19" ht="18" customHeight="1" x14ac:dyDescent="0.25">
      <c r="A2883" s="59"/>
      <c r="B2883" s="60"/>
      <c r="C2883" s="65"/>
      <c r="D2883" s="60"/>
      <c r="E2883" s="59"/>
      <c r="F2883" s="62"/>
      <c r="G2883" s="63"/>
      <c r="H2883" s="64"/>
      <c r="I2883" s="65"/>
      <c r="J2883" s="65"/>
      <c r="K2883" s="65"/>
      <c r="L2883" s="65"/>
      <c r="M2883" s="65"/>
      <c r="N2883" s="65"/>
      <c r="O2883" s="81">
        <f t="shared" si="132"/>
        <v>0</v>
      </c>
      <c r="P2883" s="81">
        <f t="shared" si="133"/>
        <v>0</v>
      </c>
      <c r="Q2883" s="65"/>
      <c r="R2883" s="67"/>
      <c r="S2883" s="83">
        <f t="shared" si="134"/>
        <v>0</v>
      </c>
    </row>
    <row r="2884" spans="1:19" ht="18" customHeight="1" x14ac:dyDescent="0.25">
      <c r="A2884" s="68"/>
      <c r="B2884" s="69"/>
      <c r="C2884" s="74"/>
      <c r="D2884" s="69"/>
      <c r="E2884" s="68"/>
      <c r="F2884" s="71"/>
      <c r="G2884" s="72"/>
      <c r="H2884" s="73"/>
      <c r="I2884" s="74"/>
      <c r="J2884" s="74"/>
      <c r="K2884" s="74"/>
      <c r="L2884" s="74"/>
      <c r="M2884" s="74"/>
      <c r="N2884" s="74"/>
      <c r="O2884" s="82">
        <f t="shared" si="132"/>
        <v>0</v>
      </c>
      <c r="P2884" s="82">
        <f t="shared" si="133"/>
        <v>0</v>
      </c>
      <c r="Q2884" s="74"/>
      <c r="R2884" s="76"/>
      <c r="S2884" s="84">
        <f t="shared" si="134"/>
        <v>0</v>
      </c>
    </row>
    <row r="2885" spans="1:19" ht="18" customHeight="1" x14ac:dyDescent="0.25">
      <c r="A2885" s="59"/>
      <c r="B2885" s="60"/>
      <c r="C2885" s="65"/>
      <c r="D2885" s="60"/>
      <c r="E2885" s="59"/>
      <c r="F2885" s="62"/>
      <c r="G2885" s="63"/>
      <c r="H2885" s="64"/>
      <c r="I2885" s="65"/>
      <c r="J2885" s="65"/>
      <c r="K2885" s="65"/>
      <c r="L2885" s="65"/>
      <c r="M2885" s="65"/>
      <c r="N2885" s="65"/>
      <c r="O2885" s="81">
        <f t="shared" si="132"/>
        <v>0</v>
      </c>
      <c r="P2885" s="81">
        <f t="shared" si="133"/>
        <v>0</v>
      </c>
      <c r="Q2885" s="65"/>
      <c r="R2885" s="67"/>
      <c r="S2885" s="83">
        <f t="shared" si="134"/>
        <v>0</v>
      </c>
    </row>
    <row r="2886" spans="1:19" ht="18" customHeight="1" x14ac:dyDescent="0.25">
      <c r="A2886" s="68"/>
      <c r="B2886" s="69"/>
      <c r="C2886" s="74"/>
      <c r="D2886" s="69"/>
      <c r="E2886" s="68"/>
      <c r="F2886" s="71"/>
      <c r="G2886" s="72"/>
      <c r="H2886" s="73"/>
      <c r="I2886" s="74"/>
      <c r="J2886" s="74"/>
      <c r="K2886" s="74"/>
      <c r="L2886" s="74"/>
      <c r="M2886" s="74"/>
      <c r="N2886" s="74"/>
      <c r="O2886" s="82" t="e">
        <f>#N/A</f>
        <v>#N/A</v>
      </c>
      <c r="P2886" s="82" t="e">
        <f>#N/A</f>
        <v>#N/A</v>
      </c>
      <c r="Q2886" s="74"/>
      <c r="R2886" s="76"/>
      <c r="S2886" s="84">
        <f t="shared" si="134"/>
        <v>0</v>
      </c>
    </row>
    <row r="2887" spans="1:19" ht="18" customHeight="1" x14ac:dyDescent="0.25">
      <c r="A2887" s="59"/>
      <c r="B2887" s="60"/>
      <c r="C2887" s="65"/>
      <c r="D2887" s="60"/>
      <c r="E2887" s="59"/>
      <c r="F2887" s="62"/>
      <c r="G2887" s="63"/>
      <c r="H2887" s="64"/>
      <c r="I2887" s="65"/>
      <c r="J2887" s="65"/>
      <c r="K2887" s="65"/>
      <c r="L2887" s="65"/>
      <c r="M2887" s="65"/>
      <c r="N2887" s="65"/>
      <c r="O2887" s="81">
        <f t="shared" ref="O2887:O2949" si="135">IF(G2887="Reimbursement ","",I2887+J2887+K2887+L2887+M2887)</f>
        <v>0</v>
      </c>
      <c r="P2887" s="81">
        <f t="shared" ref="P2887:P2949" si="136">IF(G2887="Reimbursement ","",H2887-O2887)</f>
        <v>0</v>
      </c>
      <c r="Q2887" s="65"/>
      <c r="R2887" s="67"/>
      <c r="S2887" s="83">
        <f t="shared" ref="S2887:S2950" si="137">IF(OR(R2887="",Q2887=""),0,IF(R2887&gt;Q2887,R2887-Q2887,0))</f>
        <v>0</v>
      </c>
    </row>
    <row r="2888" spans="1:19" ht="18" customHeight="1" x14ac:dyDescent="0.25">
      <c r="A2888" s="68"/>
      <c r="B2888" s="69"/>
      <c r="C2888" s="74"/>
      <c r="D2888" s="69"/>
      <c r="E2888" s="68"/>
      <c r="F2888" s="71"/>
      <c r="G2888" s="72"/>
      <c r="H2888" s="73"/>
      <c r="I2888" s="74"/>
      <c r="J2888" s="74"/>
      <c r="K2888" s="74"/>
      <c r="L2888" s="74"/>
      <c r="M2888" s="74"/>
      <c r="N2888" s="74"/>
      <c r="O2888" s="82">
        <f t="shared" si="135"/>
        <v>0</v>
      </c>
      <c r="P2888" s="82">
        <f t="shared" si="136"/>
        <v>0</v>
      </c>
      <c r="Q2888" s="74"/>
      <c r="R2888" s="76"/>
      <c r="S2888" s="84">
        <f t="shared" si="137"/>
        <v>0</v>
      </c>
    </row>
    <row r="2889" spans="1:19" ht="18" customHeight="1" x14ac:dyDescent="0.25">
      <c r="A2889" s="59"/>
      <c r="B2889" s="60"/>
      <c r="C2889" s="65"/>
      <c r="D2889" s="60"/>
      <c r="E2889" s="59"/>
      <c r="F2889" s="62"/>
      <c r="G2889" s="63"/>
      <c r="H2889" s="64"/>
      <c r="I2889" s="65"/>
      <c r="J2889" s="65"/>
      <c r="K2889" s="65"/>
      <c r="L2889" s="65"/>
      <c r="M2889" s="65"/>
      <c r="N2889" s="65"/>
      <c r="O2889" s="81">
        <f t="shared" si="135"/>
        <v>0</v>
      </c>
      <c r="P2889" s="81">
        <f t="shared" si="136"/>
        <v>0</v>
      </c>
      <c r="Q2889" s="65"/>
      <c r="R2889" s="67"/>
      <c r="S2889" s="83">
        <f t="shared" si="137"/>
        <v>0</v>
      </c>
    </row>
    <row r="2890" spans="1:19" ht="18" customHeight="1" x14ac:dyDescent="0.25">
      <c r="A2890" s="68"/>
      <c r="B2890" s="69"/>
      <c r="C2890" s="74"/>
      <c r="D2890" s="69"/>
      <c r="E2890" s="68"/>
      <c r="F2890" s="71"/>
      <c r="G2890" s="72"/>
      <c r="H2890" s="73"/>
      <c r="I2890" s="74"/>
      <c r="J2890" s="74"/>
      <c r="K2890" s="74"/>
      <c r="L2890" s="74"/>
      <c r="M2890" s="74"/>
      <c r="N2890" s="74"/>
      <c r="O2890" s="82">
        <f t="shared" si="135"/>
        <v>0</v>
      </c>
      <c r="P2890" s="82">
        <f t="shared" si="136"/>
        <v>0</v>
      </c>
      <c r="Q2890" s="74"/>
      <c r="R2890" s="76"/>
      <c r="S2890" s="84">
        <f t="shared" si="137"/>
        <v>0</v>
      </c>
    </row>
    <row r="2891" spans="1:19" ht="18" customHeight="1" x14ac:dyDescent="0.25">
      <c r="A2891" s="59"/>
      <c r="B2891" s="60"/>
      <c r="C2891" s="65"/>
      <c r="D2891" s="60"/>
      <c r="E2891" s="59"/>
      <c r="F2891" s="62"/>
      <c r="G2891" s="63"/>
      <c r="H2891" s="64"/>
      <c r="I2891" s="65"/>
      <c r="J2891" s="65"/>
      <c r="K2891" s="65"/>
      <c r="L2891" s="65"/>
      <c r="M2891" s="65"/>
      <c r="N2891" s="65"/>
      <c r="O2891" s="81">
        <f t="shared" si="135"/>
        <v>0</v>
      </c>
      <c r="P2891" s="81">
        <f t="shared" si="136"/>
        <v>0</v>
      </c>
      <c r="Q2891" s="65"/>
      <c r="R2891" s="67"/>
      <c r="S2891" s="83">
        <f t="shared" si="137"/>
        <v>0</v>
      </c>
    </row>
    <row r="2892" spans="1:19" ht="18" customHeight="1" x14ac:dyDescent="0.25">
      <c r="A2892" s="68"/>
      <c r="B2892" s="69"/>
      <c r="C2892" s="74"/>
      <c r="D2892" s="69"/>
      <c r="E2892" s="68"/>
      <c r="F2892" s="71"/>
      <c r="G2892" s="72"/>
      <c r="H2892" s="73"/>
      <c r="I2892" s="74"/>
      <c r="J2892" s="74"/>
      <c r="K2892" s="74"/>
      <c r="L2892" s="74"/>
      <c r="M2892" s="74"/>
      <c r="N2892" s="74"/>
      <c r="O2892" s="82">
        <f t="shared" si="135"/>
        <v>0</v>
      </c>
      <c r="P2892" s="82">
        <f t="shared" si="136"/>
        <v>0</v>
      </c>
      <c r="Q2892" s="74"/>
      <c r="R2892" s="76"/>
      <c r="S2892" s="84">
        <f t="shared" si="137"/>
        <v>0</v>
      </c>
    </row>
    <row r="2893" spans="1:19" ht="18" customHeight="1" x14ac:dyDescent="0.25">
      <c r="A2893" s="59"/>
      <c r="B2893" s="60"/>
      <c r="C2893" s="65"/>
      <c r="D2893" s="60"/>
      <c r="E2893" s="59"/>
      <c r="F2893" s="62"/>
      <c r="G2893" s="63"/>
      <c r="H2893" s="64"/>
      <c r="I2893" s="65"/>
      <c r="J2893" s="65"/>
      <c r="K2893" s="65"/>
      <c r="L2893" s="65"/>
      <c r="M2893" s="65"/>
      <c r="N2893" s="65"/>
      <c r="O2893" s="81">
        <f t="shared" si="135"/>
        <v>0</v>
      </c>
      <c r="P2893" s="81">
        <f t="shared" si="136"/>
        <v>0</v>
      </c>
      <c r="Q2893" s="65"/>
      <c r="R2893" s="67"/>
      <c r="S2893" s="83">
        <f t="shared" si="137"/>
        <v>0</v>
      </c>
    </row>
    <row r="2894" spans="1:19" ht="18" customHeight="1" x14ac:dyDescent="0.25">
      <c r="A2894" s="68"/>
      <c r="B2894" s="69"/>
      <c r="C2894" s="74"/>
      <c r="D2894" s="69"/>
      <c r="E2894" s="68"/>
      <c r="F2894" s="71"/>
      <c r="G2894" s="72"/>
      <c r="H2894" s="73"/>
      <c r="I2894" s="74"/>
      <c r="J2894" s="74"/>
      <c r="K2894" s="74"/>
      <c r="L2894" s="74"/>
      <c r="M2894" s="74"/>
      <c r="N2894" s="74"/>
      <c r="O2894" s="82">
        <f t="shared" si="135"/>
        <v>0</v>
      </c>
      <c r="P2894" s="82">
        <f t="shared" si="136"/>
        <v>0</v>
      </c>
      <c r="Q2894" s="74"/>
      <c r="R2894" s="76"/>
      <c r="S2894" s="84">
        <f t="shared" si="137"/>
        <v>0</v>
      </c>
    </row>
    <row r="2895" spans="1:19" ht="18" customHeight="1" x14ac:dyDescent="0.25">
      <c r="A2895" s="59"/>
      <c r="B2895" s="60"/>
      <c r="C2895" s="65"/>
      <c r="D2895" s="60"/>
      <c r="E2895" s="59"/>
      <c r="F2895" s="62"/>
      <c r="G2895" s="63"/>
      <c r="H2895" s="64"/>
      <c r="I2895" s="65"/>
      <c r="J2895" s="65"/>
      <c r="K2895" s="65"/>
      <c r="L2895" s="65"/>
      <c r="M2895" s="65"/>
      <c r="N2895" s="65"/>
      <c r="O2895" s="81">
        <f t="shared" si="135"/>
        <v>0</v>
      </c>
      <c r="P2895" s="81">
        <f t="shared" si="136"/>
        <v>0</v>
      </c>
      <c r="Q2895" s="65"/>
      <c r="R2895" s="67"/>
      <c r="S2895" s="83">
        <f t="shared" si="137"/>
        <v>0</v>
      </c>
    </row>
    <row r="2896" spans="1:19" ht="18" customHeight="1" x14ac:dyDescent="0.25">
      <c r="A2896" s="68"/>
      <c r="B2896" s="69"/>
      <c r="C2896" s="74"/>
      <c r="D2896" s="69"/>
      <c r="E2896" s="68"/>
      <c r="F2896" s="71"/>
      <c r="G2896" s="72"/>
      <c r="H2896" s="73"/>
      <c r="I2896" s="74"/>
      <c r="J2896" s="74"/>
      <c r="K2896" s="74"/>
      <c r="L2896" s="74"/>
      <c r="M2896" s="74"/>
      <c r="N2896" s="74"/>
      <c r="O2896" s="82">
        <f t="shared" si="135"/>
        <v>0</v>
      </c>
      <c r="P2896" s="82">
        <f t="shared" si="136"/>
        <v>0</v>
      </c>
      <c r="Q2896" s="74"/>
      <c r="R2896" s="76"/>
      <c r="S2896" s="84">
        <f t="shared" si="137"/>
        <v>0</v>
      </c>
    </row>
    <row r="2897" spans="1:19" ht="18" customHeight="1" x14ac:dyDescent="0.25">
      <c r="A2897" s="59"/>
      <c r="B2897" s="60"/>
      <c r="C2897" s="65"/>
      <c r="D2897" s="60"/>
      <c r="E2897" s="59"/>
      <c r="F2897" s="62"/>
      <c r="G2897" s="63"/>
      <c r="H2897" s="64"/>
      <c r="I2897" s="65"/>
      <c r="J2897" s="65"/>
      <c r="K2897" s="65"/>
      <c r="L2897" s="65"/>
      <c r="M2897" s="65"/>
      <c r="N2897" s="65"/>
      <c r="O2897" s="81">
        <f t="shared" si="135"/>
        <v>0</v>
      </c>
      <c r="P2897" s="81">
        <f t="shared" si="136"/>
        <v>0</v>
      </c>
      <c r="Q2897" s="65"/>
      <c r="R2897" s="67"/>
      <c r="S2897" s="83">
        <f t="shared" si="137"/>
        <v>0</v>
      </c>
    </row>
    <row r="2898" spans="1:19" ht="18" customHeight="1" x14ac:dyDescent="0.25">
      <c r="A2898" s="68"/>
      <c r="B2898" s="69"/>
      <c r="C2898" s="74"/>
      <c r="D2898" s="69"/>
      <c r="E2898" s="68"/>
      <c r="F2898" s="71"/>
      <c r="G2898" s="72"/>
      <c r="H2898" s="73"/>
      <c r="I2898" s="74"/>
      <c r="J2898" s="74"/>
      <c r="K2898" s="74"/>
      <c r="L2898" s="74"/>
      <c r="M2898" s="74"/>
      <c r="N2898" s="74"/>
      <c r="O2898" s="82">
        <f t="shared" si="135"/>
        <v>0</v>
      </c>
      <c r="P2898" s="82">
        <f t="shared" si="136"/>
        <v>0</v>
      </c>
      <c r="Q2898" s="74"/>
      <c r="R2898" s="76"/>
      <c r="S2898" s="84">
        <f t="shared" si="137"/>
        <v>0</v>
      </c>
    </row>
    <row r="2899" spans="1:19" ht="18" customHeight="1" x14ac:dyDescent="0.25">
      <c r="A2899" s="59"/>
      <c r="B2899" s="60"/>
      <c r="C2899" s="65"/>
      <c r="D2899" s="60"/>
      <c r="E2899" s="59"/>
      <c r="F2899" s="62"/>
      <c r="G2899" s="63"/>
      <c r="H2899" s="64"/>
      <c r="I2899" s="65"/>
      <c r="J2899" s="65"/>
      <c r="K2899" s="65"/>
      <c r="L2899" s="65"/>
      <c r="M2899" s="65"/>
      <c r="N2899" s="65"/>
      <c r="O2899" s="81">
        <f t="shared" si="135"/>
        <v>0</v>
      </c>
      <c r="P2899" s="81">
        <f t="shared" si="136"/>
        <v>0</v>
      </c>
      <c r="Q2899" s="65"/>
      <c r="R2899" s="67"/>
      <c r="S2899" s="83">
        <f t="shared" si="137"/>
        <v>0</v>
      </c>
    </row>
    <row r="2900" spans="1:19" ht="18" customHeight="1" x14ac:dyDescent="0.25">
      <c r="A2900" s="68"/>
      <c r="B2900" s="69"/>
      <c r="C2900" s="74"/>
      <c r="D2900" s="69"/>
      <c r="E2900" s="68"/>
      <c r="F2900" s="71"/>
      <c r="G2900" s="72"/>
      <c r="H2900" s="73"/>
      <c r="I2900" s="74"/>
      <c r="J2900" s="74"/>
      <c r="K2900" s="74"/>
      <c r="L2900" s="74"/>
      <c r="M2900" s="74"/>
      <c r="N2900" s="74"/>
      <c r="O2900" s="82">
        <f t="shared" si="135"/>
        <v>0</v>
      </c>
      <c r="P2900" s="82">
        <f t="shared" si="136"/>
        <v>0</v>
      </c>
      <c r="Q2900" s="74"/>
      <c r="R2900" s="76"/>
      <c r="S2900" s="84">
        <f t="shared" si="137"/>
        <v>0</v>
      </c>
    </row>
    <row r="2901" spans="1:19" ht="18" customHeight="1" x14ac:dyDescent="0.25">
      <c r="A2901" s="59"/>
      <c r="B2901" s="60"/>
      <c r="C2901" s="65"/>
      <c r="D2901" s="60"/>
      <c r="E2901" s="59"/>
      <c r="F2901" s="62"/>
      <c r="G2901" s="63"/>
      <c r="H2901" s="64"/>
      <c r="I2901" s="65"/>
      <c r="J2901" s="65"/>
      <c r="K2901" s="65"/>
      <c r="L2901" s="65"/>
      <c r="M2901" s="65"/>
      <c r="N2901" s="65"/>
      <c r="O2901" s="81">
        <f t="shared" si="135"/>
        <v>0</v>
      </c>
      <c r="P2901" s="81">
        <f t="shared" si="136"/>
        <v>0</v>
      </c>
      <c r="Q2901" s="65"/>
      <c r="R2901" s="67"/>
      <c r="S2901" s="83">
        <f t="shared" si="137"/>
        <v>0</v>
      </c>
    </row>
    <row r="2902" spans="1:19" ht="18" customHeight="1" x14ac:dyDescent="0.25">
      <c r="A2902" s="68"/>
      <c r="B2902" s="69"/>
      <c r="C2902" s="74"/>
      <c r="D2902" s="69"/>
      <c r="E2902" s="68"/>
      <c r="F2902" s="71"/>
      <c r="G2902" s="72"/>
      <c r="H2902" s="73"/>
      <c r="I2902" s="74"/>
      <c r="J2902" s="74"/>
      <c r="K2902" s="74"/>
      <c r="L2902" s="74"/>
      <c r="M2902" s="74"/>
      <c r="N2902" s="74"/>
      <c r="O2902" s="82">
        <f t="shared" si="135"/>
        <v>0</v>
      </c>
      <c r="P2902" s="82">
        <f t="shared" si="136"/>
        <v>0</v>
      </c>
      <c r="Q2902" s="74"/>
      <c r="R2902" s="76"/>
      <c r="S2902" s="84">
        <f t="shared" si="137"/>
        <v>0</v>
      </c>
    </row>
    <row r="2903" spans="1:19" ht="18" customHeight="1" x14ac:dyDescent="0.25">
      <c r="A2903" s="59"/>
      <c r="B2903" s="60"/>
      <c r="C2903" s="65"/>
      <c r="D2903" s="60"/>
      <c r="E2903" s="59"/>
      <c r="F2903" s="62"/>
      <c r="G2903" s="63"/>
      <c r="H2903" s="64"/>
      <c r="I2903" s="65"/>
      <c r="J2903" s="65"/>
      <c r="K2903" s="65"/>
      <c r="L2903" s="65"/>
      <c r="M2903" s="65"/>
      <c r="N2903" s="65"/>
      <c r="O2903" s="81">
        <f t="shared" si="135"/>
        <v>0</v>
      </c>
      <c r="P2903" s="81">
        <f t="shared" si="136"/>
        <v>0</v>
      </c>
      <c r="Q2903" s="65"/>
      <c r="R2903" s="67"/>
      <c r="S2903" s="83">
        <f t="shared" si="137"/>
        <v>0</v>
      </c>
    </row>
    <row r="2904" spans="1:19" ht="18" customHeight="1" x14ac:dyDescent="0.25">
      <c r="A2904" s="68"/>
      <c r="B2904" s="69"/>
      <c r="C2904" s="74"/>
      <c r="D2904" s="69"/>
      <c r="E2904" s="68"/>
      <c r="F2904" s="71"/>
      <c r="G2904" s="72"/>
      <c r="H2904" s="73"/>
      <c r="I2904" s="74"/>
      <c r="J2904" s="74"/>
      <c r="K2904" s="74"/>
      <c r="L2904" s="74"/>
      <c r="M2904" s="74"/>
      <c r="N2904" s="74"/>
      <c r="O2904" s="82">
        <f t="shared" si="135"/>
        <v>0</v>
      </c>
      <c r="P2904" s="82">
        <f t="shared" si="136"/>
        <v>0</v>
      </c>
      <c r="Q2904" s="74"/>
      <c r="R2904" s="76"/>
      <c r="S2904" s="84">
        <f t="shared" si="137"/>
        <v>0</v>
      </c>
    </row>
    <row r="2905" spans="1:19" ht="18" customHeight="1" x14ac:dyDescent="0.25">
      <c r="A2905" s="59"/>
      <c r="B2905" s="60"/>
      <c r="C2905" s="65"/>
      <c r="D2905" s="60"/>
      <c r="E2905" s="59"/>
      <c r="F2905" s="62"/>
      <c r="G2905" s="63"/>
      <c r="H2905" s="64"/>
      <c r="I2905" s="65"/>
      <c r="J2905" s="65"/>
      <c r="K2905" s="65"/>
      <c r="L2905" s="65"/>
      <c r="M2905" s="65"/>
      <c r="N2905" s="65"/>
      <c r="O2905" s="81">
        <f t="shared" si="135"/>
        <v>0</v>
      </c>
      <c r="P2905" s="81">
        <f t="shared" si="136"/>
        <v>0</v>
      </c>
      <c r="Q2905" s="65"/>
      <c r="R2905" s="67"/>
      <c r="S2905" s="83">
        <f t="shared" si="137"/>
        <v>0</v>
      </c>
    </row>
    <row r="2906" spans="1:19" ht="18" customHeight="1" x14ac:dyDescent="0.25">
      <c r="A2906" s="68"/>
      <c r="B2906" s="69"/>
      <c r="C2906" s="74"/>
      <c r="D2906" s="69"/>
      <c r="E2906" s="68"/>
      <c r="F2906" s="71"/>
      <c r="G2906" s="72"/>
      <c r="H2906" s="73"/>
      <c r="I2906" s="74"/>
      <c r="J2906" s="74"/>
      <c r="K2906" s="74"/>
      <c r="L2906" s="74"/>
      <c r="M2906" s="74"/>
      <c r="N2906" s="74"/>
      <c r="O2906" s="82">
        <f t="shared" si="135"/>
        <v>0</v>
      </c>
      <c r="P2906" s="82">
        <f t="shared" si="136"/>
        <v>0</v>
      </c>
      <c r="Q2906" s="74"/>
      <c r="R2906" s="76"/>
      <c r="S2906" s="84">
        <f t="shared" si="137"/>
        <v>0</v>
      </c>
    </row>
    <row r="2907" spans="1:19" ht="18" customHeight="1" x14ac:dyDescent="0.25">
      <c r="A2907" s="59"/>
      <c r="B2907" s="60"/>
      <c r="C2907" s="65"/>
      <c r="D2907" s="60"/>
      <c r="E2907" s="59"/>
      <c r="F2907" s="62"/>
      <c r="G2907" s="63"/>
      <c r="H2907" s="64"/>
      <c r="I2907" s="65"/>
      <c r="J2907" s="65"/>
      <c r="K2907" s="65"/>
      <c r="L2907" s="65"/>
      <c r="M2907" s="65"/>
      <c r="N2907" s="65"/>
      <c r="O2907" s="81">
        <f t="shared" si="135"/>
        <v>0</v>
      </c>
      <c r="P2907" s="81">
        <f t="shared" si="136"/>
        <v>0</v>
      </c>
      <c r="Q2907" s="65"/>
      <c r="R2907" s="67"/>
      <c r="S2907" s="83">
        <f t="shared" si="137"/>
        <v>0</v>
      </c>
    </row>
    <row r="2908" spans="1:19" ht="18" customHeight="1" x14ac:dyDescent="0.25">
      <c r="A2908" s="68"/>
      <c r="B2908" s="69"/>
      <c r="C2908" s="74"/>
      <c r="D2908" s="69"/>
      <c r="E2908" s="68"/>
      <c r="F2908" s="71"/>
      <c r="G2908" s="72"/>
      <c r="H2908" s="73"/>
      <c r="I2908" s="74"/>
      <c r="J2908" s="74"/>
      <c r="K2908" s="74"/>
      <c r="L2908" s="74"/>
      <c r="M2908" s="74"/>
      <c r="N2908" s="74"/>
      <c r="O2908" s="82">
        <f t="shared" si="135"/>
        <v>0</v>
      </c>
      <c r="P2908" s="82">
        <f t="shared" si="136"/>
        <v>0</v>
      </c>
      <c r="Q2908" s="74"/>
      <c r="R2908" s="76"/>
      <c r="S2908" s="84">
        <f t="shared" si="137"/>
        <v>0</v>
      </c>
    </row>
    <row r="2909" spans="1:19" ht="18" customHeight="1" x14ac:dyDescent="0.25">
      <c r="A2909" s="59"/>
      <c r="B2909" s="60"/>
      <c r="C2909" s="65"/>
      <c r="D2909" s="60"/>
      <c r="E2909" s="59"/>
      <c r="F2909" s="62"/>
      <c r="G2909" s="63"/>
      <c r="H2909" s="64"/>
      <c r="I2909" s="65"/>
      <c r="J2909" s="65"/>
      <c r="K2909" s="65"/>
      <c r="L2909" s="65"/>
      <c r="M2909" s="65"/>
      <c r="N2909" s="65"/>
      <c r="O2909" s="81">
        <f t="shared" si="135"/>
        <v>0</v>
      </c>
      <c r="P2909" s="81">
        <f t="shared" si="136"/>
        <v>0</v>
      </c>
      <c r="Q2909" s="65"/>
      <c r="R2909" s="67"/>
      <c r="S2909" s="83">
        <f t="shared" si="137"/>
        <v>0</v>
      </c>
    </row>
    <row r="2910" spans="1:19" ht="18" customHeight="1" x14ac:dyDescent="0.25">
      <c r="A2910" s="68"/>
      <c r="B2910" s="69"/>
      <c r="C2910" s="74"/>
      <c r="D2910" s="69"/>
      <c r="E2910" s="68"/>
      <c r="F2910" s="71"/>
      <c r="G2910" s="72"/>
      <c r="H2910" s="73"/>
      <c r="I2910" s="74"/>
      <c r="J2910" s="74"/>
      <c r="K2910" s="74"/>
      <c r="L2910" s="74"/>
      <c r="M2910" s="74"/>
      <c r="N2910" s="74"/>
      <c r="O2910" s="82">
        <f t="shared" si="135"/>
        <v>0</v>
      </c>
      <c r="P2910" s="82">
        <f t="shared" si="136"/>
        <v>0</v>
      </c>
      <c r="Q2910" s="74"/>
      <c r="R2910" s="76"/>
      <c r="S2910" s="84">
        <f t="shared" si="137"/>
        <v>0</v>
      </c>
    </row>
    <row r="2911" spans="1:19" ht="18" customHeight="1" x14ac:dyDescent="0.25">
      <c r="A2911" s="59"/>
      <c r="B2911" s="60"/>
      <c r="C2911" s="65"/>
      <c r="D2911" s="60"/>
      <c r="E2911" s="59"/>
      <c r="F2911" s="62"/>
      <c r="G2911" s="63"/>
      <c r="H2911" s="64"/>
      <c r="I2911" s="65"/>
      <c r="J2911" s="65"/>
      <c r="K2911" s="65"/>
      <c r="L2911" s="65"/>
      <c r="M2911" s="65"/>
      <c r="N2911" s="65"/>
      <c r="O2911" s="81">
        <f t="shared" si="135"/>
        <v>0</v>
      </c>
      <c r="P2911" s="81">
        <f t="shared" si="136"/>
        <v>0</v>
      </c>
      <c r="Q2911" s="65"/>
      <c r="R2911" s="67"/>
      <c r="S2911" s="83">
        <f t="shared" si="137"/>
        <v>0</v>
      </c>
    </row>
    <row r="2912" spans="1:19" ht="18" customHeight="1" x14ac:dyDescent="0.25">
      <c r="A2912" s="68"/>
      <c r="B2912" s="69"/>
      <c r="C2912" s="74"/>
      <c r="D2912" s="69"/>
      <c r="E2912" s="68"/>
      <c r="F2912" s="71"/>
      <c r="G2912" s="72"/>
      <c r="H2912" s="73"/>
      <c r="I2912" s="74"/>
      <c r="J2912" s="74"/>
      <c r="K2912" s="74"/>
      <c r="L2912" s="74"/>
      <c r="M2912" s="74"/>
      <c r="N2912" s="74"/>
      <c r="O2912" s="82">
        <f t="shared" si="135"/>
        <v>0</v>
      </c>
      <c r="P2912" s="82">
        <f t="shared" si="136"/>
        <v>0</v>
      </c>
      <c r="Q2912" s="74"/>
      <c r="R2912" s="76"/>
      <c r="S2912" s="84">
        <f t="shared" si="137"/>
        <v>0</v>
      </c>
    </row>
    <row r="2913" spans="1:19" ht="18" customHeight="1" x14ac:dyDescent="0.25">
      <c r="A2913" s="59"/>
      <c r="B2913" s="60"/>
      <c r="C2913" s="65"/>
      <c r="D2913" s="60"/>
      <c r="E2913" s="59"/>
      <c r="F2913" s="62"/>
      <c r="G2913" s="63"/>
      <c r="H2913" s="64"/>
      <c r="I2913" s="65"/>
      <c r="J2913" s="65"/>
      <c r="K2913" s="65"/>
      <c r="L2913" s="65"/>
      <c r="M2913" s="65"/>
      <c r="N2913" s="65"/>
      <c r="O2913" s="81">
        <f t="shared" si="135"/>
        <v>0</v>
      </c>
      <c r="P2913" s="81">
        <f t="shared" si="136"/>
        <v>0</v>
      </c>
      <c r="Q2913" s="65"/>
      <c r="R2913" s="67"/>
      <c r="S2913" s="83">
        <f t="shared" si="137"/>
        <v>0</v>
      </c>
    </row>
    <row r="2914" spans="1:19" ht="18" customHeight="1" x14ac:dyDescent="0.25">
      <c r="A2914" s="68"/>
      <c r="B2914" s="69"/>
      <c r="C2914" s="74"/>
      <c r="D2914" s="69"/>
      <c r="E2914" s="68"/>
      <c r="F2914" s="71"/>
      <c r="G2914" s="72"/>
      <c r="H2914" s="73"/>
      <c r="I2914" s="74"/>
      <c r="J2914" s="74"/>
      <c r="K2914" s="74"/>
      <c r="L2914" s="74"/>
      <c r="M2914" s="74"/>
      <c r="N2914" s="74"/>
      <c r="O2914" s="82">
        <f t="shared" si="135"/>
        <v>0</v>
      </c>
      <c r="P2914" s="82">
        <f t="shared" si="136"/>
        <v>0</v>
      </c>
      <c r="Q2914" s="74"/>
      <c r="R2914" s="76"/>
      <c r="S2914" s="84">
        <f t="shared" si="137"/>
        <v>0</v>
      </c>
    </row>
    <row r="2915" spans="1:19" ht="18" customHeight="1" x14ac:dyDescent="0.25">
      <c r="A2915" s="59"/>
      <c r="B2915" s="60"/>
      <c r="C2915" s="65"/>
      <c r="D2915" s="60"/>
      <c r="E2915" s="59"/>
      <c r="F2915" s="62"/>
      <c r="G2915" s="63"/>
      <c r="H2915" s="64"/>
      <c r="I2915" s="65"/>
      <c r="J2915" s="65"/>
      <c r="K2915" s="65"/>
      <c r="L2915" s="65"/>
      <c r="M2915" s="65"/>
      <c r="N2915" s="65"/>
      <c r="O2915" s="81">
        <f t="shared" si="135"/>
        <v>0</v>
      </c>
      <c r="P2915" s="81">
        <f t="shared" si="136"/>
        <v>0</v>
      </c>
      <c r="Q2915" s="65"/>
      <c r="R2915" s="67"/>
      <c r="S2915" s="83">
        <f t="shared" si="137"/>
        <v>0</v>
      </c>
    </row>
    <row r="2916" spans="1:19" ht="18" customHeight="1" x14ac:dyDescent="0.25">
      <c r="A2916" s="68"/>
      <c r="B2916" s="69"/>
      <c r="C2916" s="74"/>
      <c r="D2916" s="69"/>
      <c r="E2916" s="68"/>
      <c r="F2916" s="71"/>
      <c r="G2916" s="72"/>
      <c r="H2916" s="73"/>
      <c r="I2916" s="74"/>
      <c r="J2916" s="74"/>
      <c r="K2916" s="74"/>
      <c r="L2916" s="74"/>
      <c r="M2916" s="74"/>
      <c r="N2916" s="74"/>
      <c r="O2916" s="82">
        <f t="shared" si="135"/>
        <v>0</v>
      </c>
      <c r="P2916" s="82">
        <f t="shared" si="136"/>
        <v>0</v>
      </c>
      <c r="Q2916" s="74"/>
      <c r="R2916" s="76"/>
      <c r="S2916" s="84">
        <f t="shared" si="137"/>
        <v>0</v>
      </c>
    </row>
    <row r="2917" spans="1:19" ht="18" customHeight="1" x14ac:dyDescent="0.25">
      <c r="A2917" s="59"/>
      <c r="B2917" s="60"/>
      <c r="C2917" s="65"/>
      <c r="D2917" s="60"/>
      <c r="E2917" s="59"/>
      <c r="F2917" s="62"/>
      <c r="G2917" s="63"/>
      <c r="H2917" s="64"/>
      <c r="I2917" s="65"/>
      <c r="J2917" s="65"/>
      <c r="K2917" s="65"/>
      <c r="L2917" s="65"/>
      <c r="M2917" s="65"/>
      <c r="N2917" s="65"/>
      <c r="O2917" s="81">
        <f t="shared" si="135"/>
        <v>0</v>
      </c>
      <c r="P2917" s="81">
        <f t="shared" si="136"/>
        <v>0</v>
      </c>
      <c r="Q2917" s="65"/>
      <c r="R2917" s="67"/>
      <c r="S2917" s="83">
        <f t="shared" si="137"/>
        <v>0</v>
      </c>
    </row>
    <row r="2918" spans="1:19" ht="18" customHeight="1" x14ac:dyDescent="0.25">
      <c r="A2918" s="68"/>
      <c r="B2918" s="69"/>
      <c r="C2918" s="74"/>
      <c r="D2918" s="69"/>
      <c r="E2918" s="68"/>
      <c r="F2918" s="71"/>
      <c r="G2918" s="72"/>
      <c r="H2918" s="73"/>
      <c r="I2918" s="74"/>
      <c r="J2918" s="74"/>
      <c r="K2918" s="74"/>
      <c r="L2918" s="74"/>
      <c r="M2918" s="74"/>
      <c r="N2918" s="74"/>
      <c r="O2918" s="82">
        <f t="shared" si="135"/>
        <v>0</v>
      </c>
      <c r="P2918" s="82">
        <f t="shared" si="136"/>
        <v>0</v>
      </c>
      <c r="Q2918" s="74"/>
      <c r="R2918" s="76"/>
      <c r="S2918" s="84">
        <f t="shared" si="137"/>
        <v>0</v>
      </c>
    </row>
    <row r="2919" spans="1:19" ht="18" customHeight="1" x14ac:dyDescent="0.25">
      <c r="A2919" s="59"/>
      <c r="B2919" s="60"/>
      <c r="C2919" s="65"/>
      <c r="D2919" s="60"/>
      <c r="E2919" s="59"/>
      <c r="F2919" s="62"/>
      <c r="G2919" s="63"/>
      <c r="H2919" s="64"/>
      <c r="I2919" s="65"/>
      <c r="J2919" s="65"/>
      <c r="K2919" s="65"/>
      <c r="L2919" s="65"/>
      <c r="M2919" s="65"/>
      <c r="N2919" s="65"/>
      <c r="O2919" s="81">
        <f t="shared" si="135"/>
        <v>0</v>
      </c>
      <c r="P2919" s="81">
        <f t="shared" si="136"/>
        <v>0</v>
      </c>
      <c r="Q2919" s="65"/>
      <c r="R2919" s="67"/>
      <c r="S2919" s="83">
        <f t="shared" si="137"/>
        <v>0</v>
      </c>
    </row>
    <row r="2920" spans="1:19" ht="18" customHeight="1" x14ac:dyDescent="0.25">
      <c r="A2920" s="68"/>
      <c r="B2920" s="69"/>
      <c r="C2920" s="74"/>
      <c r="D2920" s="69"/>
      <c r="E2920" s="68"/>
      <c r="F2920" s="71"/>
      <c r="G2920" s="72"/>
      <c r="H2920" s="73"/>
      <c r="I2920" s="74"/>
      <c r="J2920" s="74"/>
      <c r="K2920" s="74"/>
      <c r="L2920" s="74"/>
      <c r="M2920" s="74"/>
      <c r="N2920" s="74"/>
      <c r="O2920" s="82">
        <f t="shared" si="135"/>
        <v>0</v>
      </c>
      <c r="P2920" s="82">
        <f t="shared" si="136"/>
        <v>0</v>
      </c>
      <c r="Q2920" s="74"/>
      <c r="R2920" s="76"/>
      <c r="S2920" s="84">
        <f t="shared" si="137"/>
        <v>0</v>
      </c>
    </row>
    <row r="2921" spans="1:19" ht="18" customHeight="1" x14ac:dyDescent="0.25">
      <c r="A2921" s="59"/>
      <c r="B2921" s="60"/>
      <c r="C2921" s="65"/>
      <c r="D2921" s="60"/>
      <c r="E2921" s="59"/>
      <c r="F2921" s="62"/>
      <c r="G2921" s="63"/>
      <c r="H2921" s="64"/>
      <c r="I2921" s="65"/>
      <c r="J2921" s="65"/>
      <c r="K2921" s="65"/>
      <c r="L2921" s="65"/>
      <c r="M2921" s="65"/>
      <c r="N2921" s="65"/>
      <c r="O2921" s="81">
        <f t="shared" si="135"/>
        <v>0</v>
      </c>
      <c r="P2921" s="81">
        <f t="shared" si="136"/>
        <v>0</v>
      </c>
      <c r="Q2921" s="65"/>
      <c r="R2921" s="67"/>
      <c r="S2921" s="83">
        <f t="shared" si="137"/>
        <v>0</v>
      </c>
    </row>
    <row r="2922" spans="1:19" ht="18" customHeight="1" x14ac:dyDescent="0.25">
      <c r="A2922" s="68"/>
      <c r="B2922" s="69"/>
      <c r="C2922" s="74"/>
      <c r="D2922" s="69"/>
      <c r="E2922" s="68"/>
      <c r="F2922" s="71"/>
      <c r="G2922" s="72"/>
      <c r="H2922" s="73"/>
      <c r="I2922" s="74"/>
      <c r="J2922" s="74"/>
      <c r="K2922" s="74"/>
      <c r="L2922" s="74"/>
      <c r="M2922" s="74"/>
      <c r="N2922" s="74"/>
      <c r="O2922" s="82">
        <f t="shared" si="135"/>
        <v>0</v>
      </c>
      <c r="P2922" s="82">
        <f t="shared" si="136"/>
        <v>0</v>
      </c>
      <c r="Q2922" s="74"/>
      <c r="R2922" s="76"/>
      <c r="S2922" s="84">
        <f t="shared" si="137"/>
        <v>0</v>
      </c>
    </row>
    <row r="2923" spans="1:19" ht="18" customHeight="1" x14ac:dyDescent="0.25">
      <c r="A2923" s="59"/>
      <c r="B2923" s="60"/>
      <c r="C2923" s="65"/>
      <c r="D2923" s="60"/>
      <c r="E2923" s="59"/>
      <c r="F2923" s="62"/>
      <c r="G2923" s="63"/>
      <c r="H2923" s="64"/>
      <c r="I2923" s="65"/>
      <c r="J2923" s="65"/>
      <c r="K2923" s="65"/>
      <c r="L2923" s="65"/>
      <c r="M2923" s="65"/>
      <c r="N2923" s="65"/>
      <c r="O2923" s="81">
        <f t="shared" si="135"/>
        <v>0</v>
      </c>
      <c r="P2923" s="81">
        <f t="shared" si="136"/>
        <v>0</v>
      </c>
      <c r="Q2923" s="65"/>
      <c r="R2923" s="67"/>
      <c r="S2923" s="83">
        <f t="shared" si="137"/>
        <v>0</v>
      </c>
    </row>
    <row r="2924" spans="1:19" ht="18" customHeight="1" x14ac:dyDescent="0.25">
      <c r="A2924" s="68"/>
      <c r="B2924" s="69"/>
      <c r="C2924" s="74"/>
      <c r="D2924" s="69"/>
      <c r="E2924" s="68"/>
      <c r="F2924" s="71"/>
      <c r="G2924" s="72"/>
      <c r="H2924" s="73"/>
      <c r="I2924" s="74"/>
      <c r="J2924" s="74"/>
      <c r="K2924" s="74"/>
      <c r="L2924" s="74"/>
      <c r="M2924" s="74"/>
      <c r="N2924" s="74"/>
      <c r="O2924" s="82">
        <f t="shared" si="135"/>
        <v>0</v>
      </c>
      <c r="P2924" s="82">
        <f t="shared" si="136"/>
        <v>0</v>
      </c>
      <c r="Q2924" s="74"/>
      <c r="R2924" s="76"/>
      <c r="S2924" s="84">
        <f t="shared" si="137"/>
        <v>0</v>
      </c>
    </row>
    <row r="2925" spans="1:19" ht="18" customHeight="1" x14ac:dyDescent="0.25">
      <c r="A2925" s="59"/>
      <c r="B2925" s="60"/>
      <c r="C2925" s="65"/>
      <c r="D2925" s="60"/>
      <c r="E2925" s="59"/>
      <c r="F2925" s="62"/>
      <c r="G2925" s="63"/>
      <c r="H2925" s="64"/>
      <c r="I2925" s="65"/>
      <c r="J2925" s="65"/>
      <c r="K2925" s="65"/>
      <c r="L2925" s="65"/>
      <c r="M2925" s="65"/>
      <c r="N2925" s="65"/>
      <c r="O2925" s="81">
        <f t="shared" si="135"/>
        <v>0</v>
      </c>
      <c r="P2925" s="81">
        <f t="shared" si="136"/>
        <v>0</v>
      </c>
      <c r="Q2925" s="65"/>
      <c r="R2925" s="67"/>
      <c r="S2925" s="83">
        <f t="shared" si="137"/>
        <v>0</v>
      </c>
    </row>
    <row r="2926" spans="1:19" ht="18" customHeight="1" x14ac:dyDescent="0.25">
      <c r="A2926" s="68"/>
      <c r="B2926" s="69"/>
      <c r="C2926" s="74"/>
      <c r="D2926" s="69"/>
      <c r="E2926" s="68"/>
      <c r="F2926" s="71"/>
      <c r="G2926" s="72"/>
      <c r="H2926" s="73"/>
      <c r="I2926" s="74"/>
      <c r="J2926" s="74"/>
      <c r="K2926" s="74"/>
      <c r="L2926" s="74"/>
      <c r="M2926" s="74"/>
      <c r="N2926" s="74"/>
      <c r="O2926" s="82">
        <f t="shared" si="135"/>
        <v>0</v>
      </c>
      <c r="P2926" s="82">
        <f t="shared" si="136"/>
        <v>0</v>
      </c>
      <c r="Q2926" s="74"/>
      <c r="R2926" s="76"/>
      <c r="S2926" s="84">
        <f t="shared" si="137"/>
        <v>0</v>
      </c>
    </row>
    <row r="2927" spans="1:19" ht="18" customHeight="1" x14ac:dyDescent="0.25">
      <c r="A2927" s="59"/>
      <c r="B2927" s="60"/>
      <c r="C2927" s="65"/>
      <c r="D2927" s="60"/>
      <c r="E2927" s="59"/>
      <c r="F2927" s="62"/>
      <c r="G2927" s="63"/>
      <c r="H2927" s="64"/>
      <c r="I2927" s="65"/>
      <c r="J2927" s="65"/>
      <c r="K2927" s="65"/>
      <c r="L2927" s="65"/>
      <c r="M2927" s="65"/>
      <c r="N2927" s="65"/>
      <c r="O2927" s="81">
        <f t="shared" si="135"/>
        <v>0</v>
      </c>
      <c r="P2927" s="81">
        <f t="shared" si="136"/>
        <v>0</v>
      </c>
      <c r="Q2927" s="65"/>
      <c r="R2927" s="67"/>
      <c r="S2927" s="83">
        <f t="shared" si="137"/>
        <v>0</v>
      </c>
    </row>
    <row r="2928" spans="1:19" ht="18" customHeight="1" x14ac:dyDescent="0.25">
      <c r="A2928" s="68"/>
      <c r="B2928" s="69"/>
      <c r="C2928" s="74"/>
      <c r="D2928" s="69"/>
      <c r="E2928" s="68"/>
      <c r="F2928" s="71"/>
      <c r="G2928" s="72"/>
      <c r="H2928" s="73"/>
      <c r="I2928" s="74"/>
      <c r="J2928" s="74"/>
      <c r="K2928" s="74"/>
      <c r="L2928" s="74"/>
      <c r="M2928" s="74"/>
      <c r="N2928" s="74"/>
      <c r="O2928" s="82">
        <f t="shared" si="135"/>
        <v>0</v>
      </c>
      <c r="P2928" s="82">
        <f t="shared" si="136"/>
        <v>0</v>
      </c>
      <c r="Q2928" s="74"/>
      <c r="R2928" s="76"/>
      <c r="S2928" s="84">
        <f t="shared" si="137"/>
        <v>0</v>
      </c>
    </row>
    <row r="2929" spans="1:19" ht="18" customHeight="1" x14ac:dyDescent="0.25">
      <c r="A2929" s="59"/>
      <c r="B2929" s="60"/>
      <c r="C2929" s="65"/>
      <c r="D2929" s="60"/>
      <c r="E2929" s="59"/>
      <c r="F2929" s="62"/>
      <c r="G2929" s="63"/>
      <c r="H2929" s="64"/>
      <c r="I2929" s="65"/>
      <c r="J2929" s="65"/>
      <c r="K2929" s="65"/>
      <c r="L2929" s="65"/>
      <c r="M2929" s="65"/>
      <c r="N2929" s="65"/>
      <c r="O2929" s="81">
        <f t="shared" si="135"/>
        <v>0</v>
      </c>
      <c r="P2929" s="81">
        <f t="shared" si="136"/>
        <v>0</v>
      </c>
      <c r="Q2929" s="65"/>
      <c r="R2929" s="67"/>
      <c r="S2929" s="83">
        <f t="shared" si="137"/>
        <v>0</v>
      </c>
    </row>
    <row r="2930" spans="1:19" ht="18" customHeight="1" x14ac:dyDescent="0.25">
      <c r="A2930" s="68"/>
      <c r="B2930" s="69"/>
      <c r="C2930" s="74"/>
      <c r="D2930" s="69"/>
      <c r="E2930" s="68"/>
      <c r="F2930" s="71"/>
      <c r="G2930" s="72"/>
      <c r="H2930" s="73"/>
      <c r="I2930" s="74"/>
      <c r="J2930" s="74"/>
      <c r="K2930" s="74"/>
      <c r="L2930" s="74"/>
      <c r="M2930" s="74"/>
      <c r="N2930" s="74"/>
      <c r="O2930" s="82">
        <f t="shared" si="135"/>
        <v>0</v>
      </c>
      <c r="P2930" s="82">
        <f t="shared" si="136"/>
        <v>0</v>
      </c>
      <c r="Q2930" s="74"/>
      <c r="R2930" s="76"/>
      <c r="S2930" s="84">
        <f t="shared" si="137"/>
        <v>0</v>
      </c>
    </row>
    <row r="2931" spans="1:19" ht="18" customHeight="1" x14ac:dyDescent="0.25">
      <c r="A2931" s="59"/>
      <c r="B2931" s="60"/>
      <c r="C2931" s="65"/>
      <c r="D2931" s="60"/>
      <c r="E2931" s="59"/>
      <c r="F2931" s="62"/>
      <c r="G2931" s="63"/>
      <c r="H2931" s="64"/>
      <c r="I2931" s="65"/>
      <c r="J2931" s="65"/>
      <c r="K2931" s="65"/>
      <c r="L2931" s="65"/>
      <c r="M2931" s="65"/>
      <c r="N2931" s="65"/>
      <c r="O2931" s="81">
        <f t="shared" si="135"/>
        <v>0</v>
      </c>
      <c r="P2931" s="81">
        <f t="shared" si="136"/>
        <v>0</v>
      </c>
      <c r="Q2931" s="65"/>
      <c r="R2931" s="67"/>
      <c r="S2931" s="83">
        <f t="shared" si="137"/>
        <v>0</v>
      </c>
    </row>
    <row r="2932" spans="1:19" ht="18" customHeight="1" x14ac:dyDescent="0.25">
      <c r="A2932" s="68"/>
      <c r="B2932" s="69"/>
      <c r="C2932" s="74"/>
      <c r="D2932" s="69"/>
      <c r="E2932" s="68"/>
      <c r="F2932" s="71"/>
      <c r="G2932" s="72"/>
      <c r="H2932" s="73"/>
      <c r="I2932" s="74"/>
      <c r="J2932" s="74"/>
      <c r="K2932" s="74"/>
      <c r="L2932" s="74"/>
      <c r="M2932" s="74"/>
      <c r="N2932" s="74"/>
      <c r="O2932" s="82">
        <f t="shared" si="135"/>
        <v>0</v>
      </c>
      <c r="P2932" s="82">
        <f t="shared" si="136"/>
        <v>0</v>
      </c>
      <c r="Q2932" s="74"/>
      <c r="R2932" s="76"/>
      <c r="S2932" s="84">
        <f t="shared" si="137"/>
        <v>0</v>
      </c>
    </row>
    <row r="2933" spans="1:19" ht="18" customHeight="1" x14ac:dyDescent="0.25">
      <c r="A2933" s="59"/>
      <c r="B2933" s="60"/>
      <c r="C2933" s="65"/>
      <c r="D2933" s="60"/>
      <c r="E2933" s="59"/>
      <c r="F2933" s="62"/>
      <c r="G2933" s="63"/>
      <c r="H2933" s="64"/>
      <c r="I2933" s="65"/>
      <c r="J2933" s="65"/>
      <c r="K2933" s="65"/>
      <c r="L2933" s="65"/>
      <c r="M2933" s="65"/>
      <c r="N2933" s="65"/>
      <c r="O2933" s="81">
        <f t="shared" si="135"/>
        <v>0</v>
      </c>
      <c r="P2933" s="81">
        <f t="shared" si="136"/>
        <v>0</v>
      </c>
      <c r="Q2933" s="65"/>
      <c r="R2933" s="67"/>
      <c r="S2933" s="83">
        <f t="shared" si="137"/>
        <v>0</v>
      </c>
    </row>
    <row r="2934" spans="1:19" ht="18" customHeight="1" x14ac:dyDescent="0.25">
      <c r="A2934" s="68"/>
      <c r="B2934" s="69"/>
      <c r="C2934" s="74"/>
      <c r="D2934" s="69"/>
      <c r="E2934" s="68"/>
      <c r="F2934" s="71"/>
      <c r="G2934" s="72"/>
      <c r="H2934" s="73"/>
      <c r="I2934" s="74"/>
      <c r="J2934" s="74"/>
      <c r="K2934" s="74"/>
      <c r="L2934" s="74"/>
      <c r="M2934" s="74"/>
      <c r="N2934" s="74"/>
      <c r="O2934" s="82">
        <f t="shared" si="135"/>
        <v>0</v>
      </c>
      <c r="P2934" s="82">
        <f t="shared" si="136"/>
        <v>0</v>
      </c>
      <c r="Q2934" s="74"/>
      <c r="R2934" s="76"/>
      <c r="S2934" s="84">
        <f t="shared" si="137"/>
        <v>0</v>
      </c>
    </row>
    <row r="2935" spans="1:19" ht="18" customHeight="1" x14ac:dyDescent="0.25">
      <c r="A2935" s="59"/>
      <c r="B2935" s="60"/>
      <c r="C2935" s="65"/>
      <c r="D2935" s="60"/>
      <c r="E2935" s="59"/>
      <c r="F2935" s="62"/>
      <c r="G2935" s="63"/>
      <c r="H2935" s="64"/>
      <c r="I2935" s="65"/>
      <c r="J2935" s="65"/>
      <c r="K2935" s="65"/>
      <c r="L2935" s="65"/>
      <c r="M2935" s="65"/>
      <c r="N2935" s="65"/>
      <c r="O2935" s="81">
        <f t="shared" si="135"/>
        <v>0</v>
      </c>
      <c r="P2935" s="81">
        <f t="shared" si="136"/>
        <v>0</v>
      </c>
      <c r="Q2935" s="65"/>
      <c r="R2935" s="67"/>
      <c r="S2935" s="83">
        <f t="shared" si="137"/>
        <v>0</v>
      </c>
    </row>
    <row r="2936" spans="1:19" ht="18" customHeight="1" x14ac:dyDescent="0.25">
      <c r="A2936" s="68"/>
      <c r="B2936" s="69"/>
      <c r="C2936" s="74"/>
      <c r="D2936" s="69"/>
      <c r="E2936" s="68"/>
      <c r="F2936" s="71"/>
      <c r="G2936" s="72"/>
      <c r="H2936" s="73"/>
      <c r="I2936" s="74"/>
      <c r="J2936" s="74"/>
      <c r="K2936" s="74"/>
      <c r="L2936" s="74"/>
      <c r="M2936" s="74"/>
      <c r="N2936" s="74"/>
      <c r="O2936" s="82">
        <f t="shared" si="135"/>
        <v>0</v>
      </c>
      <c r="P2936" s="82">
        <f t="shared" si="136"/>
        <v>0</v>
      </c>
      <c r="Q2936" s="74"/>
      <c r="R2936" s="76"/>
      <c r="S2936" s="84">
        <f t="shared" si="137"/>
        <v>0</v>
      </c>
    </row>
    <row r="2937" spans="1:19" ht="18" customHeight="1" x14ac:dyDescent="0.25">
      <c r="A2937" s="59"/>
      <c r="B2937" s="60"/>
      <c r="C2937" s="65"/>
      <c r="D2937" s="60"/>
      <c r="E2937" s="59"/>
      <c r="F2937" s="62"/>
      <c r="G2937" s="63"/>
      <c r="H2937" s="64"/>
      <c r="I2937" s="65"/>
      <c r="J2937" s="65"/>
      <c r="K2937" s="65"/>
      <c r="L2937" s="65"/>
      <c r="M2937" s="65"/>
      <c r="N2937" s="65"/>
      <c r="O2937" s="81">
        <f t="shared" si="135"/>
        <v>0</v>
      </c>
      <c r="P2937" s="81">
        <f t="shared" si="136"/>
        <v>0</v>
      </c>
      <c r="Q2937" s="65"/>
      <c r="R2937" s="67"/>
      <c r="S2937" s="83">
        <f t="shared" si="137"/>
        <v>0</v>
      </c>
    </row>
    <row r="2938" spans="1:19" ht="18" customHeight="1" x14ac:dyDescent="0.25">
      <c r="A2938" s="68"/>
      <c r="B2938" s="69"/>
      <c r="C2938" s="74"/>
      <c r="D2938" s="69"/>
      <c r="E2938" s="68"/>
      <c r="F2938" s="71"/>
      <c r="G2938" s="72"/>
      <c r="H2938" s="73"/>
      <c r="I2938" s="74"/>
      <c r="J2938" s="74"/>
      <c r="K2938" s="74"/>
      <c r="L2938" s="74"/>
      <c r="M2938" s="74"/>
      <c r="N2938" s="74"/>
      <c r="O2938" s="82">
        <f t="shared" si="135"/>
        <v>0</v>
      </c>
      <c r="P2938" s="82">
        <f t="shared" si="136"/>
        <v>0</v>
      </c>
      <c r="Q2938" s="74"/>
      <c r="R2938" s="76"/>
      <c r="S2938" s="84">
        <f t="shared" si="137"/>
        <v>0</v>
      </c>
    </row>
    <row r="2939" spans="1:19" ht="18" customHeight="1" x14ac:dyDescent="0.25">
      <c r="A2939" s="59"/>
      <c r="B2939" s="60"/>
      <c r="C2939" s="65"/>
      <c r="D2939" s="60"/>
      <c r="E2939" s="59"/>
      <c r="F2939" s="62"/>
      <c r="G2939" s="63"/>
      <c r="H2939" s="64"/>
      <c r="I2939" s="65"/>
      <c r="J2939" s="65"/>
      <c r="K2939" s="65"/>
      <c r="L2939" s="65"/>
      <c r="M2939" s="65"/>
      <c r="N2939" s="65"/>
      <c r="O2939" s="81">
        <f t="shared" si="135"/>
        <v>0</v>
      </c>
      <c r="P2939" s="81">
        <f t="shared" si="136"/>
        <v>0</v>
      </c>
      <c r="Q2939" s="65"/>
      <c r="R2939" s="67"/>
      <c r="S2939" s="83">
        <f t="shared" si="137"/>
        <v>0</v>
      </c>
    </row>
    <row r="2940" spans="1:19" ht="18" customHeight="1" x14ac:dyDescent="0.25">
      <c r="A2940" s="68"/>
      <c r="B2940" s="69"/>
      <c r="C2940" s="74"/>
      <c r="D2940" s="69"/>
      <c r="E2940" s="68"/>
      <c r="F2940" s="71"/>
      <c r="G2940" s="72"/>
      <c r="H2940" s="73"/>
      <c r="I2940" s="74"/>
      <c r="J2940" s="74"/>
      <c r="K2940" s="74"/>
      <c r="L2940" s="74"/>
      <c r="M2940" s="74"/>
      <c r="N2940" s="74"/>
      <c r="O2940" s="82">
        <f t="shared" si="135"/>
        <v>0</v>
      </c>
      <c r="P2940" s="82">
        <f t="shared" si="136"/>
        <v>0</v>
      </c>
      <c r="Q2940" s="74"/>
      <c r="R2940" s="76"/>
      <c r="S2940" s="84">
        <f t="shared" si="137"/>
        <v>0</v>
      </c>
    </row>
    <row r="2941" spans="1:19" ht="18" customHeight="1" x14ac:dyDescent="0.25">
      <c r="A2941" s="59"/>
      <c r="B2941" s="60"/>
      <c r="C2941" s="65"/>
      <c r="D2941" s="60"/>
      <c r="E2941" s="59"/>
      <c r="F2941" s="62"/>
      <c r="G2941" s="63"/>
      <c r="H2941" s="64"/>
      <c r="I2941" s="65"/>
      <c r="J2941" s="65"/>
      <c r="K2941" s="65"/>
      <c r="L2941" s="65"/>
      <c r="M2941" s="65"/>
      <c r="N2941" s="65"/>
      <c r="O2941" s="81">
        <f t="shared" si="135"/>
        <v>0</v>
      </c>
      <c r="P2941" s="81">
        <f t="shared" si="136"/>
        <v>0</v>
      </c>
      <c r="Q2941" s="65"/>
      <c r="R2941" s="67"/>
      <c r="S2941" s="83">
        <f t="shared" si="137"/>
        <v>0</v>
      </c>
    </row>
    <row r="2942" spans="1:19" ht="18" customHeight="1" x14ac:dyDescent="0.25">
      <c r="A2942" s="68"/>
      <c r="B2942" s="69"/>
      <c r="C2942" s="74"/>
      <c r="D2942" s="69"/>
      <c r="E2942" s="68"/>
      <c r="F2942" s="71"/>
      <c r="G2942" s="72"/>
      <c r="H2942" s="73"/>
      <c r="I2942" s="74"/>
      <c r="J2942" s="74"/>
      <c r="K2942" s="74"/>
      <c r="L2942" s="74"/>
      <c r="M2942" s="74"/>
      <c r="N2942" s="74"/>
      <c r="O2942" s="82">
        <f t="shared" si="135"/>
        <v>0</v>
      </c>
      <c r="P2942" s="82">
        <f t="shared" si="136"/>
        <v>0</v>
      </c>
      <c r="Q2942" s="74"/>
      <c r="R2942" s="76"/>
      <c r="S2942" s="84">
        <f t="shared" si="137"/>
        <v>0</v>
      </c>
    </row>
    <row r="2943" spans="1:19" ht="18" customHeight="1" x14ac:dyDescent="0.25">
      <c r="A2943" s="59"/>
      <c r="B2943" s="60"/>
      <c r="C2943" s="65"/>
      <c r="D2943" s="60"/>
      <c r="E2943" s="59"/>
      <c r="F2943" s="62"/>
      <c r="G2943" s="63"/>
      <c r="H2943" s="64"/>
      <c r="I2943" s="65"/>
      <c r="J2943" s="65"/>
      <c r="K2943" s="65"/>
      <c r="L2943" s="65"/>
      <c r="M2943" s="65"/>
      <c r="N2943" s="65"/>
      <c r="O2943" s="81">
        <f t="shared" si="135"/>
        <v>0</v>
      </c>
      <c r="P2943" s="81">
        <f t="shared" si="136"/>
        <v>0</v>
      </c>
      <c r="Q2943" s="65"/>
      <c r="R2943" s="67"/>
      <c r="S2943" s="83">
        <f t="shared" si="137"/>
        <v>0</v>
      </c>
    </row>
    <row r="2944" spans="1:19" ht="18" customHeight="1" x14ac:dyDescent="0.25">
      <c r="A2944" s="68"/>
      <c r="B2944" s="69"/>
      <c r="C2944" s="74"/>
      <c r="D2944" s="69"/>
      <c r="E2944" s="68"/>
      <c r="F2944" s="71"/>
      <c r="G2944" s="72"/>
      <c r="H2944" s="73"/>
      <c r="I2944" s="74"/>
      <c r="J2944" s="74"/>
      <c r="K2944" s="74"/>
      <c r="L2944" s="74"/>
      <c r="M2944" s="74"/>
      <c r="N2944" s="74"/>
      <c r="O2944" s="82">
        <f t="shared" si="135"/>
        <v>0</v>
      </c>
      <c r="P2944" s="82">
        <f t="shared" si="136"/>
        <v>0</v>
      </c>
      <c r="Q2944" s="74"/>
      <c r="R2944" s="76"/>
      <c r="S2944" s="84">
        <f t="shared" si="137"/>
        <v>0</v>
      </c>
    </row>
    <row r="2945" spans="1:19" ht="18" customHeight="1" x14ac:dyDescent="0.25">
      <c r="A2945" s="59"/>
      <c r="B2945" s="60"/>
      <c r="C2945" s="65"/>
      <c r="D2945" s="60"/>
      <c r="E2945" s="59"/>
      <c r="F2945" s="62"/>
      <c r="G2945" s="63"/>
      <c r="H2945" s="64"/>
      <c r="I2945" s="65"/>
      <c r="J2945" s="65"/>
      <c r="K2945" s="65"/>
      <c r="L2945" s="65"/>
      <c r="M2945" s="65"/>
      <c r="N2945" s="65"/>
      <c r="O2945" s="81">
        <f t="shared" si="135"/>
        <v>0</v>
      </c>
      <c r="P2945" s="81">
        <f t="shared" si="136"/>
        <v>0</v>
      </c>
      <c r="Q2945" s="65"/>
      <c r="R2945" s="67"/>
      <c r="S2945" s="83">
        <f t="shared" si="137"/>
        <v>0</v>
      </c>
    </row>
    <row r="2946" spans="1:19" ht="18" customHeight="1" x14ac:dyDescent="0.25">
      <c r="A2946" s="68"/>
      <c r="B2946" s="69"/>
      <c r="C2946" s="74"/>
      <c r="D2946" s="69"/>
      <c r="E2946" s="68"/>
      <c r="F2946" s="71"/>
      <c r="G2946" s="72"/>
      <c r="H2946" s="73"/>
      <c r="I2946" s="74"/>
      <c r="J2946" s="74"/>
      <c r="K2946" s="74"/>
      <c r="L2946" s="74"/>
      <c r="M2946" s="74"/>
      <c r="N2946" s="74"/>
      <c r="O2946" s="82">
        <f t="shared" si="135"/>
        <v>0</v>
      </c>
      <c r="P2946" s="82">
        <f t="shared" si="136"/>
        <v>0</v>
      </c>
      <c r="Q2946" s="74"/>
      <c r="R2946" s="76"/>
      <c r="S2946" s="84">
        <f t="shared" si="137"/>
        <v>0</v>
      </c>
    </row>
    <row r="2947" spans="1:19" ht="18" customHeight="1" x14ac:dyDescent="0.25">
      <c r="A2947" s="59"/>
      <c r="B2947" s="60"/>
      <c r="C2947" s="65"/>
      <c r="D2947" s="60"/>
      <c r="E2947" s="59"/>
      <c r="F2947" s="62"/>
      <c r="G2947" s="63"/>
      <c r="H2947" s="64"/>
      <c r="I2947" s="65"/>
      <c r="J2947" s="65"/>
      <c r="K2947" s="65"/>
      <c r="L2947" s="65"/>
      <c r="M2947" s="65"/>
      <c r="N2947" s="65"/>
      <c r="O2947" s="81">
        <f t="shared" si="135"/>
        <v>0</v>
      </c>
      <c r="P2947" s="81">
        <f t="shared" si="136"/>
        <v>0</v>
      </c>
      <c r="Q2947" s="65"/>
      <c r="R2947" s="67"/>
      <c r="S2947" s="83">
        <f t="shared" si="137"/>
        <v>0</v>
      </c>
    </row>
    <row r="2948" spans="1:19" ht="18" customHeight="1" x14ac:dyDescent="0.25">
      <c r="A2948" s="68"/>
      <c r="B2948" s="69"/>
      <c r="C2948" s="74"/>
      <c r="D2948" s="69"/>
      <c r="E2948" s="68"/>
      <c r="F2948" s="71"/>
      <c r="G2948" s="72"/>
      <c r="H2948" s="73"/>
      <c r="I2948" s="74"/>
      <c r="J2948" s="74"/>
      <c r="K2948" s="74"/>
      <c r="L2948" s="74"/>
      <c r="M2948" s="74"/>
      <c r="N2948" s="74"/>
      <c r="O2948" s="82">
        <f t="shared" si="135"/>
        <v>0</v>
      </c>
      <c r="P2948" s="82">
        <f t="shared" si="136"/>
        <v>0</v>
      </c>
      <c r="Q2948" s="74"/>
      <c r="R2948" s="76"/>
      <c r="S2948" s="84">
        <f t="shared" si="137"/>
        <v>0</v>
      </c>
    </row>
    <row r="2949" spans="1:19" ht="18" customHeight="1" x14ac:dyDescent="0.25">
      <c r="A2949" s="59"/>
      <c r="B2949" s="60"/>
      <c r="C2949" s="65"/>
      <c r="D2949" s="60"/>
      <c r="E2949" s="59"/>
      <c r="F2949" s="62"/>
      <c r="G2949" s="63"/>
      <c r="H2949" s="64"/>
      <c r="I2949" s="65"/>
      <c r="J2949" s="65"/>
      <c r="K2949" s="65"/>
      <c r="L2949" s="65"/>
      <c r="M2949" s="65"/>
      <c r="N2949" s="65"/>
      <c r="O2949" s="81">
        <f t="shared" si="135"/>
        <v>0</v>
      </c>
      <c r="P2949" s="81">
        <f t="shared" si="136"/>
        <v>0</v>
      </c>
      <c r="Q2949" s="65"/>
      <c r="R2949" s="67"/>
      <c r="S2949" s="83">
        <f t="shared" si="137"/>
        <v>0</v>
      </c>
    </row>
    <row r="2950" spans="1:19" ht="18" customHeight="1" x14ac:dyDescent="0.25">
      <c r="A2950" s="68"/>
      <c r="B2950" s="69"/>
      <c r="C2950" s="74"/>
      <c r="D2950" s="69"/>
      <c r="E2950" s="68"/>
      <c r="F2950" s="71"/>
      <c r="G2950" s="72"/>
      <c r="H2950" s="73"/>
      <c r="I2950" s="74"/>
      <c r="J2950" s="74"/>
      <c r="K2950" s="74"/>
      <c r="L2950" s="74"/>
      <c r="M2950" s="74"/>
      <c r="N2950" s="74"/>
      <c r="O2950" s="82" t="e">
        <f>#N/A</f>
        <v>#N/A</v>
      </c>
      <c r="P2950" s="82" t="e">
        <f>#N/A</f>
        <v>#N/A</v>
      </c>
      <c r="Q2950" s="74"/>
      <c r="R2950" s="76"/>
      <c r="S2950" s="84">
        <f t="shared" si="137"/>
        <v>0</v>
      </c>
    </row>
    <row r="2951" spans="1:19" ht="18" customHeight="1" x14ac:dyDescent="0.25">
      <c r="A2951" s="59"/>
      <c r="B2951" s="60"/>
      <c r="C2951" s="65"/>
      <c r="D2951" s="60"/>
      <c r="E2951" s="59"/>
      <c r="F2951" s="62"/>
      <c r="G2951" s="63"/>
      <c r="H2951" s="64"/>
      <c r="I2951" s="65"/>
      <c r="J2951" s="65"/>
      <c r="K2951" s="65"/>
      <c r="L2951" s="65"/>
      <c r="M2951" s="65"/>
      <c r="N2951" s="65"/>
      <c r="O2951" s="81">
        <f t="shared" ref="O2951:O3006" si="138">IF(G2951="Reimbursement ","",I2951+J2951+K2951+L2951+M2951)</f>
        <v>0</v>
      </c>
      <c r="P2951" s="81">
        <f t="shared" ref="P2951:P3006" si="139">IF(G2951="Reimbursement ","",H2951-O2951)</f>
        <v>0</v>
      </c>
      <c r="Q2951" s="65"/>
      <c r="R2951" s="67"/>
      <c r="S2951" s="83">
        <f t="shared" ref="S2951:S3006" si="140">IF(OR(R2951="",Q2951=""),0,IF(R2951&gt;Q2951,R2951-Q2951,0))</f>
        <v>0</v>
      </c>
    </row>
    <row r="2952" spans="1:19" ht="18" customHeight="1" x14ac:dyDescent="0.25">
      <c r="A2952" s="68"/>
      <c r="B2952" s="69"/>
      <c r="C2952" s="74"/>
      <c r="D2952" s="69"/>
      <c r="E2952" s="68"/>
      <c r="F2952" s="71"/>
      <c r="G2952" s="72"/>
      <c r="H2952" s="73"/>
      <c r="I2952" s="74"/>
      <c r="J2952" s="74"/>
      <c r="K2952" s="74"/>
      <c r="L2952" s="74"/>
      <c r="M2952" s="74"/>
      <c r="N2952" s="74"/>
      <c r="O2952" s="82">
        <f t="shared" si="138"/>
        <v>0</v>
      </c>
      <c r="P2952" s="82">
        <f t="shared" si="139"/>
        <v>0</v>
      </c>
      <c r="Q2952" s="74"/>
      <c r="R2952" s="76"/>
      <c r="S2952" s="84">
        <f t="shared" si="140"/>
        <v>0</v>
      </c>
    </row>
    <row r="2953" spans="1:19" ht="18" customHeight="1" x14ac:dyDescent="0.25">
      <c r="A2953" s="59"/>
      <c r="B2953" s="60"/>
      <c r="C2953" s="65"/>
      <c r="D2953" s="60"/>
      <c r="E2953" s="59"/>
      <c r="F2953" s="62"/>
      <c r="G2953" s="63"/>
      <c r="H2953" s="64"/>
      <c r="I2953" s="65"/>
      <c r="J2953" s="65"/>
      <c r="K2953" s="65"/>
      <c r="L2953" s="65"/>
      <c r="M2953" s="65"/>
      <c r="N2953" s="65"/>
      <c r="O2953" s="81">
        <f t="shared" si="138"/>
        <v>0</v>
      </c>
      <c r="P2953" s="81">
        <f t="shared" si="139"/>
        <v>0</v>
      </c>
      <c r="Q2953" s="65"/>
      <c r="R2953" s="67"/>
      <c r="S2953" s="83">
        <f t="shared" si="140"/>
        <v>0</v>
      </c>
    </row>
    <row r="2954" spans="1:19" ht="18" customHeight="1" x14ac:dyDescent="0.25">
      <c r="A2954" s="68"/>
      <c r="B2954" s="69"/>
      <c r="C2954" s="74"/>
      <c r="D2954" s="69"/>
      <c r="E2954" s="68"/>
      <c r="F2954" s="71"/>
      <c r="G2954" s="72"/>
      <c r="H2954" s="73"/>
      <c r="I2954" s="74"/>
      <c r="J2954" s="74"/>
      <c r="K2954" s="74"/>
      <c r="L2954" s="74"/>
      <c r="M2954" s="74"/>
      <c r="N2954" s="74"/>
      <c r="O2954" s="82">
        <f t="shared" si="138"/>
        <v>0</v>
      </c>
      <c r="P2954" s="82">
        <f t="shared" si="139"/>
        <v>0</v>
      </c>
      <c r="Q2954" s="74"/>
      <c r="R2954" s="76"/>
      <c r="S2954" s="84">
        <f t="shared" si="140"/>
        <v>0</v>
      </c>
    </row>
    <row r="2955" spans="1:19" ht="18" customHeight="1" x14ac:dyDescent="0.25">
      <c r="A2955" s="59"/>
      <c r="B2955" s="60"/>
      <c r="C2955" s="65"/>
      <c r="D2955" s="60"/>
      <c r="E2955" s="59"/>
      <c r="F2955" s="62"/>
      <c r="G2955" s="63"/>
      <c r="H2955" s="64"/>
      <c r="I2955" s="65"/>
      <c r="J2955" s="65"/>
      <c r="K2955" s="65"/>
      <c r="L2955" s="65"/>
      <c r="M2955" s="65"/>
      <c r="N2955" s="65"/>
      <c r="O2955" s="81">
        <f t="shared" si="138"/>
        <v>0</v>
      </c>
      <c r="P2955" s="81">
        <f t="shared" si="139"/>
        <v>0</v>
      </c>
      <c r="Q2955" s="65"/>
      <c r="R2955" s="67"/>
      <c r="S2955" s="83">
        <f t="shared" si="140"/>
        <v>0</v>
      </c>
    </row>
    <row r="2956" spans="1:19" ht="18" customHeight="1" x14ac:dyDescent="0.25">
      <c r="A2956" s="68"/>
      <c r="B2956" s="69"/>
      <c r="C2956" s="74"/>
      <c r="D2956" s="69"/>
      <c r="E2956" s="68"/>
      <c r="F2956" s="71"/>
      <c r="G2956" s="72"/>
      <c r="H2956" s="73"/>
      <c r="I2956" s="74"/>
      <c r="J2956" s="74"/>
      <c r="K2956" s="74"/>
      <c r="L2956" s="74"/>
      <c r="M2956" s="74"/>
      <c r="N2956" s="74"/>
      <c r="O2956" s="82">
        <f t="shared" si="138"/>
        <v>0</v>
      </c>
      <c r="P2956" s="82">
        <f t="shared" si="139"/>
        <v>0</v>
      </c>
      <c r="Q2956" s="74"/>
      <c r="R2956" s="76"/>
      <c r="S2956" s="84">
        <f t="shared" si="140"/>
        <v>0</v>
      </c>
    </row>
    <row r="2957" spans="1:19" ht="18" customHeight="1" x14ac:dyDescent="0.25">
      <c r="A2957" s="59"/>
      <c r="B2957" s="60"/>
      <c r="C2957" s="65"/>
      <c r="D2957" s="60"/>
      <c r="E2957" s="59"/>
      <c r="F2957" s="62"/>
      <c r="G2957" s="63"/>
      <c r="H2957" s="64"/>
      <c r="I2957" s="65"/>
      <c r="J2957" s="65"/>
      <c r="K2957" s="65"/>
      <c r="L2957" s="65"/>
      <c r="M2957" s="65"/>
      <c r="N2957" s="65"/>
      <c r="O2957" s="81">
        <f t="shared" si="138"/>
        <v>0</v>
      </c>
      <c r="P2957" s="81">
        <f t="shared" si="139"/>
        <v>0</v>
      </c>
      <c r="Q2957" s="65"/>
      <c r="R2957" s="67"/>
      <c r="S2957" s="83">
        <f t="shared" si="140"/>
        <v>0</v>
      </c>
    </row>
    <row r="2958" spans="1:19" ht="18" customHeight="1" x14ac:dyDescent="0.25">
      <c r="A2958" s="68"/>
      <c r="B2958" s="69"/>
      <c r="C2958" s="74"/>
      <c r="D2958" s="69"/>
      <c r="E2958" s="68"/>
      <c r="F2958" s="71"/>
      <c r="G2958" s="72"/>
      <c r="H2958" s="73"/>
      <c r="I2958" s="74"/>
      <c r="J2958" s="74"/>
      <c r="K2958" s="74"/>
      <c r="L2958" s="74"/>
      <c r="M2958" s="74"/>
      <c r="N2958" s="74"/>
      <c r="O2958" s="82">
        <f t="shared" si="138"/>
        <v>0</v>
      </c>
      <c r="P2958" s="82">
        <f t="shared" si="139"/>
        <v>0</v>
      </c>
      <c r="Q2958" s="74"/>
      <c r="R2958" s="76"/>
      <c r="S2958" s="84">
        <f t="shared" si="140"/>
        <v>0</v>
      </c>
    </row>
    <row r="2959" spans="1:19" ht="18" customHeight="1" x14ac:dyDescent="0.25">
      <c r="A2959" s="59"/>
      <c r="B2959" s="60"/>
      <c r="C2959" s="65"/>
      <c r="D2959" s="60"/>
      <c r="E2959" s="59"/>
      <c r="F2959" s="62"/>
      <c r="G2959" s="63"/>
      <c r="H2959" s="64"/>
      <c r="I2959" s="65"/>
      <c r="J2959" s="65"/>
      <c r="K2959" s="65"/>
      <c r="L2959" s="65"/>
      <c r="M2959" s="65"/>
      <c r="N2959" s="65"/>
      <c r="O2959" s="81">
        <f t="shared" si="138"/>
        <v>0</v>
      </c>
      <c r="P2959" s="81">
        <f t="shared" si="139"/>
        <v>0</v>
      </c>
      <c r="Q2959" s="65"/>
      <c r="R2959" s="67"/>
      <c r="S2959" s="83">
        <f t="shared" si="140"/>
        <v>0</v>
      </c>
    </row>
    <row r="2960" spans="1:19" ht="18" customHeight="1" x14ac:dyDescent="0.25">
      <c r="A2960" s="68"/>
      <c r="B2960" s="69"/>
      <c r="C2960" s="74"/>
      <c r="D2960" s="69"/>
      <c r="E2960" s="68"/>
      <c r="F2960" s="71"/>
      <c r="G2960" s="72"/>
      <c r="H2960" s="73"/>
      <c r="I2960" s="74"/>
      <c r="J2960" s="74"/>
      <c r="K2960" s="74"/>
      <c r="L2960" s="74"/>
      <c r="M2960" s="74"/>
      <c r="N2960" s="74"/>
      <c r="O2960" s="82">
        <f t="shared" si="138"/>
        <v>0</v>
      </c>
      <c r="P2960" s="82">
        <f t="shared" si="139"/>
        <v>0</v>
      </c>
      <c r="Q2960" s="74"/>
      <c r="R2960" s="76"/>
      <c r="S2960" s="84">
        <f t="shared" si="140"/>
        <v>0</v>
      </c>
    </row>
    <row r="2961" spans="1:19" ht="18" customHeight="1" x14ac:dyDescent="0.25">
      <c r="A2961" s="59"/>
      <c r="B2961" s="60"/>
      <c r="C2961" s="65"/>
      <c r="D2961" s="60"/>
      <c r="E2961" s="59"/>
      <c r="F2961" s="62"/>
      <c r="G2961" s="63"/>
      <c r="H2961" s="64"/>
      <c r="I2961" s="65"/>
      <c r="J2961" s="65"/>
      <c r="K2961" s="65"/>
      <c r="L2961" s="65"/>
      <c r="M2961" s="65"/>
      <c r="N2961" s="65"/>
      <c r="O2961" s="81">
        <f t="shared" si="138"/>
        <v>0</v>
      </c>
      <c r="P2961" s="81">
        <f t="shared" si="139"/>
        <v>0</v>
      </c>
      <c r="Q2961" s="65"/>
      <c r="R2961" s="67"/>
      <c r="S2961" s="83">
        <f t="shared" si="140"/>
        <v>0</v>
      </c>
    </row>
    <row r="2962" spans="1:19" ht="18" customHeight="1" x14ac:dyDescent="0.25">
      <c r="A2962" s="68"/>
      <c r="B2962" s="69"/>
      <c r="C2962" s="74"/>
      <c r="D2962" s="69"/>
      <c r="E2962" s="68"/>
      <c r="F2962" s="71"/>
      <c r="G2962" s="72"/>
      <c r="H2962" s="73"/>
      <c r="I2962" s="74"/>
      <c r="J2962" s="74"/>
      <c r="K2962" s="74"/>
      <c r="L2962" s="74"/>
      <c r="M2962" s="74"/>
      <c r="N2962" s="74"/>
      <c r="O2962" s="82">
        <f t="shared" si="138"/>
        <v>0</v>
      </c>
      <c r="P2962" s="82">
        <f t="shared" si="139"/>
        <v>0</v>
      </c>
      <c r="Q2962" s="74"/>
      <c r="R2962" s="76"/>
      <c r="S2962" s="84">
        <f t="shared" si="140"/>
        <v>0</v>
      </c>
    </row>
    <row r="2963" spans="1:19" ht="18" customHeight="1" x14ac:dyDescent="0.25">
      <c r="A2963" s="59"/>
      <c r="B2963" s="60"/>
      <c r="C2963" s="65"/>
      <c r="D2963" s="60"/>
      <c r="E2963" s="59"/>
      <c r="F2963" s="62"/>
      <c r="G2963" s="63"/>
      <c r="H2963" s="64"/>
      <c r="I2963" s="65"/>
      <c r="J2963" s="65"/>
      <c r="K2963" s="65"/>
      <c r="L2963" s="65"/>
      <c r="M2963" s="65"/>
      <c r="N2963" s="65"/>
      <c r="O2963" s="81">
        <f t="shared" si="138"/>
        <v>0</v>
      </c>
      <c r="P2963" s="81">
        <f t="shared" si="139"/>
        <v>0</v>
      </c>
      <c r="Q2963" s="65"/>
      <c r="R2963" s="67"/>
      <c r="S2963" s="83">
        <f t="shared" si="140"/>
        <v>0</v>
      </c>
    </row>
    <row r="2964" spans="1:19" ht="18" customHeight="1" x14ac:dyDescent="0.25">
      <c r="A2964" s="68"/>
      <c r="B2964" s="69"/>
      <c r="C2964" s="74"/>
      <c r="D2964" s="69"/>
      <c r="E2964" s="68"/>
      <c r="F2964" s="71"/>
      <c r="G2964" s="72"/>
      <c r="H2964" s="73"/>
      <c r="I2964" s="74"/>
      <c r="J2964" s="74"/>
      <c r="K2964" s="74"/>
      <c r="L2964" s="74"/>
      <c r="M2964" s="74"/>
      <c r="N2964" s="74"/>
      <c r="O2964" s="82">
        <f t="shared" si="138"/>
        <v>0</v>
      </c>
      <c r="P2964" s="82">
        <f t="shared" si="139"/>
        <v>0</v>
      </c>
      <c r="Q2964" s="74"/>
      <c r="R2964" s="76"/>
      <c r="S2964" s="84">
        <f t="shared" si="140"/>
        <v>0</v>
      </c>
    </row>
    <row r="2965" spans="1:19" ht="18" customHeight="1" x14ac:dyDescent="0.25">
      <c r="A2965" s="59"/>
      <c r="B2965" s="60"/>
      <c r="C2965" s="65"/>
      <c r="D2965" s="60"/>
      <c r="E2965" s="59"/>
      <c r="F2965" s="62"/>
      <c r="G2965" s="63"/>
      <c r="H2965" s="64"/>
      <c r="I2965" s="65"/>
      <c r="J2965" s="65"/>
      <c r="K2965" s="65"/>
      <c r="L2965" s="65"/>
      <c r="M2965" s="65"/>
      <c r="N2965" s="65"/>
      <c r="O2965" s="81">
        <f t="shared" si="138"/>
        <v>0</v>
      </c>
      <c r="P2965" s="81">
        <f t="shared" si="139"/>
        <v>0</v>
      </c>
      <c r="Q2965" s="65"/>
      <c r="R2965" s="67"/>
      <c r="S2965" s="83">
        <f t="shared" si="140"/>
        <v>0</v>
      </c>
    </row>
    <row r="2966" spans="1:19" ht="18" customHeight="1" x14ac:dyDescent="0.25">
      <c r="A2966" s="68"/>
      <c r="B2966" s="69"/>
      <c r="C2966" s="74"/>
      <c r="D2966" s="69"/>
      <c r="E2966" s="68"/>
      <c r="F2966" s="71"/>
      <c r="G2966" s="72"/>
      <c r="H2966" s="73"/>
      <c r="I2966" s="74"/>
      <c r="J2966" s="74"/>
      <c r="K2966" s="74"/>
      <c r="L2966" s="74"/>
      <c r="M2966" s="74"/>
      <c r="N2966" s="74"/>
      <c r="O2966" s="82">
        <f t="shared" si="138"/>
        <v>0</v>
      </c>
      <c r="P2966" s="82">
        <f t="shared" si="139"/>
        <v>0</v>
      </c>
      <c r="Q2966" s="74"/>
      <c r="R2966" s="76"/>
      <c r="S2966" s="84">
        <f t="shared" si="140"/>
        <v>0</v>
      </c>
    </row>
    <row r="2967" spans="1:19" ht="18" customHeight="1" x14ac:dyDescent="0.25">
      <c r="A2967" s="59"/>
      <c r="B2967" s="60"/>
      <c r="C2967" s="65"/>
      <c r="D2967" s="60"/>
      <c r="E2967" s="59"/>
      <c r="F2967" s="62"/>
      <c r="G2967" s="63"/>
      <c r="H2967" s="64"/>
      <c r="I2967" s="65"/>
      <c r="J2967" s="65"/>
      <c r="K2967" s="65"/>
      <c r="L2967" s="65"/>
      <c r="M2967" s="65"/>
      <c r="N2967" s="65"/>
      <c r="O2967" s="81">
        <f t="shared" si="138"/>
        <v>0</v>
      </c>
      <c r="P2967" s="81">
        <f t="shared" si="139"/>
        <v>0</v>
      </c>
      <c r="Q2967" s="65"/>
      <c r="R2967" s="67"/>
      <c r="S2967" s="83">
        <f t="shared" si="140"/>
        <v>0</v>
      </c>
    </row>
    <row r="2968" spans="1:19" ht="18" customHeight="1" x14ac:dyDescent="0.25">
      <c r="A2968" s="68"/>
      <c r="B2968" s="69"/>
      <c r="C2968" s="74"/>
      <c r="D2968" s="69"/>
      <c r="E2968" s="68"/>
      <c r="F2968" s="71"/>
      <c r="G2968" s="72"/>
      <c r="H2968" s="73"/>
      <c r="I2968" s="74"/>
      <c r="J2968" s="74"/>
      <c r="K2968" s="74"/>
      <c r="L2968" s="74"/>
      <c r="M2968" s="74"/>
      <c r="N2968" s="74"/>
      <c r="O2968" s="82">
        <f t="shared" si="138"/>
        <v>0</v>
      </c>
      <c r="P2968" s="82">
        <f t="shared" si="139"/>
        <v>0</v>
      </c>
      <c r="Q2968" s="74"/>
      <c r="R2968" s="76"/>
      <c r="S2968" s="84">
        <f t="shared" si="140"/>
        <v>0</v>
      </c>
    </row>
    <row r="2969" spans="1:19" ht="18" customHeight="1" x14ac:dyDescent="0.25">
      <c r="A2969" s="59"/>
      <c r="B2969" s="60"/>
      <c r="C2969" s="65"/>
      <c r="D2969" s="60"/>
      <c r="E2969" s="59"/>
      <c r="F2969" s="62"/>
      <c r="G2969" s="63"/>
      <c r="H2969" s="64"/>
      <c r="I2969" s="65"/>
      <c r="J2969" s="65"/>
      <c r="K2969" s="65"/>
      <c r="L2969" s="65"/>
      <c r="M2969" s="65"/>
      <c r="N2969" s="65"/>
      <c r="O2969" s="81">
        <f t="shared" si="138"/>
        <v>0</v>
      </c>
      <c r="P2969" s="81">
        <f t="shared" si="139"/>
        <v>0</v>
      </c>
      <c r="Q2969" s="65"/>
      <c r="R2969" s="67"/>
      <c r="S2969" s="83">
        <f t="shared" si="140"/>
        <v>0</v>
      </c>
    </row>
    <row r="2970" spans="1:19" ht="18" customHeight="1" x14ac:dyDescent="0.25">
      <c r="A2970" s="68"/>
      <c r="B2970" s="69"/>
      <c r="C2970" s="74"/>
      <c r="D2970" s="69"/>
      <c r="E2970" s="68"/>
      <c r="F2970" s="71"/>
      <c r="G2970" s="72"/>
      <c r="H2970" s="73"/>
      <c r="I2970" s="74"/>
      <c r="J2970" s="74"/>
      <c r="K2970" s="74"/>
      <c r="L2970" s="74"/>
      <c r="M2970" s="74"/>
      <c r="N2970" s="74"/>
      <c r="O2970" s="82">
        <f t="shared" si="138"/>
        <v>0</v>
      </c>
      <c r="P2970" s="82">
        <f t="shared" si="139"/>
        <v>0</v>
      </c>
      <c r="Q2970" s="74"/>
      <c r="R2970" s="76"/>
      <c r="S2970" s="84">
        <f t="shared" si="140"/>
        <v>0</v>
      </c>
    </row>
    <row r="2971" spans="1:19" ht="18" customHeight="1" x14ac:dyDescent="0.25">
      <c r="A2971" s="59"/>
      <c r="B2971" s="60"/>
      <c r="C2971" s="65"/>
      <c r="D2971" s="60"/>
      <c r="E2971" s="59"/>
      <c r="F2971" s="62"/>
      <c r="G2971" s="63"/>
      <c r="H2971" s="64"/>
      <c r="I2971" s="65"/>
      <c r="J2971" s="65"/>
      <c r="K2971" s="65"/>
      <c r="L2971" s="65"/>
      <c r="M2971" s="65"/>
      <c r="N2971" s="65"/>
      <c r="O2971" s="81">
        <f t="shared" si="138"/>
        <v>0</v>
      </c>
      <c r="P2971" s="81">
        <f t="shared" si="139"/>
        <v>0</v>
      </c>
      <c r="Q2971" s="65"/>
      <c r="R2971" s="67"/>
      <c r="S2971" s="83">
        <f t="shared" si="140"/>
        <v>0</v>
      </c>
    </row>
    <row r="2972" spans="1:19" ht="18" customHeight="1" x14ac:dyDescent="0.25">
      <c r="A2972" s="68"/>
      <c r="B2972" s="69"/>
      <c r="C2972" s="74"/>
      <c r="D2972" s="69"/>
      <c r="E2972" s="68"/>
      <c r="F2972" s="71"/>
      <c r="G2972" s="72"/>
      <c r="H2972" s="73"/>
      <c r="I2972" s="74"/>
      <c r="J2972" s="74"/>
      <c r="K2972" s="74"/>
      <c r="L2972" s="74"/>
      <c r="M2972" s="74"/>
      <c r="N2972" s="74"/>
      <c r="O2972" s="82">
        <f t="shared" si="138"/>
        <v>0</v>
      </c>
      <c r="P2972" s="82">
        <f t="shared" si="139"/>
        <v>0</v>
      </c>
      <c r="Q2972" s="74"/>
      <c r="R2972" s="76"/>
      <c r="S2972" s="84">
        <f t="shared" si="140"/>
        <v>0</v>
      </c>
    </row>
    <row r="2973" spans="1:19" ht="18" customHeight="1" x14ac:dyDescent="0.25">
      <c r="A2973" s="59"/>
      <c r="B2973" s="60"/>
      <c r="C2973" s="65"/>
      <c r="D2973" s="60"/>
      <c r="E2973" s="59"/>
      <c r="F2973" s="62"/>
      <c r="G2973" s="63"/>
      <c r="H2973" s="64"/>
      <c r="I2973" s="65"/>
      <c r="J2973" s="65"/>
      <c r="K2973" s="65"/>
      <c r="L2973" s="65"/>
      <c r="M2973" s="65"/>
      <c r="N2973" s="65"/>
      <c r="O2973" s="81">
        <f t="shared" si="138"/>
        <v>0</v>
      </c>
      <c r="P2973" s="81">
        <f t="shared" si="139"/>
        <v>0</v>
      </c>
      <c r="Q2973" s="65"/>
      <c r="R2973" s="67"/>
      <c r="S2973" s="83">
        <f t="shared" si="140"/>
        <v>0</v>
      </c>
    </row>
    <row r="2974" spans="1:19" ht="18" customHeight="1" x14ac:dyDescent="0.25">
      <c r="A2974" s="68"/>
      <c r="B2974" s="69"/>
      <c r="C2974" s="74"/>
      <c r="D2974" s="69"/>
      <c r="E2974" s="68"/>
      <c r="F2974" s="71"/>
      <c r="G2974" s="72"/>
      <c r="H2974" s="73"/>
      <c r="I2974" s="74"/>
      <c r="J2974" s="74"/>
      <c r="K2974" s="74"/>
      <c r="L2974" s="74"/>
      <c r="M2974" s="74"/>
      <c r="N2974" s="74"/>
      <c r="O2974" s="82">
        <f t="shared" si="138"/>
        <v>0</v>
      </c>
      <c r="P2974" s="82">
        <f t="shared" si="139"/>
        <v>0</v>
      </c>
      <c r="Q2974" s="74"/>
      <c r="R2974" s="76"/>
      <c r="S2974" s="84">
        <f t="shared" si="140"/>
        <v>0</v>
      </c>
    </row>
    <row r="2975" spans="1:19" ht="18" customHeight="1" x14ac:dyDescent="0.25">
      <c r="A2975" s="59"/>
      <c r="B2975" s="60"/>
      <c r="C2975" s="65"/>
      <c r="D2975" s="60"/>
      <c r="E2975" s="59"/>
      <c r="F2975" s="62"/>
      <c r="G2975" s="63"/>
      <c r="H2975" s="64"/>
      <c r="I2975" s="65"/>
      <c r="J2975" s="65"/>
      <c r="K2975" s="65"/>
      <c r="L2975" s="65"/>
      <c r="M2975" s="65"/>
      <c r="N2975" s="65"/>
      <c r="O2975" s="81">
        <f t="shared" si="138"/>
        <v>0</v>
      </c>
      <c r="P2975" s="81">
        <f t="shared" si="139"/>
        <v>0</v>
      </c>
      <c r="Q2975" s="65"/>
      <c r="R2975" s="67"/>
      <c r="S2975" s="83">
        <f t="shared" si="140"/>
        <v>0</v>
      </c>
    </row>
    <row r="2976" spans="1:19" ht="18" customHeight="1" x14ac:dyDescent="0.25">
      <c r="A2976" s="68"/>
      <c r="B2976" s="69"/>
      <c r="C2976" s="74"/>
      <c r="D2976" s="69"/>
      <c r="E2976" s="68"/>
      <c r="F2976" s="71"/>
      <c r="G2976" s="72"/>
      <c r="H2976" s="73"/>
      <c r="I2976" s="74"/>
      <c r="J2976" s="74"/>
      <c r="K2976" s="74"/>
      <c r="L2976" s="74"/>
      <c r="M2976" s="74"/>
      <c r="N2976" s="74"/>
      <c r="O2976" s="82">
        <f t="shared" si="138"/>
        <v>0</v>
      </c>
      <c r="P2976" s="82">
        <f t="shared" si="139"/>
        <v>0</v>
      </c>
      <c r="Q2976" s="74"/>
      <c r="R2976" s="76"/>
      <c r="S2976" s="84">
        <f t="shared" si="140"/>
        <v>0</v>
      </c>
    </row>
    <row r="2977" spans="1:19" ht="18" customHeight="1" x14ac:dyDescent="0.25">
      <c r="A2977" s="59"/>
      <c r="B2977" s="60"/>
      <c r="C2977" s="65"/>
      <c r="D2977" s="60"/>
      <c r="E2977" s="59"/>
      <c r="F2977" s="62"/>
      <c r="G2977" s="63"/>
      <c r="H2977" s="64"/>
      <c r="I2977" s="65"/>
      <c r="J2977" s="65"/>
      <c r="K2977" s="65"/>
      <c r="L2977" s="65"/>
      <c r="M2977" s="65"/>
      <c r="N2977" s="65"/>
      <c r="O2977" s="81">
        <f t="shared" si="138"/>
        <v>0</v>
      </c>
      <c r="P2977" s="81">
        <f t="shared" si="139"/>
        <v>0</v>
      </c>
      <c r="Q2977" s="65"/>
      <c r="R2977" s="67"/>
      <c r="S2977" s="83">
        <f t="shared" si="140"/>
        <v>0</v>
      </c>
    </row>
    <row r="2978" spans="1:19" ht="18" customHeight="1" x14ac:dyDescent="0.25">
      <c r="A2978" s="68"/>
      <c r="B2978" s="69"/>
      <c r="C2978" s="74"/>
      <c r="D2978" s="69"/>
      <c r="E2978" s="68"/>
      <c r="F2978" s="71"/>
      <c r="G2978" s="72"/>
      <c r="H2978" s="73"/>
      <c r="I2978" s="74"/>
      <c r="J2978" s="74"/>
      <c r="K2978" s="74"/>
      <c r="L2978" s="74"/>
      <c r="M2978" s="74"/>
      <c r="N2978" s="74"/>
      <c r="O2978" s="82">
        <f t="shared" si="138"/>
        <v>0</v>
      </c>
      <c r="P2978" s="82">
        <f t="shared" si="139"/>
        <v>0</v>
      </c>
      <c r="Q2978" s="74"/>
      <c r="R2978" s="76"/>
      <c r="S2978" s="84">
        <f t="shared" si="140"/>
        <v>0</v>
      </c>
    </row>
    <row r="2979" spans="1:19" ht="18" customHeight="1" x14ac:dyDescent="0.25">
      <c r="A2979" s="59"/>
      <c r="B2979" s="60"/>
      <c r="C2979" s="65"/>
      <c r="D2979" s="60"/>
      <c r="E2979" s="59"/>
      <c r="F2979" s="62"/>
      <c r="G2979" s="63"/>
      <c r="H2979" s="64"/>
      <c r="I2979" s="65"/>
      <c r="J2979" s="65"/>
      <c r="K2979" s="65"/>
      <c r="L2979" s="65"/>
      <c r="M2979" s="65"/>
      <c r="N2979" s="65"/>
      <c r="O2979" s="81">
        <f t="shared" si="138"/>
        <v>0</v>
      </c>
      <c r="P2979" s="81">
        <f t="shared" si="139"/>
        <v>0</v>
      </c>
      <c r="Q2979" s="65"/>
      <c r="R2979" s="67"/>
      <c r="S2979" s="83">
        <f t="shared" si="140"/>
        <v>0</v>
      </c>
    </row>
    <row r="2980" spans="1:19" ht="18" customHeight="1" x14ac:dyDescent="0.25">
      <c r="A2980" s="68"/>
      <c r="B2980" s="69"/>
      <c r="C2980" s="74"/>
      <c r="D2980" s="69"/>
      <c r="E2980" s="68"/>
      <c r="F2980" s="71"/>
      <c r="G2980" s="72"/>
      <c r="H2980" s="73"/>
      <c r="I2980" s="74"/>
      <c r="J2980" s="74"/>
      <c r="K2980" s="74"/>
      <c r="L2980" s="74"/>
      <c r="M2980" s="74"/>
      <c r="N2980" s="74"/>
      <c r="O2980" s="82">
        <f t="shared" si="138"/>
        <v>0</v>
      </c>
      <c r="P2980" s="82">
        <f t="shared" si="139"/>
        <v>0</v>
      </c>
      <c r="Q2980" s="74"/>
      <c r="R2980" s="76"/>
      <c r="S2980" s="84">
        <f t="shared" si="140"/>
        <v>0</v>
      </c>
    </row>
    <row r="2981" spans="1:19" ht="18" customHeight="1" x14ac:dyDescent="0.25">
      <c r="A2981" s="59"/>
      <c r="B2981" s="60"/>
      <c r="C2981" s="65"/>
      <c r="D2981" s="60"/>
      <c r="E2981" s="59"/>
      <c r="F2981" s="62"/>
      <c r="G2981" s="63"/>
      <c r="H2981" s="64"/>
      <c r="I2981" s="65"/>
      <c r="J2981" s="65"/>
      <c r="K2981" s="65"/>
      <c r="L2981" s="65"/>
      <c r="M2981" s="65"/>
      <c r="N2981" s="65"/>
      <c r="O2981" s="81">
        <f t="shared" si="138"/>
        <v>0</v>
      </c>
      <c r="P2981" s="81">
        <f t="shared" si="139"/>
        <v>0</v>
      </c>
      <c r="Q2981" s="65"/>
      <c r="R2981" s="67"/>
      <c r="S2981" s="83">
        <f t="shared" si="140"/>
        <v>0</v>
      </c>
    </row>
    <row r="2982" spans="1:19" ht="18" customHeight="1" x14ac:dyDescent="0.25">
      <c r="A2982" s="68"/>
      <c r="B2982" s="69"/>
      <c r="C2982" s="74"/>
      <c r="D2982" s="69"/>
      <c r="E2982" s="68"/>
      <c r="F2982" s="71"/>
      <c r="G2982" s="72"/>
      <c r="H2982" s="73"/>
      <c r="I2982" s="74"/>
      <c r="J2982" s="74"/>
      <c r="K2982" s="74"/>
      <c r="L2982" s="74"/>
      <c r="M2982" s="74"/>
      <c r="N2982" s="74"/>
      <c r="O2982" s="82">
        <f t="shared" si="138"/>
        <v>0</v>
      </c>
      <c r="P2982" s="82">
        <f t="shared" si="139"/>
        <v>0</v>
      </c>
      <c r="Q2982" s="74"/>
      <c r="R2982" s="76"/>
      <c r="S2982" s="84">
        <f t="shared" si="140"/>
        <v>0</v>
      </c>
    </row>
    <row r="2983" spans="1:19" ht="18" customHeight="1" x14ac:dyDescent="0.25">
      <c r="A2983" s="59"/>
      <c r="B2983" s="60"/>
      <c r="C2983" s="65"/>
      <c r="D2983" s="60"/>
      <c r="E2983" s="59"/>
      <c r="F2983" s="62"/>
      <c r="G2983" s="63"/>
      <c r="H2983" s="64"/>
      <c r="I2983" s="65"/>
      <c r="J2983" s="65"/>
      <c r="K2983" s="65"/>
      <c r="L2983" s="65"/>
      <c r="M2983" s="65"/>
      <c r="N2983" s="65"/>
      <c r="O2983" s="81">
        <f t="shared" si="138"/>
        <v>0</v>
      </c>
      <c r="P2983" s="81">
        <f t="shared" si="139"/>
        <v>0</v>
      </c>
      <c r="Q2983" s="65"/>
      <c r="R2983" s="67"/>
      <c r="S2983" s="83">
        <f t="shared" si="140"/>
        <v>0</v>
      </c>
    </row>
    <row r="2984" spans="1:19" ht="18" customHeight="1" x14ac:dyDescent="0.25">
      <c r="A2984" s="68"/>
      <c r="B2984" s="69"/>
      <c r="C2984" s="74"/>
      <c r="D2984" s="69"/>
      <c r="E2984" s="68"/>
      <c r="F2984" s="71"/>
      <c r="G2984" s="72"/>
      <c r="H2984" s="73"/>
      <c r="I2984" s="74"/>
      <c r="J2984" s="74"/>
      <c r="K2984" s="74"/>
      <c r="L2984" s="74"/>
      <c r="M2984" s="74"/>
      <c r="N2984" s="74"/>
      <c r="O2984" s="82">
        <f t="shared" si="138"/>
        <v>0</v>
      </c>
      <c r="P2984" s="82">
        <f t="shared" si="139"/>
        <v>0</v>
      </c>
      <c r="Q2984" s="74"/>
      <c r="R2984" s="76"/>
      <c r="S2984" s="84">
        <f t="shared" si="140"/>
        <v>0</v>
      </c>
    </row>
    <row r="2985" spans="1:19" ht="18" customHeight="1" x14ac:dyDescent="0.25">
      <c r="A2985" s="59"/>
      <c r="B2985" s="60"/>
      <c r="C2985" s="65"/>
      <c r="D2985" s="60"/>
      <c r="E2985" s="59"/>
      <c r="F2985" s="62"/>
      <c r="G2985" s="63"/>
      <c r="H2985" s="64"/>
      <c r="I2985" s="65"/>
      <c r="J2985" s="65"/>
      <c r="K2985" s="65"/>
      <c r="L2985" s="65"/>
      <c r="M2985" s="65"/>
      <c r="N2985" s="65"/>
      <c r="O2985" s="81">
        <f t="shared" si="138"/>
        <v>0</v>
      </c>
      <c r="P2985" s="81">
        <f t="shared" si="139"/>
        <v>0</v>
      </c>
      <c r="Q2985" s="65"/>
      <c r="R2985" s="67"/>
      <c r="S2985" s="83">
        <f t="shared" si="140"/>
        <v>0</v>
      </c>
    </row>
    <row r="2986" spans="1:19" ht="18" customHeight="1" x14ac:dyDescent="0.25">
      <c r="A2986" s="68"/>
      <c r="B2986" s="69"/>
      <c r="C2986" s="74"/>
      <c r="D2986" s="69"/>
      <c r="E2986" s="68"/>
      <c r="F2986" s="71"/>
      <c r="G2986" s="72"/>
      <c r="H2986" s="73"/>
      <c r="I2986" s="74"/>
      <c r="J2986" s="74"/>
      <c r="K2986" s="74"/>
      <c r="L2986" s="74"/>
      <c r="M2986" s="74"/>
      <c r="N2986" s="74"/>
      <c r="O2986" s="82">
        <f t="shared" si="138"/>
        <v>0</v>
      </c>
      <c r="P2986" s="82">
        <f t="shared" si="139"/>
        <v>0</v>
      </c>
      <c r="Q2986" s="74"/>
      <c r="R2986" s="76"/>
      <c r="S2986" s="84">
        <f t="shared" si="140"/>
        <v>0</v>
      </c>
    </row>
    <row r="2987" spans="1:19" ht="18" customHeight="1" x14ac:dyDescent="0.25">
      <c r="A2987" s="59"/>
      <c r="B2987" s="60"/>
      <c r="C2987" s="65"/>
      <c r="D2987" s="60"/>
      <c r="E2987" s="59"/>
      <c r="F2987" s="62"/>
      <c r="G2987" s="63"/>
      <c r="H2987" s="64"/>
      <c r="I2987" s="65"/>
      <c r="J2987" s="65"/>
      <c r="K2987" s="65"/>
      <c r="L2987" s="65"/>
      <c r="M2987" s="65"/>
      <c r="N2987" s="65"/>
      <c r="O2987" s="81">
        <f t="shared" si="138"/>
        <v>0</v>
      </c>
      <c r="P2987" s="81">
        <f t="shared" si="139"/>
        <v>0</v>
      </c>
      <c r="Q2987" s="65"/>
      <c r="R2987" s="67"/>
      <c r="S2987" s="83">
        <f t="shared" si="140"/>
        <v>0</v>
      </c>
    </row>
    <row r="2988" spans="1:19" ht="18" customHeight="1" x14ac:dyDescent="0.25">
      <c r="A2988" s="68"/>
      <c r="B2988" s="69"/>
      <c r="C2988" s="74"/>
      <c r="D2988" s="69"/>
      <c r="E2988" s="68"/>
      <c r="F2988" s="71"/>
      <c r="G2988" s="72"/>
      <c r="H2988" s="73"/>
      <c r="I2988" s="74"/>
      <c r="J2988" s="74"/>
      <c r="K2988" s="74"/>
      <c r="L2988" s="74"/>
      <c r="M2988" s="74"/>
      <c r="N2988" s="74"/>
      <c r="O2988" s="82">
        <f t="shared" si="138"/>
        <v>0</v>
      </c>
      <c r="P2988" s="82">
        <f t="shared" si="139"/>
        <v>0</v>
      </c>
      <c r="Q2988" s="74"/>
      <c r="R2988" s="76"/>
      <c r="S2988" s="84">
        <f t="shared" si="140"/>
        <v>0</v>
      </c>
    </row>
    <row r="2989" spans="1:19" ht="18" customHeight="1" x14ac:dyDescent="0.25">
      <c r="A2989" s="59"/>
      <c r="B2989" s="60"/>
      <c r="C2989" s="65"/>
      <c r="D2989" s="60"/>
      <c r="E2989" s="59"/>
      <c r="F2989" s="62"/>
      <c r="G2989" s="63"/>
      <c r="H2989" s="64"/>
      <c r="I2989" s="65"/>
      <c r="J2989" s="65"/>
      <c r="K2989" s="65"/>
      <c r="L2989" s="65"/>
      <c r="M2989" s="65"/>
      <c r="N2989" s="65"/>
      <c r="O2989" s="81">
        <f t="shared" si="138"/>
        <v>0</v>
      </c>
      <c r="P2989" s="81">
        <f t="shared" si="139"/>
        <v>0</v>
      </c>
      <c r="Q2989" s="65"/>
      <c r="R2989" s="67"/>
      <c r="S2989" s="83">
        <f t="shared" si="140"/>
        <v>0</v>
      </c>
    </row>
    <row r="2990" spans="1:19" ht="18" customHeight="1" x14ac:dyDescent="0.25">
      <c r="A2990" s="68"/>
      <c r="B2990" s="69"/>
      <c r="C2990" s="74"/>
      <c r="D2990" s="69"/>
      <c r="E2990" s="68"/>
      <c r="F2990" s="71"/>
      <c r="G2990" s="72"/>
      <c r="H2990" s="73"/>
      <c r="I2990" s="74"/>
      <c r="J2990" s="74"/>
      <c r="K2990" s="74"/>
      <c r="L2990" s="74"/>
      <c r="M2990" s="74"/>
      <c r="N2990" s="74"/>
      <c r="O2990" s="82">
        <f t="shared" si="138"/>
        <v>0</v>
      </c>
      <c r="P2990" s="82">
        <f t="shared" si="139"/>
        <v>0</v>
      </c>
      <c r="Q2990" s="74"/>
      <c r="R2990" s="76"/>
      <c r="S2990" s="84">
        <f t="shared" si="140"/>
        <v>0</v>
      </c>
    </row>
    <row r="2991" spans="1:19" ht="18" customHeight="1" x14ac:dyDescent="0.25">
      <c r="A2991" s="59"/>
      <c r="B2991" s="60"/>
      <c r="C2991" s="65"/>
      <c r="D2991" s="60"/>
      <c r="E2991" s="59"/>
      <c r="F2991" s="62"/>
      <c r="G2991" s="63"/>
      <c r="H2991" s="64"/>
      <c r="I2991" s="65"/>
      <c r="J2991" s="65"/>
      <c r="K2991" s="65"/>
      <c r="L2991" s="65"/>
      <c r="M2991" s="65"/>
      <c r="N2991" s="65"/>
      <c r="O2991" s="81">
        <f t="shared" si="138"/>
        <v>0</v>
      </c>
      <c r="P2991" s="81">
        <f t="shared" si="139"/>
        <v>0</v>
      </c>
      <c r="Q2991" s="65"/>
      <c r="R2991" s="67"/>
      <c r="S2991" s="83">
        <f t="shared" si="140"/>
        <v>0</v>
      </c>
    </row>
    <row r="2992" spans="1:19" ht="18" customHeight="1" x14ac:dyDescent="0.25">
      <c r="A2992" s="68"/>
      <c r="B2992" s="69"/>
      <c r="C2992" s="74"/>
      <c r="D2992" s="69"/>
      <c r="E2992" s="68"/>
      <c r="F2992" s="71"/>
      <c r="G2992" s="72"/>
      <c r="H2992" s="73"/>
      <c r="I2992" s="74"/>
      <c r="J2992" s="74"/>
      <c r="K2992" s="74"/>
      <c r="L2992" s="74"/>
      <c r="M2992" s="74"/>
      <c r="N2992" s="74"/>
      <c r="O2992" s="82">
        <f t="shared" si="138"/>
        <v>0</v>
      </c>
      <c r="P2992" s="82">
        <f t="shared" si="139"/>
        <v>0</v>
      </c>
      <c r="Q2992" s="74"/>
      <c r="R2992" s="76"/>
      <c r="S2992" s="84">
        <f t="shared" si="140"/>
        <v>0</v>
      </c>
    </row>
    <row r="2993" spans="1:19" ht="18" customHeight="1" x14ac:dyDescent="0.25">
      <c r="A2993" s="59"/>
      <c r="B2993" s="60"/>
      <c r="C2993" s="65"/>
      <c r="D2993" s="60"/>
      <c r="E2993" s="59"/>
      <c r="F2993" s="62"/>
      <c r="G2993" s="63"/>
      <c r="H2993" s="64"/>
      <c r="I2993" s="65"/>
      <c r="J2993" s="65"/>
      <c r="K2993" s="65"/>
      <c r="L2993" s="65"/>
      <c r="M2993" s="65"/>
      <c r="N2993" s="65"/>
      <c r="O2993" s="81">
        <f t="shared" si="138"/>
        <v>0</v>
      </c>
      <c r="P2993" s="81">
        <f t="shared" si="139"/>
        <v>0</v>
      </c>
      <c r="Q2993" s="65"/>
      <c r="R2993" s="67"/>
      <c r="S2993" s="83">
        <f t="shared" si="140"/>
        <v>0</v>
      </c>
    </row>
    <row r="2994" spans="1:19" ht="18" customHeight="1" x14ac:dyDescent="0.25">
      <c r="A2994" s="68"/>
      <c r="B2994" s="69"/>
      <c r="C2994" s="74"/>
      <c r="D2994" s="69"/>
      <c r="E2994" s="68"/>
      <c r="F2994" s="71"/>
      <c r="G2994" s="72"/>
      <c r="H2994" s="73"/>
      <c r="I2994" s="74"/>
      <c r="J2994" s="74"/>
      <c r="K2994" s="74"/>
      <c r="L2994" s="74"/>
      <c r="M2994" s="74"/>
      <c r="N2994" s="74"/>
      <c r="O2994" s="82">
        <f t="shared" si="138"/>
        <v>0</v>
      </c>
      <c r="P2994" s="82">
        <f t="shared" si="139"/>
        <v>0</v>
      </c>
      <c r="Q2994" s="74"/>
      <c r="R2994" s="76"/>
      <c r="S2994" s="84">
        <f t="shared" si="140"/>
        <v>0</v>
      </c>
    </row>
    <row r="2995" spans="1:19" ht="18" customHeight="1" x14ac:dyDescent="0.25">
      <c r="A2995" s="59"/>
      <c r="B2995" s="60"/>
      <c r="C2995" s="65"/>
      <c r="D2995" s="60"/>
      <c r="E2995" s="59"/>
      <c r="F2995" s="62"/>
      <c r="G2995" s="63"/>
      <c r="H2995" s="64"/>
      <c r="I2995" s="65"/>
      <c r="J2995" s="65"/>
      <c r="K2995" s="65"/>
      <c r="L2995" s="65"/>
      <c r="M2995" s="65"/>
      <c r="N2995" s="65"/>
      <c r="O2995" s="81">
        <f t="shared" si="138"/>
        <v>0</v>
      </c>
      <c r="P2995" s="81">
        <f t="shared" si="139"/>
        <v>0</v>
      </c>
      <c r="Q2995" s="65"/>
      <c r="R2995" s="67"/>
      <c r="S2995" s="83">
        <f t="shared" si="140"/>
        <v>0</v>
      </c>
    </row>
    <row r="2996" spans="1:19" ht="18" customHeight="1" x14ac:dyDescent="0.25">
      <c r="A2996" s="68"/>
      <c r="B2996" s="69"/>
      <c r="C2996" s="74"/>
      <c r="D2996" s="69"/>
      <c r="E2996" s="68"/>
      <c r="F2996" s="71"/>
      <c r="G2996" s="72"/>
      <c r="H2996" s="73"/>
      <c r="I2996" s="74"/>
      <c r="J2996" s="74"/>
      <c r="K2996" s="74"/>
      <c r="L2996" s="74"/>
      <c r="M2996" s="74"/>
      <c r="N2996" s="74"/>
      <c r="O2996" s="82">
        <f t="shared" si="138"/>
        <v>0</v>
      </c>
      <c r="P2996" s="82">
        <f t="shared" si="139"/>
        <v>0</v>
      </c>
      <c r="Q2996" s="74"/>
      <c r="R2996" s="76"/>
      <c r="S2996" s="84">
        <f t="shared" si="140"/>
        <v>0</v>
      </c>
    </row>
    <row r="2997" spans="1:19" ht="18" customHeight="1" x14ac:dyDescent="0.25">
      <c r="A2997" s="59"/>
      <c r="B2997" s="60"/>
      <c r="C2997" s="65"/>
      <c r="D2997" s="60"/>
      <c r="E2997" s="59"/>
      <c r="F2997" s="62"/>
      <c r="G2997" s="63"/>
      <c r="H2997" s="64"/>
      <c r="I2997" s="65"/>
      <c r="J2997" s="65"/>
      <c r="K2997" s="65"/>
      <c r="L2997" s="65"/>
      <c r="M2997" s="65"/>
      <c r="N2997" s="65"/>
      <c r="O2997" s="81">
        <f t="shared" si="138"/>
        <v>0</v>
      </c>
      <c r="P2997" s="81">
        <f t="shared" si="139"/>
        <v>0</v>
      </c>
      <c r="Q2997" s="65"/>
      <c r="R2997" s="67"/>
      <c r="S2997" s="83">
        <f t="shared" si="140"/>
        <v>0</v>
      </c>
    </row>
    <row r="2998" spans="1:19" ht="18" customHeight="1" x14ac:dyDescent="0.25">
      <c r="A2998" s="68"/>
      <c r="B2998" s="69"/>
      <c r="C2998" s="74"/>
      <c r="D2998" s="69"/>
      <c r="E2998" s="68"/>
      <c r="F2998" s="71"/>
      <c r="G2998" s="72"/>
      <c r="H2998" s="73"/>
      <c r="I2998" s="74"/>
      <c r="J2998" s="74"/>
      <c r="K2998" s="74"/>
      <c r="L2998" s="74"/>
      <c r="M2998" s="74"/>
      <c r="N2998" s="74"/>
      <c r="O2998" s="82">
        <f t="shared" si="138"/>
        <v>0</v>
      </c>
      <c r="P2998" s="82">
        <f t="shared" si="139"/>
        <v>0</v>
      </c>
      <c r="Q2998" s="74"/>
      <c r="R2998" s="76"/>
      <c r="S2998" s="84">
        <f t="shared" si="140"/>
        <v>0</v>
      </c>
    </row>
    <row r="2999" spans="1:19" ht="18" customHeight="1" x14ac:dyDescent="0.25">
      <c r="A2999" s="59"/>
      <c r="B2999" s="60"/>
      <c r="C2999" s="65"/>
      <c r="D2999" s="60"/>
      <c r="E2999" s="59"/>
      <c r="F2999" s="62"/>
      <c r="G2999" s="63"/>
      <c r="H2999" s="64"/>
      <c r="I2999" s="65"/>
      <c r="J2999" s="65"/>
      <c r="K2999" s="65"/>
      <c r="L2999" s="65"/>
      <c r="M2999" s="65"/>
      <c r="N2999" s="65"/>
      <c r="O2999" s="81">
        <f t="shared" si="138"/>
        <v>0</v>
      </c>
      <c r="P2999" s="81">
        <f t="shared" si="139"/>
        <v>0</v>
      </c>
      <c r="Q2999" s="65"/>
      <c r="R2999" s="67"/>
      <c r="S2999" s="83">
        <f t="shared" si="140"/>
        <v>0</v>
      </c>
    </row>
    <row r="3000" spans="1:19" ht="18" customHeight="1" x14ac:dyDescent="0.25">
      <c r="A3000" s="68"/>
      <c r="B3000" s="69"/>
      <c r="C3000" s="74"/>
      <c r="D3000" s="69"/>
      <c r="E3000" s="68"/>
      <c r="F3000" s="71"/>
      <c r="G3000" s="72"/>
      <c r="H3000" s="73"/>
      <c r="I3000" s="74"/>
      <c r="J3000" s="74"/>
      <c r="K3000" s="74"/>
      <c r="L3000" s="74"/>
      <c r="M3000" s="74"/>
      <c r="N3000" s="74"/>
      <c r="O3000" s="82">
        <f t="shared" si="138"/>
        <v>0</v>
      </c>
      <c r="P3000" s="82">
        <f t="shared" si="139"/>
        <v>0</v>
      </c>
      <c r="Q3000" s="74"/>
      <c r="R3000" s="76"/>
      <c r="S3000" s="84">
        <f t="shared" si="140"/>
        <v>0</v>
      </c>
    </row>
    <row r="3001" spans="1:19" ht="18" customHeight="1" x14ac:dyDescent="0.25">
      <c r="A3001" s="59"/>
      <c r="B3001" s="60"/>
      <c r="C3001" s="65"/>
      <c r="D3001" s="60"/>
      <c r="E3001" s="59"/>
      <c r="F3001" s="62"/>
      <c r="G3001" s="63"/>
      <c r="H3001" s="64"/>
      <c r="I3001" s="65"/>
      <c r="J3001" s="65"/>
      <c r="K3001" s="65"/>
      <c r="L3001" s="65"/>
      <c r="M3001" s="65"/>
      <c r="N3001" s="65"/>
      <c r="O3001" s="81">
        <f t="shared" si="138"/>
        <v>0</v>
      </c>
      <c r="P3001" s="81">
        <f t="shared" si="139"/>
        <v>0</v>
      </c>
      <c r="Q3001" s="65"/>
      <c r="R3001" s="67"/>
      <c r="S3001" s="83">
        <f t="shared" si="140"/>
        <v>0</v>
      </c>
    </row>
    <row r="3002" spans="1:19" ht="18" customHeight="1" x14ac:dyDescent="0.25">
      <c r="A3002" s="68"/>
      <c r="B3002" s="69"/>
      <c r="C3002" s="74"/>
      <c r="D3002" s="69"/>
      <c r="E3002" s="68"/>
      <c r="F3002" s="71"/>
      <c r="G3002" s="72"/>
      <c r="H3002" s="73"/>
      <c r="I3002" s="74"/>
      <c r="J3002" s="74"/>
      <c r="K3002" s="74"/>
      <c r="L3002" s="74"/>
      <c r="M3002" s="74"/>
      <c r="N3002" s="74"/>
      <c r="O3002" s="82">
        <f t="shared" si="138"/>
        <v>0</v>
      </c>
      <c r="P3002" s="82">
        <f t="shared" si="139"/>
        <v>0</v>
      </c>
      <c r="Q3002" s="74"/>
      <c r="R3002" s="76"/>
      <c r="S3002" s="84">
        <f t="shared" si="140"/>
        <v>0</v>
      </c>
    </row>
    <row r="3003" spans="1:19" ht="18" customHeight="1" x14ac:dyDescent="0.25">
      <c r="A3003" s="59"/>
      <c r="B3003" s="60"/>
      <c r="C3003" s="65"/>
      <c r="D3003" s="60"/>
      <c r="E3003" s="59"/>
      <c r="F3003" s="62"/>
      <c r="G3003" s="63"/>
      <c r="H3003" s="64"/>
      <c r="I3003" s="65"/>
      <c r="J3003" s="65"/>
      <c r="K3003" s="65"/>
      <c r="L3003" s="65"/>
      <c r="M3003" s="65"/>
      <c r="N3003" s="65"/>
      <c r="O3003" s="81">
        <f t="shared" si="138"/>
        <v>0</v>
      </c>
      <c r="P3003" s="81">
        <f t="shared" si="139"/>
        <v>0</v>
      </c>
      <c r="Q3003" s="65"/>
      <c r="R3003" s="67"/>
      <c r="S3003" s="83">
        <f t="shared" si="140"/>
        <v>0</v>
      </c>
    </row>
    <row r="3004" spans="1:19" ht="18" customHeight="1" x14ac:dyDescent="0.25">
      <c r="A3004" s="68"/>
      <c r="B3004" s="69"/>
      <c r="C3004" s="74"/>
      <c r="D3004" s="69"/>
      <c r="E3004" s="68"/>
      <c r="F3004" s="71"/>
      <c r="G3004" s="72"/>
      <c r="H3004" s="73"/>
      <c r="I3004" s="74"/>
      <c r="J3004" s="74"/>
      <c r="K3004" s="74"/>
      <c r="L3004" s="74"/>
      <c r="M3004" s="74"/>
      <c r="N3004" s="74"/>
      <c r="O3004" s="82">
        <f t="shared" si="138"/>
        <v>0</v>
      </c>
      <c r="P3004" s="82">
        <f t="shared" si="139"/>
        <v>0</v>
      </c>
      <c r="Q3004" s="74"/>
      <c r="R3004" s="76"/>
      <c r="S3004" s="84">
        <f t="shared" si="140"/>
        <v>0</v>
      </c>
    </row>
    <row r="3005" spans="1:19" ht="18" customHeight="1" x14ac:dyDescent="0.25">
      <c r="A3005" s="59"/>
      <c r="B3005" s="60"/>
      <c r="C3005" s="65"/>
      <c r="D3005" s="60"/>
      <c r="E3005" s="59"/>
      <c r="F3005" s="62"/>
      <c r="G3005" s="63"/>
      <c r="H3005" s="64"/>
      <c r="I3005" s="65"/>
      <c r="J3005" s="65"/>
      <c r="K3005" s="65"/>
      <c r="L3005" s="65"/>
      <c r="M3005" s="65"/>
      <c r="N3005" s="65"/>
      <c r="O3005" s="81">
        <f t="shared" si="138"/>
        <v>0</v>
      </c>
      <c r="P3005" s="81">
        <f t="shared" si="139"/>
        <v>0</v>
      </c>
      <c r="Q3005" s="65"/>
      <c r="R3005" s="67"/>
      <c r="S3005" s="83">
        <f t="shared" si="140"/>
        <v>0</v>
      </c>
    </row>
    <row r="3006" spans="1:19" ht="18" customHeight="1" x14ac:dyDescent="0.25">
      <c r="A3006" s="68"/>
      <c r="B3006" s="69"/>
      <c r="C3006" s="74"/>
      <c r="D3006" s="69"/>
      <c r="E3006" s="68"/>
      <c r="F3006" s="71"/>
      <c r="G3006" s="72"/>
      <c r="H3006" s="73"/>
      <c r="I3006" s="74"/>
      <c r="J3006" s="74"/>
      <c r="K3006" s="74"/>
      <c r="L3006" s="74"/>
      <c r="M3006" s="74"/>
      <c r="N3006" s="74"/>
      <c r="O3006" s="82">
        <f t="shared" si="138"/>
        <v>0</v>
      </c>
      <c r="P3006" s="82">
        <f t="shared" si="139"/>
        <v>0</v>
      </c>
      <c r="Q3006" s="74"/>
      <c r="R3006" s="76"/>
      <c r="S3006" s="84">
        <f t="shared" si="140"/>
        <v>0</v>
      </c>
    </row>
  </sheetData>
  <sheetProtection algorithmName="SHA-512" hashValue="73R06EoQbpFABJ5CmcPkYMx11e0bXW0kiUPHTJ6o62ZRJSVnFx2PSJo1COLX3P6TsBQdylPI10ODjzGEwFh1DQ==" saltValue="fFwcoGpDUyflhllQI/Oz9A==" spinCount="100000" sheet="1" objects="1" scenarios="1" autoFilter="0"/>
  <autoFilter ref="A7:S7" xr:uid="{00000000-0001-0000-0000-000000000000}"/>
  <mergeCells count="18">
    <mergeCell ref="I2:J2"/>
    <mergeCell ref="E4:H4"/>
    <mergeCell ref="A1:S1"/>
    <mergeCell ref="I4:L4"/>
    <mergeCell ref="I3:L3"/>
    <mergeCell ref="A3:D3"/>
    <mergeCell ref="A6:C6"/>
    <mergeCell ref="E5:H5"/>
    <mergeCell ref="D6:S6"/>
    <mergeCell ref="A2:D2"/>
    <mergeCell ref="I5:S5"/>
    <mergeCell ref="E2:H2"/>
    <mergeCell ref="A5:D5"/>
    <mergeCell ref="K2:S2"/>
    <mergeCell ref="M3:S3"/>
    <mergeCell ref="E3:H3"/>
    <mergeCell ref="M4:S4"/>
    <mergeCell ref="A4:D4"/>
  </mergeCells>
  <phoneticPr fontId="53" type="noConversion"/>
  <pageMargins left="0.75" right="0.75" top="1" bottom="1" header="0.5" footer="0.5"/>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15"/>
  <sheetViews>
    <sheetView showGridLines="0" workbookViewId="0">
      <pane ySplit="15" topLeftCell="A16" activePane="bottomLeft" state="frozen"/>
      <selection pane="bottomLeft" activeCell="P26" sqref="P26"/>
    </sheetView>
  </sheetViews>
  <sheetFormatPr defaultRowHeight="15" x14ac:dyDescent="0.25"/>
  <cols>
    <col min="1" max="1" width="6" customWidth="1"/>
    <col min="2" max="2" width="22" customWidth="1"/>
    <col min="3" max="4" width="15" customWidth="1"/>
    <col min="5" max="5" width="16" customWidth="1"/>
    <col min="6" max="6" width="15" customWidth="1"/>
    <col min="7" max="7" width="18" customWidth="1"/>
    <col min="8" max="8" width="16" customWidth="1"/>
    <col min="9" max="9" width="13" hidden="1" customWidth="1"/>
  </cols>
  <sheetData>
    <row r="1" spans="1:9" ht="36" customHeight="1" x14ac:dyDescent="0.25">
      <c r="A1" s="114" t="s">
        <v>208</v>
      </c>
      <c r="B1" s="115"/>
      <c r="C1" s="115"/>
      <c r="D1" s="115"/>
      <c r="E1" s="115"/>
      <c r="F1" s="115"/>
      <c r="G1" s="115"/>
      <c r="H1" s="113"/>
      <c r="I1" s="1"/>
    </row>
    <row r="2" spans="1:9" ht="20.100000000000001" customHeight="1" x14ac:dyDescent="0.25">
      <c r="A2" s="118" t="s">
        <v>59</v>
      </c>
      <c r="B2" s="119"/>
      <c r="C2" s="117"/>
      <c r="D2" s="124" t="s">
        <v>60</v>
      </c>
      <c r="E2" s="117"/>
      <c r="F2" s="125" t="s">
        <v>61</v>
      </c>
      <c r="G2" s="112">
        <f ca="1">TODAY()</f>
        <v>46156</v>
      </c>
      <c r="H2" s="113"/>
      <c r="I2" s="1"/>
    </row>
    <row r="3" spans="1:9" ht="14.1" customHeight="1" x14ac:dyDescent="0.25">
      <c r="A3" s="135" t="s">
        <v>62</v>
      </c>
      <c r="B3" s="113"/>
      <c r="C3" s="128" t="s">
        <v>63</v>
      </c>
      <c r="D3" s="113"/>
      <c r="E3" s="129" t="s">
        <v>64</v>
      </c>
      <c r="F3" s="113"/>
      <c r="G3" s="133" t="s">
        <v>65</v>
      </c>
      <c r="H3" s="113"/>
      <c r="I3" s="1"/>
    </row>
    <row r="4" spans="1:9" ht="20.25" x14ac:dyDescent="0.25">
      <c r="A4" s="139">
        <f>SUM(C16:C3015)</f>
        <v>9187</v>
      </c>
      <c r="B4" s="140"/>
      <c r="C4" s="120">
        <f>SUM(D16:D3015)</f>
        <v>3900</v>
      </c>
      <c r="D4" s="121"/>
      <c r="E4" s="122">
        <f>SUM(F16:F3015)</f>
        <v>100</v>
      </c>
      <c r="F4" s="123"/>
      <c r="G4" s="141">
        <f>SUM(G16:G3015)</f>
        <v>1087</v>
      </c>
      <c r="H4" s="142"/>
      <c r="I4" s="1"/>
    </row>
    <row r="5" spans="1:9" ht="31.5" customHeight="1" x14ac:dyDescent="0.25">
      <c r="A5" s="137" t="s">
        <v>66</v>
      </c>
      <c r="B5" s="119"/>
      <c r="C5" s="119"/>
      <c r="D5" s="119"/>
      <c r="E5" s="119"/>
      <c r="F5" s="119"/>
      <c r="G5" s="119"/>
      <c r="H5" s="117"/>
      <c r="I5" s="1"/>
    </row>
    <row r="6" spans="1:9" ht="18" customHeight="1" x14ac:dyDescent="0.25">
      <c r="A6" s="116" t="s">
        <v>67</v>
      </c>
      <c r="B6" s="117"/>
      <c r="C6" s="143" t="s">
        <v>68</v>
      </c>
      <c r="D6" s="117"/>
      <c r="E6" s="136" t="s">
        <v>69</v>
      </c>
      <c r="F6" s="117"/>
      <c r="G6" s="134" t="s">
        <v>70</v>
      </c>
      <c r="H6" s="117"/>
      <c r="I6" s="1"/>
    </row>
    <row r="7" spans="1:9" ht="6" customHeight="1" x14ac:dyDescent="0.25">
      <c r="A7" s="130"/>
      <c r="B7" s="131"/>
      <c r="C7" s="131"/>
      <c r="D7" s="131"/>
      <c r="E7" s="131"/>
      <c r="F7" s="131"/>
      <c r="G7" s="131"/>
      <c r="H7" s="132"/>
      <c r="I7" s="1"/>
    </row>
    <row r="8" spans="1:9" ht="30" customHeight="1" x14ac:dyDescent="0.25">
      <c r="A8" s="138" t="s">
        <v>71</v>
      </c>
      <c r="B8" s="119"/>
      <c r="C8" s="119"/>
      <c r="D8" s="119"/>
      <c r="E8" s="119"/>
      <c r="F8" s="119"/>
      <c r="G8" s="119"/>
      <c r="H8" s="117"/>
      <c r="I8" s="1"/>
    </row>
    <row r="9" spans="1:9" ht="6" customHeight="1" x14ac:dyDescent="0.25">
      <c r="A9" s="34"/>
      <c r="B9" s="34"/>
      <c r="C9" s="34"/>
      <c r="D9" s="34"/>
      <c r="E9" s="34"/>
      <c r="F9" s="34"/>
      <c r="G9" s="34"/>
      <c r="H9" s="34"/>
      <c r="I9" s="1"/>
    </row>
    <row r="10" spans="1:9" ht="15.95" customHeight="1" x14ac:dyDescent="0.25">
      <c r="A10" s="162" t="s">
        <v>72</v>
      </c>
      <c r="B10" s="163"/>
      <c r="C10" s="164" t="s">
        <v>73</v>
      </c>
      <c r="D10" s="165"/>
      <c r="E10" s="165"/>
      <c r="F10" s="163"/>
      <c r="G10" s="166" t="s">
        <v>74</v>
      </c>
      <c r="H10" s="163"/>
      <c r="I10" s="1"/>
    </row>
    <row r="11" spans="1:9" ht="30" customHeight="1" x14ac:dyDescent="0.25">
      <c r="A11" s="168" t="s">
        <v>75</v>
      </c>
      <c r="B11" s="168" t="s">
        <v>76</v>
      </c>
      <c r="C11" s="169" t="s">
        <v>77</v>
      </c>
      <c r="D11" s="170" t="s">
        <v>78</v>
      </c>
      <c r="E11" s="171" t="s">
        <v>26</v>
      </c>
      <c r="F11" s="172" t="s">
        <v>79</v>
      </c>
      <c r="G11" s="173" t="s">
        <v>80</v>
      </c>
      <c r="H11" s="168" t="s">
        <v>81</v>
      </c>
      <c r="I11" s="1"/>
    </row>
    <row r="12" spans="1:9" ht="3.95" customHeight="1" x14ac:dyDescent="0.25">
      <c r="A12" s="167"/>
      <c r="B12" s="167"/>
      <c r="C12" s="167"/>
      <c r="D12" s="167"/>
      <c r="E12" s="167"/>
      <c r="F12" s="167"/>
      <c r="G12" s="167"/>
      <c r="H12" s="167"/>
      <c r="I12" s="1"/>
    </row>
    <row r="13" spans="1:9" ht="21.95" customHeight="1" x14ac:dyDescent="0.25">
      <c r="A13" s="126" t="s">
        <v>82</v>
      </c>
      <c r="B13" s="127"/>
      <c r="C13" s="35">
        <f t="shared" ref="C13:H13" si="0">SUM(C16:C3015)</f>
        <v>9187</v>
      </c>
      <c r="D13" s="36">
        <f t="shared" si="0"/>
        <v>3900</v>
      </c>
      <c r="E13" s="37">
        <f t="shared" si="0"/>
        <v>700</v>
      </c>
      <c r="F13" s="38">
        <f t="shared" si="0"/>
        <v>100</v>
      </c>
      <c r="G13" s="39">
        <f t="shared" si="0"/>
        <v>1087</v>
      </c>
      <c r="H13" s="39">
        <f t="shared" si="0"/>
        <v>0</v>
      </c>
      <c r="I13" s="1"/>
    </row>
    <row r="14" spans="1:9" ht="3.95" customHeight="1" x14ac:dyDescent="0.25">
      <c r="A14" s="34"/>
      <c r="B14" s="34"/>
      <c r="C14" s="34"/>
      <c r="D14" s="34"/>
      <c r="E14" s="34"/>
      <c r="F14" s="34"/>
      <c r="G14" s="34"/>
      <c r="H14" s="34"/>
      <c r="I14" s="1"/>
    </row>
    <row r="15" spans="1:9" ht="3.95" customHeight="1" x14ac:dyDescent="0.25">
      <c r="A15" s="34"/>
      <c r="B15" s="34"/>
      <c r="C15" s="34"/>
      <c r="D15" s="34"/>
      <c r="E15" s="34"/>
      <c r="F15" s="34"/>
      <c r="G15" s="34"/>
      <c r="H15" s="34"/>
      <c r="I15" s="1"/>
    </row>
    <row r="16" spans="1:9" ht="18" customHeight="1" x14ac:dyDescent="0.25">
      <c r="A16" s="40">
        <v>1</v>
      </c>
      <c r="B16" s="41" t="str">
        <f t="array" ref="B16">IFERROR(IF(INDEX(Transactions!$F$8:$F$3006,MATCH(0,COUNTIF($B$11:B15,Transactions!$F$8:$F$3006),0))="","",INDEX(Transactions!$F$8:$F$3006,MATCH(0,COUNTIF($B$11:B15,Transactions!$F$8:$F$3006),0))),"")</f>
        <v>Rey</v>
      </c>
      <c r="C16" s="42">
        <f>IF(B16="","",SUMIF(Transactions!$F$8:$F$3006,B16,Transactions!$H$8:$H$3006))</f>
        <v>410</v>
      </c>
      <c r="D16" s="43">
        <f>IF(B16="","",SUMIF(Transactions!$F$8:$F$3006,B16,Transactions!$N$8:$N$3006))</f>
        <v>0</v>
      </c>
      <c r="E16" s="44">
        <f>IF(B16="","",SUMIF(Transactions!$F$8:$F$3006,B16,Transactions!$O$8:$O$3006))</f>
        <v>0</v>
      </c>
      <c r="F16" s="45">
        <f>IF(B16="","",SUMIF(Transactions!$F$8:$F$3006,B16,Transactions!$R$8:$R$3006))</f>
        <v>0</v>
      </c>
      <c r="G16" s="46">
        <f>IF(B16="","",(C16+F16)-(D16+E16+SUMIF(Transactions!$F$8:$F$3006,B16,Transactions!$Q$8:$Q$3006)))</f>
        <v>410</v>
      </c>
      <c r="H16" s="47" t="str">
        <f>IF(B16="","",IF(G16&gt;0,"OUTSTANDING",IF(G16=0,"SETTLED",IF(SUMIF(Transactions!$F$8:$F$3006,B16,Transactions!$Q$8:$Q$3006)&gt;SUMIF(Transactions!$F$8:$F$3006,B16,Transactions!$R$8:$R$3006),"OWES","OVERPAID"))))</f>
        <v>OUTSTANDING</v>
      </c>
      <c r="I16" s="1"/>
    </row>
    <row r="17" spans="1:9" ht="18" customHeight="1" x14ac:dyDescent="0.25">
      <c r="A17" s="48">
        <v>2</v>
      </c>
      <c r="B17" s="49" t="str">
        <f t="array" ref="B17">IFERROR(IF(INDEX(Transactions!$F$8:$F$3006,MATCH(0,COUNTIF($B$11:B16,Transactions!$F$8:$F$3006),0))="","",INDEX(Transactions!$F$8:$F$3006,MATCH(0,COUNTIF($B$11:B16,Transactions!$F$8:$F$3006),0))),"")</f>
        <v>Ben</v>
      </c>
      <c r="C17" s="50">
        <f>IF(B17="","",SUMIF(Transactions!$F$8:$F$3006,B17,Transactions!$H$8:$H$3006))</f>
        <v>18</v>
      </c>
      <c r="D17" s="51">
        <f>IF(B17="","",SUMIF(Transactions!$F$8:$F$3006,B17,Transactions!$N$8:$N$3006))</f>
        <v>0</v>
      </c>
      <c r="E17" s="52">
        <f>IF(B17="","",SUMIF(Transactions!$F$8:$F$3006,B17,Transactions!$O$8:$O$3006))</f>
        <v>0</v>
      </c>
      <c r="F17" s="53">
        <f>IF(B17="","",SUMIF(Transactions!$F$8:$F$3006,B17,Transactions!$R$8:$R$3006))</f>
        <v>0</v>
      </c>
      <c r="G17" s="54">
        <f>IF(B17="","",(C17+F17)-(D17+E17+SUMIF(Transactions!$F$8:$F$3006,B17,Transactions!$Q$8:$Q$3006)))</f>
        <v>18</v>
      </c>
      <c r="H17" s="55" t="str">
        <f>IF(B17="","",IF(G17&gt;0,"OUTSTANDING",IF(G17=0,"SETTLED",IF(SUMIF(Transactions!$F$8:$F$3006,B17,Transactions!$Q$8:$Q$3006)&gt;SUMIF(Transactions!$F$8:$F$3006,B17,Transactions!$R$8:$R$3006),"OWES","OVERPAID"))))</f>
        <v>OUTSTANDING</v>
      </c>
      <c r="I17" s="1"/>
    </row>
    <row r="18" spans="1:9" ht="18" customHeight="1" x14ac:dyDescent="0.25">
      <c r="A18" s="40">
        <v>3</v>
      </c>
      <c r="B18" s="41" t="str">
        <f t="array" ref="B18">IFERROR(IF(INDEX(Transactions!$F$8:$F$3006,MATCH(0,COUNTIF($B$11:B17,Transactions!$F$8:$F$3006),0))="","",INDEX(Transactions!$F$8:$F$3006,MATCH(0,COUNTIF($B$11:B17,Transactions!$F$8:$F$3006),0))),"")</f>
        <v>Cal</v>
      </c>
      <c r="C18" s="42">
        <f>IF(B18="","",SUMIF(Transactions!$F$8:$F$3006,B18,Transactions!$H$8:$H$3006))</f>
        <v>2</v>
      </c>
      <c r="D18" s="43">
        <f>IF(B18="","",SUMIF(Transactions!$F$8:$F$3006,B18,Transactions!$N$8:$N$3006))</f>
        <v>0</v>
      </c>
      <c r="E18" s="44">
        <f>IF(B18="","",SUMIF(Transactions!$F$8:$F$3006,B18,Transactions!$O$8:$O$3006))</f>
        <v>0</v>
      </c>
      <c r="F18" s="45">
        <f>IF(B18="","",SUMIF(Transactions!$F$8:$F$3006,B18,Transactions!$R$8:$R$3006))</f>
        <v>0</v>
      </c>
      <c r="G18" s="46">
        <f>IF(B18="","",(C18+F18)-(D18+E18+SUMIF(Transactions!$F$8:$F$3006,B18,Transactions!$Q$8:$Q$3006)))</f>
        <v>2</v>
      </c>
      <c r="H18" s="47" t="str">
        <f>IF(B18="","",IF(G18&gt;0,"OUTSTANDING",IF(G18=0,"SETTLED",IF(SUMIF(Transactions!$F$8:$F$3006,B18,Transactions!$Q$8:$Q$3006)&gt;SUMIF(Transactions!$F$8:$F$3006,B18,Transactions!$R$8:$R$3006),"OWES","OVERPAID"))))</f>
        <v>OUTSTANDING</v>
      </c>
      <c r="I18" s="1"/>
    </row>
    <row r="19" spans="1:9" ht="18" customHeight="1" x14ac:dyDescent="0.25">
      <c r="A19" s="48">
        <v>4</v>
      </c>
      <c r="B19" s="49" t="str">
        <f t="array" ref="B19">IFERROR(IF(INDEX(Transactions!$F$8:$F$3006,MATCH(0,COUNTIF($B$11:B18,Transactions!$F$8:$F$3006),0))="","",INDEX(Transactions!$F$8:$F$3006,MATCH(0,COUNTIF($B$11:B18,Transactions!$F$8:$F$3006),0))),"")</f>
        <v>Dan</v>
      </c>
      <c r="C19" s="50">
        <f>IF(B19="","",SUMIF(Transactions!$F$8:$F$3006,B19,Transactions!$H$8:$H$3006))</f>
        <v>10</v>
      </c>
      <c r="D19" s="51">
        <f>IF(B19="","",SUMIF(Transactions!$F$8:$F$3006,B19,Transactions!$N$8:$N$3006))</f>
        <v>0</v>
      </c>
      <c r="E19" s="52">
        <f>IF(B19="","",SUMIF(Transactions!$F$8:$F$3006,B19,Transactions!$O$8:$O$3006))</f>
        <v>0</v>
      </c>
      <c r="F19" s="53">
        <f>IF(B19="","",SUMIF(Transactions!$F$8:$F$3006,B19,Transactions!$R$8:$R$3006))</f>
        <v>0</v>
      </c>
      <c r="G19" s="54">
        <f>IF(B19="","",(C19+F19)-(D19+E19+SUMIF(Transactions!$F$8:$F$3006,B19,Transactions!$Q$8:$Q$3006)))</f>
        <v>10</v>
      </c>
      <c r="H19" s="55" t="str">
        <f>IF(B19="","",IF(G19&gt;0,"OUTSTANDING",IF(G19=0,"SETTLED",IF(SUMIF(Transactions!$F$8:$F$3006,B19,Transactions!$Q$8:$Q$3006)&gt;SUMIF(Transactions!$F$8:$F$3006,B19,Transactions!$R$8:$R$3006),"OWES","OVERPAID"))))</f>
        <v>OUTSTANDING</v>
      </c>
      <c r="I19" s="1"/>
    </row>
    <row r="20" spans="1:9" ht="18" customHeight="1" x14ac:dyDescent="0.25">
      <c r="A20" s="40">
        <v>5</v>
      </c>
      <c r="B20" s="41" t="str">
        <f t="array" ref="B20">IFERROR(IF(INDEX(Transactions!$F$8:$F$3006,MATCH(0,COUNTIF($B$11:B19,Transactions!$F$8:$F$3006),0))="","",INDEX(Transactions!$F$8:$F$3006,MATCH(0,COUNTIF($B$11:B19,Transactions!$F$8:$F$3006),0))),"")</f>
        <v>Eli</v>
      </c>
      <c r="C20" s="42">
        <f>IF(B20="","",SUMIF(Transactions!$F$8:$F$3006,B20,Transactions!$H$8:$H$3006))</f>
        <v>500</v>
      </c>
      <c r="D20" s="43">
        <f>IF(B20="","",SUMIF(Transactions!$F$8:$F$3006,B20,Transactions!$N$8:$N$3006))</f>
        <v>0</v>
      </c>
      <c r="E20" s="44">
        <f>IF(B20="","",SUMIF(Transactions!$F$8:$F$3006,B20,Transactions!$O$8:$O$3006))</f>
        <v>0</v>
      </c>
      <c r="F20" s="45">
        <f>IF(B20="","",SUMIF(Transactions!$F$8:$F$3006,B20,Transactions!$R$8:$R$3006))</f>
        <v>0</v>
      </c>
      <c r="G20" s="46">
        <f>IF(B20="","",(C20+F20)-(D20+E20+SUMIF(Transactions!$F$8:$F$3006,B20,Transactions!$Q$8:$Q$3006)))</f>
        <v>500</v>
      </c>
      <c r="H20" s="47" t="str">
        <f>IF(B20="","",IF(G20&gt;0,"OUTSTANDING",IF(G20=0,"SETTLED",IF(SUMIF(Transactions!$F$8:$F$3006,B20,Transactions!$Q$8:$Q$3006)&gt;SUMIF(Transactions!$F$8:$F$3006,B20,Transactions!$R$8:$R$3006),"OWES","OVERPAID"))))</f>
        <v>OUTSTANDING</v>
      </c>
      <c r="I20" s="1"/>
    </row>
    <row r="21" spans="1:9" ht="18" customHeight="1" x14ac:dyDescent="0.25">
      <c r="A21" s="48">
        <v>6</v>
      </c>
      <c r="B21" s="49" t="str">
        <f t="array" ref="B21">IFERROR(IF(INDEX(Transactions!$F$8:$F$3006,MATCH(0,COUNTIF($B$11:B20,Transactions!$F$8:$F$3006),0))="","",INDEX(Transactions!$F$8:$F$3006,MATCH(0,COUNTIF($B$11:B20,Transactions!$F$8:$F$3006),0))),"")</f>
        <v>Ian</v>
      </c>
      <c r="C21" s="50">
        <f>IF(B21="","",SUMIF(Transactions!$F$8:$F$3006,B21,Transactions!$H$8:$H$3006))</f>
        <v>500</v>
      </c>
      <c r="D21" s="51">
        <f>IF(B21="","",SUMIF(Transactions!$F$8:$F$3006,B21,Transactions!$N$8:$N$3006))</f>
        <v>0</v>
      </c>
      <c r="E21" s="52">
        <f>IF(B21="","",SUMIF(Transactions!$F$8:$F$3006,B21,Transactions!$O$8:$O$3006))</f>
        <v>0</v>
      </c>
      <c r="F21" s="53">
        <f>IF(B21="","",SUMIF(Transactions!$F$8:$F$3006,B21,Transactions!$R$8:$R$3006))</f>
        <v>0</v>
      </c>
      <c r="G21" s="54">
        <f>IF(B21="","",(C21+F21)-(D21+E21+SUMIF(Transactions!$F$8:$F$3006,B21,Transactions!$Q$8:$Q$3006)))</f>
        <v>500</v>
      </c>
      <c r="H21" s="55" t="str">
        <f>IF(B21="","",IF(G21&gt;0,"OUTSTANDING",IF(G21=0,"SETTLED",IF(SUMIF(Transactions!$F$8:$F$3006,B21,Transactions!$Q$8:$Q$3006)&gt;SUMIF(Transactions!$F$8:$F$3006,B21,Transactions!$R$8:$R$3006),"OWES","OVERPAID"))))</f>
        <v>OUTSTANDING</v>
      </c>
      <c r="I21" s="1"/>
    </row>
    <row r="22" spans="1:9" ht="18" customHeight="1" x14ac:dyDescent="0.25">
      <c r="A22" s="40">
        <v>7</v>
      </c>
      <c r="B22" s="41" t="str">
        <f t="array" ref="B22">IFERROR(IF(INDEX(Transactions!$F$8:$F$3006,MATCH(0,COUNTIF($B$11:B21,Transactions!$F$8:$F$3006),0))="","",INDEX(Transactions!$F$8:$F$3006,MATCH(0,COUNTIF($B$11:B21,Transactions!$F$8:$F$3006),0))),"")</f>
        <v>Jay</v>
      </c>
      <c r="C22" s="42">
        <f>IF(B22="","",SUMIF(Transactions!$F$8:$F$3006,B22,Transactions!$H$8:$H$3006))</f>
        <v>1000</v>
      </c>
      <c r="D22" s="43">
        <f>IF(B22="","",SUMIF(Transactions!$F$8:$F$3006,B22,Transactions!$N$8:$N$3006))</f>
        <v>0</v>
      </c>
      <c r="E22" s="44">
        <f>IF(B22="","",SUMIF(Transactions!$F$8:$F$3006,B22,Transactions!$O$8:$O$3006))</f>
        <v>0</v>
      </c>
      <c r="F22" s="45">
        <f>IF(B22="","",SUMIF(Transactions!$F$8:$F$3006,B22,Transactions!$R$8:$R$3006))</f>
        <v>0</v>
      </c>
      <c r="G22" s="46">
        <f>IF(B22="","",(C22+F22)-(D22+E22+SUMIF(Transactions!$F$8:$F$3006,B22,Transactions!$Q$8:$Q$3006)))</f>
        <v>1000</v>
      </c>
      <c r="H22" s="47" t="str">
        <f>IF(B22="","",IF(G22&gt;0,"OUTSTANDING",IF(G22=0,"SETTLED",IF(SUMIF(Transactions!$F$8:$F$3006,B22,Transactions!$Q$8:$Q$3006)&gt;SUMIF(Transactions!$F$8:$F$3006,B22,Transactions!$R$8:$R$3006),"OWES","OVERPAID"))))</f>
        <v>OUTSTANDING</v>
      </c>
      <c r="I22" s="1"/>
    </row>
    <row r="23" spans="1:9" ht="18" customHeight="1" x14ac:dyDescent="0.25">
      <c r="A23" s="48">
        <v>8</v>
      </c>
      <c r="B23" s="49" t="str">
        <f t="array" ref="B23">IFERROR(IF(INDEX(Transactions!$F$8:$F$3006,MATCH(0,COUNTIF($B$11:B22,Transactions!$F$8:$F$3006),0))="","",INDEX(Transactions!$F$8:$F$3006,MATCH(0,COUNTIF($B$11:B22,Transactions!$F$8:$F$3006),0))),"")</f>
        <v>Kai</v>
      </c>
      <c r="C23" s="50">
        <f>IF(B23="","",SUMIF(Transactions!$F$8:$F$3006,B23,Transactions!$H$8:$H$3006))</f>
        <v>0</v>
      </c>
      <c r="D23" s="51">
        <f>IF(B23="","",SUMIF(Transactions!$F$8:$F$3006,B23,Transactions!$N$8:$N$3006))</f>
        <v>200</v>
      </c>
      <c r="E23" s="52">
        <f>IF(B23="","",SUMIF(Transactions!$F$8:$F$3006,B23,Transactions!$O$8:$O$3006))</f>
        <v>0</v>
      </c>
      <c r="F23" s="53">
        <f>IF(B23="","",SUMIF(Transactions!$F$8:$F$3006,B23,Transactions!$R$8:$R$3006))</f>
        <v>0</v>
      </c>
      <c r="G23" s="54">
        <f>IF(B23="","",(C23+F23)-(D23+E23+SUMIF(Transactions!$F$8:$F$3006,B23,Transactions!$Q$8:$Q$3006)))</f>
        <v>-200</v>
      </c>
      <c r="H23" s="55" t="str">
        <f>IF(B23="","",IF(G23&gt;0,"OUTSTANDING",IF(G23=0,"SETTLED",IF(SUMIF(Transactions!$F$8:$F$3006,B23,Transactions!$Q$8:$Q$3006)&gt;SUMIF(Transactions!$F$8:$F$3006,B23,Transactions!$R$8:$R$3006),"OWES","OVERPAID"))))</f>
        <v>OVERPAID</v>
      </c>
      <c r="I23" s="1"/>
    </row>
    <row r="24" spans="1:9" ht="18" customHeight="1" x14ac:dyDescent="0.25">
      <c r="A24" s="40">
        <v>9</v>
      </c>
      <c r="B24" s="41" t="str">
        <f t="array" ref="B24">IFERROR(IF(INDEX(Transactions!$F$8:$F$3006,MATCH(0,COUNTIF($B$11:B23,Transactions!$F$8:$F$3006),0))="","",INDEX(Transactions!$F$8:$F$3006,MATCH(0,COUNTIF($B$11:B23,Transactions!$F$8:$F$3006),0))),"")</f>
        <v>Leo</v>
      </c>
      <c r="C24" s="42">
        <f>IF(B24="","",SUMIF(Transactions!$F$8:$F$3006,B24,Transactions!$H$8:$H$3006))</f>
        <v>1000</v>
      </c>
      <c r="D24" s="43">
        <f>IF(B24="","",SUMIF(Transactions!$F$8:$F$3006,B24,Transactions!$N$8:$N$3006))</f>
        <v>500</v>
      </c>
      <c r="E24" s="44">
        <f>IF(B24="","",SUMIF(Transactions!$F$8:$F$3006,B24,Transactions!$O$8:$O$3006))</f>
        <v>0</v>
      </c>
      <c r="F24" s="45">
        <f>IF(B24="","",SUMIF(Transactions!$F$8:$F$3006,B24,Transactions!$R$8:$R$3006))</f>
        <v>0</v>
      </c>
      <c r="G24" s="46">
        <f>IF(B24="","",(C24+F24)-(D24+E24+SUMIF(Transactions!$F$8:$F$3006,B24,Transactions!$Q$8:$Q$3006)))</f>
        <v>500</v>
      </c>
      <c r="H24" s="47" t="str">
        <f>IF(B24="","",IF(G24&gt;0,"OUTSTANDING",IF(G24=0,"SETTLED",IF(SUMIF(Transactions!$F$8:$F$3006,B24,Transactions!$Q$8:$Q$3006)&gt;SUMIF(Transactions!$F$8:$F$3006,B24,Transactions!$R$8:$R$3006),"OWES","OVERPAID"))))</f>
        <v>OUTSTANDING</v>
      </c>
      <c r="I24" s="1"/>
    </row>
    <row r="25" spans="1:9" ht="18" customHeight="1" x14ac:dyDescent="0.25">
      <c r="A25" s="48">
        <v>10</v>
      </c>
      <c r="B25" s="49" t="str">
        <f t="array" ref="B25">IFERROR(IF(INDEX(Transactions!$F$8:$F$3006,MATCH(0,COUNTIF($B$11:B24,Transactions!$F$8:$F$3006),0))="","",INDEX(Transactions!$F$8:$F$3006,MATCH(0,COUNTIF($B$11:B24,Transactions!$F$8:$F$3006),0))),"")</f>
        <v>Max</v>
      </c>
      <c r="C25" s="50">
        <f>IF(B25="","",SUMIF(Transactions!$F$8:$F$3006,B25,Transactions!$H$8:$H$3006))</f>
        <v>0</v>
      </c>
      <c r="D25" s="51">
        <f>IF(B25="","",SUMIF(Transactions!$F$8:$F$3006,B25,Transactions!$N$8:$N$3006))</f>
        <v>300</v>
      </c>
      <c r="E25" s="52">
        <f>IF(B25="","",SUMIF(Transactions!$F$8:$F$3006,B25,Transactions!$O$8:$O$3006))</f>
        <v>0</v>
      </c>
      <c r="F25" s="53">
        <f>IF(B25="","",SUMIF(Transactions!$F$8:$F$3006,B25,Transactions!$R$8:$R$3006))</f>
        <v>0</v>
      </c>
      <c r="G25" s="54">
        <f>IF(B25="","",(C25+F25)-(D25+E25+SUMIF(Transactions!$F$8:$F$3006,B25,Transactions!$Q$8:$Q$3006)))</f>
        <v>-300</v>
      </c>
      <c r="H25" s="55" t="str">
        <f>IF(B25="","",IF(G25&gt;0,"OUTSTANDING",IF(G25=0,"SETTLED",IF(SUMIF(Transactions!$F$8:$F$3006,B25,Transactions!$Q$8:$Q$3006)&gt;SUMIF(Transactions!$F$8:$F$3006,B25,Transactions!$R$8:$R$3006),"OWES","OVERPAID"))))</f>
        <v>OVERPAID</v>
      </c>
      <c r="I25" s="1"/>
    </row>
    <row r="26" spans="1:9" ht="18" customHeight="1" x14ac:dyDescent="0.25">
      <c r="A26" s="40">
        <v>11</v>
      </c>
      <c r="B26" s="41" t="str">
        <f t="array" ref="B26">IFERROR(IF(INDEX(Transactions!$F$8:$F$3006,MATCH(0,COUNTIF($B$11:B25,Transactions!$F$8:$F$3006),0))="","",INDEX(Transactions!$F$8:$F$3006,MATCH(0,COUNTIF($B$11:B25,Transactions!$F$8:$F$3006),0))),"")</f>
        <v>Neo</v>
      </c>
      <c r="C26" s="42">
        <f>IF(B26="","",SUMIF(Transactions!$F$8:$F$3006,B26,Transactions!$H$8:$H$3006))</f>
        <v>0</v>
      </c>
      <c r="D26" s="43">
        <f>IF(B26="","",SUMIF(Transactions!$F$8:$F$3006,B26,Transactions!$N$8:$N$3006))</f>
        <v>0</v>
      </c>
      <c r="E26" s="44">
        <f>IF(B26="","",SUMIF(Transactions!$F$8:$F$3006,B26,Transactions!$O$8:$O$3006))</f>
        <v>0</v>
      </c>
      <c r="F26" s="45">
        <f>IF(B26="","",SUMIF(Transactions!$F$8:$F$3006,B26,Transactions!$R$8:$R$3006))</f>
        <v>0</v>
      </c>
      <c r="G26" s="46">
        <f>IF(B26="","",(C26+F26)-(D26+E26+SUMIF(Transactions!$F$8:$F$3006,B26,Transactions!$Q$8:$Q$3006)))</f>
        <v>-600</v>
      </c>
      <c r="H26" s="47" t="str">
        <f>IF(B26="","",IF(G26&gt;0,"OUTSTANDING",IF(G26=0,"SETTLED",IF(SUMIF(Transactions!$F$8:$F$3006,B26,Transactions!$Q$8:$Q$3006)&gt;SUMIF(Transactions!$F$8:$F$3006,B26,Transactions!$R$8:$R$3006),"OWES","OVERPAID"))))</f>
        <v>OWES</v>
      </c>
      <c r="I26" s="1"/>
    </row>
    <row r="27" spans="1:9" ht="18" customHeight="1" x14ac:dyDescent="0.25">
      <c r="A27" s="48">
        <v>12</v>
      </c>
      <c r="B27" s="49" t="str">
        <f t="array" ref="B27">IFERROR(IF(INDEX(Transactions!$F$8:$F$3006,MATCH(0,COUNTIF($B$11:B26,Transactions!$F$8:$F$3006),0))="","",INDEX(Transactions!$F$8:$F$3006,MATCH(0,COUNTIF($B$11:B26,Transactions!$F$8:$F$3006),0))),"")</f>
        <v>Oli</v>
      </c>
      <c r="C27" s="50">
        <f>IF(B27="","",SUMIF(Transactions!$F$8:$F$3006,B27,Transactions!$H$8:$H$3006))</f>
        <v>1000</v>
      </c>
      <c r="D27" s="51">
        <f>IF(B27="","",SUMIF(Transactions!$F$8:$F$3006,B27,Transactions!$N$8:$N$3006))</f>
        <v>0</v>
      </c>
      <c r="E27" s="52">
        <f>IF(B27="","",SUMIF(Transactions!$F$8:$F$3006,B27,Transactions!$O$8:$O$3006))</f>
        <v>0</v>
      </c>
      <c r="F27" s="53">
        <f>IF(B27="","",SUMIF(Transactions!$F$8:$F$3006,B27,Transactions!$R$8:$R$3006))</f>
        <v>0</v>
      </c>
      <c r="G27" s="54">
        <f>IF(B27="","",(C27+F27)-(D27+E27+SUMIF(Transactions!$F$8:$F$3006,B27,Transactions!$Q$8:$Q$3006)))</f>
        <v>1000</v>
      </c>
      <c r="H27" s="55" t="str">
        <f>IF(B27="","",IF(G27&gt;0,"OUTSTANDING",IF(G27=0,"SETTLED",IF(SUMIF(Transactions!$F$8:$F$3006,B27,Transactions!$Q$8:$Q$3006)&gt;SUMIF(Transactions!$F$8:$F$3006,B27,Transactions!$R$8:$R$3006),"OWES","OVERPAID"))))</f>
        <v>OUTSTANDING</v>
      </c>
      <c r="I27" s="1"/>
    </row>
    <row r="28" spans="1:9" ht="18" customHeight="1" x14ac:dyDescent="0.25">
      <c r="A28" s="40">
        <v>13</v>
      </c>
      <c r="B28" s="41" t="str">
        <f t="array" ref="B28">IFERROR(IF(INDEX(Transactions!$F$8:$F$3006,MATCH(0,COUNTIF($B$11:B27,Transactions!$F$8:$F$3006),0))="","",INDEX(Transactions!$F$8:$F$3006,MATCH(0,COUNTIF($B$11:B27,Transactions!$F$8:$F$3006),0))),"")</f>
        <v>Ray</v>
      </c>
      <c r="C28" s="42">
        <f>IF(B28="","",SUMIF(Transactions!$F$8:$F$3006,B28,Transactions!$H$8:$H$3006))</f>
        <v>1000</v>
      </c>
      <c r="D28" s="43">
        <f>IF(B28="","",SUMIF(Transactions!$F$8:$F$3006,B28,Transactions!$N$8:$N$3006))</f>
        <v>400</v>
      </c>
      <c r="E28" s="44">
        <f>IF(B28="","",SUMIF(Transactions!$F$8:$F$3006,B28,Transactions!$O$8:$O$3006))</f>
        <v>100</v>
      </c>
      <c r="F28" s="45">
        <f>IF(B28="","",SUMIF(Transactions!$F$8:$F$3006,B28,Transactions!$R$8:$R$3006))</f>
        <v>0</v>
      </c>
      <c r="G28" s="46">
        <f>IF(B28="","",(C28+F28)-(D28+E28+SUMIF(Transactions!$F$8:$F$3006,B28,Transactions!$Q$8:$Q$3006)))</f>
        <v>500</v>
      </c>
      <c r="H28" s="47" t="str">
        <f>IF(B28="","",IF(G28&gt;0,"OUTSTANDING",IF(G28=0,"SETTLED",IF(SUMIF(Transactions!$F$8:$F$3006,B28,Transactions!$Q$8:$Q$3006)&gt;SUMIF(Transactions!$F$8:$F$3006,B28,Transactions!$R$8:$R$3006),"OWES","OVERPAID"))))</f>
        <v>OUTSTANDING</v>
      </c>
      <c r="I28" s="1"/>
    </row>
    <row r="29" spans="1:9" ht="18" customHeight="1" x14ac:dyDescent="0.25">
      <c r="A29" s="48">
        <v>14</v>
      </c>
      <c r="B29" s="49" t="str">
        <f t="array" ref="B29">IFERROR(IF(INDEX(Transactions!$F$8:$F$3006,MATCH(0,COUNTIF($B$11:B28,Transactions!$F$8:$F$3006),0))="","",INDEX(Transactions!$F$8:$F$3006,MATCH(0,COUNTIF($B$11:B28,Transactions!$F$8:$F$3006),0))),"")</f>
        <v>Sam</v>
      </c>
      <c r="C29" s="50">
        <f>IF(B29="","",SUMIF(Transactions!$F$8:$F$3006,B29,Transactions!$H$8:$H$3006))</f>
        <v>1500</v>
      </c>
      <c r="D29" s="51">
        <f>IF(B29="","",SUMIF(Transactions!$F$8:$F$3006,B29,Transactions!$N$8:$N$3006))</f>
        <v>1000</v>
      </c>
      <c r="E29" s="52">
        <f>IF(B29="","",SUMIF(Transactions!$F$8:$F$3006,B29,Transactions!$O$8:$O$3006))</f>
        <v>300</v>
      </c>
      <c r="F29" s="53">
        <f>IF(B29="","",SUMIF(Transactions!$F$8:$F$3006,B29,Transactions!$R$8:$R$3006))</f>
        <v>0</v>
      </c>
      <c r="G29" s="54">
        <f>IF(B29="","",(C29+F29)-(D29+E29+SUMIF(Transactions!$F$8:$F$3006,B29,Transactions!$Q$8:$Q$3006)))</f>
        <v>200</v>
      </c>
      <c r="H29" s="55" t="str">
        <f>IF(B29="","",IF(G29&gt;0,"OUTSTANDING",IF(G29=0,"SETTLED",IF(SUMIF(Transactions!$F$8:$F$3006,B29,Transactions!$Q$8:$Q$3006)&gt;SUMIF(Transactions!$F$8:$F$3006,B29,Transactions!$R$8:$R$3006),"OWES","OVERPAID"))))</f>
        <v>OUTSTANDING</v>
      </c>
      <c r="I29" s="1"/>
    </row>
    <row r="30" spans="1:9" ht="18" customHeight="1" x14ac:dyDescent="0.25">
      <c r="A30" s="40">
        <v>15</v>
      </c>
      <c r="B30" s="41" t="str">
        <f t="array" ref="B30">IFERROR(IF(INDEX(Transactions!$F$8:$F$3006,MATCH(0,COUNTIF($B$11:B29,Transactions!$F$8:$F$3006),0))="","",INDEX(Transactions!$F$8:$F$3006,MATCH(0,COUNTIF($B$11:B29,Transactions!$F$8:$F$3006),0))),"")</f>
        <v>Tom</v>
      </c>
      <c r="C30" s="42">
        <f>IF(B30="","",SUMIF(Transactions!$F$8:$F$3006,B30,Transactions!$H$8:$H$3006))</f>
        <v>0</v>
      </c>
      <c r="D30" s="43">
        <f>IF(B30="","",SUMIF(Transactions!$F$8:$F$3006,B30,Transactions!$N$8:$N$3006))</f>
        <v>0</v>
      </c>
      <c r="E30" s="44">
        <f>IF(B30="","",SUMIF(Transactions!$F$8:$F$3006,B30,Transactions!$O$8:$O$3006))</f>
        <v>0</v>
      </c>
      <c r="F30" s="45">
        <f>IF(B30="","",SUMIF(Transactions!$F$8:$F$3006,B30,Transactions!$R$8:$R$3006))</f>
        <v>0</v>
      </c>
      <c r="G30" s="46">
        <f>IF(B30="","",(C30+F30)-(D30+E30+SUMIF(Transactions!$F$8:$F$3006,B30,Transactions!$Q$8:$Q$3006)))</f>
        <v>-2000</v>
      </c>
      <c r="H30" s="47" t="str">
        <f>IF(B30="","",IF(G30&gt;0,"OUTSTANDING",IF(G30=0,"SETTLED",IF(SUMIF(Transactions!$F$8:$F$3006,B30,Transactions!$Q$8:$Q$3006)&gt;SUMIF(Transactions!$F$8:$F$3006,B30,Transactions!$R$8:$R$3006),"OWES","OVERPAID"))))</f>
        <v>OWES</v>
      </c>
      <c r="I30" s="1"/>
    </row>
    <row r="31" spans="1:9" ht="18" customHeight="1" x14ac:dyDescent="0.25">
      <c r="A31" s="48">
        <v>16</v>
      </c>
      <c r="B31" s="49" t="str">
        <f t="array" ref="B31">IFERROR(IF(INDEX(Transactions!$F$8:$F$3006,MATCH(0,COUNTIF($B$11:B30,Transactions!$F$8:$F$3006),0))="","",INDEX(Transactions!$F$8:$F$3006,MATCH(0,COUNTIF($B$11:B30,Transactions!$F$8:$F$3006),0))),"")</f>
        <v>Vic</v>
      </c>
      <c r="C31" s="50">
        <f>IF(B31="","",SUMIF(Transactions!$F$8:$F$3006,B31,Transactions!$H$8:$H$3006))</f>
        <v>500</v>
      </c>
      <c r="D31" s="51">
        <f>IF(B31="","",SUMIF(Transactions!$F$8:$F$3006,B31,Transactions!$N$8:$N$3006))</f>
        <v>0</v>
      </c>
      <c r="E31" s="52">
        <f>IF(B31="","",SUMIF(Transactions!$F$8:$F$3006,B31,Transactions!$O$8:$O$3006))</f>
        <v>0</v>
      </c>
      <c r="F31" s="53">
        <f>IF(B31="","",SUMIF(Transactions!$F$8:$F$3006,B31,Transactions!$R$8:$R$3006))</f>
        <v>0</v>
      </c>
      <c r="G31" s="54">
        <f>IF(B31="","",(C31+F31)-(D31+E31+SUMIF(Transactions!$F$8:$F$3006,B31,Transactions!$Q$8:$Q$3006)))</f>
        <v>500</v>
      </c>
      <c r="H31" s="55" t="str">
        <f>IF(B31="","",IF(G31&gt;0,"OUTSTANDING",IF(G31=0,"SETTLED",IF(SUMIF(Transactions!$F$8:$F$3006,B31,Transactions!$Q$8:$Q$3006)&gt;SUMIF(Transactions!$F$8:$F$3006,B31,Transactions!$R$8:$R$3006),"OWES","OVERPAID"))))</f>
        <v>OUTSTANDING</v>
      </c>
      <c r="I31" s="1"/>
    </row>
    <row r="32" spans="1:9" ht="18" customHeight="1" x14ac:dyDescent="0.25">
      <c r="A32" s="40">
        <v>17</v>
      </c>
      <c r="B32" s="41" t="str">
        <f t="array" ref="B32">IFERROR(IF(INDEX(Transactions!$F$8:$F$3006,MATCH(0,COUNTIF($B$11:B31,Transactions!$F$8:$F$3006),0))="","",INDEX(Transactions!$F$8:$F$3006,MATCH(0,COUNTIF($B$11:B31,Transactions!$F$8:$F$3006),0))),"")</f>
        <v>Zac</v>
      </c>
      <c r="C32" s="42">
        <f>IF(B32="","",SUMIF(Transactions!$F$8:$F$3006,B32,Transactions!$H$8:$H$3006))</f>
        <v>122</v>
      </c>
      <c r="D32" s="43">
        <f>IF(B32="","",SUMIF(Transactions!$F$8:$F$3006,B32,Transactions!$N$8:$N$3006))</f>
        <v>0</v>
      </c>
      <c r="E32" s="44">
        <f>IF(B32="","",SUMIF(Transactions!$F$8:$F$3006,B32,Transactions!$O$8:$O$3006))</f>
        <v>0</v>
      </c>
      <c r="F32" s="45">
        <f>IF(B32="","",SUMIF(Transactions!$F$8:$F$3006,B32,Transactions!$R$8:$R$3006))</f>
        <v>0</v>
      </c>
      <c r="G32" s="46">
        <f>IF(B32="","",(C32+F32)-(D32+E32+SUMIF(Transactions!$F$8:$F$3006,B32,Transactions!$Q$8:$Q$3006)))</f>
        <v>122</v>
      </c>
      <c r="H32" s="47" t="str">
        <f>IF(B32="","",IF(G32&gt;0,"OUTSTANDING",IF(G32=0,"SETTLED",IF(SUMIF(Transactions!$F$8:$F$3006,B32,Transactions!$Q$8:$Q$3006)&gt;SUMIF(Transactions!$F$8:$F$3006,B32,Transactions!$R$8:$R$3006),"OWES","OVERPAID"))))</f>
        <v>OUTSTANDING</v>
      </c>
      <c r="I32" s="1"/>
    </row>
    <row r="33" spans="1:9" ht="18" customHeight="1" x14ac:dyDescent="0.25">
      <c r="A33" s="48">
        <v>18</v>
      </c>
      <c r="B33" s="49" t="str">
        <f t="array" ref="B33">IFERROR(IF(INDEX(Transactions!$F$8:$F$3006,MATCH(0,COUNTIF($B$11:B32,Transactions!$F$8:$F$3006),0))="","",INDEX(Transactions!$F$8:$F$3006,MATCH(0,COUNTIF($B$11:B32,Transactions!$F$8:$F$3006),0))),"")</f>
        <v>Roy</v>
      </c>
      <c r="C33" s="50">
        <f>IF(B33="","",SUMIF(Transactions!$F$8:$F$3006,B33,Transactions!$H$8:$H$3006))</f>
        <v>123</v>
      </c>
      <c r="D33" s="51">
        <f>IF(B33="","",SUMIF(Transactions!$F$8:$F$3006,B33,Transactions!$N$8:$N$3006))</f>
        <v>0</v>
      </c>
      <c r="E33" s="52">
        <f>IF(B33="","",SUMIF(Transactions!$F$8:$F$3006,B33,Transactions!$O$8:$O$3006))</f>
        <v>0</v>
      </c>
      <c r="F33" s="53">
        <f>IF(B33="","",SUMIF(Transactions!$F$8:$F$3006,B33,Transactions!$R$8:$R$3006))</f>
        <v>0</v>
      </c>
      <c r="G33" s="54">
        <f>IF(B33="","",(C33+F33)-(D33+E33+SUMIF(Transactions!$F$8:$F$3006,B33,Transactions!$Q$8:$Q$3006)))</f>
        <v>123</v>
      </c>
      <c r="H33" s="55" t="str">
        <f>IF(B33="","",IF(G33&gt;0,"OUTSTANDING",IF(G33=0,"SETTLED",IF(SUMIF(Transactions!$F$8:$F$3006,B33,Transactions!$Q$8:$Q$3006)&gt;SUMIF(Transactions!$F$8:$F$3006,B33,Transactions!$R$8:$R$3006),"OWES","OVERPAID"))))</f>
        <v>OUTSTANDING</v>
      </c>
      <c r="I33" s="1"/>
    </row>
    <row r="34" spans="1:9" ht="18" customHeight="1" x14ac:dyDescent="0.25">
      <c r="A34" s="40">
        <v>19</v>
      </c>
      <c r="B34" s="41" t="str">
        <f t="array" ref="B34">IFERROR(IF(INDEX(Transactions!$F$8:$F$3006,MATCH(0,COUNTIF($B$11:B33,Transactions!$F$8:$F$3006),0))="","",INDEX(Transactions!$F$8:$F$3006,MATCH(0,COUNTIF($B$11:B33,Transactions!$F$8:$F$3006),0))),"")</f>
        <v>Asa</v>
      </c>
      <c r="C34" s="42">
        <f>IF(B34="","",SUMIF(Transactions!$F$8:$F$3006,B34,Transactions!$H$8:$H$3006))</f>
        <v>124</v>
      </c>
      <c r="D34" s="43">
        <f>IF(B34="","",SUMIF(Transactions!$F$8:$F$3006,B34,Transactions!$N$8:$N$3006))</f>
        <v>0</v>
      </c>
      <c r="E34" s="44">
        <f>IF(B34="","",SUMIF(Transactions!$F$8:$F$3006,B34,Transactions!$O$8:$O$3006))</f>
        <v>0</v>
      </c>
      <c r="F34" s="45">
        <f>IF(B34="","",SUMIF(Transactions!$F$8:$F$3006,B34,Transactions!$R$8:$R$3006))</f>
        <v>0</v>
      </c>
      <c r="G34" s="46">
        <f>IF(B34="","",(C34+F34)-(D34+E34+SUMIF(Transactions!$F$8:$F$3006,B34,Transactions!$Q$8:$Q$3006)))</f>
        <v>124</v>
      </c>
      <c r="H34" s="47" t="str">
        <f>IF(B34="","",IF(G34&gt;0,"OUTSTANDING",IF(G34=0,"SETTLED",IF(SUMIF(Transactions!$F$8:$F$3006,B34,Transactions!$Q$8:$Q$3006)&gt;SUMIF(Transactions!$F$8:$F$3006,B34,Transactions!$R$8:$R$3006),"OWES","OVERPAID"))))</f>
        <v>OUTSTANDING</v>
      </c>
      <c r="I34" s="1"/>
    </row>
    <row r="35" spans="1:9" ht="18" customHeight="1" x14ac:dyDescent="0.25">
      <c r="A35" s="48">
        <v>20</v>
      </c>
      <c r="B35" s="49" t="str">
        <f t="array" ref="B35">IFERROR(IF(INDEX(Transactions!$F$8:$F$3006,MATCH(0,COUNTIF($B$11:B34,Transactions!$F$8:$F$3006),0))="","",INDEX(Transactions!$F$8:$F$3006,MATCH(0,COUNTIF($B$11:B34,Transactions!$F$8:$F$3006),0))),"")</f>
        <v>Gil</v>
      </c>
      <c r="C35" s="50">
        <f>IF(B35="","",SUMIF(Transactions!$F$8:$F$3006,B35,Transactions!$H$8:$H$3006))</f>
        <v>125</v>
      </c>
      <c r="D35" s="51">
        <f>IF(B35="","",SUMIF(Transactions!$F$8:$F$3006,B35,Transactions!$N$8:$N$3006))</f>
        <v>0</v>
      </c>
      <c r="E35" s="52">
        <f>IF(B35="","",SUMIF(Transactions!$F$8:$F$3006,B35,Transactions!$O$8:$O$3006))</f>
        <v>0</v>
      </c>
      <c r="F35" s="53">
        <f>IF(B35="","",SUMIF(Transactions!$F$8:$F$3006,B35,Transactions!$R$8:$R$3006))</f>
        <v>0</v>
      </c>
      <c r="G35" s="54">
        <f>IF(B35="","",(C35+F35)-(D35+E35+SUMIF(Transactions!$F$8:$F$3006,B35,Transactions!$Q$8:$Q$3006)))</f>
        <v>125</v>
      </c>
      <c r="H35" s="55" t="str">
        <f>IF(B35="","",IF(G35&gt;0,"OUTSTANDING",IF(G35=0,"SETTLED",IF(SUMIF(Transactions!$F$8:$F$3006,B35,Transactions!$Q$8:$Q$3006)&gt;SUMIF(Transactions!$F$8:$F$3006,B35,Transactions!$R$8:$R$3006),"OWES","OVERPAID"))))</f>
        <v>OUTSTANDING</v>
      </c>
      <c r="I35" s="1"/>
    </row>
    <row r="36" spans="1:9" ht="18" customHeight="1" x14ac:dyDescent="0.25">
      <c r="A36" s="40">
        <v>21</v>
      </c>
      <c r="B36" s="41" t="str">
        <f t="array" ref="B36">IFERROR(IF(INDEX(Transactions!$F$8:$F$3006,MATCH(0,COUNTIF($B$11:B35,Transactions!$F$8:$F$3006),0))="","",INDEX(Transactions!$F$8:$F$3006,MATCH(0,COUNTIF($B$11:B35,Transactions!$F$8:$F$3006),0))),"")</f>
        <v>Joe</v>
      </c>
      <c r="C36" s="42">
        <f>IF(B36="","",SUMIF(Transactions!$F$8:$F$3006,B36,Transactions!$H$8:$H$3006))</f>
        <v>126</v>
      </c>
      <c r="D36" s="43">
        <f>IF(B36="","",SUMIF(Transactions!$F$8:$F$3006,B36,Transactions!$N$8:$N$3006))</f>
        <v>0</v>
      </c>
      <c r="E36" s="44">
        <f>IF(B36="","",SUMIF(Transactions!$F$8:$F$3006,B36,Transactions!$O$8:$O$3006))</f>
        <v>0</v>
      </c>
      <c r="F36" s="45">
        <f>IF(B36="","",SUMIF(Transactions!$F$8:$F$3006,B36,Transactions!$R$8:$R$3006))</f>
        <v>0</v>
      </c>
      <c r="G36" s="46">
        <f>IF(B36="","",(C36+F36)-(D36+E36+SUMIF(Transactions!$F$8:$F$3006,B36,Transactions!$Q$8:$Q$3006)))</f>
        <v>126</v>
      </c>
      <c r="H36" s="47" t="str">
        <f>IF(B36="","",IF(G36&gt;0,"OUTSTANDING",IF(G36=0,"SETTLED",IF(SUMIF(Transactions!$F$8:$F$3006,B36,Transactions!$Q$8:$Q$3006)&gt;SUMIF(Transactions!$F$8:$F$3006,B36,Transactions!$R$8:$R$3006),"OWES","OVERPAID"))))</f>
        <v>OUTSTANDING</v>
      </c>
      <c r="I36" s="1"/>
    </row>
    <row r="37" spans="1:9" ht="18" customHeight="1" x14ac:dyDescent="0.25">
      <c r="A37" s="48">
        <v>22</v>
      </c>
      <c r="B37" s="49" t="str">
        <f t="array" ref="B37">IFERROR(IF(INDEX(Transactions!$F$8:$F$3006,MATCH(0,COUNTIF($B$11:B36,Transactions!$F$8:$F$3006),0))="","",INDEX(Transactions!$F$8:$F$3006,MATCH(0,COUNTIF($B$11:B36,Transactions!$F$8:$F$3006),0))),"")</f>
        <v>Ken</v>
      </c>
      <c r="C37" s="50">
        <f>IF(B37="","",SUMIF(Transactions!$F$8:$F$3006,B37,Transactions!$H$8:$H$3006))</f>
        <v>127</v>
      </c>
      <c r="D37" s="51">
        <f>IF(B37="","",SUMIF(Transactions!$F$8:$F$3006,B37,Transactions!$N$8:$N$3006))</f>
        <v>0</v>
      </c>
      <c r="E37" s="52">
        <f>IF(B37="","",SUMIF(Transactions!$F$8:$F$3006,B37,Transactions!$O$8:$O$3006))</f>
        <v>0</v>
      </c>
      <c r="F37" s="53">
        <f>IF(B37="","",SUMIF(Transactions!$F$8:$F$3006,B37,Transactions!$R$8:$R$3006))</f>
        <v>0</v>
      </c>
      <c r="G37" s="54">
        <f>IF(B37="","",(C37+F37)-(D37+E37+SUMIF(Transactions!$F$8:$F$3006,B37,Transactions!$Q$8:$Q$3006)))</f>
        <v>127</v>
      </c>
      <c r="H37" s="55" t="str">
        <f>IF(B37="","",IF(G37&gt;0,"OUTSTANDING",IF(G37=0,"SETTLED",IF(SUMIF(Transactions!$F$8:$F$3006,B37,Transactions!$Q$8:$Q$3006)&gt;SUMIF(Transactions!$F$8:$F$3006,B37,Transactions!$R$8:$R$3006),"OWES","OVERPAID"))))</f>
        <v>OUTSTANDING</v>
      </c>
      <c r="I37" s="1"/>
    </row>
    <row r="38" spans="1:9" ht="18" customHeight="1" x14ac:dyDescent="0.25">
      <c r="A38" s="40">
        <v>23</v>
      </c>
      <c r="B38" s="41" t="str">
        <f t="array" ref="B38">IFERROR(IF(INDEX(Transactions!$F$8:$F$3006,MATCH(0,COUNTIF($B$11:B37,Transactions!$F$8:$F$3006),0))="","",INDEX(Transactions!$F$8:$F$3006,MATCH(0,COUNTIF($B$11:B37,Transactions!$F$8:$F$3006),0))),"")</f>
        <v>Lou</v>
      </c>
      <c r="C38" s="42">
        <f>IF(B38="","",SUMIF(Transactions!$F$8:$F$3006,B38,Transactions!$H$8:$H$3006))</f>
        <v>1000</v>
      </c>
      <c r="D38" s="43">
        <f>IF(B38="","",SUMIF(Transactions!$F$8:$F$3006,B38,Transactions!$N$8:$N$3006))</f>
        <v>1000</v>
      </c>
      <c r="E38" s="44">
        <f>IF(B38="","",SUMIF(Transactions!$F$8:$F$3006,B38,Transactions!$O$8:$O$3006))</f>
        <v>300</v>
      </c>
      <c r="F38" s="45">
        <f>IF(B38="","",SUMIF(Transactions!$F$8:$F$3006,B38,Transactions!$R$8:$R$3006))</f>
        <v>0</v>
      </c>
      <c r="G38" s="46">
        <f>IF(B38="","",(C38+F38)-(D38+E38+SUMIF(Transactions!$F$8:$F$3006,B38,Transactions!$Q$8:$Q$3006)))</f>
        <v>-300</v>
      </c>
      <c r="H38" s="47" t="str">
        <f>IF(B38="","",IF(G38&gt;0,"OUTSTANDING",IF(G38=0,"SETTLED",IF(SUMIF(Transactions!$F$8:$F$3006,B38,Transactions!$Q$8:$Q$3006)&gt;SUMIF(Transactions!$F$8:$F$3006,B38,Transactions!$R$8:$R$3006),"OWES","OVERPAID"))))</f>
        <v>OVERPAID</v>
      </c>
      <c r="I38" s="1"/>
    </row>
    <row r="39" spans="1:9" ht="18" customHeight="1" x14ac:dyDescent="0.25">
      <c r="A39" s="48">
        <v>24</v>
      </c>
      <c r="B39" s="49" t="str">
        <f t="array" ref="B39">IFERROR(IF(INDEX(Transactions!$F$8:$F$3006,MATCH(0,COUNTIF($B$11:B38,Transactions!$F$8:$F$3006),0))="","",INDEX(Transactions!$F$8:$F$3006,MATCH(0,COUNTIF($B$11:B38,Transactions!$F$8:$F$3006),0))),"")</f>
        <v>Rex</v>
      </c>
      <c r="C39" s="50">
        <f>IF(B39="","",SUMIF(Transactions!$F$8:$F$3006,B39,Transactions!$H$8:$H$3006))</f>
        <v>0</v>
      </c>
      <c r="D39" s="51">
        <f>IF(B39="","",SUMIF(Transactions!$F$8:$F$3006,B39,Transactions!$N$8:$N$3006))</f>
        <v>500</v>
      </c>
      <c r="E39" s="52">
        <f>IF(B39="","",SUMIF(Transactions!$F$8:$F$3006,B39,Transactions!$O$8:$O$3006))</f>
        <v>0</v>
      </c>
      <c r="F39" s="53">
        <f>IF(B39="","",SUMIF(Transactions!$F$8:$F$3006,B39,Transactions!$R$8:$R$3006))</f>
        <v>100</v>
      </c>
      <c r="G39" s="54">
        <f>IF(B39="","",(C39+F39)-(D39+E39+SUMIF(Transactions!$F$8:$F$3006,B39,Transactions!$Q$8:$Q$3006)))</f>
        <v>-1400</v>
      </c>
      <c r="H39" s="55" t="str">
        <f>IF(B39="","",IF(G39&gt;0,"OUTSTANDING",IF(G39=0,"SETTLED",IF(SUMIF(Transactions!$F$8:$F$3006,B39,Transactions!$Q$8:$Q$3006)&gt;SUMIF(Transactions!$F$8:$F$3006,B39,Transactions!$R$8:$R$3006),"OWES","OVERPAID"))))</f>
        <v>OWES</v>
      </c>
      <c r="I39" s="1"/>
    </row>
    <row r="40" spans="1:9" ht="18" customHeight="1" x14ac:dyDescent="0.25">
      <c r="A40" s="40">
        <v>25</v>
      </c>
      <c r="B40" s="41" t="str">
        <f t="array" ref="B40">IFERROR(IF(INDEX(Transactions!$F$8:$F$3006,MATCH(0,COUNTIF($B$11:B39,Transactions!$F$8:$F$3006),0))="","",INDEX(Transactions!$F$8:$F$3006,MATCH(0,COUNTIF($B$11:B39,Transactions!$F$8:$F$3006),0))),"")</f>
        <v/>
      </c>
      <c r="C40" s="42" t="str">
        <f>IF(B40="","",SUMIF(Transactions!$F$8:$F$3006,B40,Transactions!$H$8:$H$3006))</f>
        <v/>
      </c>
      <c r="D40" s="43" t="str">
        <f>IF(B40="","",SUMIF(Transactions!$F$8:$F$3006,B40,Transactions!$N$8:$N$3006))</f>
        <v/>
      </c>
      <c r="E40" s="44" t="str">
        <f>IF(B40="","",SUMIF(Transactions!$F$8:$F$3006,B40,Transactions!$O$8:$O$3006))</f>
        <v/>
      </c>
      <c r="F40" s="45" t="str">
        <f>IF(B40="","",SUMIF(Transactions!$F$8:$F$3006,B40,Transactions!$R$8:$R$3006))</f>
        <v/>
      </c>
      <c r="G40" s="46" t="str">
        <f>IF(B40="","",(C40+F40)-(D40+E40+SUMIF(Transactions!$F$8:$F$3006,B40,Transactions!$Q$8:$Q$3006)))</f>
        <v/>
      </c>
      <c r="H40" s="47" t="str">
        <f>IF(B40="","",IF(G40&gt;0,"OUTSTANDING",IF(G40=0,"SETTLED",IF(SUMIF(Transactions!$F$8:$F$3006,B40,Transactions!$Q$8:$Q$3006)&gt;SUMIF(Transactions!$F$8:$F$3006,B40,Transactions!$R$8:$R$3006),"OWES","OVERPAID"))))</f>
        <v/>
      </c>
      <c r="I40" s="1"/>
    </row>
    <row r="41" spans="1:9" ht="18" customHeight="1" x14ac:dyDescent="0.25">
      <c r="A41" s="48">
        <v>26</v>
      </c>
      <c r="B41" s="49" t="str">
        <f t="array" ref="B41">IFERROR(IF(INDEX(Transactions!$F$8:$F$3006,MATCH(0,COUNTIF($B$11:B40,Transactions!$F$8:$F$3006),0))="","",INDEX(Transactions!$F$8:$F$3006,MATCH(0,COUNTIF($B$11:B40,Transactions!$F$8:$F$3006),0))),"")</f>
        <v/>
      </c>
      <c r="C41" s="50" t="str">
        <f>IF(B41="","",SUMIF(Transactions!$F$8:$F$3006,B41,Transactions!$H$8:$H$3006))</f>
        <v/>
      </c>
      <c r="D41" s="51" t="str">
        <f>IF(B41="","",SUMIF(Transactions!$F$8:$F$3006,B41,Transactions!$N$8:$N$3006))</f>
        <v/>
      </c>
      <c r="E41" s="52" t="str">
        <f>IF(B41="","",SUMIF(Transactions!$F$8:$F$3006,B41,Transactions!$O$8:$O$3006))</f>
        <v/>
      </c>
      <c r="F41" s="53" t="str">
        <f>IF(B41="","",SUMIF(Transactions!$F$8:$F$3006,B41,Transactions!$R$8:$R$3006))</f>
        <v/>
      </c>
      <c r="G41" s="54" t="str">
        <f>IF(B41="","",(C41+F41)-(D41+E41+SUMIF(Transactions!$F$8:$F$3006,B41,Transactions!$Q$8:$Q$3006)))</f>
        <v/>
      </c>
      <c r="H41" s="55" t="str">
        <f>IF(B41="","",IF(G41&gt;0,"OUTSTANDING",IF(G41=0,"SETTLED",IF(SUMIF(Transactions!$F$8:$F$3006,B41,Transactions!$Q$8:$Q$3006)&gt;SUMIF(Transactions!$F$8:$F$3006,B41,Transactions!$R$8:$R$3006),"OWES","OVERPAID"))))</f>
        <v/>
      </c>
      <c r="I41" s="1"/>
    </row>
    <row r="42" spans="1:9" ht="18" customHeight="1" x14ac:dyDescent="0.25">
      <c r="A42" s="40">
        <v>27</v>
      </c>
      <c r="B42" s="41" t="str">
        <f t="array" ref="B42">IFERROR(IF(INDEX(Transactions!$F$8:$F$3006,MATCH(0,COUNTIF($B$11:B41,Transactions!$F$8:$F$3006),0))="","",INDEX(Transactions!$F$8:$F$3006,MATCH(0,COUNTIF($B$11:B41,Transactions!$F$8:$F$3006),0))),"")</f>
        <v/>
      </c>
      <c r="C42" s="42" t="str">
        <f>IF(B42="","",SUMIF(Transactions!$F$8:$F$3006,B42,Transactions!$H$8:$H$3006))</f>
        <v/>
      </c>
      <c r="D42" s="43" t="str">
        <f>IF(B42="","",SUMIF(Transactions!$F$8:$F$3006,B42,Transactions!$N$8:$N$3006))</f>
        <v/>
      </c>
      <c r="E42" s="44" t="str">
        <f>IF(B42="","",SUMIF(Transactions!$F$8:$F$3006,B42,Transactions!$O$8:$O$3006))</f>
        <v/>
      </c>
      <c r="F42" s="45" t="str">
        <f>IF(B42="","",SUMIF(Transactions!$F$8:$F$3006,B42,Transactions!$R$8:$R$3006))</f>
        <v/>
      </c>
      <c r="G42" s="46" t="str">
        <f>IF(B42="","",(C42+F42)-(D42+E42+SUMIF(Transactions!$F$8:$F$3006,B42,Transactions!$Q$8:$Q$3006)))</f>
        <v/>
      </c>
      <c r="H42" s="47" t="str">
        <f>IF(B42="","",IF(G42&gt;0,"OUTSTANDING",IF(G42=0,"SETTLED",IF(SUMIF(Transactions!$F$8:$F$3006,B42,Transactions!$Q$8:$Q$3006)&gt;SUMIF(Transactions!$F$8:$F$3006,B42,Transactions!$R$8:$R$3006),"OWES","OVERPAID"))))</f>
        <v/>
      </c>
      <c r="I42" s="1"/>
    </row>
    <row r="43" spans="1:9" ht="18" customHeight="1" x14ac:dyDescent="0.25">
      <c r="A43" s="48">
        <v>28</v>
      </c>
      <c r="B43" s="49" t="str">
        <f t="array" ref="B43">IFERROR(IF(INDEX(Transactions!$F$8:$F$3006,MATCH(0,COUNTIF($B$11:B42,Transactions!$F$8:$F$3006),0))="","",INDEX(Transactions!$F$8:$F$3006,MATCH(0,COUNTIF($B$11:B42,Transactions!$F$8:$F$3006),0))),"")</f>
        <v/>
      </c>
      <c r="C43" s="50" t="str">
        <f>IF(B43="","",SUMIF(Transactions!$F$8:$F$3006,B43,Transactions!$H$8:$H$3006))</f>
        <v/>
      </c>
      <c r="D43" s="51" t="str">
        <f>IF(B43="","",SUMIF(Transactions!$F$8:$F$3006,B43,Transactions!$N$8:$N$3006))</f>
        <v/>
      </c>
      <c r="E43" s="52" t="str">
        <f>IF(B43="","",SUMIF(Transactions!$F$8:$F$3006,B43,Transactions!$O$8:$O$3006))</f>
        <v/>
      </c>
      <c r="F43" s="53" t="str">
        <f>IF(B43="","",SUMIF(Transactions!$F$8:$F$3006,B43,Transactions!$R$8:$R$3006))</f>
        <v/>
      </c>
      <c r="G43" s="54" t="str">
        <f>IF(B43="","",(C43+F43)-(D43+E43+SUMIF(Transactions!$F$8:$F$3006,B43,Transactions!$Q$8:$Q$3006)))</f>
        <v/>
      </c>
      <c r="H43" s="55" t="str">
        <f>IF(B43="","",IF(G43&gt;0,"OUTSTANDING",IF(G43=0,"SETTLED",IF(SUMIF(Transactions!$F$8:$F$3006,B43,Transactions!$Q$8:$Q$3006)&gt;SUMIF(Transactions!$F$8:$F$3006,B43,Transactions!$R$8:$R$3006),"OWES","OVERPAID"))))</f>
        <v/>
      </c>
      <c r="I43" s="1"/>
    </row>
    <row r="44" spans="1:9" ht="18" customHeight="1" x14ac:dyDescent="0.25">
      <c r="A44" s="40">
        <v>29</v>
      </c>
      <c r="B44" s="41" t="str">
        <f t="array" ref="B44">IFERROR(IF(INDEX(Transactions!$F$8:$F$3006,MATCH(0,COUNTIF($B$11:B43,Transactions!$F$8:$F$3006),0))="","",INDEX(Transactions!$F$8:$F$3006,MATCH(0,COUNTIF($B$11:B43,Transactions!$F$8:$F$3006),0))),"")</f>
        <v/>
      </c>
      <c r="C44" s="42" t="str">
        <f>IF(B44="","",SUMIF(Transactions!$F$8:$F$3006,B44,Transactions!$H$8:$H$3006))</f>
        <v/>
      </c>
      <c r="D44" s="43" t="str">
        <f>IF(B44="","",SUMIF(Transactions!$F$8:$F$3006,B44,Transactions!$N$8:$N$3006))</f>
        <v/>
      </c>
      <c r="E44" s="44" t="str">
        <f>IF(B44="","",SUMIF(Transactions!$F$8:$F$3006,B44,Transactions!$O$8:$O$3006))</f>
        <v/>
      </c>
      <c r="F44" s="45" t="str">
        <f>IF(B44="","",SUMIF(Transactions!$F$8:$F$3006,B44,Transactions!$R$8:$R$3006))</f>
        <v/>
      </c>
      <c r="G44" s="46" t="str">
        <f>IF(B44="","",(C44+F44)-(D44+E44+SUMIF(Transactions!$F$8:$F$3006,B44,Transactions!$Q$8:$Q$3006)))</f>
        <v/>
      </c>
      <c r="H44" s="47" t="str">
        <f>IF(B44="","",IF(G44&gt;0,"OUTSTANDING",IF(G44=0,"SETTLED",IF(SUMIF(Transactions!$F$8:$F$3006,B44,Transactions!$Q$8:$Q$3006)&gt;SUMIF(Transactions!$F$8:$F$3006,B44,Transactions!$R$8:$R$3006),"OWES","OVERPAID"))))</f>
        <v/>
      </c>
      <c r="I44" s="1"/>
    </row>
    <row r="45" spans="1:9" ht="18" customHeight="1" x14ac:dyDescent="0.25">
      <c r="A45" s="48">
        <v>30</v>
      </c>
      <c r="B45" s="49" t="str">
        <f t="array" ref="B45">IFERROR(IF(INDEX(Transactions!$F$8:$F$3006,MATCH(0,COUNTIF($B$11:B44,Transactions!$F$8:$F$3006),0))="","",INDEX(Transactions!$F$8:$F$3006,MATCH(0,COUNTIF($B$11:B44,Transactions!$F$8:$F$3006),0))),"")</f>
        <v/>
      </c>
      <c r="C45" s="50" t="str">
        <f>IF(B45="","",SUMIF(Transactions!$F$8:$F$3006,B45,Transactions!$H$8:$H$3006))</f>
        <v/>
      </c>
      <c r="D45" s="51" t="str">
        <f>IF(B45="","",SUMIF(Transactions!$F$8:$F$3006,B45,Transactions!$N$8:$N$3006))</f>
        <v/>
      </c>
      <c r="E45" s="52" t="str">
        <f>IF(B45="","",SUMIF(Transactions!$F$8:$F$3006,B45,Transactions!$O$8:$O$3006))</f>
        <v/>
      </c>
      <c r="F45" s="53" t="str">
        <f>IF(B45="","",SUMIF(Transactions!$F$8:$F$3006,B45,Transactions!$R$8:$R$3006))</f>
        <v/>
      </c>
      <c r="G45" s="54" t="str">
        <f>IF(B45="","",(C45+F45)-(D45+E45+SUMIF(Transactions!$F$8:$F$3006,B45,Transactions!$Q$8:$Q$3006)))</f>
        <v/>
      </c>
      <c r="H45" s="55" t="str">
        <f>IF(B45="","",IF(G45&gt;0,"OUTSTANDING",IF(G45=0,"SETTLED",IF(SUMIF(Transactions!$F$8:$F$3006,B45,Transactions!$Q$8:$Q$3006)&gt;SUMIF(Transactions!$F$8:$F$3006,B45,Transactions!$R$8:$R$3006),"OWES","OVERPAID"))))</f>
        <v/>
      </c>
      <c r="I45" s="1"/>
    </row>
    <row r="46" spans="1:9" ht="18" customHeight="1" x14ac:dyDescent="0.25">
      <c r="A46" s="40">
        <v>31</v>
      </c>
      <c r="B46" s="41" t="str">
        <f t="array" ref="B46">IFERROR(IF(INDEX(Transactions!$F$8:$F$3006,MATCH(0,COUNTIF($B$11:B45,Transactions!$F$8:$F$3006),0))="","",INDEX(Transactions!$F$8:$F$3006,MATCH(0,COUNTIF($B$11:B45,Transactions!$F$8:$F$3006),0))),"")</f>
        <v/>
      </c>
      <c r="C46" s="42" t="str">
        <f>IF(B46="","",SUMIF(Transactions!$F$8:$F$3006,B46,Transactions!$H$8:$H$3006))</f>
        <v/>
      </c>
      <c r="D46" s="43" t="str">
        <f>IF(B46="","",SUMIF(Transactions!$F$8:$F$3006,B46,Transactions!$N$8:$N$3006))</f>
        <v/>
      </c>
      <c r="E46" s="44" t="str">
        <f>IF(B46="","",SUMIF(Transactions!$F$8:$F$3006,B46,Transactions!$O$8:$O$3006))</f>
        <v/>
      </c>
      <c r="F46" s="45" t="str">
        <f>IF(B46="","",SUMIF(Transactions!$F$8:$F$3006,B46,Transactions!$R$8:$R$3006))</f>
        <v/>
      </c>
      <c r="G46" s="46" t="str">
        <f>IF(B46="","",(C46+F46)-(D46+E46+SUMIF(Transactions!$F$8:$F$3006,B46,Transactions!$Q$8:$Q$3006)))</f>
        <v/>
      </c>
      <c r="H46" s="47" t="str">
        <f>IF(B46="","",IF(G46&gt;0,"OUTSTANDING",IF(G46=0,"SETTLED",IF(SUMIF(Transactions!$F$8:$F$3006,B46,Transactions!$Q$8:$Q$3006)&gt;SUMIF(Transactions!$F$8:$F$3006,B46,Transactions!$R$8:$R$3006),"OWES","OVERPAID"))))</f>
        <v/>
      </c>
      <c r="I46" s="1"/>
    </row>
    <row r="47" spans="1:9" ht="18" customHeight="1" x14ac:dyDescent="0.25">
      <c r="A47" s="48">
        <v>32</v>
      </c>
      <c r="B47" s="49" t="str">
        <f t="array" ref="B47">IFERROR(IF(INDEX(Transactions!$F$8:$F$3006,MATCH(0,COUNTIF($B$11:B46,Transactions!$F$8:$F$3006),0))="","",INDEX(Transactions!$F$8:$F$3006,MATCH(0,COUNTIF($B$11:B46,Transactions!$F$8:$F$3006),0))),"")</f>
        <v/>
      </c>
      <c r="C47" s="50" t="str">
        <f>IF(B47="","",SUMIF(Transactions!$F$8:$F$3006,B47,Transactions!$H$8:$H$3006))</f>
        <v/>
      </c>
      <c r="D47" s="51" t="str">
        <f>IF(B47="","",SUMIF(Transactions!$F$8:$F$3006,B47,Transactions!$N$8:$N$3006))</f>
        <v/>
      </c>
      <c r="E47" s="52" t="str">
        <f>IF(B47="","",SUMIF(Transactions!$F$8:$F$3006,B47,Transactions!$O$8:$O$3006))</f>
        <v/>
      </c>
      <c r="F47" s="53" t="str">
        <f>IF(B47="","",SUMIF(Transactions!$F$8:$F$3006,B47,Transactions!$R$8:$R$3006))</f>
        <v/>
      </c>
      <c r="G47" s="54" t="str">
        <f>IF(B47="","",(C47+F47)-(D47+E47+SUMIF(Transactions!$F$8:$F$3006,B47,Transactions!$Q$8:$Q$3006)))</f>
        <v/>
      </c>
      <c r="H47" s="55" t="str">
        <f>IF(B47="","",IF(G47&gt;0,"OUTSTANDING",IF(G47=0,"SETTLED",IF(SUMIF(Transactions!$F$8:$F$3006,B47,Transactions!$Q$8:$Q$3006)&gt;SUMIF(Transactions!$F$8:$F$3006,B47,Transactions!$R$8:$R$3006),"OWES","OVERPAID"))))</f>
        <v/>
      </c>
      <c r="I47" s="1"/>
    </row>
    <row r="48" spans="1:9" ht="18" customHeight="1" x14ac:dyDescent="0.25">
      <c r="A48" s="40">
        <v>33</v>
      </c>
      <c r="B48" s="41" t="str">
        <f t="array" ref="B48">IFERROR(IF(INDEX(Transactions!$F$8:$F$3006,MATCH(0,COUNTIF($B$11:B47,Transactions!$F$8:$F$3006),0))="","",INDEX(Transactions!$F$8:$F$3006,MATCH(0,COUNTIF($B$11:B47,Transactions!$F$8:$F$3006),0))),"")</f>
        <v/>
      </c>
      <c r="C48" s="42" t="str">
        <f>IF(B48="","",SUMIF(Transactions!$F$8:$F$3006,B48,Transactions!$H$8:$H$3006))</f>
        <v/>
      </c>
      <c r="D48" s="43" t="str">
        <f>IF(B48="","",SUMIF(Transactions!$F$8:$F$3006,B48,Transactions!$N$8:$N$3006))</f>
        <v/>
      </c>
      <c r="E48" s="44" t="str">
        <f>IF(B48="","",SUMIF(Transactions!$F$8:$F$3006,B48,Transactions!$O$8:$O$3006))</f>
        <v/>
      </c>
      <c r="F48" s="45" t="str">
        <f>IF(B48="","",SUMIF(Transactions!$F$8:$F$3006,B48,Transactions!$R$8:$R$3006))</f>
        <v/>
      </c>
      <c r="G48" s="46" t="str">
        <f>IF(B48="","",(C48+F48)-(D48+E48+SUMIF(Transactions!$F$8:$F$3006,B48,Transactions!$Q$8:$Q$3006)))</f>
        <v/>
      </c>
      <c r="H48" s="47" t="str">
        <f>IF(B48="","",IF(G48&gt;0,"OUTSTANDING",IF(G48=0,"SETTLED",IF(SUMIF(Transactions!$F$8:$F$3006,B48,Transactions!$Q$8:$Q$3006)&gt;SUMIF(Transactions!$F$8:$F$3006,B48,Transactions!$R$8:$R$3006),"OWES","OVERPAID"))))</f>
        <v/>
      </c>
      <c r="I48" s="1"/>
    </row>
    <row r="49" spans="1:9" ht="18" customHeight="1" x14ac:dyDescent="0.25">
      <c r="A49" s="48">
        <v>34</v>
      </c>
      <c r="B49" s="49" t="str">
        <f t="array" ref="B49">IFERROR(IF(INDEX(Transactions!$F$8:$F$3006,MATCH(0,COUNTIF($B$11:B48,Transactions!$F$8:$F$3006),0))="","",INDEX(Transactions!$F$8:$F$3006,MATCH(0,COUNTIF($B$11:B48,Transactions!$F$8:$F$3006),0))),"")</f>
        <v/>
      </c>
      <c r="C49" s="50" t="str">
        <f>IF(B49="","",SUMIF(Transactions!$F$8:$F$3006,B49,Transactions!$H$8:$H$3006))</f>
        <v/>
      </c>
      <c r="D49" s="51" t="str">
        <f>IF(B49="","",SUMIF(Transactions!$F$8:$F$3006,B49,Transactions!$N$8:$N$3006))</f>
        <v/>
      </c>
      <c r="E49" s="52" t="str">
        <f>IF(B49="","",SUMIF(Transactions!$F$8:$F$3006,B49,Transactions!$O$8:$O$3006))</f>
        <v/>
      </c>
      <c r="F49" s="53" t="str">
        <f>IF(B49="","",SUMIF(Transactions!$F$8:$F$3006,B49,Transactions!$R$8:$R$3006))</f>
        <v/>
      </c>
      <c r="G49" s="54" t="str">
        <f>IF(B49="","",(C49+F49)-(D49+E49+SUMIF(Transactions!$F$8:$F$3006,B49,Transactions!$Q$8:$Q$3006)))</f>
        <v/>
      </c>
      <c r="H49" s="55" t="str">
        <f>IF(B49="","",IF(G49&gt;0,"OUTSTANDING",IF(G49=0,"SETTLED",IF(SUMIF(Transactions!$F$8:$F$3006,B49,Transactions!$Q$8:$Q$3006)&gt;SUMIF(Transactions!$F$8:$F$3006,B49,Transactions!$R$8:$R$3006),"OWES","OVERPAID"))))</f>
        <v/>
      </c>
      <c r="I49" s="1"/>
    </row>
    <row r="50" spans="1:9" ht="18" customHeight="1" x14ac:dyDescent="0.25">
      <c r="A50" s="40">
        <v>35</v>
      </c>
      <c r="B50" s="41" t="str">
        <f t="array" ref="B50">IFERROR(IF(INDEX(Transactions!$F$8:$F$3006,MATCH(0,COUNTIF($B$11:B49,Transactions!$F$8:$F$3006),0))="","",INDEX(Transactions!$F$8:$F$3006,MATCH(0,COUNTIF($B$11:B49,Transactions!$F$8:$F$3006),0))),"")</f>
        <v/>
      </c>
      <c r="C50" s="42" t="str">
        <f>IF(B50="","",SUMIF(Transactions!$F$8:$F$3006,B50,Transactions!$H$8:$H$3006))</f>
        <v/>
      </c>
      <c r="D50" s="43" t="str">
        <f>IF(B50="","",SUMIF(Transactions!$F$8:$F$3006,B50,Transactions!$N$8:$N$3006))</f>
        <v/>
      </c>
      <c r="E50" s="44" t="str">
        <f>IF(B50="","",SUMIF(Transactions!$F$8:$F$3006,B50,Transactions!$O$8:$O$3006))</f>
        <v/>
      </c>
      <c r="F50" s="45" t="str">
        <f>IF(B50="","",SUMIF(Transactions!$F$8:$F$3006,B50,Transactions!$R$8:$R$3006))</f>
        <v/>
      </c>
      <c r="G50" s="46" t="str">
        <f>IF(B50="","",(C50+F50)-(D50+E50+SUMIF(Transactions!$F$8:$F$3006,B50,Transactions!$Q$8:$Q$3006)))</f>
        <v/>
      </c>
      <c r="H50" s="47" t="str">
        <f>IF(B50="","",IF(G50&gt;0,"OUTSTANDING",IF(G50=0,"SETTLED",IF(SUMIF(Transactions!$F$8:$F$3006,B50,Transactions!$Q$8:$Q$3006)&gt;SUMIF(Transactions!$F$8:$F$3006,B50,Transactions!$R$8:$R$3006),"OWES","OVERPAID"))))</f>
        <v/>
      </c>
      <c r="I50" s="1"/>
    </row>
    <row r="51" spans="1:9" ht="18" customHeight="1" x14ac:dyDescent="0.25">
      <c r="A51" s="48">
        <v>36</v>
      </c>
      <c r="B51" s="49" t="str">
        <f t="array" ref="B51">IFERROR(IF(INDEX(Transactions!$F$8:$F$3006,MATCH(0,COUNTIF($B$11:B50,Transactions!$F$8:$F$3006),0))="","",INDEX(Transactions!$F$8:$F$3006,MATCH(0,COUNTIF($B$11:B50,Transactions!$F$8:$F$3006),0))),"")</f>
        <v/>
      </c>
      <c r="C51" s="50" t="str">
        <f>IF(B51="","",SUMIF(Transactions!$F$8:$F$3006,B51,Transactions!$H$8:$H$3006))</f>
        <v/>
      </c>
      <c r="D51" s="51" t="str">
        <f>IF(B51="","",SUMIF(Transactions!$F$8:$F$3006,B51,Transactions!$N$8:$N$3006))</f>
        <v/>
      </c>
      <c r="E51" s="52" t="str">
        <f>IF(B51="","",SUMIF(Transactions!$F$8:$F$3006,B51,Transactions!$O$8:$O$3006))</f>
        <v/>
      </c>
      <c r="F51" s="53" t="str">
        <f>IF(B51="","",SUMIF(Transactions!$F$8:$F$3006,B51,Transactions!$R$8:$R$3006))</f>
        <v/>
      </c>
      <c r="G51" s="54" t="str">
        <f>IF(B51="","",(C51+F51)-(D51+E51+SUMIF(Transactions!$F$8:$F$3006,B51,Transactions!$Q$8:$Q$3006)))</f>
        <v/>
      </c>
      <c r="H51" s="55" t="str">
        <f>IF(B51="","",IF(G51&gt;0,"OUTSTANDING",IF(G51=0,"SETTLED",IF(SUMIF(Transactions!$F$8:$F$3006,B51,Transactions!$Q$8:$Q$3006)&gt;SUMIF(Transactions!$F$8:$F$3006,B51,Transactions!$R$8:$R$3006),"OWES","OVERPAID"))))</f>
        <v/>
      </c>
      <c r="I51" s="1"/>
    </row>
    <row r="52" spans="1:9" ht="18" customHeight="1" x14ac:dyDescent="0.25">
      <c r="A52" s="40">
        <v>37</v>
      </c>
      <c r="B52" s="41" t="str">
        <f t="array" ref="B52">IFERROR(IF(INDEX(Transactions!$F$8:$F$3006,MATCH(0,COUNTIF($B$11:B51,Transactions!$F$8:$F$3006),0))="","",INDEX(Transactions!$F$8:$F$3006,MATCH(0,COUNTIF($B$11:B51,Transactions!$F$8:$F$3006),0))),"")</f>
        <v/>
      </c>
      <c r="C52" s="42" t="str">
        <f>IF(B52="","",SUMIF(Transactions!$F$8:$F$3006,B52,Transactions!$H$8:$H$3006))</f>
        <v/>
      </c>
      <c r="D52" s="43" t="str">
        <f>IF(B52="","",SUMIF(Transactions!$F$8:$F$3006,B52,Transactions!$N$8:$N$3006))</f>
        <v/>
      </c>
      <c r="E52" s="44" t="str">
        <f>IF(B52="","",SUMIF(Transactions!$F$8:$F$3006,B52,Transactions!$O$8:$O$3006))</f>
        <v/>
      </c>
      <c r="F52" s="45" t="str">
        <f>IF(B52="","",SUMIF(Transactions!$F$8:$F$3006,B52,Transactions!$R$8:$R$3006))</f>
        <v/>
      </c>
      <c r="G52" s="46" t="str">
        <f>IF(B52="","",(C52+F52)-(D52+E52+SUMIF(Transactions!$F$8:$F$3006,B52,Transactions!$Q$8:$Q$3006)))</f>
        <v/>
      </c>
      <c r="H52" s="47" t="str">
        <f>IF(B52="","",IF(G52&gt;0,"OUTSTANDING",IF(G52=0,"SETTLED",IF(SUMIF(Transactions!$F$8:$F$3006,B52,Transactions!$Q$8:$Q$3006)&gt;SUMIF(Transactions!$F$8:$F$3006,B52,Transactions!$R$8:$R$3006),"OWES","OVERPAID"))))</f>
        <v/>
      </c>
      <c r="I52" s="1"/>
    </row>
    <row r="53" spans="1:9" ht="18" customHeight="1" x14ac:dyDescent="0.25">
      <c r="A53" s="48">
        <v>38</v>
      </c>
      <c r="B53" s="49" t="str">
        <f t="array" ref="B53">IFERROR(IF(INDEX(Transactions!$F$8:$F$3006,MATCH(0,COUNTIF($B$11:B52,Transactions!$F$8:$F$3006),0))="","",INDEX(Transactions!$F$8:$F$3006,MATCH(0,COUNTIF($B$11:B52,Transactions!$F$8:$F$3006),0))),"")</f>
        <v/>
      </c>
      <c r="C53" s="50" t="str">
        <f>IF(B53="","",SUMIF(Transactions!$F$8:$F$3006,B53,Transactions!$H$8:$H$3006))</f>
        <v/>
      </c>
      <c r="D53" s="51" t="str">
        <f>IF(B53="","",SUMIF(Transactions!$F$8:$F$3006,B53,Transactions!$N$8:$N$3006))</f>
        <v/>
      </c>
      <c r="E53" s="52" t="str">
        <f>IF(B53="","",SUMIF(Transactions!$F$8:$F$3006,B53,Transactions!$O$8:$O$3006))</f>
        <v/>
      </c>
      <c r="F53" s="53" t="str">
        <f>IF(B53="","",SUMIF(Transactions!$F$8:$F$3006,B53,Transactions!$R$8:$R$3006))</f>
        <v/>
      </c>
      <c r="G53" s="54" t="str">
        <f>IF(B53="","",(C53+F53)-(D53+E53+SUMIF(Transactions!$F$8:$F$3006,B53,Transactions!$Q$8:$Q$3006)))</f>
        <v/>
      </c>
      <c r="H53" s="55" t="str">
        <f>IF(B53="","",IF(G53&gt;0,"OUTSTANDING",IF(G53=0,"SETTLED",IF(SUMIF(Transactions!$F$8:$F$3006,B53,Transactions!$Q$8:$Q$3006)&gt;SUMIF(Transactions!$F$8:$F$3006,B53,Transactions!$R$8:$R$3006),"OWES","OVERPAID"))))</f>
        <v/>
      </c>
      <c r="I53" s="1"/>
    </row>
    <row r="54" spans="1:9" ht="18" customHeight="1" x14ac:dyDescent="0.25">
      <c r="A54" s="40">
        <v>39</v>
      </c>
      <c r="B54" s="41" t="str">
        <f t="array" ref="B54">IFERROR(IF(INDEX(Transactions!$F$8:$F$3006,MATCH(0,COUNTIF($B$11:B53,Transactions!$F$8:$F$3006),0))="","",INDEX(Transactions!$F$8:$F$3006,MATCH(0,COUNTIF($B$11:B53,Transactions!$F$8:$F$3006),0))),"")</f>
        <v/>
      </c>
      <c r="C54" s="42" t="str">
        <f>IF(B54="","",SUMIF(Transactions!$F$8:$F$3006,B54,Transactions!$H$8:$H$3006))</f>
        <v/>
      </c>
      <c r="D54" s="43" t="str">
        <f>IF(B54="","",SUMIF(Transactions!$F$8:$F$3006,B54,Transactions!$N$8:$N$3006))</f>
        <v/>
      </c>
      <c r="E54" s="44" t="str">
        <f>IF(B54="","",SUMIF(Transactions!$F$8:$F$3006,B54,Transactions!$O$8:$O$3006))</f>
        <v/>
      </c>
      <c r="F54" s="45" t="str">
        <f>IF(B54="","",SUMIF(Transactions!$F$8:$F$3006,B54,Transactions!$R$8:$R$3006))</f>
        <v/>
      </c>
      <c r="G54" s="46" t="str">
        <f>IF(B54="","",(C54+F54)-(D54+E54+SUMIF(Transactions!$F$8:$F$3006,B54,Transactions!$Q$8:$Q$3006)))</f>
        <v/>
      </c>
      <c r="H54" s="47" t="str">
        <f>IF(B54="","",IF(G54&gt;0,"OUTSTANDING",IF(G54=0,"SETTLED",IF(SUMIF(Transactions!$F$8:$F$3006,B54,Transactions!$Q$8:$Q$3006)&gt;SUMIF(Transactions!$F$8:$F$3006,B54,Transactions!$R$8:$R$3006),"OWES","OVERPAID"))))</f>
        <v/>
      </c>
      <c r="I54" s="1"/>
    </row>
    <row r="55" spans="1:9" ht="18" customHeight="1" x14ac:dyDescent="0.25">
      <c r="A55" s="48">
        <v>40</v>
      </c>
      <c r="B55" s="49" t="str">
        <f t="array" ref="B55">IFERROR(IF(INDEX(Transactions!$F$8:$F$3006,MATCH(0,COUNTIF($B$11:B54,Transactions!$F$8:$F$3006),0))="","",INDEX(Transactions!$F$8:$F$3006,MATCH(0,COUNTIF($B$11:B54,Transactions!$F$8:$F$3006),0))),"")</f>
        <v/>
      </c>
      <c r="C55" s="50" t="str">
        <f>IF(B55="","",SUMIF(Transactions!$F$8:$F$3006,B55,Transactions!$H$8:$H$3006))</f>
        <v/>
      </c>
      <c r="D55" s="51" t="str">
        <f>IF(B55="","",SUMIF(Transactions!$F$8:$F$3006,B55,Transactions!$N$8:$N$3006))</f>
        <v/>
      </c>
      <c r="E55" s="52" t="str">
        <f>IF(B55="","",SUMIF(Transactions!$F$8:$F$3006,B55,Transactions!$O$8:$O$3006))</f>
        <v/>
      </c>
      <c r="F55" s="53" t="str">
        <f>IF(B55="","",SUMIF(Transactions!$F$8:$F$3006,B55,Transactions!$R$8:$R$3006))</f>
        <v/>
      </c>
      <c r="G55" s="54" t="str">
        <f>IF(B55="","",(C55+F55)-(D55+E55+SUMIF(Transactions!$F$8:$F$3006,B55,Transactions!$Q$8:$Q$3006)))</f>
        <v/>
      </c>
      <c r="H55" s="55" t="str">
        <f>IF(B55="","",IF(G55&gt;0,"OUTSTANDING",IF(G55=0,"SETTLED",IF(SUMIF(Transactions!$F$8:$F$3006,B55,Transactions!$Q$8:$Q$3006)&gt;SUMIF(Transactions!$F$8:$F$3006,B55,Transactions!$R$8:$R$3006),"OWES","OVERPAID"))))</f>
        <v/>
      </c>
      <c r="I55" s="1"/>
    </row>
    <row r="56" spans="1:9" ht="18" customHeight="1" x14ac:dyDescent="0.25">
      <c r="A56" s="40">
        <v>41</v>
      </c>
      <c r="B56" s="41" t="str">
        <f t="array" ref="B56">IFERROR(IF(INDEX(Transactions!$F$8:$F$3006,MATCH(0,COUNTIF($B$11:B55,Transactions!$F$8:$F$3006),0))="","",INDEX(Transactions!$F$8:$F$3006,MATCH(0,COUNTIF($B$11:B55,Transactions!$F$8:$F$3006),0))),"")</f>
        <v/>
      </c>
      <c r="C56" s="42" t="str">
        <f>IF(B56="","",SUMIF(Transactions!$F$8:$F$3006,B56,Transactions!$H$8:$H$3006))</f>
        <v/>
      </c>
      <c r="D56" s="43" t="str">
        <f>IF(B56="","",SUMIF(Transactions!$F$8:$F$3006,B56,Transactions!$N$8:$N$3006))</f>
        <v/>
      </c>
      <c r="E56" s="44" t="str">
        <f>IF(B56="","",SUMIF(Transactions!$F$8:$F$3006,B56,Transactions!$O$8:$O$3006))</f>
        <v/>
      </c>
      <c r="F56" s="45" t="str">
        <f>IF(B56="","",SUMIF(Transactions!$F$8:$F$3006,B56,Transactions!$R$8:$R$3006))</f>
        <v/>
      </c>
      <c r="G56" s="46" t="str">
        <f>IF(B56="","",(C56+F56)-(D56+E56+SUMIF(Transactions!$F$8:$F$3006,B56,Transactions!$Q$8:$Q$3006)))</f>
        <v/>
      </c>
      <c r="H56" s="47" t="str">
        <f>IF(B56="","",IF(G56&gt;0,"OUTSTANDING",IF(G56=0,"SETTLED",IF(SUMIF(Transactions!$F$8:$F$3006,B56,Transactions!$Q$8:$Q$3006)&gt;SUMIF(Transactions!$F$8:$F$3006,B56,Transactions!$R$8:$R$3006),"OWES","OVERPAID"))))</f>
        <v/>
      </c>
      <c r="I56" s="1"/>
    </row>
    <row r="57" spans="1:9" ht="18" customHeight="1" x14ac:dyDescent="0.25">
      <c r="A57" s="48">
        <v>42</v>
      </c>
      <c r="B57" s="49" t="str">
        <f t="array" ref="B57">IFERROR(IF(INDEX(Transactions!$F$8:$F$3006,MATCH(0,COUNTIF($B$11:B56,Transactions!$F$8:$F$3006),0))="","",INDEX(Transactions!$F$8:$F$3006,MATCH(0,COUNTIF($B$11:B56,Transactions!$F$8:$F$3006),0))),"")</f>
        <v/>
      </c>
      <c r="C57" s="50" t="str">
        <f>IF(B57="","",SUMIF(Transactions!$F$8:$F$3006,B57,Transactions!$H$8:$H$3006))</f>
        <v/>
      </c>
      <c r="D57" s="51" t="str">
        <f>IF(B57="","",SUMIF(Transactions!$F$8:$F$3006,B57,Transactions!$N$8:$N$3006))</f>
        <v/>
      </c>
      <c r="E57" s="52" t="str">
        <f>IF(B57="","",SUMIF(Transactions!$F$8:$F$3006,B57,Transactions!$O$8:$O$3006))</f>
        <v/>
      </c>
      <c r="F57" s="53" t="str">
        <f>IF(B57="","",SUMIF(Transactions!$F$8:$F$3006,B57,Transactions!$R$8:$R$3006))</f>
        <v/>
      </c>
      <c r="G57" s="54" t="str">
        <f>IF(B57="","",(C57+F57)-(D57+E57+SUMIF(Transactions!$F$8:$F$3006,B57,Transactions!$Q$8:$Q$3006)))</f>
        <v/>
      </c>
      <c r="H57" s="55" t="str">
        <f>IF(B57="","",IF(G57&gt;0,"OUTSTANDING",IF(G57=0,"SETTLED",IF(SUMIF(Transactions!$F$8:$F$3006,B57,Transactions!$Q$8:$Q$3006)&gt;SUMIF(Transactions!$F$8:$F$3006,B57,Transactions!$R$8:$R$3006),"OWES","OVERPAID"))))</f>
        <v/>
      </c>
      <c r="I57" s="1"/>
    </row>
    <row r="58" spans="1:9" ht="18" customHeight="1" x14ac:dyDescent="0.25">
      <c r="A58" s="40">
        <v>43</v>
      </c>
      <c r="B58" s="41" t="str">
        <f t="array" ref="B58">IFERROR(IF(INDEX(Transactions!$F$8:$F$3006,MATCH(0,COUNTIF($B$11:B57,Transactions!$F$8:$F$3006),0))="","",INDEX(Transactions!$F$8:$F$3006,MATCH(0,COUNTIF($B$11:B57,Transactions!$F$8:$F$3006),0))),"")</f>
        <v/>
      </c>
      <c r="C58" s="42" t="str">
        <f>IF(B58="","",SUMIF(Transactions!$F$8:$F$3006,B58,Transactions!$H$8:$H$3006))</f>
        <v/>
      </c>
      <c r="D58" s="43" t="str">
        <f>IF(B58="","",SUMIF(Transactions!$F$8:$F$3006,B58,Transactions!$N$8:$N$3006))</f>
        <v/>
      </c>
      <c r="E58" s="44" t="str">
        <f>IF(B58="","",SUMIF(Transactions!$F$8:$F$3006,B58,Transactions!$O$8:$O$3006))</f>
        <v/>
      </c>
      <c r="F58" s="45" t="str">
        <f>IF(B58="","",SUMIF(Transactions!$F$8:$F$3006,B58,Transactions!$R$8:$R$3006))</f>
        <v/>
      </c>
      <c r="G58" s="46" t="str">
        <f>IF(B58="","",(C58+F58)-(D58+E58+SUMIF(Transactions!$F$8:$F$3006,B58,Transactions!$Q$8:$Q$3006)))</f>
        <v/>
      </c>
      <c r="H58" s="47" t="str">
        <f>IF(B58="","",IF(G58&gt;0,"OUTSTANDING",IF(G58=0,"SETTLED",IF(SUMIF(Transactions!$F$8:$F$3006,B58,Transactions!$Q$8:$Q$3006)&gt;SUMIF(Transactions!$F$8:$F$3006,B58,Transactions!$R$8:$R$3006),"OWES","OVERPAID"))))</f>
        <v/>
      </c>
      <c r="I58" s="1"/>
    </row>
    <row r="59" spans="1:9" ht="18" customHeight="1" x14ac:dyDescent="0.25">
      <c r="A59" s="48">
        <v>44</v>
      </c>
      <c r="B59" s="49" t="str">
        <f t="array" ref="B59">IFERROR(IF(INDEX(Transactions!$F$8:$F$3006,MATCH(0,COUNTIF($B$11:B58,Transactions!$F$8:$F$3006),0))="","",INDEX(Transactions!$F$8:$F$3006,MATCH(0,COUNTIF($B$11:B58,Transactions!$F$8:$F$3006),0))),"")</f>
        <v/>
      </c>
      <c r="C59" s="50" t="str">
        <f>IF(B59="","",SUMIF(Transactions!$F$8:$F$3006,B59,Transactions!$H$8:$H$3006))</f>
        <v/>
      </c>
      <c r="D59" s="51" t="str">
        <f>IF(B59="","",SUMIF(Transactions!$F$8:$F$3006,B59,Transactions!$N$8:$N$3006))</f>
        <v/>
      </c>
      <c r="E59" s="52" t="str">
        <f>IF(B59="","",SUMIF(Transactions!$F$8:$F$3006,B59,Transactions!$O$8:$O$3006))</f>
        <v/>
      </c>
      <c r="F59" s="53" t="str">
        <f>IF(B59="","",SUMIF(Transactions!$F$8:$F$3006,B59,Transactions!$R$8:$R$3006))</f>
        <v/>
      </c>
      <c r="G59" s="54" t="str">
        <f>IF(B59="","",(C59+F59)-(D59+E59+SUMIF(Transactions!$F$8:$F$3006,B59,Transactions!$Q$8:$Q$3006)))</f>
        <v/>
      </c>
      <c r="H59" s="55" t="str">
        <f>IF(B59="","",IF(G59&gt;0,"OUTSTANDING",IF(G59=0,"SETTLED",IF(SUMIF(Transactions!$F$8:$F$3006,B59,Transactions!$Q$8:$Q$3006)&gt;SUMIF(Transactions!$F$8:$F$3006,B59,Transactions!$R$8:$R$3006),"OWES","OVERPAID"))))</f>
        <v/>
      </c>
      <c r="I59" s="1"/>
    </row>
    <row r="60" spans="1:9" ht="18" customHeight="1" x14ac:dyDescent="0.25">
      <c r="A60" s="40">
        <v>45</v>
      </c>
      <c r="B60" s="41" t="str">
        <f t="array" ref="B60">IFERROR(IF(INDEX(Transactions!$F$8:$F$3006,MATCH(0,COUNTIF($B$11:B59,Transactions!$F$8:$F$3006),0))="","",INDEX(Transactions!$F$8:$F$3006,MATCH(0,COUNTIF($B$11:B59,Transactions!$F$8:$F$3006),0))),"")</f>
        <v/>
      </c>
      <c r="C60" s="42" t="str">
        <f>IF(B60="","",SUMIF(Transactions!$F$8:$F$3006,B60,Transactions!$H$8:$H$3006))</f>
        <v/>
      </c>
      <c r="D60" s="43" t="str">
        <f>IF(B60="","",SUMIF(Transactions!$F$8:$F$3006,B60,Transactions!$N$8:$N$3006))</f>
        <v/>
      </c>
      <c r="E60" s="44" t="str">
        <f>IF(B60="","",SUMIF(Transactions!$F$8:$F$3006,B60,Transactions!$O$8:$O$3006))</f>
        <v/>
      </c>
      <c r="F60" s="45" t="str">
        <f>IF(B60="","",SUMIF(Transactions!$F$8:$F$3006,B60,Transactions!$R$8:$R$3006))</f>
        <v/>
      </c>
      <c r="G60" s="46" t="str">
        <f>IF(B60="","",(C60+F60)-(D60+E60+SUMIF(Transactions!$F$8:$F$3006,B60,Transactions!$Q$8:$Q$3006)))</f>
        <v/>
      </c>
      <c r="H60" s="47" t="str">
        <f>IF(B60="","",IF(G60&gt;0,"OUTSTANDING",IF(G60=0,"SETTLED",IF(SUMIF(Transactions!$F$8:$F$3006,B60,Transactions!$Q$8:$Q$3006)&gt;SUMIF(Transactions!$F$8:$F$3006,B60,Transactions!$R$8:$R$3006),"OWES","OVERPAID"))))</f>
        <v/>
      </c>
      <c r="I60" s="1"/>
    </row>
    <row r="61" spans="1:9" ht="18" customHeight="1" x14ac:dyDescent="0.25">
      <c r="A61" s="48">
        <v>46</v>
      </c>
      <c r="B61" s="49" t="str">
        <f t="array" ref="B61">IFERROR(IF(INDEX(Transactions!$F$8:$F$3006,MATCH(0,COUNTIF($B$11:B60,Transactions!$F$8:$F$3006),0))="","",INDEX(Transactions!$F$8:$F$3006,MATCH(0,COUNTIF($B$11:B60,Transactions!$F$8:$F$3006),0))),"")</f>
        <v/>
      </c>
      <c r="C61" s="50" t="str">
        <f>IF(B61="","",SUMIF(Transactions!$F$8:$F$3006,B61,Transactions!$H$8:$H$3006))</f>
        <v/>
      </c>
      <c r="D61" s="51" t="str">
        <f>IF(B61="","",SUMIF(Transactions!$F$8:$F$3006,B61,Transactions!$N$8:$N$3006))</f>
        <v/>
      </c>
      <c r="E61" s="52" t="str">
        <f>IF(B61="","",SUMIF(Transactions!$F$8:$F$3006,B61,Transactions!$O$8:$O$3006))</f>
        <v/>
      </c>
      <c r="F61" s="53" t="str">
        <f>IF(B61="","",SUMIF(Transactions!$F$8:$F$3006,B61,Transactions!$R$8:$R$3006))</f>
        <v/>
      </c>
      <c r="G61" s="54" t="str">
        <f>IF(B61="","",(C61+F61)-(D61+E61+SUMIF(Transactions!$F$8:$F$3006,B61,Transactions!$Q$8:$Q$3006)))</f>
        <v/>
      </c>
      <c r="H61" s="55" t="str">
        <f>IF(B61="","",IF(G61&gt;0,"OUTSTANDING",IF(G61=0,"SETTLED",IF(SUMIF(Transactions!$F$8:$F$3006,B61,Transactions!$Q$8:$Q$3006)&gt;SUMIF(Transactions!$F$8:$F$3006,B61,Transactions!$R$8:$R$3006),"OWES","OVERPAID"))))</f>
        <v/>
      </c>
      <c r="I61" s="1"/>
    </row>
    <row r="62" spans="1:9" ht="18" customHeight="1" x14ac:dyDescent="0.25">
      <c r="A62" s="40">
        <v>47</v>
      </c>
      <c r="B62" s="41" t="str">
        <f t="array" ref="B62">IFERROR(IF(INDEX(Transactions!$F$8:$F$3006,MATCH(0,COUNTIF($B$11:B61,Transactions!$F$8:$F$3006),0))="","",INDEX(Transactions!$F$8:$F$3006,MATCH(0,COUNTIF($B$11:B61,Transactions!$F$8:$F$3006),0))),"")</f>
        <v/>
      </c>
      <c r="C62" s="42" t="str">
        <f>IF(B62="","",SUMIF(Transactions!$F$8:$F$3006,B62,Transactions!$H$8:$H$3006))</f>
        <v/>
      </c>
      <c r="D62" s="43" t="str">
        <f>IF(B62="","",SUMIF(Transactions!$F$8:$F$3006,B62,Transactions!$N$8:$N$3006))</f>
        <v/>
      </c>
      <c r="E62" s="44" t="str">
        <f>IF(B62="","",SUMIF(Transactions!$F$8:$F$3006,B62,Transactions!$O$8:$O$3006))</f>
        <v/>
      </c>
      <c r="F62" s="45" t="str">
        <f>IF(B62="","",SUMIF(Transactions!$F$8:$F$3006,B62,Transactions!$R$8:$R$3006))</f>
        <v/>
      </c>
      <c r="G62" s="46" t="str">
        <f>IF(B62="","",(C62+F62)-(D62+E62+SUMIF(Transactions!$F$8:$F$3006,B62,Transactions!$Q$8:$Q$3006)))</f>
        <v/>
      </c>
      <c r="H62" s="47" t="str">
        <f>IF(B62="","",IF(G62&gt;0,"OUTSTANDING",IF(G62=0,"SETTLED",IF(SUMIF(Transactions!$F$8:$F$3006,B62,Transactions!$Q$8:$Q$3006)&gt;SUMIF(Transactions!$F$8:$F$3006,B62,Transactions!$R$8:$R$3006),"OWES","OVERPAID"))))</f>
        <v/>
      </c>
      <c r="I62" s="1"/>
    </row>
    <row r="63" spans="1:9" ht="18" customHeight="1" x14ac:dyDescent="0.25">
      <c r="A63" s="48">
        <v>48</v>
      </c>
      <c r="B63" s="49" t="str">
        <f t="array" ref="B63">IFERROR(IF(INDEX(Transactions!$F$8:$F$3006,MATCH(0,COUNTIF($B$11:B62,Transactions!$F$8:$F$3006),0))="","",INDEX(Transactions!$F$8:$F$3006,MATCH(0,COUNTIF($B$11:B62,Transactions!$F$8:$F$3006),0))),"")</f>
        <v/>
      </c>
      <c r="C63" s="50" t="str">
        <f>IF(B63="","",SUMIF(Transactions!$F$8:$F$3006,B63,Transactions!$H$8:$H$3006))</f>
        <v/>
      </c>
      <c r="D63" s="51" t="str">
        <f>IF(B63="","",SUMIF(Transactions!$F$8:$F$3006,B63,Transactions!$N$8:$N$3006))</f>
        <v/>
      </c>
      <c r="E63" s="52" t="str">
        <f>IF(B63="","",SUMIF(Transactions!$F$8:$F$3006,B63,Transactions!$O$8:$O$3006))</f>
        <v/>
      </c>
      <c r="F63" s="53" t="str">
        <f>IF(B63="","",SUMIF(Transactions!$F$8:$F$3006,B63,Transactions!$R$8:$R$3006))</f>
        <v/>
      </c>
      <c r="G63" s="54" t="str">
        <f>IF(B63="","",(C63+F63)-(D63+E63+SUMIF(Transactions!$F$8:$F$3006,B63,Transactions!$Q$8:$Q$3006)))</f>
        <v/>
      </c>
      <c r="H63" s="55" t="str">
        <f>IF(B63="","",IF(G63&gt;0,"OUTSTANDING",IF(G63=0,"SETTLED",IF(SUMIF(Transactions!$F$8:$F$3006,B63,Transactions!$Q$8:$Q$3006)&gt;SUMIF(Transactions!$F$8:$F$3006,B63,Transactions!$R$8:$R$3006),"OWES","OVERPAID"))))</f>
        <v/>
      </c>
      <c r="I63" s="1"/>
    </row>
    <row r="64" spans="1:9" ht="18" customHeight="1" x14ac:dyDescent="0.25">
      <c r="A64" s="40">
        <v>49</v>
      </c>
      <c r="B64" s="41" t="str">
        <f t="array" ref="B64">IFERROR(IF(INDEX(Transactions!$F$8:$F$3006,MATCH(0,COUNTIF($B$11:B63,Transactions!$F$8:$F$3006),0))="","",INDEX(Transactions!$F$8:$F$3006,MATCH(0,COUNTIF($B$11:B63,Transactions!$F$8:$F$3006),0))),"")</f>
        <v/>
      </c>
      <c r="C64" s="42" t="str">
        <f>IF(B64="","",SUMIF(Transactions!$F$8:$F$3006,B64,Transactions!$H$8:$H$3006))</f>
        <v/>
      </c>
      <c r="D64" s="43" t="str">
        <f>IF(B64="","",SUMIF(Transactions!$F$8:$F$3006,B64,Transactions!$N$8:$N$3006))</f>
        <v/>
      </c>
      <c r="E64" s="44" t="str">
        <f>IF(B64="","",SUMIF(Transactions!$F$8:$F$3006,B64,Transactions!$O$8:$O$3006))</f>
        <v/>
      </c>
      <c r="F64" s="45" t="str">
        <f>IF(B64="","",SUMIF(Transactions!$F$8:$F$3006,B64,Transactions!$R$8:$R$3006))</f>
        <v/>
      </c>
      <c r="G64" s="46" t="str">
        <f>IF(B64="","",(C64+F64)-(D64+E64+SUMIF(Transactions!$F$8:$F$3006,B64,Transactions!$Q$8:$Q$3006)))</f>
        <v/>
      </c>
      <c r="H64" s="47" t="str">
        <f>IF(B64="","",IF(G64&gt;0,"OUTSTANDING",IF(G64=0,"SETTLED",IF(SUMIF(Transactions!$F$8:$F$3006,B64,Transactions!$Q$8:$Q$3006)&gt;SUMIF(Transactions!$F$8:$F$3006,B64,Transactions!$R$8:$R$3006),"OWES","OVERPAID"))))</f>
        <v/>
      </c>
      <c r="I64" s="1"/>
    </row>
    <row r="65" spans="1:9" ht="18" customHeight="1" x14ac:dyDescent="0.25">
      <c r="A65" s="48">
        <v>50</v>
      </c>
      <c r="B65" s="49" t="str">
        <f t="array" ref="B65">IFERROR(IF(INDEX(Transactions!$F$8:$F$3006,MATCH(0,COUNTIF($B$11:B64,Transactions!$F$8:$F$3006),0))="","",INDEX(Transactions!$F$8:$F$3006,MATCH(0,COUNTIF($B$11:B64,Transactions!$F$8:$F$3006),0))),"")</f>
        <v/>
      </c>
      <c r="C65" s="50" t="str">
        <f>IF(B65="","",SUMIF(Transactions!$F$8:$F$3006,B65,Transactions!$H$8:$H$3006))</f>
        <v/>
      </c>
      <c r="D65" s="51" t="str">
        <f>IF(B65="","",SUMIF(Transactions!$F$8:$F$3006,B65,Transactions!$N$8:$N$3006))</f>
        <v/>
      </c>
      <c r="E65" s="52" t="str">
        <f>IF(B65="","",SUMIF(Transactions!$F$8:$F$3006,B65,Transactions!$O$8:$O$3006))</f>
        <v/>
      </c>
      <c r="F65" s="53" t="str">
        <f>IF(B65="","",SUMIF(Transactions!$F$8:$F$3006,B65,Transactions!$R$8:$R$3006))</f>
        <v/>
      </c>
      <c r="G65" s="54" t="str">
        <f>IF(B65="","",(C65+F65)-(D65+E65+SUMIF(Transactions!$F$8:$F$3006,B65,Transactions!$Q$8:$Q$3006)))</f>
        <v/>
      </c>
      <c r="H65" s="55" t="str">
        <f>IF(B65="","",IF(G65&gt;0,"OUTSTANDING",IF(G65=0,"SETTLED",IF(SUMIF(Transactions!$F$8:$F$3006,B65,Transactions!$Q$8:$Q$3006)&gt;SUMIF(Transactions!$F$8:$F$3006,B65,Transactions!$R$8:$R$3006),"OWES","OVERPAID"))))</f>
        <v/>
      </c>
      <c r="I65" s="1"/>
    </row>
    <row r="66" spans="1:9" ht="18" customHeight="1" x14ac:dyDescent="0.25">
      <c r="A66" s="40">
        <v>51</v>
      </c>
      <c r="B66" s="41" t="str">
        <f t="array" ref="B66">IFERROR(IF(INDEX(Transactions!$F$8:$F$3006,MATCH(0,COUNTIF($B$11:B65,Transactions!$F$8:$F$3006),0))="","",INDEX(Transactions!$F$8:$F$3006,MATCH(0,COUNTIF($B$11:B65,Transactions!$F$8:$F$3006),0))),"")</f>
        <v/>
      </c>
      <c r="C66" s="42" t="str">
        <f>IF(B66="","",SUMIF(Transactions!$F$8:$F$3006,B66,Transactions!$H$8:$H$3006))</f>
        <v/>
      </c>
      <c r="D66" s="43" t="str">
        <f>IF(B66="","",SUMIF(Transactions!$F$8:$F$3006,B66,Transactions!$N$8:$N$3006))</f>
        <v/>
      </c>
      <c r="E66" s="44" t="str">
        <f>IF(B66="","",SUMIF(Transactions!$F$8:$F$3006,B66,Transactions!$O$8:$O$3006))</f>
        <v/>
      </c>
      <c r="F66" s="45" t="str">
        <f>IF(B66="","",SUMIF(Transactions!$F$8:$F$3006,B66,Transactions!$R$8:$R$3006))</f>
        <v/>
      </c>
      <c r="G66" s="46" t="str">
        <f>IF(B66="","",(C66+F66)-(D66+E66+SUMIF(Transactions!$F$8:$F$3006,B66,Transactions!$Q$8:$Q$3006)))</f>
        <v/>
      </c>
      <c r="H66" s="47" t="str">
        <f>IF(B66="","",IF(G66&gt;0,"OUTSTANDING",IF(G66=0,"SETTLED",IF(SUMIF(Transactions!$F$8:$F$3006,B66,Transactions!$Q$8:$Q$3006)&gt;SUMIF(Transactions!$F$8:$F$3006,B66,Transactions!$R$8:$R$3006),"OWES","OVERPAID"))))</f>
        <v/>
      </c>
      <c r="I66" s="1"/>
    </row>
    <row r="67" spans="1:9" ht="18" customHeight="1" x14ac:dyDescent="0.25">
      <c r="A67" s="48">
        <v>52</v>
      </c>
      <c r="B67" s="49" t="str">
        <f t="array" ref="B67">IFERROR(IF(INDEX(Transactions!$F$8:$F$3006,MATCH(0,COUNTIF($B$11:B66,Transactions!$F$8:$F$3006),0))="","",INDEX(Transactions!$F$8:$F$3006,MATCH(0,COUNTIF($B$11:B66,Transactions!$F$8:$F$3006),0))),"")</f>
        <v/>
      </c>
      <c r="C67" s="50" t="str">
        <f>IF(B67="","",SUMIF(Transactions!$F$8:$F$3006,B67,Transactions!$H$8:$H$3006))</f>
        <v/>
      </c>
      <c r="D67" s="51" t="str">
        <f>IF(B67="","",SUMIF(Transactions!$F$8:$F$3006,B67,Transactions!$N$8:$N$3006))</f>
        <v/>
      </c>
      <c r="E67" s="52" t="str">
        <f>IF(B67="","",SUMIF(Transactions!$F$8:$F$3006,B67,Transactions!$O$8:$O$3006))</f>
        <v/>
      </c>
      <c r="F67" s="53" t="str">
        <f>IF(B67="","",SUMIF(Transactions!$F$8:$F$3006,B67,Transactions!$R$8:$R$3006))</f>
        <v/>
      </c>
      <c r="G67" s="54" t="str">
        <f>IF(B67="","",(C67+F67)-(D67+E67+SUMIF(Transactions!$F$8:$F$3006,B67,Transactions!$Q$8:$Q$3006)))</f>
        <v/>
      </c>
      <c r="H67" s="55" t="str">
        <f>IF(B67="","",IF(G67&gt;0,"OUTSTANDING",IF(G67=0,"SETTLED",IF(SUMIF(Transactions!$F$8:$F$3006,B67,Transactions!$Q$8:$Q$3006)&gt;SUMIF(Transactions!$F$8:$F$3006,B67,Transactions!$R$8:$R$3006),"OWES","OVERPAID"))))</f>
        <v/>
      </c>
      <c r="I67" s="1"/>
    </row>
    <row r="68" spans="1:9" ht="18" customHeight="1" x14ac:dyDescent="0.25">
      <c r="A68" s="40">
        <v>53</v>
      </c>
      <c r="B68" s="41" t="str">
        <f t="array" ref="B68">IFERROR(IF(INDEX(Transactions!$F$8:$F$3006,MATCH(0,COUNTIF($B$11:B67,Transactions!$F$8:$F$3006),0))="","",INDEX(Transactions!$F$8:$F$3006,MATCH(0,COUNTIF($B$11:B67,Transactions!$F$8:$F$3006),0))),"")</f>
        <v/>
      </c>
      <c r="C68" s="42" t="str">
        <f>IF(B68="","",SUMIF(Transactions!$F$8:$F$3006,B68,Transactions!$H$8:$H$3006))</f>
        <v/>
      </c>
      <c r="D68" s="43" t="str">
        <f>IF(B68="","",SUMIF(Transactions!$F$8:$F$3006,B68,Transactions!$N$8:$N$3006))</f>
        <v/>
      </c>
      <c r="E68" s="44" t="str">
        <f>IF(B68="","",SUMIF(Transactions!$F$8:$F$3006,B68,Transactions!$O$8:$O$3006))</f>
        <v/>
      </c>
      <c r="F68" s="45" t="str">
        <f>IF(B68="","",SUMIF(Transactions!$F$8:$F$3006,B68,Transactions!$R$8:$R$3006))</f>
        <v/>
      </c>
      <c r="G68" s="46" t="str">
        <f>IF(B68="","",(C68+F68)-(D68+E68+SUMIF(Transactions!$F$8:$F$3006,B68,Transactions!$Q$8:$Q$3006)))</f>
        <v/>
      </c>
      <c r="H68" s="47" t="str">
        <f>IF(B68="","",IF(G68&gt;0,"OUTSTANDING",IF(G68=0,"SETTLED",IF(SUMIF(Transactions!$F$8:$F$3006,B68,Transactions!$Q$8:$Q$3006)&gt;SUMIF(Transactions!$F$8:$F$3006,B68,Transactions!$R$8:$R$3006),"OWES","OVERPAID"))))</f>
        <v/>
      </c>
      <c r="I68" s="1"/>
    </row>
    <row r="69" spans="1:9" ht="18" customHeight="1" x14ac:dyDescent="0.25">
      <c r="A69" s="48">
        <v>54</v>
      </c>
      <c r="B69" s="49" t="str">
        <f t="array" ref="B69">IFERROR(IF(INDEX(Transactions!$F$8:$F$3006,MATCH(0,COUNTIF($B$11:B68,Transactions!$F$8:$F$3006),0))="","",INDEX(Transactions!$F$8:$F$3006,MATCH(0,COUNTIF($B$11:B68,Transactions!$F$8:$F$3006),0))),"")</f>
        <v/>
      </c>
      <c r="C69" s="50" t="str">
        <f>IF(B69="","",SUMIF(Transactions!$F$8:$F$3006,B69,Transactions!$H$8:$H$3006))</f>
        <v/>
      </c>
      <c r="D69" s="51" t="str">
        <f>IF(B69="","",SUMIF(Transactions!$F$8:$F$3006,B69,Transactions!$N$8:$N$3006))</f>
        <v/>
      </c>
      <c r="E69" s="52" t="str">
        <f>IF(B69="","",SUMIF(Transactions!$F$8:$F$3006,B69,Transactions!$O$8:$O$3006))</f>
        <v/>
      </c>
      <c r="F69" s="53" t="str">
        <f>IF(B69="","",SUMIF(Transactions!$F$8:$F$3006,B69,Transactions!$R$8:$R$3006))</f>
        <v/>
      </c>
      <c r="G69" s="54" t="str">
        <f>IF(B69="","",(C69+F69)-(D69+E69+SUMIF(Transactions!$F$8:$F$3006,B69,Transactions!$Q$8:$Q$3006)))</f>
        <v/>
      </c>
      <c r="H69" s="55" t="str">
        <f>IF(B69="","",IF(G69&gt;0,"OUTSTANDING",IF(G69=0,"SETTLED",IF(SUMIF(Transactions!$F$8:$F$3006,B69,Transactions!$Q$8:$Q$3006)&gt;SUMIF(Transactions!$F$8:$F$3006,B69,Transactions!$R$8:$R$3006),"OWES","OVERPAID"))))</f>
        <v/>
      </c>
      <c r="I69" s="1"/>
    </row>
    <row r="70" spans="1:9" ht="18" customHeight="1" x14ac:dyDescent="0.25">
      <c r="A70" s="40">
        <v>55</v>
      </c>
      <c r="B70" s="41" t="str">
        <f t="array" ref="B70">IFERROR(IF(INDEX(Transactions!$F$8:$F$3006,MATCH(0,COUNTIF($B$11:B69,Transactions!$F$8:$F$3006),0))="","",INDEX(Transactions!$F$8:$F$3006,MATCH(0,COUNTIF($B$11:B69,Transactions!$F$8:$F$3006),0))),"")</f>
        <v/>
      </c>
      <c r="C70" s="42" t="str">
        <f>IF(B70="","",SUMIF(Transactions!$F$8:$F$3006,B70,Transactions!$H$8:$H$3006))</f>
        <v/>
      </c>
      <c r="D70" s="43" t="str">
        <f>IF(B70="","",SUMIF(Transactions!$F$8:$F$3006,B70,Transactions!$N$8:$N$3006))</f>
        <v/>
      </c>
      <c r="E70" s="44" t="str">
        <f>IF(B70="","",SUMIF(Transactions!$F$8:$F$3006,B70,Transactions!$O$8:$O$3006))</f>
        <v/>
      </c>
      <c r="F70" s="45" t="str">
        <f>IF(B70="","",SUMIF(Transactions!$F$8:$F$3006,B70,Transactions!$R$8:$R$3006))</f>
        <v/>
      </c>
      <c r="G70" s="46" t="str">
        <f>IF(B70="","",(C70+F70)-(D70+E70+SUMIF(Transactions!$F$8:$F$3006,B70,Transactions!$Q$8:$Q$3006)))</f>
        <v/>
      </c>
      <c r="H70" s="47" t="str">
        <f>IF(B70="","",IF(G70&gt;0,"OUTSTANDING",IF(G70=0,"SETTLED",IF(SUMIF(Transactions!$F$8:$F$3006,B70,Transactions!$Q$8:$Q$3006)&gt;SUMIF(Transactions!$F$8:$F$3006,B70,Transactions!$R$8:$R$3006),"OWES","OVERPAID"))))</f>
        <v/>
      </c>
      <c r="I70" s="1"/>
    </row>
    <row r="71" spans="1:9" ht="18" customHeight="1" x14ac:dyDescent="0.25">
      <c r="A71" s="48">
        <v>56</v>
      </c>
      <c r="B71" s="49" t="str">
        <f t="array" ref="B71">IFERROR(IF(INDEX(Transactions!$F$8:$F$3006,MATCH(0,COUNTIF($B$11:B70,Transactions!$F$8:$F$3006),0))="","",INDEX(Transactions!$F$8:$F$3006,MATCH(0,COUNTIF($B$11:B70,Transactions!$F$8:$F$3006),0))),"")</f>
        <v/>
      </c>
      <c r="C71" s="50" t="str">
        <f>IF(B71="","",SUMIF(Transactions!$F$8:$F$3006,B71,Transactions!$H$8:$H$3006))</f>
        <v/>
      </c>
      <c r="D71" s="51" t="str">
        <f>IF(B71="","",SUMIF(Transactions!$F$8:$F$3006,B71,Transactions!$N$8:$N$3006))</f>
        <v/>
      </c>
      <c r="E71" s="52" t="str">
        <f>IF(B71="","",SUMIF(Transactions!$F$8:$F$3006,B71,Transactions!$O$8:$O$3006))</f>
        <v/>
      </c>
      <c r="F71" s="53" t="str">
        <f>IF(B71="","",SUMIF(Transactions!$F$8:$F$3006,B71,Transactions!$R$8:$R$3006))</f>
        <v/>
      </c>
      <c r="G71" s="54" t="str">
        <f>IF(B71="","",(C71+F71)-(D71+E71+SUMIF(Transactions!$F$8:$F$3006,B71,Transactions!$Q$8:$Q$3006)))</f>
        <v/>
      </c>
      <c r="H71" s="55" t="str">
        <f>IF(B71="","",IF(G71&gt;0,"OUTSTANDING",IF(G71=0,"SETTLED",IF(SUMIF(Transactions!$F$8:$F$3006,B71,Transactions!$Q$8:$Q$3006)&gt;SUMIF(Transactions!$F$8:$F$3006,B71,Transactions!$R$8:$R$3006),"OWES","OVERPAID"))))</f>
        <v/>
      </c>
      <c r="I71" s="1"/>
    </row>
    <row r="72" spans="1:9" ht="18" customHeight="1" x14ac:dyDescent="0.25">
      <c r="A72" s="40">
        <v>57</v>
      </c>
      <c r="B72" s="41" t="str">
        <f t="array" ref="B72">IFERROR(IF(INDEX(Transactions!$F$8:$F$3006,MATCH(0,COUNTIF($B$11:B71,Transactions!$F$8:$F$3006),0))="","",INDEX(Transactions!$F$8:$F$3006,MATCH(0,COUNTIF($B$11:B71,Transactions!$F$8:$F$3006),0))),"")</f>
        <v/>
      </c>
      <c r="C72" s="42" t="str">
        <f>IF(B72="","",SUMIF(Transactions!$F$8:$F$3006,B72,Transactions!$H$8:$H$3006))</f>
        <v/>
      </c>
      <c r="D72" s="43" t="str">
        <f>IF(B72="","",SUMIF(Transactions!$F$8:$F$3006,B72,Transactions!$N$8:$N$3006))</f>
        <v/>
      </c>
      <c r="E72" s="44" t="str">
        <f>IF(B72="","",SUMIF(Transactions!$F$8:$F$3006,B72,Transactions!$O$8:$O$3006))</f>
        <v/>
      </c>
      <c r="F72" s="45" t="str">
        <f>IF(B72="","",SUMIF(Transactions!$F$8:$F$3006,B72,Transactions!$R$8:$R$3006))</f>
        <v/>
      </c>
      <c r="G72" s="46" t="str">
        <f>IF(B72="","",(C72+F72)-(D72+E72+SUMIF(Transactions!$F$8:$F$3006,B72,Transactions!$Q$8:$Q$3006)))</f>
        <v/>
      </c>
      <c r="H72" s="47" t="str">
        <f>IF(B72="","",IF(G72&gt;0,"OUTSTANDING",IF(G72=0,"SETTLED",IF(SUMIF(Transactions!$F$8:$F$3006,B72,Transactions!$Q$8:$Q$3006)&gt;SUMIF(Transactions!$F$8:$F$3006,B72,Transactions!$R$8:$R$3006),"OWES","OVERPAID"))))</f>
        <v/>
      </c>
      <c r="I72" s="1"/>
    </row>
    <row r="73" spans="1:9" ht="18" customHeight="1" x14ac:dyDescent="0.25">
      <c r="A73" s="48">
        <v>58</v>
      </c>
      <c r="B73" s="49" t="str">
        <f t="array" ref="B73">IFERROR(IF(INDEX(Transactions!$F$8:$F$3006,MATCH(0,COUNTIF($B$11:B72,Transactions!$F$8:$F$3006),0))="","",INDEX(Transactions!$F$8:$F$3006,MATCH(0,COUNTIF($B$11:B72,Transactions!$F$8:$F$3006),0))),"")</f>
        <v/>
      </c>
      <c r="C73" s="50" t="str">
        <f>IF(B73="","",SUMIF(Transactions!$F$8:$F$3006,B73,Transactions!$H$8:$H$3006))</f>
        <v/>
      </c>
      <c r="D73" s="51" t="str">
        <f>IF(B73="","",SUMIF(Transactions!$F$8:$F$3006,B73,Transactions!$N$8:$N$3006))</f>
        <v/>
      </c>
      <c r="E73" s="52" t="str">
        <f>IF(B73="","",SUMIF(Transactions!$F$8:$F$3006,B73,Transactions!$O$8:$O$3006))</f>
        <v/>
      </c>
      <c r="F73" s="53" t="str">
        <f>IF(B73="","",SUMIF(Transactions!$F$8:$F$3006,B73,Transactions!$R$8:$R$3006))</f>
        <v/>
      </c>
      <c r="G73" s="54" t="str">
        <f>IF(B73="","",(C73+F73)-(D73+E73+SUMIF(Transactions!$F$8:$F$3006,B73,Transactions!$Q$8:$Q$3006)))</f>
        <v/>
      </c>
      <c r="H73" s="55" t="str">
        <f>IF(B73="","",IF(G73&gt;0,"OUTSTANDING",IF(G73=0,"SETTLED",IF(SUMIF(Transactions!$F$8:$F$3006,B73,Transactions!$Q$8:$Q$3006)&gt;SUMIF(Transactions!$F$8:$F$3006,B73,Transactions!$R$8:$R$3006),"OWES","OVERPAID"))))</f>
        <v/>
      </c>
      <c r="I73" s="1"/>
    </row>
    <row r="74" spans="1:9" ht="18" customHeight="1" x14ac:dyDescent="0.25">
      <c r="A74" s="40">
        <v>59</v>
      </c>
      <c r="B74" s="41" t="str">
        <f t="array" ref="B74">IFERROR(IF(INDEX(Transactions!$F$8:$F$3006,MATCH(0,COUNTIF($B$11:B73,Transactions!$F$8:$F$3006),0))="","",INDEX(Transactions!$F$8:$F$3006,MATCH(0,COUNTIF($B$11:B73,Transactions!$F$8:$F$3006),0))),"")</f>
        <v/>
      </c>
      <c r="C74" s="42" t="str">
        <f>IF(B74="","",SUMIF(Transactions!$F$8:$F$3006,B74,Transactions!$H$8:$H$3006))</f>
        <v/>
      </c>
      <c r="D74" s="43" t="str">
        <f>IF(B74="","",SUMIF(Transactions!$F$8:$F$3006,B74,Transactions!$N$8:$N$3006))</f>
        <v/>
      </c>
      <c r="E74" s="44" t="str">
        <f>IF(B74="","",SUMIF(Transactions!$F$8:$F$3006,B74,Transactions!$O$8:$O$3006))</f>
        <v/>
      </c>
      <c r="F74" s="45" t="str">
        <f>IF(B74="","",SUMIF(Transactions!$F$8:$F$3006,B74,Transactions!$R$8:$R$3006))</f>
        <v/>
      </c>
      <c r="G74" s="46" t="str">
        <f>IF(B74="","",(C74+F74)-(D74+E74+SUMIF(Transactions!$F$8:$F$3006,B74,Transactions!$Q$8:$Q$3006)))</f>
        <v/>
      </c>
      <c r="H74" s="47" t="str">
        <f>IF(B74="","",IF(G74&gt;0,"OUTSTANDING",IF(G74=0,"SETTLED",IF(SUMIF(Transactions!$F$8:$F$3006,B74,Transactions!$Q$8:$Q$3006)&gt;SUMIF(Transactions!$F$8:$F$3006,B74,Transactions!$R$8:$R$3006),"OWES","OVERPAID"))))</f>
        <v/>
      </c>
      <c r="I74" s="1"/>
    </row>
    <row r="75" spans="1:9" ht="18" customHeight="1" x14ac:dyDescent="0.25">
      <c r="A75" s="48">
        <v>60</v>
      </c>
      <c r="B75" s="49" t="str">
        <f t="array" ref="B75">IFERROR(IF(INDEX(Transactions!$F$8:$F$3006,MATCH(0,COUNTIF($B$11:B74,Transactions!$F$8:$F$3006),0))="","",INDEX(Transactions!$F$8:$F$3006,MATCH(0,COUNTIF($B$11:B74,Transactions!$F$8:$F$3006),0))),"")</f>
        <v/>
      </c>
      <c r="C75" s="50" t="str">
        <f>IF(B75="","",SUMIF(Transactions!$F$8:$F$3006,B75,Transactions!$H$8:$H$3006))</f>
        <v/>
      </c>
      <c r="D75" s="51" t="str">
        <f>IF(B75="","",SUMIF(Transactions!$F$8:$F$3006,B75,Transactions!$N$8:$N$3006))</f>
        <v/>
      </c>
      <c r="E75" s="52" t="str">
        <f>IF(B75="","",SUMIF(Transactions!$F$8:$F$3006,B75,Transactions!$O$8:$O$3006))</f>
        <v/>
      </c>
      <c r="F75" s="53" t="str">
        <f>IF(B75="","",SUMIF(Transactions!$F$8:$F$3006,B75,Transactions!$R$8:$R$3006))</f>
        <v/>
      </c>
      <c r="G75" s="54" t="str">
        <f>IF(B75="","",(C75+F75)-(D75+E75+SUMIF(Transactions!$F$8:$F$3006,B75,Transactions!$Q$8:$Q$3006)))</f>
        <v/>
      </c>
      <c r="H75" s="55" t="str">
        <f>IF(B75="","",IF(G75&gt;0,"OUTSTANDING",IF(G75=0,"SETTLED",IF(SUMIF(Transactions!$F$8:$F$3006,B75,Transactions!$Q$8:$Q$3006)&gt;SUMIF(Transactions!$F$8:$F$3006,B75,Transactions!$R$8:$R$3006),"OWES","OVERPAID"))))</f>
        <v/>
      </c>
      <c r="I75" s="1"/>
    </row>
    <row r="76" spans="1:9" ht="18" customHeight="1" x14ac:dyDescent="0.25">
      <c r="A76" s="40">
        <v>61</v>
      </c>
      <c r="B76" s="41" t="str">
        <f t="array" ref="B76">IFERROR(IF(INDEX(Transactions!$F$8:$F$3006,MATCH(0,COUNTIF($B$11:B75,Transactions!$F$8:$F$3006),0))="","",INDEX(Transactions!$F$8:$F$3006,MATCH(0,COUNTIF($B$11:B75,Transactions!$F$8:$F$3006),0))),"")</f>
        <v/>
      </c>
      <c r="C76" s="42" t="str">
        <f>IF(B76="","",SUMIF(Transactions!$F$8:$F$3006,B76,Transactions!$H$8:$H$3006))</f>
        <v/>
      </c>
      <c r="D76" s="43" t="str">
        <f>IF(B76="","",SUMIF(Transactions!$F$8:$F$3006,B76,Transactions!$N$8:$N$3006))</f>
        <v/>
      </c>
      <c r="E76" s="44" t="str">
        <f>IF(B76="","",SUMIF(Transactions!$F$8:$F$3006,B76,Transactions!$O$8:$O$3006))</f>
        <v/>
      </c>
      <c r="F76" s="45" t="str">
        <f>IF(B76="","",SUMIF(Transactions!$F$8:$F$3006,B76,Transactions!$R$8:$R$3006))</f>
        <v/>
      </c>
      <c r="G76" s="46" t="str">
        <f>IF(B76="","",(C76+F76)-(D76+E76+SUMIF(Transactions!$F$8:$F$3006,B76,Transactions!$Q$8:$Q$3006)))</f>
        <v/>
      </c>
      <c r="H76" s="47" t="str">
        <f>IF(B76="","",IF(G76&gt;0,"OUTSTANDING",IF(G76=0,"SETTLED",IF(SUMIF(Transactions!$F$8:$F$3006,B76,Transactions!$Q$8:$Q$3006)&gt;SUMIF(Transactions!$F$8:$F$3006,B76,Transactions!$R$8:$R$3006),"OWES","OVERPAID"))))</f>
        <v/>
      </c>
      <c r="I76" s="1"/>
    </row>
    <row r="77" spans="1:9" ht="18" customHeight="1" x14ac:dyDescent="0.25">
      <c r="A77" s="48">
        <v>62</v>
      </c>
      <c r="B77" s="49" t="str">
        <f t="array" ref="B77">IFERROR(IF(INDEX(Transactions!$F$8:$F$3006,MATCH(0,COUNTIF($B$11:B76,Transactions!$F$8:$F$3006),0))="","",INDEX(Transactions!$F$8:$F$3006,MATCH(0,COUNTIF($B$11:B76,Transactions!$F$8:$F$3006),0))),"")</f>
        <v/>
      </c>
      <c r="C77" s="50" t="str">
        <f>IF(B77="","",SUMIF(Transactions!$F$8:$F$3006,B77,Transactions!$H$8:$H$3006))</f>
        <v/>
      </c>
      <c r="D77" s="51" t="str">
        <f>IF(B77="","",SUMIF(Transactions!$F$8:$F$3006,B77,Transactions!$N$8:$N$3006))</f>
        <v/>
      </c>
      <c r="E77" s="52" t="str">
        <f>IF(B77="","",SUMIF(Transactions!$F$8:$F$3006,B77,Transactions!$O$8:$O$3006))</f>
        <v/>
      </c>
      <c r="F77" s="53" t="str">
        <f>IF(B77="","",SUMIF(Transactions!$F$8:$F$3006,B77,Transactions!$R$8:$R$3006))</f>
        <v/>
      </c>
      <c r="G77" s="54" t="str">
        <f>IF(B77="","",(C77+F77)-(D77+E77+SUMIF(Transactions!$F$8:$F$3006,B77,Transactions!$Q$8:$Q$3006)))</f>
        <v/>
      </c>
      <c r="H77" s="55" t="str">
        <f>IF(B77="","",IF(G77&gt;0,"OUTSTANDING",IF(G77=0,"SETTLED",IF(SUMIF(Transactions!$F$8:$F$3006,B77,Transactions!$Q$8:$Q$3006)&gt;SUMIF(Transactions!$F$8:$F$3006,B77,Transactions!$R$8:$R$3006),"OWES","OVERPAID"))))</f>
        <v/>
      </c>
      <c r="I77" s="1"/>
    </row>
    <row r="78" spans="1:9" ht="18" customHeight="1" x14ac:dyDescent="0.25">
      <c r="A78" s="40">
        <v>63</v>
      </c>
      <c r="B78" s="41" t="str">
        <f t="array" ref="B78">IFERROR(IF(INDEX(Transactions!$F$8:$F$3006,MATCH(0,COUNTIF($B$11:B77,Transactions!$F$8:$F$3006),0))="","",INDEX(Transactions!$F$8:$F$3006,MATCH(0,COUNTIF($B$11:B77,Transactions!$F$8:$F$3006),0))),"")</f>
        <v/>
      </c>
      <c r="C78" s="42" t="str">
        <f>IF(B78="","",SUMIF(Transactions!$F$8:$F$3006,B78,Transactions!$H$8:$H$3006))</f>
        <v/>
      </c>
      <c r="D78" s="43" t="str">
        <f>IF(B78="","",SUMIF(Transactions!$F$8:$F$3006,B78,Transactions!$N$8:$N$3006))</f>
        <v/>
      </c>
      <c r="E78" s="44" t="str">
        <f>IF(B78="","",SUMIF(Transactions!$F$8:$F$3006,B78,Transactions!$O$8:$O$3006))</f>
        <v/>
      </c>
      <c r="F78" s="45" t="str">
        <f>IF(B78="","",SUMIF(Transactions!$F$8:$F$3006,B78,Transactions!$R$8:$R$3006))</f>
        <v/>
      </c>
      <c r="G78" s="46" t="str">
        <f>IF(B78="","",(C78+F78)-(D78+E78+SUMIF(Transactions!$F$8:$F$3006,B78,Transactions!$Q$8:$Q$3006)))</f>
        <v/>
      </c>
      <c r="H78" s="47" t="str">
        <f>IF(B78="","",IF(G78&gt;0,"OUTSTANDING",IF(G78=0,"SETTLED",IF(SUMIF(Transactions!$F$8:$F$3006,B78,Transactions!$Q$8:$Q$3006)&gt;SUMIF(Transactions!$F$8:$F$3006,B78,Transactions!$R$8:$R$3006),"OWES","OVERPAID"))))</f>
        <v/>
      </c>
      <c r="I78" s="1"/>
    </row>
    <row r="79" spans="1:9" ht="18" customHeight="1" x14ac:dyDescent="0.25">
      <c r="A79" s="48">
        <v>64</v>
      </c>
      <c r="B79" s="49" t="str">
        <f t="array" ref="B79">IFERROR(IF(INDEX(Transactions!$F$8:$F$3006,MATCH(0,COUNTIF($B$11:B78,Transactions!$F$8:$F$3006),0))="","",INDEX(Transactions!$F$8:$F$3006,MATCH(0,COUNTIF($B$11:B78,Transactions!$F$8:$F$3006),0))),"")</f>
        <v/>
      </c>
      <c r="C79" s="50" t="str">
        <f>IF(B79="","",SUMIF(Transactions!$F$8:$F$3006,B79,Transactions!$H$8:$H$3006))</f>
        <v/>
      </c>
      <c r="D79" s="51" t="str">
        <f>IF(B79="","",SUMIF(Transactions!$F$8:$F$3006,B79,Transactions!$N$8:$N$3006))</f>
        <v/>
      </c>
      <c r="E79" s="52" t="str">
        <f>IF(B79="","",SUMIF(Transactions!$F$8:$F$3006,B79,Transactions!$O$8:$O$3006))</f>
        <v/>
      </c>
      <c r="F79" s="53" t="str">
        <f>IF(B79="","",SUMIF(Transactions!$F$8:$F$3006,B79,Transactions!$R$8:$R$3006))</f>
        <v/>
      </c>
      <c r="G79" s="54" t="str">
        <f>IF(B79="","",(C79+F79)-(D79+E79+SUMIF(Transactions!$F$8:$F$3006,B79,Transactions!$Q$8:$Q$3006)))</f>
        <v/>
      </c>
      <c r="H79" s="55" t="str">
        <f>IF(B79="","",IF(G79&gt;0,"OUTSTANDING",IF(G79=0,"SETTLED",IF(SUMIF(Transactions!$F$8:$F$3006,B79,Transactions!$Q$8:$Q$3006)&gt;SUMIF(Transactions!$F$8:$F$3006,B79,Transactions!$R$8:$R$3006),"OWES","OVERPAID"))))</f>
        <v/>
      </c>
      <c r="I79" s="1"/>
    </row>
    <row r="80" spans="1:9" ht="18" customHeight="1" x14ac:dyDescent="0.25">
      <c r="A80" s="40">
        <v>65</v>
      </c>
      <c r="B80" s="41" t="str">
        <f t="array" ref="B80">IFERROR(IF(INDEX(Transactions!$F$8:$F$3006,MATCH(0,COUNTIF($B$11:B79,Transactions!$F$8:$F$3006),0))="","",INDEX(Transactions!$F$8:$F$3006,MATCH(0,COUNTIF($B$11:B79,Transactions!$F$8:$F$3006),0))),"")</f>
        <v/>
      </c>
      <c r="C80" s="42" t="str">
        <f>IF(B80="","",SUMIF(Transactions!$F$8:$F$3006,B80,Transactions!$H$8:$H$3006))</f>
        <v/>
      </c>
      <c r="D80" s="43" t="str">
        <f>IF(B80="","",SUMIF(Transactions!$F$8:$F$3006,B80,Transactions!$N$8:$N$3006))</f>
        <v/>
      </c>
      <c r="E80" s="44" t="str">
        <f>IF(B80="","",SUMIF(Transactions!$F$8:$F$3006,B80,Transactions!$O$8:$O$3006))</f>
        <v/>
      </c>
      <c r="F80" s="45" t="str">
        <f>IF(B80="","",SUMIF(Transactions!$F$8:$F$3006,B80,Transactions!$R$8:$R$3006))</f>
        <v/>
      </c>
      <c r="G80" s="46" t="str">
        <f>IF(B80="","",(C80+F80)-(D80+E80+SUMIF(Transactions!$F$8:$F$3006,B80,Transactions!$Q$8:$Q$3006)))</f>
        <v/>
      </c>
      <c r="H80" s="47" t="str">
        <f>IF(B80="","",IF(G80&gt;0,"OUTSTANDING",IF(G80=0,"SETTLED",IF(SUMIF(Transactions!$F$8:$F$3006,B80,Transactions!$Q$8:$Q$3006)&gt;SUMIF(Transactions!$F$8:$F$3006,B80,Transactions!$R$8:$R$3006),"OWES","OVERPAID"))))</f>
        <v/>
      </c>
      <c r="I80" s="1"/>
    </row>
    <row r="81" spans="1:9" ht="18" customHeight="1" x14ac:dyDescent="0.25">
      <c r="A81" s="48">
        <v>66</v>
      </c>
      <c r="B81" s="49" t="str">
        <f t="array" ref="B81">IFERROR(IF(INDEX(Transactions!$F$8:$F$3006,MATCH(0,COUNTIF($B$11:B80,Transactions!$F$8:$F$3006),0))="","",INDEX(Transactions!$F$8:$F$3006,MATCH(0,COUNTIF($B$11:B80,Transactions!$F$8:$F$3006),0))),"")</f>
        <v/>
      </c>
      <c r="C81" s="50" t="str">
        <f>IF(B81="","",SUMIF(Transactions!$F$8:$F$3006,B81,Transactions!$H$8:$H$3006))</f>
        <v/>
      </c>
      <c r="D81" s="51" t="str">
        <f>IF(B81="","",SUMIF(Transactions!$F$8:$F$3006,B81,Transactions!$N$8:$N$3006))</f>
        <v/>
      </c>
      <c r="E81" s="52" t="str">
        <f>IF(B81="","",SUMIF(Transactions!$F$8:$F$3006,B81,Transactions!$O$8:$O$3006))</f>
        <v/>
      </c>
      <c r="F81" s="53" t="str">
        <f>IF(B81="","",SUMIF(Transactions!$F$8:$F$3006,B81,Transactions!$R$8:$R$3006))</f>
        <v/>
      </c>
      <c r="G81" s="54" t="str">
        <f>IF(B81="","",(C81+F81)-(D81+E81+SUMIF(Transactions!$F$8:$F$3006,B81,Transactions!$Q$8:$Q$3006)))</f>
        <v/>
      </c>
      <c r="H81" s="55" t="str">
        <f>IF(B81="","",IF(G81&gt;0,"OUTSTANDING",IF(G81=0,"SETTLED",IF(SUMIF(Transactions!$F$8:$F$3006,B81,Transactions!$Q$8:$Q$3006)&gt;SUMIF(Transactions!$F$8:$F$3006,B81,Transactions!$R$8:$R$3006),"OWES","OVERPAID"))))</f>
        <v/>
      </c>
      <c r="I81" s="1"/>
    </row>
    <row r="82" spans="1:9" ht="18" customHeight="1" x14ac:dyDescent="0.25">
      <c r="A82" s="40">
        <v>67</v>
      </c>
      <c r="B82" s="41" t="str">
        <f t="array" ref="B82">IFERROR(IF(INDEX(Transactions!$F$8:$F$3006,MATCH(0,COUNTIF($B$11:B81,Transactions!$F$8:$F$3006),0))="","",INDEX(Transactions!$F$8:$F$3006,MATCH(0,COUNTIF($B$11:B81,Transactions!$F$8:$F$3006),0))),"")</f>
        <v/>
      </c>
      <c r="C82" s="42" t="str">
        <f>IF(B82="","",SUMIF(Transactions!$F$8:$F$3006,B82,Transactions!$H$8:$H$3006))</f>
        <v/>
      </c>
      <c r="D82" s="43" t="str">
        <f>IF(B82="","",SUMIF(Transactions!$F$8:$F$3006,B82,Transactions!$N$8:$N$3006))</f>
        <v/>
      </c>
      <c r="E82" s="44" t="str">
        <f>IF(B82="","",SUMIF(Transactions!$F$8:$F$3006,B82,Transactions!$O$8:$O$3006))</f>
        <v/>
      </c>
      <c r="F82" s="45" t="str">
        <f>IF(B82="","",SUMIF(Transactions!$F$8:$F$3006,B82,Transactions!$R$8:$R$3006))</f>
        <v/>
      </c>
      <c r="G82" s="46" t="str">
        <f>IF(B82="","",(C82+F82)-(D82+E82+SUMIF(Transactions!$F$8:$F$3006,B82,Transactions!$Q$8:$Q$3006)))</f>
        <v/>
      </c>
      <c r="H82" s="47" t="str">
        <f>IF(B82="","",IF(G82&gt;0,"OUTSTANDING",IF(G82=0,"SETTLED",IF(SUMIF(Transactions!$F$8:$F$3006,B82,Transactions!$Q$8:$Q$3006)&gt;SUMIF(Transactions!$F$8:$F$3006,B82,Transactions!$R$8:$R$3006),"OWES","OVERPAID"))))</f>
        <v/>
      </c>
      <c r="I82" s="1"/>
    </row>
    <row r="83" spans="1:9" ht="18" customHeight="1" x14ac:dyDescent="0.25">
      <c r="A83" s="48">
        <v>68</v>
      </c>
      <c r="B83" s="49" t="str">
        <f t="array" ref="B83">IFERROR(IF(INDEX(Transactions!$F$8:$F$3006,MATCH(0,COUNTIF($B$11:B82,Transactions!$F$8:$F$3006),0))="","",INDEX(Transactions!$F$8:$F$3006,MATCH(0,COUNTIF($B$11:B82,Transactions!$F$8:$F$3006),0))),"")</f>
        <v/>
      </c>
      <c r="C83" s="50" t="str">
        <f>IF(B83="","",SUMIF(Transactions!$F$8:$F$3006,B83,Transactions!$H$8:$H$3006))</f>
        <v/>
      </c>
      <c r="D83" s="51" t="str">
        <f>IF(B83="","",SUMIF(Transactions!$F$8:$F$3006,B83,Transactions!$N$8:$N$3006))</f>
        <v/>
      </c>
      <c r="E83" s="52" t="str">
        <f>IF(B83="","",SUMIF(Transactions!$F$8:$F$3006,B83,Transactions!$O$8:$O$3006))</f>
        <v/>
      </c>
      <c r="F83" s="53" t="str">
        <f>IF(B83="","",SUMIF(Transactions!$F$8:$F$3006,B83,Transactions!$R$8:$R$3006))</f>
        <v/>
      </c>
      <c r="G83" s="54" t="str">
        <f>IF(B83="","",(C83+F83)-(D83+E83+SUMIF(Transactions!$F$8:$F$3006,B83,Transactions!$Q$8:$Q$3006)))</f>
        <v/>
      </c>
      <c r="H83" s="55" t="str">
        <f>IF(B83="","",IF(G83&gt;0,"OUTSTANDING",IF(G83=0,"SETTLED",IF(SUMIF(Transactions!$F$8:$F$3006,B83,Transactions!$Q$8:$Q$3006)&gt;SUMIF(Transactions!$F$8:$F$3006,B83,Transactions!$R$8:$R$3006),"OWES","OVERPAID"))))</f>
        <v/>
      </c>
      <c r="I83" s="1"/>
    </row>
    <row r="84" spans="1:9" ht="18" customHeight="1" x14ac:dyDescent="0.25">
      <c r="A84" s="40">
        <v>69</v>
      </c>
      <c r="B84" s="41" t="str">
        <f t="array" ref="B84">IFERROR(IF(INDEX(Transactions!$F$8:$F$3006,MATCH(0,COUNTIF($B$11:B83,Transactions!$F$8:$F$3006),0))="","",INDEX(Transactions!$F$8:$F$3006,MATCH(0,COUNTIF($B$11:B83,Transactions!$F$8:$F$3006),0))),"")</f>
        <v/>
      </c>
      <c r="C84" s="42" t="str">
        <f>IF(B84="","",SUMIF(Transactions!$F$8:$F$3006,B84,Transactions!$H$8:$H$3006))</f>
        <v/>
      </c>
      <c r="D84" s="43" t="str">
        <f>IF(B84="","",SUMIF(Transactions!$F$8:$F$3006,B84,Transactions!$N$8:$N$3006))</f>
        <v/>
      </c>
      <c r="E84" s="44" t="str">
        <f>IF(B84="","",SUMIF(Transactions!$F$8:$F$3006,B84,Transactions!$O$8:$O$3006))</f>
        <v/>
      </c>
      <c r="F84" s="45" t="str">
        <f>IF(B84="","",SUMIF(Transactions!$F$8:$F$3006,B84,Transactions!$R$8:$R$3006))</f>
        <v/>
      </c>
      <c r="G84" s="46" t="str">
        <f>IF(B84="","",(C84+F84)-(D84+E84+SUMIF(Transactions!$F$8:$F$3006,B84,Transactions!$Q$8:$Q$3006)))</f>
        <v/>
      </c>
      <c r="H84" s="47" t="str">
        <f>IF(B84="","",IF(G84&gt;0,"OUTSTANDING",IF(G84=0,"SETTLED",IF(SUMIF(Transactions!$F$8:$F$3006,B84,Transactions!$Q$8:$Q$3006)&gt;SUMIF(Transactions!$F$8:$F$3006,B84,Transactions!$R$8:$R$3006),"OWES","OVERPAID"))))</f>
        <v/>
      </c>
      <c r="I84" s="1"/>
    </row>
    <row r="85" spans="1:9" ht="18" customHeight="1" x14ac:dyDescent="0.25">
      <c r="A85" s="48">
        <v>70</v>
      </c>
      <c r="B85" s="49" t="str">
        <f t="array" ref="B85">IFERROR(IF(INDEX(Transactions!$F$8:$F$3006,MATCH(0,COUNTIF($B$11:B84,Transactions!$F$8:$F$3006),0))="","",INDEX(Transactions!$F$8:$F$3006,MATCH(0,COUNTIF($B$11:B84,Transactions!$F$8:$F$3006),0))),"")</f>
        <v/>
      </c>
      <c r="C85" s="50" t="str">
        <f>IF(B85="","",SUMIF(Transactions!$F$8:$F$3006,B85,Transactions!$H$8:$H$3006))</f>
        <v/>
      </c>
      <c r="D85" s="51" t="str">
        <f>IF(B85="","",SUMIF(Transactions!$F$8:$F$3006,B85,Transactions!$N$8:$N$3006))</f>
        <v/>
      </c>
      <c r="E85" s="52" t="str">
        <f>IF(B85="","",SUMIF(Transactions!$F$8:$F$3006,B85,Transactions!$O$8:$O$3006))</f>
        <v/>
      </c>
      <c r="F85" s="53" t="str">
        <f>IF(B85="","",SUMIF(Transactions!$F$8:$F$3006,B85,Transactions!$R$8:$R$3006))</f>
        <v/>
      </c>
      <c r="G85" s="54" t="str">
        <f>IF(B85="","",(C85+F85)-(D85+E85+SUMIF(Transactions!$F$8:$F$3006,B85,Transactions!$Q$8:$Q$3006)))</f>
        <v/>
      </c>
      <c r="H85" s="55" t="str">
        <f>IF(B85="","",IF(G85&gt;0,"OUTSTANDING",IF(G85=0,"SETTLED",IF(SUMIF(Transactions!$F$8:$F$3006,B85,Transactions!$Q$8:$Q$3006)&gt;SUMIF(Transactions!$F$8:$F$3006,B85,Transactions!$R$8:$R$3006),"OWES","OVERPAID"))))</f>
        <v/>
      </c>
      <c r="I85" s="1"/>
    </row>
    <row r="86" spans="1:9" ht="18" customHeight="1" x14ac:dyDescent="0.25">
      <c r="A86" s="40">
        <v>71</v>
      </c>
      <c r="B86" s="41" t="str">
        <f t="array" ref="B86">IFERROR(IF(INDEX(Transactions!$F$8:$F$3006,MATCH(0,COUNTIF($B$11:B85,Transactions!$F$8:$F$3006),0))="","",INDEX(Transactions!$F$8:$F$3006,MATCH(0,COUNTIF($B$11:B85,Transactions!$F$8:$F$3006),0))),"")</f>
        <v/>
      </c>
      <c r="C86" s="42" t="str">
        <f>IF(B86="","",SUMIF(Transactions!$F$8:$F$3006,B86,Transactions!$H$8:$H$3006))</f>
        <v/>
      </c>
      <c r="D86" s="43" t="str">
        <f>IF(B86="","",SUMIF(Transactions!$F$8:$F$3006,B86,Transactions!$N$8:$N$3006))</f>
        <v/>
      </c>
      <c r="E86" s="44" t="str">
        <f>IF(B86="","",SUMIF(Transactions!$F$8:$F$3006,B86,Transactions!$O$8:$O$3006))</f>
        <v/>
      </c>
      <c r="F86" s="45" t="str">
        <f>IF(B86="","",SUMIF(Transactions!$F$8:$F$3006,B86,Transactions!$R$8:$R$3006))</f>
        <v/>
      </c>
      <c r="G86" s="46" t="str">
        <f>IF(B86="","",(C86+F86)-(D86+E86+SUMIF(Transactions!$F$8:$F$3006,B86,Transactions!$Q$8:$Q$3006)))</f>
        <v/>
      </c>
      <c r="H86" s="47" t="str">
        <f>IF(B86="","",IF(G86&gt;0,"OUTSTANDING",IF(G86=0,"SETTLED",IF(SUMIF(Transactions!$F$8:$F$3006,B86,Transactions!$Q$8:$Q$3006)&gt;SUMIF(Transactions!$F$8:$F$3006,B86,Transactions!$R$8:$R$3006),"OWES","OVERPAID"))))</f>
        <v/>
      </c>
      <c r="I86" s="1"/>
    </row>
    <row r="87" spans="1:9" ht="18" customHeight="1" x14ac:dyDescent="0.25">
      <c r="A87" s="48">
        <v>72</v>
      </c>
      <c r="B87" s="49" t="str">
        <f t="array" ref="B87">IFERROR(IF(INDEX(Transactions!$F$8:$F$3006,MATCH(0,COUNTIF($B$11:B86,Transactions!$F$8:$F$3006),0))="","",INDEX(Transactions!$F$8:$F$3006,MATCH(0,COUNTIF($B$11:B86,Transactions!$F$8:$F$3006),0))),"")</f>
        <v/>
      </c>
      <c r="C87" s="50" t="str">
        <f>IF(B87="","",SUMIF(Transactions!$F$8:$F$3006,B87,Transactions!$H$8:$H$3006))</f>
        <v/>
      </c>
      <c r="D87" s="51" t="str">
        <f>IF(B87="","",SUMIF(Transactions!$F$8:$F$3006,B87,Transactions!$N$8:$N$3006))</f>
        <v/>
      </c>
      <c r="E87" s="52" t="str">
        <f>IF(B87="","",SUMIF(Transactions!$F$8:$F$3006,B87,Transactions!$O$8:$O$3006))</f>
        <v/>
      </c>
      <c r="F87" s="53" t="str">
        <f>IF(B87="","",SUMIF(Transactions!$F$8:$F$3006,B87,Transactions!$R$8:$R$3006))</f>
        <v/>
      </c>
      <c r="G87" s="54" t="str">
        <f>IF(B87="","",(C87+F87)-(D87+E87+SUMIF(Transactions!$F$8:$F$3006,B87,Transactions!$Q$8:$Q$3006)))</f>
        <v/>
      </c>
      <c r="H87" s="55" t="str">
        <f>IF(B87="","",IF(G87&gt;0,"OUTSTANDING",IF(G87=0,"SETTLED",IF(SUMIF(Transactions!$F$8:$F$3006,B87,Transactions!$Q$8:$Q$3006)&gt;SUMIF(Transactions!$F$8:$F$3006,B87,Transactions!$R$8:$R$3006),"OWES","OVERPAID"))))</f>
        <v/>
      </c>
      <c r="I87" s="1"/>
    </row>
    <row r="88" spans="1:9" ht="18" customHeight="1" x14ac:dyDescent="0.25">
      <c r="A88" s="40">
        <v>73</v>
      </c>
      <c r="B88" s="41" t="str">
        <f t="array" ref="B88">IFERROR(IF(INDEX(Transactions!$F$8:$F$3006,MATCH(0,COUNTIF($B$11:B87,Transactions!$F$8:$F$3006),0))="","",INDEX(Transactions!$F$8:$F$3006,MATCH(0,COUNTIF($B$11:B87,Transactions!$F$8:$F$3006),0))),"")</f>
        <v/>
      </c>
      <c r="C88" s="42" t="str">
        <f>IF(B88="","",SUMIF(Transactions!$F$8:$F$3006,B88,Transactions!$H$8:$H$3006))</f>
        <v/>
      </c>
      <c r="D88" s="43" t="str">
        <f>IF(B88="","",SUMIF(Transactions!$F$8:$F$3006,B88,Transactions!$N$8:$N$3006))</f>
        <v/>
      </c>
      <c r="E88" s="44" t="str">
        <f>IF(B88="","",SUMIF(Transactions!$F$8:$F$3006,B88,Transactions!$O$8:$O$3006))</f>
        <v/>
      </c>
      <c r="F88" s="45" t="str">
        <f>IF(B88="","",SUMIF(Transactions!$F$8:$F$3006,B88,Transactions!$R$8:$R$3006))</f>
        <v/>
      </c>
      <c r="G88" s="46" t="str">
        <f>IF(B88="","",(C88+F88)-(D88+E88+SUMIF(Transactions!$F$8:$F$3006,B88,Transactions!$Q$8:$Q$3006)))</f>
        <v/>
      </c>
      <c r="H88" s="47" t="str">
        <f>IF(B88="","",IF(G88&gt;0,"OUTSTANDING",IF(G88=0,"SETTLED",IF(SUMIF(Transactions!$F$8:$F$3006,B88,Transactions!$Q$8:$Q$3006)&gt;SUMIF(Transactions!$F$8:$F$3006,B88,Transactions!$R$8:$R$3006),"OWES","OVERPAID"))))</f>
        <v/>
      </c>
      <c r="I88" s="1"/>
    </row>
    <row r="89" spans="1:9" ht="18" customHeight="1" x14ac:dyDescent="0.25">
      <c r="A89" s="48">
        <v>74</v>
      </c>
      <c r="B89" s="49" t="str">
        <f t="array" ref="B89">IFERROR(IF(INDEX(Transactions!$F$8:$F$3006,MATCH(0,COUNTIF($B$11:B88,Transactions!$F$8:$F$3006),0))="","",INDEX(Transactions!$F$8:$F$3006,MATCH(0,COUNTIF($B$11:B88,Transactions!$F$8:$F$3006),0))),"")</f>
        <v/>
      </c>
      <c r="C89" s="50" t="str">
        <f>IF(B89="","",SUMIF(Transactions!$F$8:$F$3006,B89,Transactions!$H$8:$H$3006))</f>
        <v/>
      </c>
      <c r="D89" s="51" t="str">
        <f>IF(B89="","",SUMIF(Transactions!$F$8:$F$3006,B89,Transactions!$N$8:$N$3006))</f>
        <v/>
      </c>
      <c r="E89" s="52" t="str">
        <f>IF(B89="","",SUMIF(Transactions!$F$8:$F$3006,B89,Transactions!$O$8:$O$3006))</f>
        <v/>
      </c>
      <c r="F89" s="53" t="str">
        <f>IF(B89="","",SUMIF(Transactions!$F$8:$F$3006,B89,Transactions!$R$8:$R$3006))</f>
        <v/>
      </c>
      <c r="G89" s="54" t="str">
        <f>IF(B89="","",(C89+F89)-(D89+E89+SUMIF(Transactions!$F$8:$F$3006,B89,Transactions!$Q$8:$Q$3006)))</f>
        <v/>
      </c>
      <c r="H89" s="55" t="str">
        <f>IF(B89="","",IF(G89&gt;0,"OUTSTANDING",IF(G89=0,"SETTLED",IF(SUMIF(Transactions!$F$8:$F$3006,B89,Transactions!$Q$8:$Q$3006)&gt;SUMIF(Transactions!$F$8:$F$3006,B89,Transactions!$R$8:$R$3006),"OWES","OVERPAID"))))</f>
        <v/>
      </c>
      <c r="I89" s="1"/>
    </row>
    <row r="90" spans="1:9" ht="18" customHeight="1" x14ac:dyDescent="0.25">
      <c r="A90" s="40">
        <v>75</v>
      </c>
      <c r="B90" s="41" t="str">
        <f t="array" ref="B90">IFERROR(IF(INDEX(Transactions!$F$8:$F$3006,MATCH(0,COUNTIF($B$11:B89,Transactions!$F$8:$F$3006),0))="","",INDEX(Transactions!$F$8:$F$3006,MATCH(0,COUNTIF($B$11:B89,Transactions!$F$8:$F$3006),0))),"")</f>
        <v/>
      </c>
      <c r="C90" s="42" t="str">
        <f>IF(B90="","",SUMIF(Transactions!$F$8:$F$3006,B90,Transactions!$H$8:$H$3006))</f>
        <v/>
      </c>
      <c r="D90" s="43" t="str">
        <f>IF(B90="","",SUMIF(Transactions!$F$8:$F$3006,B90,Transactions!$N$8:$N$3006))</f>
        <v/>
      </c>
      <c r="E90" s="44" t="str">
        <f>IF(B90="","",SUMIF(Transactions!$F$8:$F$3006,B90,Transactions!$O$8:$O$3006))</f>
        <v/>
      </c>
      <c r="F90" s="45" t="str">
        <f>IF(B90="","",SUMIF(Transactions!$F$8:$F$3006,B90,Transactions!$R$8:$R$3006))</f>
        <v/>
      </c>
      <c r="G90" s="46" t="str">
        <f>IF(B90="","",(C90+F90)-(D90+E90+SUMIF(Transactions!$F$8:$F$3006,B90,Transactions!$Q$8:$Q$3006)))</f>
        <v/>
      </c>
      <c r="H90" s="47" t="str">
        <f>IF(B90="","",IF(G90&gt;0,"OUTSTANDING",IF(G90=0,"SETTLED",IF(SUMIF(Transactions!$F$8:$F$3006,B90,Transactions!$Q$8:$Q$3006)&gt;SUMIF(Transactions!$F$8:$F$3006,B90,Transactions!$R$8:$R$3006),"OWES","OVERPAID"))))</f>
        <v/>
      </c>
      <c r="I90" s="1"/>
    </row>
    <row r="91" spans="1:9" ht="18" customHeight="1" x14ac:dyDescent="0.25">
      <c r="A91" s="48">
        <v>76</v>
      </c>
      <c r="B91" s="49" t="str">
        <f t="array" ref="B91">IFERROR(IF(INDEX(Transactions!$F$8:$F$3006,MATCH(0,COUNTIF($B$11:B90,Transactions!$F$8:$F$3006),0))="","",INDEX(Transactions!$F$8:$F$3006,MATCH(0,COUNTIF($B$11:B90,Transactions!$F$8:$F$3006),0))),"")</f>
        <v/>
      </c>
      <c r="C91" s="50" t="str">
        <f>IF(B91="","",SUMIF(Transactions!$F$8:$F$3006,B91,Transactions!$H$8:$H$3006))</f>
        <v/>
      </c>
      <c r="D91" s="51" t="str">
        <f>IF(B91="","",SUMIF(Transactions!$F$8:$F$3006,B91,Transactions!$N$8:$N$3006))</f>
        <v/>
      </c>
      <c r="E91" s="52" t="str">
        <f>IF(B91="","",SUMIF(Transactions!$F$8:$F$3006,B91,Transactions!$O$8:$O$3006))</f>
        <v/>
      </c>
      <c r="F91" s="53" t="str">
        <f>IF(B91="","",SUMIF(Transactions!$F$8:$F$3006,B91,Transactions!$R$8:$R$3006))</f>
        <v/>
      </c>
      <c r="G91" s="54" t="str">
        <f>IF(B91="","",(C91+F91)-(D91+E91+SUMIF(Transactions!$F$8:$F$3006,B91,Transactions!$Q$8:$Q$3006)))</f>
        <v/>
      </c>
      <c r="H91" s="55" t="str">
        <f>IF(B91="","",IF(G91&gt;0,"OUTSTANDING",IF(G91=0,"SETTLED",IF(SUMIF(Transactions!$F$8:$F$3006,B91,Transactions!$Q$8:$Q$3006)&gt;SUMIF(Transactions!$F$8:$F$3006,B91,Transactions!$R$8:$R$3006),"OWES","OVERPAID"))))</f>
        <v/>
      </c>
      <c r="I91" s="1"/>
    </row>
    <row r="92" spans="1:9" ht="18" customHeight="1" x14ac:dyDescent="0.25">
      <c r="A92" s="40">
        <v>77</v>
      </c>
      <c r="B92" s="41" t="str">
        <f t="array" ref="B92">IFERROR(IF(INDEX(Transactions!$F$8:$F$3006,MATCH(0,COUNTIF($B$11:B91,Transactions!$F$8:$F$3006),0))="","",INDEX(Transactions!$F$8:$F$3006,MATCH(0,COUNTIF($B$11:B91,Transactions!$F$8:$F$3006),0))),"")</f>
        <v/>
      </c>
      <c r="C92" s="42" t="str">
        <f>IF(B92="","",SUMIF(Transactions!$F$8:$F$3006,B92,Transactions!$H$8:$H$3006))</f>
        <v/>
      </c>
      <c r="D92" s="43" t="str">
        <f>IF(B92="","",SUMIF(Transactions!$F$8:$F$3006,B92,Transactions!$N$8:$N$3006))</f>
        <v/>
      </c>
      <c r="E92" s="44" t="str">
        <f>IF(B92="","",SUMIF(Transactions!$F$8:$F$3006,B92,Transactions!$O$8:$O$3006))</f>
        <v/>
      </c>
      <c r="F92" s="45" t="str">
        <f>IF(B92="","",SUMIF(Transactions!$F$8:$F$3006,B92,Transactions!$R$8:$R$3006))</f>
        <v/>
      </c>
      <c r="G92" s="46" t="str">
        <f>IF(B92="","",(C92+F92)-(D92+E92+SUMIF(Transactions!$F$8:$F$3006,B92,Transactions!$Q$8:$Q$3006)))</f>
        <v/>
      </c>
      <c r="H92" s="47" t="str">
        <f>IF(B92="","",IF(G92&gt;0,"OUTSTANDING",IF(G92=0,"SETTLED",IF(SUMIF(Transactions!$F$8:$F$3006,B92,Transactions!$Q$8:$Q$3006)&gt;SUMIF(Transactions!$F$8:$F$3006,B92,Transactions!$R$8:$R$3006),"OWES","OVERPAID"))))</f>
        <v/>
      </c>
      <c r="I92" s="1"/>
    </row>
    <row r="93" spans="1:9" ht="18" customHeight="1" x14ac:dyDescent="0.25">
      <c r="A93" s="48">
        <v>78</v>
      </c>
      <c r="B93" s="49" t="str">
        <f t="array" ref="B93">IFERROR(IF(INDEX(Transactions!$F$8:$F$3006,MATCH(0,COUNTIF($B$11:B92,Transactions!$F$8:$F$3006),0))="","",INDEX(Transactions!$F$8:$F$3006,MATCH(0,COUNTIF($B$11:B92,Transactions!$F$8:$F$3006),0))),"")</f>
        <v/>
      </c>
      <c r="C93" s="50" t="str">
        <f>IF(B93="","",SUMIF(Transactions!$F$8:$F$3006,B93,Transactions!$H$8:$H$3006))</f>
        <v/>
      </c>
      <c r="D93" s="51" t="str">
        <f>IF(B93="","",SUMIF(Transactions!$F$8:$F$3006,B93,Transactions!$N$8:$N$3006))</f>
        <v/>
      </c>
      <c r="E93" s="52" t="str">
        <f>IF(B93="","",SUMIF(Transactions!$F$8:$F$3006,B93,Transactions!$O$8:$O$3006))</f>
        <v/>
      </c>
      <c r="F93" s="53" t="str">
        <f>IF(B93="","",SUMIF(Transactions!$F$8:$F$3006,B93,Transactions!$R$8:$R$3006))</f>
        <v/>
      </c>
      <c r="G93" s="54" t="str">
        <f>IF(B93="","",(C93+F93)-(D93+E93+SUMIF(Transactions!$F$8:$F$3006,B93,Transactions!$Q$8:$Q$3006)))</f>
        <v/>
      </c>
      <c r="H93" s="55" t="str">
        <f>IF(B93="","",IF(G93&gt;0,"OUTSTANDING",IF(G93=0,"SETTLED",IF(SUMIF(Transactions!$F$8:$F$3006,B93,Transactions!$Q$8:$Q$3006)&gt;SUMIF(Transactions!$F$8:$F$3006,B93,Transactions!$R$8:$R$3006),"OWES","OVERPAID"))))</f>
        <v/>
      </c>
      <c r="I93" s="1"/>
    </row>
    <row r="94" spans="1:9" ht="18" customHeight="1" x14ac:dyDescent="0.25">
      <c r="A94" s="40">
        <v>79</v>
      </c>
      <c r="B94" s="41" t="str">
        <f t="array" ref="B94">IFERROR(IF(INDEX(Transactions!$F$8:$F$3006,MATCH(0,COUNTIF($B$11:B93,Transactions!$F$8:$F$3006),0))="","",INDEX(Transactions!$F$8:$F$3006,MATCH(0,COUNTIF($B$11:B93,Transactions!$F$8:$F$3006),0))),"")</f>
        <v/>
      </c>
      <c r="C94" s="42" t="str">
        <f>IF(B94="","",SUMIF(Transactions!$F$8:$F$3006,B94,Transactions!$H$8:$H$3006))</f>
        <v/>
      </c>
      <c r="D94" s="43" t="str">
        <f>IF(B94="","",SUMIF(Transactions!$F$8:$F$3006,B94,Transactions!$N$8:$N$3006))</f>
        <v/>
      </c>
      <c r="E94" s="44" t="str">
        <f>IF(B94="","",SUMIF(Transactions!$F$8:$F$3006,B94,Transactions!$O$8:$O$3006))</f>
        <v/>
      </c>
      <c r="F94" s="45" t="str">
        <f>IF(B94="","",SUMIF(Transactions!$F$8:$F$3006,B94,Transactions!$R$8:$R$3006))</f>
        <v/>
      </c>
      <c r="G94" s="46" t="str">
        <f>IF(B94="","",(C94+F94)-(D94+E94+SUMIF(Transactions!$F$8:$F$3006,B94,Transactions!$Q$8:$Q$3006)))</f>
        <v/>
      </c>
      <c r="H94" s="47" t="str">
        <f>IF(B94="","",IF(G94&gt;0,"OUTSTANDING",IF(G94=0,"SETTLED",IF(SUMIF(Transactions!$F$8:$F$3006,B94,Transactions!$Q$8:$Q$3006)&gt;SUMIF(Transactions!$F$8:$F$3006,B94,Transactions!$R$8:$R$3006),"OWES","OVERPAID"))))</f>
        <v/>
      </c>
      <c r="I94" s="1"/>
    </row>
    <row r="95" spans="1:9" ht="18" customHeight="1" x14ac:dyDescent="0.25">
      <c r="A95" s="48">
        <v>80</v>
      </c>
      <c r="B95" s="49" t="str">
        <f t="array" ref="B95">IFERROR(IF(INDEX(Transactions!$F$8:$F$3006,MATCH(0,COUNTIF($B$11:B94,Transactions!$F$8:$F$3006),0))="","",INDEX(Transactions!$F$8:$F$3006,MATCH(0,COUNTIF($B$11:B94,Transactions!$F$8:$F$3006),0))),"")</f>
        <v/>
      </c>
      <c r="C95" s="50" t="str">
        <f>IF(B95="","",SUMIF(Transactions!$F$8:$F$3006,B95,Transactions!$H$8:$H$3006))</f>
        <v/>
      </c>
      <c r="D95" s="51" t="str">
        <f>IF(B95="","",SUMIF(Transactions!$F$8:$F$3006,B95,Transactions!$N$8:$N$3006))</f>
        <v/>
      </c>
      <c r="E95" s="52" t="str">
        <f>IF(B95="","",SUMIF(Transactions!$F$8:$F$3006,B95,Transactions!$O$8:$O$3006))</f>
        <v/>
      </c>
      <c r="F95" s="53" t="str">
        <f>IF(B95="","",SUMIF(Transactions!$F$8:$F$3006,B95,Transactions!$R$8:$R$3006))</f>
        <v/>
      </c>
      <c r="G95" s="54" t="str">
        <f>IF(B95="","",(C95+F95)-(D95+E95+SUMIF(Transactions!$F$8:$F$3006,B95,Transactions!$Q$8:$Q$3006)))</f>
        <v/>
      </c>
      <c r="H95" s="55" t="str">
        <f>IF(B95="","",IF(G95&gt;0,"OUTSTANDING",IF(G95=0,"SETTLED",IF(SUMIF(Transactions!$F$8:$F$3006,B95,Transactions!$Q$8:$Q$3006)&gt;SUMIF(Transactions!$F$8:$F$3006,B95,Transactions!$R$8:$R$3006),"OWES","OVERPAID"))))</f>
        <v/>
      </c>
      <c r="I95" s="1"/>
    </row>
    <row r="96" spans="1:9" ht="18" customHeight="1" x14ac:dyDescent="0.25">
      <c r="A96" s="40">
        <v>81</v>
      </c>
      <c r="B96" s="41" t="str">
        <f t="array" ref="B96">IFERROR(IF(INDEX(Transactions!$F$8:$F$3006,MATCH(0,COUNTIF($B$11:B95,Transactions!$F$8:$F$3006),0))="","",INDEX(Transactions!$F$8:$F$3006,MATCH(0,COUNTIF($B$11:B95,Transactions!$F$8:$F$3006),0))),"")</f>
        <v/>
      </c>
      <c r="C96" s="42" t="str">
        <f>IF(B96="","",SUMIF(Transactions!$F$8:$F$3006,B96,Transactions!$H$8:$H$3006))</f>
        <v/>
      </c>
      <c r="D96" s="43" t="str">
        <f>IF(B96="","",SUMIF(Transactions!$F$8:$F$3006,B96,Transactions!$N$8:$N$3006))</f>
        <v/>
      </c>
      <c r="E96" s="44" t="str">
        <f>IF(B96="","",SUMIF(Transactions!$F$8:$F$3006,B96,Transactions!$O$8:$O$3006))</f>
        <v/>
      </c>
      <c r="F96" s="45" t="str">
        <f>IF(B96="","",SUMIF(Transactions!$F$8:$F$3006,B96,Transactions!$R$8:$R$3006))</f>
        <v/>
      </c>
      <c r="G96" s="46" t="str">
        <f>IF(B96="","",(C96+F96)-(D96+E96+SUMIF(Transactions!$F$8:$F$3006,B96,Transactions!$Q$8:$Q$3006)))</f>
        <v/>
      </c>
      <c r="H96" s="47" t="str">
        <f>IF(B96="","",IF(G96&gt;0,"OUTSTANDING",IF(G96=0,"SETTLED",IF(SUMIF(Transactions!$F$8:$F$3006,B96,Transactions!$Q$8:$Q$3006)&gt;SUMIF(Transactions!$F$8:$F$3006,B96,Transactions!$R$8:$R$3006),"OWES","OVERPAID"))))</f>
        <v/>
      </c>
      <c r="I96" s="1"/>
    </row>
    <row r="97" spans="1:9" ht="18" customHeight="1" x14ac:dyDescent="0.25">
      <c r="A97" s="48">
        <v>82</v>
      </c>
      <c r="B97" s="49" t="str">
        <f t="array" ref="B97">IFERROR(IF(INDEX(Transactions!$F$8:$F$3006,MATCH(0,COUNTIF($B$11:B96,Transactions!$F$8:$F$3006),0))="","",INDEX(Transactions!$F$8:$F$3006,MATCH(0,COUNTIF($B$11:B96,Transactions!$F$8:$F$3006),0))),"")</f>
        <v/>
      </c>
      <c r="C97" s="50" t="str">
        <f>IF(B97="","",SUMIF(Transactions!$F$8:$F$3006,B97,Transactions!$H$8:$H$3006))</f>
        <v/>
      </c>
      <c r="D97" s="51" t="str">
        <f>IF(B97="","",SUMIF(Transactions!$F$8:$F$3006,B97,Transactions!$N$8:$N$3006))</f>
        <v/>
      </c>
      <c r="E97" s="52" t="str">
        <f>IF(B97="","",SUMIF(Transactions!$F$8:$F$3006,B97,Transactions!$O$8:$O$3006))</f>
        <v/>
      </c>
      <c r="F97" s="53" t="str">
        <f>IF(B97="","",SUMIF(Transactions!$F$8:$F$3006,B97,Transactions!$R$8:$R$3006))</f>
        <v/>
      </c>
      <c r="G97" s="54" t="str">
        <f>IF(B97="","",(C97+F97)-(D97+E97+SUMIF(Transactions!$F$8:$F$3006,B97,Transactions!$Q$8:$Q$3006)))</f>
        <v/>
      </c>
      <c r="H97" s="55" t="str">
        <f>IF(B97="","",IF(G97&gt;0,"OUTSTANDING",IF(G97=0,"SETTLED",IF(SUMIF(Transactions!$F$8:$F$3006,B97,Transactions!$Q$8:$Q$3006)&gt;SUMIF(Transactions!$F$8:$F$3006,B97,Transactions!$R$8:$R$3006),"OWES","OVERPAID"))))</f>
        <v/>
      </c>
      <c r="I97" s="1"/>
    </row>
    <row r="98" spans="1:9" ht="18" customHeight="1" x14ac:dyDescent="0.25">
      <c r="A98" s="40">
        <v>83</v>
      </c>
      <c r="B98" s="41" t="str">
        <f t="array" ref="B98">IFERROR(IF(INDEX(Transactions!$F$8:$F$3006,MATCH(0,COUNTIF($B$11:B97,Transactions!$F$8:$F$3006),0))="","",INDEX(Transactions!$F$8:$F$3006,MATCH(0,COUNTIF($B$11:B97,Transactions!$F$8:$F$3006),0))),"")</f>
        <v/>
      </c>
      <c r="C98" s="42" t="str">
        <f>IF(B98="","",SUMIF(Transactions!$F$8:$F$3006,B98,Transactions!$H$8:$H$3006))</f>
        <v/>
      </c>
      <c r="D98" s="43" t="str">
        <f>IF(B98="","",SUMIF(Transactions!$F$8:$F$3006,B98,Transactions!$N$8:$N$3006))</f>
        <v/>
      </c>
      <c r="E98" s="44" t="str">
        <f>IF(B98="","",SUMIF(Transactions!$F$8:$F$3006,B98,Transactions!$O$8:$O$3006))</f>
        <v/>
      </c>
      <c r="F98" s="45" t="str">
        <f>IF(B98="","",SUMIF(Transactions!$F$8:$F$3006,B98,Transactions!$R$8:$R$3006))</f>
        <v/>
      </c>
      <c r="G98" s="46" t="str">
        <f>IF(B98="","",(C98+F98)-(D98+E98+SUMIF(Transactions!$F$8:$F$3006,B98,Transactions!$Q$8:$Q$3006)))</f>
        <v/>
      </c>
      <c r="H98" s="47" t="str">
        <f>IF(B98="","",IF(G98&gt;0,"OUTSTANDING",IF(G98=0,"SETTLED",IF(SUMIF(Transactions!$F$8:$F$3006,B98,Transactions!$Q$8:$Q$3006)&gt;SUMIF(Transactions!$F$8:$F$3006,B98,Transactions!$R$8:$R$3006),"OWES","OVERPAID"))))</f>
        <v/>
      </c>
      <c r="I98" s="1"/>
    </row>
    <row r="99" spans="1:9" ht="18" customHeight="1" x14ac:dyDescent="0.25">
      <c r="A99" s="48">
        <v>84</v>
      </c>
      <c r="B99" s="49" t="str">
        <f t="array" ref="B99">IFERROR(IF(INDEX(Transactions!$F$8:$F$3006,MATCH(0,COUNTIF($B$11:B98,Transactions!$F$8:$F$3006),0))="","",INDEX(Transactions!$F$8:$F$3006,MATCH(0,COUNTIF($B$11:B98,Transactions!$F$8:$F$3006),0))),"")</f>
        <v/>
      </c>
      <c r="C99" s="50" t="str">
        <f>IF(B99="","",SUMIF(Transactions!$F$8:$F$3006,B99,Transactions!$H$8:$H$3006))</f>
        <v/>
      </c>
      <c r="D99" s="51" t="str">
        <f>IF(B99="","",SUMIF(Transactions!$F$8:$F$3006,B99,Transactions!$N$8:$N$3006))</f>
        <v/>
      </c>
      <c r="E99" s="52" t="str">
        <f>IF(B99="","",SUMIF(Transactions!$F$8:$F$3006,B99,Transactions!$O$8:$O$3006))</f>
        <v/>
      </c>
      <c r="F99" s="53" t="str">
        <f>IF(B99="","",SUMIF(Transactions!$F$8:$F$3006,B99,Transactions!$R$8:$R$3006))</f>
        <v/>
      </c>
      <c r="G99" s="54" t="str">
        <f>IF(B99="","",(C99+F99)-(D99+E99+SUMIF(Transactions!$F$8:$F$3006,B99,Transactions!$Q$8:$Q$3006)))</f>
        <v/>
      </c>
      <c r="H99" s="55" t="str">
        <f>IF(B99="","",IF(G99&gt;0,"OUTSTANDING",IF(G99=0,"SETTLED",IF(SUMIF(Transactions!$F$8:$F$3006,B99,Transactions!$Q$8:$Q$3006)&gt;SUMIF(Transactions!$F$8:$F$3006,B99,Transactions!$R$8:$R$3006),"OWES","OVERPAID"))))</f>
        <v/>
      </c>
      <c r="I99" s="1"/>
    </row>
    <row r="100" spans="1:9" ht="18" customHeight="1" x14ac:dyDescent="0.25">
      <c r="A100" s="40">
        <v>85</v>
      </c>
      <c r="B100" s="41" t="str">
        <f t="array" ref="B100">IFERROR(IF(INDEX(Transactions!$F$8:$F$3006,MATCH(0,COUNTIF($B$11:B99,Transactions!$F$8:$F$3006),0))="","",INDEX(Transactions!$F$8:$F$3006,MATCH(0,COUNTIF($B$11:B99,Transactions!$F$8:$F$3006),0))),"")</f>
        <v/>
      </c>
      <c r="C100" s="42" t="str">
        <f>IF(B100="","",SUMIF(Transactions!$F$8:$F$3006,B100,Transactions!$H$8:$H$3006))</f>
        <v/>
      </c>
      <c r="D100" s="43" t="str">
        <f>IF(B100="","",SUMIF(Transactions!$F$8:$F$3006,B100,Transactions!$N$8:$N$3006))</f>
        <v/>
      </c>
      <c r="E100" s="44" t="str">
        <f>IF(B100="","",SUMIF(Transactions!$F$8:$F$3006,B100,Transactions!$O$8:$O$3006))</f>
        <v/>
      </c>
      <c r="F100" s="45" t="str">
        <f>IF(B100="","",SUMIF(Transactions!$F$8:$F$3006,B100,Transactions!$R$8:$R$3006))</f>
        <v/>
      </c>
      <c r="G100" s="46" t="str">
        <f>IF(B100="","",(C100+F100)-(D100+E100+SUMIF(Transactions!$F$8:$F$3006,B100,Transactions!$Q$8:$Q$3006)))</f>
        <v/>
      </c>
      <c r="H100" s="47" t="str">
        <f>IF(B100="","",IF(G100&gt;0,"OUTSTANDING",IF(G100=0,"SETTLED",IF(SUMIF(Transactions!$F$8:$F$3006,B100,Transactions!$Q$8:$Q$3006)&gt;SUMIF(Transactions!$F$8:$F$3006,B100,Transactions!$R$8:$R$3006),"OWES","OVERPAID"))))</f>
        <v/>
      </c>
      <c r="I100" s="1"/>
    </row>
    <row r="101" spans="1:9" ht="18" customHeight="1" x14ac:dyDescent="0.25">
      <c r="A101" s="48">
        <v>86</v>
      </c>
      <c r="B101" s="49" t="str">
        <f t="array" ref="B101">IFERROR(IF(INDEX(Transactions!$F$8:$F$3006,MATCH(0,COUNTIF($B$11:B100,Transactions!$F$8:$F$3006),0))="","",INDEX(Transactions!$F$8:$F$3006,MATCH(0,COUNTIF($B$11:B100,Transactions!$F$8:$F$3006),0))),"")</f>
        <v/>
      </c>
      <c r="C101" s="50" t="str">
        <f>IF(B101="","",SUMIF(Transactions!$F$8:$F$3006,B101,Transactions!$H$8:$H$3006))</f>
        <v/>
      </c>
      <c r="D101" s="51" t="str">
        <f>IF(B101="","",SUMIF(Transactions!$F$8:$F$3006,B101,Transactions!$N$8:$N$3006))</f>
        <v/>
      </c>
      <c r="E101" s="52" t="str">
        <f>IF(B101="","",SUMIF(Transactions!$F$8:$F$3006,B101,Transactions!$O$8:$O$3006))</f>
        <v/>
      </c>
      <c r="F101" s="53" t="str">
        <f>IF(B101="","",SUMIF(Transactions!$F$8:$F$3006,B101,Transactions!$R$8:$R$3006))</f>
        <v/>
      </c>
      <c r="G101" s="54" t="str">
        <f>IF(B101="","",(C101+F101)-(D101+E101+SUMIF(Transactions!$F$8:$F$3006,B101,Transactions!$Q$8:$Q$3006)))</f>
        <v/>
      </c>
      <c r="H101" s="55" t="str">
        <f>IF(B101="","",IF(G101&gt;0,"OUTSTANDING",IF(G101=0,"SETTLED",IF(SUMIF(Transactions!$F$8:$F$3006,B101,Transactions!$Q$8:$Q$3006)&gt;SUMIF(Transactions!$F$8:$F$3006,B101,Transactions!$R$8:$R$3006),"OWES","OVERPAID"))))</f>
        <v/>
      </c>
      <c r="I101" s="1"/>
    </row>
    <row r="102" spans="1:9" ht="18" customHeight="1" x14ac:dyDescent="0.25">
      <c r="A102" s="40">
        <v>87</v>
      </c>
      <c r="B102" s="41" t="str">
        <f t="array" ref="B102">IFERROR(IF(INDEX(Transactions!$F$8:$F$3006,MATCH(0,COUNTIF($B$11:B101,Transactions!$F$8:$F$3006),0))="","",INDEX(Transactions!$F$8:$F$3006,MATCH(0,COUNTIF($B$11:B101,Transactions!$F$8:$F$3006),0))),"")</f>
        <v/>
      </c>
      <c r="C102" s="42" t="str">
        <f>IF(B102="","",SUMIF(Transactions!$F$8:$F$3006,B102,Transactions!$H$8:$H$3006))</f>
        <v/>
      </c>
      <c r="D102" s="43" t="str">
        <f>IF(B102="","",SUMIF(Transactions!$F$8:$F$3006,B102,Transactions!$N$8:$N$3006))</f>
        <v/>
      </c>
      <c r="E102" s="44" t="str">
        <f>IF(B102="","",SUMIF(Transactions!$F$8:$F$3006,B102,Transactions!$O$8:$O$3006))</f>
        <v/>
      </c>
      <c r="F102" s="45" t="str">
        <f>IF(B102="","",SUMIF(Transactions!$F$8:$F$3006,B102,Transactions!$R$8:$R$3006))</f>
        <v/>
      </c>
      <c r="G102" s="46" t="str">
        <f>IF(B102="","",(C102+F102)-(D102+E102+SUMIF(Transactions!$F$8:$F$3006,B102,Transactions!$Q$8:$Q$3006)))</f>
        <v/>
      </c>
      <c r="H102" s="47" t="str">
        <f>IF(B102="","",IF(G102&gt;0,"OUTSTANDING",IF(G102=0,"SETTLED",IF(SUMIF(Transactions!$F$8:$F$3006,B102,Transactions!$Q$8:$Q$3006)&gt;SUMIF(Transactions!$F$8:$F$3006,B102,Transactions!$R$8:$R$3006),"OWES","OVERPAID"))))</f>
        <v/>
      </c>
      <c r="I102" s="1"/>
    </row>
    <row r="103" spans="1:9" ht="18" customHeight="1" x14ac:dyDescent="0.25">
      <c r="A103" s="48">
        <v>88</v>
      </c>
      <c r="B103" s="49" t="str">
        <f t="array" ref="B103">IFERROR(IF(INDEX(Transactions!$F$8:$F$3006,MATCH(0,COUNTIF($B$11:B102,Transactions!$F$8:$F$3006),0))="","",INDEX(Transactions!$F$8:$F$3006,MATCH(0,COUNTIF($B$11:B102,Transactions!$F$8:$F$3006),0))),"")</f>
        <v/>
      </c>
      <c r="C103" s="50" t="str">
        <f>IF(B103="","",SUMIF(Transactions!$F$8:$F$3006,B103,Transactions!$H$8:$H$3006))</f>
        <v/>
      </c>
      <c r="D103" s="51" t="str">
        <f>IF(B103="","",SUMIF(Transactions!$F$8:$F$3006,B103,Transactions!$N$8:$N$3006))</f>
        <v/>
      </c>
      <c r="E103" s="52" t="str">
        <f>IF(B103="","",SUMIF(Transactions!$F$8:$F$3006,B103,Transactions!$O$8:$O$3006))</f>
        <v/>
      </c>
      <c r="F103" s="53" t="str">
        <f>IF(B103="","",SUMIF(Transactions!$F$8:$F$3006,B103,Transactions!$R$8:$R$3006))</f>
        <v/>
      </c>
      <c r="G103" s="54" t="str">
        <f>IF(B103="","",(C103+F103)-(D103+E103+SUMIF(Transactions!$F$8:$F$3006,B103,Transactions!$Q$8:$Q$3006)))</f>
        <v/>
      </c>
      <c r="H103" s="55" t="str">
        <f>IF(B103="","",IF(G103&gt;0,"OUTSTANDING",IF(G103=0,"SETTLED",IF(SUMIF(Transactions!$F$8:$F$3006,B103,Transactions!$Q$8:$Q$3006)&gt;SUMIF(Transactions!$F$8:$F$3006,B103,Transactions!$R$8:$R$3006),"OWES","OVERPAID"))))</f>
        <v/>
      </c>
      <c r="I103" s="1"/>
    </row>
    <row r="104" spans="1:9" ht="18" customHeight="1" x14ac:dyDescent="0.25">
      <c r="A104" s="40">
        <v>89</v>
      </c>
      <c r="B104" s="41" t="str">
        <f t="array" ref="B104">IFERROR(IF(INDEX(Transactions!$F$8:$F$3006,MATCH(0,COUNTIF($B$11:B103,Transactions!$F$8:$F$3006),0))="","",INDEX(Transactions!$F$8:$F$3006,MATCH(0,COUNTIF($B$11:B103,Transactions!$F$8:$F$3006),0))),"")</f>
        <v/>
      </c>
      <c r="C104" s="42" t="str">
        <f>IF(B104="","",SUMIF(Transactions!$F$8:$F$3006,B104,Transactions!$H$8:$H$3006))</f>
        <v/>
      </c>
      <c r="D104" s="43" t="str">
        <f>IF(B104="","",SUMIF(Transactions!$F$8:$F$3006,B104,Transactions!$N$8:$N$3006))</f>
        <v/>
      </c>
      <c r="E104" s="44" t="str">
        <f>IF(B104="","",SUMIF(Transactions!$F$8:$F$3006,B104,Transactions!$O$8:$O$3006))</f>
        <v/>
      </c>
      <c r="F104" s="45" t="str">
        <f>IF(B104="","",SUMIF(Transactions!$F$8:$F$3006,B104,Transactions!$R$8:$R$3006))</f>
        <v/>
      </c>
      <c r="G104" s="46" t="str">
        <f>IF(B104="","",(C104+F104)-(D104+E104+SUMIF(Transactions!$F$8:$F$3006,B104,Transactions!$Q$8:$Q$3006)))</f>
        <v/>
      </c>
      <c r="H104" s="47" t="str">
        <f>IF(B104="","",IF(G104&gt;0,"OUTSTANDING",IF(G104=0,"SETTLED",IF(SUMIF(Transactions!$F$8:$F$3006,B104,Transactions!$Q$8:$Q$3006)&gt;SUMIF(Transactions!$F$8:$F$3006,B104,Transactions!$R$8:$R$3006),"OWES","OVERPAID"))))</f>
        <v/>
      </c>
      <c r="I104" s="1"/>
    </row>
    <row r="105" spans="1:9" ht="18" customHeight="1" x14ac:dyDescent="0.25">
      <c r="A105" s="48">
        <v>90</v>
      </c>
      <c r="B105" s="49" t="str">
        <f t="array" ref="B105">IFERROR(IF(INDEX(Transactions!$F$8:$F$3006,MATCH(0,COUNTIF($B$11:B104,Transactions!$F$8:$F$3006),0))="","",INDEX(Transactions!$F$8:$F$3006,MATCH(0,COUNTIF($B$11:B104,Transactions!$F$8:$F$3006),0))),"")</f>
        <v/>
      </c>
      <c r="C105" s="50" t="str">
        <f>IF(B105="","",SUMIF(Transactions!$F$8:$F$3006,B105,Transactions!$H$8:$H$3006))</f>
        <v/>
      </c>
      <c r="D105" s="51" t="str">
        <f>IF(B105="","",SUMIF(Transactions!$F$8:$F$3006,B105,Transactions!$N$8:$N$3006))</f>
        <v/>
      </c>
      <c r="E105" s="52" t="str">
        <f>IF(B105="","",SUMIF(Transactions!$F$8:$F$3006,B105,Transactions!$O$8:$O$3006))</f>
        <v/>
      </c>
      <c r="F105" s="53" t="str">
        <f>IF(B105="","",SUMIF(Transactions!$F$8:$F$3006,B105,Transactions!$R$8:$R$3006))</f>
        <v/>
      </c>
      <c r="G105" s="54" t="str">
        <f>IF(B105="","",(C105+F105)-(D105+E105+SUMIF(Transactions!$F$8:$F$3006,B105,Transactions!$Q$8:$Q$3006)))</f>
        <v/>
      </c>
      <c r="H105" s="55" t="str">
        <f>IF(B105="","",IF(G105&gt;0,"OUTSTANDING",IF(G105=0,"SETTLED",IF(SUMIF(Transactions!$F$8:$F$3006,B105,Transactions!$Q$8:$Q$3006)&gt;SUMIF(Transactions!$F$8:$F$3006,B105,Transactions!$R$8:$R$3006),"OWES","OVERPAID"))))</f>
        <v/>
      </c>
      <c r="I105" s="1"/>
    </row>
    <row r="106" spans="1:9" ht="18" customHeight="1" x14ac:dyDescent="0.25">
      <c r="A106" s="40">
        <v>91</v>
      </c>
      <c r="B106" s="41" t="str">
        <f t="array" ref="B106">IFERROR(IF(INDEX(Transactions!$F$8:$F$3006,MATCH(0,COUNTIF($B$11:B105,Transactions!$F$8:$F$3006),0))="","",INDEX(Transactions!$F$8:$F$3006,MATCH(0,COUNTIF($B$11:B105,Transactions!$F$8:$F$3006),0))),"")</f>
        <v/>
      </c>
      <c r="C106" s="42" t="str">
        <f>IF(B106="","",SUMIF(Transactions!$F$8:$F$3006,B106,Transactions!$H$8:$H$3006))</f>
        <v/>
      </c>
      <c r="D106" s="43" t="str">
        <f>IF(B106="","",SUMIF(Transactions!$F$8:$F$3006,B106,Transactions!$N$8:$N$3006))</f>
        <v/>
      </c>
      <c r="E106" s="44" t="str">
        <f>IF(B106="","",SUMIF(Transactions!$F$8:$F$3006,B106,Transactions!$O$8:$O$3006))</f>
        <v/>
      </c>
      <c r="F106" s="45" t="str">
        <f>IF(B106="","",SUMIF(Transactions!$F$8:$F$3006,B106,Transactions!$R$8:$R$3006))</f>
        <v/>
      </c>
      <c r="G106" s="46" t="str">
        <f>IF(B106="","",(C106+F106)-(D106+E106+SUMIF(Transactions!$F$8:$F$3006,B106,Transactions!$Q$8:$Q$3006)))</f>
        <v/>
      </c>
      <c r="H106" s="47" t="str">
        <f>IF(B106="","",IF(G106&gt;0,"OUTSTANDING",IF(G106=0,"SETTLED",IF(SUMIF(Transactions!$F$8:$F$3006,B106,Transactions!$Q$8:$Q$3006)&gt;SUMIF(Transactions!$F$8:$F$3006,B106,Transactions!$R$8:$R$3006),"OWES","OVERPAID"))))</f>
        <v/>
      </c>
      <c r="I106" s="1"/>
    </row>
    <row r="107" spans="1:9" ht="18" customHeight="1" x14ac:dyDescent="0.25">
      <c r="A107" s="48">
        <v>92</v>
      </c>
      <c r="B107" s="49" t="str">
        <f t="array" ref="B107">IFERROR(IF(INDEX(Transactions!$F$8:$F$3006,MATCH(0,COUNTIF($B$11:B106,Transactions!$F$8:$F$3006),0))="","",INDEX(Transactions!$F$8:$F$3006,MATCH(0,COUNTIF($B$11:B106,Transactions!$F$8:$F$3006),0))),"")</f>
        <v/>
      </c>
      <c r="C107" s="50" t="str">
        <f>IF(B107="","",SUMIF(Transactions!$F$8:$F$3006,B107,Transactions!$H$8:$H$3006))</f>
        <v/>
      </c>
      <c r="D107" s="51" t="str">
        <f>IF(B107="","",SUMIF(Transactions!$F$8:$F$3006,B107,Transactions!$N$8:$N$3006))</f>
        <v/>
      </c>
      <c r="E107" s="52" t="str">
        <f>IF(B107="","",SUMIF(Transactions!$F$8:$F$3006,B107,Transactions!$O$8:$O$3006))</f>
        <v/>
      </c>
      <c r="F107" s="53" t="str">
        <f>IF(B107="","",SUMIF(Transactions!$F$8:$F$3006,B107,Transactions!$R$8:$R$3006))</f>
        <v/>
      </c>
      <c r="G107" s="54" t="str">
        <f>IF(B107="","",(C107+F107)-(D107+E107+SUMIF(Transactions!$F$8:$F$3006,B107,Transactions!$Q$8:$Q$3006)))</f>
        <v/>
      </c>
      <c r="H107" s="55" t="str">
        <f>IF(B107="","",IF(G107&gt;0,"OUTSTANDING",IF(G107=0,"SETTLED",IF(SUMIF(Transactions!$F$8:$F$3006,B107,Transactions!$Q$8:$Q$3006)&gt;SUMIF(Transactions!$F$8:$F$3006,B107,Transactions!$R$8:$R$3006),"OWES","OVERPAID"))))</f>
        <v/>
      </c>
      <c r="I107" s="1"/>
    </row>
    <row r="108" spans="1:9" ht="18" customHeight="1" x14ac:dyDescent="0.25">
      <c r="A108" s="40">
        <v>93</v>
      </c>
      <c r="B108" s="41" t="str">
        <f t="array" ref="B108">IFERROR(IF(INDEX(Transactions!$F$8:$F$3006,MATCH(0,COUNTIF($B$11:B107,Transactions!$F$8:$F$3006),0))="","",INDEX(Transactions!$F$8:$F$3006,MATCH(0,COUNTIF($B$11:B107,Transactions!$F$8:$F$3006),0))),"")</f>
        <v/>
      </c>
      <c r="C108" s="42" t="str">
        <f>IF(B108="","",SUMIF(Transactions!$F$8:$F$3006,B108,Transactions!$H$8:$H$3006))</f>
        <v/>
      </c>
      <c r="D108" s="43" t="str">
        <f>IF(B108="","",SUMIF(Transactions!$F$8:$F$3006,B108,Transactions!$N$8:$N$3006))</f>
        <v/>
      </c>
      <c r="E108" s="44" t="str">
        <f>IF(B108="","",SUMIF(Transactions!$F$8:$F$3006,B108,Transactions!$O$8:$O$3006))</f>
        <v/>
      </c>
      <c r="F108" s="45" t="str">
        <f>IF(B108="","",SUMIF(Transactions!$F$8:$F$3006,B108,Transactions!$R$8:$R$3006))</f>
        <v/>
      </c>
      <c r="G108" s="46" t="str">
        <f>IF(B108="","",(C108+F108)-(D108+E108+SUMIF(Transactions!$F$8:$F$3006,B108,Transactions!$Q$8:$Q$3006)))</f>
        <v/>
      </c>
      <c r="H108" s="47" t="str">
        <f>IF(B108="","",IF(G108&gt;0,"OUTSTANDING",IF(G108=0,"SETTLED",IF(SUMIF(Transactions!$F$8:$F$3006,B108,Transactions!$Q$8:$Q$3006)&gt;SUMIF(Transactions!$F$8:$F$3006,B108,Transactions!$R$8:$R$3006),"OWES","OVERPAID"))))</f>
        <v/>
      </c>
      <c r="I108" s="1"/>
    </row>
    <row r="109" spans="1:9" ht="18" customHeight="1" x14ac:dyDescent="0.25">
      <c r="A109" s="48">
        <v>94</v>
      </c>
      <c r="B109" s="49" t="str">
        <f t="array" ref="B109">IFERROR(IF(INDEX(Transactions!$F$8:$F$3006,MATCH(0,COUNTIF($B$11:B108,Transactions!$F$8:$F$3006),0))="","",INDEX(Transactions!$F$8:$F$3006,MATCH(0,COUNTIF($B$11:B108,Transactions!$F$8:$F$3006),0))),"")</f>
        <v/>
      </c>
      <c r="C109" s="50" t="str">
        <f>IF(B109="","",SUMIF(Transactions!$F$8:$F$3006,B109,Transactions!$H$8:$H$3006))</f>
        <v/>
      </c>
      <c r="D109" s="51" t="str">
        <f>IF(B109="","",SUMIF(Transactions!$F$8:$F$3006,B109,Transactions!$N$8:$N$3006))</f>
        <v/>
      </c>
      <c r="E109" s="52" t="str">
        <f>IF(B109="","",SUMIF(Transactions!$F$8:$F$3006,B109,Transactions!$O$8:$O$3006))</f>
        <v/>
      </c>
      <c r="F109" s="53" t="str">
        <f>IF(B109="","",SUMIF(Transactions!$F$8:$F$3006,B109,Transactions!$R$8:$R$3006))</f>
        <v/>
      </c>
      <c r="G109" s="54" t="str">
        <f>IF(B109="","",(C109+F109)-(D109+E109+SUMIF(Transactions!$F$8:$F$3006,B109,Transactions!$Q$8:$Q$3006)))</f>
        <v/>
      </c>
      <c r="H109" s="55" t="str">
        <f>IF(B109="","",IF(G109&gt;0,"OUTSTANDING",IF(G109=0,"SETTLED",IF(SUMIF(Transactions!$F$8:$F$3006,B109,Transactions!$Q$8:$Q$3006)&gt;SUMIF(Transactions!$F$8:$F$3006,B109,Transactions!$R$8:$R$3006),"OWES","OVERPAID"))))</f>
        <v/>
      </c>
      <c r="I109" s="1"/>
    </row>
    <row r="110" spans="1:9" ht="18" customHeight="1" x14ac:dyDescent="0.25">
      <c r="A110" s="40">
        <v>95</v>
      </c>
      <c r="B110" s="41" t="str">
        <f t="array" ref="B110">IFERROR(IF(INDEX(Transactions!$F$8:$F$3006,MATCH(0,COUNTIF($B$11:B109,Transactions!$F$8:$F$3006),0))="","",INDEX(Transactions!$F$8:$F$3006,MATCH(0,COUNTIF($B$11:B109,Transactions!$F$8:$F$3006),0))),"")</f>
        <v/>
      </c>
      <c r="C110" s="42" t="str">
        <f>IF(B110="","",SUMIF(Transactions!$F$8:$F$3006,B110,Transactions!$H$8:$H$3006))</f>
        <v/>
      </c>
      <c r="D110" s="43" t="str">
        <f>IF(B110="","",SUMIF(Transactions!$F$8:$F$3006,B110,Transactions!$N$8:$N$3006))</f>
        <v/>
      </c>
      <c r="E110" s="44" t="str">
        <f>IF(B110="","",SUMIF(Transactions!$F$8:$F$3006,B110,Transactions!$O$8:$O$3006))</f>
        <v/>
      </c>
      <c r="F110" s="45" t="str">
        <f>IF(B110="","",SUMIF(Transactions!$F$8:$F$3006,B110,Transactions!$R$8:$R$3006))</f>
        <v/>
      </c>
      <c r="G110" s="46" t="str">
        <f>IF(B110="","",(C110+F110)-(D110+E110+SUMIF(Transactions!$F$8:$F$3006,B110,Transactions!$Q$8:$Q$3006)))</f>
        <v/>
      </c>
      <c r="H110" s="47" t="str">
        <f>IF(B110="","",IF(G110&gt;0,"OUTSTANDING",IF(G110=0,"SETTLED",IF(SUMIF(Transactions!$F$8:$F$3006,B110,Transactions!$Q$8:$Q$3006)&gt;SUMIF(Transactions!$F$8:$F$3006,B110,Transactions!$R$8:$R$3006),"OWES","OVERPAID"))))</f>
        <v/>
      </c>
      <c r="I110" s="1"/>
    </row>
    <row r="111" spans="1:9" ht="18" customHeight="1" x14ac:dyDescent="0.25">
      <c r="A111" s="48">
        <v>96</v>
      </c>
      <c r="B111" s="49" t="str">
        <f t="array" ref="B111">IFERROR(IF(INDEX(Transactions!$F$8:$F$3006,MATCH(0,COUNTIF($B$11:B110,Transactions!$F$8:$F$3006),0))="","",INDEX(Transactions!$F$8:$F$3006,MATCH(0,COUNTIF($B$11:B110,Transactions!$F$8:$F$3006),0))),"")</f>
        <v/>
      </c>
      <c r="C111" s="50" t="str">
        <f>IF(B111="","",SUMIF(Transactions!$F$8:$F$3006,B111,Transactions!$H$8:$H$3006))</f>
        <v/>
      </c>
      <c r="D111" s="51" t="str">
        <f>IF(B111="","",SUMIF(Transactions!$F$8:$F$3006,B111,Transactions!$N$8:$N$3006))</f>
        <v/>
      </c>
      <c r="E111" s="52" t="str">
        <f>IF(B111="","",SUMIF(Transactions!$F$8:$F$3006,B111,Transactions!$O$8:$O$3006))</f>
        <v/>
      </c>
      <c r="F111" s="53" t="str">
        <f>IF(B111="","",SUMIF(Transactions!$F$8:$F$3006,B111,Transactions!$R$8:$R$3006))</f>
        <v/>
      </c>
      <c r="G111" s="54" t="str">
        <f>IF(B111="","",(C111+F111)-(D111+E111+SUMIF(Transactions!$F$8:$F$3006,B111,Transactions!$Q$8:$Q$3006)))</f>
        <v/>
      </c>
      <c r="H111" s="55" t="str">
        <f>IF(B111="","",IF(G111&gt;0,"OUTSTANDING",IF(G111=0,"SETTLED",IF(SUMIF(Transactions!$F$8:$F$3006,B111,Transactions!$Q$8:$Q$3006)&gt;SUMIF(Transactions!$F$8:$F$3006,B111,Transactions!$R$8:$R$3006),"OWES","OVERPAID"))))</f>
        <v/>
      </c>
      <c r="I111" s="1"/>
    </row>
    <row r="112" spans="1:9" ht="18" customHeight="1" x14ac:dyDescent="0.25">
      <c r="A112" s="40">
        <v>97</v>
      </c>
      <c r="B112" s="41" t="str">
        <f t="array" ref="B112">IFERROR(IF(INDEX(Transactions!$F$8:$F$3006,MATCH(0,COUNTIF($B$11:B111,Transactions!$F$8:$F$3006),0))="","",INDEX(Transactions!$F$8:$F$3006,MATCH(0,COUNTIF($B$11:B111,Transactions!$F$8:$F$3006),0))),"")</f>
        <v/>
      </c>
      <c r="C112" s="42" t="str">
        <f>IF(B112="","",SUMIF(Transactions!$F$8:$F$3006,B112,Transactions!$H$8:$H$3006))</f>
        <v/>
      </c>
      <c r="D112" s="43" t="str">
        <f>IF(B112="","",SUMIF(Transactions!$F$8:$F$3006,B112,Transactions!$N$8:$N$3006))</f>
        <v/>
      </c>
      <c r="E112" s="44" t="str">
        <f>IF(B112="","",SUMIF(Transactions!$F$8:$F$3006,B112,Transactions!$O$8:$O$3006))</f>
        <v/>
      </c>
      <c r="F112" s="45" t="str">
        <f>IF(B112="","",SUMIF(Transactions!$F$8:$F$3006,B112,Transactions!$R$8:$R$3006))</f>
        <v/>
      </c>
      <c r="G112" s="46" t="str">
        <f>IF(B112="","",(C112+F112)-(D112+E112+SUMIF(Transactions!$F$8:$F$3006,B112,Transactions!$Q$8:$Q$3006)))</f>
        <v/>
      </c>
      <c r="H112" s="47" t="str">
        <f>IF(B112="","",IF(G112&gt;0,"OUTSTANDING",IF(G112=0,"SETTLED",IF(SUMIF(Transactions!$F$8:$F$3006,B112,Transactions!$Q$8:$Q$3006)&gt;SUMIF(Transactions!$F$8:$F$3006,B112,Transactions!$R$8:$R$3006),"OWES","OVERPAID"))))</f>
        <v/>
      </c>
      <c r="I112" s="1"/>
    </row>
    <row r="113" spans="1:9" ht="18" customHeight="1" x14ac:dyDescent="0.25">
      <c r="A113" s="48">
        <v>98</v>
      </c>
      <c r="B113" s="49" t="str">
        <f t="array" ref="B113">IFERROR(IF(INDEX(Transactions!$F$8:$F$3006,MATCH(0,COUNTIF($B$11:B112,Transactions!$F$8:$F$3006),0))="","",INDEX(Transactions!$F$8:$F$3006,MATCH(0,COUNTIF($B$11:B112,Transactions!$F$8:$F$3006),0))),"")</f>
        <v/>
      </c>
      <c r="C113" s="50" t="str">
        <f>IF(B113="","",SUMIF(Transactions!$F$8:$F$3006,B113,Transactions!$H$8:$H$3006))</f>
        <v/>
      </c>
      <c r="D113" s="51" t="str">
        <f>IF(B113="","",SUMIF(Transactions!$F$8:$F$3006,B113,Transactions!$N$8:$N$3006))</f>
        <v/>
      </c>
      <c r="E113" s="52" t="str">
        <f>IF(B113="","",SUMIF(Transactions!$F$8:$F$3006,B113,Transactions!$O$8:$O$3006))</f>
        <v/>
      </c>
      <c r="F113" s="53" t="str">
        <f>IF(B113="","",SUMIF(Transactions!$F$8:$F$3006,B113,Transactions!$R$8:$R$3006))</f>
        <v/>
      </c>
      <c r="G113" s="54" t="str">
        <f>IF(B113="","",(C113+F113)-(D113+E113+SUMIF(Transactions!$F$8:$F$3006,B113,Transactions!$Q$8:$Q$3006)))</f>
        <v/>
      </c>
      <c r="H113" s="55" t="str">
        <f>IF(B113="","",IF(G113&gt;0,"OUTSTANDING",IF(G113=0,"SETTLED",IF(SUMIF(Transactions!$F$8:$F$3006,B113,Transactions!$Q$8:$Q$3006)&gt;SUMIF(Transactions!$F$8:$F$3006,B113,Transactions!$R$8:$R$3006),"OWES","OVERPAID"))))</f>
        <v/>
      </c>
      <c r="I113" s="1"/>
    </row>
    <row r="114" spans="1:9" ht="18" customHeight="1" x14ac:dyDescent="0.25">
      <c r="A114" s="40">
        <v>99</v>
      </c>
      <c r="B114" s="41" t="str">
        <f t="array" ref="B114">IFERROR(IF(INDEX(Transactions!$F$8:$F$3006,MATCH(0,COUNTIF($B$11:B113,Transactions!$F$8:$F$3006),0))="","",INDEX(Transactions!$F$8:$F$3006,MATCH(0,COUNTIF($B$11:B113,Transactions!$F$8:$F$3006),0))),"")</f>
        <v/>
      </c>
      <c r="C114" s="42" t="str">
        <f>IF(B114="","",SUMIF(Transactions!$F$8:$F$3006,B114,Transactions!$H$8:$H$3006))</f>
        <v/>
      </c>
      <c r="D114" s="43" t="str">
        <f>IF(B114="","",SUMIF(Transactions!$F$8:$F$3006,B114,Transactions!$N$8:$N$3006))</f>
        <v/>
      </c>
      <c r="E114" s="44" t="str">
        <f>IF(B114="","",SUMIF(Transactions!$F$8:$F$3006,B114,Transactions!$O$8:$O$3006))</f>
        <v/>
      </c>
      <c r="F114" s="45" t="str">
        <f>IF(B114="","",SUMIF(Transactions!$F$8:$F$3006,B114,Transactions!$R$8:$R$3006))</f>
        <v/>
      </c>
      <c r="G114" s="46" t="str">
        <f>IF(B114="","",(C114+F114)-(D114+E114+SUMIF(Transactions!$F$8:$F$3006,B114,Transactions!$Q$8:$Q$3006)))</f>
        <v/>
      </c>
      <c r="H114" s="47" t="str">
        <f>IF(B114="","",IF(G114&gt;0,"OUTSTANDING",IF(G114=0,"SETTLED",IF(SUMIF(Transactions!$F$8:$F$3006,B114,Transactions!$Q$8:$Q$3006)&gt;SUMIF(Transactions!$F$8:$F$3006,B114,Transactions!$R$8:$R$3006),"OWES","OVERPAID"))))</f>
        <v/>
      </c>
      <c r="I114" s="1"/>
    </row>
    <row r="115" spans="1:9" ht="18" customHeight="1" x14ac:dyDescent="0.25">
      <c r="A115" s="48">
        <v>100</v>
      </c>
      <c r="B115" s="49" t="str">
        <f t="array" ref="B115">IFERROR(IF(INDEX(Transactions!$F$8:$F$3006,MATCH(0,COUNTIF($B$11:B114,Transactions!$F$8:$F$3006),0))="","",INDEX(Transactions!$F$8:$F$3006,MATCH(0,COUNTIF($B$11:B114,Transactions!$F$8:$F$3006),0))),"")</f>
        <v/>
      </c>
      <c r="C115" s="50" t="str">
        <f>IF(B115="","",SUMIF(Transactions!$F$8:$F$3006,B115,Transactions!$H$8:$H$3006))</f>
        <v/>
      </c>
      <c r="D115" s="51" t="str">
        <f>IF(B115="","",SUMIF(Transactions!$F$8:$F$3006,B115,Transactions!$N$8:$N$3006))</f>
        <v/>
      </c>
      <c r="E115" s="52" t="str">
        <f>IF(B115="","",SUMIF(Transactions!$F$8:$F$3006,B115,Transactions!$O$8:$O$3006))</f>
        <v/>
      </c>
      <c r="F115" s="53" t="str">
        <f>IF(B115="","",SUMIF(Transactions!$F$8:$F$3006,B115,Transactions!$R$8:$R$3006))</f>
        <v/>
      </c>
      <c r="G115" s="54" t="str">
        <f>IF(B115="","",(C115+F115)-(D115+E115+SUMIF(Transactions!$F$8:$F$3006,B115,Transactions!$Q$8:$Q$3006)))</f>
        <v/>
      </c>
      <c r="H115" s="55" t="str">
        <f>IF(B115="","",IF(G115&gt;0,"OUTSTANDING",IF(G115=0,"SETTLED",IF(SUMIF(Transactions!$F$8:$F$3006,B115,Transactions!$Q$8:$Q$3006)&gt;SUMIF(Transactions!$F$8:$F$3006,B115,Transactions!$R$8:$R$3006),"OWES","OVERPAID"))))</f>
        <v/>
      </c>
      <c r="I115" s="1"/>
    </row>
    <row r="116" spans="1:9" ht="18" customHeight="1" x14ac:dyDescent="0.25">
      <c r="A116" s="40">
        <v>101</v>
      </c>
      <c r="B116" s="41" t="str">
        <f t="array" ref="B116">IFERROR(IF(INDEX(Transactions!$F$8:$F$3006,MATCH(0,COUNTIF($B$11:B115,Transactions!$F$8:$F$3006),0))="","",INDEX(Transactions!$F$8:$F$3006,MATCH(0,COUNTIF($B$11:B115,Transactions!$F$8:$F$3006),0))),"")</f>
        <v/>
      </c>
      <c r="C116" s="42" t="str">
        <f>IF(B116="","",SUMIF(Transactions!$F$8:$F$3006,B116,Transactions!$H$8:$H$3006))</f>
        <v/>
      </c>
      <c r="D116" s="43" t="str">
        <f>IF(B116="","",SUMIF(Transactions!$F$8:$F$3006,B116,Transactions!$N$8:$N$3006))</f>
        <v/>
      </c>
      <c r="E116" s="44" t="str">
        <f>IF(B116="","",SUMIF(Transactions!$F$8:$F$3006,B116,Transactions!$O$8:$O$3006))</f>
        <v/>
      </c>
      <c r="F116" s="45" t="str">
        <f>IF(B116="","",SUMIF(Transactions!$F$8:$F$3006,B116,Transactions!$R$8:$R$3006))</f>
        <v/>
      </c>
      <c r="G116" s="46" t="str">
        <f>IF(B116="","",(C116+F116)-(D116+E116+SUMIF(Transactions!$F$8:$F$3006,B116,Transactions!$Q$8:$Q$3006)))</f>
        <v/>
      </c>
      <c r="H116" s="47" t="str">
        <f>IF(B116="","",IF(G116&gt;0,"OUTSTANDING",IF(G116=0,"SETTLED",IF(SUMIF(Transactions!$F$8:$F$3006,B116,Transactions!$Q$8:$Q$3006)&gt;SUMIF(Transactions!$F$8:$F$3006,B116,Transactions!$R$8:$R$3006),"OWES","OVERPAID"))))</f>
        <v/>
      </c>
      <c r="I116" s="1"/>
    </row>
    <row r="117" spans="1:9" ht="18" customHeight="1" x14ac:dyDescent="0.25">
      <c r="A117" s="48">
        <v>102</v>
      </c>
      <c r="B117" s="49" t="str">
        <f t="array" ref="B117">IFERROR(IF(INDEX(Transactions!$F$8:$F$3006,MATCH(0,COUNTIF($B$11:B116,Transactions!$F$8:$F$3006),0))="","",INDEX(Transactions!$F$8:$F$3006,MATCH(0,COUNTIF($B$11:B116,Transactions!$F$8:$F$3006),0))),"")</f>
        <v/>
      </c>
      <c r="C117" s="50" t="str">
        <f>IF(B117="","",SUMIF(Transactions!$F$8:$F$3006,B117,Transactions!$H$8:$H$3006))</f>
        <v/>
      </c>
      <c r="D117" s="51" t="str">
        <f>IF(B117="","",SUMIF(Transactions!$F$8:$F$3006,B117,Transactions!$N$8:$N$3006))</f>
        <v/>
      </c>
      <c r="E117" s="52" t="str">
        <f>IF(B117="","",SUMIF(Transactions!$F$8:$F$3006,B117,Transactions!$O$8:$O$3006))</f>
        <v/>
      </c>
      <c r="F117" s="53" t="str">
        <f>IF(B117="","",SUMIF(Transactions!$F$8:$F$3006,B117,Transactions!$R$8:$R$3006))</f>
        <v/>
      </c>
      <c r="G117" s="54" t="str">
        <f>IF(B117="","",(C117+F117)-(D117+E117+SUMIF(Transactions!$F$8:$F$3006,B117,Transactions!$Q$8:$Q$3006)))</f>
        <v/>
      </c>
      <c r="H117" s="55" t="str">
        <f>IF(B117="","",IF(G117&gt;0,"OUTSTANDING",IF(G117=0,"SETTLED",IF(SUMIF(Transactions!$F$8:$F$3006,B117,Transactions!$Q$8:$Q$3006)&gt;SUMIF(Transactions!$F$8:$F$3006,B117,Transactions!$R$8:$R$3006),"OWES","OVERPAID"))))</f>
        <v/>
      </c>
      <c r="I117" s="1"/>
    </row>
    <row r="118" spans="1:9" ht="18" customHeight="1" x14ac:dyDescent="0.25">
      <c r="A118" s="40">
        <v>103</v>
      </c>
      <c r="B118" s="41" t="str">
        <f t="array" ref="B118">IFERROR(IF(INDEX(Transactions!$F$8:$F$3006,MATCH(0,COUNTIF($B$11:B117,Transactions!$F$8:$F$3006),0))="","",INDEX(Transactions!$F$8:$F$3006,MATCH(0,COUNTIF($B$11:B117,Transactions!$F$8:$F$3006),0))),"")</f>
        <v/>
      </c>
      <c r="C118" s="42" t="str">
        <f>IF(B118="","",SUMIF(Transactions!$F$8:$F$3006,B118,Transactions!$H$8:$H$3006))</f>
        <v/>
      </c>
      <c r="D118" s="43" t="str">
        <f>IF(B118="","",SUMIF(Transactions!$F$8:$F$3006,B118,Transactions!$N$8:$N$3006))</f>
        <v/>
      </c>
      <c r="E118" s="44" t="str">
        <f>IF(B118="","",SUMIF(Transactions!$F$8:$F$3006,B118,Transactions!$O$8:$O$3006))</f>
        <v/>
      </c>
      <c r="F118" s="45" t="str">
        <f>IF(B118="","",SUMIF(Transactions!$F$8:$F$3006,B118,Transactions!$R$8:$R$3006))</f>
        <v/>
      </c>
      <c r="G118" s="46" t="str">
        <f>IF(B118="","",(C118+F118)-(D118+E118+SUMIF(Transactions!$F$8:$F$3006,B118,Transactions!$Q$8:$Q$3006)))</f>
        <v/>
      </c>
      <c r="H118" s="47" t="str">
        <f>IF(B118="","",IF(G118&gt;0,"OUTSTANDING",IF(G118=0,"SETTLED",IF(SUMIF(Transactions!$F$8:$F$3006,B118,Transactions!$Q$8:$Q$3006)&gt;SUMIF(Transactions!$F$8:$F$3006,B118,Transactions!$R$8:$R$3006),"OWES","OVERPAID"))))</f>
        <v/>
      </c>
      <c r="I118" s="1"/>
    </row>
    <row r="119" spans="1:9" ht="18" customHeight="1" x14ac:dyDescent="0.25">
      <c r="A119" s="48">
        <v>104</v>
      </c>
      <c r="B119" s="49" t="str">
        <f t="array" ref="B119">IFERROR(IF(INDEX(Transactions!$F$8:$F$3006,MATCH(0,COUNTIF($B$11:B118,Transactions!$F$8:$F$3006),0))="","",INDEX(Transactions!$F$8:$F$3006,MATCH(0,COUNTIF($B$11:B118,Transactions!$F$8:$F$3006),0))),"")</f>
        <v/>
      </c>
      <c r="C119" s="50" t="str">
        <f>IF(B119="","",SUMIF(Transactions!$F$8:$F$3006,B119,Transactions!$H$8:$H$3006))</f>
        <v/>
      </c>
      <c r="D119" s="51" t="str">
        <f>IF(B119="","",SUMIF(Transactions!$F$8:$F$3006,B119,Transactions!$N$8:$N$3006))</f>
        <v/>
      </c>
      <c r="E119" s="52" t="str">
        <f>IF(B119="","",SUMIF(Transactions!$F$8:$F$3006,B119,Transactions!$O$8:$O$3006))</f>
        <v/>
      </c>
      <c r="F119" s="53" t="str">
        <f>IF(B119="","",SUMIF(Transactions!$F$8:$F$3006,B119,Transactions!$R$8:$R$3006))</f>
        <v/>
      </c>
      <c r="G119" s="54" t="str">
        <f>IF(B119="","",(C119+F119)-(D119+E119+SUMIF(Transactions!$F$8:$F$3006,B119,Transactions!$Q$8:$Q$3006)))</f>
        <v/>
      </c>
      <c r="H119" s="55" t="str">
        <f>IF(B119="","",IF(G119&gt;0,"OUTSTANDING",IF(G119=0,"SETTLED",IF(SUMIF(Transactions!$F$8:$F$3006,B119,Transactions!$Q$8:$Q$3006)&gt;SUMIF(Transactions!$F$8:$F$3006,B119,Transactions!$R$8:$R$3006),"OWES","OVERPAID"))))</f>
        <v/>
      </c>
      <c r="I119" s="1"/>
    </row>
    <row r="120" spans="1:9" ht="18" customHeight="1" x14ac:dyDescent="0.25">
      <c r="A120" s="40">
        <v>105</v>
      </c>
      <c r="B120" s="41" t="str">
        <f t="array" ref="B120">IFERROR(IF(INDEX(Transactions!$F$8:$F$3006,MATCH(0,COUNTIF($B$11:B119,Transactions!$F$8:$F$3006),0))="","",INDEX(Transactions!$F$8:$F$3006,MATCH(0,COUNTIF($B$11:B119,Transactions!$F$8:$F$3006),0))),"")</f>
        <v/>
      </c>
      <c r="C120" s="42" t="str">
        <f>IF(B120="","",SUMIF(Transactions!$F$8:$F$3006,B120,Transactions!$H$8:$H$3006))</f>
        <v/>
      </c>
      <c r="D120" s="43" t="str">
        <f>IF(B120="","",SUMIF(Transactions!$F$8:$F$3006,B120,Transactions!$N$8:$N$3006))</f>
        <v/>
      </c>
      <c r="E120" s="44" t="str">
        <f>IF(B120="","",SUMIF(Transactions!$F$8:$F$3006,B120,Transactions!$O$8:$O$3006))</f>
        <v/>
      </c>
      <c r="F120" s="45" t="str">
        <f>IF(B120="","",SUMIF(Transactions!$F$8:$F$3006,B120,Transactions!$R$8:$R$3006))</f>
        <v/>
      </c>
      <c r="G120" s="46" t="str">
        <f>IF(B120="","",(C120+F120)-(D120+E120+SUMIF(Transactions!$F$8:$F$3006,B120,Transactions!$Q$8:$Q$3006)))</f>
        <v/>
      </c>
      <c r="H120" s="47" t="str">
        <f>IF(B120="","",IF(G120&gt;0,"OUTSTANDING",IF(G120=0,"SETTLED",IF(SUMIF(Transactions!$F$8:$F$3006,B120,Transactions!$Q$8:$Q$3006)&gt;SUMIF(Transactions!$F$8:$F$3006,B120,Transactions!$R$8:$R$3006),"OWES","OVERPAID"))))</f>
        <v/>
      </c>
      <c r="I120" s="1"/>
    </row>
    <row r="121" spans="1:9" ht="18" customHeight="1" x14ac:dyDescent="0.25">
      <c r="A121" s="48">
        <v>106</v>
      </c>
      <c r="B121" s="49" t="str">
        <f t="array" ref="B121">IFERROR(IF(INDEX(Transactions!$F$8:$F$3006,MATCH(0,COUNTIF($B$11:B120,Transactions!$F$8:$F$3006),0))="","",INDEX(Transactions!$F$8:$F$3006,MATCH(0,COUNTIF($B$11:B120,Transactions!$F$8:$F$3006),0))),"")</f>
        <v/>
      </c>
      <c r="C121" s="50" t="str">
        <f>IF(B121="","",SUMIF(Transactions!$F$8:$F$3006,B121,Transactions!$H$8:$H$3006))</f>
        <v/>
      </c>
      <c r="D121" s="51" t="str">
        <f>IF(B121="","",SUMIF(Transactions!$F$8:$F$3006,B121,Transactions!$N$8:$N$3006))</f>
        <v/>
      </c>
      <c r="E121" s="52" t="str">
        <f>IF(B121="","",SUMIF(Transactions!$F$8:$F$3006,B121,Transactions!$O$8:$O$3006))</f>
        <v/>
      </c>
      <c r="F121" s="53" t="str">
        <f>IF(B121="","",SUMIF(Transactions!$F$8:$F$3006,B121,Transactions!$R$8:$R$3006))</f>
        <v/>
      </c>
      <c r="G121" s="54" t="str">
        <f>IF(B121="","",(C121+F121)-(D121+E121+SUMIF(Transactions!$F$8:$F$3006,B121,Transactions!$Q$8:$Q$3006)))</f>
        <v/>
      </c>
      <c r="H121" s="55" t="str">
        <f>IF(B121="","",IF(G121&gt;0,"OUTSTANDING",IF(G121=0,"SETTLED",IF(SUMIF(Transactions!$F$8:$F$3006,B121,Transactions!$Q$8:$Q$3006)&gt;SUMIF(Transactions!$F$8:$F$3006,B121,Transactions!$R$8:$R$3006),"OWES","OVERPAID"))))</f>
        <v/>
      </c>
      <c r="I121" s="1"/>
    </row>
    <row r="122" spans="1:9" ht="18" customHeight="1" x14ac:dyDescent="0.25">
      <c r="A122" s="40">
        <v>107</v>
      </c>
      <c r="B122" s="41" t="str">
        <f t="array" ref="B122">IFERROR(IF(INDEX(Transactions!$F$8:$F$3006,MATCH(0,COUNTIF($B$11:B121,Transactions!$F$8:$F$3006),0))="","",INDEX(Transactions!$F$8:$F$3006,MATCH(0,COUNTIF($B$11:B121,Transactions!$F$8:$F$3006),0))),"")</f>
        <v/>
      </c>
      <c r="C122" s="42" t="str">
        <f>IF(B122="","",SUMIF(Transactions!$F$8:$F$3006,B122,Transactions!$H$8:$H$3006))</f>
        <v/>
      </c>
      <c r="D122" s="43" t="str">
        <f>IF(B122="","",SUMIF(Transactions!$F$8:$F$3006,B122,Transactions!$N$8:$N$3006))</f>
        <v/>
      </c>
      <c r="E122" s="44" t="str">
        <f>IF(B122="","",SUMIF(Transactions!$F$8:$F$3006,B122,Transactions!$O$8:$O$3006))</f>
        <v/>
      </c>
      <c r="F122" s="45" t="str">
        <f>IF(B122="","",SUMIF(Transactions!$F$8:$F$3006,B122,Transactions!$R$8:$R$3006))</f>
        <v/>
      </c>
      <c r="G122" s="46" t="str">
        <f>IF(B122="","",(C122+F122)-(D122+E122+SUMIF(Transactions!$F$8:$F$3006,B122,Transactions!$Q$8:$Q$3006)))</f>
        <v/>
      </c>
      <c r="H122" s="47" t="str">
        <f>IF(B122="","",IF(G122&gt;0,"OUTSTANDING",IF(G122=0,"SETTLED",IF(SUMIF(Transactions!$F$8:$F$3006,B122,Transactions!$Q$8:$Q$3006)&gt;SUMIF(Transactions!$F$8:$F$3006,B122,Transactions!$R$8:$R$3006),"OWES","OVERPAID"))))</f>
        <v/>
      </c>
      <c r="I122" s="1"/>
    </row>
    <row r="123" spans="1:9" ht="18" customHeight="1" x14ac:dyDescent="0.25">
      <c r="A123" s="48">
        <v>108</v>
      </c>
      <c r="B123" s="49" t="str">
        <f t="array" ref="B123">IFERROR(IF(INDEX(Transactions!$F$8:$F$3006,MATCH(0,COUNTIF($B$11:B122,Transactions!$F$8:$F$3006),0))="","",INDEX(Transactions!$F$8:$F$3006,MATCH(0,COUNTIF($B$11:B122,Transactions!$F$8:$F$3006),0))),"")</f>
        <v/>
      </c>
      <c r="C123" s="50" t="str">
        <f>IF(B123="","",SUMIF(Transactions!$F$8:$F$3006,B123,Transactions!$H$8:$H$3006))</f>
        <v/>
      </c>
      <c r="D123" s="51" t="str">
        <f>IF(B123="","",SUMIF(Transactions!$F$8:$F$3006,B123,Transactions!$N$8:$N$3006))</f>
        <v/>
      </c>
      <c r="E123" s="52" t="str">
        <f>IF(B123="","",SUMIF(Transactions!$F$8:$F$3006,B123,Transactions!$O$8:$O$3006))</f>
        <v/>
      </c>
      <c r="F123" s="53" t="str">
        <f>IF(B123="","",SUMIF(Transactions!$F$8:$F$3006,B123,Transactions!$R$8:$R$3006))</f>
        <v/>
      </c>
      <c r="G123" s="54" t="str">
        <f>IF(B123="","",(C123+F123)-(D123+E123+SUMIF(Transactions!$F$8:$F$3006,B123,Transactions!$Q$8:$Q$3006)))</f>
        <v/>
      </c>
      <c r="H123" s="55" t="str">
        <f>IF(B123="","",IF(G123&gt;0,"OUTSTANDING",IF(G123=0,"SETTLED",IF(SUMIF(Transactions!$F$8:$F$3006,B123,Transactions!$Q$8:$Q$3006)&gt;SUMIF(Transactions!$F$8:$F$3006,B123,Transactions!$R$8:$R$3006),"OWES","OVERPAID"))))</f>
        <v/>
      </c>
      <c r="I123" s="1"/>
    </row>
    <row r="124" spans="1:9" ht="18" customHeight="1" x14ac:dyDescent="0.25">
      <c r="A124" s="40">
        <v>109</v>
      </c>
      <c r="B124" s="41" t="str">
        <f t="array" ref="B124">IFERROR(IF(INDEX(Transactions!$F$8:$F$3006,MATCH(0,COUNTIF($B$11:B123,Transactions!$F$8:$F$3006),0))="","",INDEX(Transactions!$F$8:$F$3006,MATCH(0,COUNTIF($B$11:B123,Transactions!$F$8:$F$3006),0))),"")</f>
        <v/>
      </c>
      <c r="C124" s="42" t="str">
        <f>IF(B124="","",SUMIF(Transactions!$F$8:$F$3006,B124,Transactions!$H$8:$H$3006))</f>
        <v/>
      </c>
      <c r="D124" s="43" t="str">
        <f>IF(B124="","",SUMIF(Transactions!$F$8:$F$3006,B124,Transactions!$N$8:$N$3006))</f>
        <v/>
      </c>
      <c r="E124" s="44" t="str">
        <f>IF(B124="","",SUMIF(Transactions!$F$8:$F$3006,B124,Transactions!$O$8:$O$3006))</f>
        <v/>
      </c>
      <c r="F124" s="45" t="str">
        <f>IF(B124="","",SUMIF(Transactions!$F$8:$F$3006,B124,Transactions!$R$8:$R$3006))</f>
        <v/>
      </c>
      <c r="G124" s="46" t="str">
        <f>IF(B124="","",(C124+F124)-(D124+E124+SUMIF(Transactions!$F$8:$F$3006,B124,Transactions!$Q$8:$Q$3006)))</f>
        <v/>
      </c>
      <c r="H124" s="47" t="str">
        <f>IF(B124="","",IF(G124&gt;0,"OUTSTANDING",IF(G124=0,"SETTLED",IF(SUMIF(Transactions!$F$8:$F$3006,B124,Transactions!$Q$8:$Q$3006)&gt;SUMIF(Transactions!$F$8:$F$3006,B124,Transactions!$R$8:$R$3006),"OWES","OVERPAID"))))</f>
        <v/>
      </c>
      <c r="I124" s="1"/>
    </row>
    <row r="125" spans="1:9" ht="18" customHeight="1" x14ac:dyDescent="0.25">
      <c r="A125" s="48">
        <v>110</v>
      </c>
      <c r="B125" s="49" t="str">
        <f t="array" ref="B125">IFERROR(IF(INDEX(Transactions!$F$8:$F$3006,MATCH(0,COUNTIF($B$11:B124,Transactions!$F$8:$F$3006),0))="","",INDEX(Transactions!$F$8:$F$3006,MATCH(0,COUNTIF($B$11:B124,Transactions!$F$8:$F$3006),0))),"")</f>
        <v/>
      </c>
      <c r="C125" s="50" t="str">
        <f>IF(B125="","",SUMIF(Transactions!$F$8:$F$3006,B125,Transactions!$H$8:$H$3006))</f>
        <v/>
      </c>
      <c r="D125" s="51" t="str">
        <f>IF(B125="","",SUMIF(Transactions!$F$8:$F$3006,B125,Transactions!$N$8:$N$3006))</f>
        <v/>
      </c>
      <c r="E125" s="52" t="str">
        <f>IF(B125="","",SUMIF(Transactions!$F$8:$F$3006,B125,Transactions!$O$8:$O$3006))</f>
        <v/>
      </c>
      <c r="F125" s="53" t="str">
        <f>IF(B125="","",SUMIF(Transactions!$F$8:$F$3006,B125,Transactions!$R$8:$R$3006))</f>
        <v/>
      </c>
      <c r="G125" s="54" t="str">
        <f>IF(B125="","",(C125+F125)-(D125+E125+SUMIF(Transactions!$F$8:$F$3006,B125,Transactions!$Q$8:$Q$3006)))</f>
        <v/>
      </c>
      <c r="H125" s="55" t="str">
        <f>IF(B125="","",IF(G125&gt;0,"OUTSTANDING",IF(G125=0,"SETTLED",IF(SUMIF(Transactions!$F$8:$F$3006,B125,Transactions!$Q$8:$Q$3006)&gt;SUMIF(Transactions!$F$8:$F$3006,B125,Transactions!$R$8:$R$3006),"OWES","OVERPAID"))))</f>
        <v/>
      </c>
      <c r="I125" s="1"/>
    </row>
    <row r="126" spans="1:9" ht="18" customHeight="1" x14ac:dyDescent="0.25">
      <c r="A126" s="40">
        <v>111</v>
      </c>
      <c r="B126" s="41" t="str">
        <f t="array" ref="B126">IFERROR(IF(INDEX(Transactions!$F$8:$F$3006,MATCH(0,COUNTIF($B$11:B125,Transactions!$F$8:$F$3006),0))="","",INDEX(Transactions!$F$8:$F$3006,MATCH(0,COUNTIF($B$11:B125,Transactions!$F$8:$F$3006),0))),"")</f>
        <v/>
      </c>
      <c r="C126" s="42" t="str">
        <f>IF(B126="","",SUMIF(Transactions!$F$8:$F$3006,B126,Transactions!$H$8:$H$3006))</f>
        <v/>
      </c>
      <c r="D126" s="43" t="str">
        <f>IF(B126="","",SUMIF(Transactions!$F$8:$F$3006,B126,Transactions!$N$8:$N$3006))</f>
        <v/>
      </c>
      <c r="E126" s="44" t="str">
        <f>IF(B126="","",SUMIF(Transactions!$F$8:$F$3006,B126,Transactions!$O$8:$O$3006))</f>
        <v/>
      </c>
      <c r="F126" s="45" t="str">
        <f>IF(B126="","",SUMIF(Transactions!$F$8:$F$3006,B126,Transactions!$R$8:$R$3006))</f>
        <v/>
      </c>
      <c r="G126" s="46" t="str">
        <f>IF(B126="","",(C126+F126)-(D126+E126+SUMIF(Transactions!$F$8:$F$3006,B126,Transactions!$Q$8:$Q$3006)))</f>
        <v/>
      </c>
      <c r="H126" s="47" t="str">
        <f>IF(B126="","",IF(G126&gt;0,"OUTSTANDING",IF(G126=0,"SETTLED",IF(SUMIF(Transactions!$F$8:$F$3006,B126,Transactions!$Q$8:$Q$3006)&gt;SUMIF(Transactions!$F$8:$F$3006,B126,Transactions!$R$8:$R$3006),"OWES","OVERPAID"))))</f>
        <v/>
      </c>
      <c r="I126" s="1"/>
    </row>
    <row r="127" spans="1:9" ht="18" customHeight="1" x14ac:dyDescent="0.25">
      <c r="A127" s="48">
        <v>112</v>
      </c>
      <c r="B127" s="49" t="str">
        <f t="array" ref="B127">IFERROR(IF(INDEX(Transactions!$F$8:$F$3006,MATCH(0,COUNTIF($B$11:B126,Transactions!$F$8:$F$3006),0))="","",INDEX(Transactions!$F$8:$F$3006,MATCH(0,COUNTIF($B$11:B126,Transactions!$F$8:$F$3006),0))),"")</f>
        <v/>
      </c>
      <c r="C127" s="50" t="str">
        <f>IF(B127="","",SUMIF(Transactions!$F$8:$F$3006,B127,Transactions!$H$8:$H$3006))</f>
        <v/>
      </c>
      <c r="D127" s="51" t="str">
        <f>IF(B127="","",SUMIF(Transactions!$F$8:$F$3006,B127,Transactions!$N$8:$N$3006))</f>
        <v/>
      </c>
      <c r="E127" s="52" t="str">
        <f>IF(B127="","",SUMIF(Transactions!$F$8:$F$3006,B127,Transactions!$O$8:$O$3006))</f>
        <v/>
      </c>
      <c r="F127" s="53" t="str">
        <f>IF(B127="","",SUMIF(Transactions!$F$8:$F$3006,B127,Transactions!$R$8:$R$3006))</f>
        <v/>
      </c>
      <c r="G127" s="54" t="str">
        <f>IF(B127="","",(C127+F127)-(D127+E127+SUMIF(Transactions!$F$8:$F$3006,B127,Transactions!$Q$8:$Q$3006)))</f>
        <v/>
      </c>
      <c r="H127" s="55" t="str">
        <f>IF(B127="","",IF(G127&gt;0,"OUTSTANDING",IF(G127=0,"SETTLED",IF(SUMIF(Transactions!$F$8:$F$3006,B127,Transactions!$Q$8:$Q$3006)&gt;SUMIF(Transactions!$F$8:$F$3006,B127,Transactions!$R$8:$R$3006),"OWES","OVERPAID"))))</f>
        <v/>
      </c>
      <c r="I127" s="1"/>
    </row>
    <row r="128" spans="1:9" ht="18" customHeight="1" x14ac:dyDescent="0.25">
      <c r="A128" s="40">
        <v>113</v>
      </c>
      <c r="B128" s="41" t="str">
        <f t="array" ref="B128">IFERROR(IF(INDEX(Transactions!$F$8:$F$3006,MATCH(0,COUNTIF($B$11:B127,Transactions!$F$8:$F$3006),0))="","",INDEX(Transactions!$F$8:$F$3006,MATCH(0,COUNTIF($B$11:B127,Transactions!$F$8:$F$3006),0))),"")</f>
        <v/>
      </c>
      <c r="C128" s="42" t="str">
        <f>IF(B128="","",SUMIF(Transactions!$F$8:$F$3006,B128,Transactions!$H$8:$H$3006))</f>
        <v/>
      </c>
      <c r="D128" s="43" t="str">
        <f>IF(B128="","",SUMIF(Transactions!$F$8:$F$3006,B128,Transactions!$N$8:$N$3006))</f>
        <v/>
      </c>
      <c r="E128" s="44" t="str">
        <f>IF(B128="","",SUMIF(Transactions!$F$8:$F$3006,B128,Transactions!$O$8:$O$3006))</f>
        <v/>
      </c>
      <c r="F128" s="45" t="str">
        <f>IF(B128="","",SUMIF(Transactions!$F$8:$F$3006,B128,Transactions!$R$8:$R$3006))</f>
        <v/>
      </c>
      <c r="G128" s="46" t="str">
        <f>IF(B128="","",(C128+F128)-(D128+E128+SUMIF(Transactions!$F$8:$F$3006,B128,Transactions!$Q$8:$Q$3006)))</f>
        <v/>
      </c>
      <c r="H128" s="47" t="str">
        <f>IF(B128="","",IF(G128&gt;0,"OUTSTANDING",IF(G128=0,"SETTLED",IF(SUMIF(Transactions!$F$8:$F$3006,B128,Transactions!$Q$8:$Q$3006)&gt;SUMIF(Transactions!$F$8:$F$3006,B128,Transactions!$R$8:$R$3006),"OWES","OVERPAID"))))</f>
        <v/>
      </c>
      <c r="I128" s="1"/>
    </row>
    <row r="129" spans="1:9" ht="18" customHeight="1" x14ac:dyDescent="0.25">
      <c r="A129" s="48">
        <v>114</v>
      </c>
      <c r="B129" s="49" t="str">
        <f t="array" ref="B129">IFERROR(IF(INDEX(Transactions!$F$8:$F$3006,MATCH(0,COUNTIF($B$11:B128,Transactions!$F$8:$F$3006),0))="","",INDEX(Transactions!$F$8:$F$3006,MATCH(0,COUNTIF($B$11:B128,Transactions!$F$8:$F$3006),0))),"")</f>
        <v/>
      </c>
      <c r="C129" s="50" t="str">
        <f>IF(B129="","",SUMIF(Transactions!$F$8:$F$3006,B129,Transactions!$H$8:$H$3006))</f>
        <v/>
      </c>
      <c r="D129" s="51" t="str">
        <f>IF(B129="","",SUMIF(Transactions!$F$8:$F$3006,B129,Transactions!$N$8:$N$3006))</f>
        <v/>
      </c>
      <c r="E129" s="52" t="str">
        <f>IF(B129="","",SUMIF(Transactions!$F$8:$F$3006,B129,Transactions!$O$8:$O$3006))</f>
        <v/>
      </c>
      <c r="F129" s="53" t="str">
        <f>IF(B129="","",SUMIF(Transactions!$F$8:$F$3006,B129,Transactions!$R$8:$R$3006))</f>
        <v/>
      </c>
      <c r="G129" s="54" t="str">
        <f>IF(B129="","",(C129+F129)-(D129+E129+SUMIF(Transactions!$F$8:$F$3006,B129,Transactions!$Q$8:$Q$3006)))</f>
        <v/>
      </c>
      <c r="H129" s="55" t="str">
        <f>IF(B129="","",IF(G129&gt;0,"OUTSTANDING",IF(G129=0,"SETTLED",IF(SUMIF(Transactions!$F$8:$F$3006,B129,Transactions!$Q$8:$Q$3006)&gt;SUMIF(Transactions!$F$8:$F$3006,B129,Transactions!$R$8:$R$3006),"OWES","OVERPAID"))))</f>
        <v/>
      </c>
      <c r="I129" s="1"/>
    </row>
    <row r="130" spans="1:9" ht="18" customHeight="1" x14ac:dyDescent="0.25">
      <c r="A130" s="40">
        <v>115</v>
      </c>
      <c r="B130" s="41" t="str">
        <f t="array" ref="B130">IFERROR(IF(INDEX(Transactions!$F$8:$F$3006,MATCH(0,COUNTIF($B$11:B129,Transactions!$F$8:$F$3006),0))="","",INDEX(Transactions!$F$8:$F$3006,MATCH(0,COUNTIF($B$11:B129,Transactions!$F$8:$F$3006),0))),"")</f>
        <v/>
      </c>
      <c r="C130" s="42" t="str">
        <f>IF(B130="","",SUMIF(Transactions!$F$8:$F$3006,B130,Transactions!$H$8:$H$3006))</f>
        <v/>
      </c>
      <c r="D130" s="43" t="str">
        <f>IF(B130="","",SUMIF(Transactions!$F$8:$F$3006,B130,Transactions!$N$8:$N$3006))</f>
        <v/>
      </c>
      <c r="E130" s="44" t="str">
        <f>IF(B130="","",SUMIF(Transactions!$F$8:$F$3006,B130,Transactions!$O$8:$O$3006))</f>
        <v/>
      </c>
      <c r="F130" s="45" t="str">
        <f>IF(B130="","",SUMIF(Transactions!$F$8:$F$3006,B130,Transactions!$R$8:$R$3006))</f>
        <v/>
      </c>
      <c r="G130" s="46" t="str">
        <f>IF(B130="","",(C130+F130)-(D130+E130+SUMIF(Transactions!$F$8:$F$3006,B130,Transactions!$Q$8:$Q$3006)))</f>
        <v/>
      </c>
      <c r="H130" s="47" t="str">
        <f>IF(B130="","",IF(G130&gt;0,"OUTSTANDING",IF(G130=0,"SETTLED",IF(SUMIF(Transactions!$F$8:$F$3006,B130,Transactions!$Q$8:$Q$3006)&gt;SUMIF(Transactions!$F$8:$F$3006,B130,Transactions!$R$8:$R$3006),"OWES","OVERPAID"))))</f>
        <v/>
      </c>
      <c r="I130" s="1"/>
    </row>
    <row r="131" spans="1:9" ht="18" customHeight="1" x14ac:dyDescent="0.25">
      <c r="A131" s="48">
        <v>116</v>
      </c>
      <c r="B131" s="49" t="str">
        <f t="array" ref="B131">IFERROR(IF(INDEX(Transactions!$F$8:$F$3006,MATCH(0,COUNTIF($B$11:B130,Transactions!$F$8:$F$3006),0))="","",INDEX(Transactions!$F$8:$F$3006,MATCH(0,COUNTIF($B$11:B130,Transactions!$F$8:$F$3006),0))),"")</f>
        <v/>
      </c>
      <c r="C131" s="50" t="str">
        <f>IF(B131="","",SUMIF(Transactions!$F$8:$F$3006,B131,Transactions!$H$8:$H$3006))</f>
        <v/>
      </c>
      <c r="D131" s="51" t="str">
        <f>IF(B131="","",SUMIF(Transactions!$F$8:$F$3006,B131,Transactions!$N$8:$N$3006))</f>
        <v/>
      </c>
      <c r="E131" s="52" t="str">
        <f>IF(B131="","",SUMIF(Transactions!$F$8:$F$3006,B131,Transactions!$O$8:$O$3006))</f>
        <v/>
      </c>
      <c r="F131" s="53" t="str">
        <f>IF(B131="","",SUMIF(Transactions!$F$8:$F$3006,B131,Transactions!$R$8:$R$3006))</f>
        <v/>
      </c>
      <c r="G131" s="54" t="str">
        <f>IF(B131="","",(C131+F131)-(D131+E131+SUMIF(Transactions!$F$8:$F$3006,B131,Transactions!$Q$8:$Q$3006)))</f>
        <v/>
      </c>
      <c r="H131" s="55" t="str">
        <f>IF(B131="","",IF(G131&gt;0,"OUTSTANDING",IF(G131=0,"SETTLED",IF(SUMIF(Transactions!$F$8:$F$3006,B131,Transactions!$Q$8:$Q$3006)&gt;SUMIF(Transactions!$F$8:$F$3006,B131,Transactions!$R$8:$R$3006),"OWES","OVERPAID"))))</f>
        <v/>
      </c>
      <c r="I131" s="1"/>
    </row>
    <row r="132" spans="1:9" ht="18" customHeight="1" x14ac:dyDescent="0.25">
      <c r="A132" s="40">
        <v>117</v>
      </c>
      <c r="B132" s="41" t="str">
        <f t="array" ref="B132">IFERROR(IF(INDEX(Transactions!$F$8:$F$3006,MATCH(0,COUNTIF($B$11:B131,Transactions!$F$8:$F$3006),0))="","",INDEX(Transactions!$F$8:$F$3006,MATCH(0,COUNTIF($B$11:B131,Transactions!$F$8:$F$3006),0))),"")</f>
        <v/>
      </c>
      <c r="C132" s="42" t="str">
        <f>IF(B132="","",SUMIF(Transactions!$F$8:$F$3006,B132,Transactions!$H$8:$H$3006))</f>
        <v/>
      </c>
      <c r="D132" s="43" t="str">
        <f>IF(B132="","",SUMIF(Transactions!$F$8:$F$3006,B132,Transactions!$N$8:$N$3006))</f>
        <v/>
      </c>
      <c r="E132" s="44" t="str">
        <f>IF(B132="","",SUMIF(Transactions!$F$8:$F$3006,B132,Transactions!$O$8:$O$3006))</f>
        <v/>
      </c>
      <c r="F132" s="45" t="str">
        <f>IF(B132="","",SUMIF(Transactions!$F$8:$F$3006,B132,Transactions!$R$8:$R$3006))</f>
        <v/>
      </c>
      <c r="G132" s="46" t="str">
        <f>IF(B132="","",(C132+F132)-(D132+E132+SUMIF(Transactions!$F$8:$F$3006,B132,Transactions!$Q$8:$Q$3006)))</f>
        <v/>
      </c>
      <c r="H132" s="47" t="str">
        <f>IF(B132="","",IF(G132&gt;0,"OUTSTANDING",IF(G132=0,"SETTLED",IF(SUMIF(Transactions!$F$8:$F$3006,B132,Transactions!$Q$8:$Q$3006)&gt;SUMIF(Transactions!$F$8:$F$3006,B132,Transactions!$R$8:$R$3006),"OWES","OVERPAID"))))</f>
        <v/>
      </c>
      <c r="I132" s="1"/>
    </row>
    <row r="133" spans="1:9" ht="18" customHeight="1" x14ac:dyDescent="0.25">
      <c r="A133" s="48">
        <v>118</v>
      </c>
      <c r="B133" s="49" t="str">
        <f t="array" ref="B133">IFERROR(IF(INDEX(Transactions!$F$8:$F$3006,MATCH(0,COUNTIF($B$11:B132,Transactions!$F$8:$F$3006),0))="","",INDEX(Transactions!$F$8:$F$3006,MATCH(0,COUNTIF($B$11:B132,Transactions!$F$8:$F$3006),0))),"")</f>
        <v/>
      </c>
      <c r="C133" s="50" t="str">
        <f>IF(B133="","",SUMIF(Transactions!$F$8:$F$3006,B133,Transactions!$H$8:$H$3006))</f>
        <v/>
      </c>
      <c r="D133" s="51" t="str">
        <f>IF(B133="","",SUMIF(Transactions!$F$8:$F$3006,B133,Transactions!$N$8:$N$3006))</f>
        <v/>
      </c>
      <c r="E133" s="52" t="str">
        <f>IF(B133="","",SUMIF(Transactions!$F$8:$F$3006,B133,Transactions!$O$8:$O$3006))</f>
        <v/>
      </c>
      <c r="F133" s="53" t="str">
        <f>IF(B133="","",SUMIF(Transactions!$F$8:$F$3006,B133,Transactions!$R$8:$R$3006))</f>
        <v/>
      </c>
      <c r="G133" s="54" t="str">
        <f>IF(B133="","",(C133+F133)-(D133+E133+SUMIF(Transactions!$F$8:$F$3006,B133,Transactions!$Q$8:$Q$3006)))</f>
        <v/>
      </c>
      <c r="H133" s="55" t="str">
        <f>IF(B133="","",IF(G133&gt;0,"OUTSTANDING",IF(G133=0,"SETTLED",IF(SUMIF(Transactions!$F$8:$F$3006,B133,Transactions!$Q$8:$Q$3006)&gt;SUMIF(Transactions!$F$8:$F$3006,B133,Transactions!$R$8:$R$3006),"OWES","OVERPAID"))))</f>
        <v/>
      </c>
      <c r="I133" s="1"/>
    </row>
    <row r="134" spans="1:9" ht="18" customHeight="1" x14ac:dyDescent="0.25">
      <c r="A134" s="40">
        <v>119</v>
      </c>
      <c r="B134" s="41" t="str">
        <f t="array" ref="B134">IFERROR(IF(INDEX(Transactions!$F$8:$F$3006,MATCH(0,COUNTIF($B$11:B133,Transactions!$F$8:$F$3006),0))="","",INDEX(Transactions!$F$8:$F$3006,MATCH(0,COUNTIF($B$11:B133,Transactions!$F$8:$F$3006),0))),"")</f>
        <v/>
      </c>
      <c r="C134" s="42" t="str">
        <f>IF(B134="","",SUMIF(Transactions!$F$8:$F$3006,B134,Transactions!$H$8:$H$3006))</f>
        <v/>
      </c>
      <c r="D134" s="43" t="str">
        <f>IF(B134="","",SUMIF(Transactions!$F$8:$F$3006,B134,Transactions!$N$8:$N$3006))</f>
        <v/>
      </c>
      <c r="E134" s="44" t="str">
        <f>IF(B134="","",SUMIF(Transactions!$F$8:$F$3006,B134,Transactions!$O$8:$O$3006))</f>
        <v/>
      </c>
      <c r="F134" s="45" t="str">
        <f>IF(B134="","",SUMIF(Transactions!$F$8:$F$3006,B134,Transactions!$R$8:$R$3006))</f>
        <v/>
      </c>
      <c r="G134" s="46" t="str">
        <f>IF(B134="","",(C134+F134)-(D134+E134+SUMIF(Transactions!$F$8:$F$3006,B134,Transactions!$Q$8:$Q$3006)))</f>
        <v/>
      </c>
      <c r="H134" s="47" t="str">
        <f>IF(B134="","",IF(G134&gt;0,"OUTSTANDING",IF(G134=0,"SETTLED",IF(SUMIF(Transactions!$F$8:$F$3006,B134,Transactions!$Q$8:$Q$3006)&gt;SUMIF(Transactions!$F$8:$F$3006,B134,Transactions!$R$8:$R$3006),"OWES","OVERPAID"))))</f>
        <v/>
      </c>
      <c r="I134" s="1"/>
    </row>
    <row r="135" spans="1:9" ht="18" customHeight="1" x14ac:dyDescent="0.25">
      <c r="A135" s="48">
        <v>120</v>
      </c>
      <c r="B135" s="49" t="str">
        <f t="array" ref="B135">IFERROR(IF(INDEX(Transactions!$F$8:$F$3006,MATCH(0,COUNTIF($B$11:B134,Transactions!$F$8:$F$3006),0))="","",INDEX(Transactions!$F$8:$F$3006,MATCH(0,COUNTIF($B$11:B134,Transactions!$F$8:$F$3006),0))),"")</f>
        <v/>
      </c>
      <c r="C135" s="50" t="str">
        <f>IF(B135="","",SUMIF(Transactions!$F$8:$F$3006,B135,Transactions!$H$8:$H$3006))</f>
        <v/>
      </c>
      <c r="D135" s="51" t="str">
        <f>IF(B135="","",SUMIF(Transactions!$F$8:$F$3006,B135,Transactions!$N$8:$N$3006))</f>
        <v/>
      </c>
      <c r="E135" s="52" t="str">
        <f>IF(B135="","",SUMIF(Transactions!$F$8:$F$3006,B135,Transactions!$O$8:$O$3006))</f>
        <v/>
      </c>
      <c r="F135" s="53" t="str">
        <f>IF(B135="","",SUMIF(Transactions!$F$8:$F$3006,B135,Transactions!$R$8:$R$3006))</f>
        <v/>
      </c>
      <c r="G135" s="54" t="str">
        <f>IF(B135="","",(C135+F135)-(D135+E135+SUMIF(Transactions!$F$8:$F$3006,B135,Transactions!$Q$8:$Q$3006)))</f>
        <v/>
      </c>
      <c r="H135" s="55" t="str">
        <f>IF(B135="","",IF(G135&gt;0,"OUTSTANDING",IF(G135=0,"SETTLED",IF(SUMIF(Transactions!$F$8:$F$3006,B135,Transactions!$Q$8:$Q$3006)&gt;SUMIF(Transactions!$F$8:$F$3006,B135,Transactions!$R$8:$R$3006),"OWES","OVERPAID"))))</f>
        <v/>
      </c>
      <c r="I135" s="1"/>
    </row>
    <row r="136" spans="1:9" ht="18" customHeight="1" x14ac:dyDescent="0.25">
      <c r="A136" s="40">
        <v>121</v>
      </c>
      <c r="B136" s="41" t="str">
        <f t="array" ref="B136">IFERROR(IF(INDEX(Transactions!$F$8:$F$3006,MATCH(0,COUNTIF($B$11:B135,Transactions!$F$8:$F$3006),0))="","",INDEX(Transactions!$F$8:$F$3006,MATCH(0,COUNTIF($B$11:B135,Transactions!$F$8:$F$3006),0))),"")</f>
        <v/>
      </c>
      <c r="C136" s="42" t="str">
        <f>IF(B136="","",SUMIF(Transactions!$F$8:$F$3006,B136,Transactions!$H$8:$H$3006))</f>
        <v/>
      </c>
      <c r="D136" s="43" t="str">
        <f>IF(B136="","",SUMIF(Transactions!$F$8:$F$3006,B136,Transactions!$N$8:$N$3006))</f>
        <v/>
      </c>
      <c r="E136" s="44" t="str">
        <f>IF(B136="","",SUMIF(Transactions!$F$8:$F$3006,B136,Transactions!$O$8:$O$3006))</f>
        <v/>
      </c>
      <c r="F136" s="45" t="str">
        <f>IF(B136="","",SUMIF(Transactions!$F$8:$F$3006,B136,Transactions!$R$8:$R$3006))</f>
        <v/>
      </c>
      <c r="G136" s="46" t="str">
        <f>IF(B136="","",(C136+F136)-(D136+E136+SUMIF(Transactions!$F$8:$F$3006,B136,Transactions!$Q$8:$Q$3006)))</f>
        <v/>
      </c>
      <c r="H136" s="47" t="str">
        <f>IF(B136="","",IF(G136&gt;0,"OUTSTANDING",IF(G136=0,"SETTLED",IF(SUMIF(Transactions!$F$8:$F$3006,B136,Transactions!$Q$8:$Q$3006)&gt;SUMIF(Transactions!$F$8:$F$3006,B136,Transactions!$R$8:$R$3006),"OWES","OVERPAID"))))</f>
        <v/>
      </c>
      <c r="I136" s="1"/>
    </row>
    <row r="137" spans="1:9" ht="18" customHeight="1" x14ac:dyDescent="0.25">
      <c r="A137" s="48">
        <v>122</v>
      </c>
      <c r="B137" s="49" t="str">
        <f t="array" ref="B137">IFERROR(IF(INDEX(Transactions!$F$8:$F$3006,MATCH(0,COUNTIF($B$11:B136,Transactions!$F$8:$F$3006),0))="","",INDEX(Transactions!$F$8:$F$3006,MATCH(0,COUNTIF($B$11:B136,Transactions!$F$8:$F$3006),0))),"")</f>
        <v/>
      </c>
      <c r="C137" s="50" t="str">
        <f>IF(B137="","",SUMIF(Transactions!$F$8:$F$3006,B137,Transactions!$H$8:$H$3006))</f>
        <v/>
      </c>
      <c r="D137" s="51" t="str">
        <f>IF(B137="","",SUMIF(Transactions!$F$8:$F$3006,B137,Transactions!$N$8:$N$3006))</f>
        <v/>
      </c>
      <c r="E137" s="52" t="str">
        <f>IF(B137="","",SUMIF(Transactions!$F$8:$F$3006,B137,Transactions!$O$8:$O$3006))</f>
        <v/>
      </c>
      <c r="F137" s="53" t="str">
        <f>IF(B137="","",SUMIF(Transactions!$F$8:$F$3006,B137,Transactions!$R$8:$R$3006))</f>
        <v/>
      </c>
      <c r="G137" s="54" t="str">
        <f>IF(B137="","",(C137+F137)-(D137+E137+SUMIF(Transactions!$F$8:$F$3006,B137,Transactions!$Q$8:$Q$3006)))</f>
        <v/>
      </c>
      <c r="H137" s="55" t="str">
        <f>IF(B137="","",IF(G137&gt;0,"OUTSTANDING",IF(G137=0,"SETTLED",IF(SUMIF(Transactions!$F$8:$F$3006,B137,Transactions!$Q$8:$Q$3006)&gt;SUMIF(Transactions!$F$8:$F$3006,B137,Transactions!$R$8:$R$3006),"OWES","OVERPAID"))))</f>
        <v/>
      </c>
      <c r="I137" s="1"/>
    </row>
    <row r="138" spans="1:9" ht="18" customHeight="1" x14ac:dyDescent="0.25">
      <c r="A138" s="40">
        <v>123</v>
      </c>
      <c r="B138" s="41" t="str">
        <f t="array" ref="B138">IFERROR(IF(INDEX(Transactions!$F$8:$F$3006,MATCH(0,COUNTIF($B$11:B137,Transactions!$F$8:$F$3006),0))="","",INDEX(Transactions!$F$8:$F$3006,MATCH(0,COUNTIF($B$11:B137,Transactions!$F$8:$F$3006),0))),"")</f>
        <v/>
      </c>
      <c r="C138" s="42" t="str">
        <f>IF(B138="","",SUMIF(Transactions!$F$8:$F$3006,B138,Transactions!$H$8:$H$3006))</f>
        <v/>
      </c>
      <c r="D138" s="43" t="str">
        <f>IF(B138="","",SUMIF(Transactions!$F$8:$F$3006,B138,Transactions!$N$8:$N$3006))</f>
        <v/>
      </c>
      <c r="E138" s="44" t="str">
        <f>IF(B138="","",SUMIF(Transactions!$F$8:$F$3006,B138,Transactions!$O$8:$O$3006))</f>
        <v/>
      </c>
      <c r="F138" s="45" t="str">
        <f>IF(B138="","",SUMIF(Transactions!$F$8:$F$3006,B138,Transactions!$R$8:$R$3006))</f>
        <v/>
      </c>
      <c r="G138" s="46" t="str">
        <f>IF(B138="","",(C138+F138)-(D138+E138+SUMIF(Transactions!$F$8:$F$3006,B138,Transactions!$Q$8:$Q$3006)))</f>
        <v/>
      </c>
      <c r="H138" s="47" t="str">
        <f>IF(B138="","",IF(G138&gt;0,"OUTSTANDING",IF(G138=0,"SETTLED",IF(SUMIF(Transactions!$F$8:$F$3006,B138,Transactions!$Q$8:$Q$3006)&gt;SUMIF(Transactions!$F$8:$F$3006,B138,Transactions!$R$8:$R$3006),"OWES","OVERPAID"))))</f>
        <v/>
      </c>
      <c r="I138" s="1"/>
    </row>
    <row r="139" spans="1:9" ht="18" customHeight="1" x14ac:dyDescent="0.25">
      <c r="A139" s="48">
        <v>124</v>
      </c>
      <c r="B139" s="49" t="str">
        <f t="array" ref="B139">IFERROR(IF(INDEX(Transactions!$F$8:$F$3006,MATCH(0,COUNTIF($B$11:B138,Transactions!$F$8:$F$3006),0))="","",INDEX(Transactions!$F$8:$F$3006,MATCH(0,COUNTIF($B$11:B138,Transactions!$F$8:$F$3006),0))),"")</f>
        <v/>
      </c>
      <c r="C139" s="50" t="str">
        <f>IF(B139="","",SUMIF(Transactions!$F$8:$F$3006,B139,Transactions!$H$8:$H$3006))</f>
        <v/>
      </c>
      <c r="D139" s="51" t="str">
        <f>IF(B139="","",SUMIF(Transactions!$F$8:$F$3006,B139,Transactions!$N$8:$N$3006))</f>
        <v/>
      </c>
      <c r="E139" s="52" t="str">
        <f>IF(B139="","",SUMIF(Transactions!$F$8:$F$3006,B139,Transactions!$O$8:$O$3006))</f>
        <v/>
      </c>
      <c r="F139" s="53" t="str">
        <f>IF(B139="","",SUMIF(Transactions!$F$8:$F$3006,B139,Transactions!$R$8:$R$3006))</f>
        <v/>
      </c>
      <c r="G139" s="54" t="str">
        <f>IF(B139="","",(C139+F139)-(D139+E139+SUMIF(Transactions!$F$8:$F$3006,B139,Transactions!$Q$8:$Q$3006)))</f>
        <v/>
      </c>
      <c r="H139" s="55" t="str">
        <f>IF(B139="","",IF(G139&gt;0,"OUTSTANDING",IF(G139=0,"SETTLED",IF(SUMIF(Transactions!$F$8:$F$3006,B139,Transactions!$Q$8:$Q$3006)&gt;SUMIF(Transactions!$F$8:$F$3006,B139,Transactions!$R$8:$R$3006),"OWES","OVERPAID"))))</f>
        <v/>
      </c>
      <c r="I139" s="1"/>
    </row>
    <row r="140" spans="1:9" ht="18" customHeight="1" x14ac:dyDescent="0.25">
      <c r="A140" s="40">
        <v>125</v>
      </c>
      <c r="B140" s="41" t="str">
        <f t="array" ref="B140">IFERROR(IF(INDEX(Transactions!$F$8:$F$3006,MATCH(0,COUNTIF($B$11:B139,Transactions!$F$8:$F$3006),0))="","",INDEX(Transactions!$F$8:$F$3006,MATCH(0,COUNTIF($B$11:B139,Transactions!$F$8:$F$3006),0))),"")</f>
        <v/>
      </c>
      <c r="C140" s="42" t="str">
        <f>IF(B140="","",SUMIF(Transactions!$F$8:$F$3006,B140,Transactions!$H$8:$H$3006))</f>
        <v/>
      </c>
      <c r="D140" s="43" t="str">
        <f>IF(B140="","",SUMIF(Transactions!$F$8:$F$3006,B140,Transactions!$N$8:$N$3006))</f>
        <v/>
      </c>
      <c r="E140" s="44" t="str">
        <f>IF(B140="","",SUMIF(Transactions!$F$8:$F$3006,B140,Transactions!$O$8:$O$3006))</f>
        <v/>
      </c>
      <c r="F140" s="45" t="str">
        <f>IF(B140="","",SUMIF(Transactions!$F$8:$F$3006,B140,Transactions!$R$8:$R$3006))</f>
        <v/>
      </c>
      <c r="G140" s="46" t="str">
        <f>IF(B140="","",(C140+F140)-(D140+E140+SUMIF(Transactions!$F$8:$F$3006,B140,Transactions!$Q$8:$Q$3006)))</f>
        <v/>
      </c>
      <c r="H140" s="47" t="str">
        <f>IF(B140="","",IF(G140&gt;0,"OUTSTANDING",IF(G140=0,"SETTLED",IF(SUMIF(Transactions!$F$8:$F$3006,B140,Transactions!$Q$8:$Q$3006)&gt;SUMIF(Transactions!$F$8:$F$3006,B140,Transactions!$R$8:$R$3006),"OWES","OVERPAID"))))</f>
        <v/>
      </c>
      <c r="I140" s="1"/>
    </row>
    <row r="141" spans="1:9" ht="18" customHeight="1" x14ac:dyDescent="0.25">
      <c r="A141" s="48">
        <v>126</v>
      </c>
      <c r="B141" s="49" t="str">
        <f t="array" ref="B141">IFERROR(IF(INDEX(Transactions!$F$8:$F$3006,MATCH(0,COUNTIF($B$11:B140,Transactions!$F$8:$F$3006),0))="","",INDEX(Transactions!$F$8:$F$3006,MATCH(0,COUNTIF($B$11:B140,Transactions!$F$8:$F$3006),0))),"")</f>
        <v/>
      </c>
      <c r="C141" s="50" t="str">
        <f>IF(B141="","",SUMIF(Transactions!$F$8:$F$3006,B141,Transactions!$H$8:$H$3006))</f>
        <v/>
      </c>
      <c r="D141" s="51" t="str">
        <f>IF(B141="","",SUMIF(Transactions!$F$8:$F$3006,B141,Transactions!$N$8:$N$3006))</f>
        <v/>
      </c>
      <c r="E141" s="52" t="str">
        <f>IF(B141="","",SUMIF(Transactions!$F$8:$F$3006,B141,Transactions!$O$8:$O$3006))</f>
        <v/>
      </c>
      <c r="F141" s="53" t="str">
        <f>IF(B141="","",SUMIF(Transactions!$F$8:$F$3006,B141,Transactions!$R$8:$R$3006))</f>
        <v/>
      </c>
      <c r="G141" s="54" t="str">
        <f>IF(B141="","",(C141+F141)-(D141+E141+SUMIF(Transactions!$F$8:$F$3006,B141,Transactions!$Q$8:$Q$3006)))</f>
        <v/>
      </c>
      <c r="H141" s="55" t="str">
        <f>IF(B141="","",IF(G141&gt;0,"OUTSTANDING",IF(G141=0,"SETTLED",IF(SUMIF(Transactions!$F$8:$F$3006,B141,Transactions!$Q$8:$Q$3006)&gt;SUMIF(Transactions!$F$8:$F$3006,B141,Transactions!$R$8:$R$3006),"OWES","OVERPAID"))))</f>
        <v/>
      </c>
      <c r="I141" s="1"/>
    </row>
    <row r="142" spans="1:9" ht="18" customHeight="1" x14ac:dyDescent="0.25">
      <c r="A142" s="40">
        <v>127</v>
      </c>
      <c r="B142" s="41" t="str">
        <f t="array" ref="B142">IFERROR(IF(INDEX(Transactions!$F$8:$F$3006,MATCH(0,COUNTIF($B$11:B141,Transactions!$F$8:$F$3006),0))="","",INDEX(Transactions!$F$8:$F$3006,MATCH(0,COUNTIF($B$11:B141,Transactions!$F$8:$F$3006),0))),"")</f>
        <v/>
      </c>
      <c r="C142" s="42" t="str">
        <f>IF(B142="","",SUMIF(Transactions!$F$8:$F$3006,B142,Transactions!$H$8:$H$3006))</f>
        <v/>
      </c>
      <c r="D142" s="43" t="str">
        <f>IF(B142="","",SUMIF(Transactions!$F$8:$F$3006,B142,Transactions!$N$8:$N$3006))</f>
        <v/>
      </c>
      <c r="E142" s="44" t="str">
        <f>IF(B142="","",SUMIF(Transactions!$F$8:$F$3006,B142,Transactions!$O$8:$O$3006))</f>
        <v/>
      </c>
      <c r="F142" s="45" t="str">
        <f>IF(B142="","",SUMIF(Transactions!$F$8:$F$3006,B142,Transactions!$R$8:$R$3006))</f>
        <v/>
      </c>
      <c r="G142" s="46" t="str">
        <f>IF(B142="","",(C142+F142)-(D142+E142+SUMIF(Transactions!$F$8:$F$3006,B142,Transactions!$Q$8:$Q$3006)))</f>
        <v/>
      </c>
      <c r="H142" s="47" t="str">
        <f>IF(B142="","",IF(G142&gt;0,"OUTSTANDING",IF(G142=0,"SETTLED",IF(SUMIF(Transactions!$F$8:$F$3006,B142,Transactions!$Q$8:$Q$3006)&gt;SUMIF(Transactions!$F$8:$F$3006,B142,Transactions!$R$8:$R$3006),"OWES","OVERPAID"))))</f>
        <v/>
      </c>
      <c r="I142" s="1"/>
    </row>
    <row r="143" spans="1:9" ht="18" customHeight="1" x14ac:dyDescent="0.25">
      <c r="A143" s="48">
        <v>128</v>
      </c>
      <c r="B143" s="49" t="str">
        <f t="array" ref="B143">IFERROR(IF(INDEX(Transactions!$F$8:$F$3006,MATCH(0,COUNTIF($B$11:B142,Transactions!$F$8:$F$3006),0))="","",INDEX(Transactions!$F$8:$F$3006,MATCH(0,COUNTIF($B$11:B142,Transactions!$F$8:$F$3006),0))),"")</f>
        <v/>
      </c>
      <c r="C143" s="50" t="str">
        <f>IF(B143="","",SUMIF(Transactions!$F$8:$F$3006,B143,Transactions!$H$8:$H$3006))</f>
        <v/>
      </c>
      <c r="D143" s="51" t="str">
        <f>IF(B143="","",SUMIF(Transactions!$F$8:$F$3006,B143,Transactions!$N$8:$N$3006))</f>
        <v/>
      </c>
      <c r="E143" s="52" t="str">
        <f>IF(B143="","",SUMIF(Transactions!$F$8:$F$3006,B143,Transactions!$O$8:$O$3006))</f>
        <v/>
      </c>
      <c r="F143" s="53" t="str">
        <f>IF(B143="","",SUMIF(Transactions!$F$8:$F$3006,B143,Transactions!$R$8:$R$3006))</f>
        <v/>
      </c>
      <c r="G143" s="54" t="str">
        <f>IF(B143="","",(C143+F143)-(D143+E143+SUMIF(Transactions!$F$8:$F$3006,B143,Transactions!$Q$8:$Q$3006)))</f>
        <v/>
      </c>
      <c r="H143" s="55" t="str">
        <f>IF(B143="","",IF(G143&gt;0,"OUTSTANDING",IF(G143=0,"SETTLED",IF(SUMIF(Transactions!$F$8:$F$3006,B143,Transactions!$Q$8:$Q$3006)&gt;SUMIF(Transactions!$F$8:$F$3006,B143,Transactions!$R$8:$R$3006),"OWES","OVERPAID"))))</f>
        <v/>
      </c>
      <c r="I143" s="1"/>
    </row>
    <row r="144" spans="1:9" ht="18" customHeight="1" x14ac:dyDescent="0.25">
      <c r="A144" s="40">
        <v>129</v>
      </c>
      <c r="B144" s="41" t="str">
        <f t="array" ref="B144">IFERROR(IF(INDEX(Transactions!$F$8:$F$3006,MATCH(0,COUNTIF($B$11:B143,Transactions!$F$8:$F$3006),0))="","",INDEX(Transactions!$F$8:$F$3006,MATCH(0,COUNTIF($B$11:B143,Transactions!$F$8:$F$3006),0))),"")</f>
        <v/>
      </c>
      <c r="C144" s="42" t="str">
        <f>IF(B144="","",SUMIF(Transactions!$F$8:$F$3006,B144,Transactions!$H$8:$H$3006))</f>
        <v/>
      </c>
      <c r="D144" s="43" t="str">
        <f>IF(B144="","",SUMIF(Transactions!$F$8:$F$3006,B144,Transactions!$N$8:$N$3006))</f>
        <v/>
      </c>
      <c r="E144" s="44" t="str">
        <f>IF(B144="","",SUMIF(Transactions!$F$8:$F$3006,B144,Transactions!$O$8:$O$3006))</f>
        <v/>
      </c>
      <c r="F144" s="45" t="str">
        <f>IF(B144="","",SUMIF(Transactions!$F$8:$F$3006,B144,Transactions!$R$8:$R$3006))</f>
        <v/>
      </c>
      <c r="G144" s="46" t="str">
        <f>IF(B144="","",(C144+F144)-(D144+E144+SUMIF(Transactions!$F$8:$F$3006,B144,Transactions!$Q$8:$Q$3006)))</f>
        <v/>
      </c>
      <c r="H144" s="47" t="str">
        <f>IF(B144="","",IF(G144&gt;0,"OUTSTANDING",IF(G144=0,"SETTLED",IF(SUMIF(Transactions!$F$8:$F$3006,B144,Transactions!$Q$8:$Q$3006)&gt;SUMIF(Transactions!$F$8:$F$3006,B144,Transactions!$R$8:$R$3006),"OWES","OVERPAID"))))</f>
        <v/>
      </c>
      <c r="I144" s="1"/>
    </row>
    <row r="145" spans="1:9" ht="18" customHeight="1" x14ac:dyDescent="0.25">
      <c r="A145" s="48">
        <v>130</v>
      </c>
      <c r="B145" s="49" t="str">
        <f t="array" ref="B145">IFERROR(IF(INDEX(Transactions!$F$8:$F$3006,MATCH(0,COUNTIF($B$11:B144,Transactions!$F$8:$F$3006),0))="","",INDEX(Transactions!$F$8:$F$3006,MATCH(0,COUNTIF($B$11:B144,Transactions!$F$8:$F$3006),0))),"")</f>
        <v/>
      </c>
      <c r="C145" s="50" t="str">
        <f>IF(B145="","",SUMIF(Transactions!$F$8:$F$3006,B145,Transactions!$H$8:$H$3006))</f>
        <v/>
      </c>
      <c r="D145" s="51" t="str">
        <f>IF(B145="","",SUMIF(Transactions!$F$8:$F$3006,B145,Transactions!$N$8:$N$3006))</f>
        <v/>
      </c>
      <c r="E145" s="52" t="str">
        <f>IF(B145="","",SUMIF(Transactions!$F$8:$F$3006,B145,Transactions!$O$8:$O$3006))</f>
        <v/>
      </c>
      <c r="F145" s="53" t="str">
        <f>IF(B145="","",SUMIF(Transactions!$F$8:$F$3006,B145,Transactions!$R$8:$R$3006))</f>
        <v/>
      </c>
      <c r="G145" s="54" t="str">
        <f>IF(B145="","",(C145+F145)-(D145+E145+SUMIF(Transactions!$F$8:$F$3006,B145,Transactions!$Q$8:$Q$3006)))</f>
        <v/>
      </c>
      <c r="H145" s="55" t="str">
        <f>IF(B145="","",IF(G145&gt;0,"OUTSTANDING",IF(G145=0,"SETTLED",IF(SUMIF(Transactions!$F$8:$F$3006,B145,Transactions!$Q$8:$Q$3006)&gt;SUMIF(Transactions!$F$8:$F$3006,B145,Transactions!$R$8:$R$3006),"OWES","OVERPAID"))))</f>
        <v/>
      </c>
      <c r="I145" s="1"/>
    </row>
    <row r="146" spans="1:9" ht="18" customHeight="1" x14ac:dyDescent="0.25">
      <c r="A146" s="40">
        <v>131</v>
      </c>
      <c r="B146" s="41" t="str">
        <f t="array" ref="B146">IFERROR(IF(INDEX(Transactions!$F$8:$F$3006,MATCH(0,COUNTIF($B$11:B145,Transactions!$F$8:$F$3006),0))="","",INDEX(Transactions!$F$8:$F$3006,MATCH(0,COUNTIF($B$11:B145,Transactions!$F$8:$F$3006),0))),"")</f>
        <v/>
      </c>
      <c r="C146" s="42" t="str">
        <f>IF(B146="","",SUMIF(Transactions!$F$8:$F$3006,B146,Transactions!$H$8:$H$3006))</f>
        <v/>
      </c>
      <c r="D146" s="43" t="str">
        <f>IF(B146="","",SUMIF(Transactions!$F$8:$F$3006,B146,Transactions!$N$8:$N$3006))</f>
        <v/>
      </c>
      <c r="E146" s="44" t="str">
        <f>IF(B146="","",SUMIF(Transactions!$F$8:$F$3006,B146,Transactions!$O$8:$O$3006))</f>
        <v/>
      </c>
      <c r="F146" s="45" t="str">
        <f>IF(B146="","",SUMIF(Transactions!$F$8:$F$3006,B146,Transactions!$R$8:$R$3006))</f>
        <v/>
      </c>
      <c r="G146" s="46" t="str">
        <f>IF(B146="","",(C146+F146)-(D146+E146+SUMIF(Transactions!$F$8:$F$3006,B146,Transactions!$Q$8:$Q$3006)))</f>
        <v/>
      </c>
      <c r="H146" s="47" t="str">
        <f>IF(B146="","",IF(G146&gt;0,"OUTSTANDING",IF(G146=0,"SETTLED",IF(SUMIF(Transactions!$F$8:$F$3006,B146,Transactions!$Q$8:$Q$3006)&gt;SUMIF(Transactions!$F$8:$F$3006,B146,Transactions!$R$8:$R$3006),"OWES","OVERPAID"))))</f>
        <v/>
      </c>
      <c r="I146" s="1"/>
    </row>
    <row r="147" spans="1:9" ht="18" customHeight="1" x14ac:dyDescent="0.25">
      <c r="A147" s="48">
        <v>132</v>
      </c>
      <c r="B147" s="49" t="str">
        <f t="array" ref="B147">IFERROR(IF(INDEX(Transactions!$F$8:$F$3006,MATCH(0,COUNTIF($B$11:B146,Transactions!$F$8:$F$3006),0))="","",INDEX(Transactions!$F$8:$F$3006,MATCH(0,COUNTIF($B$11:B146,Transactions!$F$8:$F$3006),0))),"")</f>
        <v/>
      </c>
      <c r="C147" s="50" t="str">
        <f>IF(B147="","",SUMIF(Transactions!$F$8:$F$3006,B147,Transactions!$H$8:$H$3006))</f>
        <v/>
      </c>
      <c r="D147" s="51" t="str">
        <f>IF(B147="","",SUMIF(Transactions!$F$8:$F$3006,B147,Transactions!$N$8:$N$3006))</f>
        <v/>
      </c>
      <c r="E147" s="52" t="str">
        <f>IF(B147="","",SUMIF(Transactions!$F$8:$F$3006,B147,Transactions!$O$8:$O$3006))</f>
        <v/>
      </c>
      <c r="F147" s="53" t="str">
        <f>IF(B147="","",SUMIF(Transactions!$F$8:$F$3006,B147,Transactions!$R$8:$R$3006))</f>
        <v/>
      </c>
      <c r="G147" s="54" t="str">
        <f>IF(B147="","",(C147+F147)-(D147+E147+SUMIF(Transactions!$F$8:$F$3006,B147,Transactions!$Q$8:$Q$3006)))</f>
        <v/>
      </c>
      <c r="H147" s="55" t="str">
        <f>IF(B147="","",IF(G147&gt;0,"OUTSTANDING",IF(G147=0,"SETTLED",IF(SUMIF(Transactions!$F$8:$F$3006,B147,Transactions!$Q$8:$Q$3006)&gt;SUMIF(Transactions!$F$8:$F$3006,B147,Transactions!$R$8:$R$3006),"OWES","OVERPAID"))))</f>
        <v/>
      </c>
      <c r="I147" s="1"/>
    </row>
    <row r="148" spans="1:9" ht="18" customHeight="1" x14ac:dyDescent="0.25">
      <c r="A148" s="40">
        <v>133</v>
      </c>
      <c r="B148" s="41" t="str">
        <f t="array" ref="B148">IFERROR(IF(INDEX(Transactions!$F$8:$F$3006,MATCH(0,COUNTIF($B$11:B147,Transactions!$F$8:$F$3006),0))="","",INDEX(Transactions!$F$8:$F$3006,MATCH(0,COUNTIF($B$11:B147,Transactions!$F$8:$F$3006),0))),"")</f>
        <v/>
      </c>
      <c r="C148" s="42" t="str">
        <f>IF(B148="","",SUMIF(Transactions!$F$8:$F$3006,B148,Transactions!$H$8:$H$3006))</f>
        <v/>
      </c>
      <c r="D148" s="43" t="str">
        <f>IF(B148="","",SUMIF(Transactions!$F$8:$F$3006,B148,Transactions!$N$8:$N$3006))</f>
        <v/>
      </c>
      <c r="E148" s="44" t="str">
        <f>IF(B148="","",SUMIF(Transactions!$F$8:$F$3006,B148,Transactions!$O$8:$O$3006))</f>
        <v/>
      </c>
      <c r="F148" s="45" t="str">
        <f>IF(B148="","",SUMIF(Transactions!$F$8:$F$3006,B148,Transactions!$R$8:$R$3006))</f>
        <v/>
      </c>
      <c r="G148" s="46" t="str">
        <f>IF(B148="","",(C148+F148)-(D148+E148+SUMIF(Transactions!$F$8:$F$3006,B148,Transactions!$Q$8:$Q$3006)))</f>
        <v/>
      </c>
      <c r="H148" s="47" t="str">
        <f>IF(B148="","",IF(G148&gt;0,"OUTSTANDING",IF(G148=0,"SETTLED",IF(SUMIF(Transactions!$F$8:$F$3006,B148,Transactions!$Q$8:$Q$3006)&gt;SUMIF(Transactions!$F$8:$F$3006,B148,Transactions!$R$8:$R$3006),"OWES","OVERPAID"))))</f>
        <v/>
      </c>
      <c r="I148" s="1"/>
    </row>
    <row r="149" spans="1:9" ht="18" customHeight="1" x14ac:dyDescent="0.25">
      <c r="A149" s="48">
        <v>134</v>
      </c>
      <c r="B149" s="49" t="str">
        <f t="array" ref="B149">IFERROR(IF(INDEX(Transactions!$F$8:$F$3006,MATCH(0,COUNTIF($B$11:B148,Transactions!$F$8:$F$3006),0))="","",INDEX(Transactions!$F$8:$F$3006,MATCH(0,COUNTIF($B$11:B148,Transactions!$F$8:$F$3006),0))),"")</f>
        <v/>
      </c>
      <c r="C149" s="50" t="str">
        <f>IF(B149="","",SUMIF(Transactions!$F$8:$F$3006,B149,Transactions!$H$8:$H$3006))</f>
        <v/>
      </c>
      <c r="D149" s="51" t="str">
        <f>IF(B149="","",SUMIF(Transactions!$F$8:$F$3006,B149,Transactions!$N$8:$N$3006))</f>
        <v/>
      </c>
      <c r="E149" s="52" t="str">
        <f>IF(B149="","",SUMIF(Transactions!$F$8:$F$3006,B149,Transactions!$O$8:$O$3006))</f>
        <v/>
      </c>
      <c r="F149" s="53" t="str">
        <f>IF(B149="","",SUMIF(Transactions!$F$8:$F$3006,B149,Transactions!$R$8:$R$3006))</f>
        <v/>
      </c>
      <c r="G149" s="54" t="str">
        <f>IF(B149="","",(C149+F149)-(D149+E149+SUMIF(Transactions!$F$8:$F$3006,B149,Transactions!$Q$8:$Q$3006)))</f>
        <v/>
      </c>
      <c r="H149" s="55" t="str">
        <f>IF(B149="","",IF(G149&gt;0,"OUTSTANDING",IF(G149=0,"SETTLED",IF(SUMIF(Transactions!$F$8:$F$3006,B149,Transactions!$Q$8:$Q$3006)&gt;SUMIF(Transactions!$F$8:$F$3006,B149,Transactions!$R$8:$R$3006),"OWES","OVERPAID"))))</f>
        <v/>
      </c>
      <c r="I149" s="1"/>
    </row>
    <row r="150" spans="1:9" ht="18" customHeight="1" x14ac:dyDescent="0.25">
      <c r="A150" s="40">
        <v>135</v>
      </c>
      <c r="B150" s="41" t="str">
        <f t="array" ref="B150">IFERROR(IF(INDEX(Transactions!$F$8:$F$3006,MATCH(0,COUNTIF($B$11:B149,Transactions!$F$8:$F$3006),0))="","",INDEX(Transactions!$F$8:$F$3006,MATCH(0,COUNTIF($B$11:B149,Transactions!$F$8:$F$3006),0))),"")</f>
        <v/>
      </c>
      <c r="C150" s="42" t="str">
        <f>IF(B150="","",SUMIF(Transactions!$F$8:$F$3006,B150,Transactions!$H$8:$H$3006))</f>
        <v/>
      </c>
      <c r="D150" s="43" t="str">
        <f>IF(B150="","",SUMIF(Transactions!$F$8:$F$3006,B150,Transactions!$N$8:$N$3006))</f>
        <v/>
      </c>
      <c r="E150" s="44" t="str">
        <f>IF(B150="","",SUMIF(Transactions!$F$8:$F$3006,B150,Transactions!$O$8:$O$3006))</f>
        <v/>
      </c>
      <c r="F150" s="45" t="str">
        <f>IF(B150="","",SUMIF(Transactions!$F$8:$F$3006,B150,Transactions!$R$8:$R$3006))</f>
        <v/>
      </c>
      <c r="G150" s="46" t="str">
        <f>IF(B150="","",(C150+F150)-(D150+E150+SUMIF(Transactions!$F$8:$F$3006,B150,Transactions!$Q$8:$Q$3006)))</f>
        <v/>
      </c>
      <c r="H150" s="47" t="str">
        <f>IF(B150="","",IF(G150&gt;0,"OUTSTANDING",IF(G150=0,"SETTLED",IF(SUMIF(Transactions!$F$8:$F$3006,B150,Transactions!$Q$8:$Q$3006)&gt;SUMIF(Transactions!$F$8:$F$3006,B150,Transactions!$R$8:$R$3006),"OWES","OVERPAID"))))</f>
        <v/>
      </c>
      <c r="I150" s="1"/>
    </row>
    <row r="151" spans="1:9" ht="18" customHeight="1" x14ac:dyDescent="0.25">
      <c r="A151" s="48">
        <v>136</v>
      </c>
      <c r="B151" s="49" t="str">
        <f t="array" ref="B151">IFERROR(IF(INDEX(Transactions!$F$8:$F$3006,MATCH(0,COUNTIF($B$11:B150,Transactions!$F$8:$F$3006),0))="","",INDEX(Transactions!$F$8:$F$3006,MATCH(0,COUNTIF($B$11:B150,Transactions!$F$8:$F$3006),0))),"")</f>
        <v/>
      </c>
      <c r="C151" s="50" t="str">
        <f>IF(B151="","",SUMIF(Transactions!$F$8:$F$3006,B151,Transactions!$H$8:$H$3006))</f>
        <v/>
      </c>
      <c r="D151" s="51" t="str">
        <f>IF(B151="","",SUMIF(Transactions!$F$8:$F$3006,B151,Transactions!$N$8:$N$3006))</f>
        <v/>
      </c>
      <c r="E151" s="52" t="str">
        <f>IF(B151="","",SUMIF(Transactions!$F$8:$F$3006,B151,Transactions!$O$8:$O$3006))</f>
        <v/>
      </c>
      <c r="F151" s="53" t="str">
        <f>IF(B151="","",SUMIF(Transactions!$F$8:$F$3006,B151,Transactions!$R$8:$R$3006))</f>
        <v/>
      </c>
      <c r="G151" s="54" t="str">
        <f>IF(B151="","",(C151+F151)-(D151+E151+SUMIF(Transactions!$F$8:$F$3006,B151,Transactions!$Q$8:$Q$3006)))</f>
        <v/>
      </c>
      <c r="H151" s="55" t="str">
        <f>IF(B151="","",IF(G151&gt;0,"OUTSTANDING",IF(G151=0,"SETTLED",IF(SUMIF(Transactions!$F$8:$F$3006,B151,Transactions!$Q$8:$Q$3006)&gt;SUMIF(Transactions!$F$8:$F$3006,B151,Transactions!$R$8:$R$3006),"OWES","OVERPAID"))))</f>
        <v/>
      </c>
      <c r="I151" s="1"/>
    </row>
    <row r="152" spans="1:9" ht="18" customHeight="1" x14ac:dyDescent="0.25">
      <c r="A152" s="40">
        <v>137</v>
      </c>
      <c r="B152" s="41" t="str">
        <f t="array" ref="B152">IFERROR(IF(INDEX(Transactions!$F$8:$F$3006,MATCH(0,COUNTIF($B$11:B151,Transactions!$F$8:$F$3006),0))="","",INDEX(Transactions!$F$8:$F$3006,MATCH(0,COUNTIF($B$11:B151,Transactions!$F$8:$F$3006),0))),"")</f>
        <v/>
      </c>
      <c r="C152" s="42" t="str">
        <f>IF(B152="","",SUMIF(Transactions!$F$8:$F$3006,B152,Transactions!$H$8:$H$3006))</f>
        <v/>
      </c>
      <c r="D152" s="43" t="str">
        <f>IF(B152="","",SUMIF(Transactions!$F$8:$F$3006,B152,Transactions!$N$8:$N$3006))</f>
        <v/>
      </c>
      <c r="E152" s="44" t="str">
        <f>IF(B152="","",SUMIF(Transactions!$F$8:$F$3006,B152,Transactions!$O$8:$O$3006))</f>
        <v/>
      </c>
      <c r="F152" s="45" t="str">
        <f>IF(B152="","",SUMIF(Transactions!$F$8:$F$3006,B152,Transactions!$R$8:$R$3006))</f>
        <v/>
      </c>
      <c r="G152" s="46" t="str">
        <f>IF(B152="","",(C152+F152)-(D152+E152+SUMIF(Transactions!$F$8:$F$3006,B152,Transactions!$Q$8:$Q$3006)))</f>
        <v/>
      </c>
      <c r="H152" s="47" t="str">
        <f>IF(B152="","",IF(G152&gt;0,"OUTSTANDING",IF(G152=0,"SETTLED",IF(SUMIF(Transactions!$F$8:$F$3006,B152,Transactions!$Q$8:$Q$3006)&gt;SUMIF(Transactions!$F$8:$F$3006,B152,Transactions!$R$8:$R$3006),"OWES","OVERPAID"))))</f>
        <v/>
      </c>
      <c r="I152" s="1"/>
    </row>
    <row r="153" spans="1:9" ht="18" customHeight="1" x14ac:dyDescent="0.25">
      <c r="A153" s="48">
        <v>138</v>
      </c>
      <c r="B153" s="49" t="str">
        <f t="array" ref="B153">IFERROR(IF(INDEX(Transactions!$F$8:$F$3006,MATCH(0,COUNTIF($B$11:B152,Transactions!$F$8:$F$3006),0))="","",INDEX(Transactions!$F$8:$F$3006,MATCH(0,COUNTIF($B$11:B152,Transactions!$F$8:$F$3006),0))),"")</f>
        <v/>
      </c>
      <c r="C153" s="50" t="str">
        <f>IF(B153="","",SUMIF(Transactions!$F$8:$F$3006,B153,Transactions!$H$8:$H$3006))</f>
        <v/>
      </c>
      <c r="D153" s="51" t="str">
        <f>IF(B153="","",SUMIF(Transactions!$F$8:$F$3006,B153,Transactions!$N$8:$N$3006))</f>
        <v/>
      </c>
      <c r="E153" s="52" t="str">
        <f>IF(B153="","",SUMIF(Transactions!$F$8:$F$3006,B153,Transactions!$O$8:$O$3006))</f>
        <v/>
      </c>
      <c r="F153" s="53" t="str">
        <f>IF(B153="","",SUMIF(Transactions!$F$8:$F$3006,B153,Transactions!$R$8:$R$3006))</f>
        <v/>
      </c>
      <c r="G153" s="54" t="str">
        <f>IF(B153="","",(C153+F153)-(D153+E153+SUMIF(Transactions!$F$8:$F$3006,B153,Transactions!$Q$8:$Q$3006)))</f>
        <v/>
      </c>
      <c r="H153" s="55" t="str">
        <f>IF(B153="","",IF(G153&gt;0,"OUTSTANDING",IF(G153=0,"SETTLED",IF(SUMIF(Transactions!$F$8:$F$3006,B153,Transactions!$Q$8:$Q$3006)&gt;SUMIF(Transactions!$F$8:$F$3006,B153,Transactions!$R$8:$R$3006),"OWES","OVERPAID"))))</f>
        <v/>
      </c>
      <c r="I153" s="1"/>
    </row>
    <row r="154" spans="1:9" ht="18" customHeight="1" x14ac:dyDescent="0.25">
      <c r="A154" s="40">
        <v>139</v>
      </c>
      <c r="B154" s="41" t="str">
        <f t="array" ref="B154">IFERROR(IF(INDEX(Transactions!$F$8:$F$3006,MATCH(0,COUNTIF($B$11:B153,Transactions!$F$8:$F$3006),0))="","",INDEX(Transactions!$F$8:$F$3006,MATCH(0,COUNTIF($B$11:B153,Transactions!$F$8:$F$3006),0))),"")</f>
        <v/>
      </c>
      <c r="C154" s="42" t="str">
        <f>IF(B154="","",SUMIF(Transactions!$F$8:$F$3006,B154,Transactions!$H$8:$H$3006))</f>
        <v/>
      </c>
      <c r="D154" s="43" t="str">
        <f>IF(B154="","",SUMIF(Transactions!$F$8:$F$3006,B154,Transactions!$N$8:$N$3006))</f>
        <v/>
      </c>
      <c r="E154" s="44" t="str">
        <f>IF(B154="","",SUMIF(Transactions!$F$8:$F$3006,B154,Transactions!$O$8:$O$3006))</f>
        <v/>
      </c>
      <c r="F154" s="45" t="str">
        <f>IF(B154="","",SUMIF(Transactions!$F$8:$F$3006,B154,Transactions!$R$8:$R$3006))</f>
        <v/>
      </c>
      <c r="G154" s="46" t="str">
        <f>IF(B154="","",(C154+F154)-(D154+E154+SUMIF(Transactions!$F$8:$F$3006,B154,Transactions!$Q$8:$Q$3006)))</f>
        <v/>
      </c>
      <c r="H154" s="47" t="str">
        <f>IF(B154="","",IF(G154&gt;0,"OUTSTANDING",IF(G154=0,"SETTLED",IF(SUMIF(Transactions!$F$8:$F$3006,B154,Transactions!$Q$8:$Q$3006)&gt;SUMIF(Transactions!$F$8:$F$3006,B154,Transactions!$R$8:$R$3006),"OWES","OVERPAID"))))</f>
        <v/>
      </c>
      <c r="I154" s="1"/>
    </row>
    <row r="155" spans="1:9" ht="18" customHeight="1" x14ac:dyDescent="0.25">
      <c r="A155" s="48">
        <v>140</v>
      </c>
      <c r="B155" s="49" t="str">
        <f t="array" ref="B155">IFERROR(IF(INDEX(Transactions!$F$8:$F$3006,MATCH(0,COUNTIF($B$11:B154,Transactions!$F$8:$F$3006),0))="","",INDEX(Transactions!$F$8:$F$3006,MATCH(0,COUNTIF($B$11:B154,Transactions!$F$8:$F$3006),0))),"")</f>
        <v/>
      </c>
      <c r="C155" s="50" t="str">
        <f>IF(B155="","",SUMIF(Transactions!$F$8:$F$3006,B155,Transactions!$H$8:$H$3006))</f>
        <v/>
      </c>
      <c r="D155" s="51" t="str">
        <f>IF(B155="","",SUMIF(Transactions!$F$8:$F$3006,B155,Transactions!$N$8:$N$3006))</f>
        <v/>
      </c>
      <c r="E155" s="52" t="str">
        <f>IF(B155="","",SUMIF(Transactions!$F$8:$F$3006,B155,Transactions!$O$8:$O$3006))</f>
        <v/>
      </c>
      <c r="F155" s="53" t="str">
        <f>IF(B155="","",SUMIF(Transactions!$F$8:$F$3006,B155,Transactions!$R$8:$R$3006))</f>
        <v/>
      </c>
      <c r="G155" s="54" t="str">
        <f>IF(B155="","",(C155+F155)-(D155+E155+SUMIF(Transactions!$F$8:$F$3006,B155,Transactions!$Q$8:$Q$3006)))</f>
        <v/>
      </c>
      <c r="H155" s="55" t="str">
        <f>IF(B155="","",IF(G155&gt;0,"OUTSTANDING",IF(G155=0,"SETTLED",IF(SUMIF(Transactions!$F$8:$F$3006,B155,Transactions!$Q$8:$Q$3006)&gt;SUMIF(Transactions!$F$8:$F$3006,B155,Transactions!$R$8:$R$3006),"OWES","OVERPAID"))))</f>
        <v/>
      </c>
      <c r="I155" s="1"/>
    </row>
    <row r="156" spans="1:9" ht="18" customHeight="1" x14ac:dyDescent="0.25">
      <c r="A156" s="40">
        <v>141</v>
      </c>
      <c r="B156" s="41" t="str">
        <f t="array" ref="B156">IFERROR(IF(INDEX(Transactions!$F$8:$F$3006,MATCH(0,COUNTIF($B$11:B155,Transactions!$F$8:$F$3006),0))="","",INDEX(Transactions!$F$8:$F$3006,MATCH(0,COUNTIF($B$11:B155,Transactions!$F$8:$F$3006),0))),"")</f>
        <v/>
      </c>
      <c r="C156" s="42" t="str">
        <f>IF(B156="","",SUMIF(Transactions!$F$8:$F$3006,B156,Transactions!$H$8:$H$3006))</f>
        <v/>
      </c>
      <c r="D156" s="43" t="str">
        <f>IF(B156="","",SUMIF(Transactions!$F$8:$F$3006,B156,Transactions!$N$8:$N$3006))</f>
        <v/>
      </c>
      <c r="E156" s="44" t="str">
        <f>IF(B156="","",SUMIF(Transactions!$F$8:$F$3006,B156,Transactions!$O$8:$O$3006))</f>
        <v/>
      </c>
      <c r="F156" s="45" t="str">
        <f>IF(B156="","",SUMIF(Transactions!$F$8:$F$3006,B156,Transactions!$R$8:$R$3006))</f>
        <v/>
      </c>
      <c r="G156" s="46" t="str">
        <f>IF(B156="","",(C156+F156)-(D156+E156+SUMIF(Transactions!$F$8:$F$3006,B156,Transactions!$Q$8:$Q$3006)))</f>
        <v/>
      </c>
      <c r="H156" s="47" t="str">
        <f>IF(B156="","",IF(G156&gt;0,"OUTSTANDING",IF(G156=0,"SETTLED",IF(SUMIF(Transactions!$F$8:$F$3006,B156,Transactions!$Q$8:$Q$3006)&gt;SUMIF(Transactions!$F$8:$F$3006,B156,Transactions!$R$8:$R$3006),"OWES","OVERPAID"))))</f>
        <v/>
      </c>
      <c r="I156" s="1"/>
    </row>
    <row r="157" spans="1:9" ht="18" customHeight="1" x14ac:dyDescent="0.25">
      <c r="A157" s="48">
        <v>142</v>
      </c>
      <c r="B157" s="49" t="str">
        <f t="array" ref="B157">IFERROR(IF(INDEX(Transactions!$F$8:$F$3006,MATCH(0,COUNTIF($B$11:B156,Transactions!$F$8:$F$3006),0))="","",INDEX(Transactions!$F$8:$F$3006,MATCH(0,COUNTIF($B$11:B156,Transactions!$F$8:$F$3006),0))),"")</f>
        <v/>
      </c>
      <c r="C157" s="50" t="str">
        <f>IF(B157="","",SUMIF(Transactions!$F$8:$F$3006,B157,Transactions!$H$8:$H$3006))</f>
        <v/>
      </c>
      <c r="D157" s="51" t="str">
        <f>IF(B157="","",SUMIF(Transactions!$F$8:$F$3006,B157,Transactions!$N$8:$N$3006))</f>
        <v/>
      </c>
      <c r="E157" s="52" t="str">
        <f>IF(B157="","",SUMIF(Transactions!$F$8:$F$3006,B157,Transactions!$O$8:$O$3006))</f>
        <v/>
      </c>
      <c r="F157" s="53" t="str">
        <f>IF(B157="","",SUMIF(Transactions!$F$8:$F$3006,B157,Transactions!$R$8:$R$3006))</f>
        <v/>
      </c>
      <c r="G157" s="54" t="str">
        <f>IF(B157="","",(C157+F157)-(D157+E157+SUMIF(Transactions!$F$8:$F$3006,B157,Transactions!$Q$8:$Q$3006)))</f>
        <v/>
      </c>
      <c r="H157" s="55" t="str">
        <f>IF(B157="","",IF(G157&gt;0,"OUTSTANDING",IF(G157=0,"SETTLED",IF(SUMIF(Transactions!$F$8:$F$3006,B157,Transactions!$Q$8:$Q$3006)&gt;SUMIF(Transactions!$F$8:$F$3006,B157,Transactions!$R$8:$R$3006),"OWES","OVERPAID"))))</f>
        <v/>
      </c>
      <c r="I157" s="1"/>
    </row>
    <row r="158" spans="1:9" ht="18" customHeight="1" x14ac:dyDescent="0.25">
      <c r="A158" s="40">
        <v>143</v>
      </c>
      <c r="B158" s="41" t="str">
        <f t="array" ref="B158">IFERROR(IF(INDEX(Transactions!$F$8:$F$3006,MATCH(0,COUNTIF($B$11:B157,Transactions!$F$8:$F$3006),0))="","",INDEX(Transactions!$F$8:$F$3006,MATCH(0,COUNTIF($B$11:B157,Transactions!$F$8:$F$3006),0))),"")</f>
        <v/>
      </c>
      <c r="C158" s="42" t="str">
        <f>IF(B158="","",SUMIF(Transactions!$F$8:$F$3006,B158,Transactions!$H$8:$H$3006))</f>
        <v/>
      </c>
      <c r="D158" s="43" t="str">
        <f>IF(B158="","",SUMIF(Transactions!$F$8:$F$3006,B158,Transactions!$N$8:$N$3006))</f>
        <v/>
      </c>
      <c r="E158" s="44" t="str">
        <f>IF(B158="","",SUMIF(Transactions!$F$8:$F$3006,B158,Transactions!$O$8:$O$3006))</f>
        <v/>
      </c>
      <c r="F158" s="45" t="str">
        <f>IF(B158="","",SUMIF(Transactions!$F$8:$F$3006,B158,Transactions!$R$8:$R$3006))</f>
        <v/>
      </c>
      <c r="G158" s="46" t="str">
        <f>IF(B158="","",(C158+F158)-(D158+E158+SUMIF(Transactions!$F$8:$F$3006,B158,Transactions!$Q$8:$Q$3006)))</f>
        <v/>
      </c>
      <c r="H158" s="47" t="str">
        <f>IF(B158="","",IF(G158&gt;0,"OUTSTANDING",IF(G158=0,"SETTLED",IF(SUMIF(Transactions!$F$8:$F$3006,B158,Transactions!$Q$8:$Q$3006)&gt;SUMIF(Transactions!$F$8:$F$3006,B158,Transactions!$R$8:$R$3006),"OWES","OVERPAID"))))</f>
        <v/>
      </c>
      <c r="I158" s="1"/>
    </row>
    <row r="159" spans="1:9" ht="18" customHeight="1" x14ac:dyDescent="0.25">
      <c r="A159" s="48">
        <v>144</v>
      </c>
      <c r="B159" s="49" t="str">
        <f t="array" ref="B159">IFERROR(IF(INDEX(Transactions!$F$8:$F$3006,MATCH(0,COUNTIF($B$11:B158,Transactions!$F$8:$F$3006),0))="","",INDEX(Transactions!$F$8:$F$3006,MATCH(0,COUNTIF($B$11:B158,Transactions!$F$8:$F$3006),0))),"")</f>
        <v/>
      </c>
      <c r="C159" s="50" t="str">
        <f>IF(B159="","",SUMIF(Transactions!$F$8:$F$3006,B159,Transactions!$H$8:$H$3006))</f>
        <v/>
      </c>
      <c r="D159" s="51" t="str">
        <f>IF(B159="","",SUMIF(Transactions!$F$8:$F$3006,B159,Transactions!$N$8:$N$3006))</f>
        <v/>
      </c>
      <c r="E159" s="52" t="str">
        <f>IF(B159="","",SUMIF(Transactions!$F$8:$F$3006,B159,Transactions!$O$8:$O$3006))</f>
        <v/>
      </c>
      <c r="F159" s="53" t="str">
        <f>IF(B159="","",SUMIF(Transactions!$F$8:$F$3006,B159,Transactions!$R$8:$R$3006))</f>
        <v/>
      </c>
      <c r="G159" s="54" t="str">
        <f>IF(B159="","",(C159+F159)-(D159+E159+SUMIF(Transactions!$F$8:$F$3006,B159,Transactions!$Q$8:$Q$3006)))</f>
        <v/>
      </c>
      <c r="H159" s="55" t="str">
        <f>IF(B159="","",IF(G159&gt;0,"OUTSTANDING",IF(G159=0,"SETTLED",IF(SUMIF(Transactions!$F$8:$F$3006,B159,Transactions!$Q$8:$Q$3006)&gt;SUMIF(Transactions!$F$8:$F$3006,B159,Transactions!$R$8:$R$3006),"OWES","OVERPAID"))))</f>
        <v/>
      </c>
      <c r="I159" s="1"/>
    </row>
    <row r="160" spans="1:9" ht="18" customHeight="1" x14ac:dyDescent="0.25">
      <c r="A160" s="40">
        <v>145</v>
      </c>
      <c r="B160" s="41" t="str">
        <f t="array" ref="B160">IFERROR(IF(INDEX(Transactions!$F$8:$F$3006,MATCH(0,COUNTIF($B$11:B159,Transactions!$F$8:$F$3006),0))="","",INDEX(Transactions!$F$8:$F$3006,MATCH(0,COUNTIF($B$11:B159,Transactions!$F$8:$F$3006),0))),"")</f>
        <v/>
      </c>
      <c r="C160" s="42" t="str">
        <f>IF(B160="","",SUMIF(Transactions!$F$8:$F$3006,B160,Transactions!$H$8:$H$3006))</f>
        <v/>
      </c>
      <c r="D160" s="43" t="str">
        <f>IF(B160="","",SUMIF(Transactions!$F$8:$F$3006,B160,Transactions!$N$8:$N$3006))</f>
        <v/>
      </c>
      <c r="E160" s="44" t="str">
        <f>IF(B160="","",SUMIF(Transactions!$F$8:$F$3006,B160,Transactions!$O$8:$O$3006))</f>
        <v/>
      </c>
      <c r="F160" s="45" t="str">
        <f>IF(B160="","",SUMIF(Transactions!$F$8:$F$3006,B160,Transactions!$R$8:$R$3006))</f>
        <v/>
      </c>
      <c r="G160" s="46" t="str">
        <f>IF(B160="","",(C160+F160)-(D160+E160+SUMIF(Transactions!$F$8:$F$3006,B160,Transactions!$Q$8:$Q$3006)))</f>
        <v/>
      </c>
      <c r="H160" s="47" t="str">
        <f>IF(B160="","",IF(G160&gt;0,"OUTSTANDING",IF(G160=0,"SETTLED",IF(SUMIF(Transactions!$F$8:$F$3006,B160,Transactions!$Q$8:$Q$3006)&gt;SUMIF(Transactions!$F$8:$F$3006,B160,Transactions!$R$8:$R$3006),"OWES","OVERPAID"))))</f>
        <v/>
      </c>
      <c r="I160" s="1"/>
    </row>
    <row r="161" spans="1:9" ht="18" customHeight="1" x14ac:dyDescent="0.25">
      <c r="A161" s="48">
        <v>146</v>
      </c>
      <c r="B161" s="49" t="str">
        <f t="array" ref="B161">IFERROR(IF(INDEX(Transactions!$F$8:$F$3006,MATCH(0,COUNTIF($B$11:B160,Transactions!$F$8:$F$3006),0))="","",INDEX(Transactions!$F$8:$F$3006,MATCH(0,COUNTIF($B$11:B160,Transactions!$F$8:$F$3006),0))),"")</f>
        <v/>
      </c>
      <c r="C161" s="50" t="str">
        <f>IF(B161="","",SUMIF(Transactions!$F$8:$F$3006,B161,Transactions!$H$8:$H$3006))</f>
        <v/>
      </c>
      <c r="D161" s="51" t="str">
        <f>IF(B161="","",SUMIF(Transactions!$F$8:$F$3006,B161,Transactions!$N$8:$N$3006))</f>
        <v/>
      </c>
      <c r="E161" s="52" t="str">
        <f>IF(B161="","",SUMIF(Transactions!$F$8:$F$3006,B161,Transactions!$O$8:$O$3006))</f>
        <v/>
      </c>
      <c r="F161" s="53" t="str">
        <f>IF(B161="","",SUMIF(Transactions!$F$8:$F$3006,B161,Transactions!$R$8:$R$3006))</f>
        <v/>
      </c>
      <c r="G161" s="54" t="str">
        <f>IF(B161="","",(C161+F161)-(D161+E161+SUMIF(Transactions!$F$8:$F$3006,B161,Transactions!$Q$8:$Q$3006)))</f>
        <v/>
      </c>
      <c r="H161" s="55" t="str">
        <f>IF(B161="","",IF(G161&gt;0,"OUTSTANDING",IF(G161=0,"SETTLED",IF(SUMIF(Transactions!$F$8:$F$3006,B161,Transactions!$Q$8:$Q$3006)&gt;SUMIF(Transactions!$F$8:$F$3006,B161,Transactions!$R$8:$R$3006),"OWES","OVERPAID"))))</f>
        <v/>
      </c>
      <c r="I161" s="1"/>
    </row>
    <row r="162" spans="1:9" ht="18" customHeight="1" x14ac:dyDescent="0.25">
      <c r="A162" s="40">
        <v>147</v>
      </c>
      <c r="B162" s="41" t="str">
        <f t="array" ref="B162">IFERROR(IF(INDEX(Transactions!$F$8:$F$3006,MATCH(0,COUNTIF($B$11:B161,Transactions!$F$8:$F$3006),0))="","",INDEX(Transactions!$F$8:$F$3006,MATCH(0,COUNTIF($B$11:B161,Transactions!$F$8:$F$3006),0))),"")</f>
        <v/>
      </c>
      <c r="C162" s="42" t="str">
        <f>IF(B162="","",SUMIF(Transactions!$F$8:$F$3006,B162,Transactions!$H$8:$H$3006))</f>
        <v/>
      </c>
      <c r="D162" s="43" t="str">
        <f>IF(B162="","",SUMIF(Transactions!$F$8:$F$3006,B162,Transactions!$N$8:$N$3006))</f>
        <v/>
      </c>
      <c r="E162" s="44" t="str">
        <f>IF(B162="","",SUMIF(Transactions!$F$8:$F$3006,B162,Transactions!$O$8:$O$3006))</f>
        <v/>
      </c>
      <c r="F162" s="45" t="str">
        <f>IF(B162="","",SUMIF(Transactions!$F$8:$F$3006,B162,Transactions!$R$8:$R$3006))</f>
        <v/>
      </c>
      <c r="G162" s="46" t="str">
        <f>IF(B162="","",(C162+F162)-(D162+E162+SUMIF(Transactions!$F$8:$F$3006,B162,Transactions!$Q$8:$Q$3006)))</f>
        <v/>
      </c>
      <c r="H162" s="47" t="str">
        <f>IF(B162="","",IF(G162&gt;0,"OUTSTANDING",IF(G162=0,"SETTLED",IF(SUMIF(Transactions!$F$8:$F$3006,B162,Transactions!$Q$8:$Q$3006)&gt;SUMIF(Transactions!$F$8:$F$3006,B162,Transactions!$R$8:$R$3006),"OWES","OVERPAID"))))</f>
        <v/>
      </c>
      <c r="I162" s="1"/>
    </row>
    <row r="163" spans="1:9" ht="18" customHeight="1" x14ac:dyDescent="0.25">
      <c r="A163" s="48">
        <v>148</v>
      </c>
      <c r="B163" s="49" t="str">
        <f t="array" ref="B163">IFERROR(IF(INDEX(Transactions!$F$8:$F$3006,MATCH(0,COUNTIF($B$11:B162,Transactions!$F$8:$F$3006),0))="","",INDEX(Transactions!$F$8:$F$3006,MATCH(0,COUNTIF($B$11:B162,Transactions!$F$8:$F$3006),0))),"")</f>
        <v/>
      </c>
      <c r="C163" s="50" t="str">
        <f>IF(B163="","",SUMIF(Transactions!$F$8:$F$3006,B163,Transactions!$H$8:$H$3006))</f>
        <v/>
      </c>
      <c r="D163" s="51" t="str">
        <f>IF(B163="","",SUMIF(Transactions!$F$8:$F$3006,B163,Transactions!$N$8:$N$3006))</f>
        <v/>
      </c>
      <c r="E163" s="52" t="str">
        <f>IF(B163="","",SUMIF(Transactions!$F$8:$F$3006,B163,Transactions!$O$8:$O$3006))</f>
        <v/>
      </c>
      <c r="F163" s="53" t="str">
        <f>IF(B163="","",SUMIF(Transactions!$F$8:$F$3006,B163,Transactions!$R$8:$R$3006))</f>
        <v/>
      </c>
      <c r="G163" s="54" t="str">
        <f>IF(B163="","",(C163+F163)-(D163+E163+SUMIF(Transactions!$F$8:$F$3006,B163,Transactions!$Q$8:$Q$3006)))</f>
        <v/>
      </c>
      <c r="H163" s="55" t="str">
        <f>IF(B163="","",IF(G163&gt;0,"OUTSTANDING",IF(G163=0,"SETTLED",IF(SUMIF(Transactions!$F$8:$F$3006,B163,Transactions!$Q$8:$Q$3006)&gt;SUMIF(Transactions!$F$8:$F$3006,B163,Transactions!$R$8:$R$3006),"OWES","OVERPAID"))))</f>
        <v/>
      </c>
      <c r="I163" s="1"/>
    </row>
    <row r="164" spans="1:9" ht="18" customHeight="1" x14ac:dyDescent="0.25">
      <c r="A164" s="40">
        <v>149</v>
      </c>
      <c r="B164" s="41" t="str">
        <f t="array" ref="B164">IFERROR(IF(INDEX(Transactions!$F$8:$F$3006,MATCH(0,COUNTIF($B$11:B163,Transactions!$F$8:$F$3006),0))="","",INDEX(Transactions!$F$8:$F$3006,MATCH(0,COUNTIF($B$11:B163,Transactions!$F$8:$F$3006),0))),"")</f>
        <v/>
      </c>
      <c r="C164" s="42" t="str">
        <f>IF(B164="","",SUMIF(Transactions!$F$8:$F$3006,B164,Transactions!$H$8:$H$3006))</f>
        <v/>
      </c>
      <c r="D164" s="43" t="str">
        <f>IF(B164="","",SUMIF(Transactions!$F$8:$F$3006,B164,Transactions!$N$8:$N$3006))</f>
        <v/>
      </c>
      <c r="E164" s="44" t="str">
        <f>IF(B164="","",SUMIF(Transactions!$F$8:$F$3006,B164,Transactions!$O$8:$O$3006))</f>
        <v/>
      </c>
      <c r="F164" s="45" t="str">
        <f>IF(B164="","",SUMIF(Transactions!$F$8:$F$3006,B164,Transactions!$R$8:$R$3006))</f>
        <v/>
      </c>
      <c r="G164" s="46" t="str">
        <f>IF(B164="","",(C164+F164)-(D164+E164+SUMIF(Transactions!$F$8:$F$3006,B164,Transactions!$Q$8:$Q$3006)))</f>
        <v/>
      </c>
      <c r="H164" s="47" t="str">
        <f>IF(B164="","",IF(G164&gt;0,"OUTSTANDING",IF(G164=0,"SETTLED",IF(SUMIF(Transactions!$F$8:$F$3006,B164,Transactions!$Q$8:$Q$3006)&gt;SUMIF(Transactions!$F$8:$F$3006,B164,Transactions!$R$8:$R$3006),"OWES","OVERPAID"))))</f>
        <v/>
      </c>
      <c r="I164" s="1"/>
    </row>
    <row r="165" spans="1:9" ht="18" customHeight="1" x14ac:dyDescent="0.25">
      <c r="A165" s="48">
        <v>150</v>
      </c>
      <c r="B165" s="49" t="str">
        <f t="array" ref="B165">IFERROR(IF(INDEX(Transactions!$F$8:$F$3006,MATCH(0,COUNTIF($B$11:B164,Transactions!$F$8:$F$3006),0))="","",INDEX(Transactions!$F$8:$F$3006,MATCH(0,COUNTIF($B$11:B164,Transactions!$F$8:$F$3006),0))),"")</f>
        <v/>
      </c>
      <c r="C165" s="50" t="str">
        <f>IF(B165="","",SUMIF(Transactions!$F$8:$F$3006,B165,Transactions!$H$8:$H$3006))</f>
        <v/>
      </c>
      <c r="D165" s="51" t="str">
        <f>IF(B165="","",SUMIF(Transactions!$F$8:$F$3006,B165,Transactions!$N$8:$N$3006))</f>
        <v/>
      </c>
      <c r="E165" s="52" t="str">
        <f>IF(B165="","",SUMIF(Transactions!$F$8:$F$3006,B165,Transactions!$O$8:$O$3006))</f>
        <v/>
      </c>
      <c r="F165" s="53" t="str">
        <f>IF(B165="","",SUMIF(Transactions!$F$8:$F$3006,B165,Transactions!$R$8:$R$3006))</f>
        <v/>
      </c>
      <c r="G165" s="54" t="str">
        <f>IF(B165="","",(C165+F165)-(D165+E165+SUMIF(Transactions!$F$8:$F$3006,B165,Transactions!$Q$8:$Q$3006)))</f>
        <v/>
      </c>
      <c r="H165" s="55" t="str">
        <f>IF(B165="","",IF(G165&gt;0,"OUTSTANDING",IF(G165=0,"SETTLED",IF(SUMIF(Transactions!$F$8:$F$3006,B165,Transactions!$Q$8:$Q$3006)&gt;SUMIF(Transactions!$F$8:$F$3006,B165,Transactions!$R$8:$R$3006),"OWES","OVERPAID"))))</f>
        <v/>
      </c>
      <c r="I165" s="1"/>
    </row>
    <row r="166" spans="1:9" ht="18" customHeight="1" x14ac:dyDescent="0.25">
      <c r="A166" s="40">
        <v>151</v>
      </c>
      <c r="B166" s="41" t="str">
        <f t="array" ref="B166">IFERROR(IF(INDEX(Transactions!$F$8:$F$3006,MATCH(0,COUNTIF($B$11:B165,Transactions!$F$8:$F$3006),0))="","",INDEX(Transactions!$F$8:$F$3006,MATCH(0,COUNTIF($B$11:B165,Transactions!$F$8:$F$3006),0))),"")</f>
        <v/>
      </c>
      <c r="C166" s="42" t="str">
        <f>IF(B166="","",SUMIF(Transactions!$F$8:$F$3006,B166,Transactions!$H$8:$H$3006))</f>
        <v/>
      </c>
      <c r="D166" s="43" t="str">
        <f>IF(B166="","",SUMIF(Transactions!$F$8:$F$3006,B166,Transactions!$N$8:$N$3006))</f>
        <v/>
      </c>
      <c r="E166" s="44" t="str">
        <f>IF(B166="","",SUMIF(Transactions!$F$8:$F$3006,B166,Transactions!$O$8:$O$3006))</f>
        <v/>
      </c>
      <c r="F166" s="45" t="str">
        <f>IF(B166="","",SUMIF(Transactions!$F$8:$F$3006,B166,Transactions!$R$8:$R$3006))</f>
        <v/>
      </c>
      <c r="G166" s="46" t="str">
        <f>IF(B166="","",(C166+F166)-(D166+E166+SUMIF(Transactions!$F$8:$F$3006,B166,Transactions!$Q$8:$Q$3006)))</f>
        <v/>
      </c>
      <c r="H166" s="47" t="str">
        <f>IF(B166="","",IF(G166&gt;0,"OUTSTANDING",IF(G166=0,"SETTLED",IF(SUMIF(Transactions!$F$8:$F$3006,B166,Transactions!$Q$8:$Q$3006)&gt;SUMIF(Transactions!$F$8:$F$3006,B166,Transactions!$R$8:$R$3006),"OWES","OVERPAID"))))</f>
        <v/>
      </c>
      <c r="I166" s="1"/>
    </row>
    <row r="167" spans="1:9" ht="18" customHeight="1" x14ac:dyDescent="0.25">
      <c r="A167" s="48">
        <v>152</v>
      </c>
      <c r="B167" s="49" t="str">
        <f t="array" ref="B167">IFERROR(IF(INDEX(Transactions!$F$8:$F$3006,MATCH(0,COUNTIF($B$11:B166,Transactions!$F$8:$F$3006),0))="","",INDEX(Transactions!$F$8:$F$3006,MATCH(0,COUNTIF($B$11:B166,Transactions!$F$8:$F$3006),0))),"")</f>
        <v/>
      </c>
      <c r="C167" s="50" t="str">
        <f>IF(B167="","",SUMIF(Transactions!$F$8:$F$3006,B167,Transactions!$H$8:$H$3006))</f>
        <v/>
      </c>
      <c r="D167" s="51" t="str">
        <f>IF(B167="","",SUMIF(Transactions!$F$8:$F$3006,B167,Transactions!$N$8:$N$3006))</f>
        <v/>
      </c>
      <c r="E167" s="52" t="str">
        <f>IF(B167="","",SUMIF(Transactions!$F$8:$F$3006,B167,Transactions!$O$8:$O$3006))</f>
        <v/>
      </c>
      <c r="F167" s="53" t="str">
        <f>IF(B167="","",SUMIF(Transactions!$F$8:$F$3006,B167,Transactions!$R$8:$R$3006))</f>
        <v/>
      </c>
      <c r="G167" s="54" t="str">
        <f>IF(B167="","",(C167+F167)-(D167+E167+SUMIF(Transactions!$F$8:$F$3006,B167,Transactions!$Q$8:$Q$3006)))</f>
        <v/>
      </c>
      <c r="H167" s="55" t="str">
        <f>IF(B167="","",IF(G167&gt;0,"OUTSTANDING",IF(G167=0,"SETTLED",IF(SUMIF(Transactions!$F$8:$F$3006,B167,Transactions!$Q$8:$Q$3006)&gt;SUMIF(Transactions!$F$8:$F$3006,B167,Transactions!$R$8:$R$3006),"OWES","OVERPAID"))))</f>
        <v/>
      </c>
      <c r="I167" s="1"/>
    </row>
    <row r="168" spans="1:9" ht="18" customHeight="1" x14ac:dyDescent="0.25">
      <c r="A168" s="40">
        <v>153</v>
      </c>
      <c r="B168" s="41" t="str">
        <f t="array" ref="B168">IFERROR(IF(INDEX(Transactions!$F$8:$F$3006,MATCH(0,COUNTIF($B$11:B167,Transactions!$F$8:$F$3006),0))="","",INDEX(Transactions!$F$8:$F$3006,MATCH(0,COUNTIF($B$11:B167,Transactions!$F$8:$F$3006),0))),"")</f>
        <v/>
      </c>
      <c r="C168" s="42" t="str">
        <f>IF(B168="","",SUMIF(Transactions!$F$8:$F$3006,B168,Transactions!$H$8:$H$3006))</f>
        <v/>
      </c>
      <c r="D168" s="43" t="str">
        <f>IF(B168="","",SUMIF(Transactions!$F$8:$F$3006,B168,Transactions!$N$8:$N$3006))</f>
        <v/>
      </c>
      <c r="E168" s="44" t="str">
        <f>IF(B168="","",SUMIF(Transactions!$F$8:$F$3006,B168,Transactions!$O$8:$O$3006))</f>
        <v/>
      </c>
      <c r="F168" s="45" t="str">
        <f>IF(B168="","",SUMIF(Transactions!$F$8:$F$3006,B168,Transactions!$R$8:$R$3006))</f>
        <v/>
      </c>
      <c r="G168" s="46" t="str">
        <f>IF(B168="","",(C168+F168)-(D168+E168+SUMIF(Transactions!$F$8:$F$3006,B168,Transactions!$Q$8:$Q$3006)))</f>
        <v/>
      </c>
      <c r="H168" s="47" t="str">
        <f>IF(B168="","",IF(G168&gt;0,"OUTSTANDING",IF(G168=0,"SETTLED",IF(SUMIF(Transactions!$F$8:$F$3006,B168,Transactions!$Q$8:$Q$3006)&gt;SUMIF(Transactions!$F$8:$F$3006,B168,Transactions!$R$8:$R$3006),"OWES","OVERPAID"))))</f>
        <v/>
      </c>
      <c r="I168" s="1"/>
    </row>
    <row r="169" spans="1:9" ht="18" customHeight="1" x14ac:dyDescent="0.25">
      <c r="A169" s="48">
        <v>154</v>
      </c>
      <c r="B169" s="49" t="str">
        <f t="array" ref="B169">IFERROR(IF(INDEX(Transactions!$F$8:$F$3006,MATCH(0,COUNTIF($B$11:B168,Transactions!$F$8:$F$3006),0))="","",INDEX(Transactions!$F$8:$F$3006,MATCH(0,COUNTIF($B$11:B168,Transactions!$F$8:$F$3006),0))),"")</f>
        <v/>
      </c>
      <c r="C169" s="50" t="str">
        <f>IF(B169="","",SUMIF(Transactions!$F$8:$F$3006,B169,Transactions!$H$8:$H$3006))</f>
        <v/>
      </c>
      <c r="D169" s="51" t="str">
        <f>IF(B169="","",SUMIF(Transactions!$F$8:$F$3006,B169,Transactions!$N$8:$N$3006))</f>
        <v/>
      </c>
      <c r="E169" s="52" t="str">
        <f>IF(B169="","",SUMIF(Transactions!$F$8:$F$3006,B169,Transactions!$O$8:$O$3006))</f>
        <v/>
      </c>
      <c r="F169" s="53" t="str">
        <f>IF(B169="","",SUMIF(Transactions!$F$8:$F$3006,B169,Transactions!$R$8:$R$3006))</f>
        <v/>
      </c>
      <c r="G169" s="54" t="str">
        <f>IF(B169="","",(C169+F169)-(D169+E169+SUMIF(Transactions!$F$8:$F$3006,B169,Transactions!$Q$8:$Q$3006)))</f>
        <v/>
      </c>
      <c r="H169" s="55" t="str">
        <f>IF(B169="","",IF(G169&gt;0,"OUTSTANDING",IF(G169=0,"SETTLED",IF(SUMIF(Transactions!$F$8:$F$3006,B169,Transactions!$Q$8:$Q$3006)&gt;SUMIF(Transactions!$F$8:$F$3006,B169,Transactions!$R$8:$R$3006),"OWES","OVERPAID"))))</f>
        <v/>
      </c>
      <c r="I169" s="1"/>
    </row>
    <row r="170" spans="1:9" ht="18" customHeight="1" x14ac:dyDescent="0.25">
      <c r="A170" s="40">
        <v>155</v>
      </c>
      <c r="B170" s="41" t="str">
        <f t="array" ref="B170">IFERROR(IF(INDEX(Transactions!$F$8:$F$3006,MATCH(0,COUNTIF($B$11:B169,Transactions!$F$8:$F$3006),0))="","",INDEX(Transactions!$F$8:$F$3006,MATCH(0,COUNTIF($B$11:B169,Transactions!$F$8:$F$3006),0))),"")</f>
        <v/>
      </c>
      <c r="C170" s="42" t="str">
        <f>IF(B170="","",SUMIF(Transactions!$F$8:$F$3006,B170,Transactions!$H$8:$H$3006))</f>
        <v/>
      </c>
      <c r="D170" s="43" t="str">
        <f>IF(B170="","",SUMIF(Transactions!$F$8:$F$3006,B170,Transactions!$N$8:$N$3006))</f>
        <v/>
      </c>
      <c r="E170" s="44" t="str">
        <f>IF(B170="","",SUMIF(Transactions!$F$8:$F$3006,B170,Transactions!$O$8:$O$3006))</f>
        <v/>
      </c>
      <c r="F170" s="45" t="str">
        <f>IF(B170="","",SUMIF(Transactions!$F$8:$F$3006,B170,Transactions!$R$8:$R$3006))</f>
        <v/>
      </c>
      <c r="G170" s="46" t="str">
        <f>IF(B170="","",(C170+F170)-(D170+E170+SUMIF(Transactions!$F$8:$F$3006,B170,Transactions!$Q$8:$Q$3006)))</f>
        <v/>
      </c>
      <c r="H170" s="47" t="str">
        <f>IF(B170="","",IF(G170&gt;0,"OUTSTANDING",IF(G170=0,"SETTLED",IF(SUMIF(Transactions!$F$8:$F$3006,B170,Transactions!$Q$8:$Q$3006)&gt;SUMIF(Transactions!$F$8:$F$3006,B170,Transactions!$R$8:$R$3006),"OWES","OVERPAID"))))</f>
        <v/>
      </c>
      <c r="I170" s="1"/>
    </row>
    <row r="171" spans="1:9" ht="18" customHeight="1" x14ac:dyDescent="0.25">
      <c r="A171" s="48">
        <v>156</v>
      </c>
      <c r="B171" s="49" t="str">
        <f t="array" ref="B171">IFERROR(IF(INDEX(Transactions!$F$8:$F$3006,MATCH(0,COUNTIF($B$11:B170,Transactions!$F$8:$F$3006),0))="","",INDEX(Transactions!$F$8:$F$3006,MATCH(0,COUNTIF($B$11:B170,Transactions!$F$8:$F$3006),0))),"")</f>
        <v/>
      </c>
      <c r="C171" s="50" t="str">
        <f>IF(B171="","",SUMIF(Transactions!$F$8:$F$3006,B171,Transactions!$H$8:$H$3006))</f>
        <v/>
      </c>
      <c r="D171" s="51" t="str">
        <f>IF(B171="","",SUMIF(Transactions!$F$8:$F$3006,B171,Transactions!$N$8:$N$3006))</f>
        <v/>
      </c>
      <c r="E171" s="52" t="str">
        <f>IF(B171="","",SUMIF(Transactions!$F$8:$F$3006,B171,Transactions!$O$8:$O$3006))</f>
        <v/>
      </c>
      <c r="F171" s="53" t="str">
        <f>IF(B171="","",SUMIF(Transactions!$F$8:$F$3006,B171,Transactions!$R$8:$R$3006))</f>
        <v/>
      </c>
      <c r="G171" s="54" t="str">
        <f>IF(B171="","",(C171+F171)-(D171+E171+SUMIF(Transactions!$F$8:$F$3006,B171,Transactions!$Q$8:$Q$3006)))</f>
        <v/>
      </c>
      <c r="H171" s="55" t="str">
        <f>IF(B171="","",IF(G171&gt;0,"OUTSTANDING",IF(G171=0,"SETTLED",IF(SUMIF(Transactions!$F$8:$F$3006,B171,Transactions!$Q$8:$Q$3006)&gt;SUMIF(Transactions!$F$8:$F$3006,B171,Transactions!$R$8:$R$3006),"OWES","OVERPAID"))))</f>
        <v/>
      </c>
      <c r="I171" s="1"/>
    </row>
    <row r="172" spans="1:9" ht="18" customHeight="1" x14ac:dyDescent="0.25">
      <c r="A172" s="40">
        <v>157</v>
      </c>
      <c r="B172" s="41" t="str">
        <f t="array" ref="B172">IFERROR(IF(INDEX(Transactions!$F$8:$F$3006,MATCH(0,COUNTIF($B$11:B171,Transactions!$F$8:$F$3006),0))="","",INDEX(Transactions!$F$8:$F$3006,MATCH(0,COUNTIF($B$11:B171,Transactions!$F$8:$F$3006),0))),"")</f>
        <v/>
      </c>
      <c r="C172" s="42" t="str">
        <f>IF(B172="","",SUMIF(Transactions!$F$8:$F$3006,B172,Transactions!$H$8:$H$3006))</f>
        <v/>
      </c>
      <c r="D172" s="43" t="str">
        <f>IF(B172="","",SUMIF(Transactions!$F$8:$F$3006,B172,Transactions!$N$8:$N$3006))</f>
        <v/>
      </c>
      <c r="E172" s="44" t="str">
        <f>IF(B172="","",SUMIF(Transactions!$F$8:$F$3006,B172,Transactions!$O$8:$O$3006))</f>
        <v/>
      </c>
      <c r="F172" s="45" t="str">
        <f>IF(B172="","",SUMIF(Transactions!$F$8:$F$3006,B172,Transactions!$R$8:$R$3006))</f>
        <v/>
      </c>
      <c r="G172" s="46" t="str">
        <f>IF(B172="","",(C172+F172)-(D172+E172+SUMIF(Transactions!$F$8:$F$3006,B172,Transactions!$Q$8:$Q$3006)))</f>
        <v/>
      </c>
      <c r="H172" s="47" t="str">
        <f>IF(B172="","",IF(G172&gt;0,"OUTSTANDING",IF(G172=0,"SETTLED",IF(SUMIF(Transactions!$F$8:$F$3006,B172,Transactions!$Q$8:$Q$3006)&gt;SUMIF(Transactions!$F$8:$F$3006,B172,Transactions!$R$8:$R$3006),"OWES","OVERPAID"))))</f>
        <v/>
      </c>
      <c r="I172" s="1"/>
    </row>
    <row r="173" spans="1:9" ht="18" customHeight="1" x14ac:dyDescent="0.25">
      <c r="A173" s="48">
        <v>158</v>
      </c>
      <c r="B173" s="49" t="str">
        <f t="array" ref="B173">IFERROR(IF(INDEX(Transactions!$F$8:$F$3006,MATCH(0,COUNTIF($B$11:B172,Transactions!$F$8:$F$3006),0))="","",INDEX(Transactions!$F$8:$F$3006,MATCH(0,COUNTIF($B$11:B172,Transactions!$F$8:$F$3006),0))),"")</f>
        <v/>
      </c>
      <c r="C173" s="50" t="str">
        <f>IF(B173="","",SUMIF(Transactions!$F$8:$F$3006,B173,Transactions!$H$8:$H$3006))</f>
        <v/>
      </c>
      <c r="D173" s="51" t="str">
        <f>IF(B173="","",SUMIF(Transactions!$F$8:$F$3006,B173,Transactions!$N$8:$N$3006))</f>
        <v/>
      </c>
      <c r="E173" s="52" t="str">
        <f>IF(B173="","",SUMIF(Transactions!$F$8:$F$3006,B173,Transactions!$O$8:$O$3006))</f>
        <v/>
      </c>
      <c r="F173" s="53" t="str">
        <f>IF(B173="","",SUMIF(Transactions!$F$8:$F$3006,B173,Transactions!$R$8:$R$3006))</f>
        <v/>
      </c>
      <c r="G173" s="54" t="str">
        <f>IF(B173="","",(C173+F173)-(D173+E173+SUMIF(Transactions!$F$8:$F$3006,B173,Transactions!$Q$8:$Q$3006)))</f>
        <v/>
      </c>
      <c r="H173" s="55" t="str">
        <f>IF(B173="","",IF(G173&gt;0,"OUTSTANDING",IF(G173=0,"SETTLED",IF(SUMIF(Transactions!$F$8:$F$3006,B173,Transactions!$Q$8:$Q$3006)&gt;SUMIF(Transactions!$F$8:$F$3006,B173,Transactions!$R$8:$R$3006),"OWES","OVERPAID"))))</f>
        <v/>
      </c>
      <c r="I173" s="1"/>
    </row>
    <row r="174" spans="1:9" ht="18" customHeight="1" x14ac:dyDescent="0.25">
      <c r="A174" s="40">
        <v>159</v>
      </c>
      <c r="B174" s="41" t="str">
        <f t="array" ref="B174">IFERROR(IF(INDEX(Transactions!$F$8:$F$3006,MATCH(0,COUNTIF($B$11:B173,Transactions!$F$8:$F$3006),0))="","",INDEX(Transactions!$F$8:$F$3006,MATCH(0,COUNTIF($B$11:B173,Transactions!$F$8:$F$3006),0))),"")</f>
        <v/>
      </c>
      <c r="C174" s="42" t="str">
        <f>IF(B174="","",SUMIF(Transactions!$F$8:$F$3006,B174,Transactions!$H$8:$H$3006))</f>
        <v/>
      </c>
      <c r="D174" s="43" t="str">
        <f>IF(B174="","",SUMIF(Transactions!$F$8:$F$3006,B174,Transactions!$N$8:$N$3006))</f>
        <v/>
      </c>
      <c r="E174" s="44" t="str">
        <f>IF(B174="","",SUMIF(Transactions!$F$8:$F$3006,B174,Transactions!$O$8:$O$3006))</f>
        <v/>
      </c>
      <c r="F174" s="45" t="str">
        <f>IF(B174="","",SUMIF(Transactions!$F$8:$F$3006,B174,Transactions!$R$8:$R$3006))</f>
        <v/>
      </c>
      <c r="G174" s="46" t="str">
        <f>IF(B174="","",(C174+F174)-(D174+E174+SUMIF(Transactions!$F$8:$F$3006,B174,Transactions!$Q$8:$Q$3006)))</f>
        <v/>
      </c>
      <c r="H174" s="47" t="str">
        <f>IF(B174="","",IF(G174&gt;0,"OUTSTANDING",IF(G174=0,"SETTLED",IF(SUMIF(Transactions!$F$8:$F$3006,B174,Transactions!$Q$8:$Q$3006)&gt;SUMIF(Transactions!$F$8:$F$3006,B174,Transactions!$R$8:$R$3006),"OWES","OVERPAID"))))</f>
        <v/>
      </c>
      <c r="I174" s="1"/>
    </row>
    <row r="175" spans="1:9" ht="18" customHeight="1" x14ac:dyDescent="0.25">
      <c r="A175" s="48">
        <v>160</v>
      </c>
      <c r="B175" s="49" t="str">
        <f t="array" ref="B175">IFERROR(IF(INDEX(Transactions!$F$8:$F$3006,MATCH(0,COUNTIF($B$11:B174,Transactions!$F$8:$F$3006),0))="","",INDEX(Transactions!$F$8:$F$3006,MATCH(0,COUNTIF($B$11:B174,Transactions!$F$8:$F$3006),0))),"")</f>
        <v/>
      </c>
      <c r="C175" s="50" t="str">
        <f>IF(B175="","",SUMIF(Transactions!$F$8:$F$3006,B175,Transactions!$H$8:$H$3006))</f>
        <v/>
      </c>
      <c r="D175" s="51" t="str">
        <f>IF(B175="","",SUMIF(Transactions!$F$8:$F$3006,B175,Transactions!$N$8:$N$3006))</f>
        <v/>
      </c>
      <c r="E175" s="52" t="str">
        <f>IF(B175="","",SUMIF(Transactions!$F$8:$F$3006,B175,Transactions!$O$8:$O$3006))</f>
        <v/>
      </c>
      <c r="F175" s="53" t="str">
        <f>IF(B175="","",SUMIF(Transactions!$F$8:$F$3006,B175,Transactions!$R$8:$R$3006))</f>
        <v/>
      </c>
      <c r="G175" s="54" t="str">
        <f>IF(B175="","",(C175+F175)-(D175+E175+SUMIF(Transactions!$F$8:$F$3006,B175,Transactions!$Q$8:$Q$3006)))</f>
        <v/>
      </c>
      <c r="H175" s="55" t="str">
        <f>IF(B175="","",IF(G175&gt;0,"OUTSTANDING",IF(G175=0,"SETTLED",IF(SUMIF(Transactions!$F$8:$F$3006,B175,Transactions!$Q$8:$Q$3006)&gt;SUMIF(Transactions!$F$8:$F$3006,B175,Transactions!$R$8:$R$3006),"OWES","OVERPAID"))))</f>
        <v/>
      </c>
      <c r="I175" s="1"/>
    </row>
    <row r="176" spans="1:9" ht="18" customHeight="1" x14ac:dyDescent="0.25">
      <c r="A176" s="40">
        <v>161</v>
      </c>
      <c r="B176" s="41" t="str">
        <f t="array" ref="B176">IFERROR(IF(INDEX(Transactions!$F$8:$F$3006,MATCH(0,COUNTIF($B$11:B175,Transactions!$F$8:$F$3006),0))="","",INDEX(Transactions!$F$8:$F$3006,MATCH(0,COUNTIF($B$11:B175,Transactions!$F$8:$F$3006),0))),"")</f>
        <v/>
      </c>
      <c r="C176" s="42" t="str">
        <f>IF(B176="","",SUMIF(Transactions!$F$8:$F$3006,B176,Transactions!$H$8:$H$3006))</f>
        <v/>
      </c>
      <c r="D176" s="43" t="str">
        <f>IF(B176="","",SUMIF(Transactions!$F$8:$F$3006,B176,Transactions!$N$8:$N$3006))</f>
        <v/>
      </c>
      <c r="E176" s="44" t="str">
        <f>IF(B176="","",SUMIF(Transactions!$F$8:$F$3006,B176,Transactions!$O$8:$O$3006))</f>
        <v/>
      </c>
      <c r="F176" s="45" t="str">
        <f>IF(B176="","",SUMIF(Transactions!$F$8:$F$3006,B176,Transactions!$R$8:$R$3006))</f>
        <v/>
      </c>
      <c r="G176" s="46" t="str">
        <f>IF(B176="","",(C176+F176)-(D176+E176+SUMIF(Transactions!$F$8:$F$3006,B176,Transactions!$Q$8:$Q$3006)))</f>
        <v/>
      </c>
      <c r="H176" s="47" t="str">
        <f>IF(B176="","",IF(G176&gt;0,"OUTSTANDING",IF(G176=0,"SETTLED",IF(SUMIF(Transactions!$F$8:$F$3006,B176,Transactions!$Q$8:$Q$3006)&gt;SUMIF(Transactions!$F$8:$F$3006,B176,Transactions!$R$8:$R$3006),"OWES","OVERPAID"))))</f>
        <v/>
      </c>
      <c r="I176" s="1"/>
    </row>
    <row r="177" spans="1:9" ht="18" customHeight="1" x14ac:dyDescent="0.25">
      <c r="A177" s="48">
        <v>162</v>
      </c>
      <c r="B177" s="49" t="str">
        <f t="array" ref="B177">IFERROR(IF(INDEX(Transactions!$F$8:$F$3006,MATCH(0,COUNTIF($B$11:B176,Transactions!$F$8:$F$3006),0))="","",INDEX(Transactions!$F$8:$F$3006,MATCH(0,COUNTIF($B$11:B176,Transactions!$F$8:$F$3006),0))),"")</f>
        <v/>
      </c>
      <c r="C177" s="50" t="str">
        <f>IF(B177="","",SUMIF(Transactions!$F$8:$F$3006,B177,Transactions!$H$8:$H$3006))</f>
        <v/>
      </c>
      <c r="D177" s="51" t="str">
        <f>IF(B177="","",SUMIF(Transactions!$F$8:$F$3006,B177,Transactions!$N$8:$N$3006))</f>
        <v/>
      </c>
      <c r="E177" s="52" t="str">
        <f>IF(B177="","",SUMIF(Transactions!$F$8:$F$3006,B177,Transactions!$O$8:$O$3006))</f>
        <v/>
      </c>
      <c r="F177" s="53" t="str">
        <f>IF(B177="","",SUMIF(Transactions!$F$8:$F$3006,B177,Transactions!$R$8:$R$3006))</f>
        <v/>
      </c>
      <c r="G177" s="54" t="str">
        <f>IF(B177="","",(C177+F177)-(D177+E177+SUMIF(Transactions!$F$8:$F$3006,B177,Transactions!$Q$8:$Q$3006)))</f>
        <v/>
      </c>
      <c r="H177" s="55" t="str">
        <f>IF(B177="","",IF(G177&gt;0,"OUTSTANDING",IF(G177=0,"SETTLED",IF(SUMIF(Transactions!$F$8:$F$3006,B177,Transactions!$Q$8:$Q$3006)&gt;SUMIF(Transactions!$F$8:$F$3006,B177,Transactions!$R$8:$R$3006),"OWES","OVERPAID"))))</f>
        <v/>
      </c>
      <c r="I177" s="1"/>
    </row>
    <row r="178" spans="1:9" ht="18" customHeight="1" x14ac:dyDescent="0.25">
      <c r="A178" s="40">
        <v>163</v>
      </c>
      <c r="B178" s="41" t="str">
        <f t="array" ref="B178">IFERROR(IF(INDEX(Transactions!$F$8:$F$3006,MATCH(0,COUNTIF($B$11:B177,Transactions!$F$8:$F$3006),0))="","",INDEX(Transactions!$F$8:$F$3006,MATCH(0,COUNTIF($B$11:B177,Transactions!$F$8:$F$3006),0))),"")</f>
        <v/>
      </c>
      <c r="C178" s="42" t="str">
        <f>IF(B178="","",SUMIF(Transactions!$F$8:$F$3006,B178,Transactions!$H$8:$H$3006))</f>
        <v/>
      </c>
      <c r="D178" s="43" t="str">
        <f>IF(B178="","",SUMIF(Transactions!$F$8:$F$3006,B178,Transactions!$N$8:$N$3006))</f>
        <v/>
      </c>
      <c r="E178" s="44" t="str">
        <f>IF(B178="","",SUMIF(Transactions!$F$8:$F$3006,B178,Transactions!$O$8:$O$3006))</f>
        <v/>
      </c>
      <c r="F178" s="45" t="str">
        <f>IF(B178="","",SUMIF(Transactions!$F$8:$F$3006,B178,Transactions!$R$8:$R$3006))</f>
        <v/>
      </c>
      <c r="G178" s="46" t="str">
        <f>IF(B178="","",(C178+F178)-(D178+E178+SUMIF(Transactions!$F$8:$F$3006,B178,Transactions!$Q$8:$Q$3006)))</f>
        <v/>
      </c>
      <c r="H178" s="47" t="str">
        <f>IF(B178="","",IF(G178&gt;0,"OUTSTANDING",IF(G178=0,"SETTLED",IF(SUMIF(Transactions!$F$8:$F$3006,B178,Transactions!$Q$8:$Q$3006)&gt;SUMIF(Transactions!$F$8:$F$3006,B178,Transactions!$R$8:$R$3006),"OWES","OVERPAID"))))</f>
        <v/>
      </c>
      <c r="I178" s="1"/>
    </row>
    <row r="179" spans="1:9" ht="18" customHeight="1" x14ac:dyDescent="0.25">
      <c r="A179" s="48">
        <v>164</v>
      </c>
      <c r="B179" s="49" t="str">
        <f t="array" ref="B179">IFERROR(IF(INDEX(Transactions!$F$8:$F$3006,MATCH(0,COUNTIF($B$11:B178,Transactions!$F$8:$F$3006),0))="","",INDEX(Transactions!$F$8:$F$3006,MATCH(0,COUNTIF($B$11:B178,Transactions!$F$8:$F$3006),0))),"")</f>
        <v/>
      </c>
      <c r="C179" s="50" t="str">
        <f>IF(B179="","",SUMIF(Transactions!$F$8:$F$3006,B179,Transactions!$H$8:$H$3006))</f>
        <v/>
      </c>
      <c r="D179" s="51" t="str">
        <f>IF(B179="","",SUMIF(Transactions!$F$8:$F$3006,B179,Transactions!$N$8:$N$3006))</f>
        <v/>
      </c>
      <c r="E179" s="52" t="str">
        <f>IF(B179="","",SUMIF(Transactions!$F$8:$F$3006,B179,Transactions!$O$8:$O$3006))</f>
        <v/>
      </c>
      <c r="F179" s="53" t="str">
        <f>IF(B179="","",SUMIF(Transactions!$F$8:$F$3006,B179,Transactions!$R$8:$R$3006))</f>
        <v/>
      </c>
      <c r="G179" s="54" t="str">
        <f>IF(B179="","",(C179+F179)-(D179+E179+SUMIF(Transactions!$F$8:$F$3006,B179,Transactions!$Q$8:$Q$3006)))</f>
        <v/>
      </c>
      <c r="H179" s="55" t="str">
        <f>IF(B179="","",IF(G179&gt;0,"OUTSTANDING",IF(G179=0,"SETTLED",IF(SUMIF(Transactions!$F$8:$F$3006,B179,Transactions!$Q$8:$Q$3006)&gt;SUMIF(Transactions!$F$8:$F$3006,B179,Transactions!$R$8:$R$3006),"OWES","OVERPAID"))))</f>
        <v/>
      </c>
      <c r="I179" s="1"/>
    </row>
    <row r="180" spans="1:9" ht="18" customHeight="1" x14ac:dyDescent="0.25">
      <c r="A180" s="40">
        <v>165</v>
      </c>
      <c r="B180" s="41" t="str">
        <f t="array" ref="B180">IFERROR(IF(INDEX(Transactions!$F$8:$F$3006,MATCH(0,COUNTIF($B$11:B179,Transactions!$F$8:$F$3006),0))="","",INDEX(Transactions!$F$8:$F$3006,MATCH(0,COUNTIF($B$11:B179,Transactions!$F$8:$F$3006),0))),"")</f>
        <v/>
      </c>
      <c r="C180" s="42" t="str">
        <f>IF(B180="","",SUMIF(Transactions!$F$8:$F$3006,B180,Transactions!$H$8:$H$3006))</f>
        <v/>
      </c>
      <c r="D180" s="43" t="str">
        <f>IF(B180="","",SUMIF(Transactions!$F$8:$F$3006,B180,Transactions!$N$8:$N$3006))</f>
        <v/>
      </c>
      <c r="E180" s="44" t="str">
        <f>IF(B180="","",SUMIF(Transactions!$F$8:$F$3006,B180,Transactions!$O$8:$O$3006))</f>
        <v/>
      </c>
      <c r="F180" s="45" t="str">
        <f>IF(B180="","",SUMIF(Transactions!$F$8:$F$3006,B180,Transactions!$R$8:$R$3006))</f>
        <v/>
      </c>
      <c r="G180" s="46" t="str">
        <f>IF(B180="","",(C180+F180)-(D180+E180+SUMIF(Transactions!$F$8:$F$3006,B180,Transactions!$Q$8:$Q$3006)))</f>
        <v/>
      </c>
      <c r="H180" s="47" t="str">
        <f>IF(B180="","",IF(G180&gt;0,"OUTSTANDING",IF(G180=0,"SETTLED",IF(SUMIF(Transactions!$F$8:$F$3006,B180,Transactions!$Q$8:$Q$3006)&gt;SUMIF(Transactions!$F$8:$F$3006,B180,Transactions!$R$8:$R$3006),"OWES","OVERPAID"))))</f>
        <v/>
      </c>
      <c r="I180" s="1"/>
    </row>
    <row r="181" spans="1:9" ht="18" customHeight="1" x14ac:dyDescent="0.25">
      <c r="A181" s="48">
        <v>166</v>
      </c>
      <c r="B181" s="49" t="str">
        <f t="array" ref="B181">IFERROR(IF(INDEX(Transactions!$F$8:$F$3006,MATCH(0,COUNTIF($B$11:B180,Transactions!$F$8:$F$3006),0))="","",INDEX(Transactions!$F$8:$F$3006,MATCH(0,COUNTIF($B$11:B180,Transactions!$F$8:$F$3006),0))),"")</f>
        <v/>
      </c>
      <c r="C181" s="50" t="str">
        <f>IF(B181="","",SUMIF(Transactions!$F$8:$F$3006,B181,Transactions!$H$8:$H$3006))</f>
        <v/>
      </c>
      <c r="D181" s="51" t="str">
        <f>IF(B181="","",SUMIF(Transactions!$F$8:$F$3006,B181,Transactions!$N$8:$N$3006))</f>
        <v/>
      </c>
      <c r="E181" s="52" t="str">
        <f>IF(B181="","",SUMIF(Transactions!$F$8:$F$3006,B181,Transactions!$O$8:$O$3006))</f>
        <v/>
      </c>
      <c r="F181" s="53" t="str">
        <f>IF(B181="","",SUMIF(Transactions!$F$8:$F$3006,B181,Transactions!$R$8:$R$3006))</f>
        <v/>
      </c>
      <c r="G181" s="54" t="str">
        <f>IF(B181="","",(C181+F181)-(D181+E181+SUMIF(Transactions!$F$8:$F$3006,B181,Transactions!$Q$8:$Q$3006)))</f>
        <v/>
      </c>
      <c r="H181" s="55" t="str">
        <f>IF(B181="","",IF(G181&gt;0,"OUTSTANDING",IF(G181=0,"SETTLED",IF(SUMIF(Transactions!$F$8:$F$3006,B181,Transactions!$Q$8:$Q$3006)&gt;SUMIF(Transactions!$F$8:$F$3006,B181,Transactions!$R$8:$R$3006),"OWES","OVERPAID"))))</f>
        <v/>
      </c>
      <c r="I181" s="1"/>
    </row>
    <row r="182" spans="1:9" ht="18" customHeight="1" x14ac:dyDescent="0.25">
      <c r="A182" s="40">
        <v>167</v>
      </c>
      <c r="B182" s="41" t="str">
        <f t="array" ref="B182">IFERROR(IF(INDEX(Transactions!$F$8:$F$3006,MATCH(0,COUNTIF($B$11:B181,Transactions!$F$8:$F$3006),0))="","",INDEX(Transactions!$F$8:$F$3006,MATCH(0,COUNTIF($B$11:B181,Transactions!$F$8:$F$3006),0))),"")</f>
        <v/>
      </c>
      <c r="C182" s="42" t="str">
        <f>IF(B182="","",SUMIF(Transactions!$F$8:$F$3006,B182,Transactions!$H$8:$H$3006))</f>
        <v/>
      </c>
      <c r="D182" s="43" t="str">
        <f>IF(B182="","",SUMIF(Transactions!$F$8:$F$3006,B182,Transactions!$N$8:$N$3006))</f>
        <v/>
      </c>
      <c r="E182" s="44" t="str">
        <f>IF(B182="","",SUMIF(Transactions!$F$8:$F$3006,B182,Transactions!$O$8:$O$3006))</f>
        <v/>
      </c>
      <c r="F182" s="45" t="str">
        <f>IF(B182="","",SUMIF(Transactions!$F$8:$F$3006,B182,Transactions!$R$8:$R$3006))</f>
        <v/>
      </c>
      <c r="G182" s="46" t="str">
        <f>IF(B182="","",(C182+F182)-(D182+E182+SUMIF(Transactions!$F$8:$F$3006,B182,Transactions!$Q$8:$Q$3006)))</f>
        <v/>
      </c>
      <c r="H182" s="47" t="str">
        <f>IF(B182="","",IF(G182&gt;0,"OUTSTANDING",IF(G182=0,"SETTLED",IF(SUMIF(Transactions!$F$8:$F$3006,B182,Transactions!$Q$8:$Q$3006)&gt;SUMIF(Transactions!$F$8:$F$3006,B182,Transactions!$R$8:$R$3006),"OWES","OVERPAID"))))</f>
        <v/>
      </c>
      <c r="I182" s="1"/>
    </row>
    <row r="183" spans="1:9" ht="18" customHeight="1" x14ac:dyDescent="0.25">
      <c r="A183" s="48">
        <v>168</v>
      </c>
      <c r="B183" s="49" t="str">
        <f t="array" ref="B183">IFERROR(IF(INDEX(Transactions!$F$8:$F$3006,MATCH(0,COUNTIF($B$11:B182,Transactions!$F$8:$F$3006),0))="","",INDEX(Transactions!$F$8:$F$3006,MATCH(0,COUNTIF($B$11:B182,Transactions!$F$8:$F$3006),0))),"")</f>
        <v/>
      </c>
      <c r="C183" s="50" t="str">
        <f>IF(B183="","",SUMIF(Transactions!$F$8:$F$3006,B183,Transactions!$H$8:$H$3006))</f>
        <v/>
      </c>
      <c r="D183" s="51" t="str">
        <f>IF(B183="","",SUMIF(Transactions!$F$8:$F$3006,B183,Transactions!$N$8:$N$3006))</f>
        <v/>
      </c>
      <c r="E183" s="52" t="str">
        <f>IF(B183="","",SUMIF(Transactions!$F$8:$F$3006,B183,Transactions!$O$8:$O$3006))</f>
        <v/>
      </c>
      <c r="F183" s="53" t="str">
        <f>IF(B183="","",SUMIF(Transactions!$F$8:$F$3006,B183,Transactions!$R$8:$R$3006))</f>
        <v/>
      </c>
      <c r="G183" s="54" t="str">
        <f>IF(B183="","",(C183+F183)-(D183+E183+SUMIF(Transactions!$F$8:$F$3006,B183,Transactions!$Q$8:$Q$3006)))</f>
        <v/>
      </c>
      <c r="H183" s="55" t="str">
        <f>IF(B183="","",IF(G183&gt;0,"OUTSTANDING",IF(G183=0,"SETTLED",IF(SUMIF(Transactions!$F$8:$F$3006,B183,Transactions!$Q$8:$Q$3006)&gt;SUMIF(Transactions!$F$8:$F$3006,B183,Transactions!$R$8:$R$3006),"OWES","OVERPAID"))))</f>
        <v/>
      </c>
      <c r="I183" s="1"/>
    </row>
    <row r="184" spans="1:9" ht="18" customHeight="1" x14ac:dyDescent="0.25">
      <c r="A184" s="40">
        <v>169</v>
      </c>
      <c r="B184" s="41" t="str">
        <f t="array" ref="B184">IFERROR(IF(INDEX(Transactions!$F$8:$F$3006,MATCH(0,COUNTIF($B$11:B183,Transactions!$F$8:$F$3006),0))="","",INDEX(Transactions!$F$8:$F$3006,MATCH(0,COUNTIF($B$11:B183,Transactions!$F$8:$F$3006),0))),"")</f>
        <v/>
      </c>
      <c r="C184" s="42" t="str">
        <f>IF(B184="","",SUMIF(Transactions!$F$8:$F$3006,B184,Transactions!$H$8:$H$3006))</f>
        <v/>
      </c>
      <c r="D184" s="43" t="str">
        <f>IF(B184="","",SUMIF(Transactions!$F$8:$F$3006,B184,Transactions!$N$8:$N$3006))</f>
        <v/>
      </c>
      <c r="E184" s="44" t="str">
        <f>IF(B184="","",SUMIF(Transactions!$F$8:$F$3006,B184,Transactions!$O$8:$O$3006))</f>
        <v/>
      </c>
      <c r="F184" s="45" t="str">
        <f>IF(B184="","",SUMIF(Transactions!$F$8:$F$3006,B184,Transactions!$R$8:$R$3006))</f>
        <v/>
      </c>
      <c r="G184" s="46" t="str">
        <f>IF(B184="","",(C184+F184)-(D184+E184+SUMIF(Transactions!$F$8:$F$3006,B184,Transactions!$Q$8:$Q$3006)))</f>
        <v/>
      </c>
      <c r="H184" s="47" t="str">
        <f>IF(B184="","",IF(G184&gt;0,"OUTSTANDING",IF(G184=0,"SETTLED",IF(SUMIF(Transactions!$F$8:$F$3006,B184,Transactions!$Q$8:$Q$3006)&gt;SUMIF(Transactions!$F$8:$F$3006,B184,Transactions!$R$8:$R$3006),"OWES","OVERPAID"))))</f>
        <v/>
      </c>
      <c r="I184" s="1"/>
    </row>
    <row r="185" spans="1:9" ht="18" customHeight="1" x14ac:dyDescent="0.25">
      <c r="A185" s="48">
        <v>170</v>
      </c>
      <c r="B185" s="49" t="str">
        <f t="array" ref="B185">IFERROR(IF(INDEX(Transactions!$F$8:$F$3006,MATCH(0,COUNTIF($B$11:B184,Transactions!$F$8:$F$3006),0))="","",INDEX(Transactions!$F$8:$F$3006,MATCH(0,COUNTIF($B$11:B184,Transactions!$F$8:$F$3006),0))),"")</f>
        <v/>
      </c>
      <c r="C185" s="50" t="str">
        <f>IF(B185="","",SUMIF(Transactions!$F$8:$F$3006,B185,Transactions!$H$8:$H$3006))</f>
        <v/>
      </c>
      <c r="D185" s="51" t="str">
        <f>IF(B185="","",SUMIF(Transactions!$F$8:$F$3006,B185,Transactions!$N$8:$N$3006))</f>
        <v/>
      </c>
      <c r="E185" s="52" t="str">
        <f>IF(B185="","",SUMIF(Transactions!$F$8:$F$3006,B185,Transactions!$O$8:$O$3006))</f>
        <v/>
      </c>
      <c r="F185" s="53" t="str">
        <f>IF(B185="","",SUMIF(Transactions!$F$8:$F$3006,B185,Transactions!$R$8:$R$3006))</f>
        <v/>
      </c>
      <c r="G185" s="54" t="str">
        <f>IF(B185="","",(C185+F185)-(D185+E185+SUMIF(Transactions!$F$8:$F$3006,B185,Transactions!$Q$8:$Q$3006)))</f>
        <v/>
      </c>
      <c r="H185" s="55" t="str">
        <f>IF(B185="","",IF(G185&gt;0,"OUTSTANDING",IF(G185=0,"SETTLED",IF(SUMIF(Transactions!$F$8:$F$3006,B185,Transactions!$Q$8:$Q$3006)&gt;SUMIF(Transactions!$F$8:$F$3006,B185,Transactions!$R$8:$R$3006),"OWES","OVERPAID"))))</f>
        <v/>
      </c>
      <c r="I185" s="1"/>
    </row>
    <row r="186" spans="1:9" ht="18" customHeight="1" x14ac:dyDescent="0.25">
      <c r="A186" s="40">
        <v>171</v>
      </c>
      <c r="B186" s="41" t="str">
        <f t="array" ref="B186">IFERROR(IF(INDEX(Transactions!$F$8:$F$3006,MATCH(0,COUNTIF($B$11:B185,Transactions!$F$8:$F$3006),0))="","",INDEX(Transactions!$F$8:$F$3006,MATCH(0,COUNTIF($B$11:B185,Transactions!$F$8:$F$3006),0))),"")</f>
        <v/>
      </c>
      <c r="C186" s="42" t="str">
        <f>IF(B186="","",SUMIF(Transactions!$F$8:$F$3006,B186,Transactions!$H$8:$H$3006))</f>
        <v/>
      </c>
      <c r="D186" s="43" t="str">
        <f>IF(B186="","",SUMIF(Transactions!$F$8:$F$3006,B186,Transactions!$N$8:$N$3006))</f>
        <v/>
      </c>
      <c r="E186" s="44" t="str">
        <f>IF(B186="","",SUMIF(Transactions!$F$8:$F$3006,B186,Transactions!$O$8:$O$3006))</f>
        <v/>
      </c>
      <c r="F186" s="45" t="str">
        <f>IF(B186="","",SUMIF(Transactions!$F$8:$F$3006,B186,Transactions!$R$8:$R$3006))</f>
        <v/>
      </c>
      <c r="G186" s="46" t="str">
        <f>IF(B186="","",(C186+F186)-(D186+E186+SUMIF(Transactions!$F$8:$F$3006,B186,Transactions!$Q$8:$Q$3006)))</f>
        <v/>
      </c>
      <c r="H186" s="47" t="str">
        <f>IF(B186="","",IF(G186&gt;0,"OUTSTANDING",IF(G186=0,"SETTLED",IF(SUMIF(Transactions!$F$8:$F$3006,B186,Transactions!$Q$8:$Q$3006)&gt;SUMIF(Transactions!$F$8:$F$3006,B186,Transactions!$R$8:$R$3006),"OWES","OVERPAID"))))</f>
        <v/>
      </c>
      <c r="I186" s="1"/>
    </row>
    <row r="187" spans="1:9" ht="18" customHeight="1" x14ac:dyDescent="0.25">
      <c r="A187" s="48">
        <v>172</v>
      </c>
      <c r="B187" s="49" t="str">
        <f t="array" ref="B187">IFERROR(IF(INDEX(Transactions!$F$8:$F$3006,MATCH(0,COUNTIF($B$11:B186,Transactions!$F$8:$F$3006),0))="","",INDEX(Transactions!$F$8:$F$3006,MATCH(0,COUNTIF($B$11:B186,Transactions!$F$8:$F$3006),0))),"")</f>
        <v/>
      </c>
      <c r="C187" s="50" t="str">
        <f>IF(B187="","",SUMIF(Transactions!$F$8:$F$3006,B187,Transactions!$H$8:$H$3006))</f>
        <v/>
      </c>
      <c r="D187" s="51" t="str">
        <f>IF(B187="","",SUMIF(Transactions!$F$8:$F$3006,B187,Transactions!$N$8:$N$3006))</f>
        <v/>
      </c>
      <c r="E187" s="52" t="str">
        <f>IF(B187="","",SUMIF(Transactions!$F$8:$F$3006,B187,Transactions!$O$8:$O$3006))</f>
        <v/>
      </c>
      <c r="F187" s="53" t="str">
        <f>IF(B187="","",SUMIF(Transactions!$F$8:$F$3006,B187,Transactions!$R$8:$R$3006))</f>
        <v/>
      </c>
      <c r="G187" s="54" t="str">
        <f>IF(B187="","",(C187+F187)-(D187+E187+SUMIF(Transactions!$F$8:$F$3006,B187,Transactions!$Q$8:$Q$3006)))</f>
        <v/>
      </c>
      <c r="H187" s="55" t="str">
        <f>IF(B187="","",IF(G187&gt;0,"OUTSTANDING",IF(G187=0,"SETTLED",IF(SUMIF(Transactions!$F$8:$F$3006,B187,Transactions!$Q$8:$Q$3006)&gt;SUMIF(Transactions!$F$8:$F$3006,B187,Transactions!$R$8:$R$3006),"OWES","OVERPAID"))))</f>
        <v/>
      </c>
      <c r="I187" s="1"/>
    </row>
    <row r="188" spans="1:9" ht="18" customHeight="1" x14ac:dyDescent="0.25">
      <c r="A188" s="40">
        <v>173</v>
      </c>
      <c r="B188" s="41" t="str">
        <f t="array" ref="B188">IFERROR(IF(INDEX(Transactions!$F$8:$F$3006,MATCH(0,COUNTIF($B$11:B187,Transactions!$F$8:$F$3006),0))="","",INDEX(Transactions!$F$8:$F$3006,MATCH(0,COUNTIF($B$11:B187,Transactions!$F$8:$F$3006),0))),"")</f>
        <v/>
      </c>
      <c r="C188" s="42" t="str">
        <f>IF(B188="","",SUMIF(Transactions!$F$8:$F$3006,B188,Transactions!$H$8:$H$3006))</f>
        <v/>
      </c>
      <c r="D188" s="43" t="str">
        <f>IF(B188="","",SUMIF(Transactions!$F$8:$F$3006,B188,Transactions!$N$8:$N$3006))</f>
        <v/>
      </c>
      <c r="E188" s="44" t="str">
        <f>IF(B188="","",SUMIF(Transactions!$F$8:$F$3006,B188,Transactions!$O$8:$O$3006))</f>
        <v/>
      </c>
      <c r="F188" s="45" t="str">
        <f>IF(B188="","",SUMIF(Transactions!$F$8:$F$3006,B188,Transactions!$R$8:$R$3006))</f>
        <v/>
      </c>
      <c r="G188" s="46" t="str">
        <f>IF(B188="","",(C188+F188)-(D188+E188+SUMIF(Transactions!$F$8:$F$3006,B188,Transactions!$Q$8:$Q$3006)))</f>
        <v/>
      </c>
      <c r="H188" s="47" t="str">
        <f>IF(B188="","",IF(G188&gt;0,"OUTSTANDING",IF(G188=0,"SETTLED",IF(SUMIF(Transactions!$F$8:$F$3006,B188,Transactions!$Q$8:$Q$3006)&gt;SUMIF(Transactions!$F$8:$F$3006,B188,Transactions!$R$8:$R$3006),"OWES","OVERPAID"))))</f>
        <v/>
      </c>
      <c r="I188" s="1"/>
    </row>
    <row r="189" spans="1:9" ht="18" customHeight="1" x14ac:dyDescent="0.25">
      <c r="A189" s="48">
        <v>174</v>
      </c>
      <c r="B189" s="49" t="str">
        <f t="array" ref="B189">IFERROR(IF(INDEX(Transactions!$F$8:$F$3006,MATCH(0,COUNTIF($B$11:B188,Transactions!$F$8:$F$3006),0))="","",INDEX(Transactions!$F$8:$F$3006,MATCH(0,COUNTIF($B$11:B188,Transactions!$F$8:$F$3006),0))),"")</f>
        <v/>
      </c>
      <c r="C189" s="50" t="str">
        <f>IF(B189="","",SUMIF(Transactions!$F$8:$F$3006,B189,Transactions!$H$8:$H$3006))</f>
        <v/>
      </c>
      <c r="D189" s="51" t="str">
        <f>IF(B189="","",SUMIF(Transactions!$F$8:$F$3006,B189,Transactions!$N$8:$N$3006))</f>
        <v/>
      </c>
      <c r="E189" s="52" t="str">
        <f>IF(B189="","",SUMIF(Transactions!$F$8:$F$3006,B189,Transactions!$O$8:$O$3006))</f>
        <v/>
      </c>
      <c r="F189" s="53" t="str">
        <f>IF(B189="","",SUMIF(Transactions!$F$8:$F$3006,B189,Transactions!$R$8:$R$3006))</f>
        <v/>
      </c>
      <c r="G189" s="54" t="str">
        <f>IF(B189="","",(C189+F189)-(D189+E189+SUMIF(Transactions!$F$8:$F$3006,B189,Transactions!$Q$8:$Q$3006)))</f>
        <v/>
      </c>
      <c r="H189" s="55" t="str">
        <f>IF(B189="","",IF(G189&gt;0,"OUTSTANDING",IF(G189=0,"SETTLED",IF(SUMIF(Transactions!$F$8:$F$3006,B189,Transactions!$Q$8:$Q$3006)&gt;SUMIF(Transactions!$F$8:$F$3006,B189,Transactions!$R$8:$R$3006),"OWES","OVERPAID"))))</f>
        <v/>
      </c>
      <c r="I189" s="1"/>
    </row>
    <row r="190" spans="1:9" ht="18" customHeight="1" x14ac:dyDescent="0.25">
      <c r="A190" s="40">
        <v>175</v>
      </c>
      <c r="B190" s="41" t="str">
        <f t="array" ref="B190">IFERROR(IF(INDEX(Transactions!$F$8:$F$3006,MATCH(0,COUNTIF($B$11:B189,Transactions!$F$8:$F$3006),0))="","",INDEX(Transactions!$F$8:$F$3006,MATCH(0,COUNTIF($B$11:B189,Transactions!$F$8:$F$3006),0))),"")</f>
        <v/>
      </c>
      <c r="C190" s="42" t="str">
        <f>IF(B190="","",SUMIF(Transactions!$F$8:$F$3006,B190,Transactions!$H$8:$H$3006))</f>
        <v/>
      </c>
      <c r="D190" s="43" t="str">
        <f>IF(B190="","",SUMIF(Transactions!$F$8:$F$3006,B190,Transactions!$N$8:$N$3006))</f>
        <v/>
      </c>
      <c r="E190" s="44" t="str">
        <f>IF(B190="","",SUMIF(Transactions!$F$8:$F$3006,B190,Transactions!$O$8:$O$3006))</f>
        <v/>
      </c>
      <c r="F190" s="45" t="str">
        <f>IF(B190="","",SUMIF(Transactions!$F$8:$F$3006,B190,Transactions!$R$8:$R$3006))</f>
        <v/>
      </c>
      <c r="G190" s="46" t="str">
        <f>IF(B190="","",(C190+F190)-(D190+E190+SUMIF(Transactions!$F$8:$F$3006,B190,Transactions!$Q$8:$Q$3006)))</f>
        <v/>
      </c>
      <c r="H190" s="47" t="str">
        <f>IF(B190="","",IF(G190&gt;0,"OUTSTANDING",IF(G190=0,"SETTLED",IF(SUMIF(Transactions!$F$8:$F$3006,B190,Transactions!$Q$8:$Q$3006)&gt;SUMIF(Transactions!$F$8:$F$3006,B190,Transactions!$R$8:$R$3006),"OWES","OVERPAID"))))</f>
        <v/>
      </c>
      <c r="I190" s="1"/>
    </row>
    <row r="191" spans="1:9" ht="18" customHeight="1" x14ac:dyDescent="0.25">
      <c r="A191" s="48">
        <v>176</v>
      </c>
      <c r="B191" s="49" t="str">
        <f t="array" ref="B191">IFERROR(IF(INDEX(Transactions!$F$8:$F$3006,MATCH(0,COUNTIF($B$11:B190,Transactions!$F$8:$F$3006),0))="","",INDEX(Transactions!$F$8:$F$3006,MATCH(0,COUNTIF($B$11:B190,Transactions!$F$8:$F$3006),0))),"")</f>
        <v/>
      </c>
      <c r="C191" s="50" t="str">
        <f>IF(B191="","",SUMIF(Transactions!$F$8:$F$3006,B191,Transactions!$H$8:$H$3006))</f>
        <v/>
      </c>
      <c r="D191" s="51" t="str">
        <f>IF(B191="","",SUMIF(Transactions!$F$8:$F$3006,B191,Transactions!$N$8:$N$3006))</f>
        <v/>
      </c>
      <c r="E191" s="52" t="str">
        <f>IF(B191="","",SUMIF(Transactions!$F$8:$F$3006,B191,Transactions!$O$8:$O$3006))</f>
        <v/>
      </c>
      <c r="F191" s="53" t="str">
        <f>IF(B191="","",SUMIF(Transactions!$F$8:$F$3006,B191,Transactions!$R$8:$R$3006))</f>
        <v/>
      </c>
      <c r="G191" s="54" t="str">
        <f>IF(B191="","",(C191+F191)-(D191+E191+SUMIF(Transactions!$F$8:$F$3006,B191,Transactions!$Q$8:$Q$3006)))</f>
        <v/>
      </c>
      <c r="H191" s="55" t="str">
        <f>IF(B191="","",IF(G191&gt;0,"OUTSTANDING",IF(G191=0,"SETTLED",IF(SUMIF(Transactions!$F$8:$F$3006,B191,Transactions!$Q$8:$Q$3006)&gt;SUMIF(Transactions!$F$8:$F$3006,B191,Transactions!$R$8:$R$3006),"OWES","OVERPAID"))))</f>
        <v/>
      </c>
      <c r="I191" s="1"/>
    </row>
    <row r="192" spans="1:9" ht="18" customHeight="1" x14ac:dyDescent="0.25">
      <c r="A192" s="40">
        <v>177</v>
      </c>
      <c r="B192" s="41" t="str">
        <f t="array" ref="B192">IFERROR(IF(INDEX(Transactions!$F$8:$F$3006,MATCH(0,COUNTIF($B$11:B191,Transactions!$F$8:$F$3006),0))="","",INDEX(Transactions!$F$8:$F$3006,MATCH(0,COUNTIF($B$11:B191,Transactions!$F$8:$F$3006),0))),"")</f>
        <v/>
      </c>
      <c r="C192" s="42" t="str">
        <f>IF(B192="","",SUMIF(Transactions!$F$8:$F$3006,B192,Transactions!$H$8:$H$3006))</f>
        <v/>
      </c>
      <c r="D192" s="43" t="str">
        <f>IF(B192="","",SUMIF(Transactions!$F$8:$F$3006,B192,Transactions!$N$8:$N$3006))</f>
        <v/>
      </c>
      <c r="E192" s="44" t="str">
        <f>IF(B192="","",SUMIF(Transactions!$F$8:$F$3006,B192,Transactions!$O$8:$O$3006))</f>
        <v/>
      </c>
      <c r="F192" s="45" t="str">
        <f>IF(B192="","",SUMIF(Transactions!$F$8:$F$3006,B192,Transactions!$R$8:$R$3006))</f>
        <v/>
      </c>
      <c r="G192" s="46" t="str">
        <f>IF(B192="","",(C192+F192)-(D192+E192+SUMIF(Transactions!$F$8:$F$3006,B192,Transactions!$Q$8:$Q$3006)))</f>
        <v/>
      </c>
      <c r="H192" s="47" t="str">
        <f>IF(B192="","",IF(G192&gt;0,"OUTSTANDING",IF(G192=0,"SETTLED",IF(SUMIF(Transactions!$F$8:$F$3006,B192,Transactions!$Q$8:$Q$3006)&gt;SUMIF(Transactions!$F$8:$F$3006,B192,Transactions!$R$8:$R$3006),"OWES","OVERPAID"))))</f>
        <v/>
      </c>
      <c r="I192" s="1"/>
    </row>
    <row r="193" spans="1:9" ht="18" customHeight="1" x14ac:dyDescent="0.25">
      <c r="A193" s="48">
        <v>178</v>
      </c>
      <c r="B193" s="49" t="str">
        <f t="array" ref="B193">IFERROR(IF(INDEX(Transactions!$F$8:$F$3006,MATCH(0,COUNTIF($B$11:B192,Transactions!$F$8:$F$3006),0))="","",INDEX(Transactions!$F$8:$F$3006,MATCH(0,COUNTIF($B$11:B192,Transactions!$F$8:$F$3006),0))),"")</f>
        <v/>
      </c>
      <c r="C193" s="50" t="str">
        <f>IF(B193="","",SUMIF(Transactions!$F$8:$F$3006,B193,Transactions!$H$8:$H$3006))</f>
        <v/>
      </c>
      <c r="D193" s="51" t="str">
        <f>IF(B193="","",SUMIF(Transactions!$F$8:$F$3006,B193,Transactions!$N$8:$N$3006))</f>
        <v/>
      </c>
      <c r="E193" s="52" t="str">
        <f>IF(B193="","",SUMIF(Transactions!$F$8:$F$3006,B193,Transactions!$O$8:$O$3006))</f>
        <v/>
      </c>
      <c r="F193" s="53" t="str">
        <f>IF(B193="","",SUMIF(Transactions!$F$8:$F$3006,B193,Transactions!$R$8:$R$3006))</f>
        <v/>
      </c>
      <c r="G193" s="54" t="str">
        <f>IF(B193="","",(C193+F193)-(D193+E193+SUMIF(Transactions!$F$8:$F$3006,B193,Transactions!$Q$8:$Q$3006)))</f>
        <v/>
      </c>
      <c r="H193" s="55" t="str">
        <f>IF(B193="","",IF(G193&gt;0,"OUTSTANDING",IF(G193=0,"SETTLED",IF(SUMIF(Transactions!$F$8:$F$3006,B193,Transactions!$Q$8:$Q$3006)&gt;SUMIF(Transactions!$F$8:$F$3006,B193,Transactions!$R$8:$R$3006),"OWES","OVERPAID"))))</f>
        <v/>
      </c>
      <c r="I193" s="1"/>
    </row>
    <row r="194" spans="1:9" ht="18" customHeight="1" x14ac:dyDescent="0.25">
      <c r="A194" s="40">
        <v>179</v>
      </c>
      <c r="B194" s="41" t="str">
        <f t="array" ref="B194">IFERROR(IF(INDEX(Transactions!$F$8:$F$3006,MATCH(0,COUNTIF($B$11:B193,Transactions!$F$8:$F$3006),0))="","",INDEX(Transactions!$F$8:$F$3006,MATCH(0,COUNTIF($B$11:B193,Transactions!$F$8:$F$3006),0))),"")</f>
        <v/>
      </c>
      <c r="C194" s="42" t="str">
        <f>IF(B194="","",SUMIF(Transactions!$F$8:$F$3006,B194,Transactions!$H$8:$H$3006))</f>
        <v/>
      </c>
      <c r="D194" s="43" t="str">
        <f>IF(B194="","",SUMIF(Transactions!$F$8:$F$3006,B194,Transactions!$N$8:$N$3006))</f>
        <v/>
      </c>
      <c r="E194" s="44" t="str">
        <f>IF(B194="","",SUMIF(Transactions!$F$8:$F$3006,B194,Transactions!$O$8:$O$3006))</f>
        <v/>
      </c>
      <c r="F194" s="45" t="str">
        <f>IF(B194="","",SUMIF(Transactions!$F$8:$F$3006,B194,Transactions!$R$8:$R$3006))</f>
        <v/>
      </c>
      <c r="G194" s="46" t="str">
        <f>IF(B194="","",(C194+F194)-(D194+E194+SUMIF(Transactions!$F$8:$F$3006,B194,Transactions!$Q$8:$Q$3006)))</f>
        <v/>
      </c>
      <c r="H194" s="47" t="str">
        <f>IF(B194="","",IF(G194&gt;0,"OUTSTANDING",IF(G194=0,"SETTLED",IF(SUMIF(Transactions!$F$8:$F$3006,B194,Transactions!$Q$8:$Q$3006)&gt;SUMIF(Transactions!$F$8:$F$3006,B194,Transactions!$R$8:$R$3006),"OWES","OVERPAID"))))</f>
        <v/>
      </c>
      <c r="I194" s="1"/>
    </row>
    <row r="195" spans="1:9" ht="18" customHeight="1" x14ac:dyDescent="0.25">
      <c r="A195" s="48">
        <v>180</v>
      </c>
      <c r="B195" s="49" t="str">
        <f t="array" ref="B195">IFERROR(IF(INDEX(Transactions!$F$8:$F$3006,MATCH(0,COUNTIF($B$11:B194,Transactions!$F$8:$F$3006),0))="","",INDEX(Transactions!$F$8:$F$3006,MATCH(0,COUNTIF($B$11:B194,Transactions!$F$8:$F$3006),0))),"")</f>
        <v/>
      </c>
      <c r="C195" s="50" t="str">
        <f>IF(B195="","",SUMIF(Transactions!$F$8:$F$3006,B195,Transactions!$H$8:$H$3006))</f>
        <v/>
      </c>
      <c r="D195" s="51" t="str">
        <f>IF(B195="","",SUMIF(Transactions!$F$8:$F$3006,B195,Transactions!$N$8:$N$3006))</f>
        <v/>
      </c>
      <c r="E195" s="52" t="str">
        <f>IF(B195="","",SUMIF(Transactions!$F$8:$F$3006,B195,Transactions!$O$8:$O$3006))</f>
        <v/>
      </c>
      <c r="F195" s="53" t="str">
        <f>IF(B195="","",SUMIF(Transactions!$F$8:$F$3006,B195,Transactions!$R$8:$R$3006))</f>
        <v/>
      </c>
      <c r="G195" s="54" t="str">
        <f>IF(B195="","",(C195+F195)-(D195+E195+SUMIF(Transactions!$F$8:$F$3006,B195,Transactions!$Q$8:$Q$3006)))</f>
        <v/>
      </c>
      <c r="H195" s="55" t="str">
        <f>IF(B195="","",IF(G195&gt;0,"OUTSTANDING",IF(G195=0,"SETTLED",IF(SUMIF(Transactions!$F$8:$F$3006,B195,Transactions!$Q$8:$Q$3006)&gt;SUMIF(Transactions!$F$8:$F$3006,B195,Transactions!$R$8:$R$3006),"OWES","OVERPAID"))))</f>
        <v/>
      </c>
      <c r="I195" s="1"/>
    </row>
    <row r="196" spans="1:9" ht="18" customHeight="1" x14ac:dyDescent="0.25">
      <c r="A196" s="40">
        <v>181</v>
      </c>
      <c r="B196" s="41" t="str">
        <f t="array" ref="B196">IFERROR(IF(INDEX(Transactions!$F$8:$F$3006,MATCH(0,COUNTIF($B$11:B195,Transactions!$F$8:$F$3006),0))="","",INDEX(Transactions!$F$8:$F$3006,MATCH(0,COUNTIF($B$11:B195,Transactions!$F$8:$F$3006),0))),"")</f>
        <v/>
      </c>
      <c r="C196" s="42" t="str">
        <f>IF(B196="","",SUMIF(Transactions!$F$8:$F$3006,B196,Transactions!$H$8:$H$3006))</f>
        <v/>
      </c>
      <c r="D196" s="43" t="str">
        <f>IF(B196="","",SUMIF(Transactions!$F$8:$F$3006,B196,Transactions!$N$8:$N$3006))</f>
        <v/>
      </c>
      <c r="E196" s="44" t="str">
        <f>IF(B196="","",SUMIF(Transactions!$F$8:$F$3006,B196,Transactions!$O$8:$O$3006))</f>
        <v/>
      </c>
      <c r="F196" s="45" t="str">
        <f>IF(B196="","",SUMIF(Transactions!$F$8:$F$3006,B196,Transactions!$R$8:$R$3006))</f>
        <v/>
      </c>
      <c r="G196" s="46" t="str">
        <f>IF(B196="","",(C196+F196)-(D196+E196+SUMIF(Transactions!$F$8:$F$3006,B196,Transactions!$Q$8:$Q$3006)))</f>
        <v/>
      </c>
      <c r="H196" s="47" t="str">
        <f>IF(B196="","",IF(G196&gt;0,"OUTSTANDING",IF(G196=0,"SETTLED",IF(SUMIF(Transactions!$F$8:$F$3006,B196,Transactions!$Q$8:$Q$3006)&gt;SUMIF(Transactions!$F$8:$F$3006,B196,Transactions!$R$8:$R$3006),"OWES","OVERPAID"))))</f>
        <v/>
      </c>
      <c r="I196" s="1"/>
    </row>
    <row r="197" spans="1:9" ht="18" customHeight="1" x14ac:dyDescent="0.25">
      <c r="A197" s="48">
        <v>182</v>
      </c>
      <c r="B197" s="49" t="str">
        <f t="array" ref="B197">IFERROR(IF(INDEX(Transactions!$F$8:$F$3006,MATCH(0,COUNTIF($B$11:B196,Transactions!$F$8:$F$3006),0))="","",INDEX(Transactions!$F$8:$F$3006,MATCH(0,COUNTIF($B$11:B196,Transactions!$F$8:$F$3006),0))),"")</f>
        <v/>
      </c>
      <c r="C197" s="50" t="str">
        <f>IF(B197="","",SUMIF(Transactions!$F$8:$F$3006,B197,Transactions!$H$8:$H$3006))</f>
        <v/>
      </c>
      <c r="D197" s="51" t="str">
        <f>IF(B197="","",SUMIF(Transactions!$F$8:$F$3006,B197,Transactions!$N$8:$N$3006))</f>
        <v/>
      </c>
      <c r="E197" s="52" t="str">
        <f>IF(B197="","",SUMIF(Transactions!$F$8:$F$3006,B197,Transactions!$O$8:$O$3006))</f>
        <v/>
      </c>
      <c r="F197" s="53" t="str">
        <f>IF(B197="","",SUMIF(Transactions!$F$8:$F$3006,B197,Transactions!$R$8:$R$3006))</f>
        <v/>
      </c>
      <c r="G197" s="54" t="str">
        <f>IF(B197="","",(C197+F197)-(D197+E197+SUMIF(Transactions!$F$8:$F$3006,B197,Transactions!$Q$8:$Q$3006)))</f>
        <v/>
      </c>
      <c r="H197" s="55" t="str">
        <f>IF(B197="","",IF(G197&gt;0,"OUTSTANDING",IF(G197=0,"SETTLED",IF(SUMIF(Transactions!$F$8:$F$3006,B197,Transactions!$Q$8:$Q$3006)&gt;SUMIF(Transactions!$F$8:$F$3006,B197,Transactions!$R$8:$R$3006),"OWES","OVERPAID"))))</f>
        <v/>
      </c>
      <c r="I197" s="1"/>
    </row>
    <row r="198" spans="1:9" ht="18" customHeight="1" x14ac:dyDescent="0.25">
      <c r="A198" s="40">
        <v>183</v>
      </c>
      <c r="B198" s="41" t="str">
        <f t="array" ref="B198">IFERROR(IF(INDEX(Transactions!$F$8:$F$3006,MATCH(0,COUNTIF($B$11:B197,Transactions!$F$8:$F$3006),0))="","",INDEX(Transactions!$F$8:$F$3006,MATCH(0,COUNTIF($B$11:B197,Transactions!$F$8:$F$3006),0))),"")</f>
        <v/>
      </c>
      <c r="C198" s="42" t="str">
        <f>IF(B198="","",SUMIF(Transactions!$F$8:$F$3006,B198,Transactions!$H$8:$H$3006))</f>
        <v/>
      </c>
      <c r="D198" s="43" t="str">
        <f>IF(B198="","",SUMIF(Transactions!$F$8:$F$3006,B198,Transactions!$N$8:$N$3006))</f>
        <v/>
      </c>
      <c r="E198" s="44" t="str">
        <f>IF(B198="","",SUMIF(Transactions!$F$8:$F$3006,B198,Transactions!$O$8:$O$3006))</f>
        <v/>
      </c>
      <c r="F198" s="45" t="str">
        <f>IF(B198="","",SUMIF(Transactions!$F$8:$F$3006,B198,Transactions!$R$8:$R$3006))</f>
        <v/>
      </c>
      <c r="G198" s="46" t="str">
        <f>IF(B198="","",(C198+F198)-(D198+E198+SUMIF(Transactions!$F$8:$F$3006,B198,Transactions!$Q$8:$Q$3006)))</f>
        <v/>
      </c>
      <c r="H198" s="47" t="str">
        <f>IF(B198="","",IF(G198&gt;0,"OUTSTANDING",IF(G198=0,"SETTLED",IF(SUMIF(Transactions!$F$8:$F$3006,B198,Transactions!$Q$8:$Q$3006)&gt;SUMIF(Transactions!$F$8:$F$3006,B198,Transactions!$R$8:$R$3006),"OWES","OVERPAID"))))</f>
        <v/>
      </c>
      <c r="I198" s="1"/>
    </row>
    <row r="199" spans="1:9" ht="18" customHeight="1" x14ac:dyDescent="0.25">
      <c r="A199" s="48">
        <v>184</v>
      </c>
      <c r="B199" s="49" t="str">
        <f t="array" ref="B199">IFERROR(IF(INDEX(Transactions!$F$8:$F$3006,MATCH(0,COUNTIF($B$11:B198,Transactions!$F$8:$F$3006),0))="","",INDEX(Transactions!$F$8:$F$3006,MATCH(0,COUNTIF($B$11:B198,Transactions!$F$8:$F$3006),0))),"")</f>
        <v/>
      </c>
      <c r="C199" s="50" t="str">
        <f>IF(B199="","",SUMIF(Transactions!$F$8:$F$3006,B199,Transactions!$H$8:$H$3006))</f>
        <v/>
      </c>
      <c r="D199" s="51" t="str">
        <f>IF(B199="","",SUMIF(Transactions!$F$8:$F$3006,B199,Transactions!$N$8:$N$3006))</f>
        <v/>
      </c>
      <c r="E199" s="52" t="str">
        <f>IF(B199="","",SUMIF(Transactions!$F$8:$F$3006,B199,Transactions!$O$8:$O$3006))</f>
        <v/>
      </c>
      <c r="F199" s="53" t="str">
        <f>IF(B199="","",SUMIF(Transactions!$F$8:$F$3006,B199,Transactions!$R$8:$R$3006))</f>
        <v/>
      </c>
      <c r="G199" s="54" t="str">
        <f>IF(B199="","",(C199+F199)-(D199+E199+SUMIF(Transactions!$F$8:$F$3006,B199,Transactions!$Q$8:$Q$3006)))</f>
        <v/>
      </c>
      <c r="H199" s="55" t="str">
        <f>IF(B199="","",IF(G199&gt;0,"OUTSTANDING",IF(G199=0,"SETTLED",IF(SUMIF(Transactions!$F$8:$F$3006,B199,Transactions!$Q$8:$Q$3006)&gt;SUMIF(Transactions!$F$8:$F$3006,B199,Transactions!$R$8:$R$3006),"OWES","OVERPAID"))))</f>
        <v/>
      </c>
      <c r="I199" s="1"/>
    </row>
    <row r="200" spans="1:9" ht="18" customHeight="1" x14ac:dyDescent="0.25">
      <c r="A200" s="40">
        <v>185</v>
      </c>
      <c r="B200" s="41" t="str">
        <f t="array" ref="B200">IFERROR(IF(INDEX(Transactions!$F$8:$F$3006,MATCH(0,COUNTIF($B$11:B199,Transactions!$F$8:$F$3006),0))="","",INDEX(Transactions!$F$8:$F$3006,MATCH(0,COUNTIF($B$11:B199,Transactions!$F$8:$F$3006),0))),"")</f>
        <v/>
      </c>
      <c r="C200" s="42" t="str">
        <f>IF(B200="","",SUMIF(Transactions!$F$8:$F$3006,B200,Transactions!$H$8:$H$3006))</f>
        <v/>
      </c>
      <c r="D200" s="43" t="str">
        <f>IF(B200="","",SUMIF(Transactions!$F$8:$F$3006,B200,Transactions!$N$8:$N$3006))</f>
        <v/>
      </c>
      <c r="E200" s="44" t="str">
        <f>IF(B200="","",SUMIF(Transactions!$F$8:$F$3006,B200,Transactions!$O$8:$O$3006))</f>
        <v/>
      </c>
      <c r="F200" s="45" t="str">
        <f>IF(B200="","",SUMIF(Transactions!$F$8:$F$3006,B200,Transactions!$R$8:$R$3006))</f>
        <v/>
      </c>
      <c r="G200" s="46" t="str">
        <f>IF(B200="","",(C200+F200)-(D200+E200+SUMIF(Transactions!$F$8:$F$3006,B200,Transactions!$Q$8:$Q$3006)))</f>
        <v/>
      </c>
      <c r="H200" s="47" t="str">
        <f>IF(B200="","",IF(G200&gt;0,"OUTSTANDING",IF(G200=0,"SETTLED",IF(SUMIF(Transactions!$F$8:$F$3006,B200,Transactions!$Q$8:$Q$3006)&gt;SUMIF(Transactions!$F$8:$F$3006,B200,Transactions!$R$8:$R$3006),"OWES","OVERPAID"))))</f>
        <v/>
      </c>
      <c r="I200" s="1"/>
    </row>
    <row r="201" spans="1:9" ht="18" customHeight="1" x14ac:dyDescent="0.25">
      <c r="A201" s="48">
        <v>186</v>
      </c>
      <c r="B201" s="49" t="str">
        <f t="array" ref="B201">IFERROR(IF(INDEX(Transactions!$F$8:$F$3006,MATCH(0,COUNTIF($B$11:B200,Transactions!$F$8:$F$3006),0))="","",INDEX(Transactions!$F$8:$F$3006,MATCH(0,COUNTIF($B$11:B200,Transactions!$F$8:$F$3006),0))),"")</f>
        <v/>
      </c>
      <c r="C201" s="50" t="str">
        <f>IF(B201="","",SUMIF(Transactions!$F$8:$F$3006,B201,Transactions!$H$8:$H$3006))</f>
        <v/>
      </c>
      <c r="D201" s="51" t="str">
        <f>IF(B201="","",SUMIF(Transactions!$F$8:$F$3006,B201,Transactions!$N$8:$N$3006))</f>
        <v/>
      </c>
      <c r="E201" s="52" t="str">
        <f>IF(B201="","",SUMIF(Transactions!$F$8:$F$3006,B201,Transactions!$O$8:$O$3006))</f>
        <v/>
      </c>
      <c r="F201" s="53" t="str">
        <f>IF(B201="","",SUMIF(Transactions!$F$8:$F$3006,B201,Transactions!$R$8:$R$3006))</f>
        <v/>
      </c>
      <c r="G201" s="54" t="str">
        <f>IF(B201="","",(C201+F201)-(D201+E201+SUMIF(Transactions!$F$8:$F$3006,B201,Transactions!$Q$8:$Q$3006)))</f>
        <v/>
      </c>
      <c r="H201" s="55" t="str">
        <f>IF(B201="","",IF(G201&gt;0,"OUTSTANDING",IF(G201=0,"SETTLED",IF(SUMIF(Transactions!$F$8:$F$3006,B201,Transactions!$Q$8:$Q$3006)&gt;SUMIF(Transactions!$F$8:$F$3006,B201,Transactions!$R$8:$R$3006),"OWES","OVERPAID"))))</f>
        <v/>
      </c>
      <c r="I201" s="1"/>
    </row>
    <row r="202" spans="1:9" ht="18" customHeight="1" x14ac:dyDescent="0.25">
      <c r="A202" s="40">
        <v>187</v>
      </c>
      <c r="B202" s="41" t="str">
        <f t="array" ref="B202">IFERROR(IF(INDEX(Transactions!$F$8:$F$3006,MATCH(0,COUNTIF($B$11:B201,Transactions!$F$8:$F$3006),0))="","",INDEX(Transactions!$F$8:$F$3006,MATCH(0,COUNTIF($B$11:B201,Transactions!$F$8:$F$3006),0))),"")</f>
        <v/>
      </c>
      <c r="C202" s="42" t="str">
        <f>IF(B202="","",SUMIF(Transactions!$F$8:$F$3006,B202,Transactions!$H$8:$H$3006))</f>
        <v/>
      </c>
      <c r="D202" s="43" t="str">
        <f>IF(B202="","",SUMIF(Transactions!$F$8:$F$3006,B202,Transactions!$N$8:$N$3006))</f>
        <v/>
      </c>
      <c r="E202" s="44" t="str">
        <f>IF(B202="","",SUMIF(Transactions!$F$8:$F$3006,B202,Transactions!$O$8:$O$3006))</f>
        <v/>
      </c>
      <c r="F202" s="45" t="str">
        <f>IF(B202="","",SUMIF(Transactions!$F$8:$F$3006,B202,Transactions!$R$8:$R$3006))</f>
        <v/>
      </c>
      <c r="G202" s="46" t="str">
        <f>IF(B202="","",(C202+F202)-(D202+E202+SUMIF(Transactions!$F$8:$F$3006,B202,Transactions!$Q$8:$Q$3006)))</f>
        <v/>
      </c>
      <c r="H202" s="47" t="str">
        <f>IF(B202="","",IF(G202&gt;0,"OUTSTANDING",IF(G202=0,"SETTLED",IF(SUMIF(Transactions!$F$8:$F$3006,B202,Transactions!$Q$8:$Q$3006)&gt;SUMIF(Transactions!$F$8:$F$3006,B202,Transactions!$R$8:$R$3006),"OWES","OVERPAID"))))</f>
        <v/>
      </c>
      <c r="I202" s="1"/>
    </row>
    <row r="203" spans="1:9" ht="18" customHeight="1" x14ac:dyDescent="0.25">
      <c r="A203" s="48">
        <v>188</v>
      </c>
      <c r="B203" s="49" t="str">
        <f t="array" ref="B203">IFERROR(IF(INDEX(Transactions!$F$8:$F$3006,MATCH(0,COUNTIF($B$11:B202,Transactions!$F$8:$F$3006),0))="","",INDEX(Transactions!$F$8:$F$3006,MATCH(0,COUNTIF($B$11:B202,Transactions!$F$8:$F$3006),0))),"")</f>
        <v/>
      </c>
      <c r="C203" s="50" t="str">
        <f>IF(B203="","",SUMIF(Transactions!$F$8:$F$3006,B203,Transactions!$H$8:$H$3006))</f>
        <v/>
      </c>
      <c r="D203" s="51" t="str">
        <f>IF(B203="","",SUMIF(Transactions!$F$8:$F$3006,B203,Transactions!$N$8:$N$3006))</f>
        <v/>
      </c>
      <c r="E203" s="52" t="str">
        <f>IF(B203="","",SUMIF(Transactions!$F$8:$F$3006,B203,Transactions!$O$8:$O$3006))</f>
        <v/>
      </c>
      <c r="F203" s="53" t="str">
        <f>IF(B203="","",SUMIF(Transactions!$F$8:$F$3006,B203,Transactions!$R$8:$R$3006))</f>
        <v/>
      </c>
      <c r="G203" s="54" t="str">
        <f>IF(B203="","",(C203+F203)-(D203+E203+SUMIF(Transactions!$F$8:$F$3006,B203,Transactions!$Q$8:$Q$3006)))</f>
        <v/>
      </c>
      <c r="H203" s="55" t="str">
        <f>IF(B203="","",IF(G203&gt;0,"OUTSTANDING",IF(G203=0,"SETTLED",IF(SUMIF(Transactions!$F$8:$F$3006,B203,Transactions!$Q$8:$Q$3006)&gt;SUMIF(Transactions!$F$8:$F$3006,B203,Transactions!$R$8:$R$3006),"OWES","OVERPAID"))))</f>
        <v/>
      </c>
      <c r="I203" s="1"/>
    </row>
    <row r="204" spans="1:9" ht="18" customHeight="1" x14ac:dyDescent="0.25">
      <c r="A204" s="40">
        <v>189</v>
      </c>
      <c r="B204" s="41" t="str">
        <f t="array" ref="B204">IFERROR(IF(INDEX(Transactions!$F$8:$F$3006,MATCH(0,COUNTIF($B$11:B203,Transactions!$F$8:$F$3006),0))="","",INDEX(Transactions!$F$8:$F$3006,MATCH(0,COUNTIF($B$11:B203,Transactions!$F$8:$F$3006),0))),"")</f>
        <v/>
      </c>
      <c r="C204" s="42" t="str">
        <f>IF(B204="","",SUMIF(Transactions!$F$8:$F$3006,B204,Transactions!$H$8:$H$3006))</f>
        <v/>
      </c>
      <c r="D204" s="43" t="str">
        <f>IF(B204="","",SUMIF(Transactions!$F$8:$F$3006,B204,Transactions!$N$8:$N$3006))</f>
        <v/>
      </c>
      <c r="E204" s="44" t="str">
        <f>IF(B204="","",SUMIF(Transactions!$F$8:$F$3006,B204,Transactions!$O$8:$O$3006))</f>
        <v/>
      </c>
      <c r="F204" s="45" t="str">
        <f>IF(B204="","",SUMIF(Transactions!$F$8:$F$3006,B204,Transactions!$R$8:$R$3006))</f>
        <v/>
      </c>
      <c r="G204" s="46" t="str">
        <f>IF(B204="","",(C204+F204)-(D204+E204+SUMIF(Transactions!$F$8:$F$3006,B204,Transactions!$Q$8:$Q$3006)))</f>
        <v/>
      </c>
      <c r="H204" s="47" t="str">
        <f>IF(B204="","",IF(G204&gt;0,"OUTSTANDING",IF(G204=0,"SETTLED",IF(SUMIF(Transactions!$F$8:$F$3006,B204,Transactions!$Q$8:$Q$3006)&gt;SUMIF(Transactions!$F$8:$F$3006,B204,Transactions!$R$8:$R$3006),"OWES","OVERPAID"))))</f>
        <v/>
      </c>
      <c r="I204" s="1"/>
    </row>
    <row r="205" spans="1:9" ht="18" customHeight="1" x14ac:dyDescent="0.25">
      <c r="A205" s="48">
        <v>190</v>
      </c>
      <c r="B205" s="49" t="str">
        <f t="array" ref="B205">IFERROR(IF(INDEX(Transactions!$F$8:$F$3006,MATCH(0,COUNTIF($B$11:B204,Transactions!$F$8:$F$3006),0))="","",INDEX(Transactions!$F$8:$F$3006,MATCH(0,COUNTIF($B$11:B204,Transactions!$F$8:$F$3006),0))),"")</f>
        <v/>
      </c>
      <c r="C205" s="50" t="str">
        <f>IF(B205="","",SUMIF(Transactions!$F$8:$F$3006,B205,Transactions!$H$8:$H$3006))</f>
        <v/>
      </c>
      <c r="D205" s="51" t="str">
        <f>IF(B205="","",SUMIF(Transactions!$F$8:$F$3006,B205,Transactions!$N$8:$N$3006))</f>
        <v/>
      </c>
      <c r="E205" s="52" t="str">
        <f>IF(B205="","",SUMIF(Transactions!$F$8:$F$3006,B205,Transactions!$O$8:$O$3006))</f>
        <v/>
      </c>
      <c r="F205" s="53" t="str">
        <f>IF(B205="","",SUMIF(Transactions!$F$8:$F$3006,B205,Transactions!$R$8:$R$3006))</f>
        <v/>
      </c>
      <c r="G205" s="54" t="str">
        <f>IF(B205="","",(C205+F205)-(D205+E205+SUMIF(Transactions!$F$8:$F$3006,B205,Transactions!$Q$8:$Q$3006)))</f>
        <v/>
      </c>
      <c r="H205" s="55" t="str">
        <f>IF(B205="","",IF(G205&gt;0,"OUTSTANDING",IF(G205=0,"SETTLED",IF(SUMIF(Transactions!$F$8:$F$3006,B205,Transactions!$Q$8:$Q$3006)&gt;SUMIF(Transactions!$F$8:$F$3006,B205,Transactions!$R$8:$R$3006),"OWES","OVERPAID"))))</f>
        <v/>
      </c>
      <c r="I205" s="1"/>
    </row>
    <row r="206" spans="1:9" ht="18" customHeight="1" x14ac:dyDescent="0.25">
      <c r="A206" s="40">
        <v>191</v>
      </c>
      <c r="B206" s="41" t="str">
        <f t="array" ref="B206">IFERROR(IF(INDEX(Transactions!$F$8:$F$3006,MATCH(0,COUNTIF($B$11:B205,Transactions!$F$8:$F$3006),0))="","",INDEX(Transactions!$F$8:$F$3006,MATCH(0,COUNTIF($B$11:B205,Transactions!$F$8:$F$3006),0))),"")</f>
        <v/>
      </c>
      <c r="C206" s="42" t="str">
        <f>IF(B206="","",SUMIF(Transactions!$F$8:$F$3006,B206,Transactions!$H$8:$H$3006))</f>
        <v/>
      </c>
      <c r="D206" s="43" t="str">
        <f>IF(B206="","",SUMIF(Transactions!$F$8:$F$3006,B206,Transactions!$N$8:$N$3006))</f>
        <v/>
      </c>
      <c r="E206" s="44" t="str">
        <f>IF(B206="","",SUMIF(Transactions!$F$8:$F$3006,B206,Transactions!$O$8:$O$3006))</f>
        <v/>
      </c>
      <c r="F206" s="45" t="str">
        <f>IF(B206="","",SUMIF(Transactions!$F$8:$F$3006,B206,Transactions!$R$8:$R$3006))</f>
        <v/>
      </c>
      <c r="G206" s="46" t="str">
        <f>IF(B206="","",(C206+F206)-(D206+E206+SUMIF(Transactions!$F$8:$F$3006,B206,Transactions!$Q$8:$Q$3006)))</f>
        <v/>
      </c>
      <c r="H206" s="47" t="str">
        <f>IF(B206="","",IF(G206&gt;0,"OUTSTANDING",IF(G206=0,"SETTLED",IF(SUMIF(Transactions!$F$8:$F$3006,B206,Transactions!$Q$8:$Q$3006)&gt;SUMIF(Transactions!$F$8:$F$3006,B206,Transactions!$R$8:$R$3006),"OWES","OVERPAID"))))</f>
        <v/>
      </c>
      <c r="I206" s="1"/>
    </row>
    <row r="207" spans="1:9" ht="18" customHeight="1" x14ac:dyDescent="0.25">
      <c r="A207" s="48">
        <v>192</v>
      </c>
      <c r="B207" s="49" t="str">
        <f t="array" ref="B207">IFERROR(IF(INDEX(Transactions!$F$8:$F$3006,MATCH(0,COUNTIF($B$11:B206,Transactions!$F$8:$F$3006),0))="","",INDEX(Transactions!$F$8:$F$3006,MATCH(0,COUNTIF($B$11:B206,Transactions!$F$8:$F$3006),0))),"")</f>
        <v/>
      </c>
      <c r="C207" s="50" t="str">
        <f>IF(B207="","",SUMIF(Transactions!$F$8:$F$3006,B207,Transactions!$H$8:$H$3006))</f>
        <v/>
      </c>
      <c r="D207" s="51" t="str">
        <f>IF(B207="","",SUMIF(Transactions!$F$8:$F$3006,B207,Transactions!$N$8:$N$3006))</f>
        <v/>
      </c>
      <c r="E207" s="52" t="str">
        <f>IF(B207="","",SUMIF(Transactions!$F$8:$F$3006,B207,Transactions!$O$8:$O$3006))</f>
        <v/>
      </c>
      <c r="F207" s="53" t="str">
        <f>IF(B207="","",SUMIF(Transactions!$F$8:$F$3006,B207,Transactions!$R$8:$R$3006))</f>
        <v/>
      </c>
      <c r="G207" s="54" t="str">
        <f>IF(B207="","",(C207+F207)-(D207+E207+SUMIF(Transactions!$F$8:$F$3006,B207,Transactions!$Q$8:$Q$3006)))</f>
        <v/>
      </c>
      <c r="H207" s="55" t="str">
        <f>IF(B207="","",IF(G207&gt;0,"OUTSTANDING",IF(G207=0,"SETTLED",IF(SUMIF(Transactions!$F$8:$F$3006,B207,Transactions!$Q$8:$Q$3006)&gt;SUMIF(Transactions!$F$8:$F$3006,B207,Transactions!$R$8:$R$3006),"OWES","OVERPAID"))))</f>
        <v/>
      </c>
      <c r="I207" s="1"/>
    </row>
    <row r="208" spans="1:9" ht="18" customHeight="1" x14ac:dyDescent="0.25">
      <c r="A208" s="40">
        <v>193</v>
      </c>
      <c r="B208" s="41" t="str">
        <f t="array" ref="B208">IFERROR(IF(INDEX(Transactions!$F$8:$F$3006,MATCH(0,COUNTIF($B$11:B207,Transactions!$F$8:$F$3006),0))="","",INDEX(Transactions!$F$8:$F$3006,MATCH(0,COUNTIF($B$11:B207,Transactions!$F$8:$F$3006),0))),"")</f>
        <v/>
      </c>
      <c r="C208" s="42" t="str">
        <f>IF(B208="","",SUMIF(Transactions!$F$8:$F$3006,B208,Transactions!$H$8:$H$3006))</f>
        <v/>
      </c>
      <c r="D208" s="43" t="str">
        <f>IF(B208="","",SUMIF(Transactions!$F$8:$F$3006,B208,Transactions!$N$8:$N$3006))</f>
        <v/>
      </c>
      <c r="E208" s="44" t="str">
        <f>IF(B208="","",SUMIF(Transactions!$F$8:$F$3006,B208,Transactions!$O$8:$O$3006))</f>
        <v/>
      </c>
      <c r="F208" s="45" t="str">
        <f>IF(B208="","",SUMIF(Transactions!$F$8:$F$3006,B208,Transactions!$R$8:$R$3006))</f>
        <v/>
      </c>
      <c r="G208" s="46" t="str">
        <f>IF(B208="","",(C208+F208)-(D208+E208+SUMIF(Transactions!$F$8:$F$3006,B208,Transactions!$Q$8:$Q$3006)))</f>
        <v/>
      </c>
      <c r="H208" s="47" t="str">
        <f>IF(B208="","",IF(G208&gt;0,"OUTSTANDING",IF(G208=0,"SETTLED",IF(SUMIF(Transactions!$F$8:$F$3006,B208,Transactions!$Q$8:$Q$3006)&gt;SUMIF(Transactions!$F$8:$F$3006,B208,Transactions!$R$8:$R$3006),"OWES","OVERPAID"))))</f>
        <v/>
      </c>
      <c r="I208" s="1"/>
    </row>
    <row r="209" spans="1:9" ht="18" customHeight="1" x14ac:dyDescent="0.25">
      <c r="A209" s="48">
        <v>194</v>
      </c>
      <c r="B209" s="49" t="str">
        <f t="array" ref="B209">IFERROR(IF(INDEX(Transactions!$F$8:$F$3006,MATCH(0,COUNTIF($B$11:B208,Transactions!$F$8:$F$3006),0))="","",INDEX(Transactions!$F$8:$F$3006,MATCH(0,COUNTIF($B$11:B208,Transactions!$F$8:$F$3006),0))),"")</f>
        <v/>
      </c>
      <c r="C209" s="50" t="str">
        <f>IF(B209="","",SUMIF(Transactions!$F$8:$F$3006,B209,Transactions!$H$8:$H$3006))</f>
        <v/>
      </c>
      <c r="D209" s="51" t="str">
        <f>IF(B209="","",SUMIF(Transactions!$F$8:$F$3006,B209,Transactions!$N$8:$N$3006))</f>
        <v/>
      </c>
      <c r="E209" s="52" t="str">
        <f>IF(B209="","",SUMIF(Transactions!$F$8:$F$3006,B209,Transactions!$O$8:$O$3006))</f>
        <v/>
      </c>
      <c r="F209" s="53" t="str">
        <f>IF(B209="","",SUMIF(Transactions!$F$8:$F$3006,B209,Transactions!$R$8:$R$3006))</f>
        <v/>
      </c>
      <c r="G209" s="54" t="str">
        <f>IF(B209="","",(C209+F209)-(D209+E209+SUMIF(Transactions!$F$8:$F$3006,B209,Transactions!$Q$8:$Q$3006)))</f>
        <v/>
      </c>
      <c r="H209" s="55" t="str">
        <f>IF(B209="","",IF(G209&gt;0,"OUTSTANDING",IF(G209=0,"SETTLED",IF(SUMIF(Transactions!$F$8:$F$3006,B209,Transactions!$Q$8:$Q$3006)&gt;SUMIF(Transactions!$F$8:$F$3006,B209,Transactions!$R$8:$R$3006),"OWES","OVERPAID"))))</f>
        <v/>
      </c>
      <c r="I209" s="1"/>
    </row>
    <row r="210" spans="1:9" ht="18" customHeight="1" x14ac:dyDescent="0.25">
      <c r="A210" s="40">
        <v>195</v>
      </c>
      <c r="B210" s="41" t="str">
        <f t="array" ref="B210">IFERROR(IF(INDEX(Transactions!$F$8:$F$3006,MATCH(0,COUNTIF($B$11:B209,Transactions!$F$8:$F$3006),0))="","",INDEX(Transactions!$F$8:$F$3006,MATCH(0,COUNTIF($B$11:B209,Transactions!$F$8:$F$3006),0))),"")</f>
        <v/>
      </c>
      <c r="C210" s="42" t="str">
        <f>IF(B210="","",SUMIF(Transactions!$F$8:$F$3006,B210,Transactions!$H$8:$H$3006))</f>
        <v/>
      </c>
      <c r="D210" s="43" t="str">
        <f>IF(B210="","",SUMIF(Transactions!$F$8:$F$3006,B210,Transactions!$N$8:$N$3006))</f>
        <v/>
      </c>
      <c r="E210" s="44" t="str">
        <f>IF(B210="","",SUMIF(Transactions!$F$8:$F$3006,B210,Transactions!$O$8:$O$3006))</f>
        <v/>
      </c>
      <c r="F210" s="45" t="str">
        <f>IF(B210="","",SUMIF(Transactions!$F$8:$F$3006,B210,Transactions!$R$8:$R$3006))</f>
        <v/>
      </c>
      <c r="G210" s="46" t="str">
        <f>IF(B210="","",(C210+F210)-(D210+E210+SUMIF(Transactions!$F$8:$F$3006,B210,Transactions!$Q$8:$Q$3006)))</f>
        <v/>
      </c>
      <c r="H210" s="47" t="str">
        <f>IF(B210="","",IF(G210&gt;0,"OUTSTANDING",IF(G210=0,"SETTLED",IF(SUMIF(Transactions!$F$8:$F$3006,B210,Transactions!$Q$8:$Q$3006)&gt;SUMIF(Transactions!$F$8:$F$3006,B210,Transactions!$R$8:$R$3006),"OWES","OVERPAID"))))</f>
        <v/>
      </c>
      <c r="I210" s="1"/>
    </row>
    <row r="211" spans="1:9" ht="18" customHeight="1" x14ac:dyDescent="0.25">
      <c r="A211" s="48">
        <v>196</v>
      </c>
      <c r="B211" s="49" t="str">
        <f t="array" ref="B211">IFERROR(IF(INDEX(Transactions!$F$8:$F$3006,MATCH(0,COUNTIF($B$11:B210,Transactions!$F$8:$F$3006),0))="","",INDEX(Transactions!$F$8:$F$3006,MATCH(0,COUNTIF($B$11:B210,Transactions!$F$8:$F$3006),0))),"")</f>
        <v/>
      </c>
      <c r="C211" s="50" t="str">
        <f>IF(B211="","",SUMIF(Transactions!$F$8:$F$3006,B211,Transactions!$H$8:$H$3006))</f>
        <v/>
      </c>
      <c r="D211" s="51" t="str">
        <f>IF(B211="","",SUMIF(Transactions!$F$8:$F$3006,B211,Transactions!$N$8:$N$3006))</f>
        <v/>
      </c>
      <c r="E211" s="52" t="str">
        <f>IF(B211="","",SUMIF(Transactions!$F$8:$F$3006,B211,Transactions!$O$8:$O$3006))</f>
        <v/>
      </c>
      <c r="F211" s="53" t="str">
        <f>IF(B211="","",SUMIF(Transactions!$F$8:$F$3006,B211,Transactions!$R$8:$R$3006))</f>
        <v/>
      </c>
      <c r="G211" s="54" t="str">
        <f>IF(B211="","",(C211+F211)-(D211+E211+SUMIF(Transactions!$F$8:$F$3006,B211,Transactions!$Q$8:$Q$3006)))</f>
        <v/>
      </c>
      <c r="H211" s="55" t="str">
        <f>IF(B211="","",IF(G211&gt;0,"OUTSTANDING",IF(G211=0,"SETTLED",IF(SUMIF(Transactions!$F$8:$F$3006,B211,Transactions!$Q$8:$Q$3006)&gt;SUMIF(Transactions!$F$8:$F$3006,B211,Transactions!$R$8:$R$3006),"OWES","OVERPAID"))))</f>
        <v/>
      </c>
      <c r="I211" s="1"/>
    </row>
    <row r="212" spans="1:9" ht="18" customHeight="1" x14ac:dyDescent="0.25">
      <c r="A212" s="40">
        <v>197</v>
      </c>
      <c r="B212" s="41" t="str">
        <f t="array" ref="B212">IFERROR(IF(INDEX(Transactions!$F$8:$F$3006,MATCH(0,COUNTIF($B$11:B211,Transactions!$F$8:$F$3006),0))="","",INDEX(Transactions!$F$8:$F$3006,MATCH(0,COUNTIF($B$11:B211,Transactions!$F$8:$F$3006),0))),"")</f>
        <v/>
      </c>
      <c r="C212" s="42" t="str">
        <f>IF(B212="","",SUMIF(Transactions!$F$8:$F$3006,B212,Transactions!$H$8:$H$3006))</f>
        <v/>
      </c>
      <c r="D212" s="43" t="str">
        <f>IF(B212="","",SUMIF(Transactions!$F$8:$F$3006,B212,Transactions!$N$8:$N$3006))</f>
        <v/>
      </c>
      <c r="E212" s="44" t="str">
        <f>IF(B212="","",SUMIF(Transactions!$F$8:$F$3006,B212,Transactions!$O$8:$O$3006))</f>
        <v/>
      </c>
      <c r="F212" s="45" t="str">
        <f>IF(B212="","",SUMIF(Transactions!$F$8:$F$3006,B212,Transactions!$R$8:$R$3006))</f>
        <v/>
      </c>
      <c r="G212" s="46" t="str">
        <f>IF(B212="","",(C212+F212)-(D212+E212+SUMIF(Transactions!$F$8:$F$3006,B212,Transactions!$Q$8:$Q$3006)))</f>
        <v/>
      </c>
      <c r="H212" s="47" t="str">
        <f>IF(B212="","",IF(G212&gt;0,"OUTSTANDING",IF(G212=0,"SETTLED",IF(SUMIF(Transactions!$F$8:$F$3006,B212,Transactions!$Q$8:$Q$3006)&gt;SUMIF(Transactions!$F$8:$F$3006,B212,Transactions!$R$8:$R$3006),"OWES","OVERPAID"))))</f>
        <v/>
      </c>
      <c r="I212" s="1"/>
    </row>
    <row r="213" spans="1:9" ht="18" customHeight="1" x14ac:dyDescent="0.25">
      <c r="A213" s="48">
        <v>198</v>
      </c>
      <c r="B213" s="49" t="str">
        <f t="array" ref="B213">IFERROR(IF(INDEX(Transactions!$F$8:$F$3006,MATCH(0,COUNTIF($B$11:B212,Transactions!$F$8:$F$3006),0))="","",INDEX(Transactions!$F$8:$F$3006,MATCH(0,COUNTIF($B$11:B212,Transactions!$F$8:$F$3006),0))),"")</f>
        <v/>
      </c>
      <c r="C213" s="50" t="str">
        <f>IF(B213="","",SUMIF(Transactions!$F$8:$F$3006,B213,Transactions!$H$8:$H$3006))</f>
        <v/>
      </c>
      <c r="D213" s="51" t="str">
        <f>IF(B213="","",SUMIF(Transactions!$F$8:$F$3006,B213,Transactions!$N$8:$N$3006))</f>
        <v/>
      </c>
      <c r="E213" s="52" t="str">
        <f>IF(B213="","",SUMIF(Transactions!$F$8:$F$3006,B213,Transactions!$O$8:$O$3006))</f>
        <v/>
      </c>
      <c r="F213" s="53" t="str">
        <f>IF(B213="","",SUMIF(Transactions!$F$8:$F$3006,B213,Transactions!$R$8:$R$3006))</f>
        <v/>
      </c>
      <c r="G213" s="54" t="str">
        <f>IF(B213="","",(C213+F213)-(D213+E213+SUMIF(Transactions!$F$8:$F$3006,B213,Transactions!$Q$8:$Q$3006)))</f>
        <v/>
      </c>
      <c r="H213" s="55" t="str">
        <f>IF(B213="","",IF(G213&gt;0,"OUTSTANDING",IF(G213=0,"SETTLED",IF(SUMIF(Transactions!$F$8:$F$3006,B213,Transactions!$Q$8:$Q$3006)&gt;SUMIF(Transactions!$F$8:$F$3006,B213,Transactions!$R$8:$R$3006),"OWES","OVERPAID"))))</f>
        <v/>
      </c>
      <c r="I213" s="1"/>
    </row>
    <row r="214" spans="1:9" ht="18" customHeight="1" x14ac:dyDescent="0.25">
      <c r="A214" s="40">
        <v>199</v>
      </c>
      <c r="B214" s="41" t="str">
        <f t="array" ref="B214">IFERROR(IF(INDEX(Transactions!$F$8:$F$3006,MATCH(0,COUNTIF($B$11:B213,Transactions!$F$8:$F$3006),0))="","",INDEX(Transactions!$F$8:$F$3006,MATCH(0,COUNTIF($B$11:B213,Transactions!$F$8:$F$3006),0))),"")</f>
        <v/>
      </c>
      <c r="C214" s="42" t="str">
        <f>IF(B214="","",SUMIF(Transactions!$F$8:$F$3006,B214,Transactions!$H$8:$H$3006))</f>
        <v/>
      </c>
      <c r="D214" s="43" t="str">
        <f>IF(B214="","",SUMIF(Transactions!$F$8:$F$3006,B214,Transactions!$N$8:$N$3006))</f>
        <v/>
      </c>
      <c r="E214" s="44" t="str">
        <f>IF(B214="","",SUMIF(Transactions!$F$8:$F$3006,B214,Transactions!$O$8:$O$3006))</f>
        <v/>
      </c>
      <c r="F214" s="45" t="str">
        <f>IF(B214="","",SUMIF(Transactions!$F$8:$F$3006,B214,Transactions!$R$8:$R$3006))</f>
        <v/>
      </c>
      <c r="G214" s="46" t="str">
        <f>IF(B214="","",(C214+F214)-(D214+E214+SUMIF(Transactions!$F$8:$F$3006,B214,Transactions!$Q$8:$Q$3006)))</f>
        <v/>
      </c>
      <c r="H214" s="47" t="str">
        <f>IF(B214="","",IF(G214&gt;0,"OUTSTANDING",IF(G214=0,"SETTLED",IF(SUMIF(Transactions!$F$8:$F$3006,B214,Transactions!$Q$8:$Q$3006)&gt;SUMIF(Transactions!$F$8:$F$3006,B214,Transactions!$R$8:$R$3006),"OWES","OVERPAID"))))</f>
        <v/>
      </c>
      <c r="I214" s="1"/>
    </row>
    <row r="215" spans="1:9" ht="18" customHeight="1" x14ac:dyDescent="0.25">
      <c r="A215" s="48">
        <v>200</v>
      </c>
      <c r="B215" s="49" t="str">
        <f t="array" ref="B215">IFERROR(IF(INDEX(Transactions!$F$8:$F$3006,MATCH(0,COUNTIF($B$11:B214,Transactions!$F$8:$F$3006),0))="","",INDEX(Transactions!$F$8:$F$3006,MATCH(0,COUNTIF($B$11:B214,Transactions!$F$8:$F$3006),0))),"")</f>
        <v/>
      </c>
      <c r="C215" s="50" t="str">
        <f>IF(B215="","",SUMIF(Transactions!$F$8:$F$3006,B215,Transactions!$H$8:$H$3006))</f>
        <v/>
      </c>
      <c r="D215" s="51" t="str">
        <f>IF(B215="","",SUMIF(Transactions!$F$8:$F$3006,B215,Transactions!$N$8:$N$3006))</f>
        <v/>
      </c>
      <c r="E215" s="52" t="str">
        <f>IF(B215="","",SUMIF(Transactions!$F$8:$F$3006,B215,Transactions!$O$8:$O$3006))</f>
        <v/>
      </c>
      <c r="F215" s="53" t="str">
        <f>IF(B215="","",SUMIF(Transactions!$F$8:$F$3006,B215,Transactions!$R$8:$R$3006))</f>
        <v/>
      </c>
      <c r="G215" s="54" t="str">
        <f>IF(B215="","",(C215+F215)-(D215+E215+SUMIF(Transactions!$F$8:$F$3006,B215,Transactions!$Q$8:$Q$3006)))</f>
        <v/>
      </c>
      <c r="H215" s="55" t="str">
        <f>IF(B215="","",IF(G215&gt;0,"OUTSTANDING",IF(G215=0,"SETTLED",IF(SUMIF(Transactions!$F$8:$F$3006,B215,Transactions!$Q$8:$Q$3006)&gt;SUMIF(Transactions!$F$8:$F$3006,B215,Transactions!$R$8:$R$3006),"OWES","OVERPAID"))))</f>
        <v/>
      </c>
      <c r="I215" s="1"/>
    </row>
    <row r="216" spans="1:9" ht="18" customHeight="1" x14ac:dyDescent="0.25">
      <c r="A216" s="40">
        <v>201</v>
      </c>
      <c r="B216" s="41" t="str">
        <f t="array" ref="B216">IFERROR(IF(INDEX(Transactions!$F$8:$F$3006,MATCH(0,COUNTIF($B$11:B215,Transactions!$F$8:$F$3006),0))="","",INDEX(Transactions!$F$8:$F$3006,MATCH(0,COUNTIF($B$11:B215,Transactions!$F$8:$F$3006),0))),"")</f>
        <v/>
      </c>
      <c r="C216" s="42" t="str">
        <f>IF(B216="","",SUMIF(Transactions!$F$8:$F$3006,B216,Transactions!$H$8:$H$3006))</f>
        <v/>
      </c>
      <c r="D216" s="43" t="str">
        <f>IF(B216="","",SUMIF(Transactions!$F$8:$F$3006,B216,Transactions!$N$8:$N$3006))</f>
        <v/>
      </c>
      <c r="E216" s="44" t="str">
        <f>IF(B216="","",SUMIF(Transactions!$F$8:$F$3006,B216,Transactions!$O$8:$O$3006))</f>
        <v/>
      </c>
      <c r="F216" s="45" t="str">
        <f>IF(B216="","",SUMIF(Transactions!$F$8:$F$3006,B216,Transactions!$R$8:$R$3006))</f>
        <v/>
      </c>
      <c r="G216" s="46" t="str">
        <f>IF(B216="","",(C216+F216)-(D216+E216+SUMIF(Transactions!$F$8:$F$3006,B216,Transactions!$Q$8:$Q$3006)))</f>
        <v/>
      </c>
      <c r="H216" s="47" t="str">
        <f>IF(B216="","",IF(G216&gt;0,"OUTSTANDING",IF(G216=0,"SETTLED",IF(SUMIF(Transactions!$F$8:$F$3006,B216,Transactions!$Q$8:$Q$3006)&gt;SUMIF(Transactions!$F$8:$F$3006,B216,Transactions!$R$8:$R$3006),"OWES","OVERPAID"))))</f>
        <v/>
      </c>
      <c r="I216" s="1"/>
    </row>
    <row r="217" spans="1:9" ht="18" customHeight="1" x14ac:dyDescent="0.25">
      <c r="A217" s="48">
        <v>202</v>
      </c>
      <c r="B217" s="49" t="str">
        <f t="array" ref="B217">IFERROR(IF(INDEX(Transactions!$F$8:$F$3006,MATCH(0,COUNTIF($B$11:B216,Transactions!$F$8:$F$3006),0))="","",INDEX(Transactions!$F$8:$F$3006,MATCH(0,COUNTIF($B$11:B216,Transactions!$F$8:$F$3006),0))),"")</f>
        <v/>
      </c>
      <c r="C217" s="50" t="str">
        <f>IF(B217="","",SUMIF(Transactions!$F$8:$F$3006,B217,Transactions!$H$8:$H$3006))</f>
        <v/>
      </c>
      <c r="D217" s="51" t="str">
        <f>IF(B217="","",SUMIF(Transactions!$F$8:$F$3006,B217,Transactions!$N$8:$N$3006))</f>
        <v/>
      </c>
      <c r="E217" s="52" t="str">
        <f>IF(B217="","",SUMIF(Transactions!$F$8:$F$3006,B217,Transactions!$O$8:$O$3006))</f>
        <v/>
      </c>
      <c r="F217" s="53" t="str">
        <f>IF(B217="","",SUMIF(Transactions!$F$8:$F$3006,B217,Transactions!$R$8:$R$3006))</f>
        <v/>
      </c>
      <c r="G217" s="54" t="str">
        <f>IF(B217="","",(C217+F217)-(D217+E217+SUMIF(Transactions!$F$8:$F$3006,B217,Transactions!$Q$8:$Q$3006)))</f>
        <v/>
      </c>
      <c r="H217" s="55" t="str">
        <f>IF(B217="","",IF(G217&gt;0,"OUTSTANDING",IF(G217=0,"SETTLED",IF(SUMIF(Transactions!$F$8:$F$3006,B217,Transactions!$Q$8:$Q$3006)&gt;SUMIF(Transactions!$F$8:$F$3006,B217,Transactions!$R$8:$R$3006),"OWES","OVERPAID"))))</f>
        <v/>
      </c>
      <c r="I217" s="1"/>
    </row>
    <row r="218" spans="1:9" ht="18" customHeight="1" x14ac:dyDescent="0.25">
      <c r="A218" s="40">
        <v>203</v>
      </c>
      <c r="B218" s="41" t="str">
        <f t="array" ref="B218">IFERROR(IF(INDEX(Transactions!$F$8:$F$3006,MATCH(0,COUNTIF($B$11:B217,Transactions!$F$8:$F$3006),0))="","",INDEX(Transactions!$F$8:$F$3006,MATCH(0,COUNTIF($B$11:B217,Transactions!$F$8:$F$3006),0))),"")</f>
        <v/>
      </c>
      <c r="C218" s="42" t="str">
        <f>IF(B218="","",SUMIF(Transactions!$F$8:$F$3006,B218,Transactions!$H$8:$H$3006))</f>
        <v/>
      </c>
      <c r="D218" s="43" t="str">
        <f>IF(B218="","",SUMIF(Transactions!$F$8:$F$3006,B218,Transactions!$N$8:$N$3006))</f>
        <v/>
      </c>
      <c r="E218" s="44" t="str">
        <f>IF(B218="","",SUMIF(Transactions!$F$8:$F$3006,B218,Transactions!$O$8:$O$3006))</f>
        <v/>
      </c>
      <c r="F218" s="45" t="str">
        <f>IF(B218="","",SUMIF(Transactions!$F$8:$F$3006,B218,Transactions!$R$8:$R$3006))</f>
        <v/>
      </c>
      <c r="G218" s="46" t="str">
        <f>IF(B218="","",(C218+F218)-(D218+E218+SUMIF(Transactions!$F$8:$F$3006,B218,Transactions!$Q$8:$Q$3006)))</f>
        <v/>
      </c>
      <c r="H218" s="47" t="str">
        <f>IF(B218="","",IF(G218&gt;0,"OUTSTANDING",IF(G218=0,"SETTLED",IF(SUMIF(Transactions!$F$8:$F$3006,B218,Transactions!$Q$8:$Q$3006)&gt;SUMIF(Transactions!$F$8:$F$3006,B218,Transactions!$R$8:$R$3006),"OWES","OVERPAID"))))</f>
        <v/>
      </c>
      <c r="I218" s="1"/>
    </row>
    <row r="219" spans="1:9" ht="18" customHeight="1" x14ac:dyDescent="0.25">
      <c r="A219" s="48">
        <v>204</v>
      </c>
      <c r="B219" s="49" t="str">
        <f t="array" ref="B219">IFERROR(IF(INDEX(Transactions!$F$8:$F$3006,MATCH(0,COUNTIF($B$11:B218,Transactions!$F$8:$F$3006),0))="","",INDEX(Transactions!$F$8:$F$3006,MATCH(0,COUNTIF($B$11:B218,Transactions!$F$8:$F$3006),0))),"")</f>
        <v/>
      </c>
      <c r="C219" s="50" t="str">
        <f>IF(B219="","",SUMIF(Transactions!$F$8:$F$3006,B219,Transactions!$H$8:$H$3006))</f>
        <v/>
      </c>
      <c r="D219" s="51" t="str">
        <f>IF(B219="","",SUMIF(Transactions!$F$8:$F$3006,B219,Transactions!$N$8:$N$3006))</f>
        <v/>
      </c>
      <c r="E219" s="52" t="str">
        <f>IF(B219="","",SUMIF(Transactions!$F$8:$F$3006,B219,Transactions!$O$8:$O$3006))</f>
        <v/>
      </c>
      <c r="F219" s="53" t="str">
        <f>IF(B219="","",SUMIF(Transactions!$F$8:$F$3006,B219,Transactions!$R$8:$R$3006))</f>
        <v/>
      </c>
      <c r="G219" s="54" t="str">
        <f>IF(B219="","",(C219+F219)-(D219+E219+SUMIF(Transactions!$F$8:$F$3006,B219,Transactions!$Q$8:$Q$3006)))</f>
        <v/>
      </c>
      <c r="H219" s="55" t="str">
        <f>IF(B219="","",IF(G219&gt;0,"OUTSTANDING",IF(G219=0,"SETTLED",IF(SUMIF(Transactions!$F$8:$F$3006,B219,Transactions!$Q$8:$Q$3006)&gt;SUMIF(Transactions!$F$8:$F$3006,B219,Transactions!$R$8:$R$3006),"OWES","OVERPAID"))))</f>
        <v/>
      </c>
      <c r="I219" s="1"/>
    </row>
    <row r="220" spans="1:9" ht="18" customHeight="1" x14ac:dyDescent="0.25">
      <c r="A220" s="40">
        <v>205</v>
      </c>
      <c r="B220" s="41" t="str">
        <f t="array" ref="B220">IFERROR(IF(INDEX(Transactions!$F$8:$F$3006,MATCH(0,COUNTIF($B$11:B219,Transactions!$F$8:$F$3006),0))="","",INDEX(Transactions!$F$8:$F$3006,MATCH(0,COUNTIF($B$11:B219,Transactions!$F$8:$F$3006),0))),"")</f>
        <v/>
      </c>
      <c r="C220" s="42" t="str">
        <f>IF(B220="","",SUMIF(Transactions!$F$8:$F$3006,B220,Transactions!$H$8:$H$3006))</f>
        <v/>
      </c>
      <c r="D220" s="43" t="str">
        <f>IF(B220="","",SUMIF(Transactions!$F$8:$F$3006,B220,Transactions!$N$8:$N$3006))</f>
        <v/>
      </c>
      <c r="E220" s="44" t="str">
        <f>IF(B220="","",SUMIF(Transactions!$F$8:$F$3006,B220,Transactions!$O$8:$O$3006))</f>
        <v/>
      </c>
      <c r="F220" s="45" t="str">
        <f>IF(B220="","",SUMIF(Transactions!$F$8:$F$3006,B220,Transactions!$R$8:$R$3006))</f>
        <v/>
      </c>
      <c r="G220" s="46" t="str">
        <f>IF(B220="","",(C220+F220)-(D220+E220+SUMIF(Transactions!$F$8:$F$3006,B220,Transactions!$Q$8:$Q$3006)))</f>
        <v/>
      </c>
      <c r="H220" s="47" t="str">
        <f>IF(B220="","",IF(G220&gt;0,"OUTSTANDING",IF(G220=0,"SETTLED",IF(SUMIF(Transactions!$F$8:$F$3006,B220,Transactions!$Q$8:$Q$3006)&gt;SUMIF(Transactions!$F$8:$F$3006,B220,Transactions!$R$8:$R$3006),"OWES","OVERPAID"))))</f>
        <v/>
      </c>
      <c r="I220" s="1"/>
    </row>
    <row r="221" spans="1:9" ht="18" customHeight="1" x14ac:dyDescent="0.25">
      <c r="A221" s="48">
        <v>206</v>
      </c>
      <c r="B221" s="49" t="str">
        <f t="array" ref="B221">IFERROR(IF(INDEX(Transactions!$F$8:$F$3006,MATCH(0,COUNTIF($B$11:B220,Transactions!$F$8:$F$3006),0))="","",INDEX(Transactions!$F$8:$F$3006,MATCH(0,COUNTIF($B$11:B220,Transactions!$F$8:$F$3006),0))),"")</f>
        <v/>
      </c>
      <c r="C221" s="50" t="str">
        <f>IF(B221="","",SUMIF(Transactions!$F$8:$F$3006,B221,Transactions!$H$8:$H$3006))</f>
        <v/>
      </c>
      <c r="D221" s="51" t="str">
        <f>IF(B221="","",SUMIF(Transactions!$F$8:$F$3006,B221,Transactions!$N$8:$N$3006))</f>
        <v/>
      </c>
      <c r="E221" s="52" t="str">
        <f>IF(B221="","",SUMIF(Transactions!$F$8:$F$3006,B221,Transactions!$O$8:$O$3006))</f>
        <v/>
      </c>
      <c r="F221" s="53" t="str">
        <f>IF(B221="","",SUMIF(Transactions!$F$8:$F$3006,B221,Transactions!$R$8:$R$3006))</f>
        <v/>
      </c>
      <c r="G221" s="54" t="str">
        <f>IF(B221="","",(C221+F221)-(D221+E221+SUMIF(Transactions!$F$8:$F$3006,B221,Transactions!$Q$8:$Q$3006)))</f>
        <v/>
      </c>
      <c r="H221" s="55" t="str">
        <f>IF(B221="","",IF(G221&gt;0,"OUTSTANDING",IF(G221=0,"SETTLED",IF(SUMIF(Transactions!$F$8:$F$3006,B221,Transactions!$Q$8:$Q$3006)&gt;SUMIF(Transactions!$F$8:$F$3006,B221,Transactions!$R$8:$R$3006),"OWES","OVERPAID"))))</f>
        <v/>
      </c>
      <c r="I221" s="1"/>
    </row>
    <row r="222" spans="1:9" ht="18" customHeight="1" x14ac:dyDescent="0.25">
      <c r="A222" s="40">
        <v>207</v>
      </c>
      <c r="B222" s="41" t="str">
        <f t="array" ref="B222">IFERROR(IF(INDEX(Transactions!$F$8:$F$3006,MATCH(0,COUNTIF($B$11:B221,Transactions!$F$8:$F$3006),0))="","",INDEX(Transactions!$F$8:$F$3006,MATCH(0,COUNTIF($B$11:B221,Transactions!$F$8:$F$3006),0))),"")</f>
        <v/>
      </c>
      <c r="C222" s="42" t="str">
        <f>IF(B222="","",SUMIF(Transactions!$F$8:$F$3006,B222,Transactions!$H$8:$H$3006))</f>
        <v/>
      </c>
      <c r="D222" s="43" t="str">
        <f>IF(B222="","",SUMIF(Transactions!$F$8:$F$3006,B222,Transactions!$N$8:$N$3006))</f>
        <v/>
      </c>
      <c r="E222" s="44" t="str">
        <f>IF(B222="","",SUMIF(Transactions!$F$8:$F$3006,B222,Transactions!$O$8:$O$3006))</f>
        <v/>
      </c>
      <c r="F222" s="45" t="str">
        <f>IF(B222="","",SUMIF(Transactions!$F$8:$F$3006,B222,Transactions!$R$8:$R$3006))</f>
        <v/>
      </c>
      <c r="G222" s="46" t="str">
        <f>IF(B222="","",(C222+F222)-(D222+E222+SUMIF(Transactions!$F$8:$F$3006,B222,Transactions!$Q$8:$Q$3006)))</f>
        <v/>
      </c>
      <c r="H222" s="47" t="str">
        <f>IF(B222="","",IF(G222&gt;0,"OUTSTANDING",IF(G222=0,"SETTLED",IF(SUMIF(Transactions!$F$8:$F$3006,B222,Transactions!$Q$8:$Q$3006)&gt;SUMIF(Transactions!$F$8:$F$3006,B222,Transactions!$R$8:$R$3006),"OWES","OVERPAID"))))</f>
        <v/>
      </c>
      <c r="I222" s="1"/>
    </row>
    <row r="223" spans="1:9" ht="18" customHeight="1" x14ac:dyDescent="0.25">
      <c r="A223" s="48">
        <v>208</v>
      </c>
      <c r="B223" s="49" t="str">
        <f t="array" ref="B223">IFERROR(IF(INDEX(Transactions!$F$8:$F$3006,MATCH(0,COUNTIF($B$11:B222,Transactions!$F$8:$F$3006),0))="","",INDEX(Transactions!$F$8:$F$3006,MATCH(0,COUNTIF($B$11:B222,Transactions!$F$8:$F$3006),0))),"")</f>
        <v/>
      </c>
      <c r="C223" s="50" t="str">
        <f>IF(B223="","",SUMIF(Transactions!$F$8:$F$3006,B223,Transactions!$H$8:$H$3006))</f>
        <v/>
      </c>
      <c r="D223" s="51" t="str">
        <f>IF(B223="","",SUMIF(Transactions!$F$8:$F$3006,B223,Transactions!$N$8:$N$3006))</f>
        <v/>
      </c>
      <c r="E223" s="52" t="str">
        <f>IF(B223="","",SUMIF(Transactions!$F$8:$F$3006,B223,Transactions!$O$8:$O$3006))</f>
        <v/>
      </c>
      <c r="F223" s="53" t="str">
        <f>IF(B223="","",SUMIF(Transactions!$F$8:$F$3006,B223,Transactions!$R$8:$R$3006))</f>
        <v/>
      </c>
      <c r="G223" s="54" t="str">
        <f>IF(B223="","",(C223+F223)-(D223+E223+SUMIF(Transactions!$F$8:$F$3006,B223,Transactions!$Q$8:$Q$3006)))</f>
        <v/>
      </c>
      <c r="H223" s="55" t="str">
        <f>IF(B223="","",IF(G223&gt;0,"OUTSTANDING",IF(G223=0,"SETTLED",IF(SUMIF(Transactions!$F$8:$F$3006,B223,Transactions!$Q$8:$Q$3006)&gt;SUMIF(Transactions!$F$8:$F$3006,B223,Transactions!$R$8:$R$3006),"OWES","OVERPAID"))))</f>
        <v/>
      </c>
      <c r="I223" s="1"/>
    </row>
    <row r="224" spans="1:9" ht="18" customHeight="1" x14ac:dyDescent="0.25">
      <c r="A224" s="40">
        <v>209</v>
      </c>
      <c r="B224" s="41" t="str">
        <f t="array" ref="B224">IFERROR(IF(INDEX(Transactions!$F$8:$F$3006,MATCH(0,COUNTIF($B$11:B223,Transactions!$F$8:$F$3006),0))="","",INDEX(Transactions!$F$8:$F$3006,MATCH(0,COUNTIF($B$11:B223,Transactions!$F$8:$F$3006),0))),"")</f>
        <v/>
      </c>
      <c r="C224" s="42" t="str">
        <f>IF(B224="","",SUMIF(Transactions!$F$8:$F$3006,B224,Transactions!$H$8:$H$3006))</f>
        <v/>
      </c>
      <c r="D224" s="43" t="str">
        <f>IF(B224="","",SUMIF(Transactions!$F$8:$F$3006,B224,Transactions!$N$8:$N$3006))</f>
        <v/>
      </c>
      <c r="E224" s="44" t="str">
        <f>IF(B224="","",SUMIF(Transactions!$F$8:$F$3006,B224,Transactions!$O$8:$O$3006))</f>
        <v/>
      </c>
      <c r="F224" s="45" t="str">
        <f>IF(B224="","",SUMIF(Transactions!$F$8:$F$3006,B224,Transactions!$R$8:$R$3006))</f>
        <v/>
      </c>
      <c r="G224" s="46" t="str">
        <f>IF(B224="","",(C224+F224)-(D224+E224+SUMIF(Transactions!$F$8:$F$3006,B224,Transactions!$Q$8:$Q$3006)))</f>
        <v/>
      </c>
      <c r="H224" s="47" t="str">
        <f>IF(B224="","",IF(G224&gt;0,"OUTSTANDING",IF(G224=0,"SETTLED",IF(SUMIF(Transactions!$F$8:$F$3006,B224,Transactions!$Q$8:$Q$3006)&gt;SUMIF(Transactions!$F$8:$F$3006,B224,Transactions!$R$8:$R$3006),"OWES","OVERPAID"))))</f>
        <v/>
      </c>
      <c r="I224" s="1"/>
    </row>
    <row r="225" spans="1:9" ht="18" customHeight="1" x14ac:dyDescent="0.25">
      <c r="A225" s="48">
        <v>210</v>
      </c>
      <c r="B225" s="49" t="str">
        <f t="array" ref="B225">IFERROR(IF(INDEX(Transactions!$F$8:$F$3006,MATCH(0,COUNTIF($B$11:B224,Transactions!$F$8:$F$3006),0))="","",INDEX(Transactions!$F$8:$F$3006,MATCH(0,COUNTIF($B$11:B224,Transactions!$F$8:$F$3006),0))),"")</f>
        <v/>
      </c>
      <c r="C225" s="50" t="str">
        <f>IF(B225="","",SUMIF(Transactions!$F$8:$F$3006,B225,Transactions!$H$8:$H$3006))</f>
        <v/>
      </c>
      <c r="D225" s="51" t="str">
        <f>IF(B225="","",SUMIF(Transactions!$F$8:$F$3006,B225,Transactions!$N$8:$N$3006))</f>
        <v/>
      </c>
      <c r="E225" s="52" t="str">
        <f>IF(B225="","",SUMIF(Transactions!$F$8:$F$3006,B225,Transactions!$O$8:$O$3006))</f>
        <v/>
      </c>
      <c r="F225" s="53" t="str">
        <f>IF(B225="","",SUMIF(Transactions!$F$8:$F$3006,B225,Transactions!$R$8:$R$3006))</f>
        <v/>
      </c>
      <c r="G225" s="54" t="str">
        <f>IF(B225="","",(C225+F225)-(D225+E225+SUMIF(Transactions!$F$8:$F$3006,B225,Transactions!$Q$8:$Q$3006)))</f>
        <v/>
      </c>
      <c r="H225" s="55" t="str">
        <f>IF(B225="","",IF(G225&gt;0,"OUTSTANDING",IF(G225=0,"SETTLED",IF(SUMIF(Transactions!$F$8:$F$3006,B225,Transactions!$Q$8:$Q$3006)&gt;SUMIF(Transactions!$F$8:$F$3006,B225,Transactions!$R$8:$R$3006),"OWES","OVERPAID"))))</f>
        <v/>
      </c>
      <c r="I225" s="1"/>
    </row>
    <row r="226" spans="1:9" ht="18" customHeight="1" x14ac:dyDescent="0.25">
      <c r="A226" s="40">
        <v>211</v>
      </c>
      <c r="B226" s="41" t="str">
        <f t="array" ref="B226">IFERROR(IF(INDEX(Transactions!$F$8:$F$3006,MATCH(0,COUNTIF($B$11:B225,Transactions!$F$8:$F$3006),0))="","",INDEX(Transactions!$F$8:$F$3006,MATCH(0,COUNTIF($B$11:B225,Transactions!$F$8:$F$3006),0))),"")</f>
        <v/>
      </c>
      <c r="C226" s="42" t="str">
        <f>IF(B226="","",SUMIF(Transactions!$F$8:$F$3006,B226,Transactions!$H$8:$H$3006))</f>
        <v/>
      </c>
      <c r="D226" s="43" t="str">
        <f>IF(B226="","",SUMIF(Transactions!$F$8:$F$3006,B226,Transactions!$N$8:$N$3006))</f>
        <v/>
      </c>
      <c r="E226" s="44" t="str">
        <f>IF(B226="","",SUMIF(Transactions!$F$8:$F$3006,B226,Transactions!$O$8:$O$3006))</f>
        <v/>
      </c>
      <c r="F226" s="45" t="str">
        <f>IF(B226="","",SUMIF(Transactions!$F$8:$F$3006,B226,Transactions!$R$8:$R$3006))</f>
        <v/>
      </c>
      <c r="G226" s="46" t="str">
        <f>IF(B226="","",(C226+F226)-(D226+E226+SUMIF(Transactions!$F$8:$F$3006,B226,Transactions!$Q$8:$Q$3006)))</f>
        <v/>
      </c>
      <c r="H226" s="47" t="str">
        <f>IF(B226="","",IF(G226&gt;0,"OUTSTANDING",IF(G226=0,"SETTLED",IF(SUMIF(Transactions!$F$8:$F$3006,B226,Transactions!$Q$8:$Q$3006)&gt;SUMIF(Transactions!$F$8:$F$3006,B226,Transactions!$R$8:$R$3006),"OWES","OVERPAID"))))</f>
        <v/>
      </c>
      <c r="I226" s="1"/>
    </row>
    <row r="227" spans="1:9" ht="18" customHeight="1" x14ac:dyDescent="0.25">
      <c r="A227" s="48">
        <v>212</v>
      </c>
      <c r="B227" s="49" t="str">
        <f t="array" ref="B227">IFERROR(IF(INDEX(Transactions!$F$8:$F$3006,MATCH(0,COUNTIF($B$11:B226,Transactions!$F$8:$F$3006),0))="","",INDEX(Transactions!$F$8:$F$3006,MATCH(0,COUNTIF($B$11:B226,Transactions!$F$8:$F$3006),0))),"")</f>
        <v/>
      </c>
      <c r="C227" s="50" t="str">
        <f>IF(B227="","",SUMIF(Transactions!$F$8:$F$3006,B227,Transactions!$H$8:$H$3006))</f>
        <v/>
      </c>
      <c r="D227" s="51" t="str">
        <f>IF(B227="","",SUMIF(Transactions!$F$8:$F$3006,B227,Transactions!$N$8:$N$3006))</f>
        <v/>
      </c>
      <c r="E227" s="52" t="str">
        <f>IF(B227="","",SUMIF(Transactions!$F$8:$F$3006,B227,Transactions!$O$8:$O$3006))</f>
        <v/>
      </c>
      <c r="F227" s="53" t="str">
        <f>IF(B227="","",SUMIF(Transactions!$F$8:$F$3006,B227,Transactions!$R$8:$R$3006))</f>
        <v/>
      </c>
      <c r="G227" s="54" t="str">
        <f>IF(B227="","",(C227+F227)-(D227+E227+SUMIF(Transactions!$F$8:$F$3006,B227,Transactions!$Q$8:$Q$3006)))</f>
        <v/>
      </c>
      <c r="H227" s="55" t="str">
        <f>IF(B227="","",IF(G227&gt;0,"OUTSTANDING",IF(G227=0,"SETTLED",IF(SUMIF(Transactions!$F$8:$F$3006,B227,Transactions!$Q$8:$Q$3006)&gt;SUMIF(Transactions!$F$8:$F$3006,B227,Transactions!$R$8:$R$3006),"OWES","OVERPAID"))))</f>
        <v/>
      </c>
      <c r="I227" s="1"/>
    </row>
    <row r="228" spans="1:9" ht="18" customHeight="1" x14ac:dyDescent="0.25">
      <c r="A228" s="40">
        <v>213</v>
      </c>
      <c r="B228" s="41" t="str">
        <f t="array" ref="B228">IFERROR(IF(INDEX(Transactions!$F$8:$F$3006,MATCH(0,COUNTIF($B$11:B227,Transactions!$F$8:$F$3006),0))="","",INDEX(Transactions!$F$8:$F$3006,MATCH(0,COUNTIF($B$11:B227,Transactions!$F$8:$F$3006),0))),"")</f>
        <v/>
      </c>
      <c r="C228" s="42" t="str">
        <f>IF(B228="","",SUMIF(Transactions!$F$8:$F$3006,B228,Transactions!$H$8:$H$3006))</f>
        <v/>
      </c>
      <c r="D228" s="43" t="str">
        <f>IF(B228="","",SUMIF(Transactions!$F$8:$F$3006,B228,Transactions!$N$8:$N$3006))</f>
        <v/>
      </c>
      <c r="E228" s="44" t="str">
        <f>IF(B228="","",SUMIF(Transactions!$F$8:$F$3006,B228,Transactions!$O$8:$O$3006))</f>
        <v/>
      </c>
      <c r="F228" s="45" t="str">
        <f>IF(B228="","",SUMIF(Transactions!$F$8:$F$3006,B228,Transactions!$R$8:$R$3006))</f>
        <v/>
      </c>
      <c r="G228" s="46" t="str">
        <f>IF(B228="","",(C228+F228)-(D228+E228+SUMIF(Transactions!$F$8:$F$3006,B228,Transactions!$Q$8:$Q$3006)))</f>
        <v/>
      </c>
      <c r="H228" s="47" t="str">
        <f>IF(B228="","",IF(G228&gt;0,"OUTSTANDING",IF(G228=0,"SETTLED",IF(SUMIF(Transactions!$F$8:$F$3006,B228,Transactions!$Q$8:$Q$3006)&gt;SUMIF(Transactions!$F$8:$F$3006,B228,Transactions!$R$8:$R$3006),"OWES","OVERPAID"))))</f>
        <v/>
      </c>
      <c r="I228" s="1"/>
    </row>
    <row r="229" spans="1:9" ht="18" customHeight="1" x14ac:dyDescent="0.25">
      <c r="A229" s="48">
        <v>214</v>
      </c>
      <c r="B229" s="49" t="str">
        <f t="array" ref="B229">IFERROR(IF(INDEX(Transactions!$F$8:$F$3006,MATCH(0,COUNTIF($B$11:B228,Transactions!$F$8:$F$3006),0))="","",INDEX(Transactions!$F$8:$F$3006,MATCH(0,COUNTIF($B$11:B228,Transactions!$F$8:$F$3006),0))),"")</f>
        <v/>
      </c>
      <c r="C229" s="50" t="str">
        <f>IF(B229="","",SUMIF(Transactions!$F$8:$F$3006,B229,Transactions!$H$8:$H$3006))</f>
        <v/>
      </c>
      <c r="D229" s="51" t="str">
        <f>IF(B229="","",SUMIF(Transactions!$F$8:$F$3006,B229,Transactions!$N$8:$N$3006))</f>
        <v/>
      </c>
      <c r="E229" s="52" t="str">
        <f>IF(B229="","",SUMIF(Transactions!$F$8:$F$3006,B229,Transactions!$O$8:$O$3006))</f>
        <v/>
      </c>
      <c r="F229" s="53" t="str">
        <f>IF(B229="","",SUMIF(Transactions!$F$8:$F$3006,B229,Transactions!$R$8:$R$3006))</f>
        <v/>
      </c>
      <c r="G229" s="54" t="str">
        <f>IF(B229="","",(C229+F229)-(D229+E229+SUMIF(Transactions!$F$8:$F$3006,B229,Transactions!$Q$8:$Q$3006)))</f>
        <v/>
      </c>
      <c r="H229" s="55" t="str">
        <f>IF(B229="","",IF(G229&gt;0,"OUTSTANDING",IF(G229=0,"SETTLED",IF(SUMIF(Transactions!$F$8:$F$3006,B229,Transactions!$Q$8:$Q$3006)&gt;SUMIF(Transactions!$F$8:$F$3006,B229,Transactions!$R$8:$R$3006),"OWES","OVERPAID"))))</f>
        <v/>
      </c>
      <c r="I229" s="1"/>
    </row>
    <row r="230" spans="1:9" ht="18" customHeight="1" x14ac:dyDescent="0.25">
      <c r="A230" s="40">
        <v>215</v>
      </c>
      <c r="B230" s="41" t="str">
        <f t="array" ref="B230">IFERROR(IF(INDEX(Transactions!$F$8:$F$3006,MATCH(0,COUNTIF($B$11:B229,Transactions!$F$8:$F$3006),0))="","",INDEX(Transactions!$F$8:$F$3006,MATCH(0,COUNTIF($B$11:B229,Transactions!$F$8:$F$3006),0))),"")</f>
        <v/>
      </c>
      <c r="C230" s="42" t="str">
        <f>IF(B230="","",SUMIF(Transactions!$F$8:$F$3006,B230,Transactions!$H$8:$H$3006))</f>
        <v/>
      </c>
      <c r="D230" s="43" t="str">
        <f>IF(B230="","",SUMIF(Transactions!$F$8:$F$3006,B230,Transactions!$N$8:$N$3006))</f>
        <v/>
      </c>
      <c r="E230" s="44" t="str">
        <f>IF(B230="","",SUMIF(Transactions!$F$8:$F$3006,B230,Transactions!$O$8:$O$3006))</f>
        <v/>
      </c>
      <c r="F230" s="45" t="str">
        <f>IF(B230="","",SUMIF(Transactions!$F$8:$F$3006,B230,Transactions!$R$8:$R$3006))</f>
        <v/>
      </c>
      <c r="G230" s="46" t="str">
        <f>IF(B230="","",(C230+F230)-(D230+E230+SUMIF(Transactions!$F$8:$F$3006,B230,Transactions!$Q$8:$Q$3006)))</f>
        <v/>
      </c>
      <c r="H230" s="47" t="str">
        <f>IF(B230="","",IF(G230&gt;0,"OUTSTANDING",IF(G230=0,"SETTLED",IF(SUMIF(Transactions!$F$8:$F$3006,B230,Transactions!$Q$8:$Q$3006)&gt;SUMIF(Transactions!$F$8:$F$3006,B230,Transactions!$R$8:$R$3006),"OWES","OVERPAID"))))</f>
        <v/>
      </c>
      <c r="I230" s="1"/>
    </row>
    <row r="231" spans="1:9" ht="18" customHeight="1" x14ac:dyDescent="0.25">
      <c r="A231" s="48">
        <v>216</v>
      </c>
      <c r="B231" s="49" t="str">
        <f t="array" ref="B231">IFERROR(IF(INDEX(Transactions!$F$8:$F$3006,MATCH(0,COUNTIF($B$11:B230,Transactions!$F$8:$F$3006),0))="","",INDEX(Transactions!$F$8:$F$3006,MATCH(0,COUNTIF($B$11:B230,Transactions!$F$8:$F$3006),0))),"")</f>
        <v/>
      </c>
      <c r="C231" s="50" t="str">
        <f>IF(B231="","",SUMIF(Transactions!$F$8:$F$3006,B231,Transactions!$H$8:$H$3006))</f>
        <v/>
      </c>
      <c r="D231" s="51" t="str">
        <f>IF(B231="","",SUMIF(Transactions!$F$8:$F$3006,B231,Transactions!$N$8:$N$3006))</f>
        <v/>
      </c>
      <c r="E231" s="52" t="str">
        <f>IF(B231="","",SUMIF(Transactions!$F$8:$F$3006,B231,Transactions!$O$8:$O$3006))</f>
        <v/>
      </c>
      <c r="F231" s="53" t="str">
        <f>IF(B231="","",SUMIF(Transactions!$F$8:$F$3006,B231,Transactions!$R$8:$R$3006))</f>
        <v/>
      </c>
      <c r="G231" s="54" t="str">
        <f>IF(B231="","",(C231+F231)-(D231+E231+SUMIF(Transactions!$F$8:$F$3006,B231,Transactions!$Q$8:$Q$3006)))</f>
        <v/>
      </c>
      <c r="H231" s="55" t="str">
        <f>IF(B231="","",IF(G231&gt;0,"OUTSTANDING",IF(G231=0,"SETTLED",IF(SUMIF(Transactions!$F$8:$F$3006,B231,Transactions!$Q$8:$Q$3006)&gt;SUMIF(Transactions!$F$8:$F$3006,B231,Transactions!$R$8:$R$3006),"OWES","OVERPAID"))))</f>
        <v/>
      </c>
      <c r="I231" s="1"/>
    </row>
    <row r="232" spans="1:9" ht="18" customHeight="1" x14ac:dyDescent="0.25">
      <c r="A232" s="40">
        <v>217</v>
      </c>
      <c r="B232" s="41" t="str">
        <f t="array" ref="B232">IFERROR(IF(INDEX(Transactions!$F$8:$F$3006,MATCH(0,COUNTIF($B$11:B231,Transactions!$F$8:$F$3006),0))="","",INDEX(Transactions!$F$8:$F$3006,MATCH(0,COUNTIF($B$11:B231,Transactions!$F$8:$F$3006),0))),"")</f>
        <v/>
      </c>
      <c r="C232" s="42" t="str">
        <f>IF(B232="","",SUMIF(Transactions!$F$8:$F$3006,B232,Transactions!$H$8:$H$3006))</f>
        <v/>
      </c>
      <c r="D232" s="43" t="str">
        <f>IF(B232="","",SUMIF(Transactions!$F$8:$F$3006,B232,Transactions!$N$8:$N$3006))</f>
        <v/>
      </c>
      <c r="E232" s="44" t="str">
        <f>IF(B232="","",SUMIF(Transactions!$F$8:$F$3006,B232,Transactions!$O$8:$O$3006))</f>
        <v/>
      </c>
      <c r="F232" s="45" t="str">
        <f>IF(B232="","",SUMIF(Transactions!$F$8:$F$3006,B232,Transactions!$R$8:$R$3006))</f>
        <v/>
      </c>
      <c r="G232" s="46" t="str">
        <f>IF(B232="","",(C232+F232)-(D232+E232+SUMIF(Transactions!$F$8:$F$3006,B232,Transactions!$Q$8:$Q$3006)))</f>
        <v/>
      </c>
      <c r="H232" s="47" t="str">
        <f>IF(B232="","",IF(G232&gt;0,"OUTSTANDING",IF(G232=0,"SETTLED",IF(SUMIF(Transactions!$F$8:$F$3006,B232,Transactions!$Q$8:$Q$3006)&gt;SUMIF(Transactions!$F$8:$F$3006,B232,Transactions!$R$8:$R$3006),"OWES","OVERPAID"))))</f>
        <v/>
      </c>
      <c r="I232" s="1"/>
    </row>
    <row r="233" spans="1:9" ht="18" customHeight="1" x14ac:dyDescent="0.25">
      <c r="A233" s="48">
        <v>218</v>
      </c>
      <c r="B233" s="49" t="str">
        <f t="array" ref="B233">IFERROR(IF(INDEX(Transactions!$F$8:$F$3006,MATCH(0,COUNTIF($B$11:B232,Transactions!$F$8:$F$3006),0))="","",INDEX(Transactions!$F$8:$F$3006,MATCH(0,COUNTIF($B$11:B232,Transactions!$F$8:$F$3006),0))),"")</f>
        <v/>
      </c>
      <c r="C233" s="50" t="str">
        <f>IF(B233="","",SUMIF(Transactions!$F$8:$F$3006,B233,Transactions!$H$8:$H$3006))</f>
        <v/>
      </c>
      <c r="D233" s="51" t="str">
        <f>IF(B233="","",SUMIF(Transactions!$F$8:$F$3006,B233,Transactions!$N$8:$N$3006))</f>
        <v/>
      </c>
      <c r="E233" s="52" t="str">
        <f>IF(B233="","",SUMIF(Transactions!$F$8:$F$3006,B233,Transactions!$O$8:$O$3006))</f>
        <v/>
      </c>
      <c r="F233" s="53" t="str">
        <f>IF(B233="","",SUMIF(Transactions!$F$8:$F$3006,B233,Transactions!$R$8:$R$3006))</f>
        <v/>
      </c>
      <c r="G233" s="54" t="str">
        <f>IF(B233="","",(C233+F233)-(D233+E233+SUMIF(Transactions!$F$8:$F$3006,B233,Transactions!$Q$8:$Q$3006)))</f>
        <v/>
      </c>
      <c r="H233" s="55" t="str">
        <f>IF(B233="","",IF(G233&gt;0,"OUTSTANDING",IF(G233=0,"SETTLED",IF(SUMIF(Transactions!$F$8:$F$3006,B233,Transactions!$Q$8:$Q$3006)&gt;SUMIF(Transactions!$F$8:$F$3006,B233,Transactions!$R$8:$R$3006),"OWES","OVERPAID"))))</f>
        <v/>
      </c>
      <c r="I233" s="1"/>
    </row>
    <row r="234" spans="1:9" ht="18" customHeight="1" x14ac:dyDescent="0.25">
      <c r="A234" s="40">
        <v>219</v>
      </c>
      <c r="B234" s="41" t="str">
        <f t="array" ref="B234">IFERROR(IF(INDEX(Transactions!$F$8:$F$3006,MATCH(0,COUNTIF($B$11:B233,Transactions!$F$8:$F$3006),0))="","",INDEX(Transactions!$F$8:$F$3006,MATCH(0,COUNTIF($B$11:B233,Transactions!$F$8:$F$3006),0))),"")</f>
        <v/>
      </c>
      <c r="C234" s="42" t="str">
        <f>IF(B234="","",SUMIF(Transactions!$F$8:$F$3006,B234,Transactions!$H$8:$H$3006))</f>
        <v/>
      </c>
      <c r="D234" s="43" t="str">
        <f>IF(B234="","",SUMIF(Transactions!$F$8:$F$3006,B234,Transactions!$N$8:$N$3006))</f>
        <v/>
      </c>
      <c r="E234" s="44" t="str">
        <f>IF(B234="","",SUMIF(Transactions!$F$8:$F$3006,B234,Transactions!$O$8:$O$3006))</f>
        <v/>
      </c>
      <c r="F234" s="45" t="str">
        <f>IF(B234="","",SUMIF(Transactions!$F$8:$F$3006,B234,Transactions!$R$8:$R$3006))</f>
        <v/>
      </c>
      <c r="G234" s="46" t="str">
        <f>IF(B234="","",(C234+F234)-(D234+E234+SUMIF(Transactions!$F$8:$F$3006,B234,Transactions!$Q$8:$Q$3006)))</f>
        <v/>
      </c>
      <c r="H234" s="47" t="str">
        <f>IF(B234="","",IF(G234&gt;0,"OUTSTANDING",IF(G234=0,"SETTLED",IF(SUMIF(Transactions!$F$8:$F$3006,B234,Transactions!$Q$8:$Q$3006)&gt;SUMIF(Transactions!$F$8:$F$3006,B234,Transactions!$R$8:$R$3006),"OWES","OVERPAID"))))</f>
        <v/>
      </c>
      <c r="I234" s="1"/>
    </row>
    <row r="235" spans="1:9" ht="18" customHeight="1" x14ac:dyDescent="0.25">
      <c r="A235" s="48">
        <v>220</v>
      </c>
      <c r="B235" s="49" t="str">
        <f t="array" ref="B235">IFERROR(IF(INDEX(Transactions!$F$8:$F$3006,MATCH(0,COUNTIF($B$11:B234,Transactions!$F$8:$F$3006),0))="","",INDEX(Transactions!$F$8:$F$3006,MATCH(0,COUNTIF($B$11:B234,Transactions!$F$8:$F$3006),0))),"")</f>
        <v/>
      </c>
      <c r="C235" s="50" t="str">
        <f>IF(B235="","",SUMIF(Transactions!$F$8:$F$3006,B235,Transactions!$H$8:$H$3006))</f>
        <v/>
      </c>
      <c r="D235" s="51" t="str">
        <f>IF(B235="","",SUMIF(Transactions!$F$8:$F$3006,B235,Transactions!$N$8:$N$3006))</f>
        <v/>
      </c>
      <c r="E235" s="52" t="str">
        <f>IF(B235="","",SUMIF(Transactions!$F$8:$F$3006,B235,Transactions!$O$8:$O$3006))</f>
        <v/>
      </c>
      <c r="F235" s="53" t="str">
        <f>IF(B235="","",SUMIF(Transactions!$F$8:$F$3006,B235,Transactions!$R$8:$R$3006))</f>
        <v/>
      </c>
      <c r="G235" s="54" t="str">
        <f>IF(B235="","",(C235+F235)-(D235+E235+SUMIF(Transactions!$F$8:$F$3006,B235,Transactions!$Q$8:$Q$3006)))</f>
        <v/>
      </c>
      <c r="H235" s="55" t="str">
        <f>IF(B235="","",IF(G235&gt;0,"OUTSTANDING",IF(G235=0,"SETTLED",IF(SUMIF(Transactions!$F$8:$F$3006,B235,Transactions!$Q$8:$Q$3006)&gt;SUMIF(Transactions!$F$8:$F$3006,B235,Transactions!$R$8:$R$3006),"OWES","OVERPAID"))))</f>
        <v/>
      </c>
      <c r="I235" s="1"/>
    </row>
    <row r="236" spans="1:9" ht="18" customHeight="1" x14ac:dyDescent="0.25">
      <c r="A236" s="40">
        <v>221</v>
      </c>
      <c r="B236" s="41" t="str">
        <f t="array" ref="B236">IFERROR(IF(INDEX(Transactions!$F$8:$F$3006,MATCH(0,COUNTIF($B$11:B235,Transactions!$F$8:$F$3006),0))="","",INDEX(Transactions!$F$8:$F$3006,MATCH(0,COUNTIF($B$11:B235,Transactions!$F$8:$F$3006),0))),"")</f>
        <v/>
      </c>
      <c r="C236" s="42" t="str">
        <f>IF(B236="","",SUMIF(Transactions!$F$8:$F$3006,B236,Transactions!$H$8:$H$3006))</f>
        <v/>
      </c>
      <c r="D236" s="43" t="str">
        <f>IF(B236="","",SUMIF(Transactions!$F$8:$F$3006,B236,Transactions!$N$8:$N$3006))</f>
        <v/>
      </c>
      <c r="E236" s="44" t="str">
        <f>IF(B236="","",SUMIF(Transactions!$F$8:$F$3006,B236,Transactions!$O$8:$O$3006))</f>
        <v/>
      </c>
      <c r="F236" s="45" t="str">
        <f>IF(B236="","",SUMIF(Transactions!$F$8:$F$3006,B236,Transactions!$R$8:$R$3006))</f>
        <v/>
      </c>
      <c r="G236" s="46" t="str">
        <f>IF(B236="","",(C236+F236)-(D236+E236+SUMIF(Transactions!$F$8:$F$3006,B236,Transactions!$Q$8:$Q$3006)))</f>
        <v/>
      </c>
      <c r="H236" s="47" t="str">
        <f>IF(B236="","",IF(G236&gt;0,"OUTSTANDING",IF(G236=0,"SETTLED",IF(SUMIF(Transactions!$F$8:$F$3006,B236,Transactions!$Q$8:$Q$3006)&gt;SUMIF(Transactions!$F$8:$F$3006,B236,Transactions!$R$8:$R$3006),"OWES","OVERPAID"))))</f>
        <v/>
      </c>
      <c r="I236" s="1"/>
    </row>
    <row r="237" spans="1:9" ht="18" customHeight="1" x14ac:dyDescent="0.25">
      <c r="A237" s="48">
        <v>222</v>
      </c>
      <c r="B237" s="49" t="str">
        <f t="array" ref="B237">IFERROR(IF(INDEX(Transactions!$F$8:$F$3006,MATCH(0,COUNTIF($B$11:B236,Transactions!$F$8:$F$3006),0))="","",INDEX(Transactions!$F$8:$F$3006,MATCH(0,COUNTIF($B$11:B236,Transactions!$F$8:$F$3006),0))),"")</f>
        <v/>
      </c>
      <c r="C237" s="50" t="str">
        <f>IF(B237="","",SUMIF(Transactions!$F$8:$F$3006,B237,Transactions!$H$8:$H$3006))</f>
        <v/>
      </c>
      <c r="D237" s="51" t="str">
        <f>IF(B237="","",SUMIF(Transactions!$F$8:$F$3006,B237,Transactions!$N$8:$N$3006))</f>
        <v/>
      </c>
      <c r="E237" s="52" t="str">
        <f>IF(B237="","",SUMIF(Transactions!$F$8:$F$3006,B237,Transactions!$O$8:$O$3006))</f>
        <v/>
      </c>
      <c r="F237" s="53" t="str">
        <f>IF(B237="","",SUMIF(Transactions!$F$8:$F$3006,B237,Transactions!$R$8:$R$3006))</f>
        <v/>
      </c>
      <c r="G237" s="54" t="str">
        <f>IF(B237="","",(C237+F237)-(D237+E237+SUMIF(Transactions!$F$8:$F$3006,B237,Transactions!$Q$8:$Q$3006)))</f>
        <v/>
      </c>
      <c r="H237" s="55" t="str">
        <f>IF(B237="","",IF(G237&gt;0,"OUTSTANDING",IF(G237=0,"SETTLED",IF(SUMIF(Transactions!$F$8:$F$3006,B237,Transactions!$Q$8:$Q$3006)&gt;SUMIF(Transactions!$F$8:$F$3006,B237,Transactions!$R$8:$R$3006),"OWES","OVERPAID"))))</f>
        <v/>
      </c>
      <c r="I237" s="1"/>
    </row>
    <row r="238" spans="1:9" ht="18" customHeight="1" x14ac:dyDescent="0.25">
      <c r="A238" s="40">
        <v>223</v>
      </c>
      <c r="B238" s="41" t="str">
        <f t="array" ref="B238">IFERROR(IF(INDEX(Transactions!$F$8:$F$3006,MATCH(0,COUNTIF($B$11:B237,Transactions!$F$8:$F$3006),0))="","",INDEX(Transactions!$F$8:$F$3006,MATCH(0,COUNTIF($B$11:B237,Transactions!$F$8:$F$3006),0))),"")</f>
        <v/>
      </c>
      <c r="C238" s="42" t="str">
        <f>IF(B238="","",SUMIF(Transactions!$F$8:$F$3006,B238,Transactions!$H$8:$H$3006))</f>
        <v/>
      </c>
      <c r="D238" s="43" t="str">
        <f>IF(B238="","",SUMIF(Transactions!$F$8:$F$3006,B238,Transactions!$N$8:$N$3006))</f>
        <v/>
      </c>
      <c r="E238" s="44" t="str">
        <f>IF(B238="","",SUMIF(Transactions!$F$8:$F$3006,B238,Transactions!$O$8:$O$3006))</f>
        <v/>
      </c>
      <c r="F238" s="45" t="str">
        <f>IF(B238="","",SUMIF(Transactions!$F$8:$F$3006,B238,Transactions!$R$8:$R$3006))</f>
        <v/>
      </c>
      <c r="G238" s="46" t="str">
        <f>IF(B238="","",(C238+F238)-(D238+E238+SUMIF(Transactions!$F$8:$F$3006,B238,Transactions!$Q$8:$Q$3006)))</f>
        <v/>
      </c>
      <c r="H238" s="47" t="str">
        <f>IF(B238="","",IF(G238&gt;0,"OUTSTANDING",IF(G238=0,"SETTLED",IF(SUMIF(Transactions!$F$8:$F$3006,B238,Transactions!$Q$8:$Q$3006)&gt;SUMIF(Transactions!$F$8:$F$3006,B238,Transactions!$R$8:$R$3006),"OWES","OVERPAID"))))</f>
        <v/>
      </c>
      <c r="I238" s="1"/>
    </row>
    <row r="239" spans="1:9" ht="18" customHeight="1" x14ac:dyDescent="0.25">
      <c r="A239" s="48">
        <v>224</v>
      </c>
      <c r="B239" s="49" t="str">
        <f t="array" ref="B239">IFERROR(IF(INDEX(Transactions!$F$8:$F$3006,MATCH(0,COUNTIF($B$11:B238,Transactions!$F$8:$F$3006),0))="","",INDEX(Transactions!$F$8:$F$3006,MATCH(0,COUNTIF($B$11:B238,Transactions!$F$8:$F$3006),0))),"")</f>
        <v/>
      </c>
      <c r="C239" s="50" t="str">
        <f>IF(B239="","",SUMIF(Transactions!$F$8:$F$3006,B239,Transactions!$H$8:$H$3006))</f>
        <v/>
      </c>
      <c r="D239" s="51" t="str">
        <f>IF(B239="","",SUMIF(Transactions!$F$8:$F$3006,B239,Transactions!$N$8:$N$3006))</f>
        <v/>
      </c>
      <c r="E239" s="52" t="str">
        <f>IF(B239="","",SUMIF(Transactions!$F$8:$F$3006,B239,Transactions!$O$8:$O$3006))</f>
        <v/>
      </c>
      <c r="F239" s="53" t="str">
        <f>IF(B239="","",SUMIF(Transactions!$F$8:$F$3006,B239,Transactions!$R$8:$R$3006))</f>
        <v/>
      </c>
      <c r="G239" s="54" t="str">
        <f>IF(B239="","",(C239+F239)-(D239+E239+SUMIF(Transactions!$F$8:$F$3006,B239,Transactions!$Q$8:$Q$3006)))</f>
        <v/>
      </c>
      <c r="H239" s="55" t="str">
        <f>IF(B239="","",IF(G239&gt;0,"OUTSTANDING",IF(G239=0,"SETTLED",IF(SUMIF(Transactions!$F$8:$F$3006,B239,Transactions!$Q$8:$Q$3006)&gt;SUMIF(Transactions!$F$8:$F$3006,B239,Transactions!$R$8:$R$3006),"OWES","OVERPAID"))))</f>
        <v/>
      </c>
      <c r="I239" s="1"/>
    </row>
    <row r="240" spans="1:9" ht="18" customHeight="1" x14ac:dyDescent="0.25">
      <c r="A240" s="40">
        <v>225</v>
      </c>
      <c r="B240" s="41" t="str">
        <f t="array" ref="B240">IFERROR(IF(INDEX(Transactions!$F$8:$F$3006,MATCH(0,COUNTIF($B$11:B239,Transactions!$F$8:$F$3006),0))="","",INDEX(Transactions!$F$8:$F$3006,MATCH(0,COUNTIF($B$11:B239,Transactions!$F$8:$F$3006),0))),"")</f>
        <v/>
      </c>
      <c r="C240" s="42" t="str">
        <f>IF(B240="","",SUMIF(Transactions!$F$8:$F$3006,B240,Transactions!$H$8:$H$3006))</f>
        <v/>
      </c>
      <c r="D240" s="43" t="str">
        <f>IF(B240="","",SUMIF(Transactions!$F$8:$F$3006,B240,Transactions!$N$8:$N$3006))</f>
        <v/>
      </c>
      <c r="E240" s="44" t="str">
        <f>IF(B240="","",SUMIF(Transactions!$F$8:$F$3006,B240,Transactions!$O$8:$O$3006))</f>
        <v/>
      </c>
      <c r="F240" s="45" t="str">
        <f>IF(B240="","",SUMIF(Transactions!$F$8:$F$3006,B240,Transactions!$R$8:$R$3006))</f>
        <v/>
      </c>
      <c r="G240" s="46" t="str">
        <f>IF(B240="","",(C240+F240)-(D240+E240+SUMIF(Transactions!$F$8:$F$3006,B240,Transactions!$Q$8:$Q$3006)))</f>
        <v/>
      </c>
      <c r="H240" s="47" t="str">
        <f>IF(B240="","",IF(G240&gt;0,"OUTSTANDING",IF(G240=0,"SETTLED",IF(SUMIF(Transactions!$F$8:$F$3006,B240,Transactions!$Q$8:$Q$3006)&gt;SUMIF(Transactions!$F$8:$F$3006,B240,Transactions!$R$8:$R$3006),"OWES","OVERPAID"))))</f>
        <v/>
      </c>
      <c r="I240" s="1"/>
    </row>
    <row r="241" spans="1:9" ht="18" customHeight="1" x14ac:dyDescent="0.25">
      <c r="A241" s="48">
        <v>226</v>
      </c>
      <c r="B241" s="49" t="str">
        <f t="array" ref="B241">IFERROR(IF(INDEX(Transactions!$F$8:$F$3006,MATCH(0,COUNTIF($B$11:B240,Transactions!$F$8:$F$3006),0))="","",INDEX(Transactions!$F$8:$F$3006,MATCH(0,COUNTIF($B$11:B240,Transactions!$F$8:$F$3006),0))),"")</f>
        <v/>
      </c>
      <c r="C241" s="50" t="str">
        <f>IF(B241="","",SUMIF(Transactions!$F$8:$F$3006,B241,Transactions!$H$8:$H$3006))</f>
        <v/>
      </c>
      <c r="D241" s="51" t="str">
        <f>IF(B241="","",SUMIF(Transactions!$F$8:$F$3006,B241,Transactions!$N$8:$N$3006))</f>
        <v/>
      </c>
      <c r="E241" s="52" t="str">
        <f>IF(B241="","",SUMIF(Transactions!$F$8:$F$3006,B241,Transactions!$O$8:$O$3006))</f>
        <v/>
      </c>
      <c r="F241" s="53" t="str">
        <f>IF(B241="","",SUMIF(Transactions!$F$8:$F$3006,B241,Transactions!$R$8:$R$3006))</f>
        <v/>
      </c>
      <c r="G241" s="54" t="str">
        <f>IF(B241="","",(C241+F241)-(D241+E241+SUMIF(Transactions!$F$8:$F$3006,B241,Transactions!$Q$8:$Q$3006)))</f>
        <v/>
      </c>
      <c r="H241" s="55" t="str">
        <f>IF(B241="","",IF(G241&gt;0,"OUTSTANDING",IF(G241=0,"SETTLED",IF(SUMIF(Transactions!$F$8:$F$3006,B241,Transactions!$Q$8:$Q$3006)&gt;SUMIF(Transactions!$F$8:$F$3006,B241,Transactions!$R$8:$R$3006),"OWES","OVERPAID"))))</f>
        <v/>
      </c>
      <c r="I241" s="1"/>
    </row>
    <row r="242" spans="1:9" ht="18" customHeight="1" x14ac:dyDescent="0.25">
      <c r="A242" s="40">
        <v>227</v>
      </c>
      <c r="B242" s="41" t="str">
        <f t="array" ref="B242">IFERROR(IF(INDEX(Transactions!$F$8:$F$3006,MATCH(0,COUNTIF($B$11:B241,Transactions!$F$8:$F$3006),0))="","",INDEX(Transactions!$F$8:$F$3006,MATCH(0,COUNTIF($B$11:B241,Transactions!$F$8:$F$3006),0))),"")</f>
        <v/>
      </c>
      <c r="C242" s="42" t="str">
        <f>IF(B242="","",SUMIF(Transactions!$F$8:$F$3006,B242,Transactions!$H$8:$H$3006))</f>
        <v/>
      </c>
      <c r="D242" s="43" t="str">
        <f>IF(B242="","",SUMIF(Transactions!$F$8:$F$3006,B242,Transactions!$N$8:$N$3006))</f>
        <v/>
      </c>
      <c r="E242" s="44" t="str">
        <f>IF(B242="","",SUMIF(Transactions!$F$8:$F$3006,B242,Transactions!$O$8:$O$3006))</f>
        <v/>
      </c>
      <c r="F242" s="45" t="str">
        <f>IF(B242="","",SUMIF(Transactions!$F$8:$F$3006,B242,Transactions!$R$8:$R$3006))</f>
        <v/>
      </c>
      <c r="G242" s="46" t="str">
        <f>IF(B242="","",(C242+F242)-(D242+E242+SUMIF(Transactions!$F$8:$F$3006,B242,Transactions!$Q$8:$Q$3006)))</f>
        <v/>
      </c>
      <c r="H242" s="47" t="str">
        <f>IF(B242="","",IF(G242&gt;0,"OUTSTANDING",IF(G242=0,"SETTLED",IF(SUMIF(Transactions!$F$8:$F$3006,B242,Transactions!$Q$8:$Q$3006)&gt;SUMIF(Transactions!$F$8:$F$3006,B242,Transactions!$R$8:$R$3006),"OWES","OVERPAID"))))</f>
        <v/>
      </c>
      <c r="I242" s="1"/>
    </row>
    <row r="243" spans="1:9" ht="18" customHeight="1" x14ac:dyDescent="0.25">
      <c r="A243" s="48">
        <v>228</v>
      </c>
      <c r="B243" s="49" t="str">
        <f t="array" ref="B243">IFERROR(IF(INDEX(Transactions!$F$8:$F$3006,MATCH(0,COUNTIF($B$11:B242,Transactions!$F$8:$F$3006),0))="","",INDEX(Transactions!$F$8:$F$3006,MATCH(0,COUNTIF($B$11:B242,Transactions!$F$8:$F$3006),0))),"")</f>
        <v/>
      </c>
      <c r="C243" s="50" t="str">
        <f>IF(B243="","",SUMIF(Transactions!$F$8:$F$3006,B243,Transactions!$H$8:$H$3006))</f>
        <v/>
      </c>
      <c r="D243" s="51" t="str">
        <f>IF(B243="","",SUMIF(Transactions!$F$8:$F$3006,B243,Transactions!$N$8:$N$3006))</f>
        <v/>
      </c>
      <c r="E243" s="52" t="str">
        <f>IF(B243="","",SUMIF(Transactions!$F$8:$F$3006,B243,Transactions!$O$8:$O$3006))</f>
        <v/>
      </c>
      <c r="F243" s="53" t="str">
        <f>IF(B243="","",SUMIF(Transactions!$F$8:$F$3006,B243,Transactions!$R$8:$R$3006))</f>
        <v/>
      </c>
      <c r="G243" s="54" t="str">
        <f>IF(B243="","",(C243+F243)-(D243+E243+SUMIF(Transactions!$F$8:$F$3006,B243,Transactions!$Q$8:$Q$3006)))</f>
        <v/>
      </c>
      <c r="H243" s="55" t="str">
        <f>IF(B243="","",IF(G243&gt;0,"OUTSTANDING",IF(G243=0,"SETTLED",IF(SUMIF(Transactions!$F$8:$F$3006,B243,Transactions!$Q$8:$Q$3006)&gt;SUMIF(Transactions!$F$8:$F$3006,B243,Transactions!$R$8:$R$3006),"OWES","OVERPAID"))))</f>
        <v/>
      </c>
      <c r="I243" s="1"/>
    </row>
    <row r="244" spans="1:9" ht="18" customHeight="1" x14ac:dyDescent="0.25">
      <c r="A244" s="40">
        <v>229</v>
      </c>
      <c r="B244" s="41" t="str">
        <f t="array" ref="B244">IFERROR(IF(INDEX(Transactions!$F$8:$F$3006,MATCH(0,COUNTIF($B$11:B243,Transactions!$F$8:$F$3006),0))="","",INDEX(Transactions!$F$8:$F$3006,MATCH(0,COUNTIF($B$11:B243,Transactions!$F$8:$F$3006),0))),"")</f>
        <v/>
      </c>
      <c r="C244" s="42" t="str">
        <f>IF(B244="","",SUMIF(Transactions!$F$8:$F$3006,B244,Transactions!$H$8:$H$3006))</f>
        <v/>
      </c>
      <c r="D244" s="43" t="str">
        <f>IF(B244="","",SUMIF(Transactions!$F$8:$F$3006,B244,Transactions!$N$8:$N$3006))</f>
        <v/>
      </c>
      <c r="E244" s="44" t="str">
        <f>IF(B244="","",SUMIF(Transactions!$F$8:$F$3006,B244,Transactions!$O$8:$O$3006))</f>
        <v/>
      </c>
      <c r="F244" s="45" t="str">
        <f>IF(B244="","",SUMIF(Transactions!$F$8:$F$3006,B244,Transactions!$R$8:$R$3006))</f>
        <v/>
      </c>
      <c r="G244" s="46" t="str">
        <f>IF(B244="","",(C244+F244)-(D244+E244+SUMIF(Transactions!$F$8:$F$3006,B244,Transactions!$Q$8:$Q$3006)))</f>
        <v/>
      </c>
      <c r="H244" s="47" t="str">
        <f>IF(B244="","",IF(G244&gt;0,"OUTSTANDING",IF(G244=0,"SETTLED",IF(SUMIF(Transactions!$F$8:$F$3006,B244,Transactions!$Q$8:$Q$3006)&gt;SUMIF(Transactions!$F$8:$F$3006,B244,Transactions!$R$8:$R$3006),"OWES","OVERPAID"))))</f>
        <v/>
      </c>
      <c r="I244" s="1"/>
    </row>
    <row r="245" spans="1:9" ht="18" customHeight="1" x14ac:dyDescent="0.25">
      <c r="A245" s="48">
        <v>230</v>
      </c>
      <c r="B245" s="49" t="str">
        <f t="array" ref="B245">IFERROR(IF(INDEX(Transactions!$F$8:$F$3006,MATCH(0,COUNTIF($B$11:B244,Transactions!$F$8:$F$3006),0))="","",INDEX(Transactions!$F$8:$F$3006,MATCH(0,COUNTIF($B$11:B244,Transactions!$F$8:$F$3006),0))),"")</f>
        <v/>
      </c>
      <c r="C245" s="50" t="str">
        <f>IF(B245="","",SUMIF(Transactions!$F$8:$F$3006,B245,Transactions!$H$8:$H$3006))</f>
        <v/>
      </c>
      <c r="D245" s="51" t="str">
        <f>IF(B245="","",SUMIF(Transactions!$F$8:$F$3006,B245,Transactions!$N$8:$N$3006))</f>
        <v/>
      </c>
      <c r="E245" s="52" t="str">
        <f>IF(B245="","",SUMIF(Transactions!$F$8:$F$3006,B245,Transactions!$O$8:$O$3006))</f>
        <v/>
      </c>
      <c r="F245" s="53" t="str">
        <f>IF(B245="","",SUMIF(Transactions!$F$8:$F$3006,B245,Transactions!$R$8:$R$3006))</f>
        <v/>
      </c>
      <c r="G245" s="54" t="str">
        <f>IF(B245="","",(C245+F245)-(D245+E245+SUMIF(Transactions!$F$8:$F$3006,B245,Transactions!$Q$8:$Q$3006)))</f>
        <v/>
      </c>
      <c r="H245" s="55" t="str">
        <f>IF(B245="","",IF(G245&gt;0,"OUTSTANDING",IF(G245=0,"SETTLED",IF(SUMIF(Transactions!$F$8:$F$3006,B245,Transactions!$Q$8:$Q$3006)&gt;SUMIF(Transactions!$F$8:$F$3006,B245,Transactions!$R$8:$R$3006),"OWES","OVERPAID"))))</f>
        <v/>
      </c>
      <c r="I245" s="1"/>
    </row>
    <row r="246" spans="1:9" ht="18" customHeight="1" x14ac:dyDescent="0.25">
      <c r="A246" s="40">
        <v>231</v>
      </c>
      <c r="B246" s="41" t="str">
        <f t="array" ref="B246">IFERROR(IF(INDEX(Transactions!$F$8:$F$3006,MATCH(0,COUNTIF($B$11:B245,Transactions!$F$8:$F$3006),0))="","",INDEX(Transactions!$F$8:$F$3006,MATCH(0,COUNTIF($B$11:B245,Transactions!$F$8:$F$3006),0))),"")</f>
        <v/>
      </c>
      <c r="C246" s="42" t="str">
        <f>IF(B246="","",SUMIF(Transactions!$F$8:$F$3006,B246,Transactions!$H$8:$H$3006))</f>
        <v/>
      </c>
      <c r="D246" s="43" t="str">
        <f>IF(B246="","",SUMIF(Transactions!$F$8:$F$3006,B246,Transactions!$N$8:$N$3006))</f>
        <v/>
      </c>
      <c r="E246" s="44" t="str">
        <f>IF(B246="","",SUMIF(Transactions!$F$8:$F$3006,B246,Transactions!$O$8:$O$3006))</f>
        <v/>
      </c>
      <c r="F246" s="45" t="str">
        <f>IF(B246="","",SUMIF(Transactions!$F$8:$F$3006,B246,Transactions!$R$8:$R$3006))</f>
        <v/>
      </c>
      <c r="G246" s="46" t="str">
        <f>IF(B246="","",(C246+F246)-(D246+E246+SUMIF(Transactions!$F$8:$F$3006,B246,Transactions!$Q$8:$Q$3006)))</f>
        <v/>
      </c>
      <c r="H246" s="47" t="str">
        <f>IF(B246="","",IF(G246&gt;0,"OUTSTANDING",IF(G246=0,"SETTLED",IF(SUMIF(Transactions!$F$8:$F$3006,B246,Transactions!$Q$8:$Q$3006)&gt;SUMIF(Transactions!$F$8:$F$3006,B246,Transactions!$R$8:$R$3006),"OWES","OVERPAID"))))</f>
        <v/>
      </c>
      <c r="I246" s="1"/>
    </row>
    <row r="247" spans="1:9" ht="18" customHeight="1" x14ac:dyDescent="0.25">
      <c r="A247" s="48">
        <v>232</v>
      </c>
      <c r="B247" s="49" t="str">
        <f t="array" ref="B247">IFERROR(IF(INDEX(Transactions!$F$8:$F$3006,MATCH(0,COUNTIF($B$11:B246,Transactions!$F$8:$F$3006),0))="","",INDEX(Transactions!$F$8:$F$3006,MATCH(0,COUNTIF($B$11:B246,Transactions!$F$8:$F$3006),0))),"")</f>
        <v/>
      </c>
      <c r="C247" s="50" t="str">
        <f>IF(B247="","",SUMIF(Transactions!$F$8:$F$3006,B247,Transactions!$H$8:$H$3006))</f>
        <v/>
      </c>
      <c r="D247" s="51" t="str">
        <f>IF(B247="","",SUMIF(Transactions!$F$8:$F$3006,B247,Transactions!$N$8:$N$3006))</f>
        <v/>
      </c>
      <c r="E247" s="52" t="str">
        <f>IF(B247="","",SUMIF(Transactions!$F$8:$F$3006,B247,Transactions!$O$8:$O$3006))</f>
        <v/>
      </c>
      <c r="F247" s="53" t="str">
        <f>IF(B247="","",SUMIF(Transactions!$F$8:$F$3006,B247,Transactions!$R$8:$R$3006))</f>
        <v/>
      </c>
      <c r="G247" s="54" t="str">
        <f>IF(B247="","",(C247+F247)-(D247+E247+SUMIF(Transactions!$F$8:$F$3006,B247,Transactions!$Q$8:$Q$3006)))</f>
        <v/>
      </c>
      <c r="H247" s="55" t="str">
        <f>IF(B247="","",IF(G247&gt;0,"OUTSTANDING",IF(G247=0,"SETTLED",IF(SUMIF(Transactions!$F$8:$F$3006,B247,Transactions!$Q$8:$Q$3006)&gt;SUMIF(Transactions!$F$8:$F$3006,B247,Transactions!$R$8:$R$3006),"OWES","OVERPAID"))))</f>
        <v/>
      </c>
      <c r="I247" s="1"/>
    </row>
    <row r="248" spans="1:9" ht="18" customHeight="1" x14ac:dyDescent="0.25">
      <c r="A248" s="40">
        <v>233</v>
      </c>
      <c r="B248" s="41" t="str">
        <f t="array" ref="B248">IFERROR(IF(INDEX(Transactions!$F$8:$F$3006,MATCH(0,COUNTIF($B$11:B247,Transactions!$F$8:$F$3006),0))="","",INDEX(Transactions!$F$8:$F$3006,MATCH(0,COUNTIF($B$11:B247,Transactions!$F$8:$F$3006),0))),"")</f>
        <v/>
      </c>
      <c r="C248" s="42" t="str">
        <f>IF(B248="","",SUMIF(Transactions!$F$8:$F$3006,B248,Transactions!$H$8:$H$3006))</f>
        <v/>
      </c>
      <c r="D248" s="43" t="str">
        <f>IF(B248="","",SUMIF(Transactions!$F$8:$F$3006,B248,Transactions!$N$8:$N$3006))</f>
        <v/>
      </c>
      <c r="E248" s="44" t="str">
        <f>IF(B248="","",SUMIF(Transactions!$F$8:$F$3006,B248,Transactions!$O$8:$O$3006))</f>
        <v/>
      </c>
      <c r="F248" s="45" t="str">
        <f>IF(B248="","",SUMIF(Transactions!$F$8:$F$3006,B248,Transactions!$R$8:$R$3006))</f>
        <v/>
      </c>
      <c r="G248" s="46" t="str">
        <f>IF(B248="","",(C248+F248)-(D248+E248+SUMIF(Transactions!$F$8:$F$3006,B248,Transactions!$Q$8:$Q$3006)))</f>
        <v/>
      </c>
      <c r="H248" s="47" t="str">
        <f>IF(B248="","",IF(G248&gt;0,"OUTSTANDING",IF(G248=0,"SETTLED",IF(SUMIF(Transactions!$F$8:$F$3006,B248,Transactions!$Q$8:$Q$3006)&gt;SUMIF(Transactions!$F$8:$F$3006,B248,Transactions!$R$8:$R$3006),"OWES","OVERPAID"))))</f>
        <v/>
      </c>
      <c r="I248" s="1"/>
    </row>
    <row r="249" spans="1:9" ht="18" customHeight="1" x14ac:dyDescent="0.25">
      <c r="A249" s="48">
        <v>234</v>
      </c>
      <c r="B249" s="49" t="str">
        <f t="array" ref="B249">IFERROR(IF(INDEX(Transactions!$F$8:$F$3006,MATCH(0,COUNTIF($B$11:B248,Transactions!$F$8:$F$3006),0))="","",INDEX(Transactions!$F$8:$F$3006,MATCH(0,COUNTIF($B$11:B248,Transactions!$F$8:$F$3006),0))),"")</f>
        <v/>
      </c>
      <c r="C249" s="50" t="str">
        <f>IF(B249="","",SUMIF(Transactions!$F$8:$F$3006,B249,Transactions!$H$8:$H$3006))</f>
        <v/>
      </c>
      <c r="D249" s="51" t="str">
        <f>IF(B249="","",SUMIF(Transactions!$F$8:$F$3006,B249,Transactions!$N$8:$N$3006))</f>
        <v/>
      </c>
      <c r="E249" s="52" t="str">
        <f>IF(B249="","",SUMIF(Transactions!$F$8:$F$3006,B249,Transactions!$O$8:$O$3006))</f>
        <v/>
      </c>
      <c r="F249" s="53" t="str">
        <f>IF(B249="","",SUMIF(Transactions!$F$8:$F$3006,B249,Transactions!$R$8:$R$3006))</f>
        <v/>
      </c>
      <c r="G249" s="54" t="str">
        <f>IF(B249="","",(C249+F249)-(D249+E249+SUMIF(Transactions!$F$8:$F$3006,B249,Transactions!$Q$8:$Q$3006)))</f>
        <v/>
      </c>
      <c r="H249" s="55" t="str">
        <f>IF(B249="","",IF(G249&gt;0,"OUTSTANDING",IF(G249=0,"SETTLED",IF(SUMIF(Transactions!$F$8:$F$3006,B249,Transactions!$Q$8:$Q$3006)&gt;SUMIF(Transactions!$F$8:$F$3006,B249,Transactions!$R$8:$R$3006),"OWES","OVERPAID"))))</f>
        <v/>
      </c>
      <c r="I249" s="1"/>
    </row>
    <row r="250" spans="1:9" ht="18" customHeight="1" x14ac:dyDescent="0.25">
      <c r="A250" s="40">
        <v>235</v>
      </c>
      <c r="B250" s="41" t="str">
        <f t="array" ref="B250">IFERROR(IF(INDEX(Transactions!$F$8:$F$3006,MATCH(0,COUNTIF($B$11:B249,Transactions!$F$8:$F$3006),0))="","",INDEX(Transactions!$F$8:$F$3006,MATCH(0,COUNTIF($B$11:B249,Transactions!$F$8:$F$3006),0))),"")</f>
        <v/>
      </c>
      <c r="C250" s="42" t="str">
        <f>IF(B250="","",SUMIF(Transactions!$F$8:$F$3006,B250,Transactions!$H$8:$H$3006))</f>
        <v/>
      </c>
      <c r="D250" s="43" t="str">
        <f>IF(B250="","",SUMIF(Transactions!$F$8:$F$3006,B250,Transactions!$N$8:$N$3006))</f>
        <v/>
      </c>
      <c r="E250" s="44" t="str">
        <f>IF(B250="","",SUMIF(Transactions!$F$8:$F$3006,B250,Transactions!$O$8:$O$3006))</f>
        <v/>
      </c>
      <c r="F250" s="45" t="str">
        <f>IF(B250="","",SUMIF(Transactions!$F$8:$F$3006,B250,Transactions!$R$8:$R$3006))</f>
        <v/>
      </c>
      <c r="G250" s="46" t="str">
        <f>IF(B250="","",(C250+F250)-(D250+E250+SUMIF(Transactions!$F$8:$F$3006,B250,Transactions!$Q$8:$Q$3006)))</f>
        <v/>
      </c>
      <c r="H250" s="47" t="str">
        <f>IF(B250="","",IF(G250&gt;0,"OUTSTANDING",IF(G250=0,"SETTLED",IF(SUMIF(Transactions!$F$8:$F$3006,B250,Transactions!$Q$8:$Q$3006)&gt;SUMIF(Transactions!$F$8:$F$3006,B250,Transactions!$R$8:$R$3006),"OWES","OVERPAID"))))</f>
        <v/>
      </c>
      <c r="I250" s="1"/>
    </row>
    <row r="251" spans="1:9" ht="18" customHeight="1" x14ac:dyDescent="0.25">
      <c r="A251" s="48">
        <v>236</v>
      </c>
      <c r="B251" s="49" t="str">
        <f t="array" ref="B251">IFERROR(IF(INDEX(Transactions!$F$8:$F$3006,MATCH(0,COUNTIF($B$11:B250,Transactions!$F$8:$F$3006),0))="","",INDEX(Transactions!$F$8:$F$3006,MATCH(0,COUNTIF($B$11:B250,Transactions!$F$8:$F$3006),0))),"")</f>
        <v/>
      </c>
      <c r="C251" s="50" t="str">
        <f>IF(B251="","",SUMIF(Transactions!$F$8:$F$3006,B251,Transactions!$H$8:$H$3006))</f>
        <v/>
      </c>
      <c r="D251" s="51" t="str">
        <f>IF(B251="","",SUMIF(Transactions!$F$8:$F$3006,B251,Transactions!$N$8:$N$3006))</f>
        <v/>
      </c>
      <c r="E251" s="52" t="str">
        <f>IF(B251="","",SUMIF(Transactions!$F$8:$F$3006,B251,Transactions!$O$8:$O$3006))</f>
        <v/>
      </c>
      <c r="F251" s="53" t="str">
        <f>IF(B251="","",SUMIF(Transactions!$F$8:$F$3006,B251,Transactions!$R$8:$R$3006))</f>
        <v/>
      </c>
      <c r="G251" s="54" t="str">
        <f>IF(B251="","",(C251+F251)-(D251+E251+SUMIF(Transactions!$F$8:$F$3006,B251,Transactions!$Q$8:$Q$3006)))</f>
        <v/>
      </c>
      <c r="H251" s="55" t="str">
        <f>IF(B251="","",IF(G251&gt;0,"OUTSTANDING",IF(G251=0,"SETTLED",IF(SUMIF(Transactions!$F$8:$F$3006,B251,Transactions!$Q$8:$Q$3006)&gt;SUMIF(Transactions!$F$8:$F$3006,B251,Transactions!$R$8:$R$3006),"OWES","OVERPAID"))))</f>
        <v/>
      </c>
      <c r="I251" s="1"/>
    </row>
    <row r="252" spans="1:9" ht="18" customHeight="1" x14ac:dyDescent="0.25">
      <c r="A252" s="40">
        <v>237</v>
      </c>
      <c r="B252" s="41" t="str">
        <f t="array" ref="B252">IFERROR(IF(INDEX(Transactions!$F$8:$F$3006,MATCH(0,COUNTIF($B$11:B251,Transactions!$F$8:$F$3006),0))="","",INDEX(Transactions!$F$8:$F$3006,MATCH(0,COUNTIF($B$11:B251,Transactions!$F$8:$F$3006),0))),"")</f>
        <v/>
      </c>
      <c r="C252" s="42" t="str">
        <f>IF(B252="","",SUMIF(Transactions!$F$8:$F$3006,B252,Transactions!$H$8:$H$3006))</f>
        <v/>
      </c>
      <c r="D252" s="43" t="str">
        <f>IF(B252="","",SUMIF(Transactions!$F$8:$F$3006,B252,Transactions!$N$8:$N$3006))</f>
        <v/>
      </c>
      <c r="E252" s="44" t="str">
        <f>IF(B252="","",SUMIF(Transactions!$F$8:$F$3006,B252,Transactions!$O$8:$O$3006))</f>
        <v/>
      </c>
      <c r="F252" s="45" t="str">
        <f>IF(B252="","",SUMIF(Transactions!$F$8:$F$3006,B252,Transactions!$R$8:$R$3006))</f>
        <v/>
      </c>
      <c r="G252" s="46" t="str">
        <f>IF(B252="","",(C252+F252)-(D252+E252+SUMIF(Transactions!$F$8:$F$3006,B252,Transactions!$Q$8:$Q$3006)))</f>
        <v/>
      </c>
      <c r="H252" s="47" t="str">
        <f>IF(B252="","",IF(G252&gt;0,"OUTSTANDING",IF(G252=0,"SETTLED",IF(SUMIF(Transactions!$F$8:$F$3006,B252,Transactions!$Q$8:$Q$3006)&gt;SUMIF(Transactions!$F$8:$F$3006,B252,Transactions!$R$8:$R$3006),"OWES","OVERPAID"))))</f>
        <v/>
      </c>
      <c r="I252" s="1"/>
    </row>
    <row r="253" spans="1:9" ht="18" customHeight="1" x14ac:dyDescent="0.25">
      <c r="A253" s="48">
        <v>238</v>
      </c>
      <c r="B253" s="49" t="str">
        <f t="array" ref="B253">IFERROR(IF(INDEX(Transactions!$F$8:$F$3006,MATCH(0,COUNTIF($B$11:B252,Transactions!$F$8:$F$3006),0))="","",INDEX(Transactions!$F$8:$F$3006,MATCH(0,COUNTIF($B$11:B252,Transactions!$F$8:$F$3006),0))),"")</f>
        <v/>
      </c>
      <c r="C253" s="50" t="str">
        <f>IF(B253="","",SUMIF(Transactions!$F$8:$F$3006,B253,Transactions!$H$8:$H$3006))</f>
        <v/>
      </c>
      <c r="D253" s="51" t="str">
        <f>IF(B253="","",SUMIF(Transactions!$F$8:$F$3006,B253,Transactions!$N$8:$N$3006))</f>
        <v/>
      </c>
      <c r="E253" s="52" t="str">
        <f>IF(B253="","",SUMIF(Transactions!$F$8:$F$3006,B253,Transactions!$O$8:$O$3006))</f>
        <v/>
      </c>
      <c r="F253" s="53" t="str">
        <f>IF(B253="","",SUMIF(Transactions!$F$8:$F$3006,B253,Transactions!$R$8:$R$3006))</f>
        <v/>
      </c>
      <c r="G253" s="54" t="str">
        <f>IF(B253="","",(C253+F253)-(D253+E253+SUMIF(Transactions!$F$8:$F$3006,B253,Transactions!$Q$8:$Q$3006)))</f>
        <v/>
      </c>
      <c r="H253" s="55" t="str">
        <f>IF(B253="","",IF(G253&gt;0,"OUTSTANDING",IF(G253=0,"SETTLED",IF(SUMIF(Transactions!$F$8:$F$3006,B253,Transactions!$Q$8:$Q$3006)&gt;SUMIF(Transactions!$F$8:$F$3006,B253,Transactions!$R$8:$R$3006),"OWES","OVERPAID"))))</f>
        <v/>
      </c>
      <c r="I253" s="1"/>
    </row>
    <row r="254" spans="1:9" ht="18" customHeight="1" x14ac:dyDescent="0.25">
      <c r="A254" s="40">
        <v>239</v>
      </c>
      <c r="B254" s="41" t="str">
        <f t="array" ref="B254">IFERROR(IF(INDEX(Transactions!$F$8:$F$3006,MATCH(0,COUNTIF($B$11:B253,Transactions!$F$8:$F$3006),0))="","",INDEX(Transactions!$F$8:$F$3006,MATCH(0,COUNTIF($B$11:B253,Transactions!$F$8:$F$3006),0))),"")</f>
        <v/>
      </c>
      <c r="C254" s="42" t="str">
        <f>IF(B254="","",SUMIF(Transactions!$F$8:$F$3006,B254,Transactions!$H$8:$H$3006))</f>
        <v/>
      </c>
      <c r="D254" s="43" t="str">
        <f>IF(B254="","",SUMIF(Transactions!$F$8:$F$3006,B254,Transactions!$N$8:$N$3006))</f>
        <v/>
      </c>
      <c r="E254" s="44" t="str">
        <f>IF(B254="","",SUMIF(Transactions!$F$8:$F$3006,B254,Transactions!$O$8:$O$3006))</f>
        <v/>
      </c>
      <c r="F254" s="45" t="str">
        <f>IF(B254="","",SUMIF(Transactions!$F$8:$F$3006,B254,Transactions!$R$8:$R$3006))</f>
        <v/>
      </c>
      <c r="G254" s="46" t="str">
        <f>IF(B254="","",(C254+F254)-(D254+E254+SUMIF(Transactions!$F$8:$F$3006,B254,Transactions!$Q$8:$Q$3006)))</f>
        <v/>
      </c>
      <c r="H254" s="47" t="str">
        <f>IF(B254="","",IF(G254&gt;0,"OUTSTANDING",IF(G254=0,"SETTLED",IF(SUMIF(Transactions!$F$8:$F$3006,B254,Transactions!$Q$8:$Q$3006)&gt;SUMIF(Transactions!$F$8:$F$3006,B254,Transactions!$R$8:$R$3006),"OWES","OVERPAID"))))</f>
        <v/>
      </c>
      <c r="I254" s="1"/>
    </row>
    <row r="255" spans="1:9" ht="18" customHeight="1" x14ac:dyDescent="0.25">
      <c r="A255" s="48">
        <v>240</v>
      </c>
      <c r="B255" s="49" t="str">
        <f t="array" ref="B255">IFERROR(IF(INDEX(Transactions!$F$8:$F$3006,MATCH(0,COUNTIF($B$11:B254,Transactions!$F$8:$F$3006),0))="","",INDEX(Transactions!$F$8:$F$3006,MATCH(0,COUNTIF($B$11:B254,Transactions!$F$8:$F$3006),0))),"")</f>
        <v/>
      </c>
      <c r="C255" s="50" t="str">
        <f>IF(B255="","",SUMIF(Transactions!$F$8:$F$3006,B255,Transactions!$H$8:$H$3006))</f>
        <v/>
      </c>
      <c r="D255" s="51" t="str">
        <f>IF(B255="","",SUMIF(Transactions!$F$8:$F$3006,B255,Transactions!$N$8:$N$3006))</f>
        <v/>
      </c>
      <c r="E255" s="52" t="str">
        <f>IF(B255="","",SUMIF(Transactions!$F$8:$F$3006,B255,Transactions!$O$8:$O$3006))</f>
        <v/>
      </c>
      <c r="F255" s="53" t="str">
        <f>IF(B255="","",SUMIF(Transactions!$F$8:$F$3006,B255,Transactions!$R$8:$R$3006))</f>
        <v/>
      </c>
      <c r="G255" s="54" t="str">
        <f>IF(B255="","",(C255+F255)-(D255+E255+SUMIF(Transactions!$F$8:$F$3006,B255,Transactions!$Q$8:$Q$3006)))</f>
        <v/>
      </c>
      <c r="H255" s="55" t="str">
        <f>IF(B255="","",IF(G255&gt;0,"OUTSTANDING",IF(G255=0,"SETTLED",IF(SUMIF(Transactions!$F$8:$F$3006,B255,Transactions!$Q$8:$Q$3006)&gt;SUMIF(Transactions!$F$8:$F$3006,B255,Transactions!$R$8:$R$3006),"OWES","OVERPAID"))))</f>
        <v/>
      </c>
      <c r="I255" s="1"/>
    </row>
    <row r="256" spans="1:9" ht="18" customHeight="1" x14ac:dyDescent="0.25">
      <c r="A256" s="40">
        <v>241</v>
      </c>
      <c r="B256" s="41" t="str">
        <f t="array" ref="B256">IFERROR(IF(INDEX(Transactions!$F$8:$F$3006,MATCH(0,COUNTIF($B$11:B255,Transactions!$F$8:$F$3006),0))="","",INDEX(Transactions!$F$8:$F$3006,MATCH(0,COUNTIF($B$11:B255,Transactions!$F$8:$F$3006),0))),"")</f>
        <v/>
      </c>
      <c r="C256" s="42" t="str">
        <f>IF(B256="","",SUMIF(Transactions!$F$8:$F$3006,B256,Transactions!$H$8:$H$3006))</f>
        <v/>
      </c>
      <c r="D256" s="43" t="str">
        <f>IF(B256="","",SUMIF(Transactions!$F$8:$F$3006,B256,Transactions!$N$8:$N$3006))</f>
        <v/>
      </c>
      <c r="E256" s="44" t="str">
        <f>IF(B256="","",SUMIF(Transactions!$F$8:$F$3006,B256,Transactions!$O$8:$O$3006))</f>
        <v/>
      </c>
      <c r="F256" s="45" t="str">
        <f>IF(B256="","",SUMIF(Transactions!$F$8:$F$3006,B256,Transactions!$R$8:$R$3006))</f>
        <v/>
      </c>
      <c r="G256" s="46" t="str">
        <f>IF(B256="","",(C256+F256)-(D256+E256+SUMIF(Transactions!$F$8:$F$3006,B256,Transactions!$Q$8:$Q$3006)))</f>
        <v/>
      </c>
      <c r="H256" s="47" t="str">
        <f>IF(B256="","",IF(G256&gt;0,"OUTSTANDING",IF(G256=0,"SETTLED",IF(SUMIF(Transactions!$F$8:$F$3006,B256,Transactions!$Q$8:$Q$3006)&gt;SUMIF(Transactions!$F$8:$F$3006,B256,Transactions!$R$8:$R$3006),"OWES","OVERPAID"))))</f>
        <v/>
      </c>
      <c r="I256" s="1"/>
    </row>
    <row r="257" spans="1:9" ht="18" customHeight="1" x14ac:dyDescent="0.25">
      <c r="A257" s="48">
        <v>242</v>
      </c>
      <c r="B257" s="49" t="str">
        <f t="array" ref="B257">IFERROR(IF(INDEX(Transactions!$F$8:$F$3006,MATCH(0,COUNTIF($B$11:B256,Transactions!$F$8:$F$3006),0))="","",INDEX(Transactions!$F$8:$F$3006,MATCH(0,COUNTIF($B$11:B256,Transactions!$F$8:$F$3006),0))),"")</f>
        <v/>
      </c>
      <c r="C257" s="50" t="str">
        <f>IF(B257="","",SUMIF(Transactions!$F$8:$F$3006,B257,Transactions!$H$8:$H$3006))</f>
        <v/>
      </c>
      <c r="D257" s="51" t="str">
        <f>IF(B257="","",SUMIF(Transactions!$F$8:$F$3006,B257,Transactions!$N$8:$N$3006))</f>
        <v/>
      </c>
      <c r="E257" s="52" t="str">
        <f>IF(B257="","",SUMIF(Transactions!$F$8:$F$3006,B257,Transactions!$O$8:$O$3006))</f>
        <v/>
      </c>
      <c r="F257" s="53" t="str">
        <f>IF(B257="","",SUMIF(Transactions!$F$8:$F$3006,B257,Transactions!$R$8:$R$3006))</f>
        <v/>
      </c>
      <c r="G257" s="54" t="str">
        <f>IF(B257="","",(C257+F257)-(D257+E257+SUMIF(Transactions!$F$8:$F$3006,B257,Transactions!$Q$8:$Q$3006)))</f>
        <v/>
      </c>
      <c r="H257" s="55" t="str">
        <f>IF(B257="","",IF(G257&gt;0,"OUTSTANDING",IF(G257=0,"SETTLED",IF(SUMIF(Transactions!$F$8:$F$3006,B257,Transactions!$Q$8:$Q$3006)&gt;SUMIF(Transactions!$F$8:$F$3006,B257,Transactions!$R$8:$R$3006),"OWES","OVERPAID"))))</f>
        <v/>
      </c>
      <c r="I257" s="1"/>
    </row>
    <row r="258" spans="1:9" ht="18" customHeight="1" x14ac:dyDescent="0.25">
      <c r="A258" s="40">
        <v>243</v>
      </c>
      <c r="B258" s="41" t="str">
        <f t="array" ref="B258">IFERROR(IF(INDEX(Transactions!$F$8:$F$3006,MATCH(0,COUNTIF($B$11:B257,Transactions!$F$8:$F$3006),0))="","",INDEX(Transactions!$F$8:$F$3006,MATCH(0,COUNTIF($B$11:B257,Transactions!$F$8:$F$3006),0))),"")</f>
        <v/>
      </c>
      <c r="C258" s="42" t="str">
        <f>IF(B258="","",SUMIF(Transactions!$F$8:$F$3006,B258,Transactions!$H$8:$H$3006))</f>
        <v/>
      </c>
      <c r="D258" s="43" t="str">
        <f>IF(B258="","",SUMIF(Transactions!$F$8:$F$3006,B258,Transactions!$N$8:$N$3006))</f>
        <v/>
      </c>
      <c r="E258" s="44" t="str">
        <f>IF(B258="","",SUMIF(Transactions!$F$8:$F$3006,B258,Transactions!$O$8:$O$3006))</f>
        <v/>
      </c>
      <c r="F258" s="45" t="str">
        <f>IF(B258="","",SUMIF(Transactions!$F$8:$F$3006,B258,Transactions!$R$8:$R$3006))</f>
        <v/>
      </c>
      <c r="G258" s="46" t="str">
        <f>IF(B258="","",(C258+F258)-(D258+E258+SUMIF(Transactions!$F$8:$F$3006,B258,Transactions!$Q$8:$Q$3006)))</f>
        <v/>
      </c>
      <c r="H258" s="47" t="str">
        <f>IF(B258="","",IF(G258&gt;0,"OUTSTANDING",IF(G258=0,"SETTLED",IF(SUMIF(Transactions!$F$8:$F$3006,B258,Transactions!$Q$8:$Q$3006)&gt;SUMIF(Transactions!$F$8:$F$3006,B258,Transactions!$R$8:$R$3006),"OWES","OVERPAID"))))</f>
        <v/>
      </c>
      <c r="I258" s="1"/>
    </row>
    <row r="259" spans="1:9" ht="18" customHeight="1" x14ac:dyDescent="0.25">
      <c r="A259" s="48">
        <v>244</v>
      </c>
      <c r="B259" s="49" t="str">
        <f t="array" ref="B259">IFERROR(IF(INDEX(Transactions!$F$8:$F$3006,MATCH(0,COUNTIF($B$11:B258,Transactions!$F$8:$F$3006),0))="","",INDEX(Transactions!$F$8:$F$3006,MATCH(0,COUNTIF($B$11:B258,Transactions!$F$8:$F$3006),0))),"")</f>
        <v/>
      </c>
      <c r="C259" s="50" t="str">
        <f>IF(B259="","",SUMIF(Transactions!$F$8:$F$3006,B259,Transactions!$H$8:$H$3006))</f>
        <v/>
      </c>
      <c r="D259" s="51" t="str">
        <f>IF(B259="","",SUMIF(Transactions!$F$8:$F$3006,B259,Transactions!$N$8:$N$3006))</f>
        <v/>
      </c>
      <c r="E259" s="52" t="str">
        <f>IF(B259="","",SUMIF(Transactions!$F$8:$F$3006,B259,Transactions!$O$8:$O$3006))</f>
        <v/>
      </c>
      <c r="F259" s="53" t="str">
        <f>IF(B259="","",SUMIF(Transactions!$F$8:$F$3006,B259,Transactions!$R$8:$R$3006))</f>
        <v/>
      </c>
      <c r="G259" s="54" t="str">
        <f>IF(B259="","",(C259+F259)-(D259+E259+SUMIF(Transactions!$F$8:$F$3006,B259,Transactions!$Q$8:$Q$3006)))</f>
        <v/>
      </c>
      <c r="H259" s="55" t="str">
        <f>IF(B259="","",IF(G259&gt;0,"OUTSTANDING",IF(G259=0,"SETTLED",IF(SUMIF(Transactions!$F$8:$F$3006,B259,Transactions!$Q$8:$Q$3006)&gt;SUMIF(Transactions!$F$8:$F$3006,B259,Transactions!$R$8:$R$3006),"OWES","OVERPAID"))))</f>
        <v/>
      </c>
      <c r="I259" s="1"/>
    </row>
    <row r="260" spans="1:9" ht="18" customHeight="1" x14ac:dyDescent="0.25">
      <c r="A260" s="40">
        <v>245</v>
      </c>
      <c r="B260" s="41" t="str">
        <f t="array" ref="B260">IFERROR(IF(INDEX(Transactions!$F$8:$F$3006,MATCH(0,COUNTIF($B$11:B259,Transactions!$F$8:$F$3006),0))="","",INDEX(Transactions!$F$8:$F$3006,MATCH(0,COUNTIF($B$11:B259,Transactions!$F$8:$F$3006),0))),"")</f>
        <v/>
      </c>
      <c r="C260" s="42" t="str">
        <f>IF(B260="","",SUMIF(Transactions!$F$8:$F$3006,B260,Transactions!$H$8:$H$3006))</f>
        <v/>
      </c>
      <c r="D260" s="43" t="str">
        <f>IF(B260="","",SUMIF(Transactions!$F$8:$F$3006,B260,Transactions!$N$8:$N$3006))</f>
        <v/>
      </c>
      <c r="E260" s="44" t="str">
        <f>IF(B260="","",SUMIF(Transactions!$F$8:$F$3006,B260,Transactions!$O$8:$O$3006))</f>
        <v/>
      </c>
      <c r="F260" s="45" t="str">
        <f>IF(B260="","",SUMIF(Transactions!$F$8:$F$3006,B260,Transactions!$R$8:$R$3006))</f>
        <v/>
      </c>
      <c r="G260" s="46" t="str">
        <f>IF(B260="","",(C260+F260)-(D260+E260+SUMIF(Transactions!$F$8:$F$3006,B260,Transactions!$Q$8:$Q$3006)))</f>
        <v/>
      </c>
      <c r="H260" s="47" t="str">
        <f>IF(B260="","",IF(G260&gt;0,"OUTSTANDING",IF(G260=0,"SETTLED",IF(SUMIF(Transactions!$F$8:$F$3006,B260,Transactions!$Q$8:$Q$3006)&gt;SUMIF(Transactions!$F$8:$F$3006,B260,Transactions!$R$8:$R$3006),"OWES","OVERPAID"))))</f>
        <v/>
      </c>
      <c r="I260" s="1"/>
    </row>
    <row r="261" spans="1:9" ht="18" customHeight="1" x14ac:dyDescent="0.25">
      <c r="A261" s="48">
        <v>246</v>
      </c>
      <c r="B261" s="49" t="str">
        <f t="array" ref="B261">IFERROR(IF(INDEX(Transactions!$F$8:$F$3006,MATCH(0,COUNTIF($B$11:B260,Transactions!$F$8:$F$3006),0))="","",INDEX(Transactions!$F$8:$F$3006,MATCH(0,COUNTIF($B$11:B260,Transactions!$F$8:$F$3006),0))),"")</f>
        <v/>
      </c>
      <c r="C261" s="50" t="str">
        <f>IF(B261="","",SUMIF(Transactions!$F$8:$F$3006,B261,Transactions!$H$8:$H$3006))</f>
        <v/>
      </c>
      <c r="D261" s="51" t="str">
        <f>IF(B261="","",SUMIF(Transactions!$F$8:$F$3006,B261,Transactions!$N$8:$N$3006))</f>
        <v/>
      </c>
      <c r="E261" s="52" t="str">
        <f>IF(B261="","",SUMIF(Transactions!$F$8:$F$3006,B261,Transactions!$O$8:$O$3006))</f>
        <v/>
      </c>
      <c r="F261" s="53" t="str">
        <f>IF(B261="","",SUMIF(Transactions!$F$8:$F$3006,B261,Transactions!$R$8:$R$3006))</f>
        <v/>
      </c>
      <c r="G261" s="54" t="str">
        <f>IF(B261="","",(C261+F261)-(D261+E261+SUMIF(Transactions!$F$8:$F$3006,B261,Transactions!$Q$8:$Q$3006)))</f>
        <v/>
      </c>
      <c r="H261" s="55" t="str">
        <f>IF(B261="","",IF(G261&gt;0,"OUTSTANDING",IF(G261=0,"SETTLED",IF(SUMIF(Transactions!$F$8:$F$3006,B261,Transactions!$Q$8:$Q$3006)&gt;SUMIF(Transactions!$F$8:$F$3006,B261,Transactions!$R$8:$R$3006),"OWES","OVERPAID"))))</f>
        <v/>
      </c>
      <c r="I261" s="1"/>
    </row>
    <row r="262" spans="1:9" ht="18" customHeight="1" x14ac:dyDescent="0.25">
      <c r="A262" s="40">
        <v>247</v>
      </c>
      <c r="B262" s="41" t="str">
        <f t="array" ref="B262">IFERROR(IF(INDEX(Transactions!$F$8:$F$3006,MATCH(0,COUNTIF($B$11:B261,Transactions!$F$8:$F$3006),0))="","",INDEX(Transactions!$F$8:$F$3006,MATCH(0,COUNTIF($B$11:B261,Transactions!$F$8:$F$3006),0))),"")</f>
        <v/>
      </c>
      <c r="C262" s="42" t="str">
        <f>IF(B262="","",SUMIF(Transactions!$F$8:$F$3006,B262,Transactions!$H$8:$H$3006))</f>
        <v/>
      </c>
      <c r="D262" s="43" t="str">
        <f>IF(B262="","",SUMIF(Transactions!$F$8:$F$3006,B262,Transactions!$N$8:$N$3006))</f>
        <v/>
      </c>
      <c r="E262" s="44" t="str">
        <f>IF(B262="","",SUMIF(Transactions!$F$8:$F$3006,B262,Transactions!$O$8:$O$3006))</f>
        <v/>
      </c>
      <c r="F262" s="45" t="str">
        <f>IF(B262="","",SUMIF(Transactions!$F$8:$F$3006,B262,Transactions!$R$8:$R$3006))</f>
        <v/>
      </c>
      <c r="G262" s="46" t="str">
        <f>IF(B262="","",(C262+F262)-(D262+E262+SUMIF(Transactions!$F$8:$F$3006,B262,Transactions!$Q$8:$Q$3006)))</f>
        <v/>
      </c>
      <c r="H262" s="47" t="str">
        <f>IF(B262="","",IF(G262&gt;0,"OUTSTANDING",IF(G262=0,"SETTLED",IF(SUMIF(Transactions!$F$8:$F$3006,B262,Transactions!$Q$8:$Q$3006)&gt;SUMIF(Transactions!$F$8:$F$3006,B262,Transactions!$R$8:$R$3006),"OWES","OVERPAID"))))</f>
        <v/>
      </c>
      <c r="I262" s="1"/>
    </row>
    <row r="263" spans="1:9" ht="18" customHeight="1" x14ac:dyDescent="0.25">
      <c r="A263" s="48">
        <v>248</v>
      </c>
      <c r="B263" s="49" t="str">
        <f t="array" ref="B263">IFERROR(IF(INDEX(Transactions!$F$8:$F$3006,MATCH(0,COUNTIF($B$11:B262,Transactions!$F$8:$F$3006),0))="","",INDEX(Transactions!$F$8:$F$3006,MATCH(0,COUNTIF($B$11:B262,Transactions!$F$8:$F$3006),0))),"")</f>
        <v/>
      </c>
      <c r="C263" s="50" t="str">
        <f>IF(B263="","",SUMIF(Transactions!$F$8:$F$3006,B263,Transactions!$H$8:$H$3006))</f>
        <v/>
      </c>
      <c r="D263" s="51" t="str">
        <f>IF(B263="","",SUMIF(Transactions!$F$8:$F$3006,B263,Transactions!$N$8:$N$3006))</f>
        <v/>
      </c>
      <c r="E263" s="52" t="str">
        <f>IF(B263="","",SUMIF(Transactions!$F$8:$F$3006,B263,Transactions!$O$8:$O$3006))</f>
        <v/>
      </c>
      <c r="F263" s="53" t="str">
        <f>IF(B263="","",SUMIF(Transactions!$F$8:$F$3006,B263,Transactions!$R$8:$R$3006))</f>
        <v/>
      </c>
      <c r="G263" s="54" t="str">
        <f>IF(B263="","",(C263+F263)-(D263+E263+SUMIF(Transactions!$F$8:$F$3006,B263,Transactions!$Q$8:$Q$3006)))</f>
        <v/>
      </c>
      <c r="H263" s="55" t="str">
        <f>IF(B263="","",IF(G263&gt;0,"OUTSTANDING",IF(G263=0,"SETTLED",IF(SUMIF(Transactions!$F$8:$F$3006,B263,Transactions!$Q$8:$Q$3006)&gt;SUMIF(Transactions!$F$8:$F$3006,B263,Transactions!$R$8:$R$3006),"OWES","OVERPAID"))))</f>
        <v/>
      </c>
      <c r="I263" s="1"/>
    </row>
    <row r="264" spans="1:9" ht="18" customHeight="1" x14ac:dyDescent="0.25">
      <c r="A264" s="40">
        <v>249</v>
      </c>
      <c r="B264" s="41" t="str">
        <f t="array" ref="B264">IFERROR(IF(INDEX(Transactions!$F$8:$F$3006,MATCH(0,COUNTIF($B$11:B263,Transactions!$F$8:$F$3006),0))="","",INDEX(Transactions!$F$8:$F$3006,MATCH(0,COUNTIF($B$11:B263,Transactions!$F$8:$F$3006),0))),"")</f>
        <v/>
      </c>
      <c r="C264" s="42" t="str">
        <f>IF(B264="","",SUMIF(Transactions!$F$8:$F$3006,B264,Transactions!$H$8:$H$3006))</f>
        <v/>
      </c>
      <c r="D264" s="43" t="str">
        <f>IF(B264="","",SUMIF(Transactions!$F$8:$F$3006,B264,Transactions!$N$8:$N$3006))</f>
        <v/>
      </c>
      <c r="E264" s="44" t="str">
        <f>IF(B264="","",SUMIF(Transactions!$F$8:$F$3006,B264,Transactions!$O$8:$O$3006))</f>
        <v/>
      </c>
      <c r="F264" s="45" t="str">
        <f>IF(B264="","",SUMIF(Transactions!$F$8:$F$3006,B264,Transactions!$R$8:$R$3006))</f>
        <v/>
      </c>
      <c r="G264" s="46" t="str">
        <f>IF(B264="","",(C264+F264)-(D264+E264+SUMIF(Transactions!$F$8:$F$3006,B264,Transactions!$Q$8:$Q$3006)))</f>
        <v/>
      </c>
      <c r="H264" s="47" t="str">
        <f>IF(B264="","",IF(G264&gt;0,"OUTSTANDING",IF(G264=0,"SETTLED",IF(SUMIF(Transactions!$F$8:$F$3006,B264,Transactions!$Q$8:$Q$3006)&gt;SUMIF(Transactions!$F$8:$F$3006,B264,Transactions!$R$8:$R$3006),"OWES","OVERPAID"))))</f>
        <v/>
      </c>
      <c r="I264" s="1"/>
    </row>
    <row r="265" spans="1:9" ht="18" customHeight="1" x14ac:dyDescent="0.25">
      <c r="A265" s="48">
        <v>250</v>
      </c>
      <c r="B265" s="49" t="str">
        <f t="array" ref="B265">IFERROR(IF(INDEX(Transactions!$F$8:$F$3006,MATCH(0,COUNTIF($B$11:B264,Transactions!$F$8:$F$3006),0))="","",INDEX(Transactions!$F$8:$F$3006,MATCH(0,COUNTIF($B$11:B264,Transactions!$F$8:$F$3006),0))),"")</f>
        <v/>
      </c>
      <c r="C265" s="50" t="str">
        <f>IF(B265="","",SUMIF(Transactions!$F$8:$F$3006,B265,Transactions!$H$8:$H$3006))</f>
        <v/>
      </c>
      <c r="D265" s="51" t="str">
        <f>IF(B265="","",SUMIF(Transactions!$F$8:$F$3006,B265,Transactions!$N$8:$N$3006))</f>
        <v/>
      </c>
      <c r="E265" s="52" t="str">
        <f>IF(B265="","",SUMIF(Transactions!$F$8:$F$3006,B265,Transactions!$O$8:$O$3006))</f>
        <v/>
      </c>
      <c r="F265" s="53" t="str">
        <f>IF(B265="","",SUMIF(Transactions!$F$8:$F$3006,B265,Transactions!$R$8:$R$3006))</f>
        <v/>
      </c>
      <c r="G265" s="54" t="str">
        <f>IF(B265="","",(C265+F265)-(D265+E265+SUMIF(Transactions!$F$8:$F$3006,B265,Transactions!$Q$8:$Q$3006)))</f>
        <v/>
      </c>
      <c r="H265" s="55" t="str">
        <f>IF(B265="","",IF(G265&gt;0,"OUTSTANDING",IF(G265=0,"SETTLED",IF(SUMIF(Transactions!$F$8:$F$3006,B265,Transactions!$Q$8:$Q$3006)&gt;SUMIF(Transactions!$F$8:$F$3006,B265,Transactions!$R$8:$R$3006),"OWES","OVERPAID"))))</f>
        <v/>
      </c>
      <c r="I265" s="1"/>
    </row>
    <row r="266" spans="1:9" ht="18" customHeight="1" x14ac:dyDescent="0.25">
      <c r="A266" s="40">
        <v>251</v>
      </c>
      <c r="B266" s="41" t="str">
        <f t="array" ref="B266">IFERROR(IF(INDEX(Transactions!$F$8:$F$3006,MATCH(0,COUNTIF($B$11:B265,Transactions!$F$8:$F$3006),0))="","",INDEX(Transactions!$F$8:$F$3006,MATCH(0,COUNTIF($B$11:B265,Transactions!$F$8:$F$3006),0))),"")</f>
        <v/>
      </c>
      <c r="C266" s="42" t="str">
        <f>IF(B266="","",SUMIF(Transactions!$F$8:$F$3006,B266,Transactions!$H$8:$H$3006))</f>
        <v/>
      </c>
      <c r="D266" s="43" t="str">
        <f>IF(B266="","",SUMIF(Transactions!$F$8:$F$3006,B266,Transactions!$N$8:$N$3006))</f>
        <v/>
      </c>
      <c r="E266" s="44" t="str">
        <f>IF(B266="","",SUMIF(Transactions!$F$8:$F$3006,B266,Transactions!$O$8:$O$3006))</f>
        <v/>
      </c>
      <c r="F266" s="45" t="str">
        <f>IF(B266="","",SUMIF(Transactions!$F$8:$F$3006,B266,Transactions!$R$8:$R$3006))</f>
        <v/>
      </c>
      <c r="G266" s="46" t="str">
        <f>IF(B266="","",(C266+F266)-(D266+E266+SUMIF(Transactions!$F$8:$F$3006,B266,Transactions!$Q$8:$Q$3006)))</f>
        <v/>
      </c>
      <c r="H266" s="47" t="str">
        <f>IF(B266="","",IF(G266&gt;0,"OUTSTANDING",IF(G266=0,"SETTLED",IF(SUMIF(Transactions!$F$8:$F$3006,B266,Transactions!$Q$8:$Q$3006)&gt;SUMIF(Transactions!$F$8:$F$3006,B266,Transactions!$R$8:$R$3006),"OWES","OVERPAID"))))</f>
        <v/>
      </c>
      <c r="I266" s="1"/>
    </row>
    <row r="267" spans="1:9" ht="18" customHeight="1" x14ac:dyDescent="0.25">
      <c r="A267" s="48">
        <v>252</v>
      </c>
      <c r="B267" s="49" t="str">
        <f t="array" ref="B267">IFERROR(IF(INDEX(Transactions!$F$8:$F$3006,MATCH(0,COUNTIF($B$11:B266,Transactions!$F$8:$F$3006),0))="","",INDEX(Transactions!$F$8:$F$3006,MATCH(0,COUNTIF($B$11:B266,Transactions!$F$8:$F$3006),0))),"")</f>
        <v/>
      </c>
      <c r="C267" s="50" t="str">
        <f>IF(B267="","",SUMIF(Transactions!$F$8:$F$3006,B267,Transactions!$H$8:$H$3006))</f>
        <v/>
      </c>
      <c r="D267" s="51" t="str">
        <f>IF(B267="","",SUMIF(Transactions!$F$8:$F$3006,B267,Transactions!$N$8:$N$3006))</f>
        <v/>
      </c>
      <c r="E267" s="52" t="str">
        <f>IF(B267="","",SUMIF(Transactions!$F$8:$F$3006,B267,Transactions!$O$8:$O$3006))</f>
        <v/>
      </c>
      <c r="F267" s="53" t="str">
        <f>IF(B267="","",SUMIF(Transactions!$F$8:$F$3006,B267,Transactions!$R$8:$R$3006))</f>
        <v/>
      </c>
      <c r="G267" s="54" t="str">
        <f>IF(B267="","",(C267+F267)-(D267+E267+SUMIF(Transactions!$F$8:$F$3006,B267,Transactions!$Q$8:$Q$3006)))</f>
        <v/>
      </c>
      <c r="H267" s="55" t="str">
        <f>IF(B267="","",IF(G267&gt;0,"OUTSTANDING",IF(G267=0,"SETTLED",IF(SUMIF(Transactions!$F$8:$F$3006,B267,Transactions!$Q$8:$Q$3006)&gt;SUMIF(Transactions!$F$8:$F$3006,B267,Transactions!$R$8:$R$3006),"OWES","OVERPAID"))))</f>
        <v/>
      </c>
      <c r="I267" s="1"/>
    </row>
    <row r="268" spans="1:9" ht="18" customHeight="1" x14ac:dyDescent="0.25">
      <c r="A268" s="40">
        <v>253</v>
      </c>
      <c r="B268" s="41" t="str">
        <f t="array" ref="B268">IFERROR(IF(INDEX(Transactions!$F$8:$F$3006,MATCH(0,COUNTIF($B$11:B267,Transactions!$F$8:$F$3006),0))="","",INDEX(Transactions!$F$8:$F$3006,MATCH(0,COUNTIF($B$11:B267,Transactions!$F$8:$F$3006),0))),"")</f>
        <v/>
      </c>
      <c r="C268" s="42" t="str">
        <f>IF(B268="","",SUMIF(Transactions!$F$8:$F$3006,B268,Transactions!$H$8:$H$3006))</f>
        <v/>
      </c>
      <c r="D268" s="43" t="str">
        <f>IF(B268="","",SUMIF(Transactions!$F$8:$F$3006,B268,Transactions!$N$8:$N$3006))</f>
        <v/>
      </c>
      <c r="E268" s="44" t="str">
        <f>IF(B268="","",SUMIF(Transactions!$F$8:$F$3006,B268,Transactions!$O$8:$O$3006))</f>
        <v/>
      </c>
      <c r="F268" s="45" t="str">
        <f>IF(B268="","",SUMIF(Transactions!$F$8:$F$3006,B268,Transactions!$R$8:$R$3006))</f>
        <v/>
      </c>
      <c r="G268" s="46" t="str">
        <f>IF(B268="","",(C268+F268)-(D268+E268+SUMIF(Transactions!$F$8:$F$3006,B268,Transactions!$Q$8:$Q$3006)))</f>
        <v/>
      </c>
      <c r="H268" s="47" t="str">
        <f>IF(B268="","",IF(G268&gt;0,"OUTSTANDING",IF(G268=0,"SETTLED",IF(SUMIF(Transactions!$F$8:$F$3006,B268,Transactions!$Q$8:$Q$3006)&gt;SUMIF(Transactions!$F$8:$F$3006,B268,Transactions!$R$8:$R$3006),"OWES","OVERPAID"))))</f>
        <v/>
      </c>
      <c r="I268" s="1"/>
    </row>
    <row r="269" spans="1:9" ht="18" customHeight="1" x14ac:dyDescent="0.25">
      <c r="A269" s="48">
        <v>254</v>
      </c>
      <c r="B269" s="49" t="str">
        <f t="array" ref="B269">IFERROR(IF(INDEX(Transactions!$F$8:$F$3006,MATCH(0,COUNTIF($B$11:B268,Transactions!$F$8:$F$3006),0))="","",INDEX(Transactions!$F$8:$F$3006,MATCH(0,COUNTIF($B$11:B268,Transactions!$F$8:$F$3006),0))),"")</f>
        <v/>
      </c>
      <c r="C269" s="50" t="str">
        <f>IF(B269="","",SUMIF(Transactions!$F$8:$F$3006,B269,Transactions!$H$8:$H$3006))</f>
        <v/>
      </c>
      <c r="D269" s="51" t="str">
        <f>IF(B269="","",SUMIF(Transactions!$F$8:$F$3006,B269,Transactions!$N$8:$N$3006))</f>
        <v/>
      </c>
      <c r="E269" s="52" t="str">
        <f>IF(B269="","",SUMIF(Transactions!$F$8:$F$3006,B269,Transactions!$O$8:$O$3006))</f>
        <v/>
      </c>
      <c r="F269" s="53" t="str">
        <f>IF(B269="","",SUMIF(Transactions!$F$8:$F$3006,B269,Transactions!$R$8:$R$3006))</f>
        <v/>
      </c>
      <c r="G269" s="54" t="str">
        <f>IF(B269="","",(C269+F269)-(D269+E269+SUMIF(Transactions!$F$8:$F$3006,B269,Transactions!$Q$8:$Q$3006)))</f>
        <v/>
      </c>
      <c r="H269" s="55" t="str">
        <f>IF(B269="","",IF(G269&gt;0,"OUTSTANDING",IF(G269=0,"SETTLED",IF(SUMIF(Transactions!$F$8:$F$3006,B269,Transactions!$Q$8:$Q$3006)&gt;SUMIF(Transactions!$F$8:$F$3006,B269,Transactions!$R$8:$R$3006),"OWES","OVERPAID"))))</f>
        <v/>
      </c>
      <c r="I269" s="1"/>
    </row>
    <row r="270" spans="1:9" ht="18" customHeight="1" x14ac:dyDescent="0.25">
      <c r="A270" s="40">
        <v>255</v>
      </c>
      <c r="B270" s="41" t="str">
        <f t="array" ref="B270">IFERROR(IF(INDEX(Transactions!$F$8:$F$3006,MATCH(0,COUNTIF($B$11:B269,Transactions!$F$8:$F$3006),0))="","",INDEX(Transactions!$F$8:$F$3006,MATCH(0,COUNTIF($B$11:B269,Transactions!$F$8:$F$3006),0))),"")</f>
        <v/>
      </c>
      <c r="C270" s="42" t="str">
        <f>IF(B270="","",SUMIF(Transactions!$F$8:$F$3006,B270,Transactions!$H$8:$H$3006))</f>
        <v/>
      </c>
      <c r="D270" s="43" t="str">
        <f>IF(B270="","",SUMIF(Transactions!$F$8:$F$3006,B270,Transactions!$N$8:$N$3006))</f>
        <v/>
      </c>
      <c r="E270" s="44" t="str">
        <f>IF(B270="","",SUMIF(Transactions!$F$8:$F$3006,B270,Transactions!$O$8:$O$3006))</f>
        <v/>
      </c>
      <c r="F270" s="45" t="str">
        <f>IF(B270="","",SUMIF(Transactions!$F$8:$F$3006,B270,Transactions!$R$8:$R$3006))</f>
        <v/>
      </c>
      <c r="G270" s="46" t="str">
        <f>IF(B270="","",(C270+F270)-(D270+E270+SUMIF(Transactions!$F$8:$F$3006,B270,Transactions!$Q$8:$Q$3006)))</f>
        <v/>
      </c>
      <c r="H270" s="47" t="str">
        <f>IF(B270="","",IF(G270&gt;0,"OUTSTANDING",IF(G270=0,"SETTLED",IF(SUMIF(Transactions!$F$8:$F$3006,B270,Transactions!$Q$8:$Q$3006)&gt;SUMIF(Transactions!$F$8:$F$3006,B270,Transactions!$R$8:$R$3006),"OWES","OVERPAID"))))</f>
        <v/>
      </c>
      <c r="I270" s="1"/>
    </row>
    <row r="271" spans="1:9" ht="18" customHeight="1" x14ac:dyDescent="0.25">
      <c r="A271" s="48">
        <v>256</v>
      </c>
      <c r="B271" s="49" t="str">
        <f t="array" ref="B271">IFERROR(IF(INDEX(Transactions!$F$8:$F$3006,MATCH(0,COUNTIF($B$11:B270,Transactions!$F$8:$F$3006),0))="","",INDEX(Transactions!$F$8:$F$3006,MATCH(0,COUNTIF($B$11:B270,Transactions!$F$8:$F$3006),0))),"")</f>
        <v/>
      </c>
      <c r="C271" s="50" t="str">
        <f>IF(B271="","",SUMIF(Transactions!$F$8:$F$3006,B271,Transactions!$H$8:$H$3006))</f>
        <v/>
      </c>
      <c r="D271" s="51" t="str">
        <f>IF(B271="","",SUMIF(Transactions!$F$8:$F$3006,B271,Transactions!$N$8:$N$3006))</f>
        <v/>
      </c>
      <c r="E271" s="52" t="str">
        <f>IF(B271="","",SUMIF(Transactions!$F$8:$F$3006,B271,Transactions!$O$8:$O$3006))</f>
        <v/>
      </c>
      <c r="F271" s="53" t="str">
        <f>IF(B271="","",SUMIF(Transactions!$F$8:$F$3006,B271,Transactions!$R$8:$R$3006))</f>
        <v/>
      </c>
      <c r="G271" s="54" t="str">
        <f>IF(B271="","",(C271+F271)-(D271+E271+SUMIF(Transactions!$F$8:$F$3006,B271,Transactions!$Q$8:$Q$3006)))</f>
        <v/>
      </c>
      <c r="H271" s="55" t="str">
        <f>IF(B271="","",IF(G271&gt;0,"OUTSTANDING",IF(G271=0,"SETTLED",IF(SUMIF(Transactions!$F$8:$F$3006,B271,Transactions!$Q$8:$Q$3006)&gt;SUMIF(Transactions!$F$8:$F$3006,B271,Transactions!$R$8:$R$3006),"OWES","OVERPAID"))))</f>
        <v/>
      </c>
      <c r="I271" s="1"/>
    </row>
    <row r="272" spans="1:9" ht="18" customHeight="1" x14ac:dyDescent="0.25">
      <c r="A272" s="40">
        <v>257</v>
      </c>
      <c r="B272" s="41" t="str">
        <f t="array" ref="B272">IFERROR(IF(INDEX(Transactions!$F$8:$F$3006,MATCH(0,COUNTIF($B$11:B271,Transactions!$F$8:$F$3006),0))="","",INDEX(Transactions!$F$8:$F$3006,MATCH(0,COUNTIF($B$11:B271,Transactions!$F$8:$F$3006),0))),"")</f>
        <v/>
      </c>
      <c r="C272" s="42" t="str">
        <f>IF(B272="","",SUMIF(Transactions!$F$8:$F$3006,B272,Transactions!$H$8:$H$3006))</f>
        <v/>
      </c>
      <c r="D272" s="43" t="str">
        <f>IF(B272="","",SUMIF(Transactions!$F$8:$F$3006,B272,Transactions!$N$8:$N$3006))</f>
        <v/>
      </c>
      <c r="E272" s="44" t="str">
        <f>IF(B272="","",SUMIF(Transactions!$F$8:$F$3006,B272,Transactions!$O$8:$O$3006))</f>
        <v/>
      </c>
      <c r="F272" s="45" t="str">
        <f>IF(B272="","",SUMIF(Transactions!$F$8:$F$3006,B272,Transactions!$R$8:$R$3006))</f>
        <v/>
      </c>
      <c r="G272" s="46" t="str">
        <f>IF(B272="","",(C272+F272)-(D272+E272+SUMIF(Transactions!$F$8:$F$3006,B272,Transactions!$Q$8:$Q$3006)))</f>
        <v/>
      </c>
      <c r="H272" s="47" t="str">
        <f>IF(B272="","",IF(G272&gt;0,"OUTSTANDING",IF(G272=0,"SETTLED",IF(SUMIF(Transactions!$F$8:$F$3006,B272,Transactions!$Q$8:$Q$3006)&gt;SUMIF(Transactions!$F$8:$F$3006,B272,Transactions!$R$8:$R$3006),"OWES","OVERPAID"))))</f>
        <v/>
      </c>
      <c r="I272" s="1"/>
    </row>
    <row r="273" spans="1:9" ht="18" customHeight="1" x14ac:dyDescent="0.25">
      <c r="A273" s="48">
        <v>258</v>
      </c>
      <c r="B273" s="49" t="str">
        <f t="array" ref="B273">IFERROR(IF(INDEX(Transactions!$F$8:$F$3006,MATCH(0,COUNTIF($B$11:B272,Transactions!$F$8:$F$3006),0))="","",INDEX(Transactions!$F$8:$F$3006,MATCH(0,COUNTIF($B$11:B272,Transactions!$F$8:$F$3006),0))),"")</f>
        <v/>
      </c>
      <c r="C273" s="50" t="str">
        <f>IF(B273="","",SUMIF(Transactions!$F$8:$F$3006,B273,Transactions!$H$8:$H$3006))</f>
        <v/>
      </c>
      <c r="D273" s="51" t="str">
        <f>IF(B273="","",SUMIF(Transactions!$F$8:$F$3006,B273,Transactions!$N$8:$N$3006))</f>
        <v/>
      </c>
      <c r="E273" s="52" t="str">
        <f>IF(B273="","",SUMIF(Transactions!$F$8:$F$3006,B273,Transactions!$O$8:$O$3006))</f>
        <v/>
      </c>
      <c r="F273" s="53" t="str">
        <f>IF(B273="","",SUMIF(Transactions!$F$8:$F$3006,B273,Transactions!$R$8:$R$3006))</f>
        <v/>
      </c>
      <c r="G273" s="54" t="str">
        <f>IF(B273="","",(C273+F273)-(D273+E273+SUMIF(Transactions!$F$8:$F$3006,B273,Transactions!$Q$8:$Q$3006)))</f>
        <v/>
      </c>
      <c r="H273" s="55" t="str">
        <f>IF(B273="","",IF(G273&gt;0,"OUTSTANDING",IF(G273=0,"SETTLED",IF(SUMIF(Transactions!$F$8:$F$3006,B273,Transactions!$Q$8:$Q$3006)&gt;SUMIF(Transactions!$F$8:$F$3006,B273,Transactions!$R$8:$R$3006),"OWES","OVERPAID"))))</f>
        <v/>
      </c>
      <c r="I273" s="1"/>
    </row>
    <row r="274" spans="1:9" ht="18" customHeight="1" x14ac:dyDescent="0.25">
      <c r="A274" s="40">
        <v>259</v>
      </c>
      <c r="B274" s="41" t="str">
        <f t="array" ref="B274">IFERROR(IF(INDEX(Transactions!$F$8:$F$3006,MATCH(0,COUNTIF($B$11:B273,Transactions!$F$8:$F$3006),0))="","",INDEX(Transactions!$F$8:$F$3006,MATCH(0,COUNTIF($B$11:B273,Transactions!$F$8:$F$3006),0))),"")</f>
        <v/>
      </c>
      <c r="C274" s="42" t="str">
        <f>IF(B274="","",SUMIF(Transactions!$F$8:$F$3006,B274,Transactions!$H$8:$H$3006))</f>
        <v/>
      </c>
      <c r="D274" s="43" t="str">
        <f>IF(B274="","",SUMIF(Transactions!$F$8:$F$3006,B274,Transactions!$N$8:$N$3006))</f>
        <v/>
      </c>
      <c r="E274" s="44" t="str">
        <f>IF(B274="","",SUMIF(Transactions!$F$8:$F$3006,B274,Transactions!$O$8:$O$3006))</f>
        <v/>
      </c>
      <c r="F274" s="45" t="str">
        <f>IF(B274="","",SUMIF(Transactions!$F$8:$F$3006,B274,Transactions!$R$8:$R$3006))</f>
        <v/>
      </c>
      <c r="G274" s="46" t="str">
        <f>IF(B274="","",(C274+F274)-(D274+E274+SUMIF(Transactions!$F$8:$F$3006,B274,Transactions!$Q$8:$Q$3006)))</f>
        <v/>
      </c>
      <c r="H274" s="47" t="str">
        <f>IF(B274="","",IF(G274&gt;0,"OUTSTANDING",IF(G274=0,"SETTLED",IF(SUMIF(Transactions!$F$8:$F$3006,B274,Transactions!$Q$8:$Q$3006)&gt;SUMIF(Transactions!$F$8:$F$3006,B274,Transactions!$R$8:$R$3006),"OWES","OVERPAID"))))</f>
        <v/>
      </c>
      <c r="I274" s="1"/>
    </row>
    <row r="275" spans="1:9" ht="18" customHeight="1" x14ac:dyDescent="0.25">
      <c r="A275" s="48">
        <v>260</v>
      </c>
      <c r="B275" s="49" t="str">
        <f t="array" ref="B275">IFERROR(IF(INDEX(Transactions!$F$8:$F$3006,MATCH(0,COUNTIF($B$11:B274,Transactions!$F$8:$F$3006),0))="","",INDEX(Transactions!$F$8:$F$3006,MATCH(0,COUNTIF($B$11:B274,Transactions!$F$8:$F$3006),0))),"")</f>
        <v/>
      </c>
      <c r="C275" s="50" t="str">
        <f>IF(B275="","",SUMIF(Transactions!$F$8:$F$3006,B275,Transactions!$H$8:$H$3006))</f>
        <v/>
      </c>
      <c r="D275" s="51" t="str">
        <f>IF(B275="","",SUMIF(Transactions!$F$8:$F$3006,B275,Transactions!$N$8:$N$3006))</f>
        <v/>
      </c>
      <c r="E275" s="52" t="str">
        <f>IF(B275="","",SUMIF(Transactions!$F$8:$F$3006,B275,Transactions!$O$8:$O$3006))</f>
        <v/>
      </c>
      <c r="F275" s="53" t="str">
        <f>IF(B275="","",SUMIF(Transactions!$F$8:$F$3006,B275,Transactions!$R$8:$R$3006))</f>
        <v/>
      </c>
      <c r="G275" s="54" t="str">
        <f>IF(B275="","",(C275+F275)-(D275+E275+SUMIF(Transactions!$F$8:$F$3006,B275,Transactions!$Q$8:$Q$3006)))</f>
        <v/>
      </c>
      <c r="H275" s="55" t="str">
        <f>IF(B275="","",IF(G275&gt;0,"OUTSTANDING",IF(G275=0,"SETTLED",IF(SUMIF(Transactions!$F$8:$F$3006,B275,Transactions!$Q$8:$Q$3006)&gt;SUMIF(Transactions!$F$8:$F$3006,B275,Transactions!$R$8:$R$3006),"OWES","OVERPAID"))))</f>
        <v/>
      </c>
      <c r="I275" s="1"/>
    </row>
    <row r="276" spans="1:9" ht="18" customHeight="1" x14ac:dyDescent="0.25">
      <c r="A276" s="40">
        <v>261</v>
      </c>
      <c r="B276" s="41" t="str">
        <f t="array" ref="B276">IFERROR(IF(INDEX(Transactions!$F$8:$F$3006,MATCH(0,COUNTIF($B$11:B275,Transactions!$F$8:$F$3006),0))="","",INDEX(Transactions!$F$8:$F$3006,MATCH(0,COUNTIF($B$11:B275,Transactions!$F$8:$F$3006),0))),"")</f>
        <v/>
      </c>
      <c r="C276" s="42" t="str">
        <f>IF(B276="","",SUMIF(Transactions!$F$8:$F$3006,B276,Transactions!$H$8:$H$3006))</f>
        <v/>
      </c>
      <c r="D276" s="43" t="str">
        <f>IF(B276="","",SUMIF(Transactions!$F$8:$F$3006,B276,Transactions!$N$8:$N$3006))</f>
        <v/>
      </c>
      <c r="E276" s="44" t="str">
        <f>IF(B276="","",SUMIF(Transactions!$F$8:$F$3006,B276,Transactions!$O$8:$O$3006))</f>
        <v/>
      </c>
      <c r="F276" s="45" t="str">
        <f>IF(B276="","",SUMIF(Transactions!$F$8:$F$3006,B276,Transactions!$R$8:$R$3006))</f>
        <v/>
      </c>
      <c r="G276" s="46" t="str">
        <f>IF(B276="","",(C276+F276)-(D276+E276+SUMIF(Transactions!$F$8:$F$3006,B276,Transactions!$Q$8:$Q$3006)))</f>
        <v/>
      </c>
      <c r="H276" s="47" t="str">
        <f>IF(B276="","",IF(G276&gt;0,"OUTSTANDING",IF(G276=0,"SETTLED",IF(SUMIF(Transactions!$F$8:$F$3006,B276,Transactions!$Q$8:$Q$3006)&gt;SUMIF(Transactions!$F$8:$F$3006,B276,Transactions!$R$8:$R$3006),"OWES","OVERPAID"))))</f>
        <v/>
      </c>
      <c r="I276" s="1"/>
    </row>
    <row r="277" spans="1:9" ht="18" customHeight="1" x14ac:dyDescent="0.25">
      <c r="A277" s="48">
        <v>262</v>
      </c>
      <c r="B277" s="49" t="str">
        <f t="array" ref="B277">IFERROR(IF(INDEX(Transactions!$F$8:$F$3006,MATCH(0,COUNTIF($B$11:B276,Transactions!$F$8:$F$3006),0))="","",INDEX(Transactions!$F$8:$F$3006,MATCH(0,COUNTIF($B$11:B276,Transactions!$F$8:$F$3006),0))),"")</f>
        <v/>
      </c>
      <c r="C277" s="50" t="str">
        <f>IF(B277="","",SUMIF(Transactions!$F$8:$F$3006,B277,Transactions!$H$8:$H$3006))</f>
        <v/>
      </c>
      <c r="D277" s="51" t="str">
        <f>IF(B277="","",SUMIF(Transactions!$F$8:$F$3006,B277,Transactions!$N$8:$N$3006))</f>
        <v/>
      </c>
      <c r="E277" s="52" t="str">
        <f>IF(B277="","",SUMIF(Transactions!$F$8:$F$3006,B277,Transactions!$O$8:$O$3006))</f>
        <v/>
      </c>
      <c r="F277" s="53" t="str">
        <f>IF(B277="","",SUMIF(Transactions!$F$8:$F$3006,B277,Transactions!$R$8:$R$3006))</f>
        <v/>
      </c>
      <c r="G277" s="54" t="str">
        <f>IF(B277="","",(C277+F277)-(D277+E277+SUMIF(Transactions!$F$8:$F$3006,B277,Transactions!$Q$8:$Q$3006)))</f>
        <v/>
      </c>
      <c r="H277" s="55" t="str">
        <f>IF(B277="","",IF(G277&gt;0,"OUTSTANDING",IF(G277=0,"SETTLED",IF(SUMIF(Transactions!$F$8:$F$3006,B277,Transactions!$Q$8:$Q$3006)&gt;SUMIF(Transactions!$F$8:$F$3006,B277,Transactions!$R$8:$R$3006),"OWES","OVERPAID"))))</f>
        <v/>
      </c>
      <c r="I277" s="1"/>
    </row>
    <row r="278" spans="1:9" ht="18" customHeight="1" x14ac:dyDescent="0.25">
      <c r="A278" s="40">
        <v>263</v>
      </c>
      <c r="B278" s="41" t="str">
        <f t="array" ref="B278">IFERROR(IF(INDEX(Transactions!$F$8:$F$3006,MATCH(0,COUNTIF($B$11:B277,Transactions!$F$8:$F$3006),0))="","",INDEX(Transactions!$F$8:$F$3006,MATCH(0,COUNTIF($B$11:B277,Transactions!$F$8:$F$3006),0))),"")</f>
        <v/>
      </c>
      <c r="C278" s="42" t="str">
        <f>IF(B278="","",SUMIF(Transactions!$F$8:$F$3006,B278,Transactions!$H$8:$H$3006))</f>
        <v/>
      </c>
      <c r="D278" s="43" t="str">
        <f>IF(B278="","",SUMIF(Transactions!$F$8:$F$3006,B278,Transactions!$N$8:$N$3006))</f>
        <v/>
      </c>
      <c r="E278" s="44" t="str">
        <f>IF(B278="","",SUMIF(Transactions!$F$8:$F$3006,B278,Transactions!$O$8:$O$3006))</f>
        <v/>
      </c>
      <c r="F278" s="45" t="str">
        <f>IF(B278="","",SUMIF(Transactions!$F$8:$F$3006,B278,Transactions!$R$8:$R$3006))</f>
        <v/>
      </c>
      <c r="G278" s="46" t="str">
        <f>IF(B278="","",(C278+F278)-(D278+E278+SUMIF(Transactions!$F$8:$F$3006,B278,Transactions!$Q$8:$Q$3006)))</f>
        <v/>
      </c>
      <c r="H278" s="47" t="str">
        <f>IF(B278="","",IF(G278&gt;0,"OUTSTANDING",IF(G278=0,"SETTLED",IF(SUMIF(Transactions!$F$8:$F$3006,B278,Transactions!$Q$8:$Q$3006)&gt;SUMIF(Transactions!$F$8:$F$3006,B278,Transactions!$R$8:$R$3006),"OWES","OVERPAID"))))</f>
        <v/>
      </c>
      <c r="I278" s="1"/>
    </row>
    <row r="279" spans="1:9" ht="18" customHeight="1" x14ac:dyDescent="0.25">
      <c r="A279" s="48">
        <v>264</v>
      </c>
      <c r="B279" s="49" t="str">
        <f t="array" ref="B279">IFERROR(IF(INDEX(Transactions!$F$8:$F$3006,MATCH(0,COUNTIF($B$11:B278,Transactions!$F$8:$F$3006),0))="","",INDEX(Transactions!$F$8:$F$3006,MATCH(0,COUNTIF($B$11:B278,Transactions!$F$8:$F$3006),0))),"")</f>
        <v/>
      </c>
      <c r="C279" s="50" t="str">
        <f>IF(B279="","",SUMIF(Transactions!$F$8:$F$3006,B279,Transactions!$H$8:$H$3006))</f>
        <v/>
      </c>
      <c r="D279" s="51" t="str">
        <f>IF(B279="","",SUMIF(Transactions!$F$8:$F$3006,B279,Transactions!$N$8:$N$3006))</f>
        <v/>
      </c>
      <c r="E279" s="52" t="str">
        <f>IF(B279="","",SUMIF(Transactions!$F$8:$F$3006,B279,Transactions!$O$8:$O$3006))</f>
        <v/>
      </c>
      <c r="F279" s="53" t="str">
        <f>IF(B279="","",SUMIF(Transactions!$F$8:$F$3006,B279,Transactions!$R$8:$R$3006))</f>
        <v/>
      </c>
      <c r="G279" s="54" t="str">
        <f>IF(B279="","",(C279+F279)-(D279+E279+SUMIF(Transactions!$F$8:$F$3006,B279,Transactions!$Q$8:$Q$3006)))</f>
        <v/>
      </c>
      <c r="H279" s="55" t="str">
        <f>IF(B279="","",IF(G279&gt;0,"OUTSTANDING",IF(G279=0,"SETTLED",IF(SUMIF(Transactions!$F$8:$F$3006,B279,Transactions!$Q$8:$Q$3006)&gt;SUMIF(Transactions!$F$8:$F$3006,B279,Transactions!$R$8:$R$3006),"OWES","OVERPAID"))))</f>
        <v/>
      </c>
      <c r="I279" s="1"/>
    </row>
    <row r="280" spans="1:9" ht="18" customHeight="1" x14ac:dyDescent="0.25">
      <c r="A280" s="40">
        <v>265</v>
      </c>
      <c r="B280" s="41" t="str">
        <f t="array" ref="B280">IFERROR(IF(INDEX(Transactions!$F$8:$F$3006,MATCH(0,COUNTIF($B$11:B279,Transactions!$F$8:$F$3006),0))="","",INDEX(Transactions!$F$8:$F$3006,MATCH(0,COUNTIF($B$11:B279,Transactions!$F$8:$F$3006),0))),"")</f>
        <v/>
      </c>
      <c r="C280" s="42" t="str">
        <f>IF(B280="","",SUMIF(Transactions!$F$8:$F$3006,B280,Transactions!$H$8:$H$3006))</f>
        <v/>
      </c>
      <c r="D280" s="43" t="str">
        <f>IF(B280="","",SUMIF(Transactions!$F$8:$F$3006,B280,Transactions!$N$8:$N$3006))</f>
        <v/>
      </c>
      <c r="E280" s="44" t="str">
        <f>IF(B280="","",SUMIF(Transactions!$F$8:$F$3006,B280,Transactions!$O$8:$O$3006))</f>
        <v/>
      </c>
      <c r="F280" s="45" t="str">
        <f>IF(B280="","",SUMIF(Transactions!$F$8:$F$3006,B280,Transactions!$R$8:$R$3006))</f>
        <v/>
      </c>
      <c r="G280" s="46" t="str">
        <f>IF(B280="","",(C280+F280)-(D280+E280+SUMIF(Transactions!$F$8:$F$3006,B280,Transactions!$Q$8:$Q$3006)))</f>
        <v/>
      </c>
      <c r="H280" s="47" t="str">
        <f>IF(B280="","",IF(G280&gt;0,"OUTSTANDING",IF(G280=0,"SETTLED",IF(SUMIF(Transactions!$F$8:$F$3006,B280,Transactions!$Q$8:$Q$3006)&gt;SUMIF(Transactions!$F$8:$F$3006,B280,Transactions!$R$8:$R$3006),"OWES","OVERPAID"))))</f>
        <v/>
      </c>
      <c r="I280" s="1"/>
    </row>
    <row r="281" spans="1:9" ht="18" customHeight="1" x14ac:dyDescent="0.25">
      <c r="A281" s="48">
        <v>266</v>
      </c>
      <c r="B281" s="49" t="str">
        <f t="array" ref="B281">IFERROR(IF(INDEX(Transactions!$F$8:$F$3006,MATCH(0,COUNTIF($B$11:B280,Transactions!$F$8:$F$3006),0))="","",INDEX(Transactions!$F$8:$F$3006,MATCH(0,COUNTIF($B$11:B280,Transactions!$F$8:$F$3006),0))),"")</f>
        <v/>
      </c>
      <c r="C281" s="50" t="str">
        <f>IF(B281="","",SUMIF(Transactions!$F$8:$F$3006,B281,Transactions!$H$8:$H$3006))</f>
        <v/>
      </c>
      <c r="D281" s="51" t="str">
        <f>IF(B281="","",SUMIF(Transactions!$F$8:$F$3006,B281,Transactions!$N$8:$N$3006))</f>
        <v/>
      </c>
      <c r="E281" s="52" t="str">
        <f>IF(B281="","",SUMIF(Transactions!$F$8:$F$3006,B281,Transactions!$O$8:$O$3006))</f>
        <v/>
      </c>
      <c r="F281" s="53" t="str">
        <f>IF(B281="","",SUMIF(Transactions!$F$8:$F$3006,B281,Transactions!$R$8:$R$3006))</f>
        <v/>
      </c>
      <c r="G281" s="54" t="str">
        <f>IF(B281="","",(C281+F281)-(D281+E281+SUMIF(Transactions!$F$8:$F$3006,B281,Transactions!$Q$8:$Q$3006)))</f>
        <v/>
      </c>
      <c r="H281" s="55" t="str">
        <f>IF(B281="","",IF(G281&gt;0,"OUTSTANDING",IF(G281=0,"SETTLED",IF(SUMIF(Transactions!$F$8:$F$3006,B281,Transactions!$Q$8:$Q$3006)&gt;SUMIF(Transactions!$F$8:$F$3006,B281,Transactions!$R$8:$R$3006),"OWES","OVERPAID"))))</f>
        <v/>
      </c>
      <c r="I281" s="1"/>
    </row>
    <row r="282" spans="1:9" ht="18" customHeight="1" x14ac:dyDescent="0.25">
      <c r="A282" s="40">
        <v>267</v>
      </c>
      <c r="B282" s="41" t="str">
        <f t="array" ref="B282">IFERROR(IF(INDEX(Transactions!$F$8:$F$3006,MATCH(0,COUNTIF($B$11:B281,Transactions!$F$8:$F$3006),0))="","",INDEX(Transactions!$F$8:$F$3006,MATCH(0,COUNTIF($B$11:B281,Transactions!$F$8:$F$3006),0))),"")</f>
        <v/>
      </c>
      <c r="C282" s="42" t="str">
        <f>IF(B282="","",SUMIF(Transactions!$F$8:$F$3006,B282,Transactions!$H$8:$H$3006))</f>
        <v/>
      </c>
      <c r="D282" s="43" t="str">
        <f>IF(B282="","",SUMIF(Transactions!$F$8:$F$3006,B282,Transactions!$N$8:$N$3006))</f>
        <v/>
      </c>
      <c r="E282" s="44" t="str">
        <f>IF(B282="","",SUMIF(Transactions!$F$8:$F$3006,B282,Transactions!$O$8:$O$3006))</f>
        <v/>
      </c>
      <c r="F282" s="45" t="str">
        <f>IF(B282="","",SUMIF(Transactions!$F$8:$F$3006,B282,Transactions!$R$8:$R$3006))</f>
        <v/>
      </c>
      <c r="G282" s="46" t="str">
        <f>IF(B282="","",(C282+F282)-(D282+E282+SUMIF(Transactions!$F$8:$F$3006,B282,Transactions!$Q$8:$Q$3006)))</f>
        <v/>
      </c>
      <c r="H282" s="47" t="str">
        <f>IF(B282="","",IF(G282&gt;0,"OUTSTANDING",IF(G282=0,"SETTLED",IF(SUMIF(Transactions!$F$8:$F$3006,B282,Transactions!$Q$8:$Q$3006)&gt;SUMIF(Transactions!$F$8:$F$3006,B282,Transactions!$R$8:$R$3006),"OWES","OVERPAID"))))</f>
        <v/>
      </c>
      <c r="I282" s="1"/>
    </row>
    <row r="283" spans="1:9" ht="18" customHeight="1" x14ac:dyDescent="0.25">
      <c r="A283" s="48">
        <v>268</v>
      </c>
      <c r="B283" s="49" t="str">
        <f t="array" ref="B283">IFERROR(IF(INDEX(Transactions!$F$8:$F$3006,MATCH(0,COUNTIF($B$11:B282,Transactions!$F$8:$F$3006),0))="","",INDEX(Transactions!$F$8:$F$3006,MATCH(0,COUNTIF($B$11:B282,Transactions!$F$8:$F$3006),0))),"")</f>
        <v/>
      </c>
      <c r="C283" s="50" t="str">
        <f>IF(B283="","",SUMIF(Transactions!$F$8:$F$3006,B283,Transactions!$H$8:$H$3006))</f>
        <v/>
      </c>
      <c r="D283" s="51" t="str">
        <f>IF(B283="","",SUMIF(Transactions!$F$8:$F$3006,B283,Transactions!$N$8:$N$3006))</f>
        <v/>
      </c>
      <c r="E283" s="52" t="str">
        <f>IF(B283="","",SUMIF(Transactions!$F$8:$F$3006,B283,Transactions!$O$8:$O$3006))</f>
        <v/>
      </c>
      <c r="F283" s="53" t="str">
        <f>IF(B283="","",SUMIF(Transactions!$F$8:$F$3006,B283,Transactions!$R$8:$R$3006))</f>
        <v/>
      </c>
      <c r="G283" s="54" t="str">
        <f>IF(B283="","",(C283+F283)-(D283+E283+SUMIF(Transactions!$F$8:$F$3006,B283,Transactions!$Q$8:$Q$3006)))</f>
        <v/>
      </c>
      <c r="H283" s="55" t="str">
        <f>IF(B283="","",IF(G283&gt;0,"OUTSTANDING",IF(G283=0,"SETTLED",IF(SUMIF(Transactions!$F$8:$F$3006,B283,Transactions!$Q$8:$Q$3006)&gt;SUMIF(Transactions!$F$8:$F$3006,B283,Transactions!$R$8:$R$3006),"OWES","OVERPAID"))))</f>
        <v/>
      </c>
      <c r="I283" s="1"/>
    </row>
    <row r="284" spans="1:9" ht="18" customHeight="1" x14ac:dyDescent="0.25">
      <c r="A284" s="40">
        <v>269</v>
      </c>
      <c r="B284" s="41" t="str">
        <f t="array" ref="B284">IFERROR(IF(INDEX(Transactions!$F$8:$F$3006,MATCH(0,COUNTIF($B$11:B283,Transactions!$F$8:$F$3006),0))="","",INDEX(Transactions!$F$8:$F$3006,MATCH(0,COUNTIF($B$11:B283,Transactions!$F$8:$F$3006),0))),"")</f>
        <v/>
      </c>
      <c r="C284" s="42" t="str">
        <f>IF(B284="","",SUMIF(Transactions!$F$8:$F$3006,B284,Transactions!$H$8:$H$3006))</f>
        <v/>
      </c>
      <c r="D284" s="43" t="str">
        <f>IF(B284="","",SUMIF(Transactions!$F$8:$F$3006,B284,Transactions!$N$8:$N$3006))</f>
        <v/>
      </c>
      <c r="E284" s="44" t="str">
        <f>IF(B284="","",SUMIF(Transactions!$F$8:$F$3006,B284,Transactions!$O$8:$O$3006))</f>
        <v/>
      </c>
      <c r="F284" s="45" t="str">
        <f>IF(B284="","",SUMIF(Transactions!$F$8:$F$3006,B284,Transactions!$R$8:$R$3006))</f>
        <v/>
      </c>
      <c r="G284" s="46" t="str">
        <f>IF(B284="","",(C284+F284)-(D284+E284+SUMIF(Transactions!$F$8:$F$3006,B284,Transactions!$Q$8:$Q$3006)))</f>
        <v/>
      </c>
      <c r="H284" s="47" t="str">
        <f>IF(B284="","",IF(G284&gt;0,"OUTSTANDING",IF(G284=0,"SETTLED",IF(SUMIF(Transactions!$F$8:$F$3006,B284,Transactions!$Q$8:$Q$3006)&gt;SUMIF(Transactions!$F$8:$F$3006,B284,Transactions!$R$8:$R$3006),"OWES","OVERPAID"))))</f>
        <v/>
      </c>
      <c r="I284" s="1"/>
    </row>
    <row r="285" spans="1:9" ht="18" customHeight="1" x14ac:dyDescent="0.25">
      <c r="A285" s="48">
        <v>270</v>
      </c>
      <c r="B285" s="49" t="str">
        <f t="array" ref="B285">IFERROR(IF(INDEX(Transactions!$F$8:$F$3006,MATCH(0,COUNTIF($B$11:B284,Transactions!$F$8:$F$3006),0))="","",INDEX(Transactions!$F$8:$F$3006,MATCH(0,COUNTIF($B$11:B284,Transactions!$F$8:$F$3006),0))),"")</f>
        <v/>
      </c>
      <c r="C285" s="50" t="str">
        <f>IF(B285="","",SUMIF(Transactions!$F$8:$F$3006,B285,Transactions!$H$8:$H$3006))</f>
        <v/>
      </c>
      <c r="D285" s="51" t="str">
        <f>IF(B285="","",SUMIF(Transactions!$F$8:$F$3006,B285,Transactions!$N$8:$N$3006))</f>
        <v/>
      </c>
      <c r="E285" s="52" t="str">
        <f>IF(B285="","",SUMIF(Transactions!$F$8:$F$3006,B285,Transactions!$O$8:$O$3006))</f>
        <v/>
      </c>
      <c r="F285" s="53" t="str">
        <f>IF(B285="","",SUMIF(Transactions!$F$8:$F$3006,B285,Transactions!$R$8:$R$3006))</f>
        <v/>
      </c>
      <c r="G285" s="54" t="str">
        <f>IF(B285="","",(C285+F285)-(D285+E285+SUMIF(Transactions!$F$8:$F$3006,B285,Transactions!$Q$8:$Q$3006)))</f>
        <v/>
      </c>
      <c r="H285" s="55" t="str">
        <f>IF(B285="","",IF(G285&gt;0,"OUTSTANDING",IF(G285=0,"SETTLED",IF(SUMIF(Transactions!$F$8:$F$3006,B285,Transactions!$Q$8:$Q$3006)&gt;SUMIF(Transactions!$F$8:$F$3006,B285,Transactions!$R$8:$R$3006),"OWES","OVERPAID"))))</f>
        <v/>
      </c>
      <c r="I285" s="1"/>
    </row>
    <row r="286" spans="1:9" ht="18" customHeight="1" x14ac:dyDescent="0.25">
      <c r="A286" s="40">
        <v>271</v>
      </c>
      <c r="B286" s="41" t="str">
        <f t="array" ref="B286">IFERROR(IF(INDEX(Transactions!$F$8:$F$3006,MATCH(0,COUNTIF($B$11:B285,Transactions!$F$8:$F$3006),0))="","",INDEX(Transactions!$F$8:$F$3006,MATCH(0,COUNTIF($B$11:B285,Transactions!$F$8:$F$3006),0))),"")</f>
        <v/>
      </c>
      <c r="C286" s="42" t="str">
        <f>IF(B286="","",SUMIF(Transactions!$F$8:$F$3006,B286,Transactions!$H$8:$H$3006))</f>
        <v/>
      </c>
      <c r="D286" s="43" t="str">
        <f>IF(B286="","",SUMIF(Transactions!$F$8:$F$3006,B286,Transactions!$N$8:$N$3006))</f>
        <v/>
      </c>
      <c r="E286" s="44" t="str">
        <f>IF(B286="","",SUMIF(Transactions!$F$8:$F$3006,B286,Transactions!$O$8:$O$3006))</f>
        <v/>
      </c>
      <c r="F286" s="45" t="str">
        <f>IF(B286="","",SUMIF(Transactions!$F$8:$F$3006,B286,Transactions!$R$8:$R$3006))</f>
        <v/>
      </c>
      <c r="G286" s="46" t="str">
        <f>IF(B286="","",(C286+F286)-(D286+E286+SUMIF(Transactions!$F$8:$F$3006,B286,Transactions!$Q$8:$Q$3006)))</f>
        <v/>
      </c>
      <c r="H286" s="47" t="str">
        <f>IF(B286="","",IF(G286&gt;0,"OUTSTANDING",IF(G286=0,"SETTLED",IF(SUMIF(Transactions!$F$8:$F$3006,B286,Transactions!$Q$8:$Q$3006)&gt;SUMIF(Transactions!$F$8:$F$3006,B286,Transactions!$R$8:$R$3006),"OWES","OVERPAID"))))</f>
        <v/>
      </c>
      <c r="I286" s="1"/>
    </row>
    <row r="287" spans="1:9" ht="18" customHeight="1" x14ac:dyDescent="0.25">
      <c r="A287" s="48">
        <v>272</v>
      </c>
      <c r="B287" s="49" t="str">
        <f t="array" ref="B287">IFERROR(IF(INDEX(Transactions!$F$8:$F$3006,MATCH(0,COUNTIF($B$11:B286,Transactions!$F$8:$F$3006),0))="","",INDEX(Transactions!$F$8:$F$3006,MATCH(0,COUNTIF($B$11:B286,Transactions!$F$8:$F$3006),0))),"")</f>
        <v/>
      </c>
      <c r="C287" s="50" t="str">
        <f>IF(B287="","",SUMIF(Transactions!$F$8:$F$3006,B287,Transactions!$H$8:$H$3006))</f>
        <v/>
      </c>
      <c r="D287" s="51" t="str">
        <f>IF(B287="","",SUMIF(Transactions!$F$8:$F$3006,B287,Transactions!$N$8:$N$3006))</f>
        <v/>
      </c>
      <c r="E287" s="52" t="str">
        <f>IF(B287="","",SUMIF(Transactions!$F$8:$F$3006,B287,Transactions!$O$8:$O$3006))</f>
        <v/>
      </c>
      <c r="F287" s="53" t="str">
        <f>IF(B287="","",SUMIF(Transactions!$F$8:$F$3006,B287,Transactions!$R$8:$R$3006))</f>
        <v/>
      </c>
      <c r="G287" s="54" t="str">
        <f>IF(B287="","",(C287+F287)-(D287+E287+SUMIF(Transactions!$F$8:$F$3006,B287,Transactions!$Q$8:$Q$3006)))</f>
        <v/>
      </c>
      <c r="H287" s="55" t="str">
        <f>IF(B287="","",IF(G287&gt;0,"OUTSTANDING",IF(G287=0,"SETTLED",IF(SUMIF(Transactions!$F$8:$F$3006,B287,Transactions!$Q$8:$Q$3006)&gt;SUMIF(Transactions!$F$8:$F$3006,B287,Transactions!$R$8:$R$3006),"OWES","OVERPAID"))))</f>
        <v/>
      </c>
      <c r="I287" s="1"/>
    </row>
    <row r="288" spans="1:9" ht="18" customHeight="1" x14ac:dyDescent="0.25">
      <c r="A288" s="40">
        <v>273</v>
      </c>
      <c r="B288" s="41" t="str">
        <f t="array" ref="B288">IFERROR(IF(INDEX(Transactions!$F$8:$F$3006,MATCH(0,COUNTIF($B$11:B287,Transactions!$F$8:$F$3006),0))="","",INDEX(Transactions!$F$8:$F$3006,MATCH(0,COUNTIF($B$11:B287,Transactions!$F$8:$F$3006),0))),"")</f>
        <v/>
      </c>
      <c r="C288" s="42" t="str">
        <f>IF(B288="","",SUMIF(Transactions!$F$8:$F$3006,B288,Transactions!$H$8:$H$3006))</f>
        <v/>
      </c>
      <c r="D288" s="43" t="str">
        <f>IF(B288="","",SUMIF(Transactions!$F$8:$F$3006,B288,Transactions!$N$8:$N$3006))</f>
        <v/>
      </c>
      <c r="E288" s="44" t="str">
        <f>IF(B288="","",SUMIF(Transactions!$F$8:$F$3006,B288,Transactions!$O$8:$O$3006))</f>
        <v/>
      </c>
      <c r="F288" s="45" t="str">
        <f>IF(B288="","",SUMIF(Transactions!$F$8:$F$3006,B288,Transactions!$R$8:$R$3006))</f>
        <v/>
      </c>
      <c r="G288" s="46" t="str">
        <f>IF(B288="","",(C288+F288)-(D288+E288+SUMIF(Transactions!$F$8:$F$3006,B288,Transactions!$Q$8:$Q$3006)))</f>
        <v/>
      </c>
      <c r="H288" s="47" t="str">
        <f>IF(B288="","",IF(G288&gt;0,"OUTSTANDING",IF(G288=0,"SETTLED",IF(SUMIF(Transactions!$F$8:$F$3006,B288,Transactions!$Q$8:$Q$3006)&gt;SUMIF(Transactions!$F$8:$F$3006,B288,Transactions!$R$8:$R$3006),"OWES","OVERPAID"))))</f>
        <v/>
      </c>
      <c r="I288" s="1"/>
    </row>
    <row r="289" spans="1:9" ht="18" customHeight="1" x14ac:dyDescent="0.25">
      <c r="A289" s="48">
        <v>274</v>
      </c>
      <c r="B289" s="49" t="str">
        <f t="array" ref="B289">IFERROR(IF(INDEX(Transactions!$F$8:$F$3006,MATCH(0,COUNTIF($B$11:B288,Transactions!$F$8:$F$3006),0))="","",INDEX(Transactions!$F$8:$F$3006,MATCH(0,COUNTIF($B$11:B288,Transactions!$F$8:$F$3006),0))),"")</f>
        <v/>
      </c>
      <c r="C289" s="50" t="str">
        <f>IF(B289="","",SUMIF(Transactions!$F$8:$F$3006,B289,Transactions!$H$8:$H$3006))</f>
        <v/>
      </c>
      <c r="D289" s="51" t="str">
        <f>IF(B289="","",SUMIF(Transactions!$F$8:$F$3006,B289,Transactions!$N$8:$N$3006))</f>
        <v/>
      </c>
      <c r="E289" s="52" t="str">
        <f>IF(B289="","",SUMIF(Transactions!$F$8:$F$3006,B289,Transactions!$O$8:$O$3006))</f>
        <v/>
      </c>
      <c r="F289" s="53" t="str">
        <f>IF(B289="","",SUMIF(Transactions!$F$8:$F$3006,B289,Transactions!$R$8:$R$3006))</f>
        <v/>
      </c>
      <c r="G289" s="54" t="str">
        <f>IF(B289="","",(C289+F289)-(D289+E289+SUMIF(Transactions!$F$8:$F$3006,B289,Transactions!$Q$8:$Q$3006)))</f>
        <v/>
      </c>
      <c r="H289" s="55" t="str">
        <f>IF(B289="","",IF(G289&gt;0,"OUTSTANDING",IF(G289=0,"SETTLED",IF(SUMIF(Transactions!$F$8:$F$3006,B289,Transactions!$Q$8:$Q$3006)&gt;SUMIF(Transactions!$F$8:$F$3006,B289,Transactions!$R$8:$R$3006),"OWES","OVERPAID"))))</f>
        <v/>
      </c>
      <c r="I289" s="1"/>
    </row>
    <row r="290" spans="1:9" ht="18" customHeight="1" x14ac:dyDescent="0.25">
      <c r="A290" s="40">
        <v>275</v>
      </c>
      <c r="B290" s="41" t="str">
        <f t="array" ref="B290">IFERROR(IF(INDEX(Transactions!$F$8:$F$3006,MATCH(0,COUNTIF($B$11:B289,Transactions!$F$8:$F$3006),0))="","",INDEX(Transactions!$F$8:$F$3006,MATCH(0,COUNTIF($B$11:B289,Transactions!$F$8:$F$3006),0))),"")</f>
        <v/>
      </c>
      <c r="C290" s="42" t="str">
        <f>IF(B290="","",SUMIF(Transactions!$F$8:$F$3006,B290,Transactions!$H$8:$H$3006))</f>
        <v/>
      </c>
      <c r="D290" s="43" t="str">
        <f>IF(B290="","",SUMIF(Transactions!$F$8:$F$3006,B290,Transactions!$N$8:$N$3006))</f>
        <v/>
      </c>
      <c r="E290" s="44" t="str">
        <f>IF(B290="","",SUMIF(Transactions!$F$8:$F$3006,B290,Transactions!$O$8:$O$3006))</f>
        <v/>
      </c>
      <c r="F290" s="45" t="str">
        <f>IF(B290="","",SUMIF(Transactions!$F$8:$F$3006,B290,Transactions!$R$8:$R$3006))</f>
        <v/>
      </c>
      <c r="G290" s="46" t="str">
        <f>IF(B290="","",(C290+F290)-(D290+E290+SUMIF(Transactions!$F$8:$F$3006,B290,Transactions!$Q$8:$Q$3006)))</f>
        <v/>
      </c>
      <c r="H290" s="47" t="str">
        <f>IF(B290="","",IF(G290&gt;0,"OUTSTANDING",IF(G290=0,"SETTLED",IF(SUMIF(Transactions!$F$8:$F$3006,B290,Transactions!$Q$8:$Q$3006)&gt;SUMIF(Transactions!$F$8:$F$3006,B290,Transactions!$R$8:$R$3006),"OWES","OVERPAID"))))</f>
        <v/>
      </c>
      <c r="I290" s="1"/>
    </row>
    <row r="291" spans="1:9" ht="18" customHeight="1" x14ac:dyDescent="0.25">
      <c r="A291" s="48">
        <v>276</v>
      </c>
      <c r="B291" s="49" t="str">
        <f t="array" ref="B291">IFERROR(IF(INDEX(Transactions!$F$8:$F$3006,MATCH(0,COUNTIF($B$11:B290,Transactions!$F$8:$F$3006),0))="","",INDEX(Transactions!$F$8:$F$3006,MATCH(0,COUNTIF($B$11:B290,Transactions!$F$8:$F$3006),0))),"")</f>
        <v/>
      </c>
      <c r="C291" s="50" t="str">
        <f>IF(B291="","",SUMIF(Transactions!$F$8:$F$3006,B291,Transactions!$H$8:$H$3006))</f>
        <v/>
      </c>
      <c r="D291" s="51" t="str">
        <f>IF(B291="","",SUMIF(Transactions!$F$8:$F$3006,B291,Transactions!$N$8:$N$3006))</f>
        <v/>
      </c>
      <c r="E291" s="52" t="str">
        <f>IF(B291="","",SUMIF(Transactions!$F$8:$F$3006,B291,Transactions!$O$8:$O$3006))</f>
        <v/>
      </c>
      <c r="F291" s="53" t="str">
        <f>IF(B291="","",SUMIF(Transactions!$F$8:$F$3006,B291,Transactions!$R$8:$R$3006))</f>
        <v/>
      </c>
      <c r="G291" s="54" t="str">
        <f>IF(B291="","",(C291+F291)-(D291+E291+SUMIF(Transactions!$F$8:$F$3006,B291,Transactions!$Q$8:$Q$3006)))</f>
        <v/>
      </c>
      <c r="H291" s="55" t="str">
        <f>IF(B291="","",IF(G291&gt;0,"OUTSTANDING",IF(G291=0,"SETTLED",IF(SUMIF(Transactions!$F$8:$F$3006,B291,Transactions!$Q$8:$Q$3006)&gt;SUMIF(Transactions!$F$8:$F$3006,B291,Transactions!$R$8:$R$3006),"OWES","OVERPAID"))))</f>
        <v/>
      </c>
      <c r="I291" s="1"/>
    </row>
    <row r="292" spans="1:9" ht="18" customHeight="1" x14ac:dyDescent="0.25">
      <c r="A292" s="40">
        <v>277</v>
      </c>
      <c r="B292" s="41" t="str">
        <f t="array" ref="B292">IFERROR(IF(INDEX(Transactions!$F$8:$F$3006,MATCH(0,COUNTIF($B$11:B291,Transactions!$F$8:$F$3006),0))="","",INDEX(Transactions!$F$8:$F$3006,MATCH(0,COUNTIF($B$11:B291,Transactions!$F$8:$F$3006),0))),"")</f>
        <v/>
      </c>
      <c r="C292" s="42" t="str">
        <f>IF(B292="","",SUMIF(Transactions!$F$8:$F$3006,B292,Transactions!$H$8:$H$3006))</f>
        <v/>
      </c>
      <c r="D292" s="43" t="str">
        <f>IF(B292="","",SUMIF(Transactions!$F$8:$F$3006,B292,Transactions!$N$8:$N$3006))</f>
        <v/>
      </c>
      <c r="E292" s="44" t="str">
        <f>IF(B292="","",SUMIF(Transactions!$F$8:$F$3006,B292,Transactions!$O$8:$O$3006))</f>
        <v/>
      </c>
      <c r="F292" s="45" t="str">
        <f>IF(B292="","",SUMIF(Transactions!$F$8:$F$3006,B292,Transactions!$R$8:$R$3006))</f>
        <v/>
      </c>
      <c r="G292" s="46" t="str">
        <f>IF(B292="","",(C292+F292)-(D292+E292+SUMIF(Transactions!$F$8:$F$3006,B292,Transactions!$Q$8:$Q$3006)))</f>
        <v/>
      </c>
      <c r="H292" s="47" t="str">
        <f>IF(B292="","",IF(G292&gt;0,"OUTSTANDING",IF(G292=0,"SETTLED",IF(SUMIF(Transactions!$F$8:$F$3006,B292,Transactions!$Q$8:$Q$3006)&gt;SUMIF(Transactions!$F$8:$F$3006,B292,Transactions!$R$8:$R$3006),"OWES","OVERPAID"))))</f>
        <v/>
      </c>
      <c r="I292" s="1"/>
    </row>
    <row r="293" spans="1:9" ht="18" customHeight="1" x14ac:dyDescent="0.25">
      <c r="A293" s="48">
        <v>278</v>
      </c>
      <c r="B293" s="49" t="str">
        <f t="array" ref="B293">IFERROR(IF(INDEX(Transactions!$F$8:$F$3006,MATCH(0,COUNTIF($B$11:B292,Transactions!$F$8:$F$3006),0))="","",INDEX(Transactions!$F$8:$F$3006,MATCH(0,COUNTIF($B$11:B292,Transactions!$F$8:$F$3006),0))),"")</f>
        <v/>
      </c>
      <c r="C293" s="50" t="str">
        <f>IF(B293="","",SUMIF(Transactions!$F$8:$F$3006,B293,Transactions!$H$8:$H$3006))</f>
        <v/>
      </c>
      <c r="D293" s="51" t="str">
        <f>IF(B293="","",SUMIF(Transactions!$F$8:$F$3006,B293,Transactions!$N$8:$N$3006))</f>
        <v/>
      </c>
      <c r="E293" s="52" t="str">
        <f>IF(B293="","",SUMIF(Transactions!$F$8:$F$3006,B293,Transactions!$O$8:$O$3006))</f>
        <v/>
      </c>
      <c r="F293" s="53" t="str">
        <f>IF(B293="","",SUMIF(Transactions!$F$8:$F$3006,B293,Transactions!$R$8:$R$3006))</f>
        <v/>
      </c>
      <c r="G293" s="54" t="str">
        <f>IF(B293="","",(C293+F293)-(D293+E293+SUMIF(Transactions!$F$8:$F$3006,B293,Transactions!$Q$8:$Q$3006)))</f>
        <v/>
      </c>
      <c r="H293" s="55" t="str">
        <f>IF(B293="","",IF(G293&gt;0,"OUTSTANDING",IF(G293=0,"SETTLED",IF(SUMIF(Transactions!$F$8:$F$3006,B293,Transactions!$Q$8:$Q$3006)&gt;SUMIF(Transactions!$F$8:$F$3006,B293,Transactions!$R$8:$R$3006),"OWES","OVERPAID"))))</f>
        <v/>
      </c>
      <c r="I293" s="1"/>
    </row>
    <row r="294" spans="1:9" ht="18" customHeight="1" x14ac:dyDescent="0.25">
      <c r="A294" s="40">
        <v>279</v>
      </c>
      <c r="B294" s="41" t="str">
        <f t="array" ref="B294">IFERROR(IF(INDEX(Transactions!$F$8:$F$3006,MATCH(0,COUNTIF($B$11:B293,Transactions!$F$8:$F$3006),0))="","",INDEX(Transactions!$F$8:$F$3006,MATCH(0,COUNTIF($B$11:B293,Transactions!$F$8:$F$3006),0))),"")</f>
        <v/>
      </c>
      <c r="C294" s="42" t="str">
        <f>IF(B294="","",SUMIF(Transactions!$F$8:$F$3006,B294,Transactions!$H$8:$H$3006))</f>
        <v/>
      </c>
      <c r="D294" s="43" t="str">
        <f>IF(B294="","",SUMIF(Transactions!$F$8:$F$3006,B294,Transactions!$N$8:$N$3006))</f>
        <v/>
      </c>
      <c r="E294" s="44" t="str">
        <f>IF(B294="","",SUMIF(Transactions!$F$8:$F$3006,B294,Transactions!$O$8:$O$3006))</f>
        <v/>
      </c>
      <c r="F294" s="45" t="str">
        <f>IF(B294="","",SUMIF(Transactions!$F$8:$F$3006,B294,Transactions!$R$8:$R$3006))</f>
        <v/>
      </c>
      <c r="G294" s="46" t="str">
        <f>IF(B294="","",(C294+F294)-(D294+E294+SUMIF(Transactions!$F$8:$F$3006,B294,Transactions!$Q$8:$Q$3006)))</f>
        <v/>
      </c>
      <c r="H294" s="47" t="str">
        <f>IF(B294="","",IF(G294&gt;0,"OUTSTANDING",IF(G294=0,"SETTLED",IF(SUMIF(Transactions!$F$8:$F$3006,B294,Transactions!$Q$8:$Q$3006)&gt;SUMIF(Transactions!$F$8:$F$3006,B294,Transactions!$R$8:$R$3006),"OWES","OVERPAID"))))</f>
        <v/>
      </c>
      <c r="I294" s="1"/>
    </row>
    <row r="295" spans="1:9" ht="18" customHeight="1" x14ac:dyDescent="0.25">
      <c r="A295" s="48">
        <v>280</v>
      </c>
      <c r="B295" s="49" t="str">
        <f t="array" ref="B295">IFERROR(IF(INDEX(Transactions!$F$8:$F$3006,MATCH(0,COUNTIF($B$11:B294,Transactions!$F$8:$F$3006),0))="","",INDEX(Transactions!$F$8:$F$3006,MATCH(0,COUNTIF($B$11:B294,Transactions!$F$8:$F$3006),0))),"")</f>
        <v/>
      </c>
      <c r="C295" s="50" t="str">
        <f>IF(B295="","",SUMIF(Transactions!$F$8:$F$3006,B295,Transactions!$H$8:$H$3006))</f>
        <v/>
      </c>
      <c r="D295" s="51" t="str">
        <f>IF(B295="","",SUMIF(Transactions!$F$8:$F$3006,B295,Transactions!$N$8:$N$3006))</f>
        <v/>
      </c>
      <c r="E295" s="52" t="str">
        <f>IF(B295="","",SUMIF(Transactions!$F$8:$F$3006,B295,Transactions!$O$8:$O$3006))</f>
        <v/>
      </c>
      <c r="F295" s="53" t="str">
        <f>IF(B295="","",SUMIF(Transactions!$F$8:$F$3006,B295,Transactions!$R$8:$R$3006))</f>
        <v/>
      </c>
      <c r="G295" s="54" t="str">
        <f>IF(B295="","",(C295+F295)-(D295+E295+SUMIF(Transactions!$F$8:$F$3006,B295,Transactions!$Q$8:$Q$3006)))</f>
        <v/>
      </c>
      <c r="H295" s="55" t="str">
        <f>IF(B295="","",IF(G295&gt;0,"OUTSTANDING",IF(G295=0,"SETTLED",IF(SUMIF(Transactions!$F$8:$F$3006,B295,Transactions!$Q$8:$Q$3006)&gt;SUMIF(Transactions!$F$8:$F$3006,B295,Transactions!$R$8:$R$3006),"OWES","OVERPAID"))))</f>
        <v/>
      </c>
      <c r="I295" s="1"/>
    </row>
    <row r="296" spans="1:9" ht="18" customHeight="1" x14ac:dyDescent="0.25">
      <c r="A296" s="40">
        <v>281</v>
      </c>
      <c r="B296" s="41" t="str">
        <f t="array" ref="B296">IFERROR(IF(INDEX(Transactions!$F$8:$F$3006,MATCH(0,COUNTIF($B$11:B295,Transactions!$F$8:$F$3006),0))="","",INDEX(Transactions!$F$8:$F$3006,MATCH(0,COUNTIF($B$11:B295,Transactions!$F$8:$F$3006),0))),"")</f>
        <v/>
      </c>
      <c r="C296" s="42" t="str">
        <f>IF(B296="","",SUMIF(Transactions!$F$8:$F$3006,B296,Transactions!$H$8:$H$3006))</f>
        <v/>
      </c>
      <c r="D296" s="43" t="str">
        <f>IF(B296="","",SUMIF(Transactions!$F$8:$F$3006,B296,Transactions!$N$8:$N$3006))</f>
        <v/>
      </c>
      <c r="E296" s="44" t="str">
        <f>IF(B296="","",SUMIF(Transactions!$F$8:$F$3006,B296,Transactions!$O$8:$O$3006))</f>
        <v/>
      </c>
      <c r="F296" s="45" t="str">
        <f>IF(B296="","",SUMIF(Transactions!$F$8:$F$3006,B296,Transactions!$R$8:$R$3006))</f>
        <v/>
      </c>
      <c r="G296" s="46" t="str">
        <f>IF(B296="","",(C296+F296)-(D296+E296+SUMIF(Transactions!$F$8:$F$3006,B296,Transactions!$Q$8:$Q$3006)))</f>
        <v/>
      </c>
      <c r="H296" s="47" t="str">
        <f>IF(B296="","",IF(G296&gt;0,"OUTSTANDING",IF(G296=0,"SETTLED",IF(SUMIF(Transactions!$F$8:$F$3006,B296,Transactions!$Q$8:$Q$3006)&gt;SUMIF(Transactions!$F$8:$F$3006,B296,Transactions!$R$8:$R$3006),"OWES","OVERPAID"))))</f>
        <v/>
      </c>
      <c r="I296" s="1"/>
    </row>
    <row r="297" spans="1:9" ht="18" customHeight="1" x14ac:dyDescent="0.25">
      <c r="A297" s="48">
        <v>282</v>
      </c>
      <c r="B297" s="49" t="str">
        <f t="array" ref="B297">IFERROR(IF(INDEX(Transactions!$F$8:$F$3006,MATCH(0,COUNTIF($B$11:B296,Transactions!$F$8:$F$3006),0))="","",INDEX(Transactions!$F$8:$F$3006,MATCH(0,COUNTIF($B$11:B296,Transactions!$F$8:$F$3006),0))),"")</f>
        <v/>
      </c>
      <c r="C297" s="50" t="str">
        <f>IF(B297="","",SUMIF(Transactions!$F$8:$F$3006,B297,Transactions!$H$8:$H$3006))</f>
        <v/>
      </c>
      <c r="D297" s="51" t="str">
        <f>IF(B297="","",SUMIF(Transactions!$F$8:$F$3006,B297,Transactions!$N$8:$N$3006))</f>
        <v/>
      </c>
      <c r="E297" s="52" t="str">
        <f>IF(B297="","",SUMIF(Transactions!$F$8:$F$3006,B297,Transactions!$O$8:$O$3006))</f>
        <v/>
      </c>
      <c r="F297" s="53" t="str">
        <f>IF(B297="","",SUMIF(Transactions!$F$8:$F$3006,B297,Transactions!$R$8:$R$3006))</f>
        <v/>
      </c>
      <c r="G297" s="54" t="str">
        <f>IF(B297="","",(C297+F297)-(D297+E297+SUMIF(Transactions!$F$8:$F$3006,B297,Transactions!$Q$8:$Q$3006)))</f>
        <v/>
      </c>
      <c r="H297" s="55" t="str">
        <f>IF(B297="","",IF(G297&gt;0,"OUTSTANDING",IF(G297=0,"SETTLED",IF(SUMIF(Transactions!$F$8:$F$3006,B297,Transactions!$Q$8:$Q$3006)&gt;SUMIF(Transactions!$F$8:$F$3006,B297,Transactions!$R$8:$R$3006),"OWES","OVERPAID"))))</f>
        <v/>
      </c>
      <c r="I297" s="1"/>
    </row>
    <row r="298" spans="1:9" ht="18" customHeight="1" x14ac:dyDescent="0.25">
      <c r="A298" s="40">
        <v>283</v>
      </c>
      <c r="B298" s="41" t="str">
        <f t="array" ref="B298">IFERROR(IF(INDEX(Transactions!$F$8:$F$3006,MATCH(0,COUNTIF($B$11:B297,Transactions!$F$8:$F$3006),0))="","",INDEX(Transactions!$F$8:$F$3006,MATCH(0,COUNTIF($B$11:B297,Transactions!$F$8:$F$3006),0))),"")</f>
        <v/>
      </c>
      <c r="C298" s="42" t="str">
        <f>IF(B298="","",SUMIF(Transactions!$F$8:$F$3006,B298,Transactions!$H$8:$H$3006))</f>
        <v/>
      </c>
      <c r="D298" s="43" t="str">
        <f>IF(B298="","",SUMIF(Transactions!$F$8:$F$3006,B298,Transactions!$N$8:$N$3006))</f>
        <v/>
      </c>
      <c r="E298" s="44" t="str">
        <f>IF(B298="","",SUMIF(Transactions!$F$8:$F$3006,B298,Transactions!$O$8:$O$3006))</f>
        <v/>
      </c>
      <c r="F298" s="45" t="str">
        <f>IF(B298="","",SUMIF(Transactions!$F$8:$F$3006,B298,Transactions!$R$8:$R$3006))</f>
        <v/>
      </c>
      <c r="G298" s="46" t="str">
        <f>IF(B298="","",(C298+F298)-(D298+E298+SUMIF(Transactions!$F$8:$F$3006,B298,Transactions!$Q$8:$Q$3006)))</f>
        <v/>
      </c>
      <c r="H298" s="47" t="str">
        <f>IF(B298="","",IF(G298&gt;0,"OUTSTANDING",IF(G298=0,"SETTLED",IF(SUMIF(Transactions!$F$8:$F$3006,B298,Transactions!$Q$8:$Q$3006)&gt;SUMIF(Transactions!$F$8:$F$3006,B298,Transactions!$R$8:$R$3006),"OWES","OVERPAID"))))</f>
        <v/>
      </c>
      <c r="I298" s="1"/>
    </row>
    <row r="299" spans="1:9" ht="18" customHeight="1" x14ac:dyDescent="0.25">
      <c r="A299" s="48">
        <v>284</v>
      </c>
      <c r="B299" s="49" t="str">
        <f t="array" ref="B299">IFERROR(IF(INDEX(Transactions!$F$8:$F$3006,MATCH(0,COUNTIF($B$11:B298,Transactions!$F$8:$F$3006),0))="","",INDEX(Transactions!$F$8:$F$3006,MATCH(0,COUNTIF($B$11:B298,Transactions!$F$8:$F$3006),0))),"")</f>
        <v/>
      </c>
      <c r="C299" s="50" t="str">
        <f>IF(B299="","",SUMIF(Transactions!$F$8:$F$3006,B299,Transactions!$H$8:$H$3006))</f>
        <v/>
      </c>
      <c r="D299" s="51" t="str">
        <f>IF(B299="","",SUMIF(Transactions!$F$8:$F$3006,B299,Transactions!$N$8:$N$3006))</f>
        <v/>
      </c>
      <c r="E299" s="52" t="str">
        <f>IF(B299="","",SUMIF(Transactions!$F$8:$F$3006,B299,Transactions!$O$8:$O$3006))</f>
        <v/>
      </c>
      <c r="F299" s="53" t="str">
        <f>IF(B299="","",SUMIF(Transactions!$F$8:$F$3006,B299,Transactions!$R$8:$R$3006))</f>
        <v/>
      </c>
      <c r="G299" s="54" t="str">
        <f>IF(B299="","",(C299+F299)-(D299+E299+SUMIF(Transactions!$F$8:$F$3006,B299,Transactions!$Q$8:$Q$3006)))</f>
        <v/>
      </c>
      <c r="H299" s="55" t="str">
        <f>IF(B299="","",IF(G299&gt;0,"OUTSTANDING",IF(G299=0,"SETTLED",IF(SUMIF(Transactions!$F$8:$F$3006,B299,Transactions!$Q$8:$Q$3006)&gt;SUMIF(Transactions!$F$8:$F$3006,B299,Transactions!$R$8:$R$3006),"OWES","OVERPAID"))))</f>
        <v/>
      </c>
      <c r="I299" s="1"/>
    </row>
    <row r="300" spans="1:9" ht="18" customHeight="1" x14ac:dyDescent="0.25">
      <c r="A300" s="40">
        <v>285</v>
      </c>
      <c r="B300" s="41" t="str">
        <f t="array" ref="B300">IFERROR(IF(INDEX(Transactions!$F$8:$F$3006,MATCH(0,COUNTIF($B$11:B299,Transactions!$F$8:$F$3006),0))="","",INDEX(Transactions!$F$8:$F$3006,MATCH(0,COUNTIF($B$11:B299,Transactions!$F$8:$F$3006),0))),"")</f>
        <v/>
      </c>
      <c r="C300" s="42" t="str">
        <f>IF(B300="","",SUMIF(Transactions!$F$8:$F$3006,B300,Transactions!$H$8:$H$3006))</f>
        <v/>
      </c>
      <c r="D300" s="43" t="str">
        <f>IF(B300="","",SUMIF(Transactions!$F$8:$F$3006,B300,Transactions!$N$8:$N$3006))</f>
        <v/>
      </c>
      <c r="E300" s="44" t="str">
        <f>IF(B300="","",SUMIF(Transactions!$F$8:$F$3006,B300,Transactions!$O$8:$O$3006))</f>
        <v/>
      </c>
      <c r="F300" s="45" t="str">
        <f>IF(B300="","",SUMIF(Transactions!$F$8:$F$3006,B300,Transactions!$R$8:$R$3006))</f>
        <v/>
      </c>
      <c r="G300" s="46" t="str">
        <f>IF(B300="","",(C300+F300)-(D300+E300+SUMIF(Transactions!$F$8:$F$3006,B300,Transactions!$Q$8:$Q$3006)))</f>
        <v/>
      </c>
      <c r="H300" s="47" t="str">
        <f>IF(B300="","",IF(G300&gt;0,"OUTSTANDING",IF(G300=0,"SETTLED",IF(SUMIF(Transactions!$F$8:$F$3006,B300,Transactions!$Q$8:$Q$3006)&gt;SUMIF(Transactions!$F$8:$F$3006,B300,Transactions!$R$8:$R$3006),"OWES","OVERPAID"))))</f>
        <v/>
      </c>
      <c r="I300" s="1"/>
    </row>
    <row r="301" spans="1:9" ht="18" customHeight="1" x14ac:dyDescent="0.25">
      <c r="A301" s="48">
        <v>286</v>
      </c>
      <c r="B301" s="49" t="str">
        <f t="array" ref="B301">IFERROR(IF(INDEX(Transactions!$F$8:$F$3006,MATCH(0,COUNTIF($B$11:B300,Transactions!$F$8:$F$3006),0))="","",INDEX(Transactions!$F$8:$F$3006,MATCH(0,COUNTIF($B$11:B300,Transactions!$F$8:$F$3006),0))),"")</f>
        <v/>
      </c>
      <c r="C301" s="50" t="str">
        <f>IF(B301="","",SUMIF(Transactions!$F$8:$F$3006,B301,Transactions!$H$8:$H$3006))</f>
        <v/>
      </c>
      <c r="D301" s="51" t="str">
        <f>IF(B301="","",SUMIF(Transactions!$F$8:$F$3006,B301,Transactions!$N$8:$N$3006))</f>
        <v/>
      </c>
      <c r="E301" s="52" t="str">
        <f>IF(B301="","",SUMIF(Transactions!$F$8:$F$3006,B301,Transactions!$O$8:$O$3006))</f>
        <v/>
      </c>
      <c r="F301" s="53" t="str">
        <f>IF(B301="","",SUMIF(Transactions!$F$8:$F$3006,B301,Transactions!$R$8:$R$3006))</f>
        <v/>
      </c>
      <c r="G301" s="54" t="str">
        <f>IF(B301="","",(C301+F301)-(D301+E301+SUMIF(Transactions!$F$8:$F$3006,B301,Transactions!$Q$8:$Q$3006)))</f>
        <v/>
      </c>
      <c r="H301" s="55" t="str">
        <f>IF(B301="","",IF(G301&gt;0,"OUTSTANDING",IF(G301=0,"SETTLED",IF(SUMIF(Transactions!$F$8:$F$3006,B301,Transactions!$Q$8:$Q$3006)&gt;SUMIF(Transactions!$F$8:$F$3006,B301,Transactions!$R$8:$R$3006),"OWES","OVERPAID"))))</f>
        <v/>
      </c>
      <c r="I301" s="1"/>
    </row>
    <row r="302" spans="1:9" ht="18" customHeight="1" x14ac:dyDescent="0.25">
      <c r="A302" s="40">
        <v>287</v>
      </c>
      <c r="B302" s="41" t="str">
        <f t="array" ref="B302">IFERROR(IF(INDEX(Transactions!$F$8:$F$3006,MATCH(0,COUNTIF($B$11:B301,Transactions!$F$8:$F$3006),0))="","",INDEX(Transactions!$F$8:$F$3006,MATCH(0,COUNTIF($B$11:B301,Transactions!$F$8:$F$3006),0))),"")</f>
        <v/>
      </c>
      <c r="C302" s="42" t="str">
        <f>IF(B302="","",SUMIF(Transactions!$F$8:$F$3006,B302,Transactions!$H$8:$H$3006))</f>
        <v/>
      </c>
      <c r="D302" s="43" t="str">
        <f>IF(B302="","",SUMIF(Transactions!$F$8:$F$3006,B302,Transactions!$N$8:$N$3006))</f>
        <v/>
      </c>
      <c r="E302" s="44" t="str">
        <f>IF(B302="","",SUMIF(Transactions!$F$8:$F$3006,B302,Transactions!$O$8:$O$3006))</f>
        <v/>
      </c>
      <c r="F302" s="45" t="str">
        <f>IF(B302="","",SUMIF(Transactions!$F$8:$F$3006,B302,Transactions!$R$8:$R$3006))</f>
        <v/>
      </c>
      <c r="G302" s="46" t="str">
        <f>IF(B302="","",(C302+F302)-(D302+E302+SUMIF(Transactions!$F$8:$F$3006,B302,Transactions!$Q$8:$Q$3006)))</f>
        <v/>
      </c>
      <c r="H302" s="47" t="str">
        <f>IF(B302="","",IF(G302&gt;0,"OUTSTANDING",IF(G302=0,"SETTLED",IF(SUMIF(Transactions!$F$8:$F$3006,B302,Transactions!$Q$8:$Q$3006)&gt;SUMIF(Transactions!$F$8:$F$3006,B302,Transactions!$R$8:$R$3006),"OWES","OVERPAID"))))</f>
        <v/>
      </c>
      <c r="I302" s="1"/>
    </row>
    <row r="303" spans="1:9" ht="18" customHeight="1" x14ac:dyDescent="0.25">
      <c r="A303" s="48">
        <v>288</v>
      </c>
      <c r="B303" s="49" t="str">
        <f t="array" ref="B303">IFERROR(IF(INDEX(Transactions!$F$8:$F$3006,MATCH(0,COUNTIF($B$11:B302,Transactions!$F$8:$F$3006),0))="","",INDEX(Transactions!$F$8:$F$3006,MATCH(0,COUNTIF($B$11:B302,Transactions!$F$8:$F$3006),0))),"")</f>
        <v/>
      </c>
      <c r="C303" s="50" t="str">
        <f>IF(B303="","",SUMIF(Transactions!$F$8:$F$3006,B303,Transactions!$H$8:$H$3006))</f>
        <v/>
      </c>
      <c r="D303" s="51" t="str">
        <f>IF(B303="","",SUMIF(Transactions!$F$8:$F$3006,B303,Transactions!$N$8:$N$3006))</f>
        <v/>
      </c>
      <c r="E303" s="52" t="str">
        <f>IF(B303="","",SUMIF(Transactions!$F$8:$F$3006,B303,Transactions!$O$8:$O$3006))</f>
        <v/>
      </c>
      <c r="F303" s="53" t="str">
        <f>IF(B303="","",SUMIF(Transactions!$F$8:$F$3006,B303,Transactions!$R$8:$R$3006))</f>
        <v/>
      </c>
      <c r="G303" s="54" t="str">
        <f>IF(B303="","",(C303+F303)-(D303+E303+SUMIF(Transactions!$F$8:$F$3006,B303,Transactions!$Q$8:$Q$3006)))</f>
        <v/>
      </c>
      <c r="H303" s="55" t="str">
        <f>IF(B303="","",IF(G303&gt;0,"OUTSTANDING",IF(G303=0,"SETTLED",IF(SUMIF(Transactions!$F$8:$F$3006,B303,Transactions!$Q$8:$Q$3006)&gt;SUMIF(Transactions!$F$8:$F$3006,B303,Transactions!$R$8:$R$3006),"OWES","OVERPAID"))))</f>
        <v/>
      </c>
      <c r="I303" s="1"/>
    </row>
    <row r="304" spans="1:9" ht="18" customHeight="1" x14ac:dyDescent="0.25">
      <c r="A304" s="40">
        <v>289</v>
      </c>
      <c r="B304" s="41" t="str">
        <f t="array" ref="B304">IFERROR(IF(INDEX(Transactions!$F$8:$F$3006,MATCH(0,COUNTIF($B$11:B303,Transactions!$F$8:$F$3006),0))="","",INDEX(Transactions!$F$8:$F$3006,MATCH(0,COUNTIF($B$11:B303,Transactions!$F$8:$F$3006),0))),"")</f>
        <v/>
      </c>
      <c r="C304" s="42" t="str">
        <f>IF(B304="","",SUMIF(Transactions!$F$8:$F$3006,B304,Transactions!$H$8:$H$3006))</f>
        <v/>
      </c>
      <c r="D304" s="43" t="str">
        <f>IF(B304="","",SUMIF(Transactions!$F$8:$F$3006,B304,Transactions!$N$8:$N$3006))</f>
        <v/>
      </c>
      <c r="E304" s="44" t="str">
        <f>IF(B304="","",SUMIF(Transactions!$F$8:$F$3006,B304,Transactions!$O$8:$O$3006))</f>
        <v/>
      </c>
      <c r="F304" s="45" t="str">
        <f>IF(B304="","",SUMIF(Transactions!$F$8:$F$3006,B304,Transactions!$R$8:$R$3006))</f>
        <v/>
      </c>
      <c r="G304" s="46" t="str">
        <f>IF(B304="","",(C304+F304)-(D304+E304+SUMIF(Transactions!$F$8:$F$3006,B304,Transactions!$Q$8:$Q$3006)))</f>
        <v/>
      </c>
      <c r="H304" s="47" t="str">
        <f>IF(B304="","",IF(G304&gt;0,"OUTSTANDING",IF(G304=0,"SETTLED",IF(SUMIF(Transactions!$F$8:$F$3006,B304,Transactions!$Q$8:$Q$3006)&gt;SUMIF(Transactions!$F$8:$F$3006,B304,Transactions!$R$8:$R$3006),"OWES","OVERPAID"))))</f>
        <v/>
      </c>
      <c r="I304" s="1"/>
    </row>
    <row r="305" spans="1:9" ht="18" customHeight="1" x14ac:dyDescent="0.25">
      <c r="A305" s="48">
        <v>290</v>
      </c>
      <c r="B305" s="49" t="str">
        <f t="array" ref="B305">IFERROR(IF(INDEX(Transactions!$F$8:$F$3006,MATCH(0,COUNTIF($B$11:B304,Transactions!$F$8:$F$3006),0))="","",INDEX(Transactions!$F$8:$F$3006,MATCH(0,COUNTIF($B$11:B304,Transactions!$F$8:$F$3006),0))),"")</f>
        <v/>
      </c>
      <c r="C305" s="50" t="str">
        <f>IF(B305="","",SUMIF(Transactions!$F$8:$F$3006,B305,Transactions!$H$8:$H$3006))</f>
        <v/>
      </c>
      <c r="D305" s="51" t="str">
        <f>IF(B305="","",SUMIF(Transactions!$F$8:$F$3006,B305,Transactions!$N$8:$N$3006))</f>
        <v/>
      </c>
      <c r="E305" s="52" t="str">
        <f>IF(B305="","",SUMIF(Transactions!$F$8:$F$3006,B305,Transactions!$O$8:$O$3006))</f>
        <v/>
      </c>
      <c r="F305" s="53" t="str">
        <f>IF(B305="","",SUMIF(Transactions!$F$8:$F$3006,B305,Transactions!$R$8:$R$3006))</f>
        <v/>
      </c>
      <c r="G305" s="54" t="str">
        <f>IF(B305="","",(C305+F305)-(D305+E305+SUMIF(Transactions!$F$8:$F$3006,B305,Transactions!$Q$8:$Q$3006)))</f>
        <v/>
      </c>
      <c r="H305" s="55" t="str">
        <f>IF(B305="","",IF(G305&gt;0,"OUTSTANDING",IF(G305=0,"SETTLED",IF(SUMIF(Transactions!$F$8:$F$3006,B305,Transactions!$Q$8:$Q$3006)&gt;SUMIF(Transactions!$F$8:$F$3006,B305,Transactions!$R$8:$R$3006),"OWES","OVERPAID"))))</f>
        <v/>
      </c>
      <c r="I305" s="1"/>
    </row>
    <row r="306" spans="1:9" ht="18" customHeight="1" x14ac:dyDescent="0.25">
      <c r="A306" s="40">
        <v>291</v>
      </c>
      <c r="B306" s="41" t="str">
        <f t="array" ref="B306">IFERROR(IF(INDEX(Transactions!$F$8:$F$3006,MATCH(0,COUNTIF($B$11:B305,Transactions!$F$8:$F$3006),0))="","",INDEX(Transactions!$F$8:$F$3006,MATCH(0,COUNTIF($B$11:B305,Transactions!$F$8:$F$3006),0))),"")</f>
        <v/>
      </c>
      <c r="C306" s="42" t="str">
        <f>IF(B306="","",SUMIF(Transactions!$F$8:$F$3006,B306,Transactions!$H$8:$H$3006))</f>
        <v/>
      </c>
      <c r="D306" s="43" t="str">
        <f>IF(B306="","",SUMIF(Transactions!$F$8:$F$3006,B306,Transactions!$N$8:$N$3006))</f>
        <v/>
      </c>
      <c r="E306" s="44" t="str">
        <f>IF(B306="","",SUMIF(Transactions!$F$8:$F$3006,B306,Transactions!$O$8:$O$3006))</f>
        <v/>
      </c>
      <c r="F306" s="45" t="str">
        <f>IF(B306="","",SUMIF(Transactions!$F$8:$F$3006,B306,Transactions!$R$8:$R$3006))</f>
        <v/>
      </c>
      <c r="G306" s="46" t="str">
        <f>IF(B306="","",(C306+F306)-(D306+E306+SUMIF(Transactions!$F$8:$F$3006,B306,Transactions!$Q$8:$Q$3006)))</f>
        <v/>
      </c>
      <c r="H306" s="47" t="str">
        <f>IF(B306="","",IF(G306&gt;0,"OUTSTANDING",IF(G306=0,"SETTLED",IF(SUMIF(Transactions!$F$8:$F$3006,B306,Transactions!$Q$8:$Q$3006)&gt;SUMIF(Transactions!$F$8:$F$3006,B306,Transactions!$R$8:$R$3006),"OWES","OVERPAID"))))</f>
        <v/>
      </c>
      <c r="I306" s="1"/>
    </row>
    <row r="307" spans="1:9" ht="18" customHeight="1" x14ac:dyDescent="0.25">
      <c r="A307" s="48">
        <v>292</v>
      </c>
      <c r="B307" s="49" t="str">
        <f t="array" ref="B307">IFERROR(IF(INDEX(Transactions!$F$8:$F$3006,MATCH(0,COUNTIF($B$11:B306,Transactions!$F$8:$F$3006),0))="","",INDEX(Transactions!$F$8:$F$3006,MATCH(0,COUNTIF($B$11:B306,Transactions!$F$8:$F$3006),0))),"")</f>
        <v/>
      </c>
      <c r="C307" s="50" t="str">
        <f>IF(B307="","",SUMIF(Transactions!$F$8:$F$3006,B307,Transactions!$H$8:$H$3006))</f>
        <v/>
      </c>
      <c r="D307" s="51" t="str">
        <f>IF(B307="","",SUMIF(Transactions!$F$8:$F$3006,B307,Transactions!$N$8:$N$3006))</f>
        <v/>
      </c>
      <c r="E307" s="52" t="str">
        <f>IF(B307="","",SUMIF(Transactions!$F$8:$F$3006,B307,Transactions!$O$8:$O$3006))</f>
        <v/>
      </c>
      <c r="F307" s="53" t="str">
        <f>IF(B307="","",SUMIF(Transactions!$F$8:$F$3006,B307,Transactions!$R$8:$R$3006))</f>
        <v/>
      </c>
      <c r="G307" s="54" t="str">
        <f>IF(B307="","",(C307+F307)-(D307+E307+SUMIF(Transactions!$F$8:$F$3006,B307,Transactions!$Q$8:$Q$3006)))</f>
        <v/>
      </c>
      <c r="H307" s="55" t="str">
        <f>IF(B307="","",IF(G307&gt;0,"OUTSTANDING",IF(G307=0,"SETTLED",IF(SUMIF(Transactions!$F$8:$F$3006,B307,Transactions!$Q$8:$Q$3006)&gt;SUMIF(Transactions!$F$8:$F$3006,B307,Transactions!$R$8:$R$3006),"OWES","OVERPAID"))))</f>
        <v/>
      </c>
      <c r="I307" s="1"/>
    </row>
    <row r="308" spans="1:9" ht="18" customHeight="1" x14ac:dyDescent="0.25">
      <c r="A308" s="40">
        <v>293</v>
      </c>
      <c r="B308" s="41" t="str">
        <f t="array" ref="B308">IFERROR(IF(INDEX(Transactions!$F$8:$F$3006,MATCH(0,COUNTIF($B$11:B307,Transactions!$F$8:$F$3006),0))="","",INDEX(Transactions!$F$8:$F$3006,MATCH(0,COUNTIF($B$11:B307,Transactions!$F$8:$F$3006),0))),"")</f>
        <v/>
      </c>
      <c r="C308" s="42" t="str">
        <f>IF(B308="","",SUMIF(Transactions!$F$8:$F$3006,B308,Transactions!$H$8:$H$3006))</f>
        <v/>
      </c>
      <c r="D308" s="43" t="str">
        <f>IF(B308="","",SUMIF(Transactions!$F$8:$F$3006,B308,Transactions!$N$8:$N$3006))</f>
        <v/>
      </c>
      <c r="E308" s="44" t="str">
        <f>IF(B308="","",SUMIF(Transactions!$F$8:$F$3006,B308,Transactions!$O$8:$O$3006))</f>
        <v/>
      </c>
      <c r="F308" s="45" t="str">
        <f>IF(B308="","",SUMIF(Transactions!$F$8:$F$3006,B308,Transactions!$R$8:$R$3006))</f>
        <v/>
      </c>
      <c r="G308" s="46" t="str">
        <f>IF(B308="","",(C308+F308)-(D308+E308+SUMIF(Transactions!$F$8:$F$3006,B308,Transactions!$Q$8:$Q$3006)))</f>
        <v/>
      </c>
      <c r="H308" s="47" t="str">
        <f>IF(B308="","",IF(G308&gt;0,"OUTSTANDING",IF(G308=0,"SETTLED",IF(SUMIF(Transactions!$F$8:$F$3006,B308,Transactions!$Q$8:$Q$3006)&gt;SUMIF(Transactions!$F$8:$F$3006,B308,Transactions!$R$8:$R$3006),"OWES","OVERPAID"))))</f>
        <v/>
      </c>
      <c r="I308" s="1"/>
    </row>
    <row r="309" spans="1:9" ht="18" customHeight="1" x14ac:dyDescent="0.25">
      <c r="A309" s="48">
        <v>294</v>
      </c>
      <c r="B309" s="49" t="str">
        <f t="array" ref="B309">IFERROR(IF(INDEX(Transactions!$F$8:$F$3006,MATCH(0,COUNTIF($B$11:B308,Transactions!$F$8:$F$3006),0))="","",INDEX(Transactions!$F$8:$F$3006,MATCH(0,COUNTIF($B$11:B308,Transactions!$F$8:$F$3006),0))),"")</f>
        <v/>
      </c>
      <c r="C309" s="50" t="str">
        <f>IF(B309="","",SUMIF(Transactions!$F$8:$F$3006,B309,Transactions!$H$8:$H$3006))</f>
        <v/>
      </c>
      <c r="D309" s="51" t="str">
        <f>IF(B309="","",SUMIF(Transactions!$F$8:$F$3006,B309,Transactions!$N$8:$N$3006))</f>
        <v/>
      </c>
      <c r="E309" s="52" t="str">
        <f>IF(B309="","",SUMIF(Transactions!$F$8:$F$3006,B309,Transactions!$O$8:$O$3006))</f>
        <v/>
      </c>
      <c r="F309" s="53" t="str">
        <f>IF(B309="","",SUMIF(Transactions!$F$8:$F$3006,B309,Transactions!$R$8:$R$3006))</f>
        <v/>
      </c>
      <c r="G309" s="54" t="str">
        <f>IF(B309="","",(C309+F309)-(D309+E309+SUMIF(Transactions!$F$8:$F$3006,B309,Transactions!$Q$8:$Q$3006)))</f>
        <v/>
      </c>
      <c r="H309" s="55" t="str">
        <f>IF(B309="","",IF(G309&gt;0,"OUTSTANDING",IF(G309=0,"SETTLED",IF(SUMIF(Transactions!$F$8:$F$3006,B309,Transactions!$Q$8:$Q$3006)&gt;SUMIF(Transactions!$F$8:$F$3006,B309,Transactions!$R$8:$R$3006),"OWES","OVERPAID"))))</f>
        <v/>
      </c>
      <c r="I309" s="1"/>
    </row>
    <row r="310" spans="1:9" ht="18" customHeight="1" x14ac:dyDescent="0.25">
      <c r="A310" s="40">
        <v>295</v>
      </c>
      <c r="B310" s="41" t="str">
        <f t="array" ref="B310">IFERROR(IF(INDEX(Transactions!$F$8:$F$3006,MATCH(0,COUNTIF($B$11:B309,Transactions!$F$8:$F$3006),0))="","",INDEX(Transactions!$F$8:$F$3006,MATCH(0,COUNTIF($B$11:B309,Transactions!$F$8:$F$3006),0))),"")</f>
        <v/>
      </c>
      <c r="C310" s="42" t="str">
        <f>IF(B310="","",SUMIF(Transactions!$F$8:$F$3006,B310,Transactions!$H$8:$H$3006))</f>
        <v/>
      </c>
      <c r="D310" s="43" t="str">
        <f>IF(B310="","",SUMIF(Transactions!$F$8:$F$3006,B310,Transactions!$N$8:$N$3006))</f>
        <v/>
      </c>
      <c r="E310" s="44" t="str">
        <f>IF(B310="","",SUMIF(Transactions!$F$8:$F$3006,B310,Transactions!$O$8:$O$3006))</f>
        <v/>
      </c>
      <c r="F310" s="45" t="str">
        <f>IF(B310="","",SUMIF(Transactions!$F$8:$F$3006,B310,Transactions!$R$8:$R$3006))</f>
        <v/>
      </c>
      <c r="G310" s="46" t="str">
        <f>IF(B310="","",(C310+F310)-(D310+E310+SUMIF(Transactions!$F$8:$F$3006,B310,Transactions!$Q$8:$Q$3006)))</f>
        <v/>
      </c>
      <c r="H310" s="47" t="str">
        <f>IF(B310="","",IF(G310&gt;0,"OUTSTANDING",IF(G310=0,"SETTLED",IF(SUMIF(Transactions!$F$8:$F$3006,B310,Transactions!$Q$8:$Q$3006)&gt;SUMIF(Transactions!$F$8:$F$3006,B310,Transactions!$R$8:$R$3006),"OWES","OVERPAID"))))</f>
        <v/>
      </c>
      <c r="I310" s="1"/>
    </row>
    <row r="311" spans="1:9" ht="18" customHeight="1" x14ac:dyDescent="0.25">
      <c r="A311" s="48">
        <v>296</v>
      </c>
      <c r="B311" s="49" t="str">
        <f t="array" ref="B311">IFERROR(IF(INDEX(Transactions!$F$8:$F$3006,MATCH(0,COUNTIF($B$11:B310,Transactions!$F$8:$F$3006),0))="","",INDEX(Transactions!$F$8:$F$3006,MATCH(0,COUNTIF($B$11:B310,Transactions!$F$8:$F$3006),0))),"")</f>
        <v/>
      </c>
      <c r="C311" s="50" t="str">
        <f>IF(B311="","",SUMIF(Transactions!$F$8:$F$3006,B311,Transactions!$H$8:$H$3006))</f>
        <v/>
      </c>
      <c r="D311" s="51" t="str">
        <f>IF(B311="","",SUMIF(Transactions!$F$8:$F$3006,B311,Transactions!$N$8:$N$3006))</f>
        <v/>
      </c>
      <c r="E311" s="52" t="str">
        <f>IF(B311="","",SUMIF(Transactions!$F$8:$F$3006,B311,Transactions!$O$8:$O$3006))</f>
        <v/>
      </c>
      <c r="F311" s="53" t="str">
        <f>IF(B311="","",SUMIF(Transactions!$F$8:$F$3006,B311,Transactions!$R$8:$R$3006))</f>
        <v/>
      </c>
      <c r="G311" s="54" t="str">
        <f>IF(B311="","",(C311+F311)-(D311+E311+SUMIF(Transactions!$F$8:$F$3006,B311,Transactions!$Q$8:$Q$3006)))</f>
        <v/>
      </c>
      <c r="H311" s="55" t="str">
        <f>IF(B311="","",IF(G311&gt;0,"OUTSTANDING",IF(G311=0,"SETTLED",IF(SUMIF(Transactions!$F$8:$F$3006,B311,Transactions!$Q$8:$Q$3006)&gt;SUMIF(Transactions!$F$8:$F$3006,B311,Transactions!$R$8:$R$3006),"OWES","OVERPAID"))))</f>
        <v/>
      </c>
      <c r="I311" s="1"/>
    </row>
    <row r="312" spans="1:9" ht="18" customHeight="1" x14ac:dyDescent="0.25">
      <c r="A312" s="40">
        <v>297</v>
      </c>
      <c r="B312" s="41" t="str">
        <f t="array" ref="B312">IFERROR(IF(INDEX(Transactions!$F$8:$F$3006,MATCH(0,COUNTIF($B$11:B311,Transactions!$F$8:$F$3006),0))="","",INDEX(Transactions!$F$8:$F$3006,MATCH(0,COUNTIF($B$11:B311,Transactions!$F$8:$F$3006),0))),"")</f>
        <v/>
      </c>
      <c r="C312" s="42" t="str">
        <f>IF(B312="","",SUMIF(Transactions!$F$8:$F$3006,B312,Transactions!$H$8:$H$3006))</f>
        <v/>
      </c>
      <c r="D312" s="43" t="str">
        <f>IF(B312="","",SUMIF(Transactions!$F$8:$F$3006,B312,Transactions!$N$8:$N$3006))</f>
        <v/>
      </c>
      <c r="E312" s="44" t="str">
        <f>IF(B312="","",SUMIF(Transactions!$F$8:$F$3006,B312,Transactions!$O$8:$O$3006))</f>
        <v/>
      </c>
      <c r="F312" s="45" t="str">
        <f>IF(B312="","",SUMIF(Transactions!$F$8:$F$3006,B312,Transactions!$R$8:$R$3006))</f>
        <v/>
      </c>
      <c r="G312" s="46" t="str">
        <f>IF(B312="","",(C312+F312)-(D312+E312+SUMIF(Transactions!$F$8:$F$3006,B312,Transactions!$Q$8:$Q$3006)))</f>
        <v/>
      </c>
      <c r="H312" s="47" t="str">
        <f>IF(B312="","",IF(G312&gt;0,"OUTSTANDING",IF(G312=0,"SETTLED",IF(SUMIF(Transactions!$F$8:$F$3006,B312,Transactions!$Q$8:$Q$3006)&gt;SUMIF(Transactions!$F$8:$F$3006,B312,Transactions!$R$8:$R$3006),"OWES","OVERPAID"))))</f>
        <v/>
      </c>
      <c r="I312" s="1"/>
    </row>
    <row r="313" spans="1:9" ht="18" customHeight="1" x14ac:dyDescent="0.25">
      <c r="A313" s="48">
        <v>298</v>
      </c>
      <c r="B313" s="49" t="str">
        <f t="array" ref="B313">IFERROR(IF(INDEX(Transactions!$F$8:$F$3006,MATCH(0,COUNTIF($B$11:B312,Transactions!$F$8:$F$3006),0))="","",INDEX(Transactions!$F$8:$F$3006,MATCH(0,COUNTIF($B$11:B312,Transactions!$F$8:$F$3006),0))),"")</f>
        <v/>
      </c>
      <c r="C313" s="50" t="str">
        <f>IF(B313="","",SUMIF(Transactions!$F$8:$F$3006,B313,Transactions!$H$8:$H$3006))</f>
        <v/>
      </c>
      <c r="D313" s="51" t="str">
        <f>IF(B313="","",SUMIF(Transactions!$F$8:$F$3006,B313,Transactions!$N$8:$N$3006))</f>
        <v/>
      </c>
      <c r="E313" s="52" t="str">
        <f>IF(B313="","",SUMIF(Transactions!$F$8:$F$3006,B313,Transactions!$O$8:$O$3006))</f>
        <v/>
      </c>
      <c r="F313" s="53" t="str">
        <f>IF(B313="","",SUMIF(Transactions!$F$8:$F$3006,B313,Transactions!$R$8:$R$3006))</f>
        <v/>
      </c>
      <c r="G313" s="54" t="str">
        <f>IF(B313="","",(C313+F313)-(D313+E313+SUMIF(Transactions!$F$8:$F$3006,B313,Transactions!$Q$8:$Q$3006)))</f>
        <v/>
      </c>
      <c r="H313" s="55" t="str">
        <f>IF(B313="","",IF(G313&gt;0,"OUTSTANDING",IF(G313=0,"SETTLED",IF(SUMIF(Transactions!$F$8:$F$3006,B313,Transactions!$Q$8:$Q$3006)&gt;SUMIF(Transactions!$F$8:$F$3006,B313,Transactions!$R$8:$R$3006),"OWES","OVERPAID"))))</f>
        <v/>
      </c>
      <c r="I313" s="1"/>
    </row>
    <row r="314" spans="1:9" ht="18" customHeight="1" x14ac:dyDescent="0.25">
      <c r="A314" s="40">
        <v>299</v>
      </c>
      <c r="B314" s="41" t="str">
        <f t="array" ref="B314">IFERROR(IF(INDEX(Transactions!$F$8:$F$3006,MATCH(0,COUNTIF($B$11:B313,Transactions!$F$8:$F$3006),0))="","",INDEX(Transactions!$F$8:$F$3006,MATCH(0,COUNTIF($B$11:B313,Transactions!$F$8:$F$3006),0))),"")</f>
        <v/>
      </c>
      <c r="C314" s="42" t="str">
        <f>IF(B314="","",SUMIF(Transactions!$F$8:$F$3006,B314,Transactions!$H$8:$H$3006))</f>
        <v/>
      </c>
      <c r="D314" s="43" t="str">
        <f>IF(B314="","",SUMIF(Transactions!$F$8:$F$3006,B314,Transactions!$N$8:$N$3006))</f>
        <v/>
      </c>
      <c r="E314" s="44" t="str">
        <f>IF(B314="","",SUMIF(Transactions!$F$8:$F$3006,B314,Transactions!$O$8:$O$3006))</f>
        <v/>
      </c>
      <c r="F314" s="45" t="str">
        <f>IF(B314="","",SUMIF(Transactions!$F$8:$F$3006,B314,Transactions!$R$8:$R$3006))</f>
        <v/>
      </c>
      <c r="G314" s="46" t="str">
        <f>IF(B314="","",(C314+F314)-(D314+E314+SUMIF(Transactions!$F$8:$F$3006,B314,Transactions!$Q$8:$Q$3006)))</f>
        <v/>
      </c>
      <c r="H314" s="47" t="str">
        <f>IF(B314="","",IF(G314&gt;0,"OUTSTANDING",IF(G314=0,"SETTLED",IF(SUMIF(Transactions!$F$8:$F$3006,B314,Transactions!$Q$8:$Q$3006)&gt;SUMIF(Transactions!$F$8:$F$3006,B314,Transactions!$R$8:$R$3006),"OWES","OVERPAID"))))</f>
        <v/>
      </c>
      <c r="I314" s="1"/>
    </row>
    <row r="315" spans="1:9" ht="18" customHeight="1" x14ac:dyDescent="0.25">
      <c r="A315" s="48">
        <v>300</v>
      </c>
      <c r="B315" s="49" t="str">
        <f t="array" ref="B315">IFERROR(IF(INDEX(Transactions!$F$8:$F$3006,MATCH(0,COUNTIF($B$11:B314,Transactions!$F$8:$F$3006),0))="","",INDEX(Transactions!$F$8:$F$3006,MATCH(0,COUNTIF($B$11:B314,Transactions!$F$8:$F$3006),0))),"")</f>
        <v/>
      </c>
      <c r="C315" s="50" t="str">
        <f>IF(B315="","",SUMIF(Transactions!$F$8:$F$3006,B315,Transactions!$H$8:$H$3006))</f>
        <v/>
      </c>
      <c r="D315" s="51" t="str">
        <f>IF(B315="","",SUMIF(Transactions!$F$8:$F$3006,B315,Transactions!$N$8:$N$3006))</f>
        <v/>
      </c>
      <c r="E315" s="52" t="str">
        <f>IF(B315="","",SUMIF(Transactions!$F$8:$F$3006,B315,Transactions!$O$8:$O$3006))</f>
        <v/>
      </c>
      <c r="F315" s="53" t="str">
        <f>IF(B315="","",SUMIF(Transactions!$F$8:$F$3006,B315,Transactions!$R$8:$R$3006))</f>
        <v/>
      </c>
      <c r="G315" s="54" t="str">
        <f>IF(B315="","",(C315+F315)-(D315+E315+SUMIF(Transactions!$F$8:$F$3006,B315,Transactions!$Q$8:$Q$3006)))</f>
        <v/>
      </c>
      <c r="H315" s="55" t="str">
        <f>IF(B315="","",IF(G315&gt;0,"OUTSTANDING",IF(G315=0,"SETTLED",IF(SUMIF(Transactions!$F$8:$F$3006,B315,Transactions!$Q$8:$Q$3006)&gt;SUMIF(Transactions!$F$8:$F$3006,B315,Transactions!$R$8:$R$3006),"OWES","OVERPAID"))))</f>
        <v/>
      </c>
      <c r="I315" s="1"/>
    </row>
    <row r="316" spans="1:9" ht="18" customHeight="1" x14ac:dyDescent="0.25">
      <c r="A316" s="40">
        <v>301</v>
      </c>
      <c r="B316" s="41" t="str">
        <f t="array" ref="B316">IFERROR(IF(INDEX(Transactions!$F$8:$F$3006,MATCH(0,COUNTIF($B$11:B315,Transactions!$F$8:$F$3006),0))="","",INDEX(Transactions!$F$8:$F$3006,MATCH(0,COUNTIF($B$11:B315,Transactions!$F$8:$F$3006),0))),"")</f>
        <v/>
      </c>
      <c r="C316" s="42" t="str">
        <f>IF(B316="","",SUMIF(Transactions!$F$8:$F$3006,B316,Transactions!$H$8:$H$3006))</f>
        <v/>
      </c>
      <c r="D316" s="43" t="str">
        <f>IF(B316="","",SUMIF(Transactions!$F$8:$F$3006,B316,Transactions!$N$8:$N$3006))</f>
        <v/>
      </c>
      <c r="E316" s="44" t="str">
        <f>IF(B316="","",SUMIF(Transactions!$F$8:$F$3006,B316,Transactions!$O$8:$O$3006))</f>
        <v/>
      </c>
      <c r="F316" s="45" t="str">
        <f>IF(B316="","",SUMIF(Transactions!$F$8:$F$3006,B316,Transactions!$R$8:$R$3006))</f>
        <v/>
      </c>
      <c r="G316" s="46" t="str">
        <f>IF(B316="","",(C316+F316)-(D316+E316+SUMIF(Transactions!$F$8:$F$3006,B316,Transactions!$Q$8:$Q$3006)))</f>
        <v/>
      </c>
      <c r="H316" s="47" t="str">
        <f>IF(B316="","",IF(G316&gt;0,"OUTSTANDING",IF(G316=0,"SETTLED",IF(SUMIF(Transactions!$F$8:$F$3006,B316,Transactions!$Q$8:$Q$3006)&gt;SUMIF(Transactions!$F$8:$F$3006,B316,Transactions!$R$8:$R$3006),"OWES","OVERPAID"))))</f>
        <v/>
      </c>
      <c r="I316" s="1"/>
    </row>
    <row r="317" spans="1:9" ht="18" customHeight="1" x14ac:dyDescent="0.25">
      <c r="A317" s="48">
        <v>302</v>
      </c>
      <c r="B317" s="49" t="str">
        <f t="array" ref="B317">IFERROR(IF(INDEX(Transactions!$F$8:$F$3006,MATCH(0,COUNTIF($B$11:B316,Transactions!$F$8:$F$3006),0))="","",INDEX(Transactions!$F$8:$F$3006,MATCH(0,COUNTIF($B$11:B316,Transactions!$F$8:$F$3006),0))),"")</f>
        <v/>
      </c>
      <c r="C317" s="50" t="str">
        <f>IF(B317="","",SUMIF(Transactions!$F$8:$F$3006,B317,Transactions!$H$8:$H$3006))</f>
        <v/>
      </c>
      <c r="D317" s="51" t="str">
        <f>IF(B317="","",SUMIF(Transactions!$F$8:$F$3006,B317,Transactions!$N$8:$N$3006))</f>
        <v/>
      </c>
      <c r="E317" s="52" t="str">
        <f>IF(B317="","",SUMIF(Transactions!$F$8:$F$3006,B317,Transactions!$O$8:$O$3006))</f>
        <v/>
      </c>
      <c r="F317" s="53" t="str">
        <f>IF(B317="","",SUMIF(Transactions!$F$8:$F$3006,B317,Transactions!$R$8:$R$3006))</f>
        <v/>
      </c>
      <c r="G317" s="54" t="str">
        <f>IF(B317="","",(C317+F317)-(D317+E317+SUMIF(Transactions!$F$8:$F$3006,B317,Transactions!$Q$8:$Q$3006)))</f>
        <v/>
      </c>
      <c r="H317" s="55" t="str">
        <f>IF(B317="","",IF(G317&gt;0,"OUTSTANDING",IF(G317=0,"SETTLED",IF(SUMIF(Transactions!$F$8:$F$3006,B317,Transactions!$Q$8:$Q$3006)&gt;SUMIF(Transactions!$F$8:$F$3006,B317,Transactions!$R$8:$R$3006),"OWES","OVERPAID"))))</f>
        <v/>
      </c>
      <c r="I317" s="1"/>
    </row>
    <row r="318" spans="1:9" ht="18" customHeight="1" x14ac:dyDescent="0.25">
      <c r="A318" s="40">
        <v>303</v>
      </c>
      <c r="B318" s="41" t="str">
        <f t="array" ref="B318">IFERROR(IF(INDEX(Transactions!$F$8:$F$3006,MATCH(0,COUNTIF($B$11:B317,Transactions!$F$8:$F$3006),0))="","",INDEX(Transactions!$F$8:$F$3006,MATCH(0,COUNTIF($B$11:B317,Transactions!$F$8:$F$3006),0))),"")</f>
        <v/>
      </c>
      <c r="C318" s="42" t="str">
        <f>IF(B318="","",SUMIF(Transactions!$F$8:$F$3006,B318,Transactions!$H$8:$H$3006))</f>
        <v/>
      </c>
      <c r="D318" s="43" t="str">
        <f>IF(B318="","",SUMIF(Transactions!$F$8:$F$3006,B318,Transactions!$N$8:$N$3006))</f>
        <v/>
      </c>
      <c r="E318" s="44" t="str">
        <f>IF(B318="","",SUMIF(Transactions!$F$8:$F$3006,B318,Transactions!$O$8:$O$3006))</f>
        <v/>
      </c>
      <c r="F318" s="45" t="str">
        <f>IF(B318="","",SUMIF(Transactions!$F$8:$F$3006,B318,Transactions!$R$8:$R$3006))</f>
        <v/>
      </c>
      <c r="G318" s="46" t="str">
        <f>IF(B318="","",(C318+F318)-(D318+E318+SUMIF(Transactions!$F$8:$F$3006,B318,Transactions!$Q$8:$Q$3006)))</f>
        <v/>
      </c>
      <c r="H318" s="47" t="str">
        <f>IF(B318="","",IF(G318&gt;0,"OUTSTANDING",IF(G318=0,"SETTLED",IF(SUMIF(Transactions!$F$8:$F$3006,B318,Transactions!$Q$8:$Q$3006)&gt;SUMIF(Transactions!$F$8:$F$3006,B318,Transactions!$R$8:$R$3006),"OWES","OVERPAID"))))</f>
        <v/>
      </c>
      <c r="I318" s="1"/>
    </row>
    <row r="319" spans="1:9" ht="18" customHeight="1" x14ac:dyDescent="0.25">
      <c r="A319" s="48">
        <v>304</v>
      </c>
      <c r="B319" s="49" t="str">
        <f t="array" ref="B319">IFERROR(IF(INDEX(Transactions!$F$8:$F$3006,MATCH(0,COUNTIF($B$11:B318,Transactions!$F$8:$F$3006),0))="","",INDEX(Transactions!$F$8:$F$3006,MATCH(0,COUNTIF($B$11:B318,Transactions!$F$8:$F$3006),0))),"")</f>
        <v/>
      </c>
      <c r="C319" s="50" t="str">
        <f>IF(B319="","",SUMIF(Transactions!$F$8:$F$3006,B319,Transactions!$H$8:$H$3006))</f>
        <v/>
      </c>
      <c r="D319" s="51" t="str">
        <f>IF(B319="","",SUMIF(Transactions!$F$8:$F$3006,B319,Transactions!$N$8:$N$3006))</f>
        <v/>
      </c>
      <c r="E319" s="52" t="str">
        <f>IF(B319="","",SUMIF(Transactions!$F$8:$F$3006,B319,Transactions!$O$8:$O$3006))</f>
        <v/>
      </c>
      <c r="F319" s="53" t="str">
        <f>IF(B319="","",SUMIF(Transactions!$F$8:$F$3006,B319,Transactions!$R$8:$R$3006))</f>
        <v/>
      </c>
      <c r="G319" s="54" t="str">
        <f>IF(B319="","",(C319+F319)-(D319+E319+SUMIF(Transactions!$F$8:$F$3006,B319,Transactions!$Q$8:$Q$3006)))</f>
        <v/>
      </c>
      <c r="H319" s="55" t="str">
        <f>IF(B319="","",IF(G319&gt;0,"OUTSTANDING",IF(G319=0,"SETTLED",IF(SUMIF(Transactions!$F$8:$F$3006,B319,Transactions!$Q$8:$Q$3006)&gt;SUMIF(Transactions!$F$8:$F$3006,B319,Transactions!$R$8:$R$3006),"OWES","OVERPAID"))))</f>
        <v/>
      </c>
      <c r="I319" s="1"/>
    </row>
    <row r="320" spans="1:9" ht="18" customHeight="1" x14ac:dyDescent="0.25">
      <c r="A320" s="40">
        <v>305</v>
      </c>
      <c r="B320" s="41" t="str">
        <f t="array" ref="B320">IFERROR(IF(INDEX(Transactions!$F$8:$F$3006,MATCH(0,COUNTIF($B$11:B319,Transactions!$F$8:$F$3006),0))="","",INDEX(Transactions!$F$8:$F$3006,MATCH(0,COUNTIF($B$11:B319,Transactions!$F$8:$F$3006),0))),"")</f>
        <v/>
      </c>
      <c r="C320" s="42" t="str">
        <f>IF(B320="","",SUMIF(Transactions!$F$8:$F$3006,B320,Transactions!$H$8:$H$3006))</f>
        <v/>
      </c>
      <c r="D320" s="43" t="str">
        <f>IF(B320="","",SUMIF(Transactions!$F$8:$F$3006,B320,Transactions!$N$8:$N$3006))</f>
        <v/>
      </c>
      <c r="E320" s="44" t="str">
        <f>IF(B320="","",SUMIF(Transactions!$F$8:$F$3006,B320,Transactions!$O$8:$O$3006))</f>
        <v/>
      </c>
      <c r="F320" s="45" t="str">
        <f>IF(B320="","",SUMIF(Transactions!$F$8:$F$3006,B320,Transactions!$R$8:$R$3006))</f>
        <v/>
      </c>
      <c r="G320" s="46" t="str">
        <f>IF(B320="","",(C320+F320)-(D320+E320+SUMIF(Transactions!$F$8:$F$3006,B320,Transactions!$Q$8:$Q$3006)))</f>
        <v/>
      </c>
      <c r="H320" s="47" t="str">
        <f>IF(B320="","",IF(G320&gt;0,"OUTSTANDING",IF(G320=0,"SETTLED",IF(SUMIF(Transactions!$F$8:$F$3006,B320,Transactions!$Q$8:$Q$3006)&gt;SUMIF(Transactions!$F$8:$F$3006,B320,Transactions!$R$8:$R$3006),"OWES","OVERPAID"))))</f>
        <v/>
      </c>
      <c r="I320" s="1"/>
    </row>
    <row r="321" spans="1:9" ht="18" customHeight="1" x14ac:dyDescent="0.25">
      <c r="A321" s="48">
        <v>306</v>
      </c>
      <c r="B321" s="49" t="str">
        <f t="array" ref="B321">IFERROR(IF(INDEX(Transactions!$F$8:$F$3006,MATCH(0,COUNTIF($B$11:B320,Transactions!$F$8:$F$3006),0))="","",INDEX(Transactions!$F$8:$F$3006,MATCH(0,COUNTIF($B$11:B320,Transactions!$F$8:$F$3006),0))),"")</f>
        <v/>
      </c>
      <c r="C321" s="50" t="str">
        <f>IF(B321="","",SUMIF(Transactions!$F$8:$F$3006,B321,Transactions!$H$8:$H$3006))</f>
        <v/>
      </c>
      <c r="D321" s="51" t="str">
        <f>IF(B321="","",SUMIF(Transactions!$F$8:$F$3006,B321,Transactions!$N$8:$N$3006))</f>
        <v/>
      </c>
      <c r="E321" s="52" t="str">
        <f>IF(B321="","",SUMIF(Transactions!$F$8:$F$3006,B321,Transactions!$O$8:$O$3006))</f>
        <v/>
      </c>
      <c r="F321" s="53" t="str">
        <f>IF(B321="","",SUMIF(Transactions!$F$8:$F$3006,B321,Transactions!$R$8:$R$3006))</f>
        <v/>
      </c>
      <c r="G321" s="54" t="str">
        <f>IF(B321="","",(C321+F321)-(D321+E321+SUMIF(Transactions!$F$8:$F$3006,B321,Transactions!$Q$8:$Q$3006)))</f>
        <v/>
      </c>
      <c r="H321" s="55" t="str">
        <f>IF(B321="","",IF(G321&gt;0,"OUTSTANDING",IF(G321=0,"SETTLED",IF(SUMIF(Transactions!$F$8:$F$3006,B321,Transactions!$Q$8:$Q$3006)&gt;SUMIF(Transactions!$F$8:$F$3006,B321,Transactions!$R$8:$R$3006),"OWES","OVERPAID"))))</f>
        <v/>
      </c>
      <c r="I321" s="1"/>
    </row>
    <row r="322" spans="1:9" ht="18" customHeight="1" x14ac:dyDescent="0.25">
      <c r="A322" s="40">
        <v>307</v>
      </c>
      <c r="B322" s="41" t="str">
        <f t="array" ref="B322">IFERROR(IF(INDEX(Transactions!$F$8:$F$3006,MATCH(0,COUNTIF($B$11:B321,Transactions!$F$8:$F$3006),0))="","",INDEX(Transactions!$F$8:$F$3006,MATCH(0,COUNTIF($B$11:B321,Transactions!$F$8:$F$3006),0))),"")</f>
        <v/>
      </c>
      <c r="C322" s="42" t="str">
        <f>IF(B322="","",SUMIF(Transactions!$F$8:$F$3006,B322,Transactions!$H$8:$H$3006))</f>
        <v/>
      </c>
      <c r="D322" s="43" t="str">
        <f>IF(B322="","",SUMIF(Transactions!$F$8:$F$3006,B322,Transactions!$N$8:$N$3006))</f>
        <v/>
      </c>
      <c r="E322" s="44" t="str">
        <f>IF(B322="","",SUMIF(Transactions!$F$8:$F$3006,B322,Transactions!$O$8:$O$3006))</f>
        <v/>
      </c>
      <c r="F322" s="45" t="str">
        <f>IF(B322="","",SUMIF(Transactions!$F$8:$F$3006,B322,Transactions!$R$8:$R$3006))</f>
        <v/>
      </c>
      <c r="G322" s="46" t="str">
        <f>IF(B322="","",(C322+F322)-(D322+E322+SUMIF(Transactions!$F$8:$F$3006,B322,Transactions!$Q$8:$Q$3006)))</f>
        <v/>
      </c>
      <c r="H322" s="47" t="str">
        <f>IF(B322="","",IF(G322&gt;0,"OUTSTANDING",IF(G322=0,"SETTLED",IF(SUMIF(Transactions!$F$8:$F$3006,B322,Transactions!$Q$8:$Q$3006)&gt;SUMIF(Transactions!$F$8:$F$3006,B322,Transactions!$R$8:$R$3006),"OWES","OVERPAID"))))</f>
        <v/>
      </c>
      <c r="I322" s="1"/>
    </row>
    <row r="323" spans="1:9" ht="18" customHeight="1" x14ac:dyDescent="0.25">
      <c r="A323" s="48">
        <v>308</v>
      </c>
      <c r="B323" s="49" t="str">
        <f t="array" ref="B323">IFERROR(IF(INDEX(Transactions!$F$8:$F$3006,MATCH(0,COUNTIF($B$11:B322,Transactions!$F$8:$F$3006),0))="","",INDEX(Transactions!$F$8:$F$3006,MATCH(0,COUNTIF($B$11:B322,Transactions!$F$8:$F$3006),0))),"")</f>
        <v/>
      </c>
      <c r="C323" s="50" t="str">
        <f>IF(B323="","",SUMIF(Transactions!$F$8:$F$3006,B323,Transactions!$H$8:$H$3006))</f>
        <v/>
      </c>
      <c r="D323" s="51" t="str">
        <f>IF(B323="","",SUMIF(Transactions!$F$8:$F$3006,B323,Transactions!$N$8:$N$3006))</f>
        <v/>
      </c>
      <c r="E323" s="52" t="str">
        <f>IF(B323="","",SUMIF(Transactions!$F$8:$F$3006,B323,Transactions!$O$8:$O$3006))</f>
        <v/>
      </c>
      <c r="F323" s="53" t="str">
        <f>IF(B323="","",SUMIF(Transactions!$F$8:$F$3006,B323,Transactions!$R$8:$R$3006))</f>
        <v/>
      </c>
      <c r="G323" s="54" t="str">
        <f>IF(B323="","",(C323+F323)-(D323+E323+SUMIF(Transactions!$F$8:$F$3006,B323,Transactions!$Q$8:$Q$3006)))</f>
        <v/>
      </c>
      <c r="H323" s="55" t="str">
        <f>IF(B323="","",IF(G323&gt;0,"OUTSTANDING",IF(G323=0,"SETTLED",IF(SUMIF(Transactions!$F$8:$F$3006,B323,Transactions!$Q$8:$Q$3006)&gt;SUMIF(Transactions!$F$8:$F$3006,B323,Transactions!$R$8:$R$3006),"OWES","OVERPAID"))))</f>
        <v/>
      </c>
      <c r="I323" s="1"/>
    </row>
    <row r="324" spans="1:9" ht="18" customHeight="1" x14ac:dyDescent="0.25">
      <c r="A324" s="40">
        <v>309</v>
      </c>
      <c r="B324" s="41" t="str">
        <f t="array" ref="B324">IFERROR(IF(INDEX(Transactions!$F$8:$F$3006,MATCH(0,COUNTIF($B$11:B323,Transactions!$F$8:$F$3006),0))="","",INDEX(Transactions!$F$8:$F$3006,MATCH(0,COUNTIF($B$11:B323,Transactions!$F$8:$F$3006),0))),"")</f>
        <v/>
      </c>
      <c r="C324" s="42" t="str">
        <f>IF(B324="","",SUMIF(Transactions!$F$8:$F$3006,B324,Transactions!$H$8:$H$3006))</f>
        <v/>
      </c>
      <c r="D324" s="43" t="str">
        <f>IF(B324="","",SUMIF(Transactions!$F$8:$F$3006,B324,Transactions!$N$8:$N$3006))</f>
        <v/>
      </c>
      <c r="E324" s="44" t="str">
        <f>IF(B324="","",SUMIF(Transactions!$F$8:$F$3006,B324,Transactions!$O$8:$O$3006))</f>
        <v/>
      </c>
      <c r="F324" s="45" t="str">
        <f>IF(B324="","",SUMIF(Transactions!$F$8:$F$3006,B324,Transactions!$R$8:$R$3006))</f>
        <v/>
      </c>
      <c r="G324" s="46" t="str">
        <f>IF(B324="","",(C324+F324)-(D324+E324+SUMIF(Transactions!$F$8:$F$3006,B324,Transactions!$Q$8:$Q$3006)))</f>
        <v/>
      </c>
      <c r="H324" s="47" t="str">
        <f>IF(B324="","",IF(G324&gt;0,"OUTSTANDING",IF(G324=0,"SETTLED",IF(SUMIF(Transactions!$F$8:$F$3006,B324,Transactions!$Q$8:$Q$3006)&gt;SUMIF(Transactions!$F$8:$F$3006,B324,Transactions!$R$8:$R$3006),"OWES","OVERPAID"))))</f>
        <v/>
      </c>
      <c r="I324" s="1"/>
    </row>
    <row r="325" spans="1:9" ht="18" customHeight="1" x14ac:dyDescent="0.25">
      <c r="A325" s="48">
        <v>310</v>
      </c>
      <c r="B325" s="49" t="str">
        <f t="array" ref="B325">IFERROR(IF(INDEX(Transactions!$F$8:$F$3006,MATCH(0,COUNTIF($B$11:B324,Transactions!$F$8:$F$3006),0))="","",INDEX(Transactions!$F$8:$F$3006,MATCH(0,COUNTIF($B$11:B324,Transactions!$F$8:$F$3006),0))),"")</f>
        <v/>
      </c>
      <c r="C325" s="50" t="str">
        <f>IF(B325="","",SUMIF(Transactions!$F$8:$F$3006,B325,Transactions!$H$8:$H$3006))</f>
        <v/>
      </c>
      <c r="D325" s="51" t="str">
        <f>IF(B325="","",SUMIF(Transactions!$F$8:$F$3006,B325,Transactions!$N$8:$N$3006))</f>
        <v/>
      </c>
      <c r="E325" s="52" t="str">
        <f>IF(B325="","",SUMIF(Transactions!$F$8:$F$3006,B325,Transactions!$O$8:$O$3006))</f>
        <v/>
      </c>
      <c r="F325" s="53" t="str">
        <f>IF(B325="","",SUMIF(Transactions!$F$8:$F$3006,B325,Transactions!$R$8:$R$3006))</f>
        <v/>
      </c>
      <c r="G325" s="54" t="str">
        <f>IF(B325="","",(C325+F325)-(D325+E325+SUMIF(Transactions!$F$8:$F$3006,B325,Transactions!$Q$8:$Q$3006)))</f>
        <v/>
      </c>
      <c r="H325" s="55" t="str">
        <f>IF(B325="","",IF(G325&gt;0,"OUTSTANDING",IF(G325=0,"SETTLED",IF(SUMIF(Transactions!$F$8:$F$3006,B325,Transactions!$Q$8:$Q$3006)&gt;SUMIF(Transactions!$F$8:$F$3006,B325,Transactions!$R$8:$R$3006),"OWES","OVERPAID"))))</f>
        <v/>
      </c>
      <c r="I325" s="1"/>
    </row>
    <row r="326" spans="1:9" ht="18" customHeight="1" x14ac:dyDescent="0.25">
      <c r="A326" s="40">
        <v>311</v>
      </c>
      <c r="B326" s="41" t="str">
        <f t="array" ref="B326">IFERROR(IF(INDEX(Transactions!$F$8:$F$3006,MATCH(0,COUNTIF($B$11:B325,Transactions!$F$8:$F$3006),0))="","",INDEX(Transactions!$F$8:$F$3006,MATCH(0,COUNTIF($B$11:B325,Transactions!$F$8:$F$3006),0))),"")</f>
        <v/>
      </c>
      <c r="C326" s="42" t="str">
        <f>IF(B326="","",SUMIF(Transactions!$F$8:$F$3006,B326,Transactions!$H$8:$H$3006))</f>
        <v/>
      </c>
      <c r="D326" s="43" t="str">
        <f>IF(B326="","",SUMIF(Transactions!$F$8:$F$3006,B326,Transactions!$N$8:$N$3006))</f>
        <v/>
      </c>
      <c r="E326" s="44" t="str">
        <f>IF(B326="","",SUMIF(Transactions!$F$8:$F$3006,B326,Transactions!$O$8:$O$3006))</f>
        <v/>
      </c>
      <c r="F326" s="45" t="str">
        <f>IF(B326="","",SUMIF(Transactions!$F$8:$F$3006,B326,Transactions!$R$8:$R$3006))</f>
        <v/>
      </c>
      <c r="G326" s="46" t="str">
        <f>IF(B326="","",(C326+F326)-(D326+E326+SUMIF(Transactions!$F$8:$F$3006,B326,Transactions!$Q$8:$Q$3006)))</f>
        <v/>
      </c>
      <c r="H326" s="47" t="str">
        <f>IF(B326="","",IF(G326&gt;0,"OUTSTANDING",IF(G326=0,"SETTLED",IF(SUMIF(Transactions!$F$8:$F$3006,B326,Transactions!$Q$8:$Q$3006)&gt;SUMIF(Transactions!$F$8:$F$3006,B326,Transactions!$R$8:$R$3006),"OWES","OVERPAID"))))</f>
        <v/>
      </c>
      <c r="I326" s="1"/>
    </row>
    <row r="327" spans="1:9" ht="18" customHeight="1" x14ac:dyDescent="0.25">
      <c r="A327" s="48">
        <v>312</v>
      </c>
      <c r="B327" s="49" t="str">
        <f t="array" ref="B327">IFERROR(IF(INDEX(Transactions!$F$8:$F$3006,MATCH(0,COUNTIF($B$11:B326,Transactions!$F$8:$F$3006),0))="","",INDEX(Transactions!$F$8:$F$3006,MATCH(0,COUNTIF($B$11:B326,Transactions!$F$8:$F$3006),0))),"")</f>
        <v/>
      </c>
      <c r="C327" s="50" t="str">
        <f>IF(B327="","",SUMIF(Transactions!$F$8:$F$3006,B327,Transactions!$H$8:$H$3006))</f>
        <v/>
      </c>
      <c r="D327" s="51" t="str">
        <f>IF(B327="","",SUMIF(Transactions!$F$8:$F$3006,B327,Transactions!$N$8:$N$3006))</f>
        <v/>
      </c>
      <c r="E327" s="52" t="str">
        <f>IF(B327="","",SUMIF(Transactions!$F$8:$F$3006,B327,Transactions!$O$8:$O$3006))</f>
        <v/>
      </c>
      <c r="F327" s="53" t="str">
        <f>IF(B327="","",SUMIF(Transactions!$F$8:$F$3006,B327,Transactions!$R$8:$R$3006))</f>
        <v/>
      </c>
      <c r="G327" s="54" t="str">
        <f>IF(B327="","",(C327+F327)-(D327+E327+SUMIF(Transactions!$F$8:$F$3006,B327,Transactions!$Q$8:$Q$3006)))</f>
        <v/>
      </c>
      <c r="H327" s="55" t="str">
        <f>IF(B327="","",IF(G327&gt;0,"OUTSTANDING",IF(G327=0,"SETTLED",IF(SUMIF(Transactions!$F$8:$F$3006,B327,Transactions!$Q$8:$Q$3006)&gt;SUMIF(Transactions!$F$8:$F$3006,B327,Transactions!$R$8:$R$3006),"OWES","OVERPAID"))))</f>
        <v/>
      </c>
      <c r="I327" s="1"/>
    </row>
    <row r="328" spans="1:9" ht="18" customHeight="1" x14ac:dyDescent="0.25">
      <c r="A328" s="40">
        <v>313</v>
      </c>
      <c r="B328" s="41" t="str">
        <f t="array" ref="B328">IFERROR(IF(INDEX(Transactions!$F$8:$F$3006,MATCH(0,COUNTIF($B$11:B327,Transactions!$F$8:$F$3006),0))="","",INDEX(Transactions!$F$8:$F$3006,MATCH(0,COUNTIF($B$11:B327,Transactions!$F$8:$F$3006),0))),"")</f>
        <v/>
      </c>
      <c r="C328" s="42" t="str">
        <f>IF(B328="","",SUMIF(Transactions!$F$8:$F$3006,B328,Transactions!$H$8:$H$3006))</f>
        <v/>
      </c>
      <c r="D328" s="43" t="str">
        <f>IF(B328="","",SUMIF(Transactions!$F$8:$F$3006,B328,Transactions!$N$8:$N$3006))</f>
        <v/>
      </c>
      <c r="E328" s="44" t="str">
        <f>IF(B328="","",SUMIF(Transactions!$F$8:$F$3006,B328,Transactions!$O$8:$O$3006))</f>
        <v/>
      </c>
      <c r="F328" s="45" t="str">
        <f>IF(B328="","",SUMIF(Transactions!$F$8:$F$3006,B328,Transactions!$R$8:$R$3006))</f>
        <v/>
      </c>
      <c r="G328" s="46" t="str">
        <f>IF(B328="","",(C328+F328)-(D328+E328+SUMIF(Transactions!$F$8:$F$3006,B328,Transactions!$Q$8:$Q$3006)))</f>
        <v/>
      </c>
      <c r="H328" s="47" t="str">
        <f>IF(B328="","",IF(G328&gt;0,"OUTSTANDING",IF(G328=0,"SETTLED",IF(SUMIF(Transactions!$F$8:$F$3006,B328,Transactions!$Q$8:$Q$3006)&gt;SUMIF(Transactions!$F$8:$F$3006,B328,Transactions!$R$8:$R$3006),"OWES","OVERPAID"))))</f>
        <v/>
      </c>
      <c r="I328" s="1"/>
    </row>
    <row r="329" spans="1:9" ht="18" customHeight="1" x14ac:dyDescent="0.25">
      <c r="A329" s="48">
        <v>314</v>
      </c>
      <c r="B329" s="49" t="str">
        <f t="array" ref="B329">IFERROR(IF(INDEX(Transactions!$F$8:$F$3006,MATCH(0,COUNTIF($B$11:B328,Transactions!$F$8:$F$3006),0))="","",INDEX(Transactions!$F$8:$F$3006,MATCH(0,COUNTIF($B$11:B328,Transactions!$F$8:$F$3006),0))),"")</f>
        <v/>
      </c>
      <c r="C329" s="50" t="str">
        <f>IF(B329="","",SUMIF(Transactions!$F$8:$F$3006,B329,Transactions!$H$8:$H$3006))</f>
        <v/>
      </c>
      <c r="D329" s="51" t="str">
        <f>IF(B329="","",SUMIF(Transactions!$F$8:$F$3006,B329,Transactions!$N$8:$N$3006))</f>
        <v/>
      </c>
      <c r="E329" s="52" t="str">
        <f>IF(B329="","",SUMIF(Transactions!$F$8:$F$3006,B329,Transactions!$O$8:$O$3006))</f>
        <v/>
      </c>
      <c r="F329" s="53" t="str">
        <f>IF(B329="","",SUMIF(Transactions!$F$8:$F$3006,B329,Transactions!$R$8:$R$3006))</f>
        <v/>
      </c>
      <c r="G329" s="54" t="str">
        <f>IF(B329="","",(C329+F329)-(D329+E329+SUMIF(Transactions!$F$8:$F$3006,B329,Transactions!$Q$8:$Q$3006)))</f>
        <v/>
      </c>
      <c r="H329" s="55" t="str">
        <f>IF(B329="","",IF(G329&gt;0,"OUTSTANDING",IF(G329=0,"SETTLED",IF(SUMIF(Transactions!$F$8:$F$3006,B329,Transactions!$Q$8:$Q$3006)&gt;SUMIF(Transactions!$F$8:$F$3006,B329,Transactions!$R$8:$R$3006),"OWES","OVERPAID"))))</f>
        <v/>
      </c>
      <c r="I329" s="1"/>
    </row>
    <row r="330" spans="1:9" ht="18" customHeight="1" x14ac:dyDescent="0.25">
      <c r="A330" s="40">
        <v>315</v>
      </c>
      <c r="B330" s="41" t="str">
        <f t="array" ref="B330">IFERROR(IF(INDEX(Transactions!$F$8:$F$3006,MATCH(0,COUNTIF($B$11:B329,Transactions!$F$8:$F$3006),0))="","",INDEX(Transactions!$F$8:$F$3006,MATCH(0,COUNTIF($B$11:B329,Transactions!$F$8:$F$3006),0))),"")</f>
        <v/>
      </c>
      <c r="C330" s="42" t="str">
        <f>IF(B330="","",SUMIF(Transactions!$F$8:$F$3006,B330,Transactions!$H$8:$H$3006))</f>
        <v/>
      </c>
      <c r="D330" s="43" t="str">
        <f>IF(B330="","",SUMIF(Transactions!$F$8:$F$3006,B330,Transactions!$N$8:$N$3006))</f>
        <v/>
      </c>
      <c r="E330" s="44" t="str">
        <f>IF(B330="","",SUMIF(Transactions!$F$8:$F$3006,B330,Transactions!$O$8:$O$3006))</f>
        <v/>
      </c>
      <c r="F330" s="45" t="str">
        <f>IF(B330="","",SUMIF(Transactions!$F$8:$F$3006,B330,Transactions!$R$8:$R$3006))</f>
        <v/>
      </c>
      <c r="G330" s="46" t="str">
        <f>IF(B330="","",(C330+F330)-(D330+E330+SUMIF(Transactions!$F$8:$F$3006,B330,Transactions!$Q$8:$Q$3006)))</f>
        <v/>
      </c>
      <c r="H330" s="47" t="str">
        <f>IF(B330="","",IF(G330&gt;0,"OUTSTANDING",IF(G330=0,"SETTLED",IF(SUMIF(Transactions!$F$8:$F$3006,B330,Transactions!$Q$8:$Q$3006)&gt;SUMIF(Transactions!$F$8:$F$3006,B330,Transactions!$R$8:$R$3006),"OWES","OVERPAID"))))</f>
        <v/>
      </c>
      <c r="I330" s="1"/>
    </row>
    <row r="331" spans="1:9" ht="18" customHeight="1" x14ac:dyDescent="0.25">
      <c r="A331" s="48">
        <v>316</v>
      </c>
      <c r="B331" s="49" t="str">
        <f t="array" ref="B331">IFERROR(IF(INDEX(Transactions!$F$8:$F$3006,MATCH(0,COUNTIF($B$11:B330,Transactions!$F$8:$F$3006),0))="","",INDEX(Transactions!$F$8:$F$3006,MATCH(0,COUNTIF($B$11:B330,Transactions!$F$8:$F$3006),0))),"")</f>
        <v/>
      </c>
      <c r="C331" s="50" t="str">
        <f>IF(B331="","",SUMIF(Transactions!$F$8:$F$3006,B331,Transactions!$H$8:$H$3006))</f>
        <v/>
      </c>
      <c r="D331" s="51" t="str">
        <f>IF(B331="","",SUMIF(Transactions!$F$8:$F$3006,B331,Transactions!$N$8:$N$3006))</f>
        <v/>
      </c>
      <c r="E331" s="52" t="str">
        <f>IF(B331="","",SUMIF(Transactions!$F$8:$F$3006,B331,Transactions!$O$8:$O$3006))</f>
        <v/>
      </c>
      <c r="F331" s="53" t="str">
        <f>IF(B331="","",SUMIF(Transactions!$F$8:$F$3006,B331,Transactions!$R$8:$R$3006))</f>
        <v/>
      </c>
      <c r="G331" s="54" t="str">
        <f>IF(B331="","",(C331+F331)-(D331+E331+SUMIF(Transactions!$F$8:$F$3006,B331,Transactions!$Q$8:$Q$3006)))</f>
        <v/>
      </c>
      <c r="H331" s="55" t="str">
        <f>IF(B331="","",IF(G331&gt;0,"OUTSTANDING",IF(G331=0,"SETTLED",IF(SUMIF(Transactions!$F$8:$F$3006,B331,Transactions!$Q$8:$Q$3006)&gt;SUMIF(Transactions!$F$8:$F$3006,B331,Transactions!$R$8:$R$3006),"OWES","OVERPAID"))))</f>
        <v/>
      </c>
      <c r="I331" s="1"/>
    </row>
    <row r="332" spans="1:9" ht="18" customHeight="1" x14ac:dyDescent="0.25">
      <c r="A332" s="40">
        <v>317</v>
      </c>
      <c r="B332" s="41" t="str">
        <f t="array" ref="B332">IFERROR(IF(INDEX(Transactions!$F$8:$F$3006,MATCH(0,COUNTIF($B$11:B331,Transactions!$F$8:$F$3006),0))="","",INDEX(Transactions!$F$8:$F$3006,MATCH(0,COUNTIF($B$11:B331,Transactions!$F$8:$F$3006),0))),"")</f>
        <v/>
      </c>
      <c r="C332" s="42" t="str">
        <f>IF(B332="","",SUMIF(Transactions!$F$8:$F$3006,B332,Transactions!$H$8:$H$3006))</f>
        <v/>
      </c>
      <c r="D332" s="43" t="str">
        <f>IF(B332="","",SUMIF(Transactions!$F$8:$F$3006,B332,Transactions!$N$8:$N$3006))</f>
        <v/>
      </c>
      <c r="E332" s="44" t="str">
        <f>IF(B332="","",SUMIF(Transactions!$F$8:$F$3006,B332,Transactions!$O$8:$O$3006))</f>
        <v/>
      </c>
      <c r="F332" s="45" t="str">
        <f>IF(B332="","",SUMIF(Transactions!$F$8:$F$3006,B332,Transactions!$R$8:$R$3006))</f>
        <v/>
      </c>
      <c r="G332" s="46" t="str">
        <f>IF(B332="","",(C332+F332)-(D332+E332+SUMIF(Transactions!$F$8:$F$3006,B332,Transactions!$Q$8:$Q$3006)))</f>
        <v/>
      </c>
      <c r="H332" s="47" t="str">
        <f>IF(B332="","",IF(G332&gt;0,"OUTSTANDING",IF(G332=0,"SETTLED",IF(SUMIF(Transactions!$F$8:$F$3006,B332,Transactions!$Q$8:$Q$3006)&gt;SUMIF(Transactions!$F$8:$F$3006,B332,Transactions!$R$8:$R$3006),"OWES","OVERPAID"))))</f>
        <v/>
      </c>
      <c r="I332" s="1"/>
    </row>
    <row r="333" spans="1:9" ht="18" customHeight="1" x14ac:dyDescent="0.25">
      <c r="A333" s="48">
        <v>318</v>
      </c>
      <c r="B333" s="49" t="str">
        <f t="array" ref="B333">IFERROR(IF(INDEX(Transactions!$F$8:$F$3006,MATCH(0,COUNTIF($B$11:B332,Transactions!$F$8:$F$3006),0))="","",INDEX(Transactions!$F$8:$F$3006,MATCH(0,COUNTIF($B$11:B332,Transactions!$F$8:$F$3006),0))),"")</f>
        <v/>
      </c>
      <c r="C333" s="50" t="str">
        <f>IF(B333="","",SUMIF(Transactions!$F$8:$F$3006,B333,Transactions!$H$8:$H$3006))</f>
        <v/>
      </c>
      <c r="D333" s="51" t="str">
        <f>IF(B333="","",SUMIF(Transactions!$F$8:$F$3006,B333,Transactions!$N$8:$N$3006))</f>
        <v/>
      </c>
      <c r="E333" s="52" t="str">
        <f>IF(B333="","",SUMIF(Transactions!$F$8:$F$3006,B333,Transactions!$O$8:$O$3006))</f>
        <v/>
      </c>
      <c r="F333" s="53" t="str">
        <f>IF(B333="","",SUMIF(Transactions!$F$8:$F$3006,B333,Transactions!$R$8:$R$3006))</f>
        <v/>
      </c>
      <c r="G333" s="54" t="str">
        <f>IF(B333="","",(C333+F333)-(D333+E333+SUMIF(Transactions!$F$8:$F$3006,B333,Transactions!$Q$8:$Q$3006)))</f>
        <v/>
      </c>
      <c r="H333" s="55" t="str">
        <f>IF(B333="","",IF(G333&gt;0,"OUTSTANDING",IF(G333=0,"SETTLED",IF(SUMIF(Transactions!$F$8:$F$3006,B333,Transactions!$Q$8:$Q$3006)&gt;SUMIF(Transactions!$F$8:$F$3006,B333,Transactions!$R$8:$R$3006),"OWES","OVERPAID"))))</f>
        <v/>
      </c>
      <c r="I333" s="1"/>
    </row>
    <row r="334" spans="1:9" ht="18" customHeight="1" x14ac:dyDescent="0.25">
      <c r="A334" s="40">
        <v>319</v>
      </c>
      <c r="B334" s="41" t="str">
        <f t="array" ref="B334">IFERROR(IF(INDEX(Transactions!$F$8:$F$3006,MATCH(0,COUNTIF($B$11:B333,Transactions!$F$8:$F$3006),0))="","",INDEX(Transactions!$F$8:$F$3006,MATCH(0,COUNTIF($B$11:B333,Transactions!$F$8:$F$3006),0))),"")</f>
        <v/>
      </c>
      <c r="C334" s="42" t="str">
        <f>IF(B334="","",SUMIF(Transactions!$F$8:$F$3006,B334,Transactions!$H$8:$H$3006))</f>
        <v/>
      </c>
      <c r="D334" s="43" t="str">
        <f>IF(B334="","",SUMIF(Transactions!$F$8:$F$3006,B334,Transactions!$N$8:$N$3006))</f>
        <v/>
      </c>
      <c r="E334" s="44" t="str">
        <f>IF(B334="","",SUMIF(Transactions!$F$8:$F$3006,B334,Transactions!$O$8:$O$3006))</f>
        <v/>
      </c>
      <c r="F334" s="45" t="str">
        <f>IF(B334="","",SUMIF(Transactions!$F$8:$F$3006,B334,Transactions!$R$8:$R$3006))</f>
        <v/>
      </c>
      <c r="G334" s="46" t="str">
        <f>IF(B334="","",(C334+F334)-(D334+E334+SUMIF(Transactions!$F$8:$F$3006,B334,Transactions!$Q$8:$Q$3006)))</f>
        <v/>
      </c>
      <c r="H334" s="47" t="str">
        <f>IF(B334="","",IF(G334&gt;0,"OUTSTANDING",IF(G334=0,"SETTLED",IF(SUMIF(Transactions!$F$8:$F$3006,B334,Transactions!$Q$8:$Q$3006)&gt;SUMIF(Transactions!$F$8:$F$3006,B334,Transactions!$R$8:$R$3006),"OWES","OVERPAID"))))</f>
        <v/>
      </c>
      <c r="I334" s="1"/>
    </row>
    <row r="335" spans="1:9" ht="18" customHeight="1" x14ac:dyDescent="0.25">
      <c r="A335" s="48">
        <v>320</v>
      </c>
      <c r="B335" s="49" t="str">
        <f t="array" ref="B335">IFERROR(IF(INDEX(Transactions!$F$8:$F$3006,MATCH(0,COUNTIF($B$11:B334,Transactions!$F$8:$F$3006),0))="","",INDEX(Transactions!$F$8:$F$3006,MATCH(0,COUNTIF($B$11:B334,Transactions!$F$8:$F$3006),0))),"")</f>
        <v/>
      </c>
      <c r="C335" s="50" t="str">
        <f>IF(B335="","",SUMIF(Transactions!$F$8:$F$3006,B335,Transactions!$H$8:$H$3006))</f>
        <v/>
      </c>
      <c r="D335" s="51" t="str">
        <f>IF(B335="","",SUMIF(Transactions!$F$8:$F$3006,B335,Transactions!$N$8:$N$3006))</f>
        <v/>
      </c>
      <c r="E335" s="52" t="str">
        <f>IF(B335="","",SUMIF(Transactions!$F$8:$F$3006,B335,Transactions!$O$8:$O$3006))</f>
        <v/>
      </c>
      <c r="F335" s="53" t="str">
        <f>IF(B335="","",SUMIF(Transactions!$F$8:$F$3006,B335,Transactions!$R$8:$R$3006))</f>
        <v/>
      </c>
      <c r="G335" s="54" t="str">
        <f>IF(B335="","",(C335+F335)-(D335+E335+SUMIF(Transactions!$F$8:$F$3006,B335,Transactions!$Q$8:$Q$3006)))</f>
        <v/>
      </c>
      <c r="H335" s="55" t="str">
        <f>IF(B335="","",IF(G335&gt;0,"OUTSTANDING",IF(G335=0,"SETTLED",IF(SUMIF(Transactions!$F$8:$F$3006,B335,Transactions!$Q$8:$Q$3006)&gt;SUMIF(Transactions!$F$8:$F$3006,B335,Transactions!$R$8:$R$3006),"OWES","OVERPAID"))))</f>
        <v/>
      </c>
      <c r="I335" s="1"/>
    </row>
    <row r="336" spans="1:9" ht="18" customHeight="1" x14ac:dyDescent="0.25">
      <c r="A336" s="40">
        <v>321</v>
      </c>
      <c r="B336" s="41" t="str">
        <f t="array" ref="B336">IFERROR(IF(INDEX(Transactions!$F$8:$F$3006,MATCH(0,COUNTIF($B$11:B335,Transactions!$F$8:$F$3006),0))="","",INDEX(Transactions!$F$8:$F$3006,MATCH(0,COUNTIF($B$11:B335,Transactions!$F$8:$F$3006),0))),"")</f>
        <v/>
      </c>
      <c r="C336" s="42" t="str">
        <f>IF(B336="","",SUMIF(Transactions!$F$8:$F$3006,B336,Transactions!$H$8:$H$3006))</f>
        <v/>
      </c>
      <c r="D336" s="43" t="str">
        <f>IF(B336="","",SUMIF(Transactions!$F$8:$F$3006,B336,Transactions!$N$8:$N$3006))</f>
        <v/>
      </c>
      <c r="E336" s="44" t="str">
        <f>IF(B336="","",SUMIF(Transactions!$F$8:$F$3006,B336,Transactions!$O$8:$O$3006))</f>
        <v/>
      </c>
      <c r="F336" s="45" t="str">
        <f>IF(B336="","",SUMIF(Transactions!$F$8:$F$3006,B336,Transactions!$R$8:$R$3006))</f>
        <v/>
      </c>
      <c r="G336" s="46" t="str">
        <f>IF(B336="","",(C336+F336)-(D336+E336+SUMIF(Transactions!$F$8:$F$3006,B336,Transactions!$Q$8:$Q$3006)))</f>
        <v/>
      </c>
      <c r="H336" s="47" t="str">
        <f>IF(B336="","",IF(G336&gt;0,"OUTSTANDING",IF(G336=0,"SETTLED",IF(SUMIF(Transactions!$F$8:$F$3006,B336,Transactions!$Q$8:$Q$3006)&gt;SUMIF(Transactions!$F$8:$F$3006,B336,Transactions!$R$8:$R$3006),"OWES","OVERPAID"))))</f>
        <v/>
      </c>
      <c r="I336" s="1"/>
    </row>
    <row r="337" spans="1:9" ht="18" customHeight="1" x14ac:dyDescent="0.25">
      <c r="A337" s="48">
        <v>322</v>
      </c>
      <c r="B337" s="49" t="str">
        <f t="array" ref="B337">IFERROR(IF(INDEX(Transactions!$F$8:$F$3006,MATCH(0,COUNTIF($B$11:B336,Transactions!$F$8:$F$3006),0))="","",INDEX(Transactions!$F$8:$F$3006,MATCH(0,COUNTIF($B$11:B336,Transactions!$F$8:$F$3006),0))),"")</f>
        <v/>
      </c>
      <c r="C337" s="50" t="str">
        <f>IF(B337="","",SUMIF(Transactions!$F$8:$F$3006,B337,Transactions!$H$8:$H$3006))</f>
        <v/>
      </c>
      <c r="D337" s="51" t="str">
        <f>IF(B337="","",SUMIF(Transactions!$F$8:$F$3006,B337,Transactions!$N$8:$N$3006))</f>
        <v/>
      </c>
      <c r="E337" s="52" t="str">
        <f>IF(B337="","",SUMIF(Transactions!$F$8:$F$3006,B337,Transactions!$O$8:$O$3006))</f>
        <v/>
      </c>
      <c r="F337" s="53" t="str">
        <f>IF(B337="","",SUMIF(Transactions!$F$8:$F$3006,B337,Transactions!$R$8:$R$3006))</f>
        <v/>
      </c>
      <c r="G337" s="54" t="str">
        <f>IF(B337="","",(C337+F337)-(D337+E337+SUMIF(Transactions!$F$8:$F$3006,B337,Transactions!$Q$8:$Q$3006)))</f>
        <v/>
      </c>
      <c r="H337" s="55" t="str">
        <f>IF(B337="","",IF(G337&gt;0,"OUTSTANDING",IF(G337=0,"SETTLED",IF(SUMIF(Transactions!$F$8:$F$3006,B337,Transactions!$Q$8:$Q$3006)&gt;SUMIF(Transactions!$F$8:$F$3006,B337,Transactions!$R$8:$R$3006),"OWES","OVERPAID"))))</f>
        <v/>
      </c>
      <c r="I337" s="1"/>
    </row>
    <row r="338" spans="1:9" ht="18" customHeight="1" x14ac:dyDescent="0.25">
      <c r="A338" s="40">
        <v>323</v>
      </c>
      <c r="B338" s="41" t="str">
        <f t="array" ref="B338">IFERROR(IF(INDEX(Transactions!$F$8:$F$3006,MATCH(0,COUNTIF($B$11:B337,Transactions!$F$8:$F$3006),0))="","",INDEX(Transactions!$F$8:$F$3006,MATCH(0,COUNTIF($B$11:B337,Transactions!$F$8:$F$3006),0))),"")</f>
        <v/>
      </c>
      <c r="C338" s="42" t="str">
        <f>IF(B338="","",SUMIF(Transactions!$F$8:$F$3006,B338,Transactions!$H$8:$H$3006))</f>
        <v/>
      </c>
      <c r="D338" s="43" t="str">
        <f>IF(B338="","",SUMIF(Transactions!$F$8:$F$3006,B338,Transactions!$N$8:$N$3006))</f>
        <v/>
      </c>
      <c r="E338" s="44" t="str">
        <f>IF(B338="","",SUMIF(Transactions!$F$8:$F$3006,B338,Transactions!$O$8:$O$3006))</f>
        <v/>
      </c>
      <c r="F338" s="45" t="str">
        <f>IF(B338="","",SUMIF(Transactions!$F$8:$F$3006,B338,Transactions!$R$8:$R$3006))</f>
        <v/>
      </c>
      <c r="G338" s="46" t="str">
        <f>IF(B338="","",(C338+F338)-(D338+E338+SUMIF(Transactions!$F$8:$F$3006,B338,Transactions!$Q$8:$Q$3006)))</f>
        <v/>
      </c>
      <c r="H338" s="47" t="str">
        <f>IF(B338="","",IF(G338&gt;0,"OUTSTANDING",IF(G338=0,"SETTLED",IF(SUMIF(Transactions!$F$8:$F$3006,B338,Transactions!$Q$8:$Q$3006)&gt;SUMIF(Transactions!$F$8:$F$3006,B338,Transactions!$R$8:$R$3006),"OWES","OVERPAID"))))</f>
        <v/>
      </c>
      <c r="I338" s="1"/>
    </row>
    <row r="339" spans="1:9" ht="18" customHeight="1" x14ac:dyDescent="0.25">
      <c r="A339" s="48">
        <v>324</v>
      </c>
      <c r="B339" s="49" t="str">
        <f t="array" ref="B339">IFERROR(IF(INDEX(Transactions!$F$8:$F$3006,MATCH(0,COUNTIF($B$11:B338,Transactions!$F$8:$F$3006),0))="","",INDEX(Transactions!$F$8:$F$3006,MATCH(0,COUNTIF($B$11:B338,Transactions!$F$8:$F$3006),0))),"")</f>
        <v/>
      </c>
      <c r="C339" s="50" t="str">
        <f>IF(B339="","",SUMIF(Transactions!$F$8:$F$3006,B339,Transactions!$H$8:$H$3006))</f>
        <v/>
      </c>
      <c r="D339" s="51" t="str">
        <f>IF(B339="","",SUMIF(Transactions!$F$8:$F$3006,B339,Transactions!$N$8:$N$3006))</f>
        <v/>
      </c>
      <c r="E339" s="52" t="str">
        <f>IF(B339="","",SUMIF(Transactions!$F$8:$F$3006,B339,Transactions!$O$8:$O$3006))</f>
        <v/>
      </c>
      <c r="F339" s="53" t="str">
        <f>IF(B339="","",SUMIF(Transactions!$F$8:$F$3006,B339,Transactions!$R$8:$R$3006))</f>
        <v/>
      </c>
      <c r="G339" s="54" t="str">
        <f>IF(B339="","",(C339+F339)-(D339+E339+SUMIF(Transactions!$F$8:$F$3006,B339,Transactions!$Q$8:$Q$3006)))</f>
        <v/>
      </c>
      <c r="H339" s="55" t="str">
        <f>IF(B339="","",IF(G339&gt;0,"OUTSTANDING",IF(G339=0,"SETTLED",IF(SUMIF(Transactions!$F$8:$F$3006,B339,Transactions!$Q$8:$Q$3006)&gt;SUMIF(Transactions!$F$8:$F$3006,B339,Transactions!$R$8:$R$3006),"OWES","OVERPAID"))))</f>
        <v/>
      </c>
      <c r="I339" s="1"/>
    </row>
    <row r="340" spans="1:9" ht="18" customHeight="1" x14ac:dyDescent="0.25">
      <c r="A340" s="40">
        <v>325</v>
      </c>
      <c r="B340" s="41" t="str">
        <f t="array" ref="B340">IFERROR(IF(INDEX(Transactions!$F$8:$F$3006,MATCH(0,COUNTIF($B$11:B339,Transactions!$F$8:$F$3006),0))="","",INDEX(Transactions!$F$8:$F$3006,MATCH(0,COUNTIF($B$11:B339,Transactions!$F$8:$F$3006),0))),"")</f>
        <v/>
      </c>
      <c r="C340" s="42" t="str">
        <f>IF(B340="","",SUMIF(Transactions!$F$8:$F$3006,B340,Transactions!$H$8:$H$3006))</f>
        <v/>
      </c>
      <c r="D340" s="43" t="str">
        <f>IF(B340="","",SUMIF(Transactions!$F$8:$F$3006,B340,Transactions!$N$8:$N$3006))</f>
        <v/>
      </c>
      <c r="E340" s="44" t="str">
        <f>IF(B340="","",SUMIF(Transactions!$F$8:$F$3006,B340,Transactions!$O$8:$O$3006))</f>
        <v/>
      </c>
      <c r="F340" s="45" t="str">
        <f>IF(B340="","",SUMIF(Transactions!$F$8:$F$3006,B340,Transactions!$R$8:$R$3006))</f>
        <v/>
      </c>
      <c r="G340" s="46" t="str">
        <f>IF(B340="","",(C340+F340)-(D340+E340+SUMIF(Transactions!$F$8:$F$3006,B340,Transactions!$Q$8:$Q$3006)))</f>
        <v/>
      </c>
      <c r="H340" s="47" t="str">
        <f>IF(B340="","",IF(G340&gt;0,"OUTSTANDING",IF(G340=0,"SETTLED",IF(SUMIF(Transactions!$F$8:$F$3006,B340,Transactions!$Q$8:$Q$3006)&gt;SUMIF(Transactions!$F$8:$F$3006,B340,Transactions!$R$8:$R$3006),"OWES","OVERPAID"))))</f>
        <v/>
      </c>
      <c r="I340" s="1"/>
    </row>
    <row r="341" spans="1:9" ht="18" customHeight="1" x14ac:dyDescent="0.25">
      <c r="A341" s="48">
        <v>326</v>
      </c>
      <c r="B341" s="49" t="str">
        <f t="array" ref="B341">IFERROR(IF(INDEX(Transactions!$F$8:$F$3006,MATCH(0,COUNTIF($B$11:B340,Transactions!$F$8:$F$3006),0))="","",INDEX(Transactions!$F$8:$F$3006,MATCH(0,COUNTIF($B$11:B340,Transactions!$F$8:$F$3006),0))),"")</f>
        <v/>
      </c>
      <c r="C341" s="50" t="str">
        <f>IF(B341="","",SUMIF(Transactions!$F$8:$F$3006,B341,Transactions!$H$8:$H$3006))</f>
        <v/>
      </c>
      <c r="D341" s="51" t="str">
        <f>IF(B341="","",SUMIF(Transactions!$F$8:$F$3006,B341,Transactions!$N$8:$N$3006))</f>
        <v/>
      </c>
      <c r="E341" s="52" t="str">
        <f>IF(B341="","",SUMIF(Transactions!$F$8:$F$3006,B341,Transactions!$O$8:$O$3006))</f>
        <v/>
      </c>
      <c r="F341" s="53" t="str">
        <f>IF(B341="","",SUMIF(Transactions!$F$8:$F$3006,B341,Transactions!$R$8:$R$3006))</f>
        <v/>
      </c>
      <c r="G341" s="54" t="str">
        <f>IF(B341="","",(C341+F341)-(D341+E341+SUMIF(Transactions!$F$8:$F$3006,B341,Transactions!$Q$8:$Q$3006)))</f>
        <v/>
      </c>
      <c r="H341" s="55" t="str">
        <f>IF(B341="","",IF(G341&gt;0,"OUTSTANDING",IF(G341=0,"SETTLED",IF(SUMIF(Transactions!$F$8:$F$3006,B341,Transactions!$Q$8:$Q$3006)&gt;SUMIF(Transactions!$F$8:$F$3006,B341,Transactions!$R$8:$R$3006),"OWES","OVERPAID"))))</f>
        <v/>
      </c>
      <c r="I341" s="1"/>
    </row>
    <row r="342" spans="1:9" ht="18" customHeight="1" x14ac:dyDescent="0.25">
      <c r="A342" s="40">
        <v>327</v>
      </c>
      <c r="B342" s="41" t="str">
        <f t="array" ref="B342">IFERROR(IF(INDEX(Transactions!$F$8:$F$3006,MATCH(0,COUNTIF($B$11:B341,Transactions!$F$8:$F$3006),0))="","",INDEX(Transactions!$F$8:$F$3006,MATCH(0,COUNTIF($B$11:B341,Transactions!$F$8:$F$3006),0))),"")</f>
        <v/>
      </c>
      <c r="C342" s="42" t="str">
        <f>IF(B342="","",SUMIF(Transactions!$F$8:$F$3006,B342,Transactions!$H$8:$H$3006))</f>
        <v/>
      </c>
      <c r="D342" s="43" t="str">
        <f>IF(B342="","",SUMIF(Transactions!$F$8:$F$3006,B342,Transactions!$N$8:$N$3006))</f>
        <v/>
      </c>
      <c r="E342" s="44" t="str">
        <f>IF(B342="","",SUMIF(Transactions!$F$8:$F$3006,B342,Transactions!$O$8:$O$3006))</f>
        <v/>
      </c>
      <c r="F342" s="45" t="str">
        <f>IF(B342="","",SUMIF(Transactions!$F$8:$F$3006,B342,Transactions!$R$8:$R$3006))</f>
        <v/>
      </c>
      <c r="G342" s="46" t="str">
        <f>IF(B342="","",(C342+F342)-(D342+E342+SUMIF(Transactions!$F$8:$F$3006,B342,Transactions!$Q$8:$Q$3006)))</f>
        <v/>
      </c>
      <c r="H342" s="47" t="str">
        <f>IF(B342="","",IF(G342&gt;0,"OUTSTANDING",IF(G342=0,"SETTLED",IF(SUMIF(Transactions!$F$8:$F$3006,B342,Transactions!$Q$8:$Q$3006)&gt;SUMIF(Transactions!$F$8:$F$3006,B342,Transactions!$R$8:$R$3006),"OWES","OVERPAID"))))</f>
        <v/>
      </c>
      <c r="I342" s="1"/>
    </row>
    <row r="343" spans="1:9" ht="18" customHeight="1" x14ac:dyDescent="0.25">
      <c r="A343" s="48">
        <v>328</v>
      </c>
      <c r="B343" s="49" t="str">
        <f t="array" ref="B343">IFERROR(IF(INDEX(Transactions!$F$8:$F$3006,MATCH(0,COUNTIF($B$11:B342,Transactions!$F$8:$F$3006),0))="","",INDEX(Transactions!$F$8:$F$3006,MATCH(0,COUNTIF($B$11:B342,Transactions!$F$8:$F$3006),0))),"")</f>
        <v/>
      </c>
      <c r="C343" s="50" t="str">
        <f>IF(B343="","",SUMIF(Transactions!$F$8:$F$3006,B343,Transactions!$H$8:$H$3006))</f>
        <v/>
      </c>
      <c r="D343" s="51" t="str">
        <f>IF(B343="","",SUMIF(Transactions!$F$8:$F$3006,B343,Transactions!$N$8:$N$3006))</f>
        <v/>
      </c>
      <c r="E343" s="52" t="str">
        <f>IF(B343="","",SUMIF(Transactions!$F$8:$F$3006,B343,Transactions!$O$8:$O$3006))</f>
        <v/>
      </c>
      <c r="F343" s="53" t="str">
        <f>IF(B343="","",SUMIF(Transactions!$F$8:$F$3006,B343,Transactions!$R$8:$R$3006))</f>
        <v/>
      </c>
      <c r="G343" s="54" t="str">
        <f>IF(B343="","",(C343+F343)-(D343+E343+SUMIF(Transactions!$F$8:$F$3006,B343,Transactions!$Q$8:$Q$3006)))</f>
        <v/>
      </c>
      <c r="H343" s="55" t="str">
        <f>IF(B343="","",IF(G343&gt;0,"OUTSTANDING",IF(G343=0,"SETTLED",IF(SUMIF(Transactions!$F$8:$F$3006,B343,Transactions!$Q$8:$Q$3006)&gt;SUMIF(Transactions!$F$8:$F$3006,B343,Transactions!$R$8:$R$3006),"OWES","OVERPAID"))))</f>
        <v/>
      </c>
      <c r="I343" s="1"/>
    </row>
    <row r="344" spans="1:9" ht="18" customHeight="1" x14ac:dyDescent="0.25">
      <c r="A344" s="40">
        <v>329</v>
      </c>
      <c r="B344" s="41" t="str">
        <f t="array" ref="B344">IFERROR(IF(INDEX(Transactions!$F$8:$F$3006,MATCH(0,COUNTIF($B$11:B343,Transactions!$F$8:$F$3006),0))="","",INDEX(Transactions!$F$8:$F$3006,MATCH(0,COUNTIF($B$11:B343,Transactions!$F$8:$F$3006),0))),"")</f>
        <v/>
      </c>
      <c r="C344" s="42" t="str">
        <f>IF(B344="","",SUMIF(Transactions!$F$8:$F$3006,B344,Transactions!$H$8:$H$3006))</f>
        <v/>
      </c>
      <c r="D344" s="43" t="str">
        <f>IF(B344="","",SUMIF(Transactions!$F$8:$F$3006,B344,Transactions!$N$8:$N$3006))</f>
        <v/>
      </c>
      <c r="E344" s="44" t="str">
        <f>IF(B344="","",SUMIF(Transactions!$F$8:$F$3006,B344,Transactions!$O$8:$O$3006))</f>
        <v/>
      </c>
      <c r="F344" s="45" t="str">
        <f>IF(B344="","",SUMIF(Transactions!$F$8:$F$3006,B344,Transactions!$R$8:$R$3006))</f>
        <v/>
      </c>
      <c r="G344" s="46" t="str">
        <f>IF(B344="","",(C344+F344)-(D344+E344+SUMIF(Transactions!$F$8:$F$3006,B344,Transactions!$Q$8:$Q$3006)))</f>
        <v/>
      </c>
      <c r="H344" s="47" t="str">
        <f>IF(B344="","",IF(G344&gt;0,"OUTSTANDING",IF(G344=0,"SETTLED",IF(SUMIF(Transactions!$F$8:$F$3006,B344,Transactions!$Q$8:$Q$3006)&gt;SUMIF(Transactions!$F$8:$F$3006,B344,Transactions!$R$8:$R$3006),"OWES","OVERPAID"))))</f>
        <v/>
      </c>
      <c r="I344" s="1"/>
    </row>
    <row r="345" spans="1:9" ht="18" customHeight="1" x14ac:dyDescent="0.25">
      <c r="A345" s="48">
        <v>330</v>
      </c>
      <c r="B345" s="49" t="str">
        <f t="array" ref="B345">IFERROR(IF(INDEX(Transactions!$F$8:$F$3006,MATCH(0,COUNTIF($B$11:B344,Transactions!$F$8:$F$3006),0))="","",INDEX(Transactions!$F$8:$F$3006,MATCH(0,COUNTIF($B$11:B344,Transactions!$F$8:$F$3006),0))),"")</f>
        <v/>
      </c>
      <c r="C345" s="50" t="str">
        <f>IF(B345="","",SUMIF(Transactions!$F$8:$F$3006,B345,Transactions!$H$8:$H$3006))</f>
        <v/>
      </c>
      <c r="D345" s="51" t="str">
        <f>IF(B345="","",SUMIF(Transactions!$F$8:$F$3006,B345,Transactions!$N$8:$N$3006))</f>
        <v/>
      </c>
      <c r="E345" s="52" t="str">
        <f>IF(B345="","",SUMIF(Transactions!$F$8:$F$3006,B345,Transactions!$O$8:$O$3006))</f>
        <v/>
      </c>
      <c r="F345" s="53" t="str">
        <f>IF(B345="","",SUMIF(Transactions!$F$8:$F$3006,B345,Transactions!$R$8:$R$3006))</f>
        <v/>
      </c>
      <c r="G345" s="54" t="str">
        <f>IF(B345="","",(C345+F345)-(D345+E345+SUMIF(Transactions!$F$8:$F$3006,B345,Transactions!$Q$8:$Q$3006)))</f>
        <v/>
      </c>
      <c r="H345" s="55" t="str">
        <f>IF(B345="","",IF(G345&gt;0,"OUTSTANDING",IF(G345=0,"SETTLED",IF(SUMIF(Transactions!$F$8:$F$3006,B345,Transactions!$Q$8:$Q$3006)&gt;SUMIF(Transactions!$F$8:$F$3006,B345,Transactions!$R$8:$R$3006),"OWES","OVERPAID"))))</f>
        <v/>
      </c>
      <c r="I345" s="1"/>
    </row>
    <row r="346" spans="1:9" ht="18" customHeight="1" x14ac:dyDescent="0.25">
      <c r="A346" s="40">
        <v>331</v>
      </c>
      <c r="B346" s="41" t="str">
        <f t="array" ref="B346">IFERROR(IF(INDEX(Transactions!$F$8:$F$3006,MATCH(0,COUNTIF($B$11:B345,Transactions!$F$8:$F$3006),0))="","",INDEX(Transactions!$F$8:$F$3006,MATCH(0,COUNTIF($B$11:B345,Transactions!$F$8:$F$3006),0))),"")</f>
        <v/>
      </c>
      <c r="C346" s="42" t="str">
        <f>IF(B346="","",SUMIF(Transactions!$F$8:$F$3006,B346,Transactions!$H$8:$H$3006))</f>
        <v/>
      </c>
      <c r="D346" s="43" t="str">
        <f>IF(B346="","",SUMIF(Transactions!$F$8:$F$3006,B346,Transactions!$N$8:$N$3006))</f>
        <v/>
      </c>
      <c r="E346" s="44" t="str">
        <f>IF(B346="","",SUMIF(Transactions!$F$8:$F$3006,B346,Transactions!$O$8:$O$3006))</f>
        <v/>
      </c>
      <c r="F346" s="45" t="str">
        <f>IF(B346="","",SUMIF(Transactions!$F$8:$F$3006,B346,Transactions!$R$8:$R$3006))</f>
        <v/>
      </c>
      <c r="G346" s="46" t="str">
        <f>IF(B346="","",(C346+F346)-(D346+E346+SUMIF(Transactions!$F$8:$F$3006,B346,Transactions!$Q$8:$Q$3006)))</f>
        <v/>
      </c>
      <c r="H346" s="47" t="str">
        <f>IF(B346="","",IF(G346&gt;0,"OUTSTANDING",IF(G346=0,"SETTLED",IF(SUMIF(Transactions!$F$8:$F$3006,B346,Transactions!$Q$8:$Q$3006)&gt;SUMIF(Transactions!$F$8:$F$3006,B346,Transactions!$R$8:$R$3006),"OWES","OVERPAID"))))</f>
        <v/>
      </c>
      <c r="I346" s="1"/>
    </row>
    <row r="347" spans="1:9" ht="18" customHeight="1" x14ac:dyDescent="0.25">
      <c r="A347" s="48">
        <v>332</v>
      </c>
      <c r="B347" s="49" t="str">
        <f t="array" ref="B347">IFERROR(IF(INDEX(Transactions!$F$8:$F$3006,MATCH(0,COUNTIF($B$11:B346,Transactions!$F$8:$F$3006),0))="","",INDEX(Transactions!$F$8:$F$3006,MATCH(0,COUNTIF($B$11:B346,Transactions!$F$8:$F$3006),0))),"")</f>
        <v/>
      </c>
      <c r="C347" s="50" t="str">
        <f>IF(B347="","",SUMIF(Transactions!$F$8:$F$3006,B347,Transactions!$H$8:$H$3006))</f>
        <v/>
      </c>
      <c r="D347" s="51" t="str">
        <f>IF(B347="","",SUMIF(Transactions!$F$8:$F$3006,B347,Transactions!$N$8:$N$3006))</f>
        <v/>
      </c>
      <c r="E347" s="52" t="str">
        <f>IF(B347="","",SUMIF(Transactions!$F$8:$F$3006,B347,Transactions!$O$8:$O$3006))</f>
        <v/>
      </c>
      <c r="F347" s="53" t="str">
        <f>IF(B347="","",SUMIF(Transactions!$F$8:$F$3006,B347,Transactions!$R$8:$R$3006))</f>
        <v/>
      </c>
      <c r="G347" s="54" t="str">
        <f>IF(B347="","",(C347+F347)-(D347+E347+SUMIF(Transactions!$F$8:$F$3006,B347,Transactions!$Q$8:$Q$3006)))</f>
        <v/>
      </c>
      <c r="H347" s="55" t="str">
        <f>IF(B347="","",IF(G347&gt;0,"OUTSTANDING",IF(G347=0,"SETTLED",IF(SUMIF(Transactions!$F$8:$F$3006,B347,Transactions!$Q$8:$Q$3006)&gt;SUMIF(Transactions!$F$8:$F$3006,B347,Transactions!$R$8:$R$3006),"OWES","OVERPAID"))))</f>
        <v/>
      </c>
      <c r="I347" s="1"/>
    </row>
    <row r="348" spans="1:9" ht="18" customHeight="1" x14ac:dyDescent="0.25">
      <c r="A348" s="40">
        <v>333</v>
      </c>
      <c r="B348" s="41" t="str">
        <f t="array" ref="B348">IFERROR(IF(INDEX(Transactions!$F$8:$F$3006,MATCH(0,COUNTIF($B$11:B347,Transactions!$F$8:$F$3006),0))="","",INDEX(Transactions!$F$8:$F$3006,MATCH(0,COUNTIF($B$11:B347,Transactions!$F$8:$F$3006),0))),"")</f>
        <v/>
      </c>
      <c r="C348" s="42" t="str">
        <f>IF(B348="","",SUMIF(Transactions!$F$8:$F$3006,B348,Transactions!$H$8:$H$3006))</f>
        <v/>
      </c>
      <c r="D348" s="43" t="str">
        <f>IF(B348="","",SUMIF(Transactions!$F$8:$F$3006,B348,Transactions!$N$8:$N$3006))</f>
        <v/>
      </c>
      <c r="E348" s="44" t="str">
        <f>IF(B348="","",SUMIF(Transactions!$F$8:$F$3006,B348,Transactions!$O$8:$O$3006))</f>
        <v/>
      </c>
      <c r="F348" s="45" t="str">
        <f>IF(B348="","",SUMIF(Transactions!$F$8:$F$3006,B348,Transactions!$R$8:$R$3006))</f>
        <v/>
      </c>
      <c r="G348" s="46" t="str">
        <f>IF(B348="","",(C348+F348)-(D348+E348+SUMIF(Transactions!$F$8:$F$3006,B348,Transactions!$Q$8:$Q$3006)))</f>
        <v/>
      </c>
      <c r="H348" s="47" t="str">
        <f>IF(B348="","",IF(G348&gt;0,"OUTSTANDING",IF(G348=0,"SETTLED",IF(SUMIF(Transactions!$F$8:$F$3006,B348,Transactions!$Q$8:$Q$3006)&gt;SUMIF(Transactions!$F$8:$F$3006,B348,Transactions!$R$8:$R$3006),"OWES","OVERPAID"))))</f>
        <v/>
      </c>
      <c r="I348" s="1"/>
    </row>
    <row r="349" spans="1:9" ht="18" customHeight="1" x14ac:dyDescent="0.25">
      <c r="A349" s="48">
        <v>334</v>
      </c>
      <c r="B349" s="49" t="str">
        <f t="array" ref="B349">IFERROR(IF(INDEX(Transactions!$F$8:$F$3006,MATCH(0,COUNTIF($B$11:B348,Transactions!$F$8:$F$3006),0))="","",INDEX(Transactions!$F$8:$F$3006,MATCH(0,COUNTIF($B$11:B348,Transactions!$F$8:$F$3006),0))),"")</f>
        <v/>
      </c>
      <c r="C349" s="50" t="str">
        <f>IF(B349="","",SUMIF(Transactions!$F$8:$F$3006,B349,Transactions!$H$8:$H$3006))</f>
        <v/>
      </c>
      <c r="D349" s="51" t="str">
        <f>IF(B349="","",SUMIF(Transactions!$F$8:$F$3006,B349,Transactions!$N$8:$N$3006))</f>
        <v/>
      </c>
      <c r="E349" s="52" t="str">
        <f>IF(B349="","",SUMIF(Transactions!$F$8:$F$3006,B349,Transactions!$O$8:$O$3006))</f>
        <v/>
      </c>
      <c r="F349" s="53" t="str">
        <f>IF(B349="","",SUMIF(Transactions!$F$8:$F$3006,B349,Transactions!$R$8:$R$3006))</f>
        <v/>
      </c>
      <c r="G349" s="54" t="str">
        <f>IF(B349="","",(C349+F349)-(D349+E349+SUMIF(Transactions!$F$8:$F$3006,B349,Transactions!$Q$8:$Q$3006)))</f>
        <v/>
      </c>
      <c r="H349" s="55" t="str">
        <f>IF(B349="","",IF(G349&gt;0,"OUTSTANDING",IF(G349=0,"SETTLED",IF(SUMIF(Transactions!$F$8:$F$3006,B349,Transactions!$Q$8:$Q$3006)&gt;SUMIF(Transactions!$F$8:$F$3006,B349,Transactions!$R$8:$R$3006),"OWES","OVERPAID"))))</f>
        <v/>
      </c>
      <c r="I349" s="1"/>
    </row>
    <row r="350" spans="1:9" ht="18" customHeight="1" x14ac:dyDescent="0.25">
      <c r="A350" s="40">
        <v>335</v>
      </c>
      <c r="B350" s="41" t="str">
        <f t="array" ref="B350">IFERROR(IF(INDEX(Transactions!$F$8:$F$3006,MATCH(0,COUNTIF($B$11:B349,Transactions!$F$8:$F$3006),0))="","",INDEX(Transactions!$F$8:$F$3006,MATCH(0,COUNTIF($B$11:B349,Transactions!$F$8:$F$3006),0))),"")</f>
        <v/>
      </c>
      <c r="C350" s="42" t="str">
        <f>IF(B350="","",SUMIF(Transactions!$F$8:$F$3006,B350,Transactions!$H$8:$H$3006))</f>
        <v/>
      </c>
      <c r="D350" s="43" t="str">
        <f>IF(B350="","",SUMIF(Transactions!$F$8:$F$3006,B350,Transactions!$N$8:$N$3006))</f>
        <v/>
      </c>
      <c r="E350" s="44" t="str">
        <f>IF(B350="","",SUMIF(Transactions!$F$8:$F$3006,B350,Transactions!$O$8:$O$3006))</f>
        <v/>
      </c>
      <c r="F350" s="45" t="str">
        <f>IF(B350="","",SUMIF(Transactions!$F$8:$F$3006,B350,Transactions!$R$8:$R$3006))</f>
        <v/>
      </c>
      <c r="G350" s="46" t="str">
        <f>IF(B350="","",(C350+F350)-(D350+E350+SUMIF(Transactions!$F$8:$F$3006,B350,Transactions!$Q$8:$Q$3006)))</f>
        <v/>
      </c>
      <c r="H350" s="47" t="str">
        <f>IF(B350="","",IF(G350&gt;0,"OUTSTANDING",IF(G350=0,"SETTLED",IF(SUMIF(Transactions!$F$8:$F$3006,B350,Transactions!$Q$8:$Q$3006)&gt;SUMIF(Transactions!$F$8:$F$3006,B350,Transactions!$R$8:$R$3006),"OWES","OVERPAID"))))</f>
        <v/>
      </c>
      <c r="I350" s="1"/>
    </row>
    <row r="351" spans="1:9" ht="18" customHeight="1" x14ac:dyDescent="0.25">
      <c r="A351" s="48">
        <v>336</v>
      </c>
      <c r="B351" s="49" t="str">
        <f t="array" ref="B351">IFERROR(IF(INDEX(Transactions!$F$8:$F$3006,MATCH(0,COUNTIF($B$11:B350,Transactions!$F$8:$F$3006),0))="","",INDEX(Transactions!$F$8:$F$3006,MATCH(0,COUNTIF($B$11:B350,Transactions!$F$8:$F$3006),0))),"")</f>
        <v/>
      </c>
      <c r="C351" s="50" t="str">
        <f>IF(B351="","",SUMIF(Transactions!$F$8:$F$3006,B351,Transactions!$H$8:$H$3006))</f>
        <v/>
      </c>
      <c r="D351" s="51" t="str">
        <f>IF(B351="","",SUMIF(Transactions!$F$8:$F$3006,B351,Transactions!$N$8:$N$3006))</f>
        <v/>
      </c>
      <c r="E351" s="52" t="str">
        <f>IF(B351="","",SUMIF(Transactions!$F$8:$F$3006,B351,Transactions!$O$8:$O$3006))</f>
        <v/>
      </c>
      <c r="F351" s="53" t="str">
        <f>IF(B351="","",SUMIF(Transactions!$F$8:$F$3006,B351,Transactions!$R$8:$R$3006))</f>
        <v/>
      </c>
      <c r="G351" s="54" t="str">
        <f>IF(B351="","",(C351+F351)-(D351+E351+SUMIF(Transactions!$F$8:$F$3006,B351,Transactions!$Q$8:$Q$3006)))</f>
        <v/>
      </c>
      <c r="H351" s="55" t="str">
        <f>IF(B351="","",IF(G351&gt;0,"OUTSTANDING",IF(G351=0,"SETTLED",IF(SUMIF(Transactions!$F$8:$F$3006,B351,Transactions!$Q$8:$Q$3006)&gt;SUMIF(Transactions!$F$8:$F$3006,B351,Transactions!$R$8:$R$3006),"OWES","OVERPAID"))))</f>
        <v/>
      </c>
      <c r="I351" s="1"/>
    </row>
    <row r="352" spans="1:9" ht="18" customHeight="1" x14ac:dyDescent="0.25">
      <c r="A352" s="40">
        <v>337</v>
      </c>
      <c r="B352" s="41" t="str">
        <f t="array" ref="B352">IFERROR(IF(INDEX(Transactions!$F$8:$F$3006,MATCH(0,COUNTIF($B$11:B351,Transactions!$F$8:$F$3006),0))="","",INDEX(Transactions!$F$8:$F$3006,MATCH(0,COUNTIF($B$11:B351,Transactions!$F$8:$F$3006),0))),"")</f>
        <v/>
      </c>
      <c r="C352" s="42" t="str">
        <f>IF(B352="","",SUMIF(Transactions!$F$8:$F$3006,B352,Transactions!$H$8:$H$3006))</f>
        <v/>
      </c>
      <c r="D352" s="43" t="str">
        <f>IF(B352="","",SUMIF(Transactions!$F$8:$F$3006,B352,Transactions!$N$8:$N$3006))</f>
        <v/>
      </c>
      <c r="E352" s="44" t="str">
        <f>IF(B352="","",SUMIF(Transactions!$F$8:$F$3006,B352,Transactions!$O$8:$O$3006))</f>
        <v/>
      </c>
      <c r="F352" s="45" t="str">
        <f>IF(B352="","",SUMIF(Transactions!$F$8:$F$3006,B352,Transactions!$R$8:$R$3006))</f>
        <v/>
      </c>
      <c r="G352" s="46" t="str">
        <f>IF(B352="","",(C352+F352)-(D352+E352+SUMIF(Transactions!$F$8:$F$3006,B352,Transactions!$Q$8:$Q$3006)))</f>
        <v/>
      </c>
      <c r="H352" s="47" t="str">
        <f>IF(B352="","",IF(G352&gt;0,"OUTSTANDING",IF(G352=0,"SETTLED",IF(SUMIF(Transactions!$F$8:$F$3006,B352,Transactions!$Q$8:$Q$3006)&gt;SUMIF(Transactions!$F$8:$F$3006,B352,Transactions!$R$8:$R$3006),"OWES","OVERPAID"))))</f>
        <v/>
      </c>
      <c r="I352" s="1"/>
    </row>
    <row r="353" spans="1:9" ht="18" customHeight="1" x14ac:dyDescent="0.25">
      <c r="A353" s="48">
        <v>338</v>
      </c>
      <c r="B353" s="49" t="str">
        <f t="array" ref="B353">IFERROR(IF(INDEX(Transactions!$F$8:$F$3006,MATCH(0,COUNTIF($B$11:B352,Transactions!$F$8:$F$3006),0))="","",INDEX(Transactions!$F$8:$F$3006,MATCH(0,COUNTIF($B$11:B352,Transactions!$F$8:$F$3006),0))),"")</f>
        <v/>
      </c>
      <c r="C353" s="50" t="str">
        <f>IF(B353="","",SUMIF(Transactions!$F$8:$F$3006,B353,Transactions!$H$8:$H$3006))</f>
        <v/>
      </c>
      <c r="D353" s="51" t="str">
        <f>IF(B353="","",SUMIF(Transactions!$F$8:$F$3006,B353,Transactions!$N$8:$N$3006))</f>
        <v/>
      </c>
      <c r="E353" s="52" t="str">
        <f>IF(B353="","",SUMIF(Transactions!$F$8:$F$3006,B353,Transactions!$O$8:$O$3006))</f>
        <v/>
      </c>
      <c r="F353" s="53" t="str">
        <f>IF(B353="","",SUMIF(Transactions!$F$8:$F$3006,B353,Transactions!$R$8:$R$3006))</f>
        <v/>
      </c>
      <c r="G353" s="54" t="str">
        <f>IF(B353="","",(C353+F353)-(D353+E353+SUMIF(Transactions!$F$8:$F$3006,B353,Transactions!$Q$8:$Q$3006)))</f>
        <v/>
      </c>
      <c r="H353" s="55" t="str">
        <f>IF(B353="","",IF(G353&gt;0,"OUTSTANDING",IF(G353=0,"SETTLED",IF(SUMIF(Transactions!$F$8:$F$3006,B353,Transactions!$Q$8:$Q$3006)&gt;SUMIF(Transactions!$F$8:$F$3006,B353,Transactions!$R$8:$R$3006),"OWES","OVERPAID"))))</f>
        <v/>
      </c>
      <c r="I353" s="1"/>
    </row>
    <row r="354" spans="1:9" ht="18" customHeight="1" x14ac:dyDescent="0.25">
      <c r="A354" s="40">
        <v>339</v>
      </c>
      <c r="B354" s="41" t="str">
        <f t="array" ref="B354">IFERROR(IF(INDEX(Transactions!$F$8:$F$3006,MATCH(0,COUNTIF($B$11:B353,Transactions!$F$8:$F$3006),0))="","",INDEX(Transactions!$F$8:$F$3006,MATCH(0,COUNTIF($B$11:B353,Transactions!$F$8:$F$3006),0))),"")</f>
        <v/>
      </c>
      <c r="C354" s="42" t="str">
        <f>IF(B354="","",SUMIF(Transactions!$F$8:$F$3006,B354,Transactions!$H$8:$H$3006))</f>
        <v/>
      </c>
      <c r="D354" s="43" t="str">
        <f>IF(B354="","",SUMIF(Transactions!$F$8:$F$3006,B354,Transactions!$N$8:$N$3006))</f>
        <v/>
      </c>
      <c r="E354" s="44" t="str">
        <f>IF(B354="","",SUMIF(Transactions!$F$8:$F$3006,B354,Transactions!$O$8:$O$3006))</f>
        <v/>
      </c>
      <c r="F354" s="45" t="str">
        <f>IF(B354="","",SUMIF(Transactions!$F$8:$F$3006,B354,Transactions!$R$8:$R$3006))</f>
        <v/>
      </c>
      <c r="G354" s="46" t="str">
        <f>IF(B354="","",(C354+F354)-(D354+E354+SUMIF(Transactions!$F$8:$F$3006,B354,Transactions!$Q$8:$Q$3006)))</f>
        <v/>
      </c>
      <c r="H354" s="47" t="str">
        <f>IF(B354="","",IF(G354&gt;0,"OUTSTANDING",IF(G354=0,"SETTLED",IF(SUMIF(Transactions!$F$8:$F$3006,B354,Transactions!$Q$8:$Q$3006)&gt;SUMIF(Transactions!$F$8:$F$3006,B354,Transactions!$R$8:$R$3006),"OWES","OVERPAID"))))</f>
        <v/>
      </c>
      <c r="I354" s="1"/>
    </row>
    <row r="355" spans="1:9" ht="18" customHeight="1" x14ac:dyDescent="0.25">
      <c r="A355" s="48">
        <v>340</v>
      </c>
      <c r="B355" s="49" t="str">
        <f t="array" ref="B355">IFERROR(IF(INDEX(Transactions!$F$8:$F$3006,MATCH(0,COUNTIF($B$11:B354,Transactions!$F$8:$F$3006),0))="","",INDEX(Transactions!$F$8:$F$3006,MATCH(0,COUNTIF($B$11:B354,Transactions!$F$8:$F$3006),0))),"")</f>
        <v/>
      </c>
      <c r="C355" s="50" t="str">
        <f>IF(B355="","",SUMIF(Transactions!$F$8:$F$3006,B355,Transactions!$H$8:$H$3006))</f>
        <v/>
      </c>
      <c r="D355" s="51" t="str">
        <f>IF(B355="","",SUMIF(Transactions!$F$8:$F$3006,B355,Transactions!$N$8:$N$3006))</f>
        <v/>
      </c>
      <c r="E355" s="52" t="str">
        <f>IF(B355="","",SUMIF(Transactions!$F$8:$F$3006,B355,Transactions!$O$8:$O$3006))</f>
        <v/>
      </c>
      <c r="F355" s="53" t="str">
        <f>IF(B355="","",SUMIF(Transactions!$F$8:$F$3006,B355,Transactions!$R$8:$R$3006))</f>
        <v/>
      </c>
      <c r="G355" s="54" t="str">
        <f>IF(B355="","",(C355+F355)-(D355+E355+SUMIF(Transactions!$F$8:$F$3006,B355,Transactions!$Q$8:$Q$3006)))</f>
        <v/>
      </c>
      <c r="H355" s="55" t="str">
        <f>IF(B355="","",IF(G355&gt;0,"OUTSTANDING",IF(G355=0,"SETTLED",IF(SUMIF(Transactions!$F$8:$F$3006,B355,Transactions!$Q$8:$Q$3006)&gt;SUMIF(Transactions!$F$8:$F$3006,B355,Transactions!$R$8:$R$3006),"OWES","OVERPAID"))))</f>
        <v/>
      </c>
      <c r="I355" s="1"/>
    </row>
    <row r="356" spans="1:9" ht="18" customHeight="1" x14ac:dyDescent="0.25">
      <c r="A356" s="40">
        <v>341</v>
      </c>
      <c r="B356" s="41" t="str">
        <f t="array" ref="B356">IFERROR(IF(INDEX(Transactions!$F$8:$F$3006,MATCH(0,COUNTIF($B$11:B355,Transactions!$F$8:$F$3006),0))="","",INDEX(Transactions!$F$8:$F$3006,MATCH(0,COUNTIF($B$11:B355,Transactions!$F$8:$F$3006),0))),"")</f>
        <v/>
      </c>
      <c r="C356" s="42" t="str">
        <f>IF(B356="","",SUMIF(Transactions!$F$8:$F$3006,B356,Transactions!$H$8:$H$3006))</f>
        <v/>
      </c>
      <c r="D356" s="43" t="str">
        <f>IF(B356="","",SUMIF(Transactions!$F$8:$F$3006,B356,Transactions!$N$8:$N$3006))</f>
        <v/>
      </c>
      <c r="E356" s="44" t="str">
        <f>IF(B356="","",SUMIF(Transactions!$F$8:$F$3006,B356,Transactions!$O$8:$O$3006))</f>
        <v/>
      </c>
      <c r="F356" s="45" t="str">
        <f>IF(B356="","",SUMIF(Transactions!$F$8:$F$3006,B356,Transactions!$R$8:$R$3006))</f>
        <v/>
      </c>
      <c r="G356" s="46" t="str">
        <f>IF(B356="","",(C356+F356)-(D356+E356+SUMIF(Transactions!$F$8:$F$3006,B356,Transactions!$Q$8:$Q$3006)))</f>
        <v/>
      </c>
      <c r="H356" s="47" t="str">
        <f>IF(B356="","",IF(G356&gt;0,"OUTSTANDING",IF(G356=0,"SETTLED",IF(SUMIF(Transactions!$F$8:$F$3006,B356,Transactions!$Q$8:$Q$3006)&gt;SUMIF(Transactions!$F$8:$F$3006,B356,Transactions!$R$8:$R$3006),"OWES","OVERPAID"))))</f>
        <v/>
      </c>
      <c r="I356" s="1"/>
    </row>
    <row r="357" spans="1:9" ht="18" customHeight="1" x14ac:dyDescent="0.25">
      <c r="A357" s="48">
        <v>342</v>
      </c>
      <c r="B357" s="49" t="str">
        <f t="array" ref="B357">IFERROR(IF(INDEX(Transactions!$F$8:$F$3006,MATCH(0,COUNTIF($B$11:B356,Transactions!$F$8:$F$3006),0))="","",INDEX(Transactions!$F$8:$F$3006,MATCH(0,COUNTIF($B$11:B356,Transactions!$F$8:$F$3006),0))),"")</f>
        <v/>
      </c>
      <c r="C357" s="50" t="str">
        <f>IF(B357="","",SUMIF(Transactions!$F$8:$F$3006,B357,Transactions!$H$8:$H$3006))</f>
        <v/>
      </c>
      <c r="D357" s="51" t="str">
        <f>IF(B357="","",SUMIF(Transactions!$F$8:$F$3006,B357,Transactions!$N$8:$N$3006))</f>
        <v/>
      </c>
      <c r="E357" s="52" t="str">
        <f>IF(B357="","",SUMIF(Transactions!$F$8:$F$3006,B357,Transactions!$O$8:$O$3006))</f>
        <v/>
      </c>
      <c r="F357" s="53" t="str">
        <f>IF(B357="","",SUMIF(Transactions!$F$8:$F$3006,B357,Transactions!$R$8:$R$3006))</f>
        <v/>
      </c>
      <c r="G357" s="54" t="str">
        <f>IF(B357="","",(C357+F357)-(D357+E357+SUMIF(Transactions!$F$8:$F$3006,B357,Transactions!$Q$8:$Q$3006)))</f>
        <v/>
      </c>
      <c r="H357" s="55" t="str">
        <f>IF(B357="","",IF(G357&gt;0,"OUTSTANDING",IF(G357=0,"SETTLED",IF(SUMIF(Transactions!$F$8:$F$3006,B357,Transactions!$Q$8:$Q$3006)&gt;SUMIF(Transactions!$F$8:$F$3006,B357,Transactions!$R$8:$R$3006),"OWES","OVERPAID"))))</f>
        <v/>
      </c>
      <c r="I357" s="1"/>
    </row>
    <row r="358" spans="1:9" ht="18" customHeight="1" x14ac:dyDescent="0.25">
      <c r="A358" s="40">
        <v>343</v>
      </c>
      <c r="B358" s="41" t="str">
        <f t="array" ref="B358">IFERROR(IF(INDEX(Transactions!$F$8:$F$3006,MATCH(0,COUNTIF($B$11:B357,Transactions!$F$8:$F$3006),0))="","",INDEX(Transactions!$F$8:$F$3006,MATCH(0,COUNTIF($B$11:B357,Transactions!$F$8:$F$3006),0))),"")</f>
        <v/>
      </c>
      <c r="C358" s="42" t="str">
        <f>IF(B358="","",SUMIF(Transactions!$F$8:$F$3006,B358,Transactions!$H$8:$H$3006))</f>
        <v/>
      </c>
      <c r="D358" s="43" t="str">
        <f>IF(B358="","",SUMIF(Transactions!$F$8:$F$3006,B358,Transactions!$N$8:$N$3006))</f>
        <v/>
      </c>
      <c r="E358" s="44" t="str">
        <f>IF(B358="","",SUMIF(Transactions!$F$8:$F$3006,B358,Transactions!$O$8:$O$3006))</f>
        <v/>
      </c>
      <c r="F358" s="45" t="str">
        <f>IF(B358="","",SUMIF(Transactions!$F$8:$F$3006,B358,Transactions!$R$8:$R$3006))</f>
        <v/>
      </c>
      <c r="G358" s="46" t="str">
        <f>IF(B358="","",(C358+F358)-(D358+E358+SUMIF(Transactions!$F$8:$F$3006,B358,Transactions!$Q$8:$Q$3006)))</f>
        <v/>
      </c>
      <c r="H358" s="47" t="str">
        <f>IF(B358="","",IF(G358&gt;0,"OUTSTANDING",IF(G358=0,"SETTLED",IF(SUMIF(Transactions!$F$8:$F$3006,B358,Transactions!$Q$8:$Q$3006)&gt;SUMIF(Transactions!$F$8:$F$3006,B358,Transactions!$R$8:$R$3006),"OWES","OVERPAID"))))</f>
        <v/>
      </c>
      <c r="I358" s="1"/>
    </row>
    <row r="359" spans="1:9" ht="18" customHeight="1" x14ac:dyDescent="0.25">
      <c r="A359" s="48">
        <v>344</v>
      </c>
      <c r="B359" s="49" t="str">
        <f t="array" ref="B359">IFERROR(IF(INDEX(Transactions!$F$8:$F$3006,MATCH(0,COUNTIF($B$11:B358,Transactions!$F$8:$F$3006),0))="","",INDEX(Transactions!$F$8:$F$3006,MATCH(0,COUNTIF($B$11:B358,Transactions!$F$8:$F$3006),0))),"")</f>
        <v/>
      </c>
      <c r="C359" s="50" t="str">
        <f>IF(B359="","",SUMIF(Transactions!$F$8:$F$3006,B359,Transactions!$H$8:$H$3006))</f>
        <v/>
      </c>
      <c r="D359" s="51" t="str">
        <f>IF(B359="","",SUMIF(Transactions!$F$8:$F$3006,B359,Transactions!$N$8:$N$3006))</f>
        <v/>
      </c>
      <c r="E359" s="52" t="str">
        <f>IF(B359="","",SUMIF(Transactions!$F$8:$F$3006,B359,Transactions!$O$8:$O$3006))</f>
        <v/>
      </c>
      <c r="F359" s="53" t="str">
        <f>IF(B359="","",SUMIF(Transactions!$F$8:$F$3006,B359,Transactions!$R$8:$R$3006))</f>
        <v/>
      </c>
      <c r="G359" s="54" t="str">
        <f>IF(B359="","",(C359+F359)-(D359+E359+SUMIF(Transactions!$F$8:$F$3006,B359,Transactions!$Q$8:$Q$3006)))</f>
        <v/>
      </c>
      <c r="H359" s="55" t="str">
        <f>IF(B359="","",IF(G359&gt;0,"OUTSTANDING",IF(G359=0,"SETTLED",IF(SUMIF(Transactions!$F$8:$F$3006,B359,Transactions!$Q$8:$Q$3006)&gt;SUMIF(Transactions!$F$8:$F$3006,B359,Transactions!$R$8:$R$3006),"OWES","OVERPAID"))))</f>
        <v/>
      </c>
      <c r="I359" s="1"/>
    </row>
    <row r="360" spans="1:9" ht="18" customHeight="1" x14ac:dyDescent="0.25">
      <c r="A360" s="40">
        <v>345</v>
      </c>
      <c r="B360" s="41" t="str">
        <f t="array" ref="B360">IFERROR(IF(INDEX(Transactions!$F$8:$F$3006,MATCH(0,COUNTIF($B$11:B359,Transactions!$F$8:$F$3006),0))="","",INDEX(Transactions!$F$8:$F$3006,MATCH(0,COUNTIF($B$11:B359,Transactions!$F$8:$F$3006),0))),"")</f>
        <v/>
      </c>
      <c r="C360" s="42" t="str">
        <f>IF(B360="","",SUMIF(Transactions!$F$8:$F$3006,B360,Transactions!$H$8:$H$3006))</f>
        <v/>
      </c>
      <c r="D360" s="43" t="str">
        <f>IF(B360="","",SUMIF(Transactions!$F$8:$F$3006,B360,Transactions!$N$8:$N$3006))</f>
        <v/>
      </c>
      <c r="E360" s="44" t="str">
        <f>IF(B360="","",SUMIF(Transactions!$F$8:$F$3006,B360,Transactions!$O$8:$O$3006))</f>
        <v/>
      </c>
      <c r="F360" s="45" t="str">
        <f>IF(B360="","",SUMIF(Transactions!$F$8:$F$3006,B360,Transactions!$R$8:$R$3006))</f>
        <v/>
      </c>
      <c r="G360" s="46" t="str">
        <f>IF(B360="","",(C360+F360)-(D360+E360+SUMIF(Transactions!$F$8:$F$3006,B360,Transactions!$Q$8:$Q$3006)))</f>
        <v/>
      </c>
      <c r="H360" s="47" t="str">
        <f>IF(B360="","",IF(G360&gt;0,"OUTSTANDING",IF(G360=0,"SETTLED",IF(SUMIF(Transactions!$F$8:$F$3006,B360,Transactions!$Q$8:$Q$3006)&gt;SUMIF(Transactions!$F$8:$F$3006,B360,Transactions!$R$8:$R$3006),"OWES","OVERPAID"))))</f>
        <v/>
      </c>
      <c r="I360" s="1"/>
    </row>
    <row r="361" spans="1:9" ht="18" customHeight="1" x14ac:dyDescent="0.25">
      <c r="A361" s="48">
        <v>346</v>
      </c>
      <c r="B361" s="49" t="str">
        <f t="array" ref="B361">IFERROR(IF(INDEX(Transactions!$F$8:$F$3006,MATCH(0,COUNTIF($B$11:B360,Transactions!$F$8:$F$3006),0))="","",INDEX(Transactions!$F$8:$F$3006,MATCH(0,COUNTIF($B$11:B360,Transactions!$F$8:$F$3006),0))),"")</f>
        <v/>
      </c>
      <c r="C361" s="50" t="str">
        <f>IF(B361="","",SUMIF(Transactions!$F$8:$F$3006,B361,Transactions!$H$8:$H$3006))</f>
        <v/>
      </c>
      <c r="D361" s="51" t="str">
        <f>IF(B361="","",SUMIF(Transactions!$F$8:$F$3006,B361,Transactions!$N$8:$N$3006))</f>
        <v/>
      </c>
      <c r="E361" s="52" t="str">
        <f>IF(B361="","",SUMIF(Transactions!$F$8:$F$3006,B361,Transactions!$O$8:$O$3006))</f>
        <v/>
      </c>
      <c r="F361" s="53" t="str">
        <f>IF(B361="","",SUMIF(Transactions!$F$8:$F$3006,B361,Transactions!$R$8:$R$3006))</f>
        <v/>
      </c>
      <c r="G361" s="54" t="str">
        <f>IF(B361="","",(C361+F361)-(D361+E361+SUMIF(Transactions!$F$8:$F$3006,B361,Transactions!$Q$8:$Q$3006)))</f>
        <v/>
      </c>
      <c r="H361" s="55" t="str">
        <f>IF(B361="","",IF(G361&gt;0,"OUTSTANDING",IF(G361=0,"SETTLED",IF(SUMIF(Transactions!$F$8:$F$3006,B361,Transactions!$Q$8:$Q$3006)&gt;SUMIF(Transactions!$F$8:$F$3006,B361,Transactions!$R$8:$R$3006),"OWES","OVERPAID"))))</f>
        <v/>
      </c>
      <c r="I361" s="1"/>
    </row>
    <row r="362" spans="1:9" ht="18" customHeight="1" x14ac:dyDescent="0.25">
      <c r="A362" s="40">
        <v>347</v>
      </c>
      <c r="B362" s="41" t="str">
        <f t="array" ref="B362">IFERROR(IF(INDEX(Transactions!$F$8:$F$3006,MATCH(0,COUNTIF($B$11:B361,Transactions!$F$8:$F$3006),0))="","",INDEX(Transactions!$F$8:$F$3006,MATCH(0,COUNTIF($B$11:B361,Transactions!$F$8:$F$3006),0))),"")</f>
        <v/>
      </c>
      <c r="C362" s="42" t="str">
        <f>IF(B362="","",SUMIF(Transactions!$F$8:$F$3006,B362,Transactions!$H$8:$H$3006))</f>
        <v/>
      </c>
      <c r="D362" s="43" t="str">
        <f>IF(B362="","",SUMIF(Transactions!$F$8:$F$3006,B362,Transactions!$N$8:$N$3006))</f>
        <v/>
      </c>
      <c r="E362" s="44" t="str">
        <f>IF(B362="","",SUMIF(Transactions!$F$8:$F$3006,B362,Transactions!$O$8:$O$3006))</f>
        <v/>
      </c>
      <c r="F362" s="45" t="str">
        <f>IF(B362="","",SUMIF(Transactions!$F$8:$F$3006,B362,Transactions!$R$8:$R$3006))</f>
        <v/>
      </c>
      <c r="G362" s="46" t="str">
        <f>IF(B362="","",(C362+F362)-(D362+E362+SUMIF(Transactions!$F$8:$F$3006,B362,Transactions!$Q$8:$Q$3006)))</f>
        <v/>
      </c>
      <c r="H362" s="47" t="str">
        <f>IF(B362="","",IF(G362&gt;0,"OUTSTANDING",IF(G362=0,"SETTLED",IF(SUMIF(Transactions!$F$8:$F$3006,B362,Transactions!$Q$8:$Q$3006)&gt;SUMIF(Transactions!$F$8:$F$3006,B362,Transactions!$R$8:$R$3006),"OWES","OVERPAID"))))</f>
        <v/>
      </c>
      <c r="I362" s="1"/>
    </row>
    <row r="363" spans="1:9" ht="18" customHeight="1" x14ac:dyDescent="0.25">
      <c r="A363" s="48">
        <v>348</v>
      </c>
      <c r="B363" s="49" t="str">
        <f t="array" ref="B363">IFERROR(IF(INDEX(Transactions!$F$8:$F$3006,MATCH(0,COUNTIF($B$11:B362,Transactions!$F$8:$F$3006),0))="","",INDEX(Transactions!$F$8:$F$3006,MATCH(0,COUNTIF($B$11:B362,Transactions!$F$8:$F$3006),0))),"")</f>
        <v/>
      </c>
      <c r="C363" s="50" t="str">
        <f>IF(B363="","",SUMIF(Transactions!$F$8:$F$3006,B363,Transactions!$H$8:$H$3006))</f>
        <v/>
      </c>
      <c r="D363" s="51" t="str">
        <f>IF(B363="","",SUMIF(Transactions!$F$8:$F$3006,B363,Transactions!$N$8:$N$3006))</f>
        <v/>
      </c>
      <c r="E363" s="52" t="str">
        <f>IF(B363="","",SUMIF(Transactions!$F$8:$F$3006,B363,Transactions!$O$8:$O$3006))</f>
        <v/>
      </c>
      <c r="F363" s="53" t="str">
        <f>IF(B363="","",SUMIF(Transactions!$F$8:$F$3006,B363,Transactions!$R$8:$R$3006))</f>
        <v/>
      </c>
      <c r="G363" s="54" t="str">
        <f>IF(B363="","",(C363+F363)-(D363+E363+SUMIF(Transactions!$F$8:$F$3006,B363,Transactions!$Q$8:$Q$3006)))</f>
        <v/>
      </c>
      <c r="H363" s="55" t="str">
        <f>IF(B363="","",IF(G363&gt;0,"OUTSTANDING",IF(G363=0,"SETTLED",IF(SUMIF(Transactions!$F$8:$F$3006,B363,Transactions!$Q$8:$Q$3006)&gt;SUMIF(Transactions!$F$8:$F$3006,B363,Transactions!$R$8:$R$3006),"OWES","OVERPAID"))))</f>
        <v/>
      </c>
      <c r="I363" s="1"/>
    </row>
    <row r="364" spans="1:9" ht="18" customHeight="1" x14ac:dyDescent="0.25">
      <c r="A364" s="40">
        <v>349</v>
      </c>
      <c r="B364" s="41" t="str">
        <f t="array" ref="B364">IFERROR(IF(INDEX(Transactions!$F$8:$F$3006,MATCH(0,COUNTIF($B$11:B363,Transactions!$F$8:$F$3006),0))="","",INDEX(Transactions!$F$8:$F$3006,MATCH(0,COUNTIF($B$11:B363,Transactions!$F$8:$F$3006),0))),"")</f>
        <v/>
      </c>
      <c r="C364" s="42" t="str">
        <f>IF(B364="","",SUMIF(Transactions!$F$8:$F$3006,B364,Transactions!$H$8:$H$3006))</f>
        <v/>
      </c>
      <c r="D364" s="43" t="str">
        <f>IF(B364="","",SUMIF(Transactions!$F$8:$F$3006,B364,Transactions!$N$8:$N$3006))</f>
        <v/>
      </c>
      <c r="E364" s="44" t="str">
        <f>IF(B364="","",SUMIF(Transactions!$F$8:$F$3006,B364,Transactions!$O$8:$O$3006))</f>
        <v/>
      </c>
      <c r="F364" s="45" t="str">
        <f>IF(B364="","",SUMIF(Transactions!$F$8:$F$3006,B364,Transactions!$R$8:$R$3006))</f>
        <v/>
      </c>
      <c r="G364" s="46" t="str">
        <f>IF(B364="","",(C364+F364)-(D364+E364+SUMIF(Transactions!$F$8:$F$3006,B364,Transactions!$Q$8:$Q$3006)))</f>
        <v/>
      </c>
      <c r="H364" s="47" t="str">
        <f>IF(B364="","",IF(G364&gt;0,"OUTSTANDING",IF(G364=0,"SETTLED",IF(SUMIF(Transactions!$F$8:$F$3006,B364,Transactions!$Q$8:$Q$3006)&gt;SUMIF(Transactions!$F$8:$F$3006,B364,Transactions!$R$8:$R$3006),"OWES","OVERPAID"))))</f>
        <v/>
      </c>
      <c r="I364" s="1"/>
    </row>
    <row r="365" spans="1:9" ht="18" customHeight="1" x14ac:dyDescent="0.25">
      <c r="A365" s="48">
        <v>350</v>
      </c>
      <c r="B365" s="49" t="str">
        <f t="array" ref="B365">IFERROR(IF(INDEX(Transactions!$F$8:$F$3006,MATCH(0,COUNTIF($B$11:B364,Transactions!$F$8:$F$3006),0))="","",INDEX(Transactions!$F$8:$F$3006,MATCH(0,COUNTIF($B$11:B364,Transactions!$F$8:$F$3006),0))),"")</f>
        <v/>
      </c>
      <c r="C365" s="50" t="str">
        <f>IF(B365="","",SUMIF(Transactions!$F$8:$F$3006,B365,Transactions!$H$8:$H$3006))</f>
        <v/>
      </c>
      <c r="D365" s="51" t="str">
        <f>IF(B365="","",SUMIF(Transactions!$F$8:$F$3006,B365,Transactions!$N$8:$N$3006))</f>
        <v/>
      </c>
      <c r="E365" s="52" t="str">
        <f>IF(B365="","",SUMIF(Transactions!$F$8:$F$3006,B365,Transactions!$O$8:$O$3006))</f>
        <v/>
      </c>
      <c r="F365" s="53" t="str">
        <f>IF(B365="","",SUMIF(Transactions!$F$8:$F$3006,B365,Transactions!$R$8:$R$3006))</f>
        <v/>
      </c>
      <c r="G365" s="54" t="str">
        <f>IF(B365="","",(C365+F365)-(D365+E365+SUMIF(Transactions!$F$8:$F$3006,B365,Transactions!$Q$8:$Q$3006)))</f>
        <v/>
      </c>
      <c r="H365" s="55" t="str">
        <f>IF(B365="","",IF(G365&gt;0,"OUTSTANDING",IF(G365=0,"SETTLED",IF(SUMIF(Transactions!$F$8:$F$3006,B365,Transactions!$Q$8:$Q$3006)&gt;SUMIF(Transactions!$F$8:$F$3006,B365,Transactions!$R$8:$R$3006),"OWES","OVERPAID"))))</f>
        <v/>
      </c>
      <c r="I365" s="1"/>
    </row>
    <row r="366" spans="1:9" ht="18" customHeight="1" x14ac:dyDescent="0.25">
      <c r="A366" s="40">
        <v>351</v>
      </c>
      <c r="B366" s="41" t="str">
        <f t="array" ref="B366">IFERROR(IF(INDEX(Transactions!$F$8:$F$3006,MATCH(0,COUNTIF($B$11:B365,Transactions!$F$8:$F$3006),0))="","",INDEX(Transactions!$F$8:$F$3006,MATCH(0,COUNTIF($B$11:B365,Transactions!$F$8:$F$3006),0))),"")</f>
        <v/>
      </c>
      <c r="C366" s="42" t="str">
        <f>IF(B366="","",SUMIF(Transactions!$F$8:$F$3006,B366,Transactions!$H$8:$H$3006))</f>
        <v/>
      </c>
      <c r="D366" s="43" t="str">
        <f>IF(B366="","",SUMIF(Transactions!$F$8:$F$3006,B366,Transactions!$N$8:$N$3006))</f>
        <v/>
      </c>
      <c r="E366" s="44" t="str">
        <f>IF(B366="","",SUMIF(Transactions!$F$8:$F$3006,B366,Transactions!$O$8:$O$3006))</f>
        <v/>
      </c>
      <c r="F366" s="45" t="str">
        <f>IF(B366="","",SUMIF(Transactions!$F$8:$F$3006,B366,Transactions!$R$8:$R$3006))</f>
        <v/>
      </c>
      <c r="G366" s="46" t="str">
        <f>IF(B366="","",(C366+F366)-(D366+E366+SUMIF(Transactions!$F$8:$F$3006,B366,Transactions!$Q$8:$Q$3006)))</f>
        <v/>
      </c>
      <c r="H366" s="47" t="str">
        <f>IF(B366="","",IF(G366&gt;0,"OUTSTANDING",IF(G366=0,"SETTLED",IF(SUMIF(Transactions!$F$8:$F$3006,B366,Transactions!$Q$8:$Q$3006)&gt;SUMIF(Transactions!$F$8:$F$3006,B366,Transactions!$R$8:$R$3006),"OWES","OVERPAID"))))</f>
        <v/>
      </c>
      <c r="I366" s="1"/>
    </row>
    <row r="367" spans="1:9" ht="18" customHeight="1" x14ac:dyDescent="0.25">
      <c r="A367" s="48">
        <v>352</v>
      </c>
      <c r="B367" s="49" t="str">
        <f t="array" ref="B367">IFERROR(IF(INDEX(Transactions!$F$8:$F$3006,MATCH(0,COUNTIF($B$11:B366,Transactions!$F$8:$F$3006),0))="","",INDEX(Transactions!$F$8:$F$3006,MATCH(0,COUNTIF($B$11:B366,Transactions!$F$8:$F$3006),0))),"")</f>
        <v/>
      </c>
      <c r="C367" s="50" t="str">
        <f>IF(B367="","",SUMIF(Transactions!$F$8:$F$3006,B367,Transactions!$H$8:$H$3006))</f>
        <v/>
      </c>
      <c r="D367" s="51" t="str">
        <f>IF(B367="","",SUMIF(Transactions!$F$8:$F$3006,B367,Transactions!$N$8:$N$3006))</f>
        <v/>
      </c>
      <c r="E367" s="52" t="str">
        <f>IF(B367="","",SUMIF(Transactions!$F$8:$F$3006,B367,Transactions!$O$8:$O$3006))</f>
        <v/>
      </c>
      <c r="F367" s="53" t="str">
        <f>IF(B367="","",SUMIF(Transactions!$F$8:$F$3006,B367,Transactions!$R$8:$R$3006))</f>
        <v/>
      </c>
      <c r="G367" s="54" t="str">
        <f>IF(B367="","",(C367+F367)-(D367+E367+SUMIF(Transactions!$F$8:$F$3006,B367,Transactions!$Q$8:$Q$3006)))</f>
        <v/>
      </c>
      <c r="H367" s="55" t="str">
        <f>IF(B367="","",IF(G367&gt;0,"OUTSTANDING",IF(G367=0,"SETTLED",IF(SUMIF(Transactions!$F$8:$F$3006,B367,Transactions!$Q$8:$Q$3006)&gt;SUMIF(Transactions!$F$8:$F$3006,B367,Transactions!$R$8:$R$3006),"OWES","OVERPAID"))))</f>
        <v/>
      </c>
      <c r="I367" s="1"/>
    </row>
    <row r="368" spans="1:9" ht="18" customHeight="1" x14ac:dyDescent="0.25">
      <c r="A368" s="40">
        <v>353</v>
      </c>
      <c r="B368" s="41" t="str">
        <f t="array" ref="B368">IFERROR(IF(INDEX(Transactions!$F$8:$F$3006,MATCH(0,COUNTIF($B$11:B367,Transactions!$F$8:$F$3006),0))="","",INDEX(Transactions!$F$8:$F$3006,MATCH(0,COUNTIF($B$11:B367,Transactions!$F$8:$F$3006),0))),"")</f>
        <v/>
      </c>
      <c r="C368" s="42" t="str">
        <f>IF(B368="","",SUMIF(Transactions!$F$8:$F$3006,B368,Transactions!$H$8:$H$3006))</f>
        <v/>
      </c>
      <c r="D368" s="43" t="str">
        <f>IF(B368="","",SUMIF(Transactions!$F$8:$F$3006,B368,Transactions!$N$8:$N$3006))</f>
        <v/>
      </c>
      <c r="E368" s="44" t="str">
        <f>IF(B368="","",SUMIF(Transactions!$F$8:$F$3006,B368,Transactions!$O$8:$O$3006))</f>
        <v/>
      </c>
      <c r="F368" s="45" t="str">
        <f>IF(B368="","",SUMIF(Transactions!$F$8:$F$3006,B368,Transactions!$R$8:$R$3006))</f>
        <v/>
      </c>
      <c r="G368" s="46" t="str">
        <f>IF(B368="","",(C368+F368)-(D368+E368+SUMIF(Transactions!$F$8:$F$3006,B368,Transactions!$Q$8:$Q$3006)))</f>
        <v/>
      </c>
      <c r="H368" s="47" t="str">
        <f>IF(B368="","",IF(G368&gt;0,"OUTSTANDING",IF(G368=0,"SETTLED",IF(SUMIF(Transactions!$F$8:$F$3006,B368,Transactions!$Q$8:$Q$3006)&gt;SUMIF(Transactions!$F$8:$F$3006,B368,Transactions!$R$8:$R$3006),"OWES","OVERPAID"))))</f>
        <v/>
      </c>
      <c r="I368" s="1"/>
    </row>
    <row r="369" spans="1:9" ht="18" customHeight="1" x14ac:dyDescent="0.25">
      <c r="A369" s="48">
        <v>354</v>
      </c>
      <c r="B369" s="49" t="str">
        <f t="array" ref="B369">IFERROR(IF(INDEX(Transactions!$F$8:$F$3006,MATCH(0,COUNTIF($B$11:B368,Transactions!$F$8:$F$3006),0))="","",INDEX(Transactions!$F$8:$F$3006,MATCH(0,COUNTIF($B$11:B368,Transactions!$F$8:$F$3006),0))),"")</f>
        <v/>
      </c>
      <c r="C369" s="50" t="str">
        <f>IF(B369="","",SUMIF(Transactions!$F$8:$F$3006,B369,Transactions!$H$8:$H$3006))</f>
        <v/>
      </c>
      <c r="D369" s="51" t="str">
        <f>IF(B369="","",SUMIF(Transactions!$F$8:$F$3006,B369,Transactions!$N$8:$N$3006))</f>
        <v/>
      </c>
      <c r="E369" s="52" t="str">
        <f>IF(B369="","",SUMIF(Transactions!$F$8:$F$3006,B369,Transactions!$O$8:$O$3006))</f>
        <v/>
      </c>
      <c r="F369" s="53" t="str">
        <f>IF(B369="","",SUMIF(Transactions!$F$8:$F$3006,B369,Transactions!$R$8:$R$3006))</f>
        <v/>
      </c>
      <c r="G369" s="54" t="str">
        <f>IF(B369="","",(C369+F369)-(D369+E369+SUMIF(Transactions!$F$8:$F$3006,B369,Transactions!$Q$8:$Q$3006)))</f>
        <v/>
      </c>
      <c r="H369" s="55" t="str">
        <f>IF(B369="","",IF(G369&gt;0,"OUTSTANDING",IF(G369=0,"SETTLED",IF(SUMIF(Transactions!$F$8:$F$3006,B369,Transactions!$Q$8:$Q$3006)&gt;SUMIF(Transactions!$F$8:$F$3006,B369,Transactions!$R$8:$R$3006),"OWES","OVERPAID"))))</f>
        <v/>
      </c>
      <c r="I369" s="1"/>
    </row>
    <row r="370" spans="1:9" ht="18" customHeight="1" x14ac:dyDescent="0.25">
      <c r="A370" s="40">
        <v>355</v>
      </c>
      <c r="B370" s="41" t="str">
        <f t="array" ref="B370">IFERROR(IF(INDEX(Transactions!$F$8:$F$3006,MATCH(0,COUNTIF($B$11:B369,Transactions!$F$8:$F$3006),0))="","",INDEX(Transactions!$F$8:$F$3006,MATCH(0,COUNTIF($B$11:B369,Transactions!$F$8:$F$3006),0))),"")</f>
        <v/>
      </c>
      <c r="C370" s="42" t="str">
        <f>IF(B370="","",SUMIF(Transactions!$F$8:$F$3006,B370,Transactions!$H$8:$H$3006))</f>
        <v/>
      </c>
      <c r="D370" s="43" t="str">
        <f>IF(B370="","",SUMIF(Transactions!$F$8:$F$3006,B370,Transactions!$N$8:$N$3006))</f>
        <v/>
      </c>
      <c r="E370" s="44" t="str">
        <f>IF(B370="","",SUMIF(Transactions!$F$8:$F$3006,B370,Transactions!$O$8:$O$3006))</f>
        <v/>
      </c>
      <c r="F370" s="45" t="str">
        <f>IF(B370="","",SUMIF(Transactions!$F$8:$F$3006,B370,Transactions!$R$8:$R$3006))</f>
        <v/>
      </c>
      <c r="G370" s="46" t="str">
        <f>IF(B370="","",(C370+F370)-(D370+E370+SUMIF(Transactions!$F$8:$F$3006,B370,Transactions!$Q$8:$Q$3006)))</f>
        <v/>
      </c>
      <c r="H370" s="47" t="str">
        <f>IF(B370="","",IF(G370&gt;0,"OUTSTANDING",IF(G370=0,"SETTLED",IF(SUMIF(Transactions!$F$8:$F$3006,B370,Transactions!$Q$8:$Q$3006)&gt;SUMIF(Transactions!$F$8:$F$3006,B370,Transactions!$R$8:$R$3006),"OWES","OVERPAID"))))</f>
        <v/>
      </c>
      <c r="I370" s="1"/>
    </row>
    <row r="371" spans="1:9" ht="18" customHeight="1" x14ac:dyDescent="0.25">
      <c r="A371" s="48">
        <v>356</v>
      </c>
      <c r="B371" s="49" t="str">
        <f t="array" ref="B371">IFERROR(IF(INDEX(Transactions!$F$8:$F$3006,MATCH(0,COUNTIF($B$11:B370,Transactions!$F$8:$F$3006),0))="","",INDEX(Transactions!$F$8:$F$3006,MATCH(0,COUNTIF($B$11:B370,Transactions!$F$8:$F$3006),0))),"")</f>
        <v/>
      </c>
      <c r="C371" s="50" t="str">
        <f>IF(B371="","",SUMIF(Transactions!$F$8:$F$3006,B371,Transactions!$H$8:$H$3006))</f>
        <v/>
      </c>
      <c r="D371" s="51" t="str">
        <f>IF(B371="","",SUMIF(Transactions!$F$8:$F$3006,B371,Transactions!$N$8:$N$3006))</f>
        <v/>
      </c>
      <c r="E371" s="52" t="str">
        <f>IF(B371="","",SUMIF(Transactions!$F$8:$F$3006,B371,Transactions!$O$8:$O$3006))</f>
        <v/>
      </c>
      <c r="F371" s="53" t="str">
        <f>IF(B371="","",SUMIF(Transactions!$F$8:$F$3006,B371,Transactions!$R$8:$R$3006))</f>
        <v/>
      </c>
      <c r="G371" s="54" t="str">
        <f>IF(B371="","",(C371+F371)-(D371+E371+SUMIF(Transactions!$F$8:$F$3006,B371,Transactions!$Q$8:$Q$3006)))</f>
        <v/>
      </c>
      <c r="H371" s="55" t="str">
        <f>IF(B371="","",IF(G371&gt;0,"OUTSTANDING",IF(G371=0,"SETTLED",IF(SUMIF(Transactions!$F$8:$F$3006,B371,Transactions!$Q$8:$Q$3006)&gt;SUMIF(Transactions!$F$8:$F$3006,B371,Transactions!$R$8:$R$3006),"OWES","OVERPAID"))))</f>
        <v/>
      </c>
      <c r="I371" s="1"/>
    </row>
    <row r="372" spans="1:9" ht="18" customHeight="1" x14ac:dyDescent="0.25">
      <c r="A372" s="40">
        <v>357</v>
      </c>
      <c r="B372" s="41" t="str">
        <f t="array" ref="B372">IFERROR(IF(INDEX(Transactions!$F$8:$F$3006,MATCH(0,COUNTIF($B$11:B371,Transactions!$F$8:$F$3006),0))="","",INDEX(Transactions!$F$8:$F$3006,MATCH(0,COUNTIF($B$11:B371,Transactions!$F$8:$F$3006),0))),"")</f>
        <v/>
      </c>
      <c r="C372" s="42" t="str">
        <f>IF(B372="","",SUMIF(Transactions!$F$8:$F$3006,B372,Transactions!$H$8:$H$3006))</f>
        <v/>
      </c>
      <c r="D372" s="43" t="str">
        <f>IF(B372="","",SUMIF(Transactions!$F$8:$F$3006,B372,Transactions!$N$8:$N$3006))</f>
        <v/>
      </c>
      <c r="E372" s="44" t="str">
        <f>IF(B372="","",SUMIF(Transactions!$F$8:$F$3006,B372,Transactions!$O$8:$O$3006))</f>
        <v/>
      </c>
      <c r="F372" s="45" t="str">
        <f>IF(B372="","",SUMIF(Transactions!$F$8:$F$3006,B372,Transactions!$R$8:$R$3006))</f>
        <v/>
      </c>
      <c r="G372" s="46" t="str">
        <f>IF(B372="","",(C372+F372)-(D372+E372+SUMIF(Transactions!$F$8:$F$3006,B372,Transactions!$Q$8:$Q$3006)))</f>
        <v/>
      </c>
      <c r="H372" s="47" t="str">
        <f>IF(B372="","",IF(G372&gt;0,"OUTSTANDING",IF(G372=0,"SETTLED",IF(SUMIF(Transactions!$F$8:$F$3006,B372,Transactions!$Q$8:$Q$3006)&gt;SUMIF(Transactions!$F$8:$F$3006,B372,Transactions!$R$8:$R$3006),"OWES","OVERPAID"))))</f>
        <v/>
      </c>
      <c r="I372" s="1"/>
    </row>
    <row r="373" spans="1:9" ht="18" customHeight="1" x14ac:dyDescent="0.25">
      <c r="A373" s="48">
        <v>358</v>
      </c>
      <c r="B373" s="49" t="str">
        <f t="array" ref="B373">IFERROR(IF(INDEX(Transactions!$F$8:$F$3006,MATCH(0,COUNTIF($B$11:B372,Transactions!$F$8:$F$3006),0))="","",INDEX(Transactions!$F$8:$F$3006,MATCH(0,COUNTIF($B$11:B372,Transactions!$F$8:$F$3006),0))),"")</f>
        <v/>
      </c>
      <c r="C373" s="50" t="str">
        <f>IF(B373="","",SUMIF(Transactions!$F$8:$F$3006,B373,Transactions!$H$8:$H$3006))</f>
        <v/>
      </c>
      <c r="D373" s="51" t="str">
        <f>IF(B373="","",SUMIF(Transactions!$F$8:$F$3006,B373,Transactions!$N$8:$N$3006))</f>
        <v/>
      </c>
      <c r="E373" s="52" t="str">
        <f>IF(B373="","",SUMIF(Transactions!$F$8:$F$3006,B373,Transactions!$O$8:$O$3006))</f>
        <v/>
      </c>
      <c r="F373" s="53" t="str">
        <f>IF(B373="","",SUMIF(Transactions!$F$8:$F$3006,B373,Transactions!$R$8:$R$3006))</f>
        <v/>
      </c>
      <c r="G373" s="54" t="str">
        <f>IF(B373="","",(C373+F373)-(D373+E373+SUMIF(Transactions!$F$8:$F$3006,B373,Transactions!$Q$8:$Q$3006)))</f>
        <v/>
      </c>
      <c r="H373" s="55" t="str">
        <f>IF(B373="","",IF(G373&gt;0,"OUTSTANDING",IF(G373=0,"SETTLED",IF(SUMIF(Transactions!$F$8:$F$3006,B373,Transactions!$Q$8:$Q$3006)&gt;SUMIF(Transactions!$F$8:$F$3006,B373,Transactions!$R$8:$R$3006),"OWES","OVERPAID"))))</f>
        <v/>
      </c>
      <c r="I373" s="1"/>
    </row>
    <row r="374" spans="1:9" ht="18" customHeight="1" x14ac:dyDescent="0.25">
      <c r="A374" s="40">
        <v>359</v>
      </c>
      <c r="B374" s="41" t="str">
        <f t="array" ref="B374">IFERROR(IF(INDEX(Transactions!$F$8:$F$3006,MATCH(0,COUNTIF($B$11:B373,Transactions!$F$8:$F$3006),0))="","",INDEX(Transactions!$F$8:$F$3006,MATCH(0,COUNTIF($B$11:B373,Transactions!$F$8:$F$3006),0))),"")</f>
        <v/>
      </c>
      <c r="C374" s="42" t="str">
        <f>IF(B374="","",SUMIF(Transactions!$F$8:$F$3006,B374,Transactions!$H$8:$H$3006))</f>
        <v/>
      </c>
      <c r="D374" s="43" t="str">
        <f>IF(B374="","",SUMIF(Transactions!$F$8:$F$3006,B374,Transactions!$N$8:$N$3006))</f>
        <v/>
      </c>
      <c r="E374" s="44" t="str">
        <f>IF(B374="","",SUMIF(Transactions!$F$8:$F$3006,B374,Transactions!$O$8:$O$3006))</f>
        <v/>
      </c>
      <c r="F374" s="45" t="str">
        <f>IF(B374="","",SUMIF(Transactions!$F$8:$F$3006,B374,Transactions!$R$8:$R$3006))</f>
        <v/>
      </c>
      <c r="G374" s="46" t="str">
        <f>IF(B374="","",(C374+F374)-(D374+E374+SUMIF(Transactions!$F$8:$F$3006,B374,Transactions!$Q$8:$Q$3006)))</f>
        <v/>
      </c>
      <c r="H374" s="47" t="str">
        <f>IF(B374="","",IF(G374&gt;0,"OUTSTANDING",IF(G374=0,"SETTLED",IF(SUMIF(Transactions!$F$8:$F$3006,B374,Transactions!$Q$8:$Q$3006)&gt;SUMIF(Transactions!$F$8:$F$3006,B374,Transactions!$R$8:$R$3006),"OWES","OVERPAID"))))</f>
        <v/>
      </c>
      <c r="I374" s="1"/>
    </row>
    <row r="375" spans="1:9" ht="18" customHeight="1" x14ac:dyDescent="0.25">
      <c r="A375" s="48">
        <v>360</v>
      </c>
      <c r="B375" s="49" t="str">
        <f t="array" ref="B375">IFERROR(IF(INDEX(Transactions!$F$8:$F$3006,MATCH(0,COUNTIF($B$11:B374,Transactions!$F$8:$F$3006),0))="","",INDEX(Transactions!$F$8:$F$3006,MATCH(0,COUNTIF($B$11:B374,Transactions!$F$8:$F$3006),0))),"")</f>
        <v/>
      </c>
      <c r="C375" s="50" t="str">
        <f>IF(B375="","",SUMIF(Transactions!$F$8:$F$3006,B375,Transactions!$H$8:$H$3006))</f>
        <v/>
      </c>
      <c r="D375" s="51" t="str">
        <f>IF(B375="","",SUMIF(Transactions!$F$8:$F$3006,B375,Transactions!$N$8:$N$3006))</f>
        <v/>
      </c>
      <c r="E375" s="52" t="str">
        <f>IF(B375="","",SUMIF(Transactions!$F$8:$F$3006,B375,Transactions!$O$8:$O$3006))</f>
        <v/>
      </c>
      <c r="F375" s="53" t="str">
        <f>IF(B375="","",SUMIF(Transactions!$F$8:$F$3006,B375,Transactions!$R$8:$R$3006))</f>
        <v/>
      </c>
      <c r="G375" s="54" t="str">
        <f>IF(B375="","",(C375+F375)-(D375+E375+SUMIF(Transactions!$F$8:$F$3006,B375,Transactions!$Q$8:$Q$3006)))</f>
        <v/>
      </c>
      <c r="H375" s="55" t="str">
        <f>IF(B375="","",IF(G375&gt;0,"OUTSTANDING",IF(G375=0,"SETTLED",IF(SUMIF(Transactions!$F$8:$F$3006,B375,Transactions!$Q$8:$Q$3006)&gt;SUMIF(Transactions!$F$8:$F$3006,B375,Transactions!$R$8:$R$3006),"OWES","OVERPAID"))))</f>
        <v/>
      </c>
      <c r="I375" s="1"/>
    </row>
    <row r="376" spans="1:9" ht="18" customHeight="1" x14ac:dyDescent="0.25">
      <c r="A376" s="40">
        <v>361</v>
      </c>
      <c r="B376" s="41" t="str">
        <f t="array" ref="B376">IFERROR(IF(INDEX(Transactions!$F$8:$F$3006,MATCH(0,COUNTIF($B$11:B375,Transactions!$F$8:$F$3006),0))="","",INDEX(Transactions!$F$8:$F$3006,MATCH(0,COUNTIF($B$11:B375,Transactions!$F$8:$F$3006),0))),"")</f>
        <v/>
      </c>
      <c r="C376" s="42" t="str">
        <f>IF(B376="","",SUMIF(Transactions!$F$8:$F$3006,B376,Transactions!$H$8:$H$3006))</f>
        <v/>
      </c>
      <c r="D376" s="43" t="str">
        <f>IF(B376="","",SUMIF(Transactions!$F$8:$F$3006,B376,Transactions!$N$8:$N$3006))</f>
        <v/>
      </c>
      <c r="E376" s="44" t="str">
        <f>IF(B376="","",SUMIF(Transactions!$F$8:$F$3006,B376,Transactions!$O$8:$O$3006))</f>
        <v/>
      </c>
      <c r="F376" s="45" t="str">
        <f>IF(B376="","",SUMIF(Transactions!$F$8:$F$3006,B376,Transactions!$R$8:$R$3006))</f>
        <v/>
      </c>
      <c r="G376" s="46" t="str">
        <f>IF(B376="","",(C376+F376)-(D376+E376+SUMIF(Transactions!$F$8:$F$3006,B376,Transactions!$Q$8:$Q$3006)))</f>
        <v/>
      </c>
      <c r="H376" s="47" t="str">
        <f>IF(B376="","",IF(G376&gt;0,"OUTSTANDING",IF(G376=0,"SETTLED",IF(SUMIF(Transactions!$F$8:$F$3006,B376,Transactions!$Q$8:$Q$3006)&gt;SUMIF(Transactions!$F$8:$F$3006,B376,Transactions!$R$8:$R$3006),"OWES","OVERPAID"))))</f>
        <v/>
      </c>
      <c r="I376" s="1"/>
    </row>
    <row r="377" spans="1:9" ht="18" customHeight="1" x14ac:dyDescent="0.25">
      <c r="A377" s="48">
        <v>362</v>
      </c>
      <c r="B377" s="49" t="str">
        <f t="array" ref="B377">IFERROR(IF(INDEX(Transactions!$F$8:$F$3006,MATCH(0,COUNTIF($B$11:B376,Transactions!$F$8:$F$3006),0))="","",INDEX(Transactions!$F$8:$F$3006,MATCH(0,COUNTIF($B$11:B376,Transactions!$F$8:$F$3006),0))),"")</f>
        <v/>
      </c>
      <c r="C377" s="50" t="str">
        <f>IF(B377="","",SUMIF(Transactions!$F$8:$F$3006,B377,Transactions!$H$8:$H$3006))</f>
        <v/>
      </c>
      <c r="D377" s="51" t="str">
        <f>IF(B377="","",SUMIF(Transactions!$F$8:$F$3006,B377,Transactions!$N$8:$N$3006))</f>
        <v/>
      </c>
      <c r="E377" s="52" t="str">
        <f>IF(B377="","",SUMIF(Transactions!$F$8:$F$3006,B377,Transactions!$O$8:$O$3006))</f>
        <v/>
      </c>
      <c r="F377" s="53" t="str">
        <f>IF(B377="","",SUMIF(Transactions!$F$8:$F$3006,B377,Transactions!$R$8:$R$3006))</f>
        <v/>
      </c>
      <c r="G377" s="54" t="str">
        <f>IF(B377="","",(C377+F377)-(D377+E377+SUMIF(Transactions!$F$8:$F$3006,B377,Transactions!$Q$8:$Q$3006)))</f>
        <v/>
      </c>
      <c r="H377" s="55" t="str">
        <f>IF(B377="","",IF(G377&gt;0,"OUTSTANDING",IF(G377=0,"SETTLED",IF(SUMIF(Transactions!$F$8:$F$3006,B377,Transactions!$Q$8:$Q$3006)&gt;SUMIF(Transactions!$F$8:$F$3006,B377,Transactions!$R$8:$R$3006),"OWES","OVERPAID"))))</f>
        <v/>
      </c>
      <c r="I377" s="1"/>
    </row>
    <row r="378" spans="1:9" ht="18" customHeight="1" x14ac:dyDescent="0.25">
      <c r="A378" s="40">
        <v>363</v>
      </c>
      <c r="B378" s="41" t="str">
        <f t="array" ref="B378">IFERROR(IF(INDEX(Transactions!$F$8:$F$3006,MATCH(0,COUNTIF($B$11:B377,Transactions!$F$8:$F$3006),0))="","",INDEX(Transactions!$F$8:$F$3006,MATCH(0,COUNTIF($B$11:B377,Transactions!$F$8:$F$3006),0))),"")</f>
        <v/>
      </c>
      <c r="C378" s="42" t="str">
        <f>IF(B378="","",SUMIF(Transactions!$F$8:$F$3006,B378,Transactions!$H$8:$H$3006))</f>
        <v/>
      </c>
      <c r="D378" s="43" t="str">
        <f>IF(B378="","",SUMIF(Transactions!$F$8:$F$3006,B378,Transactions!$N$8:$N$3006))</f>
        <v/>
      </c>
      <c r="E378" s="44" t="str">
        <f>IF(B378="","",SUMIF(Transactions!$F$8:$F$3006,B378,Transactions!$O$8:$O$3006))</f>
        <v/>
      </c>
      <c r="F378" s="45" t="str">
        <f>IF(B378="","",SUMIF(Transactions!$F$8:$F$3006,B378,Transactions!$R$8:$R$3006))</f>
        <v/>
      </c>
      <c r="G378" s="46" t="str">
        <f>IF(B378="","",(C378+F378)-(D378+E378+SUMIF(Transactions!$F$8:$F$3006,B378,Transactions!$Q$8:$Q$3006)))</f>
        <v/>
      </c>
      <c r="H378" s="47" t="str">
        <f>IF(B378="","",IF(G378&gt;0,"OUTSTANDING",IF(G378=0,"SETTLED",IF(SUMIF(Transactions!$F$8:$F$3006,B378,Transactions!$Q$8:$Q$3006)&gt;SUMIF(Transactions!$F$8:$F$3006,B378,Transactions!$R$8:$R$3006),"OWES","OVERPAID"))))</f>
        <v/>
      </c>
      <c r="I378" s="1"/>
    </row>
    <row r="379" spans="1:9" ht="18" customHeight="1" x14ac:dyDescent="0.25">
      <c r="A379" s="48">
        <v>364</v>
      </c>
      <c r="B379" s="49" t="str">
        <f t="array" ref="B379">IFERROR(IF(INDEX(Transactions!$F$8:$F$3006,MATCH(0,COUNTIF($B$11:B378,Transactions!$F$8:$F$3006),0))="","",INDEX(Transactions!$F$8:$F$3006,MATCH(0,COUNTIF($B$11:B378,Transactions!$F$8:$F$3006),0))),"")</f>
        <v/>
      </c>
      <c r="C379" s="50" t="str">
        <f>IF(B379="","",SUMIF(Transactions!$F$8:$F$3006,B379,Transactions!$H$8:$H$3006))</f>
        <v/>
      </c>
      <c r="D379" s="51" t="str">
        <f>IF(B379="","",SUMIF(Transactions!$F$8:$F$3006,B379,Transactions!$N$8:$N$3006))</f>
        <v/>
      </c>
      <c r="E379" s="52" t="str">
        <f>IF(B379="","",SUMIF(Transactions!$F$8:$F$3006,B379,Transactions!$O$8:$O$3006))</f>
        <v/>
      </c>
      <c r="F379" s="53" t="str">
        <f>IF(B379="","",SUMIF(Transactions!$F$8:$F$3006,B379,Transactions!$R$8:$R$3006))</f>
        <v/>
      </c>
      <c r="G379" s="54" t="str">
        <f>IF(B379="","",(C379+F379)-(D379+E379+SUMIF(Transactions!$F$8:$F$3006,B379,Transactions!$Q$8:$Q$3006)))</f>
        <v/>
      </c>
      <c r="H379" s="55" t="str">
        <f>IF(B379="","",IF(G379&gt;0,"OUTSTANDING",IF(G379=0,"SETTLED",IF(SUMIF(Transactions!$F$8:$F$3006,B379,Transactions!$Q$8:$Q$3006)&gt;SUMIF(Transactions!$F$8:$F$3006,B379,Transactions!$R$8:$R$3006),"OWES","OVERPAID"))))</f>
        <v/>
      </c>
      <c r="I379" s="1"/>
    </row>
    <row r="380" spans="1:9" ht="18" customHeight="1" x14ac:dyDescent="0.25">
      <c r="A380" s="40">
        <v>365</v>
      </c>
      <c r="B380" s="41" t="str">
        <f t="array" ref="B380">IFERROR(IF(INDEX(Transactions!$F$8:$F$3006,MATCH(0,COUNTIF($B$11:B379,Transactions!$F$8:$F$3006),0))="","",INDEX(Transactions!$F$8:$F$3006,MATCH(0,COUNTIF($B$11:B379,Transactions!$F$8:$F$3006),0))),"")</f>
        <v/>
      </c>
      <c r="C380" s="42" t="str">
        <f>IF(B380="","",SUMIF(Transactions!$F$8:$F$3006,B380,Transactions!$H$8:$H$3006))</f>
        <v/>
      </c>
      <c r="D380" s="43" t="str">
        <f>IF(B380="","",SUMIF(Transactions!$F$8:$F$3006,B380,Transactions!$N$8:$N$3006))</f>
        <v/>
      </c>
      <c r="E380" s="44" t="str">
        <f>IF(B380="","",SUMIF(Transactions!$F$8:$F$3006,B380,Transactions!$O$8:$O$3006))</f>
        <v/>
      </c>
      <c r="F380" s="45" t="str">
        <f>IF(B380="","",SUMIF(Transactions!$F$8:$F$3006,B380,Transactions!$R$8:$R$3006))</f>
        <v/>
      </c>
      <c r="G380" s="46" t="str">
        <f>IF(B380="","",(C380+F380)-(D380+E380+SUMIF(Transactions!$F$8:$F$3006,B380,Transactions!$Q$8:$Q$3006)))</f>
        <v/>
      </c>
      <c r="H380" s="47" t="str">
        <f>IF(B380="","",IF(G380&gt;0,"OUTSTANDING",IF(G380=0,"SETTLED",IF(SUMIF(Transactions!$F$8:$F$3006,B380,Transactions!$Q$8:$Q$3006)&gt;SUMIF(Transactions!$F$8:$F$3006,B380,Transactions!$R$8:$R$3006),"OWES","OVERPAID"))))</f>
        <v/>
      </c>
      <c r="I380" s="1"/>
    </row>
    <row r="381" spans="1:9" ht="18" customHeight="1" x14ac:dyDescent="0.25">
      <c r="A381" s="48">
        <v>366</v>
      </c>
      <c r="B381" s="49" t="str">
        <f t="array" ref="B381">IFERROR(IF(INDEX(Transactions!$F$8:$F$3006,MATCH(0,COUNTIF($B$11:B380,Transactions!$F$8:$F$3006),0))="","",INDEX(Transactions!$F$8:$F$3006,MATCH(0,COUNTIF($B$11:B380,Transactions!$F$8:$F$3006),0))),"")</f>
        <v/>
      </c>
      <c r="C381" s="50" t="str">
        <f>IF(B381="","",SUMIF(Transactions!$F$8:$F$3006,B381,Transactions!$H$8:$H$3006))</f>
        <v/>
      </c>
      <c r="D381" s="51" t="str">
        <f>IF(B381="","",SUMIF(Transactions!$F$8:$F$3006,B381,Transactions!$N$8:$N$3006))</f>
        <v/>
      </c>
      <c r="E381" s="52" t="str">
        <f>IF(B381="","",SUMIF(Transactions!$F$8:$F$3006,B381,Transactions!$O$8:$O$3006))</f>
        <v/>
      </c>
      <c r="F381" s="53" t="str">
        <f>IF(B381="","",SUMIF(Transactions!$F$8:$F$3006,B381,Transactions!$R$8:$R$3006))</f>
        <v/>
      </c>
      <c r="G381" s="54" t="str">
        <f>IF(B381="","",(C381+F381)-(D381+E381+SUMIF(Transactions!$F$8:$F$3006,B381,Transactions!$Q$8:$Q$3006)))</f>
        <v/>
      </c>
      <c r="H381" s="55" t="str">
        <f>IF(B381="","",IF(G381&gt;0,"OUTSTANDING",IF(G381=0,"SETTLED",IF(SUMIF(Transactions!$F$8:$F$3006,B381,Transactions!$Q$8:$Q$3006)&gt;SUMIF(Transactions!$F$8:$F$3006,B381,Transactions!$R$8:$R$3006),"OWES","OVERPAID"))))</f>
        <v/>
      </c>
      <c r="I381" s="1"/>
    </row>
    <row r="382" spans="1:9" ht="18" customHeight="1" x14ac:dyDescent="0.25">
      <c r="A382" s="40">
        <v>367</v>
      </c>
      <c r="B382" s="41" t="str">
        <f t="array" ref="B382">IFERROR(IF(INDEX(Transactions!$F$8:$F$3006,MATCH(0,COUNTIF($B$11:B381,Transactions!$F$8:$F$3006),0))="","",INDEX(Transactions!$F$8:$F$3006,MATCH(0,COUNTIF($B$11:B381,Transactions!$F$8:$F$3006),0))),"")</f>
        <v/>
      </c>
      <c r="C382" s="42" t="str">
        <f>IF(B382="","",SUMIF(Transactions!$F$8:$F$3006,B382,Transactions!$H$8:$H$3006))</f>
        <v/>
      </c>
      <c r="D382" s="43" t="str">
        <f>IF(B382="","",SUMIF(Transactions!$F$8:$F$3006,B382,Transactions!$N$8:$N$3006))</f>
        <v/>
      </c>
      <c r="E382" s="44" t="str">
        <f>IF(B382="","",SUMIF(Transactions!$F$8:$F$3006,B382,Transactions!$O$8:$O$3006))</f>
        <v/>
      </c>
      <c r="F382" s="45" t="str">
        <f>IF(B382="","",SUMIF(Transactions!$F$8:$F$3006,B382,Transactions!$R$8:$R$3006))</f>
        <v/>
      </c>
      <c r="G382" s="46" t="str">
        <f>IF(B382="","",(C382+F382)-(D382+E382+SUMIF(Transactions!$F$8:$F$3006,B382,Transactions!$Q$8:$Q$3006)))</f>
        <v/>
      </c>
      <c r="H382" s="47" t="str">
        <f>IF(B382="","",IF(G382&gt;0,"OUTSTANDING",IF(G382=0,"SETTLED",IF(SUMIF(Transactions!$F$8:$F$3006,B382,Transactions!$Q$8:$Q$3006)&gt;SUMIF(Transactions!$F$8:$F$3006,B382,Transactions!$R$8:$R$3006),"OWES","OVERPAID"))))</f>
        <v/>
      </c>
      <c r="I382" s="1"/>
    </row>
    <row r="383" spans="1:9" ht="18" customHeight="1" x14ac:dyDescent="0.25">
      <c r="A383" s="48">
        <v>368</v>
      </c>
      <c r="B383" s="49" t="str">
        <f t="array" ref="B383">IFERROR(IF(INDEX(Transactions!$F$8:$F$3006,MATCH(0,COUNTIF($B$11:B382,Transactions!$F$8:$F$3006),0))="","",INDEX(Transactions!$F$8:$F$3006,MATCH(0,COUNTIF($B$11:B382,Transactions!$F$8:$F$3006),0))),"")</f>
        <v/>
      </c>
      <c r="C383" s="50" t="str">
        <f>IF(B383="","",SUMIF(Transactions!$F$8:$F$3006,B383,Transactions!$H$8:$H$3006))</f>
        <v/>
      </c>
      <c r="D383" s="51" t="str">
        <f>IF(B383="","",SUMIF(Transactions!$F$8:$F$3006,B383,Transactions!$N$8:$N$3006))</f>
        <v/>
      </c>
      <c r="E383" s="52" t="str">
        <f>IF(B383="","",SUMIF(Transactions!$F$8:$F$3006,B383,Transactions!$O$8:$O$3006))</f>
        <v/>
      </c>
      <c r="F383" s="53" t="str">
        <f>IF(B383="","",SUMIF(Transactions!$F$8:$F$3006,B383,Transactions!$R$8:$R$3006))</f>
        <v/>
      </c>
      <c r="G383" s="54" t="str">
        <f>IF(B383="","",(C383+F383)-(D383+E383+SUMIF(Transactions!$F$8:$F$3006,B383,Transactions!$Q$8:$Q$3006)))</f>
        <v/>
      </c>
      <c r="H383" s="55" t="str">
        <f>IF(B383="","",IF(G383&gt;0,"OUTSTANDING",IF(G383=0,"SETTLED",IF(SUMIF(Transactions!$F$8:$F$3006,B383,Transactions!$Q$8:$Q$3006)&gt;SUMIF(Transactions!$F$8:$F$3006,B383,Transactions!$R$8:$R$3006),"OWES","OVERPAID"))))</f>
        <v/>
      </c>
      <c r="I383" s="1"/>
    </row>
    <row r="384" spans="1:9" ht="18" customHeight="1" x14ac:dyDescent="0.25">
      <c r="A384" s="40">
        <v>369</v>
      </c>
      <c r="B384" s="41" t="str">
        <f t="array" ref="B384">IFERROR(IF(INDEX(Transactions!$F$8:$F$3006,MATCH(0,COUNTIF($B$11:B383,Transactions!$F$8:$F$3006),0))="","",INDEX(Transactions!$F$8:$F$3006,MATCH(0,COUNTIF($B$11:B383,Transactions!$F$8:$F$3006),0))),"")</f>
        <v/>
      </c>
      <c r="C384" s="42" t="str">
        <f>IF(B384="","",SUMIF(Transactions!$F$8:$F$3006,B384,Transactions!$H$8:$H$3006))</f>
        <v/>
      </c>
      <c r="D384" s="43" t="str">
        <f>IF(B384="","",SUMIF(Transactions!$F$8:$F$3006,B384,Transactions!$N$8:$N$3006))</f>
        <v/>
      </c>
      <c r="E384" s="44" t="str">
        <f>IF(B384="","",SUMIF(Transactions!$F$8:$F$3006,B384,Transactions!$O$8:$O$3006))</f>
        <v/>
      </c>
      <c r="F384" s="45" t="str">
        <f>IF(B384="","",SUMIF(Transactions!$F$8:$F$3006,B384,Transactions!$R$8:$R$3006))</f>
        <v/>
      </c>
      <c r="G384" s="46" t="str">
        <f>IF(B384="","",(C384+F384)-(D384+E384+SUMIF(Transactions!$F$8:$F$3006,B384,Transactions!$Q$8:$Q$3006)))</f>
        <v/>
      </c>
      <c r="H384" s="47" t="str">
        <f>IF(B384="","",IF(G384&gt;0,"OUTSTANDING",IF(G384=0,"SETTLED",IF(SUMIF(Transactions!$F$8:$F$3006,B384,Transactions!$Q$8:$Q$3006)&gt;SUMIF(Transactions!$F$8:$F$3006,B384,Transactions!$R$8:$R$3006),"OWES","OVERPAID"))))</f>
        <v/>
      </c>
      <c r="I384" s="1"/>
    </row>
    <row r="385" spans="1:9" ht="18" customHeight="1" x14ac:dyDescent="0.25">
      <c r="A385" s="48">
        <v>370</v>
      </c>
      <c r="B385" s="49" t="str">
        <f t="array" ref="B385">IFERROR(IF(INDEX(Transactions!$F$8:$F$3006,MATCH(0,COUNTIF($B$11:B384,Transactions!$F$8:$F$3006),0))="","",INDEX(Transactions!$F$8:$F$3006,MATCH(0,COUNTIF($B$11:B384,Transactions!$F$8:$F$3006),0))),"")</f>
        <v/>
      </c>
      <c r="C385" s="50" t="str">
        <f>IF(B385="","",SUMIF(Transactions!$F$8:$F$3006,B385,Transactions!$H$8:$H$3006))</f>
        <v/>
      </c>
      <c r="D385" s="51" t="str">
        <f>IF(B385="","",SUMIF(Transactions!$F$8:$F$3006,B385,Transactions!$N$8:$N$3006))</f>
        <v/>
      </c>
      <c r="E385" s="52" t="str">
        <f>IF(B385="","",SUMIF(Transactions!$F$8:$F$3006,B385,Transactions!$O$8:$O$3006))</f>
        <v/>
      </c>
      <c r="F385" s="53" t="str">
        <f>IF(B385="","",SUMIF(Transactions!$F$8:$F$3006,B385,Transactions!$R$8:$R$3006))</f>
        <v/>
      </c>
      <c r="G385" s="54" t="str">
        <f>IF(B385="","",(C385+F385)-(D385+E385+SUMIF(Transactions!$F$8:$F$3006,B385,Transactions!$Q$8:$Q$3006)))</f>
        <v/>
      </c>
      <c r="H385" s="55" t="str">
        <f>IF(B385="","",IF(G385&gt;0,"OUTSTANDING",IF(G385=0,"SETTLED",IF(SUMIF(Transactions!$F$8:$F$3006,B385,Transactions!$Q$8:$Q$3006)&gt;SUMIF(Transactions!$F$8:$F$3006,B385,Transactions!$R$8:$R$3006),"OWES","OVERPAID"))))</f>
        <v/>
      </c>
      <c r="I385" s="1"/>
    </row>
    <row r="386" spans="1:9" ht="18" customHeight="1" x14ac:dyDescent="0.25">
      <c r="A386" s="40">
        <v>371</v>
      </c>
      <c r="B386" s="41" t="str">
        <f t="array" ref="B386">IFERROR(IF(INDEX(Transactions!$F$8:$F$3006,MATCH(0,COUNTIF($B$11:B385,Transactions!$F$8:$F$3006),0))="","",INDEX(Transactions!$F$8:$F$3006,MATCH(0,COUNTIF($B$11:B385,Transactions!$F$8:$F$3006),0))),"")</f>
        <v/>
      </c>
      <c r="C386" s="42" t="str">
        <f>IF(B386="","",SUMIF(Transactions!$F$8:$F$3006,B386,Transactions!$H$8:$H$3006))</f>
        <v/>
      </c>
      <c r="D386" s="43" t="str">
        <f>IF(B386="","",SUMIF(Transactions!$F$8:$F$3006,B386,Transactions!$N$8:$N$3006))</f>
        <v/>
      </c>
      <c r="E386" s="44" t="str">
        <f>IF(B386="","",SUMIF(Transactions!$F$8:$F$3006,B386,Transactions!$O$8:$O$3006))</f>
        <v/>
      </c>
      <c r="F386" s="45" t="str">
        <f>IF(B386="","",SUMIF(Transactions!$F$8:$F$3006,B386,Transactions!$R$8:$R$3006))</f>
        <v/>
      </c>
      <c r="G386" s="46" t="str">
        <f>IF(B386="","",(C386+F386)-(D386+E386+SUMIF(Transactions!$F$8:$F$3006,B386,Transactions!$Q$8:$Q$3006)))</f>
        <v/>
      </c>
      <c r="H386" s="47" t="str">
        <f>IF(B386="","",IF(G386&gt;0,"OUTSTANDING",IF(G386=0,"SETTLED",IF(SUMIF(Transactions!$F$8:$F$3006,B386,Transactions!$Q$8:$Q$3006)&gt;SUMIF(Transactions!$F$8:$F$3006,B386,Transactions!$R$8:$R$3006),"OWES","OVERPAID"))))</f>
        <v/>
      </c>
      <c r="I386" s="1"/>
    </row>
    <row r="387" spans="1:9" ht="18" customHeight="1" x14ac:dyDescent="0.25">
      <c r="A387" s="48">
        <v>372</v>
      </c>
      <c r="B387" s="49" t="str">
        <f t="array" ref="B387">IFERROR(IF(INDEX(Transactions!$F$8:$F$3006,MATCH(0,COUNTIF($B$11:B386,Transactions!$F$8:$F$3006),0))="","",INDEX(Transactions!$F$8:$F$3006,MATCH(0,COUNTIF($B$11:B386,Transactions!$F$8:$F$3006),0))),"")</f>
        <v/>
      </c>
      <c r="C387" s="50" t="str">
        <f>IF(B387="","",SUMIF(Transactions!$F$8:$F$3006,B387,Transactions!$H$8:$H$3006))</f>
        <v/>
      </c>
      <c r="D387" s="51" t="str">
        <f>IF(B387="","",SUMIF(Transactions!$F$8:$F$3006,B387,Transactions!$N$8:$N$3006))</f>
        <v/>
      </c>
      <c r="E387" s="52" t="str">
        <f>IF(B387="","",SUMIF(Transactions!$F$8:$F$3006,B387,Transactions!$O$8:$O$3006))</f>
        <v/>
      </c>
      <c r="F387" s="53" t="str">
        <f>IF(B387="","",SUMIF(Transactions!$F$8:$F$3006,B387,Transactions!$R$8:$R$3006))</f>
        <v/>
      </c>
      <c r="G387" s="54" t="str">
        <f>IF(B387="","",(C387+F387)-(D387+E387+SUMIF(Transactions!$F$8:$F$3006,B387,Transactions!$Q$8:$Q$3006)))</f>
        <v/>
      </c>
      <c r="H387" s="55" t="str">
        <f>IF(B387="","",IF(G387&gt;0,"OUTSTANDING",IF(G387=0,"SETTLED",IF(SUMIF(Transactions!$F$8:$F$3006,B387,Transactions!$Q$8:$Q$3006)&gt;SUMIF(Transactions!$F$8:$F$3006,B387,Transactions!$R$8:$R$3006),"OWES","OVERPAID"))))</f>
        <v/>
      </c>
      <c r="I387" s="1"/>
    </row>
    <row r="388" spans="1:9" ht="18" customHeight="1" x14ac:dyDescent="0.25">
      <c r="A388" s="40">
        <v>373</v>
      </c>
      <c r="B388" s="41" t="str">
        <f t="array" ref="B388">IFERROR(IF(INDEX(Transactions!$F$8:$F$3006,MATCH(0,COUNTIF($B$11:B387,Transactions!$F$8:$F$3006),0))="","",INDEX(Transactions!$F$8:$F$3006,MATCH(0,COUNTIF($B$11:B387,Transactions!$F$8:$F$3006),0))),"")</f>
        <v/>
      </c>
      <c r="C388" s="42" t="str">
        <f>IF(B388="","",SUMIF(Transactions!$F$8:$F$3006,B388,Transactions!$H$8:$H$3006))</f>
        <v/>
      </c>
      <c r="D388" s="43" t="str">
        <f>IF(B388="","",SUMIF(Transactions!$F$8:$F$3006,B388,Transactions!$N$8:$N$3006))</f>
        <v/>
      </c>
      <c r="E388" s="44" t="str">
        <f>IF(B388="","",SUMIF(Transactions!$F$8:$F$3006,B388,Transactions!$O$8:$O$3006))</f>
        <v/>
      </c>
      <c r="F388" s="45" t="str">
        <f>IF(B388="","",SUMIF(Transactions!$F$8:$F$3006,B388,Transactions!$R$8:$R$3006))</f>
        <v/>
      </c>
      <c r="G388" s="46" t="str">
        <f>IF(B388="","",(C388+F388)-(D388+E388+SUMIF(Transactions!$F$8:$F$3006,B388,Transactions!$Q$8:$Q$3006)))</f>
        <v/>
      </c>
      <c r="H388" s="47" t="str">
        <f>IF(B388="","",IF(G388&gt;0,"OUTSTANDING",IF(G388=0,"SETTLED",IF(SUMIF(Transactions!$F$8:$F$3006,B388,Transactions!$Q$8:$Q$3006)&gt;SUMIF(Transactions!$F$8:$F$3006,B388,Transactions!$R$8:$R$3006),"OWES","OVERPAID"))))</f>
        <v/>
      </c>
      <c r="I388" s="1"/>
    </row>
    <row r="389" spans="1:9" ht="18" customHeight="1" x14ac:dyDescent="0.25">
      <c r="A389" s="48">
        <v>374</v>
      </c>
      <c r="B389" s="49" t="str">
        <f t="array" ref="B389">IFERROR(IF(INDEX(Transactions!$F$8:$F$3006,MATCH(0,COUNTIF($B$11:B388,Transactions!$F$8:$F$3006),0))="","",INDEX(Transactions!$F$8:$F$3006,MATCH(0,COUNTIF($B$11:B388,Transactions!$F$8:$F$3006),0))),"")</f>
        <v/>
      </c>
      <c r="C389" s="50" t="str">
        <f>IF(B389="","",SUMIF(Transactions!$F$8:$F$3006,B389,Transactions!$H$8:$H$3006))</f>
        <v/>
      </c>
      <c r="D389" s="51" t="str">
        <f>IF(B389="","",SUMIF(Transactions!$F$8:$F$3006,B389,Transactions!$N$8:$N$3006))</f>
        <v/>
      </c>
      <c r="E389" s="52" t="str">
        <f>IF(B389="","",SUMIF(Transactions!$F$8:$F$3006,B389,Transactions!$O$8:$O$3006))</f>
        <v/>
      </c>
      <c r="F389" s="53" t="str">
        <f>IF(B389="","",SUMIF(Transactions!$F$8:$F$3006,B389,Transactions!$R$8:$R$3006))</f>
        <v/>
      </c>
      <c r="G389" s="54" t="str">
        <f>IF(B389="","",(C389+F389)-(D389+E389+SUMIF(Transactions!$F$8:$F$3006,B389,Transactions!$Q$8:$Q$3006)))</f>
        <v/>
      </c>
      <c r="H389" s="55" t="str">
        <f>IF(B389="","",IF(G389&gt;0,"OUTSTANDING",IF(G389=0,"SETTLED",IF(SUMIF(Transactions!$F$8:$F$3006,B389,Transactions!$Q$8:$Q$3006)&gt;SUMIF(Transactions!$F$8:$F$3006,B389,Transactions!$R$8:$R$3006),"OWES","OVERPAID"))))</f>
        <v/>
      </c>
      <c r="I389" s="1"/>
    </row>
    <row r="390" spans="1:9" ht="18" customHeight="1" x14ac:dyDescent="0.25">
      <c r="A390" s="40">
        <v>375</v>
      </c>
      <c r="B390" s="41" t="str">
        <f t="array" ref="B390">IFERROR(IF(INDEX(Transactions!$F$8:$F$3006,MATCH(0,COUNTIF($B$11:B389,Transactions!$F$8:$F$3006),0))="","",INDEX(Transactions!$F$8:$F$3006,MATCH(0,COUNTIF($B$11:B389,Transactions!$F$8:$F$3006),0))),"")</f>
        <v/>
      </c>
      <c r="C390" s="42" t="str">
        <f>IF(B390="","",SUMIF(Transactions!$F$8:$F$3006,B390,Transactions!$H$8:$H$3006))</f>
        <v/>
      </c>
      <c r="D390" s="43" t="str">
        <f>IF(B390="","",SUMIF(Transactions!$F$8:$F$3006,B390,Transactions!$N$8:$N$3006))</f>
        <v/>
      </c>
      <c r="E390" s="44" t="str">
        <f>IF(B390="","",SUMIF(Transactions!$F$8:$F$3006,B390,Transactions!$O$8:$O$3006))</f>
        <v/>
      </c>
      <c r="F390" s="45" t="str">
        <f>IF(B390="","",SUMIF(Transactions!$F$8:$F$3006,B390,Transactions!$R$8:$R$3006))</f>
        <v/>
      </c>
      <c r="G390" s="46" t="str">
        <f>IF(B390="","",(C390+F390)-(D390+E390+SUMIF(Transactions!$F$8:$F$3006,B390,Transactions!$Q$8:$Q$3006)))</f>
        <v/>
      </c>
      <c r="H390" s="47" t="str">
        <f>IF(B390="","",IF(G390&gt;0,"OUTSTANDING",IF(G390=0,"SETTLED",IF(SUMIF(Transactions!$F$8:$F$3006,B390,Transactions!$Q$8:$Q$3006)&gt;SUMIF(Transactions!$F$8:$F$3006,B390,Transactions!$R$8:$R$3006),"OWES","OVERPAID"))))</f>
        <v/>
      </c>
      <c r="I390" s="1"/>
    </row>
    <row r="391" spans="1:9" ht="18" customHeight="1" x14ac:dyDescent="0.25">
      <c r="A391" s="48">
        <v>376</v>
      </c>
      <c r="B391" s="49" t="str">
        <f t="array" ref="B391">IFERROR(IF(INDEX(Transactions!$F$8:$F$3006,MATCH(0,COUNTIF($B$11:B390,Transactions!$F$8:$F$3006),0))="","",INDEX(Transactions!$F$8:$F$3006,MATCH(0,COUNTIF($B$11:B390,Transactions!$F$8:$F$3006),0))),"")</f>
        <v/>
      </c>
      <c r="C391" s="50" t="str">
        <f>IF(B391="","",SUMIF(Transactions!$F$8:$F$3006,B391,Transactions!$H$8:$H$3006))</f>
        <v/>
      </c>
      <c r="D391" s="51" t="str">
        <f>IF(B391="","",SUMIF(Transactions!$F$8:$F$3006,B391,Transactions!$N$8:$N$3006))</f>
        <v/>
      </c>
      <c r="E391" s="52" t="str">
        <f>IF(B391="","",SUMIF(Transactions!$F$8:$F$3006,B391,Transactions!$O$8:$O$3006))</f>
        <v/>
      </c>
      <c r="F391" s="53" t="str">
        <f>IF(B391="","",SUMIF(Transactions!$F$8:$F$3006,B391,Transactions!$R$8:$R$3006))</f>
        <v/>
      </c>
      <c r="G391" s="54" t="str">
        <f>IF(B391="","",(C391+F391)-(D391+E391+SUMIF(Transactions!$F$8:$F$3006,B391,Transactions!$Q$8:$Q$3006)))</f>
        <v/>
      </c>
      <c r="H391" s="55" t="str">
        <f>IF(B391="","",IF(G391&gt;0,"OUTSTANDING",IF(G391=0,"SETTLED",IF(SUMIF(Transactions!$F$8:$F$3006,B391,Transactions!$Q$8:$Q$3006)&gt;SUMIF(Transactions!$F$8:$F$3006,B391,Transactions!$R$8:$R$3006),"OWES","OVERPAID"))))</f>
        <v/>
      </c>
      <c r="I391" s="1"/>
    </row>
    <row r="392" spans="1:9" ht="18" customHeight="1" x14ac:dyDescent="0.25">
      <c r="A392" s="40">
        <v>377</v>
      </c>
      <c r="B392" s="41" t="str">
        <f t="array" ref="B392">IFERROR(IF(INDEX(Transactions!$F$8:$F$3006,MATCH(0,COUNTIF($B$11:B391,Transactions!$F$8:$F$3006),0))="","",INDEX(Transactions!$F$8:$F$3006,MATCH(0,COUNTIF($B$11:B391,Transactions!$F$8:$F$3006),0))),"")</f>
        <v/>
      </c>
      <c r="C392" s="42" t="str">
        <f>IF(B392="","",SUMIF(Transactions!$F$8:$F$3006,B392,Transactions!$H$8:$H$3006))</f>
        <v/>
      </c>
      <c r="D392" s="43" t="str">
        <f>IF(B392="","",SUMIF(Transactions!$F$8:$F$3006,B392,Transactions!$N$8:$N$3006))</f>
        <v/>
      </c>
      <c r="E392" s="44" t="str">
        <f>IF(B392="","",SUMIF(Transactions!$F$8:$F$3006,B392,Transactions!$O$8:$O$3006))</f>
        <v/>
      </c>
      <c r="F392" s="45" t="str">
        <f>IF(B392="","",SUMIF(Transactions!$F$8:$F$3006,B392,Transactions!$R$8:$R$3006))</f>
        <v/>
      </c>
      <c r="G392" s="46" t="str">
        <f>IF(B392="","",(C392+F392)-(D392+E392+SUMIF(Transactions!$F$8:$F$3006,B392,Transactions!$Q$8:$Q$3006)))</f>
        <v/>
      </c>
      <c r="H392" s="47" t="str">
        <f>IF(B392="","",IF(G392&gt;0,"OUTSTANDING",IF(G392=0,"SETTLED",IF(SUMIF(Transactions!$F$8:$F$3006,B392,Transactions!$Q$8:$Q$3006)&gt;SUMIF(Transactions!$F$8:$F$3006,B392,Transactions!$R$8:$R$3006),"OWES","OVERPAID"))))</f>
        <v/>
      </c>
      <c r="I392" s="1"/>
    </row>
    <row r="393" spans="1:9" ht="18" customHeight="1" x14ac:dyDescent="0.25">
      <c r="A393" s="48">
        <v>378</v>
      </c>
      <c r="B393" s="49" t="str">
        <f t="array" ref="B393">IFERROR(IF(INDEX(Transactions!$F$8:$F$3006,MATCH(0,COUNTIF($B$11:B392,Transactions!$F$8:$F$3006),0))="","",INDEX(Transactions!$F$8:$F$3006,MATCH(0,COUNTIF($B$11:B392,Transactions!$F$8:$F$3006),0))),"")</f>
        <v/>
      </c>
      <c r="C393" s="50" t="str">
        <f>IF(B393="","",SUMIF(Transactions!$F$8:$F$3006,B393,Transactions!$H$8:$H$3006))</f>
        <v/>
      </c>
      <c r="D393" s="51" t="str">
        <f>IF(B393="","",SUMIF(Transactions!$F$8:$F$3006,B393,Transactions!$N$8:$N$3006))</f>
        <v/>
      </c>
      <c r="E393" s="52" t="str">
        <f>IF(B393="","",SUMIF(Transactions!$F$8:$F$3006,B393,Transactions!$O$8:$O$3006))</f>
        <v/>
      </c>
      <c r="F393" s="53" t="str">
        <f>IF(B393="","",SUMIF(Transactions!$F$8:$F$3006,B393,Transactions!$R$8:$R$3006))</f>
        <v/>
      </c>
      <c r="G393" s="54" t="str">
        <f>IF(B393="","",(C393+F393)-(D393+E393+SUMIF(Transactions!$F$8:$F$3006,B393,Transactions!$Q$8:$Q$3006)))</f>
        <v/>
      </c>
      <c r="H393" s="55" t="str">
        <f>IF(B393="","",IF(G393&gt;0,"OUTSTANDING",IF(G393=0,"SETTLED",IF(SUMIF(Transactions!$F$8:$F$3006,B393,Transactions!$Q$8:$Q$3006)&gt;SUMIF(Transactions!$F$8:$F$3006,B393,Transactions!$R$8:$R$3006),"OWES","OVERPAID"))))</f>
        <v/>
      </c>
      <c r="I393" s="1"/>
    </row>
    <row r="394" spans="1:9" ht="18" customHeight="1" x14ac:dyDescent="0.25">
      <c r="A394" s="40">
        <v>379</v>
      </c>
      <c r="B394" s="41" t="str">
        <f t="array" ref="B394">IFERROR(IF(INDEX(Transactions!$F$8:$F$3006,MATCH(0,COUNTIF($B$11:B393,Transactions!$F$8:$F$3006),0))="","",INDEX(Transactions!$F$8:$F$3006,MATCH(0,COUNTIF($B$11:B393,Transactions!$F$8:$F$3006),0))),"")</f>
        <v/>
      </c>
      <c r="C394" s="42" t="str">
        <f>IF(B394="","",SUMIF(Transactions!$F$8:$F$3006,B394,Transactions!$H$8:$H$3006))</f>
        <v/>
      </c>
      <c r="D394" s="43" t="str">
        <f>IF(B394="","",SUMIF(Transactions!$F$8:$F$3006,B394,Transactions!$N$8:$N$3006))</f>
        <v/>
      </c>
      <c r="E394" s="44" t="str">
        <f>IF(B394="","",SUMIF(Transactions!$F$8:$F$3006,B394,Transactions!$O$8:$O$3006))</f>
        <v/>
      </c>
      <c r="F394" s="45" t="str">
        <f>IF(B394="","",SUMIF(Transactions!$F$8:$F$3006,B394,Transactions!$R$8:$R$3006))</f>
        <v/>
      </c>
      <c r="G394" s="46" t="str">
        <f>IF(B394="","",(C394+F394)-(D394+E394+SUMIF(Transactions!$F$8:$F$3006,B394,Transactions!$Q$8:$Q$3006)))</f>
        <v/>
      </c>
      <c r="H394" s="47" t="str">
        <f>IF(B394="","",IF(G394&gt;0,"OUTSTANDING",IF(G394=0,"SETTLED",IF(SUMIF(Transactions!$F$8:$F$3006,B394,Transactions!$Q$8:$Q$3006)&gt;SUMIF(Transactions!$F$8:$F$3006,B394,Transactions!$R$8:$R$3006),"OWES","OVERPAID"))))</f>
        <v/>
      </c>
      <c r="I394" s="1"/>
    </row>
    <row r="395" spans="1:9" ht="18" customHeight="1" x14ac:dyDescent="0.25">
      <c r="A395" s="48">
        <v>380</v>
      </c>
      <c r="B395" s="49" t="str">
        <f t="array" ref="B395">IFERROR(IF(INDEX(Transactions!$F$8:$F$3006,MATCH(0,COUNTIF($B$11:B394,Transactions!$F$8:$F$3006),0))="","",INDEX(Transactions!$F$8:$F$3006,MATCH(0,COUNTIF($B$11:B394,Transactions!$F$8:$F$3006),0))),"")</f>
        <v/>
      </c>
      <c r="C395" s="50" t="str">
        <f>IF(B395="","",SUMIF(Transactions!$F$8:$F$3006,B395,Transactions!$H$8:$H$3006))</f>
        <v/>
      </c>
      <c r="D395" s="51" t="str">
        <f>IF(B395="","",SUMIF(Transactions!$F$8:$F$3006,B395,Transactions!$N$8:$N$3006))</f>
        <v/>
      </c>
      <c r="E395" s="52" t="str">
        <f>IF(B395="","",SUMIF(Transactions!$F$8:$F$3006,B395,Transactions!$O$8:$O$3006))</f>
        <v/>
      </c>
      <c r="F395" s="53" t="str">
        <f>IF(B395="","",SUMIF(Transactions!$F$8:$F$3006,B395,Transactions!$R$8:$R$3006))</f>
        <v/>
      </c>
      <c r="G395" s="54" t="str">
        <f>IF(B395="","",(C395+F395)-(D395+E395+SUMIF(Transactions!$F$8:$F$3006,B395,Transactions!$Q$8:$Q$3006)))</f>
        <v/>
      </c>
      <c r="H395" s="55" t="str">
        <f>IF(B395="","",IF(G395&gt;0,"OUTSTANDING",IF(G395=0,"SETTLED",IF(SUMIF(Transactions!$F$8:$F$3006,B395,Transactions!$Q$8:$Q$3006)&gt;SUMIF(Transactions!$F$8:$F$3006,B395,Transactions!$R$8:$R$3006),"OWES","OVERPAID"))))</f>
        <v/>
      </c>
      <c r="I395" s="1"/>
    </row>
    <row r="396" spans="1:9" ht="18" customHeight="1" x14ac:dyDescent="0.25">
      <c r="A396" s="40">
        <v>381</v>
      </c>
      <c r="B396" s="41" t="str">
        <f t="array" ref="B396">IFERROR(IF(INDEX(Transactions!$F$8:$F$3006,MATCH(0,COUNTIF($B$11:B395,Transactions!$F$8:$F$3006),0))="","",INDEX(Transactions!$F$8:$F$3006,MATCH(0,COUNTIF($B$11:B395,Transactions!$F$8:$F$3006),0))),"")</f>
        <v/>
      </c>
      <c r="C396" s="42" t="str">
        <f>IF(B396="","",SUMIF(Transactions!$F$8:$F$3006,B396,Transactions!$H$8:$H$3006))</f>
        <v/>
      </c>
      <c r="D396" s="43" t="str">
        <f>IF(B396="","",SUMIF(Transactions!$F$8:$F$3006,B396,Transactions!$N$8:$N$3006))</f>
        <v/>
      </c>
      <c r="E396" s="44" t="str">
        <f>IF(B396="","",SUMIF(Transactions!$F$8:$F$3006,B396,Transactions!$O$8:$O$3006))</f>
        <v/>
      </c>
      <c r="F396" s="45" t="str">
        <f>IF(B396="","",SUMIF(Transactions!$F$8:$F$3006,B396,Transactions!$R$8:$R$3006))</f>
        <v/>
      </c>
      <c r="G396" s="46" t="str">
        <f>IF(B396="","",(C396+F396)-(D396+E396+SUMIF(Transactions!$F$8:$F$3006,B396,Transactions!$Q$8:$Q$3006)))</f>
        <v/>
      </c>
      <c r="H396" s="47" t="str">
        <f>IF(B396="","",IF(G396&gt;0,"OUTSTANDING",IF(G396=0,"SETTLED",IF(SUMIF(Transactions!$F$8:$F$3006,B396,Transactions!$Q$8:$Q$3006)&gt;SUMIF(Transactions!$F$8:$F$3006,B396,Transactions!$R$8:$R$3006),"OWES","OVERPAID"))))</f>
        <v/>
      </c>
      <c r="I396" s="1"/>
    </row>
    <row r="397" spans="1:9" ht="18" customHeight="1" x14ac:dyDescent="0.25">
      <c r="A397" s="48">
        <v>382</v>
      </c>
      <c r="B397" s="49" t="str">
        <f t="array" ref="B397">IFERROR(IF(INDEX(Transactions!$F$8:$F$3006,MATCH(0,COUNTIF($B$11:B396,Transactions!$F$8:$F$3006),0))="","",INDEX(Transactions!$F$8:$F$3006,MATCH(0,COUNTIF($B$11:B396,Transactions!$F$8:$F$3006),0))),"")</f>
        <v/>
      </c>
      <c r="C397" s="50" t="str">
        <f>IF(B397="","",SUMIF(Transactions!$F$8:$F$3006,B397,Transactions!$H$8:$H$3006))</f>
        <v/>
      </c>
      <c r="D397" s="51" t="str">
        <f>IF(B397="","",SUMIF(Transactions!$F$8:$F$3006,B397,Transactions!$N$8:$N$3006))</f>
        <v/>
      </c>
      <c r="E397" s="52" t="str">
        <f>IF(B397="","",SUMIF(Transactions!$F$8:$F$3006,B397,Transactions!$O$8:$O$3006))</f>
        <v/>
      </c>
      <c r="F397" s="53" t="str">
        <f>IF(B397="","",SUMIF(Transactions!$F$8:$F$3006,B397,Transactions!$R$8:$R$3006))</f>
        <v/>
      </c>
      <c r="G397" s="54" t="str">
        <f>IF(B397="","",(C397+F397)-(D397+E397+SUMIF(Transactions!$F$8:$F$3006,B397,Transactions!$Q$8:$Q$3006)))</f>
        <v/>
      </c>
      <c r="H397" s="55" t="str">
        <f>IF(B397="","",IF(G397&gt;0,"OUTSTANDING",IF(G397=0,"SETTLED",IF(SUMIF(Transactions!$F$8:$F$3006,B397,Transactions!$Q$8:$Q$3006)&gt;SUMIF(Transactions!$F$8:$F$3006,B397,Transactions!$R$8:$R$3006),"OWES","OVERPAID"))))</f>
        <v/>
      </c>
      <c r="I397" s="1"/>
    </row>
    <row r="398" spans="1:9" ht="18" customHeight="1" x14ac:dyDescent="0.25">
      <c r="A398" s="40">
        <v>383</v>
      </c>
      <c r="B398" s="41" t="str">
        <f t="array" ref="B398">IFERROR(IF(INDEX(Transactions!$F$8:$F$3006,MATCH(0,COUNTIF($B$11:B397,Transactions!$F$8:$F$3006),0))="","",INDEX(Transactions!$F$8:$F$3006,MATCH(0,COUNTIF($B$11:B397,Transactions!$F$8:$F$3006),0))),"")</f>
        <v/>
      </c>
      <c r="C398" s="42" t="str">
        <f>IF(B398="","",SUMIF(Transactions!$F$8:$F$3006,B398,Transactions!$H$8:$H$3006))</f>
        <v/>
      </c>
      <c r="D398" s="43" t="str">
        <f>IF(B398="","",SUMIF(Transactions!$F$8:$F$3006,B398,Transactions!$N$8:$N$3006))</f>
        <v/>
      </c>
      <c r="E398" s="44" t="str">
        <f>IF(B398="","",SUMIF(Transactions!$F$8:$F$3006,B398,Transactions!$O$8:$O$3006))</f>
        <v/>
      </c>
      <c r="F398" s="45" t="str">
        <f>IF(B398="","",SUMIF(Transactions!$F$8:$F$3006,B398,Transactions!$R$8:$R$3006))</f>
        <v/>
      </c>
      <c r="G398" s="46" t="str">
        <f>IF(B398="","",(C398+F398)-(D398+E398+SUMIF(Transactions!$F$8:$F$3006,B398,Transactions!$Q$8:$Q$3006)))</f>
        <v/>
      </c>
      <c r="H398" s="47" t="str">
        <f>IF(B398="","",IF(G398&gt;0,"OUTSTANDING",IF(G398=0,"SETTLED",IF(SUMIF(Transactions!$F$8:$F$3006,B398,Transactions!$Q$8:$Q$3006)&gt;SUMIF(Transactions!$F$8:$F$3006,B398,Transactions!$R$8:$R$3006),"OWES","OVERPAID"))))</f>
        <v/>
      </c>
      <c r="I398" s="1"/>
    </row>
    <row r="399" spans="1:9" ht="18" customHeight="1" x14ac:dyDescent="0.25">
      <c r="A399" s="48">
        <v>384</v>
      </c>
      <c r="B399" s="49" t="str">
        <f t="array" ref="B399">IFERROR(IF(INDEX(Transactions!$F$8:$F$3006,MATCH(0,COUNTIF($B$11:B398,Transactions!$F$8:$F$3006),0))="","",INDEX(Transactions!$F$8:$F$3006,MATCH(0,COUNTIF($B$11:B398,Transactions!$F$8:$F$3006),0))),"")</f>
        <v/>
      </c>
      <c r="C399" s="50" t="str">
        <f>IF(B399="","",SUMIF(Transactions!$F$8:$F$3006,B399,Transactions!$H$8:$H$3006))</f>
        <v/>
      </c>
      <c r="D399" s="51" t="str">
        <f>IF(B399="","",SUMIF(Transactions!$F$8:$F$3006,B399,Transactions!$N$8:$N$3006))</f>
        <v/>
      </c>
      <c r="E399" s="52" t="str">
        <f>IF(B399="","",SUMIF(Transactions!$F$8:$F$3006,B399,Transactions!$O$8:$O$3006))</f>
        <v/>
      </c>
      <c r="F399" s="53" t="str">
        <f>IF(B399="","",SUMIF(Transactions!$F$8:$F$3006,B399,Transactions!$R$8:$R$3006))</f>
        <v/>
      </c>
      <c r="G399" s="54" t="str">
        <f>IF(B399="","",(C399+F399)-(D399+E399+SUMIF(Transactions!$F$8:$F$3006,B399,Transactions!$Q$8:$Q$3006)))</f>
        <v/>
      </c>
      <c r="H399" s="55" t="str">
        <f>IF(B399="","",IF(G399&gt;0,"OUTSTANDING",IF(G399=0,"SETTLED",IF(SUMIF(Transactions!$F$8:$F$3006,B399,Transactions!$Q$8:$Q$3006)&gt;SUMIF(Transactions!$F$8:$F$3006,B399,Transactions!$R$8:$R$3006),"OWES","OVERPAID"))))</f>
        <v/>
      </c>
      <c r="I399" s="1"/>
    </row>
    <row r="400" spans="1:9" ht="18" customHeight="1" x14ac:dyDescent="0.25">
      <c r="A400" s="40">
        <v>385</v>
      </c>
      <c r="B400" s="41" t="str">
        <f t="array" ref="B400">IFERROR(IF(INDEX(Transactions!$F$8:$F$3006,MATCH(0,COUNTIF($B$11:B399,Transactions!$F$8:$F$3006),0))="","",INDEX(Transactions!$F$8:$F$3006,MATCH(0,COUNTIF($B$11:B399,Transactions!$F$8:$F$3006),0))),"")</f>
        <v/>
      </c>
      <c r="C400" s="42" t="str">
        <f>IF(B400="","",SUMIF(Transactions!$F$8:$F$3006,B400,Transactions!$H$8:$H$3006))</f>
        <v/>
      </c>
      <c r="D400" s="43" t="str">
        <f>IF(B400="","",SUMIF(Transactions!$F$8:$F$3006,B400,Transactions!$N$8:$N$3006))</f>
        <v/>
      </c>
      <c r="E400" s="44" t="str">
        <f>IF(B400="","",SUMIF(Transactions!$F$8:$F$3006,B400,Transactions!$O$8:$O$3006))</f>
        <v/>
      </c>
      <c r="F400" s="45" t="str">
        <f>IF(B400="","",SUMIF(Transactions!$F$8:$F$3006,B400,Transactions!$R$8:$R$3006))</f>
        <v/>
      </c>
      <c r="G400" s="46" t="str">
        <f>IF(B400="","",(C400+F400)-(D400+E400+SUMIF(Transactions!$F$8:$F$3006,B400,Transactions!$Q$8:$Q$3006)))</f>
        <v/>
      </c>
      <c r="H400" s="47" t="str">
        <f>IF(B400="","",IF(G400&gt;0,"OUTSTANDING",IF(G400=0,"SETTLED",IF(SUMIF(Transactions!$F$8:$F$3006,B400,Transactions!$Q$8:$Q$3006)&gt;SUMIF(Transactions!$F$8:$F$3006,B400,Transactions!$R$8:$R$3006),"OWES","OVERPAID"))))</f>
        <v/>
      </c>
      <c r="I400" s="1"/>
    </row>
    <row r="401" spans="1:9" ht="18" customHeight="1" x14ac:dyDescent="0.25">
      <c r="A401" s="48">
        <v>386</v>
      </c>
      <c r="B401" s="49" t="str">
        <f t="array" ref="B401">IFERROR(IF(INDEX(Transactions!$F$8:$F$3006,MATCH(0,COUNTIF($B$11:B400,Transactions!$F$8:$F$3006),0))="","",INDEX(Transactions!$F$8:$F$3006,MATCH(0,COUNTIF($B$11:B400,Transactions!$F$8:$F$3006),0))),"")</f>
        <v/>
      </c>
      <c r="C401" s="50" t="str">
        <f>IF(B401="","",SUMIF(Transactions!$F$8:$F$3006,B401,Transactions!$H$8:$H$3006))</f>
        <v/>
      </c>
      <c r="D401" s="51" t="str">
        <f>IF(B401="","",SUMIF(Transactions!$F$8:$F$3006,B401,Transactions!$N$8:$N$3006))</f>
        <v/>
      </c>
      <c r="E401" s="52" t="str">
        <f>IF(B401="","",SUMIF(Transactions!$F$8:$F$3006,B401,Transactions!$O$8:$O$3006))</f>
        <v/>
      </c>
      <c r="F401" s="53" t="str">
        <f>IF(B401="","",SUMIF(Transactions!$F$8:$F$3006,B401,Transactions!$R$8:$R$3006))</f>
        <v/>
      </c>
      <c r="G401" s="54" t="str">
        <f>IF(B401="","",(C401+F401)-(D401+E401+SUMIF(Transactions!$F$8:$F$3006,B401,Transactions!$Q$8:$Q$3006)))</f>
        <v/>
      </c>
      <c r="H401" s="55" t="str">
        <f>IF(B401="","",IF(G401&gt;0,"OUTSTANDING",IF(G401=0,"SETTLED",IF(SUMIF(Transactions!$F$8:$F$3006,B401,Transactions!$Q$8:$Q$3006)&gt;SUMIF(Transactions!$F$8:$F$3006,B401,Transactions!$R$8:$R$3006),"OWES","OVERPAID"))))</f>
        <v/>
      </c>
      <c r="I401" s="1"/>
    </row>
    <row r="402" spans="1:9" ht="18" customHeight="1" x14ac:dyDescent="0.25">
      <c r="A402" s="40">
        <v>387</v>
      </c>
      <c r="B402" s="41" t="str">
        <f t="array" ref="B402">IFERROR(IF(INDEX(Transactions!$F$8:$F$3006,MATCH(0,COUNTIF($B$11:B401,Transactions!$F$8:$F$3006),0))="","",INDEX(Transactions!$F$8:$F$3006,MATCH(0,COUNTIF($B$11:B401,Transactions!$F$8:$F$3006),0))),"")</f>
        <v/>
      </c>
      <c r="C402" s="42" t="str">
        <f>IF(B402="","",SUMIF(Transactions!$F$8:$F$3006,B402,Transactions!$H$8:$H$3006))</f>
        <v/>
      </c>
      <c r="D402" s="43" t="str">
        <f>IF(B402="","",SUMIF(Transactions!$F$8:$F$3006,B402,Transactions!$N$8:$N$3006))</f>
        <v/>
      </c>
      <c r="E402" s="44" t="str">
        <f>IF(B402="","",SUMIF(Transactions!$F$8:$F$3006,B402,Transactions!$O$8:$O$3006))</f>
        <v/>
      </c>
      <c r="F402" s="45" t="str">
        <f>IF(B402="","",SUMIF(Transactions!$F$8:$F$3006,B402,Transactions!$R$8:$R$3006))</f>
        <v/>
      </c>
      <c r="G402" s="46" t="str">
        <f>IF(B402="","",(C402+F402)-(D402+E402+SUMIF(Transactions!$F$8:$F$3006,B402,Transactions!$Q$8:$Q$3006)))</f>
        <v/>
      </c>
      <c r="H402" s="47" t="str">
        <f>IF(B402="","",IF(G402&gt;0,"OUTSTANDING",IF(G402=0,"SETTLED",IF(SUMIF(Transactions!$F$8:$F$3006,B402,Transactions!$Q$8:$Q$3006)&gt;SUMIF(Transactions!$F$8:$F$3006,B402,Transactions!$R$8:$R$3006),"OWES","OVERPAID"))))</f>
        <v/>
      </c>
      <c r="I402" s="1"/>
    </row>
    <row r="403" spans="1:9" ht="18" customHeight="1" x14ac:dyDescent="0.25">
      <c r="A403" s="48">
        <v>388</v>
      </c>
      <c r="B403" s="49" t="str">
        <f t="array" ref="B403">IFERROR(IF(INDEX(Transactions!$F$8:$F$3006,MATCH(0,COUNTIF($B$11:B402,Transactions!$F$8:$F$3006),0))="","",INDEX(Transactions!$F$8:$F$3006,MATCH(0,COUNTIF($B$11:B402,Transactions!$F$8:$F$3006),0))),"")</f>
        <v/>
      </c>
      <c r="C403" s="50" t="str">
        <f>IF(B403="","",SUMIF(Transactions!$F$8:$F$3006,B403,Transactions!$H$8:$H$3006))</f>
        <v/>
      </c>
      <c r="D403" s="51" t="str">
        <f>IF(B403="","",SUMIF(Transactions!$F$8:$F$3006,B403,Transactions!$N$8:$N$3006))</f>
        <v/>
      </c>
      <c r="E403" s="52" t="str">
        <f>IF(B403="","",SUMIF(Transactions!$F$8:$F$3006,B403,Transactions!$O$8:$O$3006))</f>
        <v/>
      </c>
      <c r="F403" s="53" t="str">
        <f>IF(B403="","",SUMIF(Transactions!$F$8:$F$3006,B403,Transactions!$R$8:$R$3006))</f>
        <v/>
      </c>
      <c r="G403" s="54" t="str">
        <f>IF(B403="","",(C403+F403)-(D403+E403+SUMIF(Transactions!$F$8:$F$3006,B403,Transactions!$Q$8:$Q$3006)))</f>
        <v/>
      </c>
      <c r="H403" s="55" t="str">
        <f>IF(B403="","",IF(G403&gt;0,"OUTSTANDING",IF(G403=0,"SETTLED",IF(SUMIF(Transactions!$F$8:$F$3006,B403,Transactions!$Q$8:$Q$3006)&gt;SUMIF(Transactions!$F$8:$F$3006,B403,Transactions!$R$8:$R$3006),"OWES","OVERPAID"))))</f>
        <v/>
      </c>
      <c r="I403" s="1"/>
    </row>
    <row r="404" spans="1:9" ht="18" customHeight="1" x14ac:dyDescent="0.25">
      <c r="A404" s="40">
        <v>389</v>
      </c>
      <c r="B404" s="41" t="str">
        <f t="array" ref="B404">IFERROR(IF(INDEX(Transactions!$F$8:$F$3006,MATCH(0,COUNTIF($B$11:B403,Transactions!$F$8:$F$3006),0))="","",INDEX(Transactions!$F$8:$F$3006,MATCH(0,COUNTIF($B$11:B403,Transactions!$F$8:$F$3006),0))),"")</f>
        <v/>
      </c>
      <c r="C404" s="42" t="str">
        <f>IF(B404="","",SUMIF(Transactions!$F$8:$F$3006,B404,Transactions!$H$8:$H$3006))</f>
        <v/>
      </c>
      <c r="D404" s="43" t="str">
        <f>IF(B404="","",SUMIF(Transactions!$F$8:$F$3006,B404,Transactions!$N$8:$N$3006))</f>
        <v/>
      </c>
      <c r="E404" s="44" t="str">
        <f>IF(B404="","",SUMIF(Transactions!$F$8:$F$3006,B404,Transactions!$O$8:$O$3006))</f>
        <v/>
      </c>
      <c r="F404" s="45" t="str">
        <f>IF(B404="","",SUMIF(Transactions!$F$8:$F$3006,B404,Transactions!$R$8:$R$3006))</f>
        <v/>
      </c>
      <c r="G404" s="46" t="str">
        <f>IF(B404="","",(C404+F404)-(D404+E404+SUMIF(Transactions!$F$8:$F$3006,B404,Transactions!$Q$8:$Q$3006)))</f>
        <v/>
      </c>
      <c r="H404" s="47" t="str">
        <f>IF(B404="","",IF(G404&gt;0,"OUTSTANDING",IF(G404=0,"SETTLED",IF(SUMIF(Transactions!$F$8:$F$3006,B404,Transactions!$Q$8:$Q$3006)&gt;SUMIF(Transactions!$F$8:$F$3006,B404,Transactions!$R$8:$R$3006),"OWES","OVERPAID"))))</f>
        <v/>
      </c>
      <c r="I404" s="1"/>
    </row>
    <row r="405" spans="1:9" ht="18" customHeight="1" x14ac:dyDescent="0.25">
      <c r="A405" s="48">
        <v>390</v>
      </c>
      <c r="B405" s="49" t="str">
        <f t="array" ref="B405">IFERROR(IF(INDEX(Transactions!$F$8:$F$3006,MATCH(0,COUNTIF($B$11:B404,Transactions!$F$8:$F$3006),0))="","",INDEX(Transactions!$F$8:$F$3006,MATCH(0,COUNTIF($B$11:B404,Transactions!$F$8:$F$3006),0))),"")</f>
        <v/>
      </c>
      <c r="C405" s="50" t="str">
        <f>IF(B405="","",SUMIF(Transactions!$F$8:$F$3006,B405,Transactions!$H$8:$H$3006))</f>
        <v/>
      </c>
      <c r="D405" s="51" t="str">
        <f>IF(B405="","",SUMIF(Transactions!$F$8:$F$3006,B405,Transactions!$N$8:$N$3006))</f>
        <v/>
      </c>
      <c r="E405" s="52" t="str">
        <f>IF(B405="","",SUMIF(Transactions!$F$8:$F$3006,B405,Transactions!$O$8:$O$3006))</f>
        <v/>
      </c>
      <c r="F405" s="53" t="str">
        <f>IF(B405="","",SUMIF(Transactions!$F$8:$F$3006,B405,Transactions!$R$8:$R$3006))</f>
        <v/>
      </c>
      <c r="G405" s="54" t="str">
        <f>IF(B405="","",(C405+F405)-(D405+E405+SUMIF(Transactions!$F$8:$F$3006,B405,Transactions!$Q$8:$Q$3006)))</f>
        <v/>
      </c>
      <c r="H405" s="55" t="str">
        <f>IF(B405="","",IF(G405&gt;0,"OUTSTANDING",IF(G405=0,"SETTLED",IF(SUMIF(Transactions!$F$8:$F$3006,B405,Transactions!$Q$8:$Q$3006)&gt;SUMIF(Transactions!$F$8:$F$3006,B405,Transactions!$R$8:$R$3006),"OWES","OVERPAID"))))</f>
        <v/>
      </c>
      <c r="I405" s="1"/>
    </row>
    <row r="406" spans="1:9" ht="18" customHeight="1" x14ac:dyDescent="0.25">
      <c r="A406" s="40">
        <v>391</v>
      </c>
      <c r="B406" s="41" t="str">
        <f t="array" ref="B406">IFERROR(IF(INDEX(Transactions!$F$8:$F$3006,MATCH(0,COUNTIF($B$11:B405,Transactions!$F$8:$F$3006),0))="","",INDEX(Transactions!$F$8:$F$3006,MATCH(0,COUNTIF($B$11:B405,Transactions!$F$8:$F$3006),0))),"")</f>
        <v/>
      </c>
      <c r="C406" s="42" t="str">
        <f>IF(B406="","",SUMIF(Transactions!$F$8:$F$3006,B406,Transactions!$H$8:$H$3006))</f>
        <v/>
      </c>
      <c r="D406" s="43" t="str">
        <f>IF(B406="","",SUMIF(Transactions!$F$8:$F$3006,B406,Transactions!$N$8:$N$3006))</f>
        <v/>
      </c>
      <c r="E406" s="44" t="str">
        <f>IF(B406="","",SUMIF(Transactions!$F$8:$F$3006,B406,Transactions!$O$8:$O$3006))</f>
        <v/>
      </c>
      <c r="F406" s="45" t="str">
        <f>IF(B406="","",SUMIF(Transactions!$F$8:$F$3006,B406,Transactions!$R$8:$R$3006))</f>
        <v/>
      </c>
      <c r="G406" s="46" t="str">
        <f>IF(B406="","",(C406+F406)-(D406+E406+SUMIF(Transactions!$F$8:$F$3006,B406,Transactions!$Q$8:$Q$3006)))</f>
        <v/>
      </c>
      <c r="H406" s="47" t="str">
        <f>IF(B406="","",IF(G406&gt;0,"OUTSTANDING",IF(G406=0,"SETTLED",IF(SUMIF(Transactions!$F$8:$F$3006,B406,Transactions!$Q$8:$Q$3006)&gt;SUMIF(Transactions!$F$8:$F$3006,B406,Transactions!$R$8:$R$3006),"OWES","OVERPAID"))))</f>
        <v/>
      </c>
      <c r="I406" s="1"/>
    </row>
    <row r="407" spans="1:9" ht="18" customHeight="1" x14ac:dyDescent="0.25">
      <c r="A407" s="48">
        <v>392</v>
      </c>
      <c r="B407" s="49" t="str">
        <f t="array" ref="B407">IFERROR(IF(INDEX(Transactions!$F$8:$F$3006,MATCH(0,COUNTIF($B$11:B406,Transactions!$F$8:$F$3006),0))="","",INDEX(Transactions!$F$8:$F$3006,MATCH(0,COUNTIF($B$11:B406,Transactions!$F$8:$F$3006),0))),"")</f>
        <v/>
      </c>
      <c r="C407" s="50" t="str">
        <f>IF(B407="","",SUMIF(Transactions!$F$8:$F$3006,B407,Transactions!$H$8:$H$3006))</f>
        <v/>
      </c>
      <c r="D407" s="51" t="str">
        <f>IF(B407="","",SUMIF(Transactions!$F$8:$F$3006,B407,Transactions!$N$8:$N$3006))</f>
        <v/>
      </c>
      <c r="E407" s="52" t="str">
        <f>IF(B407="","",SUMIF(Transactions!$F$8:$F$3006,B407,Transactions!$O$8:$O$3006))</f>
        <v/>
      </c>
      <c r="F407" s="53" t="str">
        <f>IF(B407="","",SUMIF(Transactions!$F$8:$F$3006,B407,Transactions!$R$8:$R$3006))</f>
        <v/>
      </c>
      <c r="G407" s="54" t="str">
        <f>IF(B407="","",(C407+F407)-(D407+E407+SUMIF(Transactions!$F$8:$F$3006,B407,Transactions!$Q$8:$Q$3006)))</f>
        <v/>
      </c>
      <c r="H407" s="55" t="str">
        <f>IF(B407="","",IF(G407&gt;0,"OUTSTANDING",IF(G407=0,"SETTLED",IF(SUMIF(Transactions!$F$8:$F$3006,B407,Transactions!$Q$8:$Q$3006)&gt;SUMIF(Transactions!$F$8:$F$3006,B407,Transactions!$R$8:$R$3006),"OWES","OVERPAID"))))</f>
        <v/>
      </c>
      <c r="I407" s="1"/>
    </row>
    <row r="408" spans="1:9" ht="18" customHeight="1" x14ac:dyDescent="0.25">
      <c r="A408" s="40">
        <v>393</v>
      </c>
      <c r="B408" s="41" t="str">
        <f t="array" ref="B408">IFERROR(IF(INDEX(Transactions!$F$8:$F$3006,MATCH(0,COUNTIF($B$11:B407,Transactions!$F$8:$F$3006),0))="","",INDEX(Transactions!$F$8:$F$3006,MATCH(0,COUNTIF($B$11:B407,Transactions!$F$8:$F$3006),0))),"")</f>
        <v/>
      </c>
      <c r="C408" s="42" t="str">
        <f>IF(B408="","",SUMIF(Transactions!$F$8:$F$3006,B408,Transactions!$H$8:$H$3006))</f>
        <v/>
      </c>
      <c r="D408" s="43" t="str">
        <f>IF(B408="","",SUMIF(Transactions!$F$8:$F$3006,B408,Transactions!$N$8:$N$3006))</f>
        <v/>
      </c>
      <c r="E408" s="44" t="str">
        <f>IF(B408="","",SUMIF(Transactions!$F$8:$F$3006,B408,Transactions!$O$8:$O$3006))</f>
        <v/>
      </c>
      <c r="F408" s="45" t="str">
        <f>IF(B408="","",SUMIF(Transactions!$F$8:$F$3006,B408,Transactions!$R$8:$R$3006))</f>
        <v/>
      </c>
      <c r="G408" s="46" t="str">
        <f>IF(B408="","",(C408+F408)-(D408+E408+SUMIF(Transactions!$F$8:$F$3006,B408,Transactions!$Q$8:$Q$3006)))</f>
        <v/>
      </c>
      <c r="H408" s="47" t="str">
        <f>IF(B408="","",IF(G408&gt;0,"OUTSTANDING",IF(G408=0,"SETTLED",IF(SUMIF(Transactions!$F$8:$F$3006,B408,Transactions!$Q$8:$Q$3006)&gt;SUMIF(Transactions!$F$8:$F$3006,B408,Transactions!$R$8:$R$3006),"OWES","OVERPAID"))))</f>
        <v/>
      </c>
      <c r="I408" s="1"/>
    </row>
    <row r="409" spans="1:9" ht="18" customHeight="1" x14ac:dyDescent="0.25">
      <c r="A409" s="48">
        <v>394</v>
      </c>
      <c r="B409" s="49" t="str">
        <f t="array" ref="B409">IFERROR(IF(INDEX(Transactions!$F$8:$F$3006,MATCH(0,COUNTIF($B$11:B408,Transactions!$F$8:$F$3006),0))="","",INDEX(Transactions!$F$8:$F$3006,MATCH(0,COUNTIF($B$11:B408,Transactions!$F$8:$F$3006),0))),"")</f>
        <v/>
      </c>
      <c r="C409" s="50" t="str">
        <f>IF(B409="","",SUMIF(Transactions!$F$8:$F$3006,B409,Transactions!$H$8:$H$3006))</f>
        <v/>
      </c>
      <c r="D409" s="51" t="str">
        <f>IF(B409="","",SUMIF(Transactions!$F$8:$F$3006,B409,Transactions!$N$8:$N$3006))</f>
        <v/>
      </c>
      <c r="E409" s="52" t="str">
        <f>IF(B409="","",SUMIF(Transactions!$F$8:$F$3006,B409,Transactions!$O$8:$O$3006))</f>
        <v/>
      </c>
      <c r="F409" s="53" t="str">
        <f>IF(B409="","",SUMIF(Transactions!$F$8:$F$3006,B409,Transactions!$R$8:$R$3006))</f>
        <v/>
      </c>
      <c r="G409" s="54" t="str">
        <f>IF(B409="","",(C409+F409)-(D409+E409+SUMIF(Transactions!$F$8:$F$3006,B409,Transactions!$Q$8:$Q$3006)))</f>
        <v/>
      </c>
      <c r="H409" s="55" t="str">
        <f>IF(B409="","",IF(G409&gt;0,"OUTSTANDING",IF(G409=0,"SETTLED",IF(SUMIF(Transactions!$F$8:$F$3006,B409,Transactions!$Q$8:$Q$3006)&gt;SUMIF(Transactions!$F$8:$F$3006,B409,Transactions!$R$8:$R$3006),"OWES","OVERPAID"))))</f>
        <v/>
      </c>
      <c r="I409" s="1"/>
    </row>
    <row r="410" spans="1:9" ht="18" customHeight="1" x14ac:dyDescent="0.25">
      <c r="A410" s="40">
        <v>395</v>
      </c>
      <c r="B410" s="41" t="str">
        <f t="array" ref="B410">IFERROR(IF(INDEX(Transactions!$F$8:$F$3006,MATCH(0,COUNTIF($B$11:B409,Transactions!$F$8:$F$3006),0))="","",INDEX(Transactions!$F$8:$F$3006,MATCH(0,COUNTIF($B$11:B409,Transactions!$F$8:$F$3006),0))),"")</f>
        <v/>
      </c>
      <c r="C410" s="42" t="str">
        <f>IF(B410="","",SUMIF(Transactions!$F$8:$F$3006,B410,Transactions!$H$8:$H$3006))</f>
        <v/>
      </c>
      <c r="D410" s="43" t="str">
        <f>IF(B410="","",SUMIF(Transactions!$F$8:$F$3006,B410,Transactions!$N$8:$N$3006))</f>
        <v/>
      </c>
      <c r="E410" s="44" t="str">
        <f>IF(B410="","",SUMIF(Transactions!$F$8:$F$3006,B410,Transactions!$O$8:$O$3006))</f>
        <v/>
      </c>
      <c r="F410" s="45" t="str">
        <f>IF(B410="","",SUMIF(Transactions!$F$8:$F$3006,B410,Transactions!$R$8:$R$3006))</f>
        <v/>
      </c>
      <c r="G410" s="46" t="str">
        <f>IF(B410="","",(C410+F410)-(D410+E410+SUMIF(Transactions!$F$8:$F$3006,B410,Transactions!$Q$8:$Q$3006)))</f>
        <v/>
      </c>
      <c r="H410" s="47" t="str">
        <f>IF(B410="","",IF(G410&gt;0,"OUTSTANDING",IF(G410=0,"SETTLED",IF(SUMIF(Transactions!$F$8:$F$3006,B410,Transactions!$Q$8:$Q$3006)&gt;SUMIF(Transactions!$F$8:$F$3006,B410,Transactions!$R$8:$R$3006),"OWES","OVERPAID"))))</f>
        <v/>
      </c>
      <c r="I410" s="1"/>
    </row>
    <row r="411" spans="1:9" ht="18" customHeight="1" x14ac:dyDescent="0.25">
      <c r="A411" s="48">
        <v>396</v>
      </c>
      <c r="B411" s="49" t="str">
        <f t="array" ref="B411">IFERROR(IF(INDEX(Transactions!$F$8:$F$3006,MATCH(0,COUNTIF($B$11:B410,Transactions!$F$8:$F$3006),0))="","",INDEX(Transactions!$F$8:$F$3006,MATCH(0,COUNTIF($B$11:B410,Transactions!$F$8:$F$3006),0))),"")</f>
        <v/>
      </c>
      <c r="C411" s="50" t="str">
        <f>IF(B411="","",SUMIF(Transactions!$F$8:$F$3006,B411,Transactions!$H$8:$H$3006))</f>
        <v/>
      </c>
      <c r="D411" s="51" t="str">
        <f>IF(B411="","",SUMIF(Transactions!$F$8:$F$3006,B411,Transactions!$N$8:$N$3006))</f>
        <v/>
      </c>
      <c r="E411" s="52" t="str">
        <f>IF(B411="","",SUMIF(Transactions!$F$8:$F$3006,B411,Transactions!$O$8:$O$3006))</f>
        <v/>
      </c>
      <c r="F411" s="53" t="str">
        <f>IF(B411="","",SUMIF(Transactions!$F$8:$F$3006,B411,Transactions!$R$8:$R$3006))</f>
        <v/>
      </c>
      <c r="G411" s="54" t="str">
        <f>IF(B411="","",(C411+F411)-(D411+E411+SUMIF(Transactions!$F$8:$F$3006,B411,Transactions!$Q$8:$Q$3006)))</f>
        <v/>
      </c>
      <c r="H411" s="55" t="str">
        <f>IF(B411="","",IF(G411&gt;0,"OUTSTANDING",IF(G411=0,"SETTLED",IF(SUMIF(Transactions!$F$8:$F$3006,B411,Transactions!$Q$8:$Q$3006)&gt;SUMIF(Transactions!$F$8:$F$3006,B411,Transactions!$R$8:$R$3006),"OWES","OVERPAID"))))</f>
        <v/>
      </c>
      <c r="I411" s="1"/>
    </row>
    <row r="412" spans="1:9" ht="18" customHeight="1" x14ac:dyDescent="0.25">
      <c r="A412" s="40">
        <v>397</v>
      </c>
      <c r="B412" s="41" t="str">
        <f t="array" ref="B412">IFERROR(IF(INDEX(Transactions!$F$8:$F$3006,MATCH(0,COUNTIF($B$11:B411,Transactions!$F$8:$F$3006),0))="","",INDEX(Transactions!$F$8:$F$3006,MATCH(0,COUNTIF($B$11:B411,Transactions!$F$8:$F$3006),0))),"")</f>
        <v/>
      </c>
      <c r="C412" s="42" t="str">
        <f>IF(B412="","",SUMIF(Transactions!$F$8:$F$3006,B412,Transactions!$H$8:$H$3006))</f>
        <v/>
      </c>
      <c r="D412" s="43" t="str">
        <f>IF(B412="","",SUMIF(Transactions!$F$8:$F$3006,B412,Transactions!$N$8:$N$3006))</f>
        <v/>
      </c>
      <c r="E412" s="44" t="str">
        <f>IF(B412="","",SUMIF(Transactions!$F$8:$F$3006,B412,Transactions!$O$8:$O$3006))</f>
        <v/>
      </c>
      <c r="F412" s="45" t="str">
        <f>IF(B412="","",SUMIF(Transactions!$F$8:$F$3006,B412,Transactions!$R$8:$R$3006))</f>
        <v/>
      </c>
      <c r="G412" s="46" t="str">
        <f>IF(B412="","",(C412+F412)-(D412+E412+SUMIF(Transactions!$F$8:$F$3006,B412,Transactions!$Q$8:$Q$3006)))</f>
        <v/>
      </c>
      <c r="H412" s="47" t="str">
        <f>IF(B412="","",IF(G412&gt;0,"OUTSTANDING",IF(G412=0,"SETTLED",IF(SUMIF(Transactions!$F$8:$F$3006,B412,Transactions!$Q$8:$Q$3006)&gt;SUMIF(Transactions!$F$8:$F$3006,B412,Transactions!$R$8:$R$3006),"OWES","OVERPAID"))))</f>
        <v/>
      </c>
      <c r="I412" s="1"/>
    </row>
    <row r="413" spans="1:9" ht="18" customHeight="1" x14ac:dyDescent="0.25">
      <c r="A413" s="48">
        <v>398</v>
      </c>
      <c r="B413" s="49" t="str">
        <f t="array" ref="B413">IFERROR(IF(INDEX(Transactions!$F$8:$F$3006,MATCH(0,COUNTIF($B$11:B412,Transactions!$F$8:$F$3006),0))="","",INDEX(Transactions!$F$8:$F$3006,MATCH(0,COUNTIF($B$11:B412,Transactions!$F$8:$F$3006),0))),"")</f>
        <v/>
      </c>
      <c r="C413" s="50" t="str">
        <f>IF(B413="","",SUMIF(Transactions!$F$8:$F$3006,B413,Transactions!$H$8:$H$3006))</f>
        <v/>
      </c>
      <c r="D413" s="51" t="str">
        <f>IF(B413="","",SUMIF(Transactions!$F$8:$F$3006,B413,Transactions!$N$8:$N$3006))</f>
        <v/>
      </c>
      <c r="E413" s="52" t="str">
        <f>IF(B413="","",SUMIF(Transactions!$F$8:$F$3006,B413,Transactions!$O$8:$O$3006))</f>
        <v/>
      </c>
      <c r="F413" s="53" t="str">
        <f>IF(B413="","",SUMIF(Transactions!$F$8:$F$3006,B413,Transactions!$R$8:$R$3006))</f>
        <v/>
      </c>
      <c r="G413" s="54" t="str">
        <f>IF(B413="","",(C413+F413)-(D413+E413+SUMIF(Transactions!$F$8:$F$3006,B413,Transactions!$Q$8:$Q$3006)))</f>
        <v/>
      </c>
      <c r="H413" s="55" t="str">
        <f>IF(B413="","",IF(G413&gt;0,"OUTSTANDING",IF(G413=0,"SETTLED",IF(SUMIF(Transactions!$F$8:$F$3006,B413,Transactions!$Q$8:$Q$3006)&gt;SUMIF(Transactions!$F$8:$F$3006,B413,Transactions!$R$8:$R$3006),"OWES","OVERPAID"))))</f>
        <v/>
      </c>
      <c r="I413" s="1"/>
    </row>
    <row r="414" spans="1:9" ht="18" customHeight="1" x14ac:dyDescent="0.25">
      <c r="A414" s="40">
        <v>399</v>
      </c>
      <c r="B414" s="41" t="str">
        <f t="array" ref="B414">IFERROR(IF(INDEX(Transactions!$F$8:$F$3006,MATCH(0,COUNTIF($B$11:B413,Transactions!$F$8:$F$3006),0))="","",INDEX(Transactions!$F$8:$F$3006,MATCH(0,COUNTIF($B$11:B413,Transactions!$F$8:$F$3006),0))),"")</f>
        <v/>
      </c>
      <c r="C414" s="42" t="str">
        <f>IF(B414="","",SUMIF(Transactions!$F$8:$F$3006,B414,Transactions!$H$8:$H$3006))</f>
        <v/>
      </c>
      <c r="D414" s="43" t="str">
        <f>IF(B414="","",SUMIF(Transactions!$F$8:$F$3006,B414,Transactions!$N$8:$N$3006))</f>
        <v/>
      </c>
      <c r="E414" s="44" t="str">
        <f>IF(B414="","",SUMIF(Transactions!$F$8:$F$3006,B414,Transactions!$O$8:$O$3006))</f>
        <v/>
      </c>
      <c r="F414" s="45" t="str">
        <f>IF(B414="","",SUMIF(Transactions!$F$8:$F$3006,B414,Transactions!$R$8:$R$3006))</f>
        <v/>
      </c>
      <c r="G414" s="46" t="str">
        <f>IF(B414="","",(C414+F414)-(D414+E414+SUMIF(Transactions!$F$8:$F$3006,B414,Transactions!$Q$8:$Q$3006)))</f>
        <v/>
      </c>
      <c r="H414" s="47" t="str">
        <f>IF(B414="","",IF(G414&gt;0,"OUTSTANDING",IF(G414=0,"SETTLED",IF(SUMIF(Transactions!$F$8:$F$3006,B414,Transactions!$Q$8:$Q$3006)&gt;SUMIF(Transactions!$F$8:$F$3006,B414,Transactions!$R$8:$R$3006),"OWES","OVERPAID"))))</f>
        <v/>
      </c>
      <c r="I414" s="1"/>
    </row>
    <row r="415" spans="1:9" ht="18" customHeight="1" x14ac:dyDescent="0.25">
      <c r="A415" s="48">
        <v>400</v>
      </c>
      <c r="B415" s="49" t="str">
        <f t="array" ref="B415">IFERROR(IF(INDEX(Transactions!$F$8:$F$3006,MATCH(0,COUNTIF($B$11:B414,Transactions!$F$8:$F$3006),0))="","",INDEX(Transactions!$F$8:$F$3006,MATCH(0,COUNTIF($B$11:B414,Transactions!$F$8:$F$3006),0))),"")</f>
        <v/>
      </c>
      <c r="C415" s="50" t="str">
        <f>IF(B415="","",SUMIF(Transactions!$F$8:$F$3006,B415,Transactions!$H$8:$H$3006))</f>
        <v/>
      </c>
      <c r="D415" s="51" t="str">
        <f>IF(B415="","",SUMIF(Transactions!$F$8:$F$3006,B415,Transactions!$N$8:$N$3006))</f>
        <v/>
      </c>
      <c r="E415" s="52" t="str">
        <f>IF(B415="","",SUMIF(Transactions!$F$8:$F$3006,B415,Transactions!$O$8:$O$3006))</f>
        <v/>
      </c>
      <c r="F415" s="53" t="str">
        <f>IF(B415="","",SUMIF(Transactions!$F$8:$F$3006,B415,Transactions!$R$8:$R$3006))</f>
        <v/>
      </c>
      <c r="G415" s="54" t="str">
        <f>IF(B415="","",(C415+F415)-(D415+E415+SUMIF(Transactions!$F$8:$F$3006,B415,Transactions!$Q$8:$Q$3006)))</f>
        <v/>
      </c>
      <c r="H415" s="55" t="str">
        <f>IF(B415="","",IF(G415&gt;0,"OUTSTANDING",IF(G415=0,"SETTLED",IF(SUMIF(Transactions!$F$8:$F$3006,B415,Transactions!$Q$8:$Q$3006)&gt;SUMIF(Transactions!$F$8:$F$3006,B415,Transactions!$R$8:$R$3006),"OWES","OVERPAID"))))</f>
        <v/>
      </c>
      <c r="I415" s="1"/>
    </row>
    <row r="416" spans="1:9" ht="18" customHeight="1" x14ac:dyDescent="0.25">
      <c r="A416" s="40">
        <v>401</v>
      </c>
      <c r="B416" s="41" t="str">
        <f t="array" ref="B416">IFERROR(IF(INDEX(Transactions!$F$8:$F$3006,MATCH(0,COUNTIF($B$11:B415,Transactions!$F$8:$F$3006),0))="","",INDEX(Transactions!$F$8:$F$3006,MATCH(0,COUNTIF($B$11:B415,Transactions!$F$8:$F$3006),0))),"")</f>
        <v/>
      </c>
      <c r="C416" s="42" t="str">
        <f>IF(B416="","",SUMIF(Transactions!$F$8:$F$3006,B416,Transactions!$H$8:$H$3006))</f>
        <v/>
      </c>
      <c r="D416" s="43" t="str">
        <f>IF(B416="","",SUMIF(Transactions!$F$8:$F$3006,B416,Transactions!$N$8:$N$3006))</f>
        <v/>
      </c>
      <c r="E416" s="44" t="str">
        <f>IF(B416="","",SUMIF(Transactions!$F$8:$F$3006,B416,Transactions!$O$8:$O$3006))</f>
        <v/>
      </c>
      <c r="F416" s="45" t="str">
        <f>IF(B416="","",SUMIF(Transactions!$F$8:$F$3006,B416,Transactions!$R$8:$R$3006))</f>
        <v/>
      </c>
      <c r="G416" s="46" t="str">
        <f>IF(B416="","",(C416+F416)-(D416+E416+SUMIF(Transactions!$F$8:$F$3006,B416,Transactions!$Q$8:$Q$3006)))</f>
        <v/>
      </c>
      <c r="H416" s="47" t="str">
        <f>IF(B416="","",IF(G416&gt;0,"OUTSTANDING",IF(G416=0,"SETTLED",IF(SUMIF(Transactions!$F$8:$F$3006,B416,Transactions!$Q$8:$Q$3006)&gt;SUMIF(Transactions!$F$8:$F$3006,B416,Transactions!$R$8:$R$3006),"OWES","OVERPAID"))))</f>
        <v/>
      </c>
      <c r="I416" s="1"/>
    </row>
    <row r="417" spans="1:9" ht="18" customHeight="1" x14ac:dyDescent="0.25">
      <c r="A417" s="48">
        <v>402</v>
      </c>
      <c r="B417" s="49" t="str">
        <f t="array" ref="B417">IFERROR(IF(INDEX(Transactions!$F$8:$F$3006,MATCH(0,COUNTIF($B$11:B416,Transactions!$F$8:$F$3006),0))="","",INDEX(Transactions!$F$8:$F$3006,MATCH(0,COUNTIF($B$11:B416,Transactions!$F$8:$F$3006),0))),"")</f>
        <v/>
      </c>
      <c r="C417" s="50" t="str">
        <f>IF(B417="","",SUMIF(Transactions!$F$8:$F$3006,B417,Transactions!$H$8:$H$3006))</f>
        <v/>
      </c>
      <c r="D417" s="51" t="str">
        <f>IF(B417="","",SUMIF(Transactions!$F$8:$F$3006,B417,Transactions!$N$8:$N$3006))</f>
        <v/>
      </c>
      <c r="E417" s="52" t="str">
        <f>IF(B417="","",SUMIF(Transactions!$F$8:$F$3006,B417,Transactions!$O$8:$O$3006))</f>
        <v/>
      </c>
      <c r="F417" s="53" t="str">
        <f>IF(B417="","",SUMIF(Transactions!$F$8:$F$3006,B417,Transactions!$R$8:$R$3006))</f>
        <v/>
      </c>
      <c r="G417" s="54" t="str">
        <f>IF(B417="","",(C417+F417)-(D417+E417+SUMIF(Transactions!$F$8:$F$3006,B417,Transactions!$Q$8:$Q$3006)))</f>
        <v/>
      </c>
      <c r="H417" s="55" t="str">
        <f>IF(B417="","",IF(G417&gt;0,"OUTSTANDING",IF(G417=0,"SETTLED",IF(SUMIF(Transactions!$F$8:$F$3006,B417,Transactions!$Q$8:$Q$3006)&gt;SUMIF(Transactions!$F$8:$F$3006,B417,Transactions!$R$8:$R$3006),"OWES","OVERPAID"))))</f>
        <v/>
      </c>
      <c r="I417" s="1"/>
    </row>
    <row r="418" spans="1:9" ht="18" customHeight="1" x14ac:dyDescent="0.25">
      <c r="A418" s="40">
        <v>403</v>
      </c>
      <c r="B418" s="41" t="str">
        <f t="array" ref="B418">IFERROR(IF(INDEX(Transactions!$F$8:$F$3006,MATCH(0,COUNTIF($B$11:B417,Transactions!$F$8:$F$3006),0))="","",INDEX(Transactions!$F$8:$F$3006,MATCH(0,COUNTIF($B$11:B417,Transactions!$F$8:$F$3006),0))),"")</f>
        <v/>
      </c>
      <c r="C418" s="42" t="str">
        <f>IF(B418="","",SUMIF(Transactions!$F$8:$F$3006,B418,Transactions!$H$8:$H$3006))</f>
        <v/>
      </c>
      <c r="D418" s="43" t="str">
        <f>IF(B418="","",SUMIF(Transactions!$F$8:$F$3006,B418,Transactions!$N$8:$N$3006))</f>
        <v/>
      </c>
      <c r="E418" s="44" t="str">
        <f>IF(B418="","",SUMIF(Transactions!$F$8:$F$3006,B418,Transactions!$O$8:$O$3006))</f>
        <v/>
      </c>
      <c r="F418" s="45" t="str">
        <f>IF(B418="","",SUMIF(Transactions!$F$8:$F$3006,B418,Transactions!$R$8:$R$3006))</f>
        <v/>
      </c>
      <c r="G418" s="46" t="str">
        <f>IF(B418="","",(C418+F418)-(D418+E418+SUMIF(Transactions!$F$8:$F$3006,B418,Transactions!$Q$8:$Q$3006)))</f>
        <v/>
      </c>
      <c r="H418" s="47" t="str">
        <f>IF(B418="","",IF(G418&gt;0,"OUTSTANDING",IF(G418=0,"SETTLED",IF(SUMIF(Transactions!$F$8:$F$3006,B418,Transactions!$Q$8:$Q$3006)&gt;SUMIF(Transactions!$F$8:$F$3006,B418,Transactions!$R$8:$R$3006),"OWES","OVERPAID"))))</f>
        <v/>
      </c>
      <c r="I418" s="1"/>
    </row>
    <row r="419" spans="1:9" ht="18" customHeight="1" x14ac:dyDescent="0.25">
      <c r="A419" s="48">
        <v>404</v>
      </c>
      <c r="B419" s="49" t="str">
        <f t="array" ref="B419">IFERROR(IF(INDEX(Transactions!$F$8:$F$3006,MATCH(0,COUNTIF($B$11:B418,Transactions!$F$8:$F$3006),0))="","",INDEX(Transactions!$F$8:$F$3006,MATCH(0,COUNTIF($B$11:B418,Transactions!$F$8:$F$3006),0))),"")</f>
        <v/>
      </c>
      <c r="C419" s="50" t="str">
        <f>IF(B419="","",SUMIF(Transactions!$F$8:$F$3006,B419,Transactions!$H$8:$H$3006))</f>
        <v/>
      </c>
      <c r="D419" s="51" t="str">
        <f>IF(B419="","",SUMIF(Transactions!$F$8:$F$3006,B419,Transactions!$N$8:$N$3006))</f>
        <v/>
      </c>
      <c r="E419" s="52" t="str">
        <f>IF(B419="","",SUMIF(Transactions!$F$8:$F$3006,B419,Transactions!$O$8:$O$3006))</f>
        <v/>
      </c>
      <c r="F419" s="53" t="str">
        <f>IF(B419="","",SUMIF(Transactions!$F$8:$F$3006,B419,Transactions!$R$8:$R$3006))</f>
        <v/>
      </c>
      <c r="G419" s="54" t="str">
        <f>IF(B419="","",(C419+F419)-(D419+E419+SUMIF(Transactions!$F$8:$F$3006,B419,Transactions!$Q$8:$Q$3006)))</f>
        <v/>
      </c>
      <c r="H419" s="55" t="str">
        <f>IF(B419="","",IF(G419&gt;0,"OUTSTANDING",IF(G419=0,"SETTLED",IF(SUMIF(Transactions!$F$8:$F$3006,B419,Transactions!$Q$8:$Q$3006)&gt;SUMIF(Transactions!$F$8:$F$3006,B419,Transactions!$R$8:$R$3006),"OWES","OVERPAID"))))</f>
        <v/>
      </c>
      <c r="I419" s="1"/>
    </row>
    <row r="420" spans="1:9" ht="18" customHeight="1" x14ac:dyDescent="0.25">
      <c r="A420" s="40">
        <v>405</v>
      </c>
      <c r="B420" s="41" t="str">
        <f t="array" ref="B420">IFERROR(IF(INDEX(Transactions!$F$8:$F$3006,MATCH(0,COUNTIF($B$11:B419,Transactions!$F$8:$F$3006),0))="","",INDEX(Transactions!$F$8:$F$3006,MATCH(0,COUNTIF($B$11:B419,Transactions!$F$8:$F$3006),0))),"")</f>
        <v/>
      </c>
      <c r="C420" s="42" t="str">
        <f>IF(B420="","",SUMIF(Transactions!$F$8:$F$3006,B420,Transactions!$H$8:$H$3006))</f>
        <v/>
      </c>
      <c r="D420" s="43" t="str">
        <f>IF(B420="","",SUMIF(Transactions!$F$8:$F$3006,B420,Transactions!$N$8:$N$3006))</f>
        <v/>
      </c>
      <c r="E420" s="44" t="str">
        <f>IF(B420="","",SUMIF(Transactions!$F$8:$F$3006,B420,Transactions!$O$8:$O$3006))</f>
        <v/>
      </c>
      <c r="F420" s="45" t="str">
        <f>IF(B420="","",SUMIF(Transactions!$F$8:$F$3006,B420,Transactions!$R$8:$R$3006))</f>
        <v/>
      </c>
      <c r="G420" s="46" t="str">
        <f>IF(B420="","",(C420+F420)-(D420+E420+SUMIF(Transactions!$F$8:$F$3006,B420,Transactions!$Q$8:$Q$3006)))</f>
        <v/>
      </c>
      <c r="H420" s="47" t="str">
        <f>IF(B420="","",IF(G420&gt;0,"OUTSTANDING",IF(G420=0,"SETTLED",IF(SUMIF(Transactions!$F$8:$F$3006,B420,Transactions!$Q$8:$Q$3006)&gt;SUMIF(Transactions!$F$8:$F$3006,B420,Transactions!$R$8:$R$3006),"OWES","OVERPAID"))))</f>
        <v/>
      </c>
      <c r="I420" s="1"/>
    </row>
    <row r="421" spans="1:9" ht="18" customHeight="1" x14ac:dyDescent="0.25">
      <c r="A421" s="48">
        <v>406</v>
      </c>
      <c r="B421" s="49" t="str">
        <f t="array" ref="B421">IFERROR(IF(INDEX(Transactions!$F$8:$F$3006,MATCH(0,COUNTIF($B$11:B420,Transactions!$F$8:$F$3006),0))="","",INDEX(Transactions!$F$8:$F$3006,MATCH(0,COUNTIF($B$11:B420,Transactions!$F$8:$F$3006),0))),"")</f>
        <v/>
      </c>
      <c r="C421" s="50" t="str">
        <f>IF(B421="","",SUMIF(Transactions!$F$8:$F$3006,B421,Transactions!$H$8:$H$3006))</f>
        <v/>
      </c>
      <c r="D421" s="51" t="str">
        <f>IF(B421="","",SUMIF(Transactions!$F$8:$F$3006,B421,Transactions!$N$8:$N$3006))</f>
        <v/>
      </c>
      <c r="E421" s="52" t="str">
        <f>IF(B421="","",SUMIF(Transactions!$F$8:$F$3006,B421,Transactions!$O$8:$O$3006))</f>
        <v/>
      </c>
      <c r="F421" s="53" t="str">
        <f>IF(B421="","",SUMIF(Transactions!$F$8:$F$3006,B421,Transactions!$R$8:$R$3006))</f>
        <v/>
      </c>
      <c r="G421" s="54" t="str">
        <f>IF(B421="","",(C421+F421)-(D421+E421+SUMIF(Transactions!$F$8:$F$3006,B421,Transactions!$Q$8:$Q$3006)))</f>
        <v/>
      </c>
      <c r="H421" s="55" t="str">
        <f>IF(B421="","",IF(G421&gt;0,"OUTSTANDING",IF(G421=0,"SETTLED",IF(SUMIF(Transactions!$F$8:$F$3006,B421,Transactions!$Q$8:$Q$3006)&gt;SUMIF(Transactions!$F$8:$F$3006,B421,Transactions!$R$8:$R$3006),"OWES","OVERPAID"))))</f>
        <v/>
      </c>
      <c r="I421" s="1"/>
    </row>
    <row r="422" spans="1:9" ht="18" customHeight="1" x14ac:dyDescent="0.25">
      <c r="A422" s="40">
        <v>407</v>
      </c>
      <c r="B422" s="41" t="str">
        <f t="array" ref="B422">IFERROR(IF(INDEX(Transactions!$F$8:$F$3006,MATCH(0,COUNTIF($B$11:B421,Transactions!$F$8:$F$3006),0))="","",INDEX(Transactions!$F$8:$F$3006,MATCH(0,COUNTIF($B$11:B421,Transactions!$F$8:$F$3006),0))),"")</f>
        <v/>
      </c>
      <c r="C422" s="42" t="str">
        <f>IF(B422="","",SUMIF(Transactions!$F$8:$F$3006,B422,Transactions!$H$8:$H$3006))</f>
        <v/>
      </c>
      <c r="D422" s="43" t="str">
        <f>IF(B422="","",SUMIF(Transactions!$F$8:$F$3006,B422,Transactions!$N$8:$N$3006))</f>
        <v/>
      </c>
      <c r="E422" s="44" t="str">
        <f>IF(B422="","",SUMIF(Transactions!$F$8:$F$3006,B422,Transactions!$O$8:$O$3006))</f>
        <v/>
      </c>
      <c r="F422" s="45" t="str">
        <f>IF(B422="","",SUMIF(Transactions!$F$8:$F$3006,B422,Transactions!$R$8:$R$3006))</f>
        <v/>
      </c>
      <c r="G422" s="46" t="str">
        <f>IF(B422="","",(C422+F422)-(D422+E422+SUMIF(Transactions!$F$8:$F$3006,B422,Transactions!$Q$8:$Q$3006)))</f>
        <v/>
      </c>
      <c r="H422" s="47" t="str">
        <f>IF(B422="","",IF(G422&gt;0,"OUTSTANDING",IF(G422=0,"SETTLED",IF(SUMIF(Transactions!$F$8:$F$3006,B422,Transactions!$Q$8:$Q$3006)&gt;SUMIF(Transactions!$F$8:$F$3006,B422,Transactions!$R$8:$R$3006),"OWES","OVERPAID"))))</f>
        <v/>
      </c>
      <c r="I422" s="1"/>
    </row>
    <row r="423" spans="1:9" ht="18" customHeight="1" x14ac:dyDescent="0.25">
      <c r="A423" s="48">
        <v>408</v>
      </c>
      <c r="B423" s="49" t="str">
        <f t="array" ref="B423">IFERROR(IF(INDEX(Transactions!$F$8:$F$3006,MATCH(0,COUNTIF($B$11:B422,Transactions!$F$8:$F$3006),0))="","",INDEX(Transactions!$F$8:$F$3006,MATCH(0,COUNTIF($B$11:B422,Transactions!$F$8:$F$3006),0))),"")</f>
        <v/>
      </c>
      <c r="C423" s="50" t="str">
        <f>IF(B423="","",SUMIF(Transactions!$F$8:$F$3006,B423,Transactions!$H$8:$H$3006))</f>
        <v/>
      </c>
      <c r="D423" s="51" t="str">
        <f>IF(B423="","",SUMIF(Transactions!$F$8:$F$3006,B423,Transactions!$N$8:$N$3006))</f>
        <v/>
      </c>
      <c r="E423" s="52" t="str">
        <f>IF(B423="","",SUMIF(Transactions!$F$8:$F$3006,B423,Transactions!$O$8:$O$3006))</f>
        <v/>
      </c>
      <c r="F423" s="53" t="str">
        <f>IF(B423="","",SUMIF(Transactions!$F$8:$F$3006,B423,Transactions!$R$8:$R$3006))</f>
        <v/>
      </c>
      <c r="G423" s="54" t="str">
        <f>IF(B423="","",(C423+F423)-(D423+E423+SUMIF(Transactions!$F$8:$F$3006,B423,Transactions!$Q$8:$Q$3006)))</f>
        <v/>
      </c>
      <c r="H423" s="55" t="str">
        <f>IF(B423="","",IF(G423&gt;0,"OUTSTANDING",IF(G423=0,"SETTLED",IF(SUMIF(Transactions!$F$8:$F$3006,B423,Transactions!$Q$8:$Q$3006)&gt;SUMIF(Transactions!$F$8:$F$3006,B423,Transactions!$R$8:$R$3006),"OWES","OVERPAID"))))</f>
        <v/>
      </c>
      <c r="I423" s="1"/>
    </row>
    <row r="424" spans="1:9" ht="18" customHeight="1" x14ac:dyDescent="0.25">
      <c r="A424" s="40">
        <v>409</v>
      </c>
      <c r="B424" s="41" t="str">
        <f t="array" ref="B424">IFERROR(IF(INDEX(Transactions!$F$8:$F$3006,MATCH(0,COUNTIF($B$11:B423,Transactions!$F$8:$F$3006),0))="","",INDEX(Transactions!$F$8:$F$3006,MATCH(0,COUNTIF($B$11:B423,Transactions!$F$8:$F$3006),0))),"")</f>
        <v/>
      </c>
      <c r="C424" s="42" t="str">
        <f>IF(B424="","",SUMIF(Transactions!$F$8:$F$3006,B424,Transactions!$H$8:$H$3006))</f>
        <v/>
      </c>
      <c r="D424" s="43" t="str">
        <f>IF(B424="","",SUMIF(Transactions!$F$8:$F$3006,B424,Transactions!$N$8:$N$3006))</f>
        <v/>
      </c>
      <c r="E424" s="44" t="str">
        <f>IF(B424="","",SUMIF(Transactions!$F$8:$F$3006,B424,Transactions!$O$8:$O$3006))</f>
        <v/>
      </c>
      <c r="F424" s="45" t="str">
        <f>IF(B424="","",SUMIF(Transactions!$F$8:$F$3006,B424,Transactions!$R$8:$R$3006))</f>
        <v/>
      </c>
      <c r="G424" s="46" t="str">
        <f>IF(B424="","",(C424+F424)-(D424+E424+SUMIF(Transactions!$F$8:$F$3006,B424,Transactions!$Q$8:$Q$3006)))</f>
        <v/>
      </c>
      <c r="H424" s="47" t="str">
        <f>IF(B424="","",IF(G424&gt;0,"OUTSTANDING",IF(G424=0,"SETTLED",IF(SUMIF(Transactions!$F$8:$F$3006,B424,Transactions!$Q$8:$Q$3006)&gt;SUMIF(Transactions!$F$8:$F$3006,B424,Transactions!$R$8:$R$3006),"OWES","OVERPAID"))))</f>
        <v/>
      </c>
      <c r="I424" s="1"/>
    </row>
    <row r="425" spans="1:9" ht="18" customHeight="1" x14ac:dyDescent="0.25">
      <c r="A425" s="48">
        <v>410</v>
      </c>
      <c r="B425" s="49" t="str">
        <f t="array" ref="B425">IFERROR(IF(INDEX(Transactions!$F$8:$F$3006,MATCH(0,COUNTIF($B$11:B424,Transactions!$F$8:$F$3006),0))="","",INDEX(Transactions!$F$8:$F$3006,MATCH(0,COUNTIF($B$11:B424,Transactions!$F$8:$F$3006),0))),"")</f>
        <v/>
      </c>
      <c r="C425" s="50" t="str">
        <f>IF(B425="","",SUMIF(Transactions!$F$8:$F$3006,B425,Transactions!$H$8:$H$3006))</f>
        <v/>
      </c>
      <c r="D425" s="51" t="str">
        <f>IF(B425="","",SUMIF(Transactions!$F$8:$F$3006,B425,Transactions!$N$8:$N$3006))</f>
        <v/>
      </c>
      <c r="E425" s="52" t="str">
        <f>IF(B425="","",SUMIF(Transactions!$F$8:$F$3006,B425,Transactions!$O$8:$O$3006))</f>
        <v/>
      </c>
      <c r="F425" s="53" t="str">
        <f>IF(B425="","",SUMIF(Transactions!$F$8:$F$3006,B425,Transactions!$R$8:$R$3006))</f>
        <v/>
      </c>
      <c r="G425" s="54" t="str">
        <f>IF(B425="","",(C425+F425)-(D425+E425+SUMIF(Transactions!$F$8:$F$3006,B425,Transactions!$Q$8:$Q$3006)))</f>
        <v/>
      </c>
      <c r="H425" s="55" t="str">
        <f>IF(B425="","",IF(G425&gt;0,"OUTSTANDING",IF(G425=0,"SETTLED",IF(SUMIF(Transactions!$F$8:$F$3006,B425,Transactions!$Q$8:$Q$3006)&gt;SUMIF(Transactions!$F$8:$F$3006,B425,Transactions!$R$8:$R$3006),"OWES","OVERPAID"))))</f>
        <v/>
      </c>
      <c r="I425" s="1"/>
    </row>
    <row r="426" spans="1:9" ht="18" customHeight="1" x14ac:dyDescent="0.25">
      <c r="A426" s="40">
        <v>411</v>
      </c>
      <c r="B426" s="41" t="str">
        <f t="array" ref="B426">IFERROR(IF(INDEX(Transactions!$F$8:$F$3006,MATCH(0,COUNTIF($B$11:B425,Transactions!$F$8:$F$3006),0))="","",INDEX(Transactions!$F$8:$F$3006,MATCH(0,COUNTIF($B$11:B425,Transactions!$F$8:$F$3006),0))),"")</f>
        <v/>
      </c>
      <c r="C426" s="42" t="str">
        <f>IF(B426="","",SUMIF(Transactions!$F$8:$F$3006,B426,Transactions!$H$8:$H$3006))</f>
        <v/>
      </c>
      <c r="D426" s="43" t="str">
        <f>IF(B426="","",SUMIF(Transactions!$F$8:$F$3006,B426,Transactions!$N$8:$N$3006))</f>
        <v/>
      </c>
      <c r="E426" s="44" t="str">
        <f>IF(B426="","",SUMIF(Transactions!$F$8:$F$3006,B426,Transactions!$O$8:$O$3006))</f>
        <v/>
      </c>
      <c r="F426" s="45" t="str">
        <f>IF(B426="","",SUMIF(Transactions!$F$8:$F$3006,B426,Transactions!$R$8:$R$3006))</f>
        <v/>
      </c>
      <c r="G426" s="46" t="str">
        <f>IF(B426="","",(C426+F426)-(D426+E426+SUMIF(Transactions!$F$8:$F$3006,B426,Transactions!$Q$8:$Q$3006)))</f>
        <v/>
      </c>
      <c r="H426" s="47" t="str">
        <f>IF(B426="","",IF(G426&gt;0,"OUTSTANDING",IF(G426=0,"SETTLED",IF(SUMIF(Transactions!$F$8:$F$3006,B426,Transactions!$Q$8:$Q$3006)&gt;SUMIF(Transactions!$F$8:$F$3006,B426,Transactions!$R$8:$R$3006),"OWES","OVERPAID"))))</f>
        <v/>
      </c>
      <c r="I426" s="1"/>
    </row>
    <row r="427" spans="1:9" ht="18" customHeight="1" x14ac:dyDescent="0.25">
      <c r="A427" s="48">
        <v>412</v>
      </c>
      <c r="B427" s="49" t="str">
        <f t="array" ref="B427">IFERROR(IF(INDEX(Transactions!$F$8:$F$3006,MATCH(0,COUNTIF($B$11:B426,Transactions!$F$8:$F$3006),0))="","",INDEX(Transactions!$F$8:$F$3006,MATCH(0,COUNTIF($B$11:B426,Transactions!$F$8:$F$3006),0))),"")</f>
        <v/>
      </c>
      <c r="C427" s="50" t="str">
        <f>IF(B427="","",SUMIF(Transactions!$F$8:$F$3006,B427,Transactions!$H$8:$H$3006))</f>
        <v/>
      </c>
      <c r="D427" s="51" t="str">
        <f>IF(B427="","",SUMIF(Transactions!$F$8:$F$3006,B427,Transactions!$N$8:$N$3006))</f>
        <v/>
      </c>
      <c r="E427" s="52" t="str">
        <f>IF(B427="","",SUMIF(Transactions!$F$8:$F$3006,B427,Transactions!$O$8:$O$3006))</f>
        <v/>
      </c>
      <c r="F427" s="53" t="str">
        <f>IF(B427="","",SUMIF(Transactions!$F$8:$F$3006,B427,Transactions!$R$8:$R$3006))</f>
        <v/>
      </c>
      <c r="G427" s="54" t="str">
        <f>IF(B427="","",(C427+F427)-(D427+E427+SUMIF(Transactions!$F$8:$F$3006,B427,Transactions!$Q$8:$Q$3006)))</f>
        <v/>
      </c>
      <c r="H427" s="55" t="str">
        <f>IF(B427="","",IF(G427&gt;0,"OUTSTANDING",IF(G427=0,"SETTLED",IF(SUMIF(Transactions!$F$8:$F$3006,B427,Transactions!$Q$8:$Q$3006)&gt;SUMIF(Transactions!$F$8:$F$3006,B427,Transactions!$R$8:$R$3006),"OWES","OVERPAID"))))</f>
        <v/>
      </c>
      <c r="I427" s="1"/>
    </row>
    <row r="428" spans="1:9" ht="18" customHeight="1" x14ac:dyDescent="0.25">
      <c r="A428" s="40">
        <v>413</v>
      </c>
      <c r="B428" s="41" t="str">
        <f t="array" ref="B428">IFERROR(IF(INDEX(Transactions!$F$8:$F$3006,MATCH(0,COUNTIF($B$11:B427,Transactions!$F$8:$F$3006),0))="","",INDEX(Transactions!$F$8:$F$3006,MATCH(0,COUNTIF($B$11:B427,Transactions!$F$8:$F$3006),0))),"")</f>
        <v/>
      </c>
      <c r="C428" s="42" t="str">
        <f>IF(B428="","",SUMIF(Transactions!$F$8:$F$3006,B428,Transactions!$H$8:$H$3006))</f>
        <v/>
      </c>
      <c r="D428" s="43" t="str">
        <f>IF(B428="","",SUMIF(Transactions!$F$8:$F$3006,B428,Transactions!$N$8:$N$3006))</f>
        <v/>
      </c>
      <c r="E428" s="44" t="str">
        <f>IF(B428="","",SUMIF(Transactions!$F$8:$F$3006,B428,Transactions!$O$8:$O$3006))</f>
        <v/>
      </c>
      <c r="F428" s="45" t="str">
        <f>IF(B428="","",SUMIF(Transactions!$F$8:$F$3006,B428,Transactions!$R$8:$R$3006))</f>
        <v/>
      </c>
      <c r="G428" s="46" t="str">
        <f>IF(B428="","",(C428+F428)-(D428+E428+SUMIF(Transactions!$F$8:$F$3006,B428,Transactions!$Q$8:$Q$3006)))</f>
        <v/>
      </c>
      <c r="H428" s="47" t="str">
        <f>IF(B428="","",IF(G428&gt;0,"OUTSTANDING",IF(G428=0,"SETTLED",IF(SUMIF(Transactions!$F$8:$F$3006,B428,Transactions!$Q$8:$Q$3006)&gt;SUMIF(Transactions!$F$8:$F$3006,B428,Transactions!$R$8:$R$3006),"OWES","OVERPAID"))))</f>
        <v/>
      </c>
      <c r="I428" s="1"/>
    </row>
    <row r="429" spans="1:9" ht="18" customHeight="1" x14ac:dyDescent="0.25">
      <c r="A429" s="48">
        <v>414</v>
      </c>
      <c r="B429" s="49" t="str">
        <f t="array" ref="B429">IFERROR(IF(INDEX(Transactions!$F$8:$F$3006,MATCH(0,COUNTIF($B$11:B428,Transactions!$F$8:$F$3006),0))="","",INDEX(Transactions!$F$8:$F$3006,MATCH(0,COUNTIF($B$11:B428,Transactions!$F$8:$F$3006),0))),"")</f>
        <v/>
      </c>
      <c r="C429" s="50" t="str">
        <f>IF(B429="","",SUMIF(Transactions!$F$8:$F$3006,B429,Transactions!$H$8:$H$3006))</f>
        <v/>
      </c>
      <c r="D429" s="51" t="str">
        <f>IF(B429="","",SUMIF(Transactions!$F$8:$F$3006,B429,Transactions!$N$8:$N$3006))</f>
        <v/>
      </c>
      <c r="E429" s="52" t="str">
        <f>IF(B429="","",SUMIF(Transactions!$F$8:$F$3006,B429,Transactions!$O$8:$O$3006))</f>
        <v/>
      </c>
      <c r="F429" s="53" t="str">
        <f>IF(B429="","",SUMIF(Transactions!$F$8:$F$3006,B429,Transactions!$R$8:$R$3006))</f>
        <v/>
      </c>
      <c r="G429" s="54" t="str">
        <f>IF(B429="","",(C429+F429)-(D429+E429+SUMIF(Transactions!$F$8:$F$3006,B429,Transactions!$Q$8:$Q$3006)))</f>
        <v/>
      </c>
      <c r="H429" s="55" t="str">
        <f>IF(B429="","",IF(G429&gt;0,"OUTSTANDING",IF(G429=0,"SETTLED",IF(SUMIF(Transactions!$F$8:$F$3006,B429,Transactions!$Q$8:$Q$3006)&gt;SUMIF(Transactions!$F$8:$F$3006,B429,Transactions!$R$8:$R$3006),"OWES","OVERPAID"))))</f>
        <v/>
      </c>
      <c r="I429" s="1"/>
    </row>
    <row r="430" spans="1:9" ht="18" customHeight="1" x14ac:dyDescent="0.25">
      <c r="A430" s="40">
        <v>415</v>
      </c>
      <c r="B430" s="41" t="str">
        <f t="array" ref="B430">IFERROR(IF(INDEX(Transactions!$F$8:$F$3006,MATCH(0,COUNTIF($B$11:B429,Transactions!$F$8:$F$3006),0))="","",INDEX(Transactions!$F$8:$F$3006,MATCH(0,COUNTIF($B$11:B429,Transactions!$F$8:$F$3006),0))),"")</f>
        <v/>
      </c>
      <c r="C430" s="42" t="str">
        <f>IF(B430="","",SUMIF(Transactions!$F$8:$F$3006,B430,Transactions!$H$8:$H$3006))</f>
        <v/>
      </c>
      <c r="D430" s="43" t="str">
        <f>IF(B430="","",SUMIF(Transactions!$F$8:$F$3006,B430,Transactions!$N$8:$N$3006))</f>
        <v/>
      </c>
      <c r="E430" s="44" t="str">
        <f>IF(B430="","",SUMIF(Transactions!$F$8:$F$3006,B430,Transactions!$O$8:$O$3006))</f>
        <v/>
      </c>
      <c r="F430" s="45" t="str">
        <f>IF(B430="","",SUMIF(Transactions!$F$8:$F$3006,B430,Transactions!$R$8:$R$3006))</f>
        <v/>
      </c>
      <c r="G430" s="46" t="str">
        <f>IF(B430="","",(C430+F430)-(D430+E430+SUMIF(Transactions!$F$8:$F$3006,B430,Transactions!$Q$8:$Q$3006)))</f>
        <v/>
      </c>
      <c r="H430" s="47" t="str">
        <f>IF(B430="","",IF(G430&gt;0,"OUTSTANDING",IF(G430=0,"SETTLED",IF(SUMIF(Transactions!$F$8:$F$3006,B430,Transactions!$Q$8:$Q$3006)&gt;SUMIF(Transactions!$F$8:$F$3006,B430,Transactions!$R$8:$R$3006),"OWES","OVERPAID"))))</f>
        <v/>
      </c>
      <c r="I430" s="1"/>
    </row>
    <row r="431" spans="1:9" ht="18" customHeight="1" x14ac:dyDescent="0.25">
      <c r="A431" s="48">
        <v>416</v>
      </c>
      <c r="B431" s="49" t="str">
        <f t="array" ref="B431">IFERROR(IF(INDEX(Transactions!$F$8:$F$3006,MATCH(0,COUNTIF($B$11:B430,Transactions!$F$8:$F$3006),0))="","",INDEX(Transactions!$F$8:$F$3006,MATCH(0,COUNTIF($B$11:B430,Transactions!$F$8:$F$3006),0))),"")</f>
        <v/>
      </c>
      <c r="C431" s="50" t="str">
        <f>IF(B431="","",SUMIF(Transactions!$F$8:$F$3006,B431,Transactions!$H$8:$H$3006))</f>
        <v/>
      </c>
      <c r="D431" s="51" t="str">
        <f>IF(B431="","",SUMIF(Transactions!$F$8:$F$3006,B431,Transactions!$N$8:$N$3006))</f>
        <v/>
      </c>
      <c r="E431" s="52" t="str">
        <f>IF(B431="","",SUMIF(Transactions!$F$8:$F$3006,B431,Transactions!$O$8:$O$3006))</f>
        <v/>
      </c>
      <c r="F431" s="53" t="str">
        <f>IF(B431="","",SUMIF(Transactions!$F$8:$F$3006,B431,Transactions!$R$8:$R$3006))</f>
        <v/>
      </c>
      <c r="G431" s="54" t="str">
        <f>IF(B431="","",(C431+F431)-(D431+E431+SUMIF(Transactions!$F$8:$F$3006,B431,Transactions!$Q$8:$Q$3006)))</f>
        <v/>
      </c>
      <c r="H431" s="55" t="str">
        <f>IF(B431="","",IF(G431&gt;0,"OUTSTANDING",IF(G431=0,"SETTLED",IF(SUMIF(Transactions!$F$8:$F$3006,B431,Transactions!$Q$8:$Q$3006)&gt;SUMIF(Transactions!$F$8:$F$3006,B431,Transactions!$R$8:$R$3006),"OWES","OVERPAID"))))</f>
        <v/>
      </c>
      <c r="I431" s="1"/>
    </row>
    <row r="432" spans="1:9" ht="18" customHeight="1" x14ac:dyDescent="0.25">
      <c r="A432" s="40">
        <v>417</v>
      </c>
      <c r="B432" s="41" t="str">
        <f t="array" ref="B432">IFERROR(IF(INDEX(Transactions!$F$8:$F$3006,MATCH(0,COUNTIF($B$11:B431,Transactions!$F$8:$F$3006),0))="","",INDEX(Transactions!$F$8:$F$3006,MATCH(0,COUNTIF($B$11:B431,Transactions!$F$8:$F$3006),0))),"")</f>
        <v/>
      </c>
      <c r="C432" s="42" t="str">
        <f>IF(B432="","",SUMIF(Transactions!$F$8:$F$3006,B432,Transactions!$H$8:$H$3006))</f>
        <v/>
      </c>
      <c r="D432" s="43" t="str">
        <f>IF(B432="","",SUMIF(Transactions!$F$8:$F$3006,B432,Transactions!$N$8:$N$3006))</f>
        <v/>
      </c>
      <c r="E432" s="44" t="str">
        <f>IF(B432="","",SUMIF(Transactions!$F$8:$F$3006,B432,Transactions!$O$8:$O$3006))</f>
        <v/>
      </c>
      <c r="F432" s="45" t="str">
        <f>IF(B432="","",SUMIF(Transactions!$F$8:$F$3006,B432,Transactions!$R$8:$R$3006))</f>
        <v/>
      </c>
      <c r="G432" s="46" t="str">
        <f>IF(B432="","",(C432+F432)-(D432+E432+SUMIF(Transactions!$F$8:$F$3006,B432,Transactions!$Q$8:$Q$3006)))</f>
        <v/>
      </c>
      <c r="H432" s="47" t="str">
        <f>IF(B432="","",IF(G432&gt;0,"OUTSTANDING",IF(G432=0,"SETTLED",IF(SUMIF(Transactions!$F$8:$F$3006,B432,Transactions!$Q$8:$Q$3006)&gt;SUMIF(Transactions!$F$8:$F$3006,B432,Transactions!$R$8:$R$3006),"OWES","OVERPAID"))))</f>
        <v/>
      </c>
      <c r="I432" s="1"/>
    </row>
    <row r="433" spans="1:9" ht="18" customHeight="1" x14ac:dyDescent="0.25">
      <c r="A433" s="48">
        <v>418</v>
      </c>
      <c r="B433" s="49" t="str">
        <f t="array" ref="B433">IFERROR(IF(INDEX(Transactions!$F$8:$F$3006,MATCH(0,COUNTIF($B$11:B432,Transactions!$F$8:$F$3006),0))="","",INDEX(Transactions!$F$8:$F$3006,MATCH(0,COUNTIF($B$11:B432,Transactions!$F$8:$F$3006),0))),"")</f>
        <v/>
      </c>
      <c r="C433" s="50" t="str">
        <f>IF(B433="","",SUMIF(Transactions!$F$8:$F$3006,B433,Transactions!$H$8:$H$3006))</f>
        <v/>
      </c>
      <c r="D433" s="51" t="str">
        <f>IF(B433="","",SUMIF(Transactions!$F$8:$F$3006,B433,Transactions!$N$8:$N$3006))</f>
        <v/>
      </c>
      <c r="E433" s="52" t="str">
        <f>IF(B433="","",SUMIF(Transactions!$F$8:$F$3006,B433,Transactions!$O$8:$O$3006))</f>
        <v/>
      </c>
      <c r="F433" s="53" t="str">
        <f>IF(B433="","",SUMIF(Transactions!$F$8:$F$3006,B433,Transactions!$R$8:$R$3006))</f>
        <v/>
      </c>
      <c r="G433" s="54" t="str">
        <f>IF(B433="","",(C433+F433)-(D433+E433+SUMIF(Transactions!$F$8:$F$3006,B433,Transactions!$Q$8:$Q$3006)))</f>
        <v/>
      </c>
      <c r="H433" s="55" t="str">
        <f>IF(B433="","",IF(G433&gt;0,"OUTSTANDING",IF(G433=0,"SETTLED",IF(SUMIF(Transactions!$F$8:$F$3006,B433,Transactions!$Q$8:$Q$3006)&gt;SUMIF(Transactions!$F$8:$F$3006,B433,Transactions!$R$8:$R$3006),"OWES","OVERPAID"))))</f>
        <v/>
      </c>
      <c r="I433" s="1"/>
    </row>
    <row r="434" spans="1:9" ht="18" customHeight="1" x14ac:dyDescent="0.25">
      <c r="A434" s="40">
        <v>419</v>
      </c>
      <c r="B434" s="41" t="str">
        <f t="array" ref="B434">IFERROR(IF(INDEX(Transactions!$F$8:$F$3006,MATCH(0,COUNTIF($B$11:B433,Transactions!$F$8:$F$3006),0))="","",INDEX(Transactions!$F$8:$F$3006,MATCH(0,COUNTIF($B$11:B433,Transactions!$F$8:$F$3006),0))),"")</f>
        <v/>
      </c>
      <c r="C434" s="42" t="str">
        <f>IF(B434="","",SUMIF(Transactions!$F$8:$F$3006,B434,Transactions!$H$8:$H$3006))</f>
        <v/>
      </c>
      <c r="D434" s="43" t="str">
        <f>IF(B434="","",SUMIF(Transactions!$F$8:$F$3006,B434,Transactions!$N$8:$N$3006))</f>
        <v/>
      </c>
      <c r="E434" s="44" t="str">
        <f>IF(B434="","",SUMIF(Transactions!$F$8:$F$3006,B434,Transactions!$O$8:$O$3006))</f>
        <v/>
      </c>
      <c r="F434" s="45" t="str">
        <f>IF(B434="","",SUMIF(Transactions!$F$8:$F$3006,B434,Transactions!$R$8:$R$3006))</f>
        <v/>
      </c>
      <c r="G434" s="46" t="str">
        <f>IF(B434="","",(C434+F434)-(D434+E434+SUMIF(Transactions!$F$8:$F$3006,B434,Transactions!$Q$8:$Q$3006)))</f>
        <v/>
      </c>
      <c r="H434" s="47" t="str">
        <f>IF(B434="","",IF(G434&gt;0,"OUTSTANDING",IF(G434=0,"SETTLED",IF(SUMIF(Transactions!$F$8:$F$3006,B434,Transactions!$Q$8:$Q$3006)&gt;SUMIF(Transactions!$F$8:$F$3006,B434,Transactions!$R$8:$R$3006),"OWES","OVERPAID"))))</f>
        <v/>
      </c>
      <c r="I434" s="1"/>
    </row>
    <row r="435" spans="1:9" ht="18" customHeight="1" x14ac:dyDescent="0.25">
      <c r="A435" s="48">
        <v>420</v>
      </c>
      <c r="B435" s="49" t="str">
        <f t="array" ref="B435">IFERROR(IF(INDEX(Transactions!$F$8:$F$3006,MATCH(0,COUNTIF($B$11:B434,Transactions!$F$8:$F$3006),0))="","",INDEX(Transactions!$F$8:$F$3006,MATCH(0,COUNTIF($B$11:B434,Transactions!$F$8:$F$3006),0))),"")</f>
        <v/>
      </c>
      <c r="C435" s="50" t="str">
        <f>IF(B435="","",SUMIF(Transactions!$F$8:$F$3006,B435,Transactions!$H$8:$H$3006))</f>
        <v/>
      </c>
      <c r="D435" s="51" t="str">
        <f>IF(B435="","",SUMIF(Transactions!$F$8:$F$3006,B435,Transactions!$N$8:$N$3006))</f>
        <v/>
      </c>
      <c r="E435" s="52" t="str">
        <f>IF(B435="","",SUMIF(Transactions!$F$8:$F$3006,B435,Transactions!$O$8:$O$3006))</f>
        <v/>
      </c>
      <c r="F435" s="53" t="str">
        <f>IF(B435="","",SUMIF(Transactions!$F$8:$F$3006,B435,Transactions!$R$8:$R$3006))</f>
        <v/>
      </c>
      <c r="G435" s="54" t="str">
        <f>IF(B435="","",(C435+F435)-(D435+E435+SUMIF(Transactions!$F$8:$F$3006,B435,Transactions!$Q$8:$Q$3006)))</f>
        <v/>
      </c>
      <c r="H435" s="55" t="str">
        <f>IF(B435="","",IF(G435&gt;0,"OUTSTANDING",IF(G435=0,"SETTLED",IF(SUMIF(Transactions!$F$8:$F$3006,B435,Transactions!$Q$8:$Q$3006)&gt;SUMIF(Transactions!$F$8:$F$3006,B435,Transactions!$R$8:$R$3006),"OWES","OVERPAID"))))</f>
        <v/>
      </c>
      <c r="I435" s="1"/>
    </row>
    <row r="436" spans="1:9" ht="18" customHeight="1" x14ac:dyDescent="0.25">
      <c r="A436" s="40">
        <v>421</v>
      </c>
      <c r="B436" s="41" t="str">
        <f t="array" ref="B436">IFERROR(IF(INDEX(Transactions!$F$8:$F$3006,MATCH(0,COUNTIF($B$11:B435,Transactions!$F$8:$F$3006),0))="","",INDEX(Transactions!$F$8:$F$3006,MATCH(0,COUNTIF($B$11:B435,Transactions!$F$8:$F$3006),0))),"")</f>
        <v/>
      </c>
      <c r="C436" s="42" t="str">
        <f>IF(B436="","",SUMIF(Transactions!$F$8:$F$3006,B436,Transactions!$H$8:$H$3006))</f>
        <v/>
      </c>
      <c r="D436" s="43" t="str">
        <f>IF(B436="","",SUMIF(Transactions!$F$8:$F$3006,B436,Transactions!$N$8:$N$3006))</f>
        <v/>
      </c>
      <c r="E436" s="44" t="str">
        <f>IF(B436="","",SUMIF(Transactions!$F$8:$F$3006,B436,Transactions!$O$8:$O$3006))</f>
        <v/>
      </c>
      <c r="F436" s="45" t="str">
        <f>IF(B436="","",SUMIF(Transactions!$F$8:$F$3006,B436,Transactions!$R$8:$R$3006))</f>
        <v/>
      </c>
      <c r="G436" s="46" t="str">
        <f>IF(B436="","",(C436+F436)-(D436+E436+SUMIF(Transactions!$F$8:$F$3006,B436,Transactions!$Q$8:$Q$3006)))</f>
        <v/>
      </c>
      <c r="H436" s="47" t="str">
        <f>IF(B436="","",IF(G436&gt;0,"OUTSTANDING",IF(G436=0,"SETTLED",IF(SUMIF(Transactions!$F$8:$F$3006,B436,Transactions!$Q$8:$Q$3006)&gt;SUMIF(Transactions!$F$8:$F$3006,B436,Transactions!$R$8:$R$3006),"OWES","OVERPAID"))))</f>
        <v/>
      </c>
      <c r="I436" s="1"/>
    </row>
    <row r="437" spans="1:9" ht="18" customHeight="1" x14ac:dyDescent="0.25">
      <c r="A437" s="48">
        <v>422</v>
      </c>
      <c r="B437" s="49" t="str">
        <f t="array" ref="B437">IFERROR(IF(INDEX(Transactions!$F$8:$F$3006,MATCH(0,COUNTIF($B$11:B436,Transactions!$F$8:$F$3006),0))="","",INDEX(Transactions!$F$8:$F$3006,MATCH(0,COUNTIF($B$11:B436,Transactions!$F$8:$F$3006),0))),"")</f>
        <v/>
      </c>
      <c r="C437" s="50" t="str">
        <f>IF(B437="","",SUMIF(Transactions!$F$8:$F$3006,B437,Transactions!$H$8:$H$3006))</f>
        <v/>
      </c>
      <c r="D437" s="51" t="str">
        <f>IF(B437="","",SUMIF(Transactions!$F$8:$F$3006,B437,Transactions!$N$8:$N$3006))</f>
        <v/>
      </c>
      <c r="E437" s="52" t="str">
        <f>IF(B437="","",SUMIF(Transactions!$F$8:$F$3006,B437,Transactions!$O$8:$O$3006))</f>
        <v/>
      </c>
      <c r="F437" s="53" t="str">
        <f>IF(B437="","",SUMIF(Transactions!$F$8:$F$3006,B437,Transactions!$R$8:$R$3006))</f>
        <v/>
      </c>
      <c r="G437" s="54" t="str">
        <f>IF(B437="","",(C437+F437)-(D437+E437+SUMIF(Transactions!$F$8:$F$3006,B437,Transactions!$Q$8:$Q$3006)))</f>
        <v/>
      </c>
      <c r="H437" s="55" t="str">
        <f>IF(B437="","",IF(G437&gt;0,"OUTSTANDING",IF(G437=0,"SETTLED",IF(SUMIF(Transactions!$F$8:$F$3006,B437,Transactions!$Q$8:$Q$3006)&gt;SUMIF(Transactions!$F$8:$F$3006,B437,Transactions!$R$8:$R$3006),"OWES","OVERPAID"))))</f>
        <v/>
      </c>
      <c r="I437" s="1"/>
    </row>
    <row r="438" spans="1:9" ht="18" customHeight="1" x14ac:dyDescent="0.25">
      <c r="A438" s="40">
        <v>423</v>
      </c>
      <c r="B438" s="41" t="str">
        <f t="array" ref="B438">IFERROR(IF(INDEX(Transactions!$F$8:$F$3006,MATCH(0,COUNTIF($B$11:B437,Transactions!$F$8:$F$3006),0))="","",INDEX(Transactions!$F$8:$F$3006,MATCH(0,COUNTIF($B$11:B437,Transactions!$F$8:$F$3006),0))),"")</f>
        <v/>
      </c>
      <c r="C438" s="42" t="str">
        <f>IF(B438="","",SUMIF(Transactions!$F$8:$F$3006,B438,Transactions!$H$8:$H$3006))</f>
        <v/>
      </c>
      <c r="D438" s="43" t="str">
        <f>IF(B438="","",SUMIF(Transactions!$F$8:$F$3006,B438,Transactions!$N$8:$N$3006))</f>
        <v/>
      </c>
      <c r="E438" s="44" t="str">
        <f>IF(B438="","",SUMIF(Transactions!$F$8:$F$3006,B438,Transactions!$O$8:$O$3006))</f>
        <v/>
      </c>
      <c r="F438" s="45" t="str">
        <f>IF(B438="","",SUMIF(Transactions!$F$8:$F$3006,B438,Transactions!$R$8:$R$3006))</f>
        <v/>
      </c>
      <c r="G438" s="46" t="str">
        <f>IF(B438="","",(C438+F438)-(D438+E438+SUMIF(Transactions!$F$8:$F$3006,B438,Transactions!$Q$8:$Q$3006)))</f>
        <v/>
      </c>
      <c r="H438" s="47" t="str">
        <f>IF(B438="","",IF(G438&gt;0,"OUTSTANDING",IF(G438=0,"SETTLED",IF(SUMIF(Transactions!$F$8:$F$3006,B438,Transactions!$Q$8:$Q$3006)&gt;SUMIF(Transactions!$F$8:$F$3006,B438,Transactions!$R$8:$R$3006),"OWES","OVERPAID"))))</f>
        <v/>
      </c>
      <c r="I438" s="1"/>
    </row>
    <row r="439" spans="1:9" ht="18" customHeight="1" x14ac:dyDescent="0.25">
      <c r="A439" s="48">
        <v>424</v>
      </c>
      <c r="B439" s="49" t="str">
        <f t="array" ref="B439">IFERROR(IF(INDEX(Transactions!$F$8:$F$3006,MATCH(0,COUNTIF($B$11:B438,Transactions!$F$8:$F$3006),0))="","",INDEX(Transactions!$F$8:$F$3006,MATCH(0,COUNTIF($B$11:B438,Transactions!$F$8:$F$3006),0))),"")</f>
        <v/>
      </c>
      <c r="C439" s="50" t="str">
        <f>IF(B439="","",SUMIF(Transactions!$F$8:$F$3006,B439,Transactions!$H$8:$H$3006))</f>
        <v/>
      </c>
      <c r="D439" s="51" t="str">
        <f>IF(B439="","",SUMIF(Transactions!$F$8:$F$3006,B439,Transactions!$N$8:$N$3006))</f>
        <v/>
      </c>
      <c r="E439" s="52" t="str">
        <f>IF(B439="","",SUMIF(Transactions!$F$8:$F$3006,B439,Transactions!$O$8:$O$3006))</f>
        <v/>
      </c>
      <c r="F439" s="53" t="str">
        <f>IF(B439="","",SUMIF(Transactions!$F$8:$F$3006,B439,Transactions!$R$8:$R$3006))</f>
        <v/>
      </c>
      <c r="G439" s="54" t="str">
        <f>IF(B439="","",(C439+F439)-(D439+E439+SUMIF(Transactions!$F$8:$F$3006,B439,Transactions!$Q$8:$Q$3006)))</f>
        <v/>
      </c>
      <c r="H439" s="55" t="str">
        <f>IF(B439="","",IF(G439&gt;0,"OUTSTANDING",IF(G439=0,"SETTLED",IF(SUMIF(Transactions!$F$8:$F$3006,B439,Transactions!$Q$8:$Q$3006)&gt;SUMIF(Transactions!$F$8:$F$3006,B439,Transactions!$R$8:$R$3006),"OWES","OVERPAID"))))</f>
        <v/>
      </c>
      <c r="I439" s="1"/>
    </row>
    <row r="440" spans="1:9" ht="18" customHeight="1" x14ac:dyDescent="0.25">
      <c r="A440" s="40">
        <v>425</v>
      </c>
      <c r="B440" s="41" t="str">
        <f t="array" ref="B440">IFERROR(IF(INDEX(Transactions!$F$8:$F$3006,MATCH(0,COUNTIF($B$11:B439,Transactions!$F$8:$F$3006),0))="","",INDEX(Transactions!$F$8:$F$3006,MATCH(0,COUNTIF($B$11:B439,Transactions!$F$8:$F$3006),0))),"")</f>
        <v/>
      </c>
      <c r="C440" s="42" t="str">
        <f>IF(B440="","",SUMIF(Transactions!$F$8:$F$3006,B440,Transactions!$H$8:$H$3006))</f>
        <v/>
      </c>
      <c r="D440" s="43" t="str">
        <f>IF(B440="","",SUMIF(Transactions!$F$8:$F$3006,B440,Transactions!$N$8:$N$3006))</f>
        <v/>
      </c>
      <c r="E440" s="44" t="str">
        <f>IF(B440="","",SUMIF(Transactions!$F$8:$F$3006,B440,Transactions!$O$8:$O$3006))</f>
        <v/>
      </c>
      <c r="F440" s="45" t="str">
        <f>IF(B440="","",SUMIF(Transactions!$F$8:$F$3006,B440,Transactions!$R$8:$R$3006))</f>
        <v/>
      </c>
      <c r="G440" s="46" t="str">
        <f>IF(B440="","",(C440+F440)-(D440+E440+SUMIF(Transactions!$F$8:$F$3006,B440,Transactions!$Q$8:$Q$3006)))</f>
        <v/>
      </c>
      <c r="H440" s="47" t="str">
        <f>IF(B440="","",IF(G440&gt;0,"OUTSTANDING",IF(G440=0,"SETTLED",IF(SUMIF(Transactions!$F$8:$F$3006,B440,Transactions!$Q$8:$Q$3006)&gt;SUMIF(Transactions!$F$8:$F$3006,B440,Transactions!$R$8:$R$3006),"OWES","OVERPAID"))))</f>
        <v/>
      </c>
      <c r="I440" s="1"/>
    </row>
    <row r="441" spans="1:9" ht="18" customHeight="1" x14ac:dyDescent="0.25">
      <c r="A441" s="48">
        <v>426</v>
      </c>
      <c r="B441" s="49" t="str">
        <f t="array" ref="B441">IFERROR(IF(INDEX(Transactions!$F$8:$F$3006,MATCH(0,COUNTIF($B$11:B440,Transactions!$F$8:$F$3006),0))="","",INDEX(Transactions!$F$8:$F$3006,MATCH(0,COUNTIF($B$11:B440,Transactions!$F$8:$F$3006),0))),"")</f>
        <v/>
      </c>
      <c r="C441" s="50" t="str">
        <f>IF(B441="","",SUMIF(Transactions!$F$8:$F$3006,B441,Transactions!$H$8:$H$3006))</f>
        <v/>
      </c>
      <c r="D441" s="51" t="str">
        <f>IF(B441="","",SUMIF(Transactions!$F$8:$F$3006,B441,Transactions!$N$8:$N$3006))</f>
        <v/>
      </c>
      <c r="E441" s="52" t="str">
        <f>IF(B441="","",SUMIF(Transactions!$F$8:$F$3006,B441,Transactions!$O$8:$O$3006))</f>
        <v/>
      </c>
      <c r="F441" s="53" t="str">
        <f>IF(B441="","",SUMIF(Transactions!$F$8:$F$3006,B441,Transactions!$R$8:$R$3006))</f>
        <v/>
      </c>
      <c r="G441" s="54" t="str">
        <f>IF(B441="","",(C441+F441)-(D441+E441+SUMIF(Transactions!$F$8:$F$3006,B441,Transactions!$Q$8:$Q$3006)))</f>
        <v/>
      </c>
      <c r="H441" s="55" t="str">
        <f>IF(B441="","",IF(G441&gt;0,"OUTSTANDING",IF(G441=0,"SETTLED",IF(SUMIF(Transactions!$F$8:$F$3006,B441,Transactions!$Q$8:$Q$3006)&gt;SUMIF(Transactions!$F$8:$F$3006,B441,Transactions!$R$8:$R$3006),"OWES","OVERPAID"))))</f>
        <v/>
      </c>
      <c r="I441" s="1"/>
    </row>
    <row r="442" spans="1:9" ht="18" customHeight="1" x14ac:dyDescent="0.25">
      <c r="A442" s="40">
        <v>427</v>
      </c>
      <c r="B442" s="41" t="str">
        <f t="array" ref="B442">IFERROR(IF(INDEX(Transactions!$F$8:$F$3006,MATCH(0,COUNTIF($B$11:B441,Transactions!$F$8:$F$3006),0))="","",INDEX(Transactions!$F$8:$F$3006,MATCH(0,COUNTIF($B$11:B441,Transactions!$F$8:$F$3006),0))),"")</f>
        <v/>
      </c>
      <c r="C442" s="42" t="str">
        <f>IF(B442="","",SUMIF(Transactions!$F$8:$F$3006,B442,Transactions!$H$8:$H$3006))</f>
        <v/>
      </c>
      <c r="D442" s="43" t="str">
        <f>IF(B442="","",SUMIF(Transactions!$F$8:$F$3006,B442,Transactions!$N$8:$N$3006))</f>
        <v/>
      </c>
      <c r="E442" s="44" t="str">
        <f>IF(B442="","",SUMIF(Transactions!$F$8:$F$3006,B442,Transactions!$O$8:$O$3006))</f>
        <v/>
      </c>
      <c r="F442" s="45" t="str">
        <f>IF(B442="","",SUMIF(Transactions!$F$8:$F$3006,B442,Transactions!$R$8:$R$3006))</f>
        <v/>
      </c>
      <c r="G442" s="46" t="str">
        <f>IF(B442="","",(C442+F442)-(D442+E442+SUMIF(Transactions!$F$8:$F$3006,B442,Transactions!$Q$8:$Q$3006)))</f>
        <v/>
      </c>
      <c r="H442" s="47" t="str">
        <f>IF(B442="","",IF(G442&gt;0,"OUTSTANDING",IF(G442=0,"SETTLED",IF(SUMIF(Transactions!$F$8:$F$3006,B442,Transactions!$Q$8:$Q$3006)&gt;SUMIF(Transactions!$F$8:$F$3006,B442,Transactions!$R$8:$R$3006),"OWES","OVERPAID"))))</f>
        <v/>
      </c>
      <c r="I442" s="1"/>
    </row>
    <row r="443" spans="1:9" ht="18" customHeight="1" x14ac:dyDescent="0.25">
      <c r="A443" s="48">
        <v>428</v>
      </c>
      <c r="B443" s="49" t="str">
        <f t="array" ref="B443">IFERROR(IF(INDEX(Transactions!$F$8:$F$3006,MATCH(0,COUNTIF($B$11:B442,Transactions!$F$8:$F$3006),0))="","",INDEX(Transactions!$F$8:$F$3006,MATCH(0,COUNTIF($B$11:B442,Transactions!$F$8:$F$3006),0))),"")</f>
        <v/>
      </c>
      <c r="C443" s="50" t="str">
        <f>IF(B443="","",SUMIF(Transactions!$F$8:$F$3006,B443,Transactions!$H$8:$H$3006))</f>
        <v/>
      </c>
      <c r="D443" s="51" t="str">
        <f>IF(B443="","",SUMIF(Transactions!$F$8:$F$3006,B443,Transactions!$N$8:$N$3006))</f>
        <v/>
      </c>
      <c r="E443" s="52" t="str">
        <f>IF(B443="","",SUMIF(Transactions!$F$8:$F$3006,B443,Transactions!$O$8:$O$3006))</f>
        <v/>
      </c>
      <c r="F443" s="53" t="str">
        <f>IF(B443="","",SUMIF(Transactions!$F$8:$F$3006,B443,Transactions!$R$8:$R$3006))</f>
        <v/>
      </c>
      <c r="G443" s="54" t="str">
        <f>IF(B443="","",(C443+F443)-(D443+E443+SUMIF(Transactions!$F$8:$F$3006,B443,Transactions!$Q$8:$Q$3006)))</f>
        <v/>
      </c>
      <c r="H443" s="55" t="str">
        <f>IF(B443="","",IF(G443&gt;0,"OUTSTANDING",IF(G443=0,"SETTLED",IF(SUMIF(Transactions!$F$8:$F$3006,B443,Transactions!$Q$8:$Q$3006)&gt;SUMIF(Transactions!$F$8:$F$3006,B443,Transactions!$R$8:$R$3006),"OWES","OVERPAID"))))</f>
        <v/>
      </c>
      <c r="I443" s="1"/>
    </row>
    <row r="444" spans="1:9" ht="18" customHeight="1" x14ac:dyDescent="0.25">
      <c r="A444" s="40">
        <v>429</v>
      </c>
      <c r="B444" s="41" t="str">
        <f t="array" ref="B444">IFERROR(IF(INDEX(Transactions!$F$8:$F$3006,MATCH(0,COUNTIF($B$11:B443,Transactions!$F$8:$F$3006),0))="","",INDEX(Transactions!$F$8:$F$3006,MATCH(0,COUNTIF($B$11:B443,Transactions!$F$8:$F$3006),0))),"")</f>
        <v/>
      </c>
      <c r="C444" s="42" t="str">
        <f>IF(B444="","",SUMIF(Transactions!$F$8:$F$3006,B444,Transactions!$H$8:$H$3006))</f>
        <v/>
      </c>
      <c r="D444" s="43" t="str">
        <f>IF(B444="","",SUMIF(Transactions!$F$8:$F$3006,B444,Transactions!$N$8:$N$3006))</f>
        <v/>
      </c>
      <c r="E444" s="44" t="str">
        <f>IF(B444="","",SUMIF(Transactions!$F$8:$F$3006,B444,Transactions!$O$8:$O$3006))</f>
        <v/>
      </c>
      <c r="F444" s="45" t="str">
        <f>IF(B444="","",SUMIF(Transactions!$F$8:$F$3006,B444,Transactions!$R$8:$R$3006))</f>
        <v/>
      </c>
      <c r="G444" s="46" t="str">
        <f>IF(B444="","",(C444+F444)-(D444+E444+SUMIF(Transactions!$F$8:$F$3006,B444,Transactions!$Q$8:$Q$3006)))</f>
        <v/>
      </c>
      <c r="H444" s="47" t="str">
        <f>IF(B444="","",IF(G444&gt;0,"OUTSTANDING",IF(G444=0,"SETTLED",IF(SUMIF(Transactions!$F$8:$F$3006,B444,Transactions!$Q$8:$Q$3006)&gt;SUMIF(Transactions!$F$8:$F$3006,B444,Transactions!$R$8:$R$3006),"OWES","OVERPAID"))))</f>
        <v/>
      </c>
      <c r="I444" s="1"/>
    </row>
    <row r="445" spans="1:9" ht="18" customHeight="1" x14ac:dyDescent="0.25">
      <c r="A445" s="48">
        <v>430</v>
      </c>
      <c r="B445" s="49" t="str">
        <f t="array" ref="B445">IFERROR(IF(INDEX(Transactions!$F$8:$F$3006,MATCH(0,COUNTIF($B$11:B444,Transactions!$F$8:$F$3006),0))="","",INDEX(Transactions!$F$8:$F$3006,MATCH(0,COUNTIF($B$11:B444,Transactions!$F$8:$F$3006),0))),"")</f>
        <v/>
      </c>
      <c r="C445" s="50" t="str">
        <f>IF(B445="","",SUMIF(Transactions!$F$8:$F$3006,B445,Transactions!$H$8:$H$3006))</f>
        <v/>
      </c>
      <c r="D445" s="51" t="str">
        <f>IF(B445="","",SUMIF(Transactions!$F$8:$F$3006,B445,Transactions!$N$8:$N$3006))</f>
        <v/>
      </c>
      <c r="E445" s="52" t="str">
        <f>IF(B445="","",SUMIF(Transactions!$F$8:$F$3006,B445,Transactions!$O$8:$O$3006))</f>
        <v/>
      </c>
      <c r="F445" s="53" t="str">
        <f>IF(B445="","",SUMIF(Transactions!$F$8:$F$3006,B445,Transactions!$R$8:$R$3006))</f>
        <v/>
      </c>
      <c r="G445" s="54" t="str">
        <f>IF(B445="","",(C445+F445)-(D445+E445+SUMIF(Transactions!$F$8:$F$3006,B445,Transactions!$Q$8:$Q$3006)))</f>
        <v/>
      </c>
      <c r="H445" s="55" t="str">
        <f>IF(B445="","",IF(G445&gt;0,"OUTSTANDING",IF(G445=0,"SETTLED",IF(SUMIF(Transactions!$F$8:$F$3006,B445,Transactions!$Q$8:$Q$3006)&gt;SUMIF(Transactions!$F$8:$F$3006,B445,Transactions!$R$8:$R$3006),"OWES","OVERPAID"))))</f>
        <v/>
      </c>
      <c r="I445" s="1"/>
    </row>
    <row r="446" spans="1:9" ht="18" customHeight="1" x14ac:dyDescent="0.25">
      <c r="A446" s="40">
        <v>431</v>
      </c>
      <c r="B446" s="41" t="str">
        <f t="array" ref="B446">IFERROR(IF(INDEX(Transactions!$F$8:$F$3006,MATCH(0,COUNTIF($B$11:B445,Transactions!$F$8:$F$3006),0))="","",INDEX(Transactions!$F$8:$F$3006,MATCH(0,COUNTIF($B$11:B445,Transactions!$F$8:$F$3006),0))),"")</f>
        <v/>
      </c>
      <c r="C446" s="42" t="str">
        <f>IF(B446="","",SUMIF(Transactions!$F$8:$F$3006,B446,Transactions!$H$8:$H$3006))</f>
        <v/>
      </c>
      <c r="D446" s="43" t="str">
        <f>IF(B446="","",SUMIF(Transactions!$F$8:$F$3006,B446,Transactions!$N$8:$N$3006))</f>
        <v/>
      </c>
      <c r="E446" s="44" t="str">
        <f>IF(B446="","",SUMIF(Transactions!$F$8:$F$3006,B446,Transactions!$O$8:$O$3006))</f>
        <v/>
      </c>
      <c r="F446" s="45" t="str">
        <f>IF(B446="","",SUMIF(Transactions!$F$8:$F$3006,B446,Transactions!$R$8:$R$3006))</f>
        <v/>
      </c>
      <c r="G446" s="46" t="str">
        <f>IF(B446="","",(C446+F446)-(D446+E446+SUMIF(Transactions!$F$8:$F$3006,B446,Transactions!$Q$8:$Q$3006)))</f>
        <v/>
      </c>
      <c r="H446" s="47" t="str">
        <f>IF(B446="","",IF(G446&gt;0,"OUTSTANDING",IF(G446=0,"SETTLED",IF(SUMIF(Transactions!$F$8:$F$3006,B446,Transactions!$Q$8:$Q$3006)&gt;SUMIF(Transactions!$F$8:$F$3006,B446,Transactions!$R$8:$R$3006),"OWES","OVERPAID"))))</f>
        <v/>
      </c>
      <c r="I446" s="1"/>
    </row>
    <row r="447" spans="1:9" ht="18" customHeight="1" x14ac:dyDescent="0.25">
      <c r="A447" s="48">
        <v>432</v>
      </c>
      <c r="B447" s="49" t="str">
        <f t="array" ref="B447">IFERROR(IF(INDEX(Transactions!$F$8:$F$3006,MATCH(0,COUNTIF($B$11:B446,Transactions!$F$8:$F$3006),0))="","",INDEX(Transactions!$F$8:$F$3006,MATCH(0,COUNTIF($B$11:B446,Transactions!$F$8:$F$3006),0))),"")</f>
        <v/>
      </c>
      <c r="C447" s="50" t="str">
        <f>IF(B447="","",SUMIF(Transactions!$F$8:$F$3006,B447,Transactions!$H$8:$H$3006))</f>
        <v/>
      </c>
      <c r="D447" s="51" t="str">
        <f>IF(B447="","",SUMIF(Transactions!$F$8:$F$3006,B447,Transactions!$N$8:$N$3006))</f>
        <v/>
      </c>
      <c r="E447" s="52" t="str">
        <f>IF(B447="","",SUMIF(Transactions!$F$8:$F$3006,B447,Transactions!$O$8:$O$3006))</f>
        <v/>
      </c>
      <c r="F447" s="53" t="str">
        <f>IF(B447="","",SUMIF(Transactions!$F$8:$F$3006,B447,Transactions!$R$8:$R$3006))</f>
        <v/>
      </c>
      <c r="G447" s="54" t="str">
        <f>IF(B447="","",(C447+F447)-(D447+E447+SUMIF(Transactions!$F$8:$F$3006,B447,Transactions!$Q$8:$Q$3006)))</f>
        <v/>
      </c>
      <c r="H447" s="55" t="str">
        <f>IF(B447="","",IF(G447&gt;0,"OUTSTANDING",IF(G447=0,"SETTLED",IF(SUMIF(Transactions!$F$8:$F$3006,B447,Transactions!$Q$8:$Q$3006)&gt;SUMIF(Transactions!$F$8:$F$3006,B447,Transactions!$R$8:$R$3006),"OWES","OVERPAID"))))</f>
        <v/>
      </c>
      <c r="I447" s="1"/>
    </row>
    <row r="448" spans="1:9" ht="18" customHeight="1" x14ac:dyDescent="0.25">
      <c r="A448" s="40">
        <v>433</v>
      </c>
      <c r="B448" s="41" t="str">
        <f t="array" ref="B448">IFERROR(IF(INDEX(Transactions!$F$8:$F$3006,MATCH(0,COUNTIF($B$11:B447,Transactions!$F$8:$F$3006),0))="","",INDEX(Transactions!$F$8:$F$3006,MATCH(0,COUNTIF($B$11:B447,Transactions!$F$8:$F$3006),0))),"")</f>
        <v/>
      </c>
      <c r="C448" s="42" t="str">
        <f>IF(B448="","",SUMIF(Transactions!$F$8:$F$3006,B448,Transactions!$H$8:$H$3006))</f>
        <v/>
      </c>
      <c r="D448" s="43" t="str">
        <f>IF(B448="","",SUMIF(Transactions!$F$8:$F$3006,B448,Transactions!$N$8:$N$3006))</f>
        <v/>
      </c>
      <c r="E448" s="44" t="str">
        <f>IF(B448="","",SUMIF(Transactions!$F$8:$F$3006,B448,Transactions!$O$8:$O$3006))</f>
        <v/>
      </c>
      <c r="F448" s="45" t="str">
        <f>IF(B448="","",SUMIF(Transactions!$F$8:$F$3006,B448,Transactions!$R$8:$R$3006))</f>
        <v/>
      </c>
      <c r="G448" s="46" t="str">
        <f>IF(B448="","",(C448+F448)-(D448+E448+SUMIF(Transactions!$F$8:$F$3006,B448,Transactions!$Q$8:$Q$3006)))</f>
        <v/>
      </c>
      <c r="H448" s="47" t="str">
        <f>IF(B448="","",IF(G448&gt;0,"OUTSTANDING",IF(G448=0,"SETTLED",IF(SUMIF(Transactions!$F$8:$F$3006,B448,Transactions!$Q$8:$Q$3006)&gt;SUMIF(Transactions!$F$8:$F$3006,B448,Transactions!$R$8:$R$3006),"OWES","OVERPAID"))))</f>
        <v/>
      </c>
      <c r="I448" s="1"/>
    </row>
    <row r="449" spans="1:9" ht="18" customHeight="1" x14ac:dyDescent="0.25">
      <c r="A449" s="48">
        <v>434</v>
      </c>
      <c r="B449" s="49" t="str">
        <f t="array" ref="B449">IFERROR(IF(INDEX(Transactions!$F$8:$F$3006,MATCH(0,COUNTIF($B$11:B448,Transactions!$F$8:$F$3006),0))="","",INDEX(Transactions!$F$8:$F$3006,MATCH(0,COUNTIF($B$11:B448,Transactions!$F$8:$F$3006),0))),"")</f>
        <v/>
      </c>
      <c r="C449" s="50" t="str">
        <f>IF(B449="","",SUMIF(Transactions!$F$8:$F$3006,B449,Transactions!$H$8:$H$3006))</f>
        <v/>
      </c>
      <c r="D449" s="51" t="str">
        <f>IF(B449="","",SUMIF(Transactions!$F$8:$F$3006,B449,Transactions!$N$8:$N$3006))</f>
        <v/>
      </c>
      <c r="E449" s="52" t="str">
        <f>IF(B449="","",SUMIF(Transactions!$F$8:$F$3006,B449,Transactions!$O$8:$O$3006))</f>
        <v/>
      </c>
      <c r="F449" s="53" t="str">
        <f>IF(B449="","",SUMIF(Transactions!$F$8:$F$3006,B449,Transactions!$R$8:$R$3006))</f>
        <v/>
      </c>
      <c r="G449" s="54" t="str">
        <f>IF(B449="","",(C449+F449)-(D449+E449+SUMIF(Transactions!$F$8:$F$3006,B449,Transactions!$Q$8:$Q$3006)))</f>
        <v/>
      </c>
      <c r="H449" s="55" t="str">
        <f>IF(B449="","",IF(G449&gt;0,"OUTSTANDING",IF(G449=0,"SETTLED",IF(SUMIF(Transactions!$F$8:$F$3006,B449,Transactions!$Q$8:$Q$3006)&gt;SUMIF(Transactions!$F$8:$F$3006,B449,Transactions!$R$8:$R$3006),"OWES","OVERPAID"))))</f>
        <v/>
      </c>
      <c r="I449" s="1"/>
    </row>
    <row r="450" spans="1:9" ht="18" customHeight="1" x14ac:dyDescent="0.25">
      <c r="A450" s="40">
        <v>435</v>
      </c>
      <c r="B450" s="41" t="str">
        <f t="array" ref="B450">IFERROR(IF(INDEX(Transactions!$F$8:$F$3006,MATCH(0,COUNTIF($B$11:B449,Transactions!$F$8:$F$3006),0))="","",INDEX(Transactions!$F$8:$F$3006,MATCH(0,COUNTIF($B$11:B449,Transactions!$F$8:$F$3006),0))),"")</f>
        <v/>
      </c>
      <c r="C450" s="42" t="str">
        <f>IF(B450="","",SUMIF(Transactions!$F$8:$F$3006,B450,Transactions!$H$8:$H$3006))</f>
        <v/>
      </c>
      <c r="D450" s="43" t="str">
        <f>IF(B450="","",SUMIF(Transactions!$F$8:$F$3006,B450,Transactions!$N$8:$N$3006))</f>
        <v/>
      </c>
      <c r="E450" s="44" t="str">
        <f>IF(B450="","",SUMIF(Transactions!$F$8:$F$3006,B450,Transactions!$O$8:$O$3006))</f>
        <v/>
      </c>
      <c r="F450" s="45" t="str">
        <f>IF(B450="","",SUMIF(Transactions!$F$8:$F$3006,B450,Transactions!$R$8:$R$3006))</f>
        <v/>
      </c>
      <c r="G450" s="46" t="str">
        <f>IF(B450="","",(C450+F450)-(D450+E450+SUMIF(Transactions!$F$8:$F$3006,B450,Transactions!$Q$8:$Q$3006)))</f>
        <v/>
      </c>
      <c r="H450" s="47" t="str">
        <f>IF(B450="","",IF(G450&gt;0,"OUTSTANDING",IF(G450=0,"SETTLED",IF(SUMIF(Transactions!$F$8:$F$3006,B450,Transactions!$Q$8:$Q$3006)&gt;SUMIF(Transactions!$F$8:$F$3006,B450,Transactions!$R$8:$R$3006),"OWES","OVERPAID"))))</f>
        <v/>
      </c>
      <c r="I450" s="1"/>
    </row>
    <row r="451" spans="1:9" ht="18" customHeight="1" x14ac:dyDescent="0.25">
      <c r="A451" s="48">
        <v>436</v>
      </c>
      <c r="B451" s="49" t="str">
        <f t="array" ref="B451">IFERROR(IF(INDEX(Transactions!$F$8:$F$3006,MATCH(0,COUNTIF($B$11:B450,Transactions!$F$8:$F$3006),0))="","",INDEX(Transactions!$F$8:$F$3006,MATCH(0,COUNTIF($B$11:B450,Transactions!$F$8:$F$3006),0))),"")</f>
        <v/>
      </c>
      <c r="C451" s="50" t="str">
        <f>IF(B451="","",SUMIF(Transactions!$F$8:$F$3006,B451,Transactions!$H$8:$H$3006))</f>
        <v/>
      </c>
      <c r="D451" s="51" t="str">
        <f>IF(B451="","",SUMIF(Transactions!$F$8:$F$3006,B451,Transactions!$N$8:$N$3006))</f>
        <v/>
      </c>
      <c r="E451" s="52" t="str">
        <f>IF(B451="","",SUMIF(Transactions!$F$8:$F$3006,B451,Transactions!$O$8:$O$3006))</f>
        <v/>
      </c>
      <c r="F451" s="53" t="str">
        <f>IF(B451="","",SUMIF(Transactions!$F$8:$F$3006,B451,Transactions!$R$8:$R$3006))</f>
        <v/>
      </c>
      <c r="G451" s="54" t="str">
        <f>IF(B451="","",(C451+F451)-(D451+E451+SUMIF(Transactions!$F$8:$F$3006,B451,Transactions!$Q$8:$Q$3006)))</f>
        <v/>
      </c>
      <c r="H451" s="55" t="str">
        <f>IF(B451="","",IF(G451&gt;0,"OUTSTANDING",IF(G451=0,"SETTLED",IF(SUMIF(Transactions!$F$8:$F$3006,B451,Transactions!$Q$8:$Q$3006)&gt;SUMIF(Transactions!$F$8:$F$3006,B451,Transactions!$R$8:$R$3006),"OWES","OVERPAID"))))</f>
        <v/>
      </c>
      <c r="I451" s="1"/>
    </row>
    <row r="452" spans="1:9" ht="18" customHeight="1" x14ac:dyDescent="0.25">
      <c r="A452" s="40">
        <v>437</v>
      </c>
      <c r="B452" s="41" t="str">
        <f t="array" ref="B452">IFERROR(IF(INDEX(Transactions!$F$8:$F$3006,MATCH(0,COUNTIF($B$11:B451,Transactions!$F$8:$F$3006),0))="","",INDEX(Transactions!$F$8:$F$3006,MATCH(0,COUNTIF($B$11:B451,Transactions!$F$8:$F$3006),0))),"")</f>
        <v/>
      </c>
      <c r="C452" s="42" t="str">
        <f>IF(B452="","",SUMIF(Transactions!$F$8:$F$3006,B452,Transactions!$H$8:$H$3006))</f>
        <v/>
      </c>
      <c r="D452" s="43" t="str">
        <f>IF(B452="","",SUMIF(Transactions!$F$8:$F$3006,B452,Transactions!$N$8:$N$3006))</f>
        <v/>
      </c>
      <c r="E452" s="44" t="str">
        <f>IF(B452="","",SUMIF(Transactions!$F$8:$F$3006,B452,Transactions!$O$8:$O$3006))</f>
        <v/>
      </c>
      <c r="F452" s="45" t="str">
        <f>IF(B452="","",SUMIF(Transactions!$F$8:$F$3006,B452,Transactions!$R$8:$R$3006))</f>
        <v/>
      </c>
      <c r="G452" s="46" t="str">
        <f>IF(B452="","",(C452+F452)-(D452+E452+SUMIF(Transactions!$F$8:$F$3006,B452,Transactions!$Q$8:$Q$3006)))</f>
        <v/>
      </c>
      <c r="H452" s="47" t="str">
        <f>IF(B452="","",IF(G452&gt;0,"OUTSTANDING",IF(G452=0,"SETTLED",IF(SUMIF(Transactions!$F$8:$F$3006,B452,Transactions!$Q$8:$Q$3006)&gt;SUMIF(Transactions!$F$8:$F$3006,B452,Transactions!$R$8:$R$3006),"OWES","OVERPAID"))))</f>
        <v/>
      </c>
      <c r="I452" s="1"/>
    </row>
    <row r="453" spans="1:9" ht="18" customHeight="1" x14ac:dyDescent="0.25">
      <c r="A453" s="48">
        <v>438</v>
      </c>
      <c r="B453" s="49" t="str">
        <f t="array" ref="B453">IFERROR(IF(INDEX(Transactions!$F$8:$F$3006,MATCH(0,COUNTIF($B$11:B452,Transactions!$F$8:$F$3006),0))="","",INDEX(Transactions!$F$8:$F$3006,MATCH(0,COUNTIF($B$11:B452,Transactions!$F$8:$F$3006),0))),"")</f>
        <v/>
      </c>
      <c r="C453" s="50" t="str">
        <f>IF(B453="","",SUMIF(Transactions!$F$8:$F$3006,B453,Transactions!$H$8:$H$3006))</f>
        <v/>
      </c>
      <c r="D453" s="51" t="str">
        <f>IF(B453="","",SUMIF(Transactions!$F$8:$F$3006,B453,Transactions!$N$8:$N$3006))</f>
        <v/>
      </c>
      <c r="E453" s="52" t="str">
        <f>IF(B453="","",SUMIF(Transactions!$F$8:$F$3006,B453,Transactions!$O$8:$O$3006))</f>
        <v/>
      </c>
      <c r="F453" s="53" t="str">
        <f>IF(B453="","",SUMIF(Transactions!$F$8:$F$3006,B453,Transactions!$R$8:$R$3006))</f>
        <v/>
      </c>
      <c r="G453" s="54" t="str">
        <f>IF(B453="","",(C453+F453)-(D453+E453+SUMIF(Transactions!$F$8:$F$3006,B453,Transactions!$Q$8:$Q$3006)))</f>
        <v/>
      </c>
      <c r="H453" s="55" t="str">
        <f>IF(B453="","",IF(G453&gt;0,"OUTSTANDING",IF(G453=0,"SETTLED",IF(SUMIF(Transactions!$F$8:$F$3006,B453,Transactions!$Q$8:$Q$3006)&gt;SUMIF(Transactions!$F$8:$F$3006,B453,Transactions!$R$8:$R$3006),"OWES","OVERPAID"))))</f>
        <v/>
      </c>
      <c r="I453" s="1"/>
    </row>
    <row r="454" spans="1:9" ht="18" customHeight="1" x14ac:dyDescent="0.25">
      <c r="A454" s="40">
        <v>439</v>
      </c>
      <c r="B454" s="41" t="str">
        <f t="array" ref="B454">IFERROR(IF(INDEX(Transactions!$F$8:$F$3006,MATCH(0,COUNTIF($B$11:B453,Transactions!$F$8:$F$3006),0))="","",INDEX(Transactions!$F$8:$F$3006,MATCH(0,COUNTIF($B$11:B453,Transactions!$F$8:$F$3006),0))),"")</f>
        <v/>
      </c>
      <c r="C454" s="42" t="str">
        <f>IF(B454="","",SUMIF(Transactions!$F$8:$F$3006,B454,Transactions!$H$8:$H$3006))</f>
        <v/>
      </c>
      <c r="D454" s="43" t="str">
        <f>IF(B454="","",SUMIF(Transactions!$F$8:$F$3006,B454,Transactions!$N$8:$N$3006))</f>
        <v/>
      </c>
      <c r="E454" s="44" t="str">
        <f>IF(B454="","",SUMIF(Transactions!$F$8:$F$3006,B454,Transactions!$O$8:$O$3006))</f>
        <v/>
      </c>
      <c r="F454" s="45" t="str">
        <f>IF(B454="","",SUMIF(Transactions!$F$8:$F$3006,B454,Transactions!$R$8:$R$3006))</f>
        <v/>
      </c>
      <c r="G454" s="46" t="str">
        <f>IF(B454="","",(C454+F454)-(D454+E454+SUMIF(Transactions!$F$8:$F$3006,B454,Transactions!$Q$8:$Q$3006)))</f>
        <v/>
      </c>
      <c r="H454" s="47" t="str">
        <f>IF(B454="","",IF(G454&gt;0,"OUTSTANDING",IF(G454=0,"SETTLED",IF(SUMIF(Transactions!$F$8:$F$3006,B454,Transactions!$Q$8:$Q$3006)&gt;SUMIF(Transactions!$F$8:$F$3006,B454,Transactions!$R$8:$R$3006),"OWES","OVERPAID"))))</f>
        <v/>
      </c>
      <c r="I454" s="1"/>
    </row>
    <row r="455" spans="1:9" ht="18" customHeight="1" x14ac:dyDescent="0.25">
      <c r="A455" s="48">
        <v>440</v>
      </c>
      <c r="B455" s="49" t="str">
        <f t="array" ref="B455">IFERROR(IF(INDEX(Transactions!$F$8:$F$3006,MATCH(0,COUNTIF($B$11:B454,Transactions!$F$8:$F$3006),0))="","",INDEX(Transactions!$F$8:$F$3006,MATCH(0,COUNTIF($B$11:B454,Transactions!$F$8:$F$3006),0))),"")</f>
        <v/>
      </c>
      <c r="C455" s="50" t="str">
        <f>IF(B455="","",SUMIF(Transactions!$F$8:$F$3006,B455,Transactions!$H$8:$H$3006))</f>
        <v/>
      </c>
      <c r="D455" s="51" t="str">
        <f>IF(B455="","",SUMIF(Transactions!$F$8:$F$3006,B455,Transactions!$N$8:$N$3006))</f>
        <v/>
      </c>
      <c r="E455" s="52" t="str">
        <f>IF(B455="","",SUMIF(Transactions!$F$8:$F$3006,B455,Transactions!$O$8:$O$3006))</f>
        <v/>
      </c>
      <c r="F455" s="53" t="str">
        <f>IF(B455="","",SUMIF(Transactions!$F$8:$F$3006,B455,Transactions!$R$8:$R$3006))</f>
        <v/>
      </c>
      <c r="G455" s="54" t="str">
        <f>IF(B455="","",(C455+F455)-(D455+E455+SUMIF(Transactions!$F$8:$F$3006,B455,Transactions!$Q$8:$Q$3006)))</f>
        <v/>
      </c>
      <c r="H455" s="55" t="str">
        <f>IF(B455="","",IF(G455&gt;0,"OUTSTANDING",IF(G455=0,"SETTLED",IF(SUMIF(Transactions!$F$8:$F$3006,B455,Transactions!$Q$8:$Q$3006)&gt;SUMIF(Transactions!$F$8:$F$3006,B455,Transactions!$R$8:$R$3006),"OWES","OVERPAID"))))</f>
        <v/>
      </c>
      <c r="I455" s="1"/>
    </row>
    <row r="456" spans="1:9" ht="18" customHeight="1" x14ac:dyDescent="0.25">
      <c r="A456" s="40">
        <v>441</v>
      </c>
      <c r="B456" s="41" t="str">
        <f t="array" ref="B456">IFERROR(IF(INDEX(Transactions!$F$8:$F$3006,MATCH(0,COUNTIF($B$11:B455,Transactions!$F$8:$F$3006),0))="","",INDEX(Transactions!$F$8:$F$3006,MATCH(0,COUNTIF($B$11:B455,Transactions!$F$8:$F$3006),0))),"")</f>
        <v/>
      </c>
      <c r="C456" s="42" t="str">
        <f>IF(B456="","",SUMIF(Transactions!$F$8:$F$3006,B456,Transactions!$H$8:$H$3006))</f>
        <v/>
      </c>
      <c r="D456" s="43" t="str">
        <f>IF(B456="","",SUMIF(Transactions!$F$8:$F$3006,B456,Transactions!$N$8:$N$3006))</f>
        <v/>
      </c>
      <c r="E456" s="44" t="str">
        <f>IF(B456="","",SUMIF(Transactions!$F$8:$F$3006,B456,Transactions!$O$8:$O$3006))</f>
        <v/>
      </c>
      <c r="F456" s="45" t="str">
        <f>IF(B456="","",SUMIF(Transactions!$F$8:$F$3006,B456,Transactions!$R$8:$R$3006))</f>
        <v/>
      </c>
      <c r="G456" s="46" t="str">
        <f>IF(B456="","",(C456+F456)-(D456+E456+SUMIF(Transactions!$F$8:$F$3006,B456,Transactions!$Q$8:$Q$3006)))</f>
        <v/>
      </c>
      <c r="H456" s="47" t="str">
        <f>IF(B456="","",IF(G456&gt;0,"OUTSTANDING",IF(G456=0,"SETTLED",IF(SUMIF(Transactions!$F$8:$F$3006,B456,Transactions!$Q$8:$Q$3006)&gt;SUMIF(Transactions!$F$8:$F$3006,B456,Transactions!$R$8:$R$3006),"OWES","OVERPAID"))))</f>
        <v/>
      </c>
      <c r="I456" s="1"/>
    </row>
    <row r="457" spans="1:9" ht="18" customHeight="1" x14ac:dyDescent="0.25">
      <c r="A457" s="48">
        <v>442</v>
      </c>
      <c r="B457" s="49" t="str">
        <f t="array" ref="B457">IFERROR(IF(INDEX(Transactions!$F$8:$F$3006,MATCH(0,COUNTIF($B$11:B456,Transactions!$F$8:$F$3006),0))="","",INDEX(Transactions!$F$8:$F$3006,MATCH(0,COUNTIF($B$11:B456,Transactions!$F$8:$F$3006),0))),"")</f>
        <v/>
      </c>
      <c r="C457" s="50" t="str">
        <f>IF(B457="","",SUMIF(Transactions!$F$8:$F$3006,B457,Transactions!$H$8:$H$3006))</f>
        <v/>
      </c>
      <c r="D457" s="51" t="str">
        <f>IF(B457="","",SUMIF(Transactions!$F$8:$F$3006,B457,Transactions!$N$8:$N$3006))</f>
        <v/>
      </c>
      <c r="E457" s="52" t="str">
        <f>IF(B457="","",SUMIF(Transactions!$F$8:$F$3006,B457,Transactions!$O$8:$O$3006))</f>
        <v/>
      </c>
      <c r="F457" s="53" t="str">
        <f>IF(B457="","",SUMIF(Transactions!$F$8:$F$3006,B457,Transactions!$R$8:$R$3006))</f>
        <v/>
      </c>
      <c r="G457" s="54" t="str">
        <f>IF(B457="","",(C457+F457)-(D457+E457+SUMIF(Transactions!$F$8:$F$3006,B457,Transactions!$Q$8:$Q$3006)))</f>
        <v/>
      </c>
      <c r="H457" s="55" t="str">
        <f>IF(B457="","",IF(G457&gt;0,"OUTSTANDING",IF(G457=0,"SETTLED",IF(SUMIF(Transactions!$F$8:$F$3006,B457,Transactions!$Q$8:$Q$3006)&gt;SUMIF(Transactions!$F$8:$F$3006,B457,Transactions!$R$8:$R$3006),"OWES","OVERPAID"))))</f>
        <v/>
      </c>
      <c r="I457" s="1"/>
    </row>
    <row r="458" spans="1:9" ht="18" customHeight="1" x14ac:dyDescent="0.25">
      <c r="A458" s="40">
        <v>443</v>
      </c>
      <c r="B458" s="41" t="str">
        <f t="array" ref="B458">IFERROR(IF(INDEX(Transactions!$F$8:$F$3006,MATCH(0,COUNTIF($B$11:B457,Transactions!$F$8:$F$3006),0))="","",INDEX(Transactions!$F$8:$F$3006,MATCH(0,COUNTIF($B$11:B457,Transactions!$F$8:$F$3006),0))),"")</f>
        <v/>
      </c>
      <c r="C458" s="42" t="str">
        <f>IF(B458="","",SUMIF(Transactions!$F$8:$F$3006,B458,Transactions!$H$8:$H$3006))</f>
        <v/>
      </c>
      <c r="D458" s="43" t="str">
        <f>IF(B458="","",SUMIF(Transactions!$F$8:$F$3006,B458,Transactions!$N$8:$N$3006))</f>
        <v/>
      </c>
      <c r="E458" s="44" t="str">
        <f>IF(B458="","",SUMIF(Transactions!$F$8:$F$3006,B458,Transactions!$O$8:$O$3006))</f>
        <v/>
      </c>
      <c r="F458" s="45" t="str">
        <f>IF(B458="","",SUMIF(Transactions!$F$8:$F$3006,B458,Transactions!$R$8:$R$3006))</f>
        <v/>
      </c>
      <c r="G458" s="46" t="str">
        <f>IF(B458="","",(C458+F458)-(D458+E458+SUMIF(Transactions!$F$8:$F$3006,B458,Transactions!$Q$8:$Q$3006)))</f>
        <v/>
      </c>
      <c r="H458" s="47" t="str">
        <f>IF(B458="","",IF(G458&gt;0,"OUTSTANDING",IF(G458=0,"SETTLED",IF(SUMIF(Transactions!$F$8:$F$3006,B458,Transactions!$Q$8:$Q$3006)&gt;SUMIF(Transactions!$F$8:$F$3006,B458,Transactions!$R$8:$R$3006),"OWES","OVERPAID"))))</f>
        <v/>
      </c>
      <c r="I458" s="1"/>
    </row>
    <row r="459" spans="1:9" ht="18" customHeight="1" x14ac:dyDescent="0.25">
      <c r="A459" s="48">
        <v>444</v>
      </c>
      <c r="B459" s="49" t="str">
        <f t="array" ref="B459">IFERROR(IF(INDEX(Transactions!$F$8:$F$3006,MATCH(0,COUNTIF($B$11:B458,Transactions!$F$8:$F$3006),0))="","",INDEX(Transactions!$F$8:$F$3006,MATCH(0,COUNTIF($B$11:B458,Transactions!$F$8:$F$3006),0))),"")</f>
        <v/>
      </c>
      <c r="C459" s="50" t="str">
        <f>IF(B459="","",SUMIF(Transactions!$F$8:$F$3006,B459,Transactions!$H$8:$H$3006))</f>
        <v/>
      </c>
      <c r="D459" s="51" t="str">
        <f>IF(B459="","",SUMIF(Transactions!$F$8:$F$3006,B459,Transactions!$N$8:$N$3006))</f>
        <v/>
      </c>
      <c r="E459" s="52" t="str">
        <f>IF(B459="","",SUMIF(Transactions!$F$8:$F$3006,B459,Transactions!$O$8:$O$3006))</f>
        <v/>
      </c>
      <c r="F459" s="53" t="str">
        <f>IF(B459="","",SUMIF(Transactions!$F$8:$F$3006,B459,Transactions!$R$8:$R$3006))</f>
        <v/>
      </c>
      <c r="G459" s="54" t="str">
        <f>IF(B459="","",(C459+F459)-(D459+E459+SUMIF(Transactions!$F$8:$F$3006,B459,Transactions!$Q$8:$Q$3006)))</f>
        <v/>
      </c>
      <c r="H459" s="55" t="str">
        <f>IF(B459="","",IF(G459&gt;0,"OUTSTANDING",IF(G459=0,"SETTLED",IF(SUMIF(Transactions!$F$8:$F$3006,B459,Transactions!$Q$8:$Q$3006)&gt;SUMIF(Transactions!$F$8:$F$3006,B459,Transactions!$R$8:$R$3006),"OWES","OVERPAID"))))</f>
        <v/>
      </c>
      <c r="I459" s="1"/>
    </row>
    <row r="460" spans="1:9" ht="18" customHeight="1" x14ac:dyDescent="0.25">
      <c r="A460" s="40">
        <v>445</v>
      </c>
      <c r="B460" s="41" t="str">
        <f t="array" ref="B460">IFERROR(IF(INDEX(Transactions!$F$8:$F$3006,MATCH(0,COUNTIF($B$11:B459,Transactions!$F$8:$F$3006),0))="","",INDEX(Transactions!$F$8:$F$3006,MATCH(0,COUNTIF($B$11:B459,Transactions!$F$8:$F$3006),0))),"")</f>
        <v/>
      </c>
      <c r="C460" s="42" t="str">
        <f>IF(B460="","",SUMIF(Transactions!$F$8:$F$3006,B460,Transactions!$H$8:$H$3006))</f>
        <v/>
      </c>
      <c r="D460" s="43" t="str">
        <f>IF(B460="","",SUMIF(Transactions!$F$8:$F$3006,B460,Transactions!$N$8:$N$3006))</f>
        <v/>
      </c>
      <c r="E460" s="44" t="str">
        <f>IF(B460="","",SUMIF(Transactions!$F$8:$F$3006,B460,Transactions!$O$8:$O$3006))</f>
        <v/>
      </c>
      <c r="F460" s="45" t="str">
        <f>IF(B460="","",SUMIF(Transactions!$F$8:$F$3006,B460,Transactions!$R$8:$R$3006))</f>
        <v/>
      </c>
      <c r="G460" s="46" t="str">
        <f>IF(B460="","",(C460+F460)-(D460+E460+SUMIF(Transactions!$F$8:$F$3006,B460,Transactions!$Q$8:$Q$3006)))</f>
        <v/>
      </c>
      <c r="H460" s="47" t="str">
        <f>IF(B460="","",IF(G460&gt;0,"OUTSTANDING",IF(G460=0,"SETTLED",IF(SUMIF(Transactions!$F$8:$F$3006,B460,Transactions!$Q$8:$Q$3006)&gt;SUMIF(Transactions!$F$8:$F$3006,B460,Transactions!$R$8:$R$3006),"OWES","OVERPAID"))))</f>
        <v/>
      </c>
      <c r="I460" s="1"/>
    </row>
    <row r="461" spans="1:9" ht="18" customHeight="1" x14ac:dyDescent="0.25">
      <c r="A461" s="48">
        <v>446</v>
      </c>
      <c r="B461" s="49" t="str">
        <f t="array" ref="B461">IFERROR(IF(INDEX(Transactions!$F$8:$F$3006,MATCH(0,COUNTIF($B$11:B460,Transactions!$F$8:$F$3006),0))="","",INDEX(Transactions!$F$8:$F$3006,MATCH(0,COUNTIF($B$11:B460,Transactions!$F$8:$F$3006),0))),"")</f>
        <v/>
      </c>
      <c r="C461" s="50" t="str">
        <f>IF(B461="","",SUMIF(Transactions!$F$8:$F$3006,B461,Transactions!$H$8:$H$3006))</f>
        <v/>
      </c>
      <c r="D461" s="51" t="str">
        <f>IF(B461="","",SUMIF(Transactions!$F$8:$F$3006,B461,Transactions!$N$8:$N$3006))</f>
        <v/>
      </c>
      <c r="E461" s="52" t="str">
        <f>IF(B461="","",SUMIF(Transactions!$F$8:$F$3006,B461,Transactions!$O$8:$O$3006))</f>
        <v/>
      </c>
      <c r="F461" s="53" t="str">
        <f>IF(B461="","",SUMIF(Transactions!$F$8:$F$3006,B461,Transactions!$R$8:$R$3006))</f>
        <v/>
      </c>
      <c r="G461" s="54" t="str">
        <f>IF(B461="","",(C461+F461)-(D461+E461+SUMIF(Transactions!$F$8:$F$3006,B461,Transactions!$Q$8:$Q$3006)))</f>
        <v/>
      </c>
      <c r="H461" s="55" t="str">
        <f>IF(B461="","",IF(G461&gt;0,"OUTSTANDING",IF(G461=0,"SETTLED",IF(SUMIF(Transactions!$F$8:$F$3006,B461,Transactions!$Q$8:$Q$3006)&gt;SUMIF(Transactions!$F$8:$F$3006,B461,Transactions!$R$8:$R$3006),"OWES","OVERPAID"))))</f>
        <v/>
      </c>
      <c r="I461" s="1"/>
    </row>
    <row r="462" spans="1:9" ht="18" customHeight="1" x14ac:dyDescent="0.25">
      <c r="A462" s="40">
        <v>447</v>
      </c>
      <c r="B462" s="41" t="str">
        <f t="array" ref="B462">IFERROR(IF(INDEX(Transactions!$F$8:$F$3006,MATCH(0,COUNTIF($B$11:B461,Transactions!$F$8:$F$3006),0))="","",INDEX(Transactions!$F$8:$F$3006,MATCH(0,COUNTIF($B$11:B461,Transactions!$F$8:$F$3006),0))),"")</f>
        <v/>
      </c>
      <c r="C462" s="42" t="str">
        <f>IF(B462="","",SUMIF(Transactions!$F$8:$F$3006,B462,Transactions!$H$8:$H$3006))</f>
        <v/>
      </c>
      <c r="D462" s="43" t="str">
        <f>IF(B462="","",SUMIF(Transactions!$F$8:$F$3006,B462,Transactions!$N$8:$N$3006))</f>
        <v/>
      </c>
      <c r="E462" s="44" t="str">
        <f>IF(B462="","",SUMIF(Transactions!$F$8:$F$3006,B462,Transactions!$O$8:$O$3006))</f>
        <v/>
      </c>
      <c r="F462" s="45" t="str">
        <f>IF(B462="","",SUMIF(Transactions!$F$8:$F$3006,B462,Transactions!$R$8:$R$3006))</f>
        <v/>
      </c>
      <c r="G462" s="46" t="str">
        <f>IF(B462="","",(C462+F462)-(D462+E462+SUMIF(Transactions!$F$8:$F$3006,B462,Transactions!$Q$8:$Q$3006)))</f>
        <v/>
      </c>
      <c r="H462" s="47" t="str">
        <f>IF(B462="","",IF(G462&gt;0,"OUTSTANDING",IF(G462=0,"SETTLED",IF(SUMIF(Transactions!$F$8:$F$3006,B462,Transactions!$Q$8:$Q$3006)&gt;SUMIF(Transactions!$F$8:$F$3006,B462,Transactions!$R$8:$R$3006),"OWES","OVERPAID"))))</f>
        <v/>
      </c>
      <c r="I462" s="1"/>
    </row>
    <row r="463" spans="1:9" ht="18" customHeight="1" x14ac:dyDescent="0.25">
      <c r="A463" s="48">
        <v>448</v>
      </c>
      <c r="B463" s="49" t="str">
        <f t="array" ref="B463">IFERROR(IF(INDEX(Transactions!$F$8:$F$3006,MATCH(0,COUNTIF($B$11:B462,Transactions!$F$8:$F$3006),0))="","",INDEX(Transactions!$F$8:$F$3006,MATCH(0,COUNTIF($B$11:B462,Transactions!$F$8:$F$3006),0))),"")</f>
        <v/>
      </c>
      <c r="C463" s="50" t="str">
        <f>IF(B463="","",SUMIF(Transactions!$F$8:$F$3006,B463,Transactions!$H$8:$H$3006))</f>
        <v/>
      </c>
      <c r="D463" s="51" t="str">
        <f>IF(B463="","",SUMIF(Transactions!$F$8:$F$3006,B463,Transactions!$N$8:$N$3006))</f>
        <v/>
      </c>
      <c r="E463" s="52" t="str">
        <f>IF(B463="","",SUMIF(Transactions!$F$8:$F$3006,B463,Transactions!$O$8:$O$3006))</f>
        <v/>
      </c>
      <c r="F463" s="53" t="str">
        <f>IF(B463="","",SUMIF(Transactions!$F$8:$F$3006,B463,Transactions!$R$8:$R$3006))</f>
        <v/>
      </c>
      <c r="G463" s="54" t="str">
        <f>IF(B463="","",(C463+F463)-(D463+E463+SUMIF(Transactions!$F$8:$F$3006,B463,Transactions!$Q$8:$Q$3006)))</f>
        <v/>
      </c>
      <c r="H463" s="55" t="str">
        <f>IF(B463="","",IF(G463&gt;0,"OUTSTANDING",IF(G463=0,"SETTLED",IF(SUMIF(Transactions!$F$8:$F$3006,B463,Transactions!$Q$8:$Q$3006)&gt;SUMIF(Transactions!$F$8:$F$3006,B463,Transactions!$R$8:$R$3006),"OWES","OVERPAID"))))</f>
        <v/>
      </c>
      <c r="I463" s="1"/>
    </row>
    <row r="464" spans="1:9" ht="18" customHeight="1" x14ac:dyDescent="0.25">
      <c r="A464" s="40">
        <v>449</v>
      </c>
      <c r="B464" s="41" t="str">
        <f t="array" ref="B464">IFERROR(IF(INDEX(Transactions!$F$8:$F$3006,MATCH(0,COUNTIF($B$11:B463,Transactions!$F$8:$F$3006),0))="","",INDEX(Transactions!$F$8:$F$3006,MATCH(0,COUNTIF($B$11:B463,Transactions!$F$8:$F$3006),0))),"")</f>
        <v/>
      </c>
      <c r="C464" s="42" t="str">
        <f>IF(B464="","",SUMIF(Transactions!$F$8:$F$3006,B464,Transactions!$H$8:$H$3006))</f>
        <v/>
      </c>
      <c r="D464" s="43" t="str">
        <f>IF(B464="","",SUMIF(Transactions!$F$8:$F$3006,B464,Transactions!$N$8:$N$3006))</f>
        <v/>
      </c>
      <c r="E464" s="44" t="str">
        <f>IF(B464="","",SUMIF(Transactions!$F$8:$F$3006,B464,Transactions!$O$8:$O$3006))</f>
        <v/>
      </c>
      <c r="F464" s="45" t="str">
        <f>IF(B464="","",SUMIF(Transactions!$F$8:$F$3006,B464,Transactions!$R$8:$R$3006))</f>
        <v/>
      </c>
      <c r="G464" s="46" t="str">
        <f>IF(B464="","",(C464+F464)-(D464+E464+SUMIF(Transactions!$F$8:$F$3006,B464,Transactions!$Q$8:$Q$3006)))</f>
        <v/>
      </c>
      <c r="H464" s="47" t="str">
        <f>IF(B464="","",IF(G464&gt;0,"OUTSTANDING",IF(G464=0,"SETTLED",IF(SUMIF(Transactions!$F$8:$F$3006,B464,Transactions!$Q$8:$Q$3006)&gt;SUMIF(Transactions!$F$8:$F$3006,B464,Transactions!$R$8:$R$3006),"OWES","OVERPAID"))))</f>
        <v/>
      </c>
      <c r="I464" s="1"/>
    </row>
    <row r="465" spans="1:9" ht="18" customHeight="1" x14ac:dyDescent="0.25">
      <c r="A465" s="48">
        <v>450</v>
      </c>
      <c r="B465" s="49" t="str">
        <f t="array" ref="B465">IFERROR(IF(INDEX(Transactions!$F$8:$F$3006,MATCH(0,COUNTIF($B$11:B464,Transactions!$F$8:$F$3006),0))="","",INDEX(Transactions!$F$8:$F$3006,MATCH(0,COUNTIF($B$11:B464,Transactions!$F$8:$F$3006),0))),"")</f>
        <v/>
      </c>
      <c r="C465" s="50" t="str">
        <f>IF(B465="","",SUMIF(Transactions!$F$8:$F$3006,B465,Transactions!$H$8:$H$3006))</f>
        <v/>
      </c>
      <c r="D465" s="51" t="str">
        <f>IF(B465="","",SUMIF(Transactions!$F$8:$F$3006,B465,Transactions!$N$8:$N$3006))</f>
        <v/>
      </c>
      <c r="E465" s="52" t="str">
        <f>IF(B465="","",SUMIF(Transactions!$F$8:$F$3006,B465,Transactions!$O$8:$O$3006))</f>
        <v/>
      </c>
      <c r="F465" s="53" t="str">
        <f>IF(B465="","",SUMIF(Transactions!$F$8:$F$3006,B465,Transactions!$R$8:$R$3006))</f>
        <v/>
      </c>
      <c r="G465" s="54" t="str">
        <f>IF(B465="","",(C465+F465)-(D465+E465+SUMIF(Transactions!$F$8:$F$3006,B465,Transactions!$Q$8:$Q$3006)))</f>
        <v/>
      </c>
      <c r="H465" s="55" t="str">
        <f>IF(B465="","",IF(G465&gt;0,"OUTSTANDING",IF(G465=0,"SETTLED",IF(SUMIF(Transactions!$F$8:$F$3006,B465,Transactions!$Q$8:$Q$3006)&gt;SUMIF(Transactions!$F$8:$F$3006,B465,Transactions!$R$8:$R$3006),"OWES","OVERPAID"))))</f>
        <v/>
      </c>
      <c r="I465" s="1"/>
    </row>
    <row r="466" spans="1:9" ht="18" customHeight="1" x14ac:dyDescent="0.25">
      <c r="A466" s="40">
        <v>451</v>
      </c>
      <c r="B466" s="41" t="str">
        <f t="array" ref="B466">IFERROR(IF(INDEX(Transactions!$F$8:$F$3006,MATCH(0,COUNTIF($B$11:B465,Transactions!$F$8:$F$3006),0))="","",INDEX(Transactions!$F$8:$F$3006,MATCH(0,COUNTIF($B$11:B465,Transactions!$F$8:$F$3006),0))),"")</f>
        <v/>
      </c>
      <c r="C466" s="42" t="str">
        <f>IF(B466="","",SUMIF(Transactions!$F$8:$F$3006,B466,Transactions!$H$8:$H$3006))</f>
        <v/>
      </c>
      <c r="D466" s="43" t="str">
        <f>IF(B466="","",SUMIF(Transactions!$F$8:$F$3006,B466,Transactions!$N$8:$N$3006))</f>
        <v/>
      </c>
      <c r="E466" s="44" t="str">
        <f>IF(B466="","",SUMIF(Transactions!$F$8:$F$3006,B466,Transactions!$O$8:$O$3006))</f>
        <v/>
      </c>
      <c r="F466" s="45" t="str">
        <f>IF(B466="","",SUMIF(Transactions!$F$8:$F$3006,B466,Transactions!$R$8:$R$3006))</f>
        <v/>
      </c>
      <c r="G466" s="46" t="str">
        <f>IF(B466="","",(C466+F466)-(D466+E466+SUMIF(Transactions!$F$8:$F$3006,B466,Transactions!$Q$8:$Q$3006)))</f>
        <v/>
      </c>
      <c r="H466" s="47" t="str">
        <f>IF(B466="","",IF(G466&gt;0,"OUTSTANDING",IF(G466=0,"SETTLED",IF(SUMIF(Transactions!$F$8:$F$3006,B466,Transactions!$Q$8:$Q$3006)&gt;SUMIF(Transactions!$F$8:$F$3006,B466,Transactions!$R$8:$R$3006),"OWES","OVERPAID"))))</f>
        <v/>
      </c>
      <c r="I466" s="1"/>
    </row>
    <row r="467" spans="1:9" ht="18" customHeight="1" x14ac:dyDescent="0.25">
      <c r="A467" s="48">
        <v>452</v>
      </c>
      <c r="B467" s="49" t="str">
        <f t="array" ref="B467">IFERROR(IF(INDEX(Transactions!$F$8:$F$3006,MATCH(0,COUNTIF($B$11:B466,Transactions!$F$8:$F$3006),0))="","",INDEX(Transactions!$F$8:$F$3006,MATCH(0,COUNTIF($B$11:B466,Transactions!$F$8:$F$3006),0))),"")</f>
        <v/>
      </c>
      <c r="C467" s="50" t="str">
        <f>IF(B467="","",SUMIF(Transactions!$F$8:$F$3006,B467,Transactions!$H$8:$H$3006))</f>
        <v/>
      </c>
      <c r="D467" s="51" t="str">
        <f>IF(B467="","",SUMIF(Transactions!$F$8:$F$3006,B467,Transactions!$N$8:$N$3006))</f>
        <v/>
      </c>
      <c r="E467" s="52" t="str">
        <f>IF(B467="","",SUMIF(Transactions!$F$8:$F$3006,B467,Transactions!$O$8:$O$3006))</f>
        <v/>
      </c>
      <c r="F467" s="53" t="str">
        <f>IF(B467="","",SUMIF(Transactions!$F$8:$F$3006,B467,Transactions!$R$8:$R$3006))</f>
        <v/>
      </c>
      <c r="G467" s="54" t="str">
        <f>IF(B467="","",(C467+F467)-(D467+E467+SUMIF(Transactions!$F$8:$F$3006,B467,Transactions!$Q$8:$Q$3006)))</f>
        <v/>
      </c>
      <c r="H467" s="55" t="str">
        <f>IF(B467="","",IF(G467&gt;0,"OUTSTANDING",IF(G467=0,"SETTLED",IF(SUMIF(Transactions!$F$8:$F$3006,B467,Transactions!$Q$8:$Q$3006)&gt;SUMIF(Transactions!$F$8:$F$3006,B467,Transactions!$R$8:$R$3006),"OWES","OVERPAID"))))</f>
        <v/>
      </c>
      <c r="I467" s="1"/>
    </row>
    <row r="468" spans="1:9" ht="18" customHeight="1" x14ac:dyDescent="0.25">
      <c r="A468" s="40">
        <v>453</v>
      </c>
      <c r="B468" s="41" t="str">
        <f t="array" ref="B468">IFERROR(IF(INDEX(Transactions!$F$8:$F$3006,MATCH(0,COUNTIF($B$11:B467,Transactions!$F$8:$F$3006),0))="","",INDEX(Transactions!$F$8:$F$3006,MATCH(0,COUNTIF($B$11:B467,Transactions!$F$8:$F$3006),0))),"")</f>
        <v/>
      </c>
      <c r="C468" s="42" t="str">
        <f>IF(B468="","",SUMIF(Transactions!$F$8:$F$3006,B468,Transactions!$H$8:$H$3006))</f>
        <v/>
      </c>
      <c r="D468" s="43" t="str">
        <f>IF(B468="","",SUMIF(Transactions!$F$8:$F$3006,B468,Transactions!$N$8:$N$3006))</f>
        <v/>
      </c>
      <c r="E468" s="44" t="str">
        <f>IF(B468="","",SUMIF(Transactions!$F$8:$F$3006,B468,Transactions!$O$8:$O$3006))</f>
        <v/>
      </c>
      <c r="F468" s="45" t="str">
        <f>IF(B468="","",SUMIF(Transactions!$F$8:$F$3006,B468,Transactions!$R$8:$R$3006))</f>
        <v/>
      </c>
      <c r="G468" s="46" t="str">
        <f>IF(B468="","",(C468+F468)-(D468+E468+SUMIF(Transactions!$F$8:$F$3006,B468,Transactions!$Q$8:$Q$3006)))</f>
        <v/>
      </c>
      <c r="H468" s="47" t="str">
        <f>IF(B468="","",IF(G468&gt;0,"OUTSTANDING",IF(G468=0,"SETTLED",IF(SUMIF(Transactions!$F$8:$F$3006,B468,Transactions!$Q$8:$Q$3006)&gt;SUMIF(Transactions!$F$8:$F$3006,B468,Transactions!$R$8:$R$3006),"OWES","OVERPAID"))))</f>
        <v/>
      </c>
      <c r="I468" s="1"/>
    </row>
    <row r="469" spans="1:9" ht="18" customHeight="1" x14ac:dyDescent="0.25">
      <c r="A469" s="48">
        <v>454</v>
      </c>
      <c r="B469" s="49" t="str">
        <f t="array" ref="B469">IFERROR(IF(INDEX(Transactions!$F$8:$F$3006,MATCH(0,COUNTIF($B$11:B468,Transactions!$F$8:$F$3006),0))="","",INDEX(Transactions!$F$8:$F$3006,MATCH(0,COUNTIF($B$11:B468,Transactions!$F$8:$F$3006),0))),"")</f>
        <v/>
      </c>
      <c r="C469" s="50" t="str">
        <f>IF(B469="","",SUMIF(Transactions!$F$8:$F$3006,B469,Transactions!$H$8:$H$3006))</f>
        <v/>
      </c>
      <c r="D469" s="51" t="str">
        <f>IF(B469="","",SUMIF(Transactions!$F$8:$F$3006,B469,Transactions!$N$8:$N$3006))</f>
        <v/>
      </c>
      <c r="E469" s="52" t="str">
        <f>IF(B469="","",SUMIF(Transactions!$F$8:$F$3006,B469,Transactions!$O$8:$O$3006))</f>
        <v/>
      </c>
      <c r="F469" s="53" t="str">
        <f>IF(B469="","",SUMIF(Transactions!$F$8:$F$3006,B469,Transactions!$R$8:$R$3006))</f>
        <v/>
      </c>
      <c r="G469" s="54" t="str">
        <f>IF(B469="","",(C469+F469)-(D469+E469+SUMIF(Transactions!$F$8:$F$3006,B469,Transactions!$Q$8:$Q$3006)))</f>
        <v/>
      </c>
      <c r="H469" s="55" t="str">
        <f>IF(B469="","",IF(G469&gt;0,"OUTSTANDING",IF(G469=0,"SETTLED",IF(SUMIF(Transactions!$F$8:$F$3006,B469,Transactions!$Q$8:$Q$3006)&gt;SUMIF(Transactions!$F$8:$F$3006,B469,Transactions!$R$8:$R$3006),"OWES","OVERPAID"))))</f>
        <v/>
      </c>
      <c r="I469" s="1"/>
    </row>
    <row r="470" spans="1:9" ht="18" customHeight="1" x14ac:dyDescent="0.25">
      <c r="A470" s="40">
        <v>455</v>
      </c>
      <c r="B470" s="41" t="str">
        <f t="array" ref="B470">IFERROR(IF(INDEX(Transactions!$F$8:$F$3006,MATCH(0,COUNTIF($B$11:B469,Transactions!$F$8:$F$3006),0))="","",INDEX(Transactions!$F$8:$F$3006,MATCH(0,COUNTIF($B$11:B469,Transactions!$F$8:$F$3006),0))),"")</f>
        <v/>
      </c>
      <c r="C470" s="42" t="str">
        <f>IF(B470="","",SUMIF(Transactions!$F$8:$F$3006,B470,Transactions!$H$8:$H$3006))</f>
        <v/>
      </c>
      <c r="D470" s="43" t="str">
        <f>IF(B470="","",SUMIF(Transactions!$F$8:$F$3006,B470,Transactions!$N$8:$N$3006))</f>
        <v/>
      </c>
      <c r="E470" s="44" t="str">
        <f>IF(B470="","",SUMIF(Transactions!$F$8:$F$3006,B470,Transactions!$O$8:$O$3006))</f>
        <v/>
      </c>
      <c r="F470" s="45" t="str">
        <f>IF(B470="","",SUMIF(Transactions!$F$8:$F$3006,B470,Transactions!$R$8:$R$3006))</f>
        <v/>
      </c>
      <c r="G470" s="46" t="str">
        <f>IF(B470="","",(C470+F470)-(D470+E470+SUMIF(Transactions!$F$8:$F$3006,B470,Transactions!$Q$8:$Q$3006)))</f>
        <v/>
      </c>
      <c r="H470" s="47" t="str">
        <f>IF(B470="","",IF(G470&gt;0,"OUTSTANDING",IF(G470=0,"SETTLED",IF(SUMIF(Transactions!$F$8:$F$3006,B470,Transactions!$Q$8:$Q$3006)&gt;SUMIF(Transactions!$F$8:$F$3006,B470,Transactions!$R$8:$R$3006),"OWES","OVERPAID"))))</f>
        <v/>
      </c>
      <c r="I470" s="1"/>
    </row>
    <row r="471" spans="1:9" ht="18" customHeight="1" x14ac:dyDescent="0.25">
      <c r="A471" s="48">
        <v>456</v>
      </c>
      <c r="B471" s="49" t="str">
        <f t="array" ref="B471">IFERROR(IF(INDEX(Transactions!$F$8:$F$3006,MATCH(0,COUNTIF($B$11:B470,Transactions!$F$8:$F$3006),0))="","",INDEX(Transactions!$F$8:$F$3006,MATCH(0,COUNTIF($B$11:B470,Transactions!$F$8:$F$3006),0))),"")</f>
        <v/>
      </c>
      <c r="C471" s="50" t="str">
        <f>IF(B471="","",SUMIF(Transactions!$F$8:$F$3006,B471,Transactions!$H$8:$H$3006))</f>
        <v/>
      </c>
      <c r="D471" s="51" t="str">
        <f>IF(B471="","",SUMIF(Transactions!$F$8:$F$3006,B471,Transactions!$N$8:$N$3006))</f>
        <v/>
      </c>
      <c r="E471" s="52" t="str">
        <f>IF(B471="","",SUMIF(Transactions!$F$8:$F$3006,B471,Transactions!$O$8:$O$3006))</f>
        <v/>
      </c>
      <c r="F471" s="53" t="str">
        <f>IF(B471="","",SUMIF(Transactions!$F$8:$F$3006,B471,Transactions!$R$8:$R$3006))</f>
        <v/>
      </c>
      <c r="G471" s="54" t="str">
        <f>IF(B471="","",(C471+F471)-(D471+E471+SUMIF(Transactions!$F$8:$F$3006,B471,Transactions!$Q$8:$Q$3006)))</f>
        <v/>
      </c>
      <c r="H471" s="55" t="str">
        <f>IF(B471="","",IF(G471&gt;0,"OUTSTANDING",IF(G471=0,"SETTLED",IF(SUMIF(Transactions!$F$8:$F$3006,B471,Transactions!$Q$8:$Q$3006)&gt;SUMIF(Transactions!$F$8:$F$3006,B471,Transactions!$R$8:$R$3006),"OWES","OVERPAID"))))</f>
        <v/>
      </c>
      <c r="I471" s="1"/>
    </row>
    <row r="472" spans="1:9" ht="18" customHeight="1" x14ac:dyDescent="0.25">
      <c r="A472" s="40">
        <v>457</v>
      </c>
      <c r="B472" s="41" t="str">
        <f t="array" ref="B472">IFERROR(IF(INDEX(Transactions!$F$8:$F$3006,MATCH(0,COUNTIF($B$11:B471,Transactions!$F$8:$F$3006),0))="","",INDEX(Transactions!$F$8:$F$3006,MATCH(0,COUNTIF($B$11:B471,Transactions!$F$8:$F$3006),0))),"")</f>
        <v/>
      </c>
      <c r="C472" s="42" t="str">
        <f>IF(B472="","",SUMIF(Transactions!$F$8:$F$3006,B472,Transactions!$H$8:$H$3006))</f>
        <v/>
      </c>
      <c r="D472" s="43" t="str">
        <f>IF(B472="","",SUMIF(Transactions!$F$8:$F$3006,B472,Transactions!$N$8:$N$3006))</f>
        <v/>
      </c>
      <c r="E472" s="44" t="str">
        <f>IF(B472="","",SUMIF(Transactions!$F$8:$F$3006,B472,Transactions!$O$8:$O$3006))</f>
        <v/>
      </c>
      <c r="F472" s="45" t="str">
        <f>IF(B472="","",SUMIF(Transactions!$F$8:$F$3006,B472,Transactions!$R$8:$R$3006))</f>
        <v/>
      </c>
      <c r="G472" s="46" t="str">
        <f>IF(B472="","",(C472+F472)-(D472+E472+SUMIF(Transactions!$F$8:$F$3006,B472,Transactions!$Q$8:$Q$3006)))</f>
        <v/>
      </c>
      <c r="H472" s="47" t="str">
        <f>IF(B472="","",IF(G472&gt;0,"OUTSTANDING",IF(G472=0,"SETTLED",IF(SUMIF(Transactions!$F$8:$F$3006,B472,Transactions!$Q$8:$Q$3006)&gt;SUMIF(Transactions!$F$8:$F$3006,B472,Transactions!$R$8:$R$3006),"OWES","OVERPAID"))))</f>
        <v/>
      </c>
      <c r="I472" s="1"/>
    </row>
    <row r="473" spans="1:9" ht="18" customHeight="1" x14ac:dyDescent="0.25">
      <c r="A473" s="48">
        <v>458</v>
      </c>
      <c r="B473" s="49" t="str">
        <f t="array" ref="B473">IFERROR(IF(INDEX(Transactions!$F$8:$F$3006,MATCH(0,COUNTIF($B$11:B472,Transactions!$F$8:$F$3006),0))="","",INDEX(Transactions!$F$8:$F$3006,MATCH(0,COUNTIF($B$11:B472,Transactions!$F$8:$F$3006),0))),"")</f>
        <v/>
      </c>
      <c r="C473" s="50" t="str">
        <f>IF(B473="","",SUMIF(Transactions!$F$8:$F$3006,B473,Transactions!$H$8:$H$3006))</f>
        <v/>
      </c>
      <c r="D473" s="51" t="str">
        <f>IF(B473="","",SUMIF(Transactions!$F$8:$F$3006,B473,Transactions!$N$8:$N$3006))</f>
        <v/>
      </c>
      <c r="E473" s="52" t="str">
        <f>IF(B473="","",SUMIF(Transactions!$F$8:$F$3006,B473,Transactions!$O$8:$O$3006))</f>
        <v/>
      </c>
      <c r="F473" s="53" t="str">
        <f>IF(B473="","",SUMIF(Transactions!$F$8:$F$3006,B473,Transactions!$R$8:$R$3006))</f>
        <v/>
      </c>
      <c r="G473" s="54" t="str">
        <f>IF(B473="","",(C473+F473)-(D473+E473+SUMIF(Transactions!$F$8:$F$3006,B473,Transactions!$Q$8:$Q$3006)))</f>
        <v/>
      </c>
      <c r="H473" s="55" t="str">
        <f>IF(B473="","",IF(G473&gt;0,"OUTSTANDING",IF(G473=0,"SETTLED",IF(SUMIF(Transactions!$F$8:$F$3006,B473,Transactions!$Q$8:$Q$3006)&gt;SUMIF(Transactions!$F$8:$F$3006,B473,Transactions!$R$8:$R$3006),"OWES","OVERPAID"))))</f>
        <v/>
      </c>
      <c r="I473" s="1"/>
    </row>
    <row r="474" spans="1:9" ht="18" customHeight="1" x14ac:dyDescent="0.25">
      <c r="A474" s="40">
        <v>459</v>
      </c>
      <c r="B474" s="41" t="str">
        <f t="array" ref="B474">IFERROR(IF(INDEX(Transactions!$F$8:$F$3006,MATCH(0,COUNTIF($B$11:B473,Transactions!$F$8:$F$3006),0))="","",INDEX(Transactions!$F$8:$F$3006,MATCH(0,COUNTIF($B$11:B473,Transactions!$F$8:$F$3006),0))),"")</f>
        <v/>
      </c>
      <c r="C474" s="42" t="str">
        <f>IF(B474="","",SUMIF(Transactions!$F$8:$F$3006,B474,Transactions!$H$8:$H$3006))</f>
        <v/>
      </c>
      <c r="D474" s="43" t="str">
        <f>IF(B474="","",SUMIF(Transactions!$F$8:$F$3006,B474,Transactions!$N$8:$N$3006))</f>
        <v/>
      </c>
      <c r="E474" s="44" t="str">
        <f>IF(B474="","",SUMIF(Transactions!$F$8:$F$3006,B474,Transactions!$O$8:$O$3006))</f>
        <v/>
      </c>
      <c r="F474" s="45" t="str">
        <f>IF(B474="","",SUMIF(Transactions!$F$8:$F$3006,B474,Transactions!$R$8:$R$3006))</f>
        <v/>
      </c>
      <c r="G474" s="46" t="str">
        <f>IF(B474="","",(C474+F474)-(D474+E474+SUMIF(Transactions!$F$8:$F$3006,B474,Transactions!$Q$8:$Q$3006)))</f>
        <v/>
      </c>
      <c r="H474" s="47" t="str">
        <f>IF(B474="","",IF(G474&gt;0,"OUTSTANDING",IF(G474=0,"SETTLED",IF(SUMIF(Transactions!$F$8:$F$3006,B474,Transactions!$Q$8:$Q$3006)&gt;SUMIF(Transactions!$F$8:$F$3006,B474,Transactions!$R$8:$R$3006),"OWES","OVERPAID"))))</f>
        <v/>
      </c>
      <c r="I474" s="1"/>
    </row>
    <row r="475" spans="1:9" ht="18" customHeight="1" x14ac:dyDescent="0.25">
      <c r="A475" s="48">
        <v>460</v>
      </c>
      <c r="B475" s="49" t="str">
        <f t="array" ref="B475">IFERROR(IF(INDEX(Transactions!$F$8:$F$3006,MATCH(0,COUNTIF($B$11:B474,Transactions!$F$8:$F$3006),0))="","",INDEX(Transactions!$F$8:$F$3006,MATCH(0,COUNTIF($B$11:B474,Transactions!$F$8:$F$3006),0))),"")</f>
        <v/>
      </c>
      <c r="C475" s="50" t="str">
        <f>IF(B475="","",SUMIF(Transactions!$F$8:$F$3006,B475,Transactions!$H$8:$H$3006))</f>
        <v/>
      </c>
      <c r="D475" s="51" t="str">
        <f>IF(B475="","",SUMIF(Transactions!$F$8:$F$3006,B475,Transactions!$N$8:$N$3006))</f>
        <v/>
      </c>
      <c r="E475" s="52" t="str">
        <f>IF(B475="","",SUMIF(Transactions!$F$8:$F$3006,B475,Transactions!$O$8:$O$3006))</f>
        <v/>
      </c>
      <c r="F475" s="53" t="str">
        <f>IF(B475="","",SUMIF(Transactions!$F$8:$F$3006,B475,Transactions!$R$8:$R$3006))</f>
        <v/>
      </c>
      <c r="G475" s="54" t="str">
        <f>IF(B475="","",(C475+F475)-(D475+E475+SUMIF(Transactions!$F$8:$F$3006,B475,Transactions!$Q$8:$Q$3006)))</f>
        <v/>
      </c>
      <c r="H475" s="55" t="str">
        <f>IF(B475="","",IF(G475&gt;0,"OUTSTANDING",IF(G475=0,"SETTLED",IF(SUMIF(Transactions!$F$8:$F$3006,B475,Transactions!$Q$8:$Q$3006)&gt;SUMIF(Transactions!$F$8:$F$3006,B475,Transactions!$R$8:$R$3006),"OWES","OVERPAID"))))</f>
        <v/>
      </c>
      <c r="I475" s="1"/>
    </row>
    <row r="476" spans="1:9" ht="18" customHeight="1" x14ac:dyDescent="0.25">
      <c r="A476" s="40">
        <v>461</v>
      </c>
      <c r="B476" s="41" t="str">
        <f t="array" ref="B476">IFERROR(IF(INDEX(Transactions!$F$8:$F$3006,MATCH(0,COUNTIF($B$11:B475,Transactions!$F$8:$F$3006),0))="","",INDEX(Transactions!$F$8:$F$3006,MATCH(0,COUNTIF($B$11:B475,Transactions!$F$8:$F$3006),0))),"")</f>
        <v/>
      </c>
      <c r="C476" s="42" t="str">
        <f>IF(B476="","",SUMIF(Transactions!$F$8:$F$3006,B476,Transactions!$H$8:$H$3006))</f>
        <v/>
      </c>
      <c r="D476" s="43" t="str">
        <f>IF(B476="","",SUMIF(Transactions!$F$8:$F$3006,B476,Transactions!$N$8:$N$3006))</f>
        <v/>
      </c>
      <c r="E476" s="44" t="str">
        <f>IF(B476="","",SUMIF(Transactions!$F$8:$F$3006,B476,Transactions!$O$8:$O$3006))</f>
        <v/>
      </c>
      <c r="F476" s="45" t="str">
        <f>IF(B476="","",SUMIF(Transactions!$F$8:$F$3006,B476,Transactions!$R$8:$R$3006))</f>
        <v/>
      </c>
      <c r="G476" s="46" t="str">
        <f>IF(B476="","",(C476+F476)-(D476+E476+SUMIF(Transactions!$F$8:$F$3006,B476,Transactions!$Q$8:$Q$3006)))</f>
        <v/>
      </c>
      <c r="H476" s="47" t="str">
        <f>IF(B476="","",IF(G476&gt;0,"OUTSTANDING",IF(G476=0,"SETTLED",IF(SUMIF(Transactions!$F$8:$F$3006,B476,Transactions!$Q$8:$Q$3006)&gt;SUMIF(Transactions!$F$8:$F$3006,B476,Transactions!$R$8:$R$3006),"OWES","OVERPAID"))))</f>
        <v/>
      </c>
      <c r="I476" s="1"/>
    </row>
    <row r="477" spans="1:9" ht="18" customHeight="1" x14ac:dyDescent="0.25">
      <c r="A477" s="48">
        <v>462</v>
      </c>
      <c r="B477" s="49" t="str">
        <f t="array" ref="B477">IFERROR(IF(INDEX(Transactions!$F$8:$F$3006,MATCH(0,COUNTIF($B$11:B476,Transactions!$F$8:$F$3006),0))="","",INDEX(Transactions!$F$8:$F$3006,MATCH(0,COUNTIF($B$11:B476,Transactions!$F$8:$F$3006),0))),"")</f>
        <v/>
      </c>
      <c r="C477" s="50" t="str">
        <f>IF(B477="","",SUMIF(Transactions!$F$8:$F$3006,B477,Transactions!$H$8:$H$3006))</f>
        <v/>
      </c>
      <c r="D477" s="51" t="str">
        <f>IF(B477="","",SUMIF(Transactions!$F$8:$F$3006,B477,Transactions!$N$8:$N$3006))</f>
        <v/>
      </c>
      <c r="E477" s="52" t="str">
        <f>IF(B477="","",SUMIF(Transactions!$F$8:$F$3006,B477,Transactions!$O$8:$O$3006))</f>
        <v/>
      </c>
      <c r="F477" s="53" t="str">
        <f>IF(B477="","",SUMIF(Transactions!$F$8:$F$3006,B477,Transactions!$R$8:$R$3006))</f>
        <v/>
      </c>
      <c r="G477" s="54" t="str">
        <f>IF(B477="","",(C477+F477)-(D477+E477+SUMIF(Transactions!$F$8:$F$3006,B477,Transactions!$Q$8:$Q$3006)))</f>
        <v/>
      </c>
      <c r="H477" s="55" t="str">
        <f>IF(B477="","",IF(G477&gt;0,"OUTSTANDING",IF(G477=0,"SETTLED",IF(SUMIF(Transactions!$F$8:$F$3006,B477,Transactions!$Q$8:$Q$3006)&gt;SUMIF(Transactions!$F$8:$F$3006,B477,Transactions!$R$8:$R$3006),"OWES","OVERPAID"))))</f>
        <v/>
      </c>
      <c r="I477" s="1"/>
    </row>
    <row r="478" spans="1:9" ht="18" customHeight="1" x14ac:dyDescent="0.25">
      <c r="A478" s="40">
        <v>463</v>
      </c>
      <c r="B478" s="41" t="str">
        <f t="array" ref="B478">IFERROR(IF(INDEX(Transactions!$F$8:$F$3006,MATCH(0,COUNTIF($B$11:B477,Transactions!$F$8:$F$3006),0))="","",INDEX(Transactions!$F$8:$F$3006,MATCH(0,COUNTIF($B$11:B477,Transactions!$F$8:$F$3006),0))),"")</f>
        <v/>
      </c>
      <c r="C478" s="42" t="str">
        <f>IF(B478="","",SUMIF(Transactions!$F$8:$F$3006,B478,Transactions!$H$8:$H$3006))</f>
        <v/>
      </c>
      <c r="D478" s="43" t="str">
        <f>IF(B478="","",SUMIF(Transactions!$F$8:$F$3006,B478,Transactions!$N$8:$N$3006))</f>
        <v/>
      </c>
      <c r="E478" s="44" t="str">
        <f>IF(B478="","",SUMIF(Transactions!$F$8:$F$3006,B478,Transactions!$O$8:$O$3006))</f>
        <v/>
      </c>
      <c r="F478" s="45" t="str">
        <f>IF(B478="","",SUMIF(Transactions!$F$8:$F$3006,B478,Transactions!$R$8:$R$3006))</f>
        <v/>
      </c>
      <c r="G478" s="46" t="str">
        <f>IF(B478="","",(C478+F478)-(D478+E478+SUMIF(Transactions!$F$8:$F$3006,B478,Transactions!$Q$8:$Q$3006)))</f>
        <v/>
      </c>
      <c r="H478" s="47" t="str">
        <f>IF(B478="","",IF(G478&gt;0,"OUTSTANDING",IF(G478=0,"SETTLED",IF(SUMIF(Transactions!$F$8:$F$3006,B478,Transactions!$Q$8:$Q$3006)&gt;SUMIF(Transactions!$F$8:$F$3006,B478,Transactions!$R$8:$R$3006),"OWES","OVERPAID"))))</f>
        <v/>
      </c>
      <c r="I478" s="1"/>
    </row>
    <row r="479" spans="1:9" ht="18" customHeight="1" x14ac:dyDescent="0.25">
      <c r="A479" s="48">
        <v>464</v>
      </c>
      <c r="B479" s="49" t="str">
        <f t="array" ref="B479">IFERROR(IF(INDEX(Transactions!$F$8:$F$3006,MATCH(0,COUNTIF($B$11:B478,Transactions!$F$8:$F$3006),0))="","",INDEX(Transactions!$F$8:$F$3006,MATCH(0,COUNTIF($B$11:B478,Transactions!$F$8:$F$3006),0))),"")</f>
        <v/>
      </c>
      <c r="C479" s="50" t="str">
        <f>IF(B479="","",SUMIF(Transactions!$F$8:$F$3006,B479,Transactions!$H$8:$H$3006))</f>
        <v/>
      </c>
      <c r="D479" s="51" t="str">
        <f>IF(B479="","",SUMIF(Transactions!$F$8:$F$3006,B479,Transactions!$N$8:$N$3006))</f>
        <v/>
      </c>
      <c r="E479" s="52" t="str">
        <f>IF(B479="","",SUMIF(Transactions!$F$8:$F$3006,B479,Transactions!$O$8:$O$3006))</f>
        <v/>
      </c>
      <c r="F479" s="53" t="str">
        <f>IF(B479="","",SUMIF(Transactions!$F$8:$F$3006,B479,Transactions!$R$8:$R$3006))</f>
        <v/>
      </c>
      <c r="G479" s="54" t="str">
        <f>IF(B479="","",(C479+F479)-(D479+E479+SUMIF(Transactions!$F$8:$F$3006,B479,Transactions!$Q$8:$Q$3006)))</f>
        <v/>
      </c>
      <c r="H479" s="55" t="str">
        <f>IF(B479="","",IF(G479&gt;0,"OUTSTANDING",IF(G479=0,"SETTLED",IF(SUMIF(Transactions!$F$8:$F$3006,B479,Transactions!$Q$8:$Q$3006)&gt;SUMIF(Transactions!$F$8:$F$3006,B479,Transactions!$R$8:$R$3006),"OWES","OVERPAID"))))</f>
        <v/>
      </c>
      <c r="I479" s="1"/>
    </row>
    <row r="480" spans="1:9" ht="18" customHeight="1" x14ac:dyDescent="0.25">
      <c r="A480" s="40">
        <v>465</v>
      </c>
      <c r="B480" s="41" t="str">
        <f t="array" ref="B480">IFERROR(IF(INDEX(Transactions!$F$8:$F$3006,MATCH(0,COUNTIF($B$11:B479,Transactions!$F$8:$F$3006),0))="","",INDEX(Transactions!$F$8:$F$3006,MATCH(0,COUNTIF($B$11:B479,Transactions!$F$8:$F$3006),0))),"")</f>
        <v/>
      </c>
      <c r="C480" s="42" t="str">
        <f>IF(B480="","",SUMIF(Transactions!$F$8:$F$3006,B480,Transactions!$H$8:$H$3006))</f>
        <v/>
      </c>
      <c r="D480" s="43" t="str">
        <f>IF(B480="","",SUMIF(Transactions!$F$8:$F$3006,B480,Transactions!$N$8:$N$3006))</f>
        <v/>
      </c>
      <c r="E480" s="44" t="str">
        <f>IF(B480="","",SUMIF(Transactions!$F$8:$F$3006,B480,Transactions!$O$8:$O$3006))</f>
        <v/>
      </c>
      <c r="F480" s="45" t="str">
        <f>IF(B480="","",SUMIF(Transactions!$F$8:$F$3006,B480,Transactions!$R$8:$R$3006))</f>
        <v/>
      </c>
      <c r="G480" s="46" t="str">
        <f>IF(B480="","",(C480+F480)-(D480+E480+SUMIF(Transactions!$F$8:$F$3006,B480,Transactions!$Q$8:$Q$3006)))</f>
        <v/>
      </c>
      <c r="H480" s="47" t="str">
        <f>IF(B480="","",IF(G480&gt;0,"OUTSTANDING",IF(G480=0,"SETTLED",IF(SUMIF(Transactions!$F$8:$F$3006,B480,Transactions!$Q$8:$Q$3006)&gt;SUMIF(Transactions!$F$8:$F$3006,B480,Transactions!$R$8:$R$3006),"OWES","OVERPAID"))))</f>
        <v/>
      </c>
      <c r="I480" s="1"/>
    </row>
    <row r="481" spans="1:9" ht="18" customHeight="1" x14ac:dyDescent="0.25">
      <c r="A481" s="48">
        <v>466</v>
      </c>
      <c r="B481" s="49" t="str">
        <f t="array" ref="B481">IFERROR(IF(INDEX(Transactions!$F$8:$F$3006,MATCH(0,COUNTIF($B$11:B480,Transactions!$F$8:$F$3006),0))="","",INDEX(Transactions!$F$8:$F$3006,MATCH(0,COUNTIF($B$11:B480,Transactions!$F$8:$F$3006),0))),"")</f>
        <v/>
      </c>
      <c r="C481" s="50" t="str">
        <f>IF(B481="","",SUMIF(Transactions!$F$8:$F$3006,B481,Transactions!$H$8:$H$3006))</f>
        <v/>
      </c>
      <c r="D481" s="51" t="str">
        <f>IF(B481="","",SUMIF(Transactions!$F$8:$F$3006,B481,Transactions!$N$8:$N$3006))</f>
        <v/>
      </c>
      <c r="E481" s="52" t="str">
        <f>IF(B481="","",SUMIF(Transactions!$F$8:$F$3006,B481,Transactions!$O$8:$O$3006))</f>
        <v/>
      </c>
      <c r="F481" s="53" t="str">
        <f>IF(B481="","",SUMIF(Transactions!$F$8:$F$3006,B481,Transactions!$R$8:$R$3006))</f>
        <v/>
      </c>
      <c r="G481" s="54" t="str">
        <f>IF(B481="","",(C481+F481)-(D481+E481+SUMIF(Transactions!$F$8:$F$3006,B481,Transactions!$Q$8:$Q$3006)))</f>
        <v/>
      </c>
      <c r="H481" s="55" t="str">
        <f>IF(B481="","",IF(G481&gt;0,"OUTSTANDING",IF(G481=0,"SETTLED",IF(SUMIF(Transactions!$F$8:$F$3006,B481,Transactions!$Q$8:$Q$3006)&gt;SUMIF(Transactions!$F$8:$F$3006,B481,Transactions!$R$8:$R$3006),"OWES","OVERPAID"))))</f>
        <v/>
      </c>
      <c r="I481" s="1"/>
    </row>
    <row r="482" spans="1:9" ht="18" customHeight="1" x14ac:dyDescent="0.25">
      <c r="A482" s="40">
        <v>467</v>
      </c>
      <c r="B482" s="41" t="str">
        <f t="array" ref="B482">IFERROR(IF(INDEX(Transactions!$F$8:$F$3006,MATCH(0,COUNTIF($B$11:B481,Transactions!$F$8:$F$3006),0))="","",INDEX(Transactions!$F$8:$F$3006,MATCH(0,COUNTIF($B$11:B481,Transactions!$F$8:$F$3006),0))),"")</f>
        <v/>
      </c>
      <c r="C482" s="42" t="str">
        <f>IF(B482="","",SUMIF(Transactions!$F$8:$F$3006,B482,Transactions!$H$8:$H$3006))</f>
        <v/>
      </c>
      <c r="D482" s="43" t="str">
        <f>IF(B482="","",SUMIF(Transactions!$F$8:$F$3006,B482,Transactions!$N$8:$N$3006))</f>
        <v/>
      </c>
      <c r="E482" s="44" t="str">
        <f>IF(B482="","",SUMIF(Transactions!$F$8:$F$3006,B482,Transactions!$O$8:$O$3006))</f>
        <v/>
      </c>
      <c r="F482" s="45" t="str">
        <f>IF(B482="","",SUMIF(Transactions!$F$8:$F$3006,B482,Transactions!$R$8:$R$3006))</f>
        <v/>
      </c>
      <c r="G482" s="46" t="str">
        <f>IF(B482="","",(C482+F482)-(D482+E482+SUMIF(Transactions!$F$8:$F$3006,B482,Transactions!$Q$8:$Q$3006)))</f>
        <v/>
      </c>
      <c r="H482" s="47" t="str">
        <f>IF(B482="","",IF(G482&gt;0,"OUTSTANDING",IF(G482=0,"SETTLED",IF(SUMIF(Transactions!$F$8:$F$3006,B482,Transactions!$Q$8:$Q$3006)&gt;SUMIF(Transactions!$F$8:$F$3006,B482,Transactions!$R$8:$R$3006),"OWES","OVERPAID"))))</f>
        <v/>
      </c>
      <c r="I482" s="1"/>
    </row>
    <row r="483" spans="1:9" ht="18" customHeight="1" x14ac:dyDescent="0.25">
      <c r="A483" s="48">
        <v>468</v>
      </c>
      <c r="B483" s="49" t="str">
        <f t="array" ref="B483">IFERROR(IF(INDEX(Transactions!$F$8:$F$3006,MATCH(0,COUNTIF($B$11:B482,Transactions!$F$8:$F$3006),0))="","",INDEX(Transactions!$F$8:$F$3006,MATCH(0,COUNTIF($B$11:B482,Transactions!$F$8:$F$3006),0))),"")</f>
        <v/>
      </c>
      <c r="C483" s="50" t="str">
        <f>IF(B483="","",SUMIF(Transactions!$F$8:$F$3006,B483,Transactions!$H$8:$H$3006))</f>
        <v/>
      </c>
      <c r="D483" s="51" t="str">
        <f>IF(B483="","",SUMIF(Transactions!$F$8:$F$3006,B483,Transactions!$N$8:$N$3006))</f>
        <v/>
      </c>
      <c r="E483" s="52" t="str">
        <f>IF(B483="","",SUMIF(Transactions!$F$8:$F$3006,B483,Transactions!$O$8:$O$3006))</f>
        <v/>
      </c>
      <c r="F483" s="53" t="str">
        <f>IF(B483="","",SUMIF(Transactions!$F$8:$F$3006,B483,Transactions!$R$8:$R$3006))</f>
        <v/>
      </c>
      <c r="G483" s="54" t="str">
        <f>IF(B483="","",(C483+F483)-(D483+E483+SUMIF(Transactions!$F$8:$F$3006,B483,Transactions!$Q$8:$Q$3006)))</f>
        <v/>
      </c>
      <c r="H483" s="55" t="str">
        <f>IF(B483="","",IF(G483&gt;0,"OUTSTANDING",IF(G483=0,"SETTLED",IF(SUMIF(Transactions!$F$8:$F$3006,B483,Transactions!$Q$8:$Q$3006)&gt;SUMIF(Transactions!$F$8:$F$3006,B483,Transactions!$R$8:$R$3006),"OWES","OVERPAID"))))</f>
        <v/>
      </c>
      <c r="I483" s="1"/>
    </row>
    <row r="484" spans="1:9" ht="18" customHeight="1" x14ac:dyDescent="0.25">
      <c r="A484" s="40">
        <v>469</v>
      </c>
      <c r="B484" s="41" t="str">
        <f t="array" ref="B484">IFERROR(IF(INDEX(Transactions!$F$8:$F$3006,MATCH(0,COUNTIF($B$11:B483,Transactions!$F$8:$F$3006),0))="","",INDEX(Transactions!$F$8:$F$3006,MATCH(0,COUNTIF($B$11:B483,Transactions!$F$8:$F$3006),0))),"")</f>
        <v/>
      </c>
      <c r="C484" s="42" t="str">
        <f>IF(B484="","",SUMIF(Transactions!$F$8:$F$3006,B484,Transactions!$H$8:$H$3006))</f>
        <v/>
      </c>
      <c r="D484" s="43" t="str">
        <f>IF(B484="","",SUMIF(Transactions!$F$8:$F$3006,B484,Transactions!$N$8:$N$3006))</f>
        <v/>
      </c>
      <c r="E484" s="44" t="str">
        <f>IF(B484="","",SUMIF(Transactions!$F$8:$F$3006,B484,Transactions!$O$8:$O$3006))</f>
        <v/>
      </c>
      <c r="F484" s="45" t="str">
        <f>IF(B484="","",SUMIF(Transactions!$F$8:$F$3006,B484,Transactions!$R$8:$R$3006))</f>
        <v/>
      </c>
      <c r="G484" s="46" t="str">
        <f>IF(B484="","",(C484+F484)-(D484+E484+SUMIF(Transactions!$F$8:$F$3006,B484,Transactions!$Q$8:$Q$3006)))</f>
        <v/>
      </c>
      <c r="H484" s="47" t="str">
        <f>IF(B484="","",IF(G484&gt;0,"OUTSTANDING",IF(G484=0,"SETTLED",IF(SUMIF(Transactions!$F$8:$F$3006,B484,Transactions!$Q$8:$Q$3006)&gt;SUMIF(Transactions!$F$8:$F$3006,B484,Transactions!$R$8:$R$3006),"OWES","OVERPAID"))))</f>
        <v/>
      </c>
      <c r="I484" s="1"/>
    </row>
    <row r="485" spans="1:9" ht="18" customHeight="1" x14ac:dyDescent="0.25">
      <c r="A485" s="48">
        <v>470</v>
      </c>
      <c r="B485" s="49" t="str">
        <f t="array" ref="B485">IFERROR(IF(INDEX(Transactions!$F$8:$F$3006,MATCH(0,COUNTIF($B$11:B484,Transactions!$F$8:$F$3006),0))="","",INDEX(Transactions!$F$8:$F$3006,MATCH(0,COUNTIF($B$11:B484,Transactions!$F$8:$F$3006),0))),"")</f>
        <v/>
      </c>
      <c r="C485" s="50" t="str">
        <f>IF(B485="","",SUMIF(Transactions!$F$8:$F$3006,B485,Transactions!$H$8:$H$3006))</f>
        <v/>
      </c>
      <c r="D485" s="51" t="str">
        <f>IF(B485="","",SUMIF(Transactions!$F$8:$F$3006,B485,Transactions!$N$8:$N$3006))</f>
        <v/>
      </c>
      <c r="E485" s="52" t="str">
        <f>IF(B485="","",SUMIF(Transactions!$F$8:$F$3006,B485,Transactions!$O$8:$O$3006))</f>
        <v/>
      </c>
      <c r="F485" s="53" t="str">
        <f>IF(B485="","",SUMIF(Transactions!$F$8:$F$3006,B485,Transactions!$R$8:$R$3006))</f>
        <v/>
      </c>
      <c r="G485" s="54" t="str">
        <f>IF(B485="","",(C485+F485)-(D485+E485+SUMIF(Transactions!$F$8:$F$3006,B485,Transactions!$Q$8:$Q$3006)))</f>
        <v/>
      </c>
      <c r="H485" s="55" t="str">
        <f>IF(B485="","",IF(G485&gt;0,"OUTSTANDING",IF(G485=0,"SETTLED",IF(SUMIF(Transactions!$F$8:$F$3006,B485,Transactions!$Q$8:$Q$3006)&gt;SUMIF(Transactions!$F$8:$F$3006,B485,Transactions!$R$8:$R$3006),"OWES","OVERPAID"))))</f>
        <v/>
      </c>
      <c r="I485" s="1"/>
    </row>
    <row r="486" spans="1:9" ht="18" customHeight="1" x14ac:dyDescent="0.25">
      <c r="A486" s="40">
        <v>471</v>
      </c>
      <c r="B486" s="41" t="str">
        <f t="array" ref="B486">IFERROR(IF(INDEX(Transactions!$F$8:$F$3006,MATCH(0,COUNTIF($B$11:B485,Transactions!$F$8:$F$3006),0))="","",INDEX(Transactions!$F$8:$F$3006,MATCH(0,COUNTIF($B$11:B485,Transactions!$F$8:$F$3006),0))),"")</f>
        <v/>
      </c>
      <c r="C486" s="42" t="str">
        <f>IF(B486="","",SUMIF(Transactions!$F$8:$F$3006,B486,Transactions!$H$8:$H$3006))</f>
        <v/>
      </c>
      <c r="D486" s="43" t="str">
        <f>IF(B486="","",SUMIF(Transactions!$F$8:$F$3006,B486,Transactions!$N$8:$N$3006))</f>
        <v/>
      </c>
      <c r="E486" s="44" t="str">
        <f>IF(B486="","",SUMIF(Transactions!$F$8:$F$3006,B486,Transactions!$O$8:$O$3006))</f>
        <v/>
      </c>
      <c r="F486" s="45" t="str">
        <f>IF(B486="","",SUMIF(Transactions!$F$8:$F$3006,B486,Transactions!$R$8:$R$3006))</f>
        <v/>
      </c>
      <c r="G486" s="46" t="str">
        <f>IF(B486="","",(C486+F486)-(D486+E486+SUMIF(Transactions!$F$8:$F$3006,B486,Transactions!$Q$8:$Q$3006)))</f>
        <v/>
      </c>
      <c r="H486" s="47" t="str">
        <f>IF(B486="","",IF(G486&gt;0,"OUTSTANDING",IF(G486=0,"SETTLED",IF(SUMIF(Transactions!$F$8:$F$3006,B486,Transactions!$Q$8:$Q$3006)&gt;SUMIF(Transactions!$F$8:$F$3006,B486,Transactions!$R$8:$R$3006),"OWES","OVERPAID"))))</f>
        <v/>
      </c>
      <c r="I486" s="1"/>
    </row>
    <row r="487" spans="1:9" ht="18" customHeight="1" x14ac:dyDescent="0.25">
      <c r="A487" s="48">
        <v>472</v>
      </c>
      <c r="B487" s="49" t="str">
        <f t="array" ref="B487">IFERROR(IF(INDEX(Transactions!$F$8:$F$3006,MATCH(0,COUNTIF($B$11:B486,Transactions!$F$8:$F$3006),0))="","",INDEX(Transactions!$F$8:$F$3006,MATCH(0,COUNTIF($B$11:B486,Transactions!$F$8:$F$3006),0))),"")</f>
        <v/>
      </c>
      <c r="C487" s="50" t="str">
        <f>IF(B487="","",SUMIF(Transactions!$F$8:$F$3006,B487,Transactions!$H$8:$H$3006))</f>
        <v/>
      </c>
      <c r="D487" s="51" t="str">
        <f>IF(B487="","",SUMIF(Transactions!$F$8:$F$3006,B487,Transactions!$N$8:$N$3006))</f>
        <v/>
      </c>
      <c r="E487" s="52" t="str">
        <f>IF(B487="","",SUMIF(Transactions!$F$8:$F$3006,B487,Transactions!$O$8:$O$3006))</f>
        <v/>
      </c>
      <c r="F487" s="53" t="str">
        <f>IF(B487="","",SUMIF(Transactions!$F$8:$F$3006,B487,Transactions!$R$8:$R$3006))</f>
        <v/>
      </c>
      <c r="G487" s="54" t="str">
        <f>IF(B487="","",(C487+F487)-(D487+E487+SUMIF(Transactions!$F$8:$F$3006,B487,Transactions!$Q$8:$Q$3006)))</f>
        <v/>
      </c>
      <c r="H487" s="55" t="str">
        <f>IF(B487="","",IF(G487&gt;0,"OUTSTANDING",IF(G487=0,"SETTLED",IF(SUMIF(Transactions!$F$8:$F$3006,B487,Transactions!$Q$8:$Q$3006)&gt;SUMIF(Transactions!$F$8:$F$3006,B487,Transactions!$R$8:$R$3006),"OWES","OVERPAID"))))</f>
        <v/>
      </c>
      <c r="I487" s="1"/>
    </row>
    <row r="488" spans="1:9" ht="18" customHeight="1" x14ac:dyDescent="0.25">
      <c r="A488" s="40">
        <v>473</v>
      </c>
      <c r="B488" s="41" t="str">
        <f t="array" ref="B488">IFERROR(IF(INDEX(Transactions!$F$8:$F$3006,MATCH(0,COUNTIF($B$11:B487,Transactions!$F$8:$F$3006),0))="","",INDEX(Transactions!$F$8:$F$3006,MATCH(0,COUNTIF($B$11:B487,Transactions!$F$8:$F$3006),0))),"")</f>
        <v/>
      </c>
      <c r="C488" s="42" t="str">
        <f>IF(B488="","",SUMIF(Transactions!$F$8:$F$3006,B488,Transactions!$H$8:$H$3006))</f>
        <v/>
      </c>
      <c r="D488" s="43" t="str">
        <f>IF(B488="","",SUMIF(Transactions!$F$8:$F$3006,B488,Transactions!$N$8:$N$3006))</f>
        <v/>
      </c>
      <c r="E488" s="44" t="str">
        <f>IF(B488="","",SUMIF(Transactions!$F$8:$F$3006,B488,Transactions!$O$8:$O$3006))</f>
        <v/>
      </c>
      <c r="F488" s="45" t="str">
        <f>IF(B488="","",SUMIF(Transactions!$F$8:$F$3006,B488,Transactions!$R$8:$R$3006))</f>
        <v/>
      </c>
      <c r="G488" s="46" t="str">
        <f>IF(B488="","",(C488+F488)-(D488+E488+SUMIF(Transactions!$F$8:$F$3006,B488,Transactions!$Q$8:$Q$3006)))</f>
        <v/>
      </c>
      <c r="H488" s="47" t="str">
        <f>IF(B488="","",IF(G488&gt;0,"OUTSTANDING",IF(G488=0,"SETTLED",IF(SUMIF(Transactions!$F$8:$F$3006,B488,Transactions!$Q$8:$Q$3006)&gt;SUMIF(Transactions!$F$8:$F$3006,B488,Transactions!$R$8:$R$3006),"OWES","OVERPAID"))))</f>
        <v/>
      </c>
      <c r="I488" s="1"/>
    </row>
    <row r="489" spans="1:9" ht="18" customHeight="1" x14ac:dyDescent="0.25">
      <c r="A489" s="48">
        <v>474</v>
      </c>
      <c r="B489" s="49" t="str">
        <f t="array" ref="B489">IFERROR(IF(INDEX(Transactions!$F$8:$F$3006,MATCH(0,COUNTIF($B$11:B488,Transactions!$F$8:$F$3006),0))="","",INDEX(Transactions!$F$8:$F$3006,MATCH(0,COUNTIF($B$11:B488,Transactions!$F$8:$F$3006),0))),"")</f>
        <v/>
      </c>
      <c r="C489" s="50" t="str">
        <f>IF(B489="","",SUMIF(Transactions!$F$8:$F$3006,B489,Transactions!$H$8:$H$3006))</f>
        <v/>
      </c>
      <c r="D489" s="51" t="str">
        <f>IF(B489="","",SUMIF(Transactions!$F$8:$F$3006,B489,Transactions!$N$8:$N$3006))</f>
        <v/>
      </c>
      <c r="E489" s="52" t="str">
        <f>IF(B489="","",SUMIF(Transactions!$F$8:$F$3006,B489,Transactions!$O$8:$O$3006))</f>
        <v/>
      </c>
      <c r="F489" s="53" t="str">
        <f>IF(B489="","",SUMIF(Transactions!$F$8:$F$3006,B489,Transactions!$R$8:$R$3006))</f>
        <v/>
      </c>
      <c r="G489" s="54" t="str">
        <f>IF(B489="","",(C489+F489)-(D489+E489+SUMIF(Transactions!$F$8:$F$3006,B489,Transactions!$Q$8:$Q$3006)))</f>
        <v/>
      </c>
      <c r="H489" s="55" t="str">
        <f>IF(B489="","",IF(G489&gt;0,"OUTSTANDING",IF(G489=0,"SETTLED",IF(SUMIF(Transactions!$F$8:$F$3006,B489,Transactions!$Q$8:$Q$3006)&gt;SUMIF(Transactions!$F$8:$F$3006,B489,Transactions!$R$8:$R$3006),"OWES","OVERPAID"))))</f>
        <v/>
      </c>
      <c r="I489" s="1"/>
    </row>
    <row r="490" spans="1:9" ht="18" customHeight="1" x14ac:dyDescent="0.25">
      <c r="A490" s="40">
        <v>475</v>
      </c>
      <c r="B490" s="41" t="str">
        <f t="array" ref="B490">IFERROR(IF(INDEX(Transactions!$F$8:$F$3006,MATCH(0,COUNTIF($B$11:B489,Transactions!$F$8:$F$3006),0))="","",INDEX(Transactions!$F$8:$F$3006,MATCH(0,COUNTIF($B$11:B489,Transactions!$F$8:$F$3006),0))),"")</f>
        <v/>
      </c>
      <c r="C490" s="42" t="str">
        <f>IF(B490="","",SUMIF(Transactions!$F$8:$F$3006,B490,Transactions!$H$8:$H$3006))</f>
        <v/>
      </c>
      <c r="D490" s="43" t="str">
        <f>IF(B490="","",SUMIF(Transactions!$F$8:$F$3006,B490,Transactions!$N$8:$N$3006))</f>
        <v/>
      </c>
      <c r="E490" s="44" t="str">
        <f>IF(B490="","",SUMIF(Transactions!$F$8:$F$3006,B490,Transactions!$O$8:$O$3006))</f>
        <v/>
      </c>
      <c r="F490" s="45" t="str">
        <f>IF(B490="","",SUMIF(Transactions!$F$8:$F$3006,B490,Transactions!$R$8:$R$3006))</f>
        <v/>
      </c>
      <c r="G490" s="46" t="str">
        <f>IF(B490="","",(C490+F490)-(D490+E490+SUMIF(Transactions!$F$8:$F$3006,B490,Transactions!$Q$8:$Q$3006)))</f>
        <v/>
      </c>
      <c r="H490" s="47" t="str">
        <f>IF(B490="","",IF(G490&gt;0,"OUTSTANDING",IF(G490=0,"SETTLED",IF(SUMIF(Transactions!$F$8:$F$3006,B490,Transactions!$Q$8:$Q$3006)&gt;SUMIF(Transactions!$F$8:$F$3006,B490,Transactions!$R$8:$R$3006),"OWES","OVERPAID"))))</f>
        <v/>
      </c>
      <c r="I490" s="1"/>
    </row>
    <row r="491" spans="1:9" ht="18" customHeight="1" x14ac:dyDescent="0.25">
      <c r="A491" s="48">
        <v>476</v>
      </c>
      <c r="B491" s="49" t="str">
        <f t="array" ref="B491">IFERROR(IF(INDEX(Transactions!$F$8:$F$3006,MATCH(0,COUNTIF($B$11:B490,Transactions!$F$8:$F$3006),0))="","",INDEX(Transactions!$F$8:$F$3006,MATCH(0,COUNTIF($B$11:B490,Transactions!$F$8:$F$3006),0))),"")</f>
        <v/>
      </c>
      <c r="C491" s="50" t="str">
        <f>IF(B491="","",SUMIF(Transactions!$F$8:$F$3006,B491,Transactions!$H$8:$H$3006))</f>
        <v/>
      </c>
      <c r="D491" s="51" t="str">
        <f>IF(B491="","",SUMIF(Transactions!$F$8:$F$3006,B491,Transactions!$N$8:$N$3006))</f>
        <v/>
      </c>
      <c r="E491" s="52" t="str">
        <f>IF(B491="","",SUMIF(Transactions!$F$8:$F$3006,B491,Transactions!$O$8:$O$3006))</f>
        <v/>
      </c>
      <c r="F491" s="53" t="str">
        <f>IF(B491="","",SUMIF(Transactions!$F$8:$F$3006,B491,Transactions!$R$8:$R$3006))</f>
        <v/>
      </c>
      <c r="G491" s="54" t="str">
        <f>IF(B491="","",(C491+F491)-(D491+E491+SUMIF(Transactions!$F$8:$F$3006,B491,Transactions!$Q$8:$Q$3006)))</f>
        <v/>
      </c>
      <c r="H491" s="55" t="str">
        <f>IF(B491="","",IF(G491&gt;0,"OUTSTANDING",IF(G491=0,"SETTLED",IF(SUMIF(Transactions!$F$8:$F$3006,B491,Transactions!$Q$8:$Q$3006)&gt;SUMIF(Transactions!$F$8:$F$3006,B491,Transactions!$R$8:$R$3006),"OWES","OVERPAID"))))</f>
        <v/>
      </c>
      <c r="I491" s="1"/>
    </row>
    <row r="492" spans="1:9" ht="18" customHeight="1" x14ac:dyDescent="0.25">
      <c r="A492" s="40">
        <v>477</v>
      </c>
      <c r="B492" s="41" t="str">
        <f t="array" ref="B492">IFERROR(IF(INDEX(Transactions!$F$8:$F$3006,MATCH(0,COUNTIF($B$11:B491,Transactions!$F$8:$F$3006),0))="","",INDEX(Transactions!$F$8:$F$3006,MATCH(0,COUNTIF($B$11:B491,Transactions!$F$8:$F$3006),0))),"")</f>
        <v/>
      </c>
      <c r="C492" s="42" t="str">
        <f>IF(B492="","",SUMIF(Transactions!$F$8:$F$3006,B492,Transactions!$H$8:$H$3006))</f>
        <v/>
      </c>
      <c r="D492" s="43" t="str">
        <f>IF(B492="","",SUMIF(Transactions!$F$8:$F$3006,B492,Transactions!$N$8:$N$3006))</f>
        <v/>
      </c>
      <c r="E492" s="44" t="str">
        <f>IF(B492="","",SUMIF(Transactions!$F$8:$F$3006,B492,Transactions!$O$8:$O$3006))</f>
        <v/>
      </c>
      <c r="F492" s="45" t="str">
        <f>IF(B492="","",SUMIF(Transactions!$F$8:$F$3006,B492,Transactions!$R$8:$R$3006))</f>
        <v/>
      </c>
      <c r="G492" s="46" t="str">
        <f>IF(B492="","",(C492+F492)-(D492+E492+SUMIF(Transactions!$F$8:$F$3006,B492,Transactions!$Q$8:$Q$3006)))</f>
        <v/>
      </c>
      <c r="H492" s="47" t="str">
        <f>IF(B492="","",IF(G492&gt;0,"OUTSTANDING",IF(G492=0,"SETTLED",IF(SUMIF(Transactions!$F$8:$F$3006,B492,Transactions!$Q$8:$Q$3006)&gt;SUMIF(Transactions!$F$8:$F$3006,B492,Transactions!$R$8:$R$3006),"OWES","OVERPAID"))))</f>
        <v/>
      </c>
      <c r="I492" s="1"/>
    </row>
    <row r="493" spans="1:9" ht="18" customHeight="1" x14ac:dyDescent="0.25">
      <c r="A493" s="48">
        <v>478</v>
      </c>
      <c r="B493" s="49" t="str">
        <f t="array" ref="B493">IFERROR(IF(INDEX(Transactions!$F$8:$F$3006,MATCH(0,COUNTIF($B$11:B492,Transactions!$F$8:$F$3006),0))="","",INDEX(Transactions!$F$8:$F$3006,MATCH(0,COUNTIF($B$11:B492,Transactions!$F$8:$F$3006),0))),"")</f>
        <v/>
      </c>
      <c r="C493" s="50" t="str">
        <f>IF(B493="","",SUMIF(Transactions!$F$8:$F$3006,B493,Transactions!$H$8:$H$3006))</f>
        <v/>
      </c>
      <c r="D493" s="51" t="str">
        <f>IF(B493="","",SUMIF(Transactions!$F$8:$F$3006,B493,Transactions!$N$8:$N$3006))</f>
        <v/>
      </c>
      <c r="E493" s="52" t="str">
        <f>IF(B493="","",SUMIF(Transactions!$F$8:$F$3006,B493,Transactions!$O$8:$O$3006))</f>
        <v/>
      </c>
      <c r="F493" s="53" t="str">
        <f>IF(B493="","",SUMIF(Transactions!$F$8:$F$3006,B493,Transactions!$R$8:$R$3006))</f>
        <v/>
      </c>
      <c r="G493" s="54" t="str">
        <f>IF(B493="","",(C493+F493)-(D493+E493+SUMIF(Transactions!$F$8:$F$3006,B493,Transactions!$Q$8:$Q$3006)))</f>
        <v/>
      </c>
      <c r="H493" s="55" t="str">
        <f>IF(B493="","",IF(G493&gt;0,"OUTSTANDING",IF(G493=0,"SETTLED",IF(SUMIF(Transactions!$F$8:$F$3006,B493,Transactions!$Q$8:$Q$3006)&gt;SUMIF(Transactions!$F$8:$F$3006,B493,Transactions!$R$8:$R$3006),"OWES","OVERPAID"))))</f>
        <v/>
      </c>
      <c r="I493" s="1"/>
    </row>
    <row r="494" spans="1:9" ht="18" customHeight="1" x14ac:dyDescent="0.25">
      <c r="A494" s="40">
        <v>479</v>
      </c>
      <c r="B494" s="41" t="str">
        <f t="array" ref="B494">IFERROR(IF(INDEX(Transactions!$F$8:$F$3006,MATCH(0,COUNTIF($B$11:B493,Transactions!$F$8:$F$3006),0))="","",INDEX(Transactions!$F$8:$F$3006,MATCH(0,COUNTIF($B$11:B493,Transactions!$F$8:$F$3006),0))),"")</f>
        <v/>
      </c>
      <c r="C494" s="42" t="str">
        <f>IF(B494="","",SUMIF(Transactions!$F$8:$F$3006,B494,Transactions!$H$8:$H$3006))</f>
        <v/>
      </c>
      <c r="D494" s="43" t="str">
        <f>IF(B494="","",SUMIF(Transactions!$F$8:$F$3006,B494,Transactions!$N$8:$N$3006))</f>
        <v/>
      </c>
      <c r="E494" s="44" t="str">
        <f>IF(B494="","",SUMIF(Transactions!$F$8:$F$3006,B494,Transactions!$O$8:$O$3006))</f>
        <v/>
      </c>
      <c r="F494" s="45" t="str">
        <f>IF(B494="","",SUMIF(Transactions!$F$8:$F$3006,B494,Transactions!$R$8:$R$3006))</f>
        <v/>
      </c>
      <c r="G494" s="46" t="str">
        <f>IF(B494="","",(C494+F494)-(D494+E494+SUMIF(Transactions!$F$8:$F$3006,B494,Transactions!$Q$8:$Q$3006)))</f>
        <v/>
      </c>
      <c r="H494" s="47" t="str">
        <f>IF(B494="","",IF(G494&gt;0,"OUTSTANDING",IF(G494=0,"SETTLED",IF(SUMIF(Transactions!$F$8:$F$3006,B494,Transactions!$Q$8:$Q$3006)&gt;SUMIF(Transactions!$F$8:$F$3006,B494,Transactions!$R$8:$R$3006),"OWES","OVERPAID"))))</f>
        <v/>
      </c>
      <c r="I494" s="1"/>
    </row>
    <row r="495" spans="1:9" ht="18" customHeight="1" x14ac:dyDescent="0.25">
      <c r="A495" s="48">
        <v>480</v>
      </c>
      <c r="B495" s="49" t="str">
        <f t="array" ref="B495">IFERROR(IF(INDEX(Transactions!$F$8:$F$3006,MATCH(0,COUNTIF($B$11:B494,Transactions!$F$8:$F$3006),0))="","",INDEX(Transactions!$F$8:$F$3006,MATCH(0,COUNTIF($B$11:B494,Transactions!$F$8:$F$3006),0))),"")</f>
        <v/>
      </c>
      <c r="C495" s="50" t="str">
        <f>IF(B495="","",SUMIF(Transactions!$F$8:$F$3006,B495,Transactions!$H$8:$H$3006))</f>
        <v/>
      </c>
      <c r="D495" s="51" t="str">
        <f>IF(B495="","",SUMIF(Transactions!$F$8:$F$3006,B495,Transactions!$N$8:$N$3006))</f>
        <v/>
      </c>
      <c r="E495" s="52" t="str">
        <f>IF(B495="","",SUMIF(Transactions!$F$8:$F$3006,B495,Transactions!$O$8:$O$3006))</f>
        <v/>
      </c>
      <c r="F495" s="53" t="str">
        <f>IF(B495="","",SUMIF(Transactions!$F$8:$F$3006,B495,Transactions!$R$8:$R$3006))</f>
        <v/>
      </c>
      <c r="G495" s="54" t="str">
        <f>IF(B495="","",(C495+F495)-(D495+E495+SUMIF(Transactions!$F$8:$F$3006,B495,Transactions!$Q$8:$Q$3006)))</f>
        <v/>
      </c>
      <c r="H495" s="55" t="str">
        <f>IF(B495="","",IF(G495&gt;0,"OUTSTANDING",IF(G495=0,"SETTLED",IF(SUMIF(Transactions!$F$8:$F$3006,B495,Transactions!$Q$8:$Q$3006)&gt;SUMIF(Transactions!$F$8:$F$3006,B495,Transactions!$R$8:$R$3006),"OWES","OVERPAID"))))</f>
        <v/>
      </c>
      <c r="I495" s="1"/>
    </row>
    <row r="496" spans="1:9" ht="18" customHeight="1" x14ac:dyDescent="0.25">
      <c r="A496" s="40">
        <v>481</v>
      </c>
      <c r="B496" s="41" t="str">
        <f t="array" ref="B496">IFERROR(IF(INDEX(Transactions!$F$8:$F$3006,MATCH(0,COUNTIF($B$11:B495,Transactions!$F$8:$F$3006),0))="","",INDEX(Transactions!$F$8:$F$3006,MATCH(0,COUNTIF($B$11:B495,Transactions!$F$8:$F$3006),0))),"")</f>
        <v/>
      </c>
      <c r="C496" s="42" t="str">
        <f>IF(B496="","",SUMIF(Transactions!$F$8:$F$3006,B496,Transactions!$H$8:$H$3006))</f>
        <v/>
      </c>
      <c r="D496" s="43" t="str">
        <f>IF(B496="","",SUMIF(Transactions!$F$8:$F$3006,B496,Transactions!$N$8:$N$3006))</f>
        <v/>
      </c>
      <c r="E496" s="44" t="str">
        <f>IF(B496="","",SUMIF(Transactions!$F$8:$F$3006,B496,Transactions!$O$8:$O$3006))</f>
        <v/>
      </c>
      <c r="F496" s="45" t="str">
        <f>IF(B496="","",SUMIF(Transactions!$F$8:$F$3006,B496,Transactions!$R$8:$R$3006))</f>
        <v/>
      </c>
      <c r="G496" s="46" t="str">
        <f>IF(B496="","",(C496+F496)-(D496+E496+SUMIF(Transactions!$F$8:$F$3006,B496,Transactions!$Q$8:$Q$3006)))</f>
        <v/>
      </c>
      <c r="H496" s="47" t="str">
        <f>IF(B496="","",IF(G496&gt;0,"OUTSTANDING",IF(G496=0,"SETTLED",IF(SUMIF(Transactions!$F$8:$F$3006,B496,Transactions!$Q$8:$Q$3006)&gt;SUMIF(Transactions!$F$8:$F$3006,B496,Transactions!$R$8:$R$3006),"OWES","OVERPAID"))))</f>
        <v/>
      </c>
      <c r="I496" s="1"/>
    </row>
    <row r="497" spans="1:9" ht="18" customHeight="1" x14ac:dyDescent="0.25">
      <c r="A497" s="48">
        <v>482</v>
      </c>
      <c r="B497" s="49" t="str">
        <f t="array" ref="B497">IFERROR(IF(INDEX(Transactions!$F$8:$F$3006,MATCH(0,COUNTIF($B$11:B496,Transactions!$F$8:$F$3006),0))="","",INDEX(Transactions!$F$8:$F$3006,MATCH(0,COUNTIF($B$11:B496,Transactions!$F$8:$F$3006),0))),"")</f>
        <v/>
      </c>
      <c r="C497" s="50" t="str">
        <f>IF(B497="","",SUMIF(Transactions!$F$8:$F$3006,B497,Transactions!$H$8:$H$3006))</f>
        <v/>
      </c>
      <c r="D497" s="51" t="str">
        <f>IF(B497="","",SUMIF(Transactions!$F$8:$F$3006,B497,Transactions!$N$8:$N$3006))</f>
        <v/>
      </c>
      <c r="E497" s="52" t="str">
        <f>IF(B497="","",SUMIF(Transactions!$F$8:$F$3006,B497,Transactions!$O$8:$O$3006))</f>
        <v/>
      </c>
      <c r="F497" s="53" t="str">
        <f>IF(B497="","",SUMIF(Transactions!$F$8:$F$3006,B497,Transactions!$R$8:$R$3006))</f>
        <v/>
      </c>
      <c r="G497" s="54" t="str">
        <f>IF(B497="","",(C497+F497)-(D497+E497+SUMIF(Transactions!$F$8:$F$3006,B497,Transactions!$Q$8:$Q$3006)))</f>
        <v/>
      </c>
      <c r="H497" s="55" t="str">
        <f>IF(B497="","",IF(G497&gt;0,"OUTSTANDING",IF(G497=0,"SETTLED",IF(SUMIF(Transactions!$F$8:$F$3006,B497,Transactions!$Q$8:$Q$3006)&gt;SUMIF(Transactions!$F$8:$F$3006,B497,Transactions!$R$8:$R$3006),"OWES","OVERPAID"))))</f>
        <v/>
      </c>
      <c r="I497" s="1"/>
    </row>
    <row r="498" spans="1:9" ht="18" customHeight="1" x14ac:dyDescent="0.25">
      <c r="A498" s="40">
        <v>483</v>
      </c>
      <c r="B498" s="41" t="str">
        <f t="array" ref="B498">IFERROR(IF(INDEX(Transactions!$F$8:$F$3006,MATCH(0,COUNTIF($B$11:B497,Transactions!$F$8:$F$3006),0))="","",INDEX(Transactions!$F$8:$F$3006,MATCH(0,COUNTIF($B$11:B497,Transactions!$F$8:$F$3006),0))),"")</f>
        <v/>
      </c>
      <c r="C498" s="42" t="str">
        <f>IF(B498="","",SUMIF(Transactions!$F$8:$F$3006,B498,Transactions!$H$8:$H$3006))</f>
        <v/>
      </c>
      <c r="D498" s="43" t="str">
        <f>IF(B498="","",SUMIF(Transactions!$F$8:$F$3006,B498,Transactions!$N$8:$N$3006))</f>
        <v/>
      </c>
      <c r="E498" s="44" t="str">
        <f>IF(B498="","",SUMIF(Transactions!$F$8:$F$3006,B498,Transactions!$O$8:$O$3006))</f>
        <v/>
      </c>
      <c r="F498" s="45" t="str">
        <f>IF(B498="","",SUMIF(Transactions!$F$8:$F$3006,B498,Transactions!$R$8:$R$3006))</f>
        <v/>
      </c>
      <c r="G498" s="46" t="str">
        <f>IF(B498="","",(C498+F498)-(D498+E498+SUMIF(Transactions!$F$8:$F$3006,B498,Transactions!$Q$8:$Q$3006)))</f>
        <v/>
      </c>
      <c r="H498" s="47" t="str">
        <f>IF(B498="","",IF(G498&gt;0,"OUTSTANDING",IF(G498=0,"SETTLED",IF(SUMIF(Transactions!$F$8:$F$3006,B498,Transactions!$Q$8:$Q$3006)&gt;SUMIF(Transactions!$F$8:$F$3006,B498,Transactions!$R$8:$R$3006),"OWES","OVERPAID"))))</f>
        <v/>
      </c>
      <c r="I498" s="1"/>
    </row>
    <row r="499" spans="1:9" ht="18" customHeight="1" x14ac:dyDescent="0.25">
      <c r="A499" s="48">
        <v>484</v>
      </c>
      <c r="B499" s="49" t="str">
        <f t="array" ref="B499">IFERROR(IF(INDEX(Transactions!$F$8:$F$3006,MATCH(0,COUNTIF($B$11:B498,Transactions!$F$8:$F$3006),0))="","",INDEX(Transactions!$F$8:$F$3006,MATCH(0,COUNTIF($B$11:B498,Transactions!$F$8:$F$3006),0))),"")</f>
        <v/>
      </c>
      <c r="C499" s="50" t="str">
        <f>IF(B499="","",SUMIF(Transactions!$F$8:$F$3006,B499,Transactions!$H$8:$H$3006))</f>
        <v/>
      </c>
      <c r="D499" s="51" t="str">
        <f>IF(B499="","",SUMIF(Transactions!$F$8:$F$3006,B499,Transactions!$N$8:$N$3006))</f>
        <v/>
      </c>
      <c r="E499" s="52" t="str">
        <f>IF(B499="","",SUMIF(Transactions!$F$8:$F$3006,B499,Transactions!$O$8:$O$3006))</f>
        <v/>
      </c>
      <c r="F499" s="53" t="str">
        <f>IF(B499="","",SUMIF(Transactions!$F$8:$F$3006,B499,Transactions!$R$8:$R$3006))</f>
        <v/>
      </c>
      <c r="G499" s="54" t="str">
        <f>IF(B499="","",(C499+F499)-(D499+E499+SUMIF(Transactions!$F$8:$F$3006,B499,Transactions!$Q$8:$Q$3006)))</f>
        <v/>
      </c>
      <c r="H499" s="55" t="str">
        <f>IF(B499="","",IF(G499&gt;0,"OUTSTANDING",IF(G499=0,"SETTLED",IF(SUMIF(Transactions!$F$8:$F$3006,B499,Transactions!$Q$8:$Q$3006)&gt;SUMIF(Transactions!$F$8:$F$3006,B499,Transactions!$R$8:$R$3006),"OWES","OVERPAID"))))</f>
        <v/>
      </c>
      <c r="I499" s="1"/>
    </row>
    <row r="500" spans="1:9" ht="18" customHeight="1" x14ac:dyDescent="0.25">
      <c r="A500" s="40">
        <v>485</v>
      </c>
      <c r="B500" s="41" t="str">
        <f t="array" ref="B500">IFERROR(IF(INDEX(Transactions!$F$8:$F$3006,MATCH(0,COUNTIF($B$11:B499,Transactions!$F$8:$F$3006),0))="","",INDEX(Transactions!$F$8:$F$3006,MATCH(0,COUNTIF($B$11:B499,Transactions!$F$8:$F$3006),0))),"")</f>
        <v/>
      </c>
      <c r="C500" s="42" t="str">
        <f>IF(B500="","",SUMIF(Transactions!$F$8:$F$3006,B500,Transactions!$H$8:$H$3006))</f>
        <v/>
      </c>
      <c r="D500" s="43" t="str">
        <f>IF(B500="","",SUMIF(Transactions!$F$8:$F$3006,B500,Transactions!$N$8:$N$3006))</f>
        <v/>
      </c>
      <c r="E500" s="44" t="str">
        <f>IF(B500="","",SUMIF(Transactions!$F$8:$F$3006,B500,Transactions!$O$8:$O$3006))</f>
        <v/>
      </c>
      <c r="F500" s="45" t="str">
        <f>IF(B500="","",SUMIF(Transactions!$F$8:$F$3006,B500,Transactions!$R$8:$R$3006))</f>
        <v/>
      </c>
      <c r="G500" s="46" t="str">
        <f>IF(B500="","",(C500+F500)-(D500+E500+SUMIF(Transactions!$F$8:$F$3006,B500,Transactions!$Q$8:$Q$3006)))</f>
        <v/>
      </c>
      <c r="H500" s="47" t="str">
        <f>IF(B500="","",IF(G500&gt;0,"OUTSTANDING",IF(G500=0,"SETTLED",IF(SUMIF(Transactions!$F$8:$F$3006,B500,Transactions!$Q$8:$Q$3006)&gt;SUMIF(Transactions!$F$8:$F$3006,B500,Transactions!$R$8:$R$3006),"OWES","OVERPAID"))))</f>
        <v/>
      </c>
      <c r="I500" s="1"/>
    </row>
    <row r="501" spans="1:9" ht="18" customHeight="1" x14ac:dyDescent="0.25">
      <c r="A501" s="48">
        <v>486</v>
      </c>
      <c r="B501" s="49" t="str">
        <f t="array" ref="B501">IFERROR(IF(INDEX(Transactions!$F$8:$F$3006,MATCH(0,COUNTIF($B$11:B500,Transactions!$F$8:$F$3006),0))="","",INDEX(Transactions!$F$8:$F$3006,MATCH(0,COUNTIF($B$11:B500,Transactions!$F$8:$F$3006),0))),"")</f>
        <v/>
      </c>
      <c r="C501" s="50" t="str">
        <f>IF(B501="","",SUMIF(Transactions!$F$8:$F$3006,B501,Transactions!$H$8:$H$3006))</f>
        <v/>
      </c>
      <c r="D501" s="51" t="str">
        <f>IF(B501="","",SUMIF(Transactions!$F$8:$F$3006,B501,Transactions!$N$8:$N$3006))</f>
        <v/>
      </c>
      <c r="E501" s="52" t="str">
        <f>IF(B501="","",SUMIF(Transactions!$F$8:$F$3006,B501,Transactions!$O$8:$O$3006))</f>
        <v/>
      </c>
      <c r="F501" s="53" t="str">
        <f>IF(B501="","",SUMIF(Transactions!$F$8:$F$3006,B501,Transactions!$R$8:$R$3006))</f>
        <v/>
      </c>
      <c r="G501" s="54" t="str">
        <f>IF(B501="","",(C501+F501)-(D501+E501+SUMIF(Transactions!$F$8:$F$3006,B501,Transactions!$Q$8:$Q$3006)))</f>
        <v/>
      </c>
      <c r="H501" s="55" t="str">
        <f>IF(B501="","",IF(G501&gt;0,"OUTSTANDING",IF(G501=0,"SETTLED",IF(SUMIF(Transactions!$F$8:$F$3006,B501,Transactions!$Q$8:$Q$3006)&gt;SUMIF(Transactions!$F$8:$F$3006,B501,Transactions!$R$8:$R$3006),"OWES","OVERPAID"))))</f>
        <v/>
      </c>
      <c r="I501" s="1"/>
    </row>
    <row r="502" spans="1:9" ht="18" customHeight="1" x14ac:dyDescent="0.25">
      <c r="A502" s="40">
        <v>487</v>
      </c>
      <c r="B502" s="41" t="str">
        <f t="array" ref="B502">IFERROR(IF(INDEX(Transactions!$F$8:$F$3006,MATCH(0,COUNTIF($B$11:B501,Transactions!$F$8:$F$3006),0))="","",INDEX(Transactions!$F$8:$F$3006,MATCH(0,COUNTIF($B$11:B501,Transactions!$F$8:$F$3006),0))),"")</f>
        <v/>
      </c>
      <c r="C502" s="42" t="str">
        <f>IF(B502="","",SUMIF(Transactions!$F$8:$F$3006,B502,Transactions!$H$8:$H$3006))</f>
        <v/>
      </c>
      <c r="D502" s="43" t="str">
        <f>IF(B502="","",SUMIF(Transactions!$F$8:$F$3006,B502,Transactions!$N$8:$N$3006))</f>
        <v/>
      </c>
      <c r="E502" s="44" t="str">
        <f>IF(B502="","",SUMIF(Transactions!$F$8:$F$3006,B502,Transactions!$O$8:$O$3006))</f>
        <v/>
      </c>
      <c r="F502" s="45" t="str">
        <f>IF(B502="","",SUMIF(Transactions!$F$8:$F$3006,B502,Transactions!$R$8:$R$3006))</f>
        <v/>
      </c>
      <c r="G502" s="46" t="str">
        <f>IF(B502="","",(C502+F502)-(D502+E502+SUMIF(Transactions!$F$8:$F$3006,B502,Transactions!$Q$8:$Q$3006)))</f>
        <v/>
      </c>
      <c r="H502" s="47" t="str">
        <f>IF(B502="","",IF(G502&gt;0,"OUTSTANDING",IF(G502=0,"SETTLED",IF(SUMIF(Transactions!$F$8:$F$3006,B502,Transactions!$Q$8:$Q$3006)&gt;SUMIF(Transactions!$F$8:$F$3006,B502,Transactions!$R$8:$R$3006),"OWES","OVERPAID"))))</f>
        <v/>
      </c>
      <c r="I502" s="1"/>
    </row>
    <row r="503" spans="1:9" ht="18" customHeight="1" x14ac:dyDescent="0.25">
      <c r="A503" s="48">
        <v>488</v>
      </c>
      <c r="B503" s="49" t="str">
        <f t="array" ref="B503">IFERROR(IF(INDEX(Transactions!$F$8:$F$3006,MATCH(0,COUNTIF($B$11:B502,Transactions!$F$8:$F$3006),0))="","",INDEX(Transactions!$F$8:$F$3006,MATCH(0,COUNTIF($B$11:B502,Transactions!$F$8:$F$3006),0))),"")</f>
        <v/>
      </c>
      <c r="C503" s="50" t="str">
        <f>IF(B503="","",SUMIF(Transactions!$F$8:$F$3006,B503,Transactions!$H$8:$H$3006))</f>
        <v/>
      </c>
      <c r="D503" s="51" t="str">
        <f>IF(B503="","",SUMIF(Transactions!$F$8:$F$3006,B503,Transactions!$N$8:$N$3006))</f>
        <v/>
      </c>
      <c r="E503" s="52" t="str">
        <f>IF(B503="","",SUMIF(Transactions!$F$8:$F$3006,B503,Transactions!$O$8:$O$3006))</f>
        <v/>
      </c>
      <c r="F503" s="53" t="str">
        <f>IF(B503="","",SUMIF(Transactions!$F$8:$F$3006,B503,Transactions!$R$8:$R$3006))</f>
        <v/>
      </c>
      <c r="G503" s="54" t="str">
        <f>IF(B503="","",(C503+F503)-(D503+E503+SUMIF(Transactions!$F$8:$F$3006,B503,Transactions!$Q$8:$Q$3006)))</f>
        <v/>
      </c>
      <c r="H503" s="55" t="str">
        <f>IF(B503="","",IF(G503&gt;0,"OUTSTANDING",IF(G503=0,"SETTLED",IF(SUMIF(Transactions!$F$8:$F$3006,B503,Transactions!$Q$8:$Q$3006)&gt;SUMIF(Transactions!$F$8:$F$3006,B503,Transactions!$R$8:$R$3006),"OWES","OVERPAID"))))</f>
        <v/>
      </c>
      <c r="I503" s="1"/>
    </row>
    <row r="504" spans="1:9" ht="18" customHeight="1" x14ac:dyDescent="0.25">
      <c r="A504" s="40">
        <v>489</v>
      </c>
      <c r="B504" s="41" t="str">
        <f t="array" ref="B504">IFERROR(IF(INDEX(Transactions!$F$8:$F$3006,MATCH(0,COUNTIF($B$11:B503,Transactions!$F$8:$F$3006),0))="","",INDEX(Transactions!$F$8:$F$3006,MATCH(0,COUNTIF($B$11:B503,Transactions!$F$8:$F$3006),0))),"")</f>
        <v/>
      </c>
      <c r="C504" s="42" t="str">
        <f>IF(B504="","",SUMIF(Transactions!$F$8:$F$3006,B504,Transactions!$H$8:$H$3006))</f>
        <v/>
      </c>
      <c r="D504" s="43" t="str">
        <f>IF(B504="","",SUMIF(Transactions!$F$8:$F$3006,B504,Transactions!$N$8:$N$3006))</f>
        <v/>
      </c>
      <c r="E504" s="44" t="str">
        <f>IF(B504="","",SUMIF(Transactions!$F$8:$F$3006,B504,Transactions!$O$8:$O$3006))</f>
        <v/>
      </c>
      <c r="F504" s="45" t="str">
        <f>IF(B504="","",SUMIF(Transactions!$F$8:$F$3006,B504,Transactions!$R$8:$R$3006))</f>
        <v/>
      </c>
      <c r="G504" s="46" t="str">
        <f>IF(B504="","",(C504+F504)-(D504+E504+SUMIF(Transactions!$F$8:$F$3006,B504,Transactions!$Q$8:$Q$3006)))</f>
        <v/>
      </c>
      <c r="H504" s="47" t="str">
        <f>IF(B504="","",IF(G504&gt;0,"OUTSTANDING",IF(G504=0,"SETTLED",IF(SUMIF(Transactions!$F$8:$F$3006,B504,Transactions!$Q$8:$Q$3006)&gt;SUMIF(Transactions!$F$8:$F$3006,B504,Transactions!$R$8:$R$3006),"OWES","OVERPAID"))))</f>
        <v/>
      </c>
      <c r="I504" s="1"/>
    </row>
    <row r="505" spans="1:9" ht="18" customHeight="1" x14ac:dyDescent="0.25">
      <c r="A505" s="48">
        <v>490</v>
      </c>
      <c r="B505" s="49" t="str">
        <f t="array" ref="B505">IFERROR(IF(INDEX(Transactions!$F$8:$F$3006,MATCH(0,COUNTIF($B$11:B504,Transactions!$F$8:$F$3006),0))="","",INDEX(Transactions!$F$8:$F$3006,MATCH(0,COUNTIF($B$11:B504,Transactions!$F$8:$F$3006),0))),"")</f>
        <v/>
      </c>
      <c r="C505" s="50" t="str">
        <f>IF(B505="","",SUMIF(Transactions!$F$8:$F$3006,B505,Transactions!$H$8:$H$3006))</f>
        <v/>
      </c>
      <c r="D505" s="51" t="str">
        <f>IF(B505="","",SUMIF(Transactions!$F$8:$F$3006,B505,Transactions!$N$8:$N$3006))</f>
        <v/>
      </c>
      <c r="E505" s="52" t="str">
        <f>IF(B505="","",SUMIF(Transactions!$F$8:$F$3006,B505,Transactions!$O$8:$O$3006))</f>
        <v/>
      </c>
      <c r="F505" s="53" t="str">
        <f>IF(B505="","",SUMIF(Transactions!$F$8:$F$3006,B505,Transactions!$R$8:$R$3006))</f>
        <v/>
      </c>
      <c r="G505" s="54" t="str">
        <f>IF(B505="","",(C505+F505)-(D505+E505+SUMIF(Transactions!$F$8:$F$3006,B505,Transactions!$Q$8:$Q$3006)))</f>
        <v/>
      </c>
      <c r="H505" s="55" t="str">
        <f>IF(B505="","",IF(G505&gt;0,"OUTSTANDING",IF(G505=0,"SETTLED",IF(SUMIF(Transactions!$F$8:$F$3006,B505,Transactions!$Q$8:$Q$3006)&gt;SUMIF(Transactions!$F$8:$F$3006,B505,Transactions!$R$8:$R$3006),"OWES","OVERPAID"))))</f>
        <v/>
      </c>
      <c r="I505" s="1"/>
    </row>
    <row r="506" spans="1:9" ht="18" customHeight="1" x14ac:dyDescent="0.25">
      <c r="A506" s="40">
        <v>491</v>
      </c>
      <c r="B506" s="41" t="str">
        <f t="array" ref="B506">IFERROR(IF(INDEX(Transactions!$F$8:$F$3006,MATCH(0,COUNTIF($B$11:B505,Transactions!$F$8:$F$3006),0))="","",INDEX(Transactions!$F$8:$F$3006,MATCH(0,COUNTIF($B$11:B505,Transactions!$F$8:$F$3006),0))),"")</f>
        <v/>
      </c>
      <c r="C506" s="42" t="str">
        <f>IF(B506="","",SUMIF(Transactions!$F$8:$F$3006,B506,Transactions!$H$8:$H$3006))</f>
        <v/>
      </c>
      <c r="D506" s="43" t="str">
        <f>IF(B506="","",SUMIF(Transactions!$F$8:$F$3006,B506,Transactions!$N$8:$N$3006))</f>
        <v/>
      </c>
      <c r="E506" s="44" t="str">
        <f>IF(B506="","",SUMIF(Transactions!$F$8:$F$3006,B506,Transactions!$O$8:$O$3006))</f>
        <v/>
      </c>
      <c r="F506" s="45" t="str">
        <f>IF(B506="","",SUMIF(Transactions!$F$8:$F$3006,B506,Transactions!$R$8:$R$3006))</f>
        <v/>
      </c>
      <c r="G506" s="46" t="str">
        <f>IF(B506="","",(C506+F506)-(D506+E506+SUMIF(Transactions!$F$8:$F$3006,B506,Transactions!$Q$8:$Q$3006)))</f>
        <v/>
      </c>
      <c r="H506" s="47" t="str">
        <f>IF(B506="","",IF(G506&gt;0,"OUTSTANDING",IF(G506=0,"SETTLED",IF(SUMIF(Transactions!$F$8:$F$3006,B506,Transactions!$Q$8:$Q$3006)&gt;SUMIF(Transactions!$F$8:$F$3006,B506,Transactions!$R$8:$R$3006),"OWES","OVERPAID"))))</f>
        <v/>
      </c>
      <c r="I506" s="1"/>
    </row>
    <row r="507" spans="1:9" ht="18" customHeight="1" x14ac:dyDescent="0.25">
      <c r="A507" s="48">
        <v>492</v>
      </c>
      <c r="B507" s="49" t="str">
        <f t="array" ref="B507">IFERROR(IF(INDEX(Transactions!$F$8:$F$3006,MATCH(0,COUNTIF($B$11:B506,Transactions!$F$8:$F$3006),0))="","",INDEX(Transactions!$F$8:$F$3006,MATCH(0,COUNTIF($B$11:B506,Transactions!$F$8:$F$3006),0))),"")</f>
        <v/>
      </c>
      <c r="C507" s="50" t="str">
        <f>IF(B507="","",SUMIF(Transactions!$F$8:$F$3006,B507,Transactions!$H$8:$H$3006))</f>
        <v/>
      </c>
      <c r="D507" s="51" t="str">
        <f>IF(B507="","",SUMIF(Transactions!$F$8:$F$3006,B507,Transactions!$N$8:$N$3006))</f>
        <v/>
      </c>
      <c r="E507" s="52" t="str">
        <f>IF(B507="","",SUMIF(Transactions!$F$8:$F$3006,B507,Transactions!$O$8:$O$3006))</f>
        <v/>
      </c>
      <c r="F507" s="53" t="str">
        <f>IF(B507="","",SUMIF(Transactions!$F$8:$F$3006,B507,Transactions!$R$8:$R$3006))</f>
        <v/>
      </c>
      <c r="G507" s="54" t="str">
        <f>IF(B507="","",(C507+F507)-(D507+E507+SUMIF(Transactions!$F$8:$F$3006,B507,Transactions!$Q$8:$Q$3006)))</f>
        <v/>
      </c>
      <c r="H507" s="55" t="str">
        <f>IF(B507="","",IF(G507&gt;0,"OUTSTANDING",IF(G507=0,"SETTLED",IF(SUMIF(Transactions!$F$8:$F$3006,B507,Transactions!$Q$8:$Q$3006)&gt;SUMIF(Transactions!$F$8:$F$3006,B507,Transactions!$R$8:$R$3006),"OWES","OVERPAID"))))</f>
        <v/>
      </c>
      <c r="I507" s="1"/>
    </row>
    <row r="508" spans="1:9" ht="18" customHeight="1" x14ac:dyDescent="0.25">
      <c r="A508" s="40">
        <v>493</v>
      </c>
      <c r="B508" s="41" t="str">
        <f t="array" ref="B508">IFERROR(IF(INDEX(Transactions!$F$8:$F$3006,MATCH(0,COUNTIF($B$11:B507,Transactions!$F$8:$F$3006),0))="","",INDEX(Transactions!$F$8:$F$3006,MATCH(0,COUNTIF($B$11:B507,Transactions!$F$8:$F$3006),0))),"")</f>
        <v/>
      </c>
      <c r="C508" s="42" t="str">
        <f>IF(B508="","",SUMIF(Transactions!$F$8:$F$3006,B508,Transactions!$H$8:$H$3006))</f>
        <v/>
      </c>
      <c r="D508" s="43" t="str">
        <f>IF(B508="","",SUMIF(Transactions!$F$8:$F$3006,B508,Transactions!$N$8:$N$3006))</f>
        <v/>
      </c>
      <c r="E508" s="44" t="str">
        <f>IF(B508="","",SUMIF(Transactions!$F$8:$F$3006,B508,Transactions!$O$8:$O$3006))</f>
        <v/>
      </c>
      <c r="F508" s="45" t="str">
        <f>IF(B508="","",SUMIF(Transactions!$F$8:$F$3006,B508,Transactions!$R$8:$R$3006))</f>
        <v/>
      </c>
      <c r="G508" s="46" t="str">
        <f>IF(B508="","",(C508+F508)-(D508+E508+SUMIF(Transactions!$F$8:$F$3006,B508,Transactions!$Q$8:$Q$3006)))</f>
        <v/>
      </c>
      <c r="H508" s="47" t="str">
        <f>IF(B508="","",IF(G508&gt;0,"OUTSTANDING",IF(G508=0,"SETTLED",IF(SUMIF(Transactions!$F$8:$F$3006,B508,Transactions!$Q$8:$Q$3006)&gt;SUMIF(Transactions!$F$8:$F$3006,B508,Transactions!$R$8:$R$3006),"OWES","OVERPAID"))))</f>
        <v/>
      </c>
      <c r="I508" s="1"/>
    </row>
    <row r="509" spans="1:9" ht="18" customHeight="1" x14ac:dyDescent="0.25">
      <c r="A509" s="48">
        <v>494</v>
      </c>
      <c r="B509" s="49" t="str">
        <f t="array" ref="B509">IFERROR(IF(INDEX(Transactions!$F$8:$F$3006,MATCH(0,COUNTIF($B$11:B508,Transactions!$F$8:$F$3006),0))="","",INDEX(Transactions!$F$8:$F$3006,MATCH(0,COUNTIF($B$11:B508,Transactions!$F$8:$F$3006),0))),"")</f>
        <v/>
      </c>
      <c r="C509" s="50" t="str">
        <f>IF(B509="","",SUMIF(Transactions!$F$8:$F$3006,B509,Transactions!$H$8:$H$3006))</f>
        <v/>
      </c>
      <c r="D509" s="51" t="str">
        <f>IF(B509="","",SUMIF(Transactions!$F$8:$F$3006,B509,Transactions!$N$8:$N$3006))</f>
        <v/>
      </c>
      <c r="E509" s="52" t="str">
        <f>IF(B509="","",SUMIF(Transactions!$F$8:$F$3006,B509,Transactions!$O$8:$O$3006))</f>
        <v/>
      </c>
      <c r="F509" s="53" t="str">
        <f>IF(B509="","",SUMIF(Transactions!$F$8:$F$3006,B509,Transactions!$R$8:$R$3006))</f>
        <v/>
      </c>
      <c r="G509" s="54" t="str">
        <f>IF(B509="","",(C509+F509)-(D509+E509+SUMIF(Transactions!$F$8:$F$3006,B509,Transactions!$Q$8:$Q$3006)))</f>
        <v/>
      </c>
      <c r="H509" s="55" t="str">
        <f>IF(B509="","",IF(G509&gt;0,"OUTSTANDING",IF(G509=0,"SETTLED",IF(SUMIF(Transactions!$F$8:$F$3006,B509,Transactions!$Q$8:$Q$3006)&gt;SUMIF(Transactions!$F$8:$F$3006,B509,Transactions!$R$8:$R$3006),"OWES","OVERPAID"))))</f>
        <v/>
      </c>
      <c r="I509" s="1"/>
    </row>
    <row r="510" spans="1:9" ht="18" customHeight="1" x14ac:dyDescent="0.25">
      <c r="A510" s="40">
        <v>495</v>
      </c>
      <c r="B510" s="41" t="str">
        <f t="array" ref="B510">IFERROR(IF(INDEX(Transactions!$F$8:$F$3006,MATCH(0,COUNTIF($B$11:B509,Transactions!$F$8:$F$3006),0))="","",INDEX(Transactions!$F$8:$F$3006,MATCH(0,COUNTIF($B$11:B509,Transactions!$F$8:$F$3006),0))),"")</f>
        <v/>
      </c>
      <c r="C510" s="42" t="str">
        <f>IF(B510="","",SUMIF(Transactions!$F$8:$F$3006,B510,Transactions!$H$8:$H$3006))</f>
        <v/>
      </c>
      <c r="D510" s="43" t="str">
        <f>IF(B510="","",SUMIF(Transactions!$F$8:$F$3006,B510,Transactions!$N$8:$N$3006))</f>
        <v/>
      </c>
      <c r="E510" s="44" t="str">
        <f>IF(B510="","",SUMIF(Transactions!$F$8:$F$3006,B510,Transactions!$O$8:$O$3006))</f>
        <v/>
      </c>
      <c r="F510" s="45" t="str">
        <f>IF(B510="","",SUMIF(Transactions!$F$8:$F$3006,B510,Transactions!$R$8:$R$3006))</f>
        <v/>
      </c>
      <c r="G510" s="46" t="str">
        <f>IF(B510="","",(C510+F510)-(D510+E510+SUMIF(Transactions!$F$8:$F$3006,B510,Transactions!$Q$8:$Q$3006)))</f>
        <v/>
      </c>
      <c r="H510" s="47" t="str">
        <f>IF(B510="","",IF(G510&gt;0,"OUTSTANDING",IF(G510=0,"SETTLED",IF(SUMIF(Transactions!$F$8:$F$3006,B510,Transactions!$Q$8:$Q$3006)&gt;SUMIF(Transactions!$F$8:$F$3006,B510,Transactions!$R$8:$R$3006),"OWES","OVERPAID"))))</f>
        <v/>
      </c>
      <c r="I510" s="1"/>
    </row>
    <row r="511" spans="1:9" ht="18" customHeight="1" x14ac:dyDescent="0.25">
      <c r="A511" s="48">
        <v>496</v>
      </c>
      <c r="B511" s="49" t="str">
        <f t="array" ref="B511">IFERROR(IF(INDEX(Transactions!$F$8:$F$3006,MATCH(0,COUNTIF($B$11:B510,Transactions!$F$8:$F$3006),0))="","",INDEX(Transactions!$F$8:$F$3006,MATCH(0,COUNTIF($B$11:B510,Transactions!$F$8:$F$3006),0))),"")</f>
        <v/>
      </c>
      <c r="C511" s="50" t="str">
        <f>IF(B511="","",SUMIF(Transactions!$F$8:$F$3006,B511,Transactions!$H$8:$H$3006))</f>
        <v/>
      </c>
      <c r="D511" s="51" t="str">
        <f>IF(B511="","",SUMIF(Transactions!$F$8:$F$3006,B511,Transactions!$N$8:$N$3006))</f>
        <v/>
      </c>
      <c r="E511" s="52" t="str">
        <f>IF(B511="","",SUMIF(Transactions!$F$8:$F$3006,B511,Transactions!$O$8:$O$3006))</f>
        <v/>
      </c>
      <c r="F511" s="53" t="str">
        <f>IF(B511="","",SUMIF(Transactions!$F$8:$F$3006,B511,Transactions!$R$8:$R$3006))</f>
        <v/>
      </c>
      <c r="G511" s="54" t="str">
        <f>IF(B511="","",(C511+F511)-(D511+E511+SUMIF(Transactions!$F$8:$F$3006,B511,Transactions!$Q$8:$Q$3006)))</f>
        <v/>
      </c>
      <c r="H511" s="55" t="str">
        <f>IF(B511="","",IF(G511&gt;0,"OUTSTANDING",IF(G511=0,"SETTLED",IF(SUMIF(Transactions!$F$8:$F$3006,B511,Transactions!$Q$8:$Q$3006)&gt;SUMIF(Transactions!$F$8:$F$3006,B511,Transactions!$R$8:$R$3006),"OWES","OVERPAID"))))</f>
        <v/>
      </c>
      <c r="I511" s="1"/>
    </row>
    <row r="512" spans="1:9" ht="18" customHeight="1" x14ac:dyDescent="0.25">
      <c r="A512" s="40">
        <v>497</v>
      </c>
      <c r="B512" s="41" t="str">
        <f t="array" ref="B512">IFERROR(IF(INDEX(Transactions!$F$8:$F$3006,MATCH(0,COUNTIF($B$11:B511,Transactions!$F$8:$F$3006),0))="","",INDEX(Transactions!$F$8:$F$3006,MATCH(0,COUNTIF($B$11:B511,Transactions!$F$8:$F$3006),0))),"")</f>
        <v/>
      </c>
      <c r="C512" s="42" t="str">
        <f>IF(B512="","",SUMIF(Transactions!$F$8:$F$3006,B512,Transactions!$H$8:$H$3006))</f>
        <v/>
      </c>
      <c r="D512" s="43" t="str">
        <f>IF(B512="","",SUMIF(Transactions!$F$8:$F$3006,B512,Transactions!$N$8:$N$3006))</f>
        <v/>
      </c>
      <c r="E512" s="44" t="str">
        <f>IF(B512="","",SUMIF(Transactions!$F$8:$F$3006,B512,Transactions!$O$8:$O$3006))</f>
        <v/>
      </c>
      <c r="F512" s="45" t="str">
        <f>IF(B512="","",SUMIF(Transactions!$F$8:$F$3006,B512,Transactions!$R$8:$R$3006))</f>
        <v/>
      </c>
      <c r="G512" s="46" t="str">
        <f>IF(B512="","",(C512+F512)-(D512+E512+SUMIF(Transactions!$F$8:$F$3006,B512,Transactions!$Q$8:$Q$3006)))</f>
        <v/>
      </c>
      <c r="H512" s="47" t="str">
        <f>IF(B512="","",IF(G512&gt;0,"OUTSTANDING",IF(G512=0,"SETTLED",IF(SUMIF(Transactions!$F$8:$F$3006,B512,Transactions!$Q$8:$Q$3006)&gt;SUMIF(Transactions!$F$8:$F$3006,B512,Transactions!$R$8:$R$3006),"OWES","OVERPAID"))))</f>
        <v/>
      </c>
      <c r="I512" s="1"/>
    </row>
    <row r="513" spans="1:9" ht="18" customHeight="1" x14ac:dyDescent="0.25">
      <c r="A513" s="48">
        <v>498</v>
      </c>
      <c r="B513" s="49" t="str">
        <f t="array" ref="B513">IFERROR(IF(INDEX(Transactions!$F$8:$F$3006,MATCH(0,COUNTIF($B$11:B512,Transactions!$F$8:$F$3006),0))="","",INDEX(Transactions!$F$8:$F$3006,MATCH(0,COUNTIF($B$11:B512,Transactions!$F$8:$F$3006),0))),"")</f>
        <v/>
      </c>
      <c r="C513" s="50" t="str">
        <f>IF(B513="","",SUMIF(Transactions!$F$8:$F$3006,B513,Transactions!$H$8:$H$3006))</f>
        <v/>
      </c>
      <c r="D513" s="51" t="str">
        <f>IF(B513="","",SUMIF(Transactions!$F$8:$F$3006,B513,Transactions!$N$8:$N$3006))</f>
        <v/>
      </c>
      <c r="E513" s="52" t="str">
        <f>IF(B513="","",SUMIF(Transactions!$F$8:$F$3006,B513,Transactions!$O$8:$O$3006))</f>
        <v/>
      </c>
      <c r="F513" s="53" t="str">
        <f>IF(B513="","",SUMIF(Transactions!$F$8:$F$3006,B513,Transactions!$R$8:$R$3006))</f>
        <v/>
      </c>
      <c r="G513" s="54" t="str">
        <f>IF(B513="","",(C513+F513)-(D513+E513+SUMIF(Transactions!$F$8:$F$3006,B513,Transactions!$Q$8:$Q$3006)))</f>
        <v/>
      </c>
      <c r="H513" s="55" t="str">
        <f>IF(B513="","",IF(G513&gt;0,"OUTSTANDING",IF(G513=0,"SETTLED",IF(SUMIF(Transactions!$F$8:$F$3006,B513,Transactions!$Q$8:$Q$3006)&gt;SUMIF(Transactions!$F$8:$F$3006,B513,Transactions!$R$8:$R$3006),"OWES","OVERPAID"))))</f>
        <v/>
      </c>
      <c r="I513" s="1"/>
    </row>
    <row r="514" spans="1:9" ht="18" customHeight="1" x14ac:dyDescent="0.25">
      <c r="A514" s="40">
        <v>499</v>
      </c>
      <c r="B514" s="41" t="str">
        <f t="array" ref="B514">IFERROR(IF(INDEX(Transactions!$F$8:$F$3006,MATCH(0,COUNTIF($B$11:B513,Transactions!$F$8:$F$3006),0))="","",INDEX(Transactions!$F$8:$F$3006,MATCH(0,COUNTIF($B$11:B513,Transactions!$F$8:$F$3006),0))),"")</f>
        <v/>
      </c>
      <c r="C514" s="42" t="str">
        <f>IF(B514="","",SUMIF(Transactions!$F$8:$F$3006,B514,Transactions!$H$8:$H$3006))</f>
        <v/>
      </c>
      <c r="D514" s="43" t="str">
        <f>IF(B514="","",SUMIF(Transactions!$F$8:$F$3006,B514,Transactions!$N$8:$N$3006))</f>
        <v/>
      </c>
      <c r="E514" s="44" t="str">
        <f>IF(B514="","",SUMIF(Transactions!$F$8:$F$3006,B514,Transactions!$O$8:$O$3006))</f>
        <v/>
      </c>
      <c r="F514" s="45" t="str">
        <f>IF(B514="","",SUMIF(Transactions!$F$8:$F$3006,B514,Transactions!$R$8:$R$3006))</f>
        <v/>
      </c>
      <c r="G514" s="46" t="str">
        <f>IF(B514="","",(C514+F514)-(D514+E514+SUMIF(Transactions!$F$8:$F$3006,B514,Transactions!$Q$8:$Q$3006)))</f>
        <v/>
      </c>
      <c r="H514" s="47" t="str">
        <f>IF(B514="","",IF(G514&gt;0,"OUTSTANDING",IF(G514=0,"SETTLED",IF(SUMIF(Transactions!$F$8:$F$3006,B514,Transactions!$Q$8:$Q$3006)&gt;SUMIF(Transactions!$F$8:$F$3006,B514,Transactions!$R$8:$R$3006),"OWES","OVERPAID"))))</f>
        <v/>
      </c>
      <c r="I514" s="1"/>
    </row>
    <row r="515" spans="1:9" ht="18" customHeight="1" x14ac:dyDescent="0.25">
      <c r="A515" s="48">
        <v>500</v>
      </c>
      <c r="B515" s="49" t="str">
        <f t="array" ref="B515">IFERROR(IF(INDEX(Transactions!$F$8:$F$3006,MATCH(0,COUNTIF($B$11:B514,Transactions!$F$8:$F$3006),0))="","",INDEX(Transactions!$F$8:$F$3006,MATCH(0,COUNTIF($B$11:B514,Transactions!$F$8:$F$3006),0))),"")</f>
        <v/>
      </c>
      <c r="C515" s="50" t="str">
        <f>IF(B515="","",SUMIF(Transactions!$F$8:$F$3006,B515,Transactions!$H$8:$H$3006))</f>
        <v/>
      </c>
      <c r="D515" s="51" t="str">
        <f>IF(B515="","",SUMIF(Transactions!$F$8:$F$3006,B515,Transactions!$N$8:$N$3006))</f>
        <v/>
      </c>
      <c r="E515" s="52" t="str">
        <f>IF(B515="","",SUMIF(Transactions!$F$8:$F$3006,B515,Transactions!$O$8:$O$3006))</f>
        <v/>
      </c>
      <c r="F515" s="53" t="str">
        <f>IF(B515="","",SUMIF(Transactions!$F$8:$F$3006,B515,Transactions!$R$8:$R$3006))</f>
        <v/>
      </c>
      <c r="G515" s="54" t="str">
        <f>IF(B515="","",(C515+F515)-(D515+E515+SUMIF(Transactions!$F$8:$F$3006,B515,Transactions!$Q$8:$Q$3006)))</f>
        <v/>
      </c>
      <c r="H515" s="55" t="str">
        <f>IF(B515="","",IF(G515&gt;0,"OUTSTANDING",IF(G515=0,"SETTLED",IF(SUMIF(Transactions!$F$8:$F$3006,B515,Transactions!$Q$8:$Q$3006)&gt;SUMIF(Transactions!$F$8:$F$3006,B515,Transactions!$R$8:$R$3006),"OWES","OVERPAID"))))</f>
        <v/>
      </c>
      <c r="I515" s="1"/>
    </row>
    <row r="516" spans="1:9" ht="18" customHeight="1" x14ac:dyDescent="0.25">
      <c r="A516" s="40">
        <v>501</v>
      </c>
      <c r="B516" s="41" t="str">
        <f t="array" ref="B516">IFERROR(IF(INDEX(Transactions!$F$8:$F$3006,MATCH(0,COUNTIF($B$11:B515,Transactions!$F$8:$F$3006),0))="","",INDEX(Transactions!$F$8:$F$3006,MATCH(0,COUNTIF($B$11:B515,Transactions!$F$8:$F$3006),0))),"")</f>
        <v/>
      </c>
      <c r="C516" s="42" t="str">
        <f>IF(B516="","",SUMIF(Transactions!$F$8:$F$3006,B516,Transactions!$H$8:$H$3006))</f>
        <v/>
      </c>
      <c r="D516" s="43" t="str">
        <f>IF(B516="","",SUMIF(Transactions!$F$8:$F$3006,B516,Transactions!$N$8:$N$3006))</f>
        <v/>
      </c>
      <c r="E516" s="44" t="str">
        <f>IF(B516="","",SUMIF(Transactions!$F$8:$F$3006,B516,Transactions!$O$8:$O$3006))</f>
        <v/>
      </c>
      <c r="F516" s="45" t="str">
        <f>IF(B516="","",SUMIF(Transactions!$F$8:$F$3006,B516,Transactions!$R$8:$R$3006))</f>
        <v/>
      </c>
      <c r="G516" s="46" t="str">
        <f>IF(B516="","",(C516+F516)-(D516+E516+SUMIF(Transactions!$F$8:$F$3006,B516,Transactions!$Q$8:$Q$3006)))</f>
        <v/>
      </c>
      <c r="H516" s="47" t="str">
        <f>IF(B516="","",IF(G516&gt;0,"OUTSTANDING",IF(G516=0,"SETTLED",IF(SUMIF(Transactions!$F$8:$F$3006,B516,Transactions!$Q$8:$Q$3006)&gt;SUMIF(Transactions!$F$8:$F$3006,B516,Transactions!$R$8:$R$3006),"OWES","OVERPAID"))))</f>
        <v/>
      </c>
      <c r="I516" s="1"/>
    </row>
    <row r="517" spans="1:9" ht="18" customHeight="1" x14ac:dyDescent="0.25">
      <c r="A517" s="48">
        <v>502</v>
      </c>
      <c r="B517" s="49" t="str">
        <f t="array" ref="B517">IFERROR(IF(INDEX(Transactions!$F$8:$F$3006,MATCH(0,COUNTIF($B$11:B516,Transactions!$F$8:$F$3006),0))="","",INDEX(Transactions!$F$8:$F$3006,MATCH(0,COUNTIF($B$11:B516,Transactions!$F$8:$F$3006),0))),"")</f>
        <v/>
      </c>
      <c r="C517" s="50" t="str">
        <f>IF(B517="","",SUMIF(Transactions!$F$8:$F$3006,B517,Transactions!$H$8:$H$3006))</f>
        <v/>
      </c>
      <c r="D517" s="51" t="str">
        <f>IF(B517="","",SUMIF(Transactions!$F$8:$F$3006,B517,Transactions!$N$8:$N$3006))</f>
        <v/>
      </c>
      <c r="E517" s="52" t="str">
        <f>IF(B517="","",SUMIF(Transactions!$F$8:$F$3006,B517,Transactions!$O$8:$O$3006))</f>
        <v/>
      </c>
      <c r="F517" s="53" t="str">
        <f>IF(B517="","",SUMIF(Transactions!$F$8:$F$3006,B517,Transactions!$R$8:$R$3006))</f>
        <v/>
      </c>
      <c r="G517" s="54" t="str">
        <f>IF(B517="","",(C517+F517)-(D517+E517+SUMIF(Transactions!$F$8:$F$3006,B517,Transactions!$Q$8:$Q$3006)))</f>
        <v/>
      </c>
      <c r="H517" s="55" t="str">
        <f>IF(B517="","",IF(G517&gt;0,"OUTSTANDING",IF(G517=0,"SETTLED",IF(SUMIF(Transactions!$F$8:$F$3006,B517,Transactions!$Q$8:$Q$3006)&gt;SUMIF(Transactions!$F$8:$F$3006,B517,Transactions!$R$8:$R$3006),"OWES","OVERPAID"))))</f>
        <v/>
      </c>
      <c r="I517" s="1"/>
    </row>
    <row r="518" spans="1:9" ht="18" customHeight="1" x14ac:dyDescent="0.25">
      <c r="A518" s="40">
        <v>503</v>
      </c>
      <c r="B518" s="41" t="str">
        <f t="array" ref="B518">IFERROR(IF(INDEX(Transactions!$F$8:$F$3006,MATCH(0,COUNTIF($B$11:B517,Transactions!$F$8:$F$3006),0))="","",INDEX(Transactions!$F$8:$F$3006,MATCH(0,COUNTIF($B$11:B517,Transactions!$F$8:$F$3006),0))),"")</f>
        <v/>
      </c>
      <c r="C518" s="42" t="str">
        <f>IF(B518="","",SUMIF(Transactions!$F$8:$F$3006,B518,Transactions!$H$8:$H$3006))</f>
        <v/>
      </c>
      <c r="D518" s="43" t="str">
        <f>IF(B518="","",SUMIF(Transactions!$F$8:$F$3006,B518,Transactions!$N$8:$N$3006))</f>
        <v/>
      </c>
      <c r="E518" s="44" t="str">
        <f>IF(B518="","",SUMIF(Transactions!$F$8:$F$3006,B518,Transactions!$O$8:$O$3006))</f>
        <v/>
      </c>
      <c r="F518" s="45" t="str">
        <f>IF(B518="","",SUMIF(Transactions!$F$8:$F$3006,B518,Transactions!$R$8:$R$3006))</f>
        <v/>
      </c>
      <c r="G518" s="46" t="str">
        <f>IF(B518="","",(C518+F518)-(D518+E518+SUMIF(Transactions!$F$8:$F$3006,B518,Transactions!$Q$8:$Q$3006)))</f>
        <v/>
      </c>
      <c r="H518" s="47" t="str">
        <f>IF(B518="","",IF(G518&gt;0,"OUTSTANDING",IF(G518=0,"SETTLED",IF(SUMIF(Transactions!$F$8:$F$3006,B518,Transactions!$Q$8:$Q$3006)&gt;SUMIF(Transactions!$F$8:$F$3006,B518,Transactions!$R$8:$R$3006),"OWES","OVERPAID"))))</f>
        <v/>
      </c>
      <c r="I518" s="1"/>
    </row>
    <row r="519" spans="1:9" ht="18" customHeight="1" x14ac:dyDescent="0.25">
      <c r="A519" s="48">
        <v>504</v>
      </c>
      <c r="B519" s="49" t="str">
        <f t="array" ref="B519">IFERROR(IF(INDEX(Transactions!$F$8:$F$3006,MATCH(0,COUNTIF($B$11:B518,Transactions!$F$8:$F$3006),0))="","",INDEX(Transactions!$F$8:$F$3006,MATCH(0,COUNTIF($B$11:B518,Transactions!$F$8:$F$3006),0))),"")</f>
        <v/>
      </c>
      <c r="C519" s="50" t="str">
        <f>IF(B519="","",SUMIF(Transactions!$F$8:$F$3006,B519,Transactions!$H$8:$H$3006))</f>
        <v/>
      </c>
      <c r="D519" s="51" t="str">
        <f>IF(B519="","",SUMIF(Transactions!$F$8:$F$3006,B519,Transactions!$N$8:$N$3006))</f>
        <v/>
      </c>
      <c r="E519" s="52" t="str">
        <f>IF(B519="","",SUMIF(Transactions!$F$8:$F$3006,B519,Transactions!$O$8:$O$3006))</f>
        <v/>
      </c>
      <c r="F519" s="53" t="str">
        <f>IF(B519="","",SUMIF(Transactions!$F$8:$F$3006,B519,Transactions!$R$8:$R$3006))</f>
        <v/>
      </c>
      <c r="G519" s="54" t="str">
        <f>IF(B519="","",(C519+F519)-(D519+E519+SUMIF(Transactions!$F$8:$F$3006,B519,Transactions!$Q$8:$Q$3006)))</f>
        <v/>
      </c>
      <c r="H519" s="55" t="str">
        <f>IF(B519="","",IF(G519&gt;0,"OUTSTANDING",IF(G519=0,"SETTLED",IF(SUMIF(Transactions!$F$8:$F$3006,B519,Transactions!$Q$8:$Q$3006)&gt;SUMIF(Transactions!$F$8:$F$3006,B519,Transactions!$R$8:$R$3006),"OWES","OVERPAID"))))</f>
        <v/>
      </c>
      <c r="I519" s="1"/>
    </row>
    <row r="520" spans="1:9" ht="18" customHeight="1" x14ac:dyDescent="0.25">
      <c r="A520" s="40">
        <v>505</v>
      </c>
      <c r="B520" s="41" t="str">
        <f t="array" ref="B520">IFERROR(IF(INDEX(Transactions!$F$8:$F$3006,MATCH(0,COUNTIF($B$11:B519,Transactions!$F$8:$F$3006),0))="","",INDEX(Transactions!$F$8:$F$3006,MATCH(0,COUNTIF($B$11:B519,Transactions!$F$8:$F$3006),0))),"")</f>
        <v/>
      </c>
      <c r="C520" s="42" t="str">
        <f>IF(B520="","",SUMIF(Transactions!$F$8:$F$3006,B520,Transactions!$H$8:$H$3006))</f>
        <v/>
      </c>
      <c r="D520" s="43" t="str">
        <f>IF(B520="","",SUMIF(Transactions!$F$8:$F$3006,B520,Transactions!$N$8:$N$3006))</f>
        <v/>
      </c>
      <c r="E520" s="44" t="str">
        <f>IF(B520="","",SUMIF(Transactions!$F$8:$F$3006,B520,Transactions!$O$8:$O$3006))</f>
        <v/>
      </c>
      <c r="F520" s="45" t="str">
        <f>IF(B520="","",SUMIF(Transactions!$F$8:$F$3006,B520,Transactions!$R$8:$R$3006))</f>
        <v/>
      </c>
      <c r="G520" s="46" t="str">
        <f>IF(B520="","",(C520+F520)-(D520+E520+SUMIF(Transactions!$F$8:$F$3006,B520,Transactions!$Q$8:$Q$3006)))</f>
        <v/>
      </c>
      <c r="H520" s="47" t="str">
        <f>IF(B520="","",IF(G520&gt;0,"OUTSTANDING",IF(G520=0,"SETTLED",IF(SUMIF(Transactions!$F$8:$F$3006,B520,Transactions!$Q$8:$Q$3006)&gt;SUMIF(Transactions!$F$8:$F$3006,B520,Transactions!$R$8:$R$3006),"OWES","OVERPAID"))))</f>
        <v/>
      </c>
      <c r="I520" s="1"/>
    </row>
    <row r="521" spans="1:9" ht="18" customHeight="1" x14ac:dyDescent="0.25">
      <c r="A521" s="48">
        <v>506</v>
      </c>
      <c r="B521" s="49" t="str">
        <f t="array" ref="B521">IFERROR(IF(INDEX(Transactions!$F$8:$F$3006,MATCH(0,COUNTIF($B$11:B520,Transactions!$F$8:$F$3006),0))="","",INDEX(Transactions!$F$8:$F$3006,MATCH(0,COUNTIF($B$11:B520,Transactions!$F$8:$F$3006),0))),"")</f>
        <v/>
      </c>
      <c r="C521" s="50" t="str">
        <f>IF(B521="","",SUMIF(Transactions!$F$8:$F$3006,B521,Transactions!$H$8:$H$3006))</f>
        <v/>
      </c>
      <c r="D521" s="51" t="str">
        <f>IF(B521="","",SUMIF(Transactions!$F$8:$F$3006,B521,Transactions!$N$8:$N$3006))</f>
        <v/>
      </c>
      <c r="E521" s="52" t="str">
        <f>IF(B521="","",SUMIF(Transactions!$F$8:$F$3006,B521,Transactions!$O$8:$O$3006))</f>
        <v/>
      </c>
      <c r="F521" s="53" t="str">
        <f>IF(B521="","",SUMIF(Transactions!$F$8:$F$3006,B521,Transactions!$R$8:$R$3006))</f>
        <v/>
      </c>
      <c r="G521" s="54" t="str">
        <f>IF(B521="","",(C521+F521)-(D521+E521+SUMIF(Transactions!$F$8:$F$3006,B521,Transactions!$Q$8:$Q$3006)))</f>
        <v/>
      </c>
      <c r="H521" s="55" t="str">
        <f>IF(B521="","",IF(G521&gt;0,"OUTSTANDING",IF(G521=0,"SETTLED",IF(SUMIF(Transactions!$F$8:$F$3006,B521,Transactions!$Q$8:$Q$3006)&gt;SUMIF(Transactions!$F$8:$F$3006,B521,Transactions!$R$8:$R$3006),"OWES","OVERPAID"))))</f>
        <v/>
      </c>
      <c r="I521" s="1"/>
    </row>
    <row r="522" spans="1:9" ht="18" customHeight="1" x14ac:dyDescent="0.25">
      <c r="A522" s="40">
        <v>507</v>
      </c>
      <c r="B522" s="41" t="str">
        <f t="array" ref="B522">IFERROR(IF(INDEX(Transactions!$F$8:$F$3006,MATCH(0,COUNTIF($B$11:B521,Transactions!$F$8:$F$3006),0))="","",INDEX(Transactions!$F$8:$F$3006,MATCH(0,COUNTIF($B$11:B521,Transactions!$F$8:$F$3006),0))),"")</f>
        <v/>
      </c>
      <c r="C522" s="42" t="str">
        <f>IF(B522="","",SUMIF(Transactions!$F$8:$F$3006,B522,Transactions!$H$8:$H$3006))</f>
        <v/>
      </c>
      <c r="D522" s="43" t="str">
        <f>IF(B522="","",SUMIF(Transactions!$F$8:$F$3006,B522,Transactions!$N$8:$N$3006))</f>
        <v/>
      </c>
      <c r="E522" s="44" t="str">
        <f>IF(B522="","",SUMIF(Transactions!$F$8:$F$3006,B522,Transactions!$O$8:$O$3006))</f>
        <v/>
      </c>
      <c r="F522" s="45" t="str">
        <f>IF(B522="","",SUMIF(Transactions!$F$8:$F$3006,B522,Transactions!$R$8:$R$3006))</f>
        <v/>
      </c>
      <c r="G522" s="46" t="str">
        <f>IF(B522="","",(C522+F522)-(D522+E522+SUMIF(Transactions!$F$8:$F$3006,B522,Transactions!$Q$8:$Q$3006)))</f>
        <v/>
      </c>
      <c r="H522" s="47" t="str">
        <f>IF(B522="","",IF(G522&gt;0,"OUTSTANDING",IF(G522=0,"SETTLED",IF(SUMIF(Transactions!$F$8:$F$3006,B522,Transactions!$Q$8:$Q$3006)&gt;SUMIF(Transactions!$F$8:$F$3006,B522,Transactions!$R$8:$R$3006),"OWES","OVERPAID"))))</f>
        <v/>
      </c>
      <c r="I522" s="1"/>
    </row>
    <row r="523" spans="1:9" ht="18" customHeight="1" x14ac:dyDescent="0.25">
      <c r="A523" s="48">
        <v>508</v>
      </c>
      <c r="B523" s="49" t="str">
        <f t="array" ref="B523">IFERROR(IF(INDEX(Transactions!$F$8:$F$3006,MATCH(0,COUNTIF($B$11:B522,Transactions!$F$8:$F$3006),0))="","",INDEX(Transactions!$F$8:$F$3006,MATCH(0,COUNTIF($B$11:B522,Transactions!$F$8:$F$3006),0))),"")</f>
        <v/>
      </c>
      <c r="C523" s="50" t="str">
        <f>IF(B523="","",SUMIF(Transactions!$F$8:$F$3006,B523,Transactions!$H$8:$H$3006))</f>
        <v/>
      </c>
      <c r="D523" s="51" t="str">
        <f>IF(B523="","",SUMIF(Transactions!$F$8:$F$3006,B523,Transactions!$N$8:$N$3006))</f>
        <v/>
      </c>
      <c r="E523" s="52" t="str">
        <f>IF(B523="","",SUMIF(Transactions!$F$8:$F$3006,B523,Transactions!$O$8:$O$3006))</f>
        <v/>
      </c>
      <c r="F523" s="53" t="str">
        <f>IF(B523="","",SUMIF(Transactions!$F$8:$F$3006,B523,Transactions!$R$8:$R$3006))</f>
        <v/>
      </c>
      <c r="G523" s="54" t="str">
        <f>IF(B523="","",(C523+F523)-(D523+E523+SUMIF(Transactions!$F$8:$F$3006,B523,Transactions!$Q$8:$Q$3006)))</f>
        <v/>
      </c>
      <c r="H523" s="55" t="str">
        <f>IF(B523="","",IF(G523&gt;0,"OUTSTANDING",IF(G523=0,"SETTLED",IF(SUMIF(Transactions!$F$8:$F$3006,B523,Transactions!$Q$8:$Q$3006)&gt;SUMIF(Transactions!$F$8:$F$3006,B523,Transactions!$R$8:$R$3006),"OWES","OVERPAID"))))</f>
        <v/>
      </c>
      <c r="I523" s="1"/>
    </row>
    <row r="524" spans="1:9" ht="18" customHeight="1" x14ac:dyDescent="0.25">
      <c r="A524" s="40">
        <v>509</v>
      </c>
      <c r="B524" s="41" t="str">
        <f t="array" ref="B524">IFERROR(IF(INDEX(Transactions!$F$8:$F$3006,MATCH(0,COUNTIF($B$11:B523,Transactions!$F$8:$F$3006),0))="","",INDEX(Transactions!$F$8:$F$3006,MATCH(0,COUNTIF($B$11:B523,Transactions!$F$8:$F$3006),0))),"")</f>
        <v/>
      </c>
      <c r="C524" s="42" t="str">
        <f>IF(B524="","",SUMIF(Transactions!$F$8:$F$3006,B524,Transactions!$H$8:$H$3006))</f>
        <v/>
      </c>
      <c r="D524" s="43" t="str">
        <f>IF(B524="","",SUMIF(Transactions!$F$8:$F$3006,B524,Transactions!$N$8:$N$3006))</f>
        <v/>
      </c>
      <c r="E524" s="44" t="str">
        <f>IF(B524="","",SUMIF(Transactions!$F$8:$F$3006,B524,Transactions!$O$8:$O$3006))</f>
        <v/>
      </c>
      <c r="F524" s="45" t="str">
        <f>IF(B524="","",SUMIF(Transactions!$F$8:$F$3006,B524,Transactions!$R$8:$R$3006))</f>
        <v/>
      </c>
      <c r="G524" s="46" t="str">
        <f>IF(B524="","",(C524+F524)-(D524+E524+SUMIF(Transactions!$F$8:$F$3006,B524,Transactions!$Q$8:$Q$3006)))</f>
        <v/>
      </c>
      <c r="H524" s="47" t="str">
        <f>IF(B524="","",IF(G524&gt;0,"OUTSTANDING",IF(G524=0,"SETTLED",IF(SUMIF(Transactions!$F$8:$F$3006,B524,Transactions!$Q$8:$Q$3006)&gt;SUMIF(Transactions!$F$8:$F$3006,B524,Transactions!$R$8:$R$3006),"OWES","OVERPAID"))))</f>
        <v/>
      </c>
      <c r="I524" s="1"/>
    </row>
    <row r="525" spans="1:9" ht="18" customHeight="1" x14ac:dyDescent="0.25">
      <c r="A525" s="48">
        <v>510</v>
      </c>
      <c r="B525" s="49" t="str">
        <f t="array" ref="B525">IFERROR(IF(INDEX(Transactions!$F$8:$F$3006,MATCH(0,COUNTIF($B$11:B524,Transactions!$F$8:$F$3006),0))="","",INDEX(Transactions!$F$8:$F$3006,MATCH(0,COUNTIF($B$11:B524,Transactions!$F$8:$F$3006),0))),"")</f>
        <v/>
      </c>
      <c r="C525" s="50" t="str">
        <f>IF(B525="","",SUMIF(Transactions!$F$8:$F$3006,B525,Transactions!$H$8:$H$3006))</f>
        <v/>
      </c>
      <c r="D525" s="51" t="str">
        <f>IF(B525="","",SUMIF(Transactions!$F$8:$F$3006,B525,Transactions!$N$8:$N$3006))</f>
        <v/>
      </c>
      <c r="E525" s="52" t="str">
        <f>IF(B525="","",SUMIF(Transactions!$F$8:$F$3006,B525,Transactions!$O$8:$O$3006))</f>
        <v/>
      </c>
      <c r="F525" s="53" t="str">
        <f>IF(B525="","",SUMIF(Transactions!$F$8:$F$3006,B525,Transactions!$R$8:$R$3006))</f>
        <v/>
      </c>
      <c r="G525" s="54" t="str">
        <f>IF(B525="","",(C525+F525)-(D525+E525+SUMIF(Transactions!$F$8:$F$3006,B525,Transactions!$Q$8:$Q$3006)))</f>
        <v/>
      </c>
      <c r="H525" s="55" t="str">
        <f>IF(B525="","",IF(G525&gt;0,"OUTSTANDING",IF(G525=0,"SETTLED",IF(SUMIF(Transactions!$F$8:$F$3006,B525,Transactions!$Q$8:$Q$3006)&gt;SUMIF(Transactions!$F$8:$F$3006,B525,Transactions!$R$8:$R$3006),"OWES","OVERPAID"))))</f>
        <v/>
      </c>
      <c r="I525" s="1"/>
    </row>
    <row r="526" spans="1:9" ht="18" customHeight="1" x14ac:dyDescent="0.25">
      <c r="A526" s="40">
        <v>511</v>
      </c>
      <c r="B526" s="41" t="str">
        <f t="array" ref="B526">IFERROR(IF(INDEX(Transactions!$F$8:$F$3006,MATCH(0,COUNTIF($B$11:B525,Transactions!$F$8:$F$3006),0))="","",INDEX(Transactions!$F$8:$F$3006,MATCH(0,COUNTIF($B$11:B525,Transactions!$F$8:$F$3006),0))),"")</f>
        <v/>
      </c>
      <c r="C526" s="42" t="str">
        <f>IF(B526="","",SUMIF(Transactions!$F$8:$F$3006,B526,Transactions!$H$8:$H$3006))</f>
        <v/>
      </c>
      <c r="D526" s="43" t="str">
        <f>IF(B526="","",SUMIF(Transactions!$F$8:$F$3006,B526,Transactions!$N$8:$N$3006))</f>
        <v/>
      </c>
      <c r="E526" s="44" t="str">
        <f>IF(B526="","",SUMIF(Transactions!$F$8:$F$3006,B526,Transactions!$O$8:$O$3006))</f>
        <v/>
      </c>
      <c r="F526" s="45" t="str">
        <f>IF(B526="","",SUMIF(Transactions!$F$8:$F$3006,B526,Transactions!$R$8:$R$3006))</f>
        <v/>
      </c>
      <c r="G526" s="46" t="str">
        <f>IF(B526="","",(C526+F526)-(D526+E526+SUMIF(Transactions!$F$8:$F$3006,B526,Transactions!$Q$8:$Q$3006)))</f>
        <v/>
      </c>
      <c r="H526" s="47" t="str">
        <f>IF(B526="","",IF(G526&gt;0,"OUTSTANDING",IF(G526=0,"SETTLED",IF(SUMIF(Transactions!$F$8:$F$3006,B526,Transactions!$Q$8:$Q$3006)&gt;SUMIF(Transactions!$F$8:$F$3006,B526,Transactions!$R$8:$R$3006),"OWES","OVERPAID"))))</f>
        <v/>
      </c>
      <c r="I526" s="1"/>
    </row>
    <row r="527" spans="1:9" ht="18" customHeight="1" x14ac:dyDescent="0.25">
      <c r="A527" s="48">
        <v>512</v>
      </c>
      <c r="B527" s="49" t="str">
        <f t="array" ref="B527">IFERROR(IF(INDEX(Transactions!$F$8:$F$3006,MATCH(0,COUNTIF($B$11:B526,Transactions!$F$8:$F$3006),0))="","",INDEX(Transactions!$F$8:$F$3006,MATCH(0,COUNTIF($B$11:B526,Transactions!$F$8:$F$3006),0))),"")</f>
        <v/>
      </c>
      <c r="C527" s="50" t="str">
        <f>IF(B527="","",SUMIF(Transactions!$F$8:$F$3006,B527,Transactions!$H$8:$H$3006))</f>
        <v/>
      </c>
      <c r="D527" s="51" t="str">
        <f>IF(B527="","",SUMIF(Transactions!$F$8:$F$3006,B527,Transactions!$N$8:$N$3006))</f>
        <v/>
      </c>
      <c r="E527" s="52" t="str">
        <f>IF(B527="","",SUMIF(Transactions!$F$8:$F$3006,B527,Transactions!$O$8:$O$3006))</f>
        <v/>
      </c>
      <c r="F527" s="53" t="str">
        <f>IF(B527="","",SUMIF(Transactions!$F$8:$F$3006,B527,Transactions!$R$8:$R$3006))</f>
        <v/>
      </c>
      <c r="G527" s="54" t="str">
        <f>IF(B527="","",(C527+F527)-(D527+E527+SUMIF(Transactions!$F$8:$F$3006,B527,Transactions!$Q$8:$Q$3006)))</f>
        <v/>
      </c>
      <c r="H527" s="55" t="str">
        <f>IF(B527="","",IF(G527&gt;0,"OUTSTANDING",IF(G527=0,"SETTLED",IF(SUMIF(Transactions!$F$8:$F$3006,B527,Transactions!$Q$8:$Q$3006)&gt;SUMIF(Transactions!$F$8:$F$3006,B527,Transactions!$R$8:$R$3006),"OWES","OVERPAID"))))</f>
        <v/>
      </c>
      <c r="I527" s="1"/>
    </row>
    <row r="528" spans="1:9" ht="18" customHeight="1" x14ac:dyDescent="0.25">
      <c r="A528" s="40">
        <v>513</v>
      </c>
      <c r="B528" s="41" t="str">
        <f t="array" ref="B528">IFERROR(IF(INDEX(Transactions!$F$8:$F$3006,MATCH(0,COUNTIF($B$11:B527,Transactions!$F$8:$F$3006),0))="","",INDEX(Transactions!$F$8:$F$3006,MATCH(0,COUNTIF($B$11:B527,Transactions!$F$8:$F$3006),0))),"")</f>
        <v/>
      </c>
      <c r="C528" s="42" t="str">
        <f>IF(B528="","",SUMIF(Transactions!$F$8:$F$3006,B528,Transactions!$H$8:$H$3006))</f>
        <v/>
      </c>
      <c r="D528" s="43" t="str">
        <f>IF(B528="","",SUMIF(Transactions!$F$8:$F$3006,B528,Transactions!$N$8:$N$3006))</f>
        <v/>
      </c>
      <c r="E528" s="44" t="str">
        <f>IF(B528="","",SUMIF(Transactions!$F$8:$F$3006,B528,Transactions!$O$8:$O$3006))</f>
        <v/>
      </c>
      <c r="F528" s="45" t="str">
        <f>IF(B528="","",SUMIF(Transactions!$F$8:$F$3006,B528,Transactions!$R$8:$R$3006))</f>
        <v/>
      </c>
      <c r="G528" s="46" t="str">
        <f>IF(B528="","",(C528+F528)-(D528+E528+SUMIF(Transactions!$F$8:$F$3006,B528,Transactions!$Q$8:$Q$3006)))</f>
        <v/>
      </c>
      <c r="H528" s="47" t="str">
        <f>IF(B528="","",IF(G528&gt;0,"OUTSTANDING",IF(G528=0,"SETTLED",IF(SUMIF(Transactions!$F$8:$F$3006,B528,Transactions!$Q$8:$Q$3006)&gt;SUMIF(Transactions!$F$8:$F$3006,B528,Transactions!$R$8:$R$3006),"OWES","OVERPAID"))))</f>
        <v/>
      </c>
      <c r="I528" s="1"/>
    </row>
    <row r="529" spans="1:9" ht="18" customHeight="1" x14ac:dyDescent="0.25">
      <c r="A529" s="48">
        <v>514</v>
      </c>
      <c r="B529" s="49" t="str">
        <f t="array" ref="B529">IFERROR(IF(INDEX(Transactions!$F$8:$F$3006,MATCH(0,COUNTIF($B$11:B528,Transactions!$F$8:$F$3006),0))="","",INDEX(Transactions!$F$8:$F$3006,MATCH(0,COUNTIF($B$11:B528,Transactions!$F$8:$F$3006),0))),"")</f>
        <v/>
      </c>
      <c r="C529" s="50" t="str">
        <f>IF(B529="","",SUMIF(Transactions!$F$8:$F$3006,B529,Transactions!$H$8:$H$3006))</f>
        <v/>
      </c>
      <c r="D529" s="51" t="str">
        <f>IF(B529="","",SUMIF(Transactions!$F$8:$F$3006,B529,Transactions!$N$8:$N$3006))</f>
        <v/>
      </c>
      <c r="E529" s="52" t="str">
        <f>IF(B529="","",SUMIF(Transactions!$F$8:$F$3006,B529,Transactions!$O$8:$O$3006))</f>
        <v/>
      </c>
      <c r="F529" s="53" t="str">
        <f>IF(B529="","",SUMIF(Transactions!$F$8:$F$3006,B529,Transactions!$R$8:$R$3006))</f>
        <v/>
      </c>
      <c r="G529" s="54" t="str">
        <f>IF(B529="","",(C529+F529)-(D529+E529+SUMIF(Transactions!$F$8:$F$3006,B529,Transactions!$Q$8:$Q$3006)))</f>
        <v/>
      </c>
      <c r="H529" s="55" t="str">
        <f>IF(B529="","",IF(G529&gt;0,"OUTSTANDING",IF(G529=0,"SETTLED",IF(SUMIF(Transactions!$F$8:$F$3006,B529,Transactions!$Q$8:$Q$3006)&gt;SUMIF(Transactions!$F$8:$F$3006,B529,Transactions!$R$8:$R$3006),"OWES","OVERPAID"))))</f>
        <v/>
      </c>
      <c r="I529" s="1"/>
    </row>
    <row r="530" spans="1:9" ht="18" customHeight="1" x14ac:dyDescent="0.25">
      <c r="A530" s="40">
        <v>515</v>
      </c>
      <c r="B530" s="41" t="str">
        <f t="array" ref="B530">IFERROR(IF(INDEX(Transactions!$F$8:$F$3006,MATCH(0,COUNTIF($B$11:B529,Transactions!$F$8:$F$3006),0))="","",INDEX(Transactions!$F$8:$F$3006,MATCH(0,COUNTIF($B$11:B529,Transactions!$F$8:$F$3006),0))),"")</f>
        <v/>
      </c>
      <c r="C530" s="42" t="str">
        <f>IF(B530="","",SUMIF(Transactions!$F$8:$F$3006,B530,Transactions!$H$8:$H$3006))</f>
        <v/>
      </c>
      <c r="D530" s="43" t="str">
        <f>IF(B530="","",SUMIF(Transactions!$F$8:$F$3006,B530,Transactions!$N$8:$N$3006))</f>
        <v/>
      </c>
      <c r="E530" s="44" t="str">
        <f>IF(B530="","",SUMIF(Transactions!$F$8:$F$3006,B530,Transactions!$O$8:$O$3006))</f>
        <v/>
      </c>
      <c r="F530" s="45" t="str">
        <f>IF(B530="","",SUMIF(Transactions!$F$8:$F$3006,B530,Transactions!$R$8:$R$3006))</f>
        <v/>
      </c>
      <c r="G530" s="46" t="str">
        <f>IF(B530="","",(C530+F530)-(D530+E530+SUMIF(Transactions!$F$8:$F$3006,B530,Transactions!$Q$8:$Q$3006)))</f>
        <v/>
      </c>
      <c r="H530" s="47" t="str">
        <f>IF(B530="","",IF(G530&gt;0,"OUTSTANDING",IF(G530=0,"SETTLED",IF(SUMIF(Transactions!$F$8:$F$3006,B530,Transactions!$Q$8:$Q$3006)&gt;SUMIF(Transactions!$F$8:$F$3006,B530,Transactions!$R$8:$R$3006),"OWES","OVERPAID"))))</f>
        <v/>
      </c>
      <c r="I530" s="1"/>
    </row>
    <row r="531" spans="1:9" ht="18" customHeight="1" x14ac:dyDescent="0.25">
      <c r="A531" s="48">
        <v>516</v>
      </c>
      <c r="B531" s="49" t="str">
        <f t="array" ref="B531">IFERROR(IF(INDEX(Transactions!$F$8:$F$3006,MATCH(0,COUNTIF($B$11:B530,Transactions!$F$8:$F$3006),0))="","",INDEX(Transactions!$F$8:$F$3006,MATCH(0,COUNTIF($B$11:B530,Transactions!$F$8:$F$3006),0))),"")</f>
        <v/>
      </c>
      <c r="C531" s="50" t="str">
        <f>IF(B531="","",SUMIF(Transactions!$F$8:$F$3006,B531,Transactions!$H$8:$H$3006))</f>
        <v/>
      </c>
      <c r="D531" s="51" t="str">
        <f>IF(B531="","",SUMIF(Transactions!$F$8:$F$3006,B531,Transactions!$N$8:$N$3006))</f>
        <v/>
      </c>
      <c r="E531" s="52" t="str">
        <f>IF(B531="","",SUMIF(Transactions!$F$8:$F$3006,B531,Transactions!$O$8:$O$3006))</f>
        <v/>
      </c>
      <c r="F531" s="53" t="str">
        <f>IF(B531="","",SUMIF(Transactions!$F$8:$F$3006,B531,Transactions!$R$8:$R$3006))</f>
        <v/>
      </c>
      <c r="G531" s="54" t="str">
        <f>IF(B531="","",(C531+F531)-(D531+E531+SUMIF(Transactions!$F$8:$F$3006,B531,Transactions!$Q$8:$Q$3006)))</f>
        <v/>
      </c>
      <c r="H531" s="55" t="str">
        <f>IF(B531="","",IF(G531&gt;0,"OUTSTANDING",IF(G531=0,"SETTLED",IF(SUMIF(Transactions!$F$8:$F$3006,B531,Transactions!$Q$8:$Q$3006)&gt;SUMIF(Transactions!$F$8:$F$3006,B531,Transactions!$R$8:$R$3006),"OWES","OVERPAID"))))</f>
        <v/>
      </c>
      <c r="I531" s="1"/>
    </row>
    <row r="532" spans="1:9" ht="18" customHeight="1" x14ac:dyDescent="0.25">
      <c r="A532" s="40">
        <v>517</v>
      </c>
      <c r="B532" s="41" t="str">
        <f t="array" ref="B532">IFERROR(IF(INDEX(Transactions!$F$8:$F$3006,MATCH(0,COUNTIF($B$11:B531,Transactions!$F$8:$F$3006),0))="","",INDEX(Transactions!$F$8:$F$3006,MATCH(0,COUNTIF($B$11:B531,Transactions!$F$8:$F$3006),0))),"")</f>
        <v/>
      </c>
      <c r="C532" s="42" t="str">
        <f>IF(B532="","",SUMIF(Transactions!$F$8:$F$3006,B532,Transactions!$H$8:$H$3006))</f>
        <v/>
      </c>
      <c r="D532" s="43" t="str">
        <f>IF(B532="","",SUMIF(Transactions!$F$8:$F$3006,B532,Transactions!$N$8:$N$3006))</f>
        <v/>
      </c>
      <c r="E532" s="44" t="str">
        <f>IF(B532="","",SUMIF(Transactions!$F$8:$F$3006,B532,Transactions!$O$8:$O$3006))</f>
        <v/>
      </c>
      <c r="F532" s="45" t="str">
        <f>IF(B532="","",SUMIF(Transactions!$F$8:$F$3006,B532,Transactions!$R$8:$R$3006))</f>
        <v/>
      </c>
      <c r="G532" s="46" t="str">
        <f>IF(B532="","",(C532+F532)-(D532+E532+SUMIF(Transactions!$F$8:$F$3006,B532,Transactions!$Q$8:$Q$3006)))</f>
        <v/>
      </c>
      <c r="H532" s="47" t="str">
        <f>IF(B532="","",IF(G532&gt;0,"OUTSTANDING",IF(G532=0,"SETTLED",IF(SUMIF(Transactions!$F$8:$F$3006,B532,Transactions!$Q$8:$Q$3006)&gt;SUMIF(Transactions!$F$8:$F$3006,B532,Transactions!$R$8:$R$3006),"OWES","OVERPAID"))))</f>
        <v/>
      </c>
      <c r="I532" s="1"/>
    </row>
    <row r="533" spans="1:9" ht="18" customHeight="1" x14ac:dyDescent="0.25">
      <c r="A533" s="48">
        <v>518</v>
      </c>
      <c r="B533" s="49" t="str">
        <f t="array" ref="B533">IFERROR(IF(INDEX(Transactions!$F$8:$F$3006,MATCH(0,COUNTIF($B$11:B532,Transactions!$F$8:$F$3006),0))="","",INDEX(Transactions!$F$8:$F$3006,MATCH(0,COUNTIF($B$11:B532,Transactions!$F$8:$F$3006),0))),"")</f>
        <v/>
      </c>
      <c r="C533" s="50" t="str">
        <f>IF(B533="","",SUMIF(Transactions!$F$8:$F$3006,B533,Transactions!$H$8:$H$3006))</f>
        <v/>
      </c>
      <c r="D533" s="51" t="str">
        <f>IF(B533="","",SUMIF(Transactions!$F$8:$F$3006,B533,Transactions!$N$8:$N$3006))</f>
        <v/>
      </c>
      <c r="E533" s="52" t="str">
        <f>IF(B533="","",SUMIF(Transactions!$F$8:$F$3006,B533,Transactions!$O$8:$O$3006))</f>
        <v/>
      </c>
      <c r="F533" s="53" t="str">
        <f>IF(B533="","",SUMIF(Transactions!$F$8:$F$3006,B533,Transactions!$R$8:$R$3006))</f>
        <v/>
      </c>
      <c r="G533" s="54" t="str">
        <f>IF(B533="","",(C533+F533)-(D533+E533+SUMIF(Transactions!$F$8:$F$3006,B533,Transactions!$Q$8:$Q$3006)))</f>
        <v/>
      </c>
      <c r="H533" s="55" t="str">
        <f>IF(B533="","",IF(G533&gt;0,"OUTSTANDING",IF(G533=0,"SETTLED",IF(SUMIF(Transactions!$F$8:$F$3006,B533,Transactions!$Q$8:$Q$3006)&gt;SUMIF(Transactions!$F$8:$F$3006,B533,Transactions!$R$8:$R$3006),"OWES","OVERPAID"))))</f>
        <v/>
      </c>
      <c r="I533" s="1"/>
    </row>
    <row r="534" spans="1:9" ht="18" customHeight="1" x14ac:dyDescent="0.25">
      <c r="A534" s="40">
        <v>519</v>
      </c>
      <c r="B534" s="41" t="str">
        <f t="array" ref="B534">IFERROR(IF(INDEX(Transactions!$F$8:$F$3006,MATCH(0,COUNTIF($B$11:B533,Transactions!$F$8:$F$3006),0))="","",INDEX(Transactions!$F$8:$F$3006,MATCH(0,COUNTIF($B$11:B533,Transactions!$F$8:$F$3006),0))),"")</f>
        <v/>
      </c>
      <c r="C534" s="42" t="str">
        <f>IF(B534="","",SUMIF(Transactions!$F$8:$F$3006,B534,Transactions!$H$8:$H$3006))</f>
        <v/>
      </c>
      <c r="D534" s="43" t="str">
        <f>IF(B534="","",SUMIF(Transactions!$F$8:$F$3006,B534,Transactions!$N$8:$N$3006))</f>
        <v/>
      </c>
      <c r="E534" s="44" t="str">
        <f>IF(B534="","",SUMIF(Transactions!$F$8:$F$3006,B534,Transactions!$O$8:$O$3006))</f>
        <v/>
      </c>
      <c r="F534" s="45" t="str">
        <f>IF(B534="","",SUMIF(Transactions!$F$8:$F$3006,B534,Transactions!$R$8:$R$3006))</f>
        <v/>
      </c>
      <c r="G534" s="46" t="str">
        <f>IF(B534="","",(C534+F534)-(D534+E534+SUMIF(Transactions!$F$8:$F$3006,B534,Transactions!$Q$8:$Q$3006)))</f>
        <v/>
      </c>
      <c r="H534" s="47" t="str">
        <f>IF(B534="","",IF(G534&gt;0,"OUTSTANDING",IF(G534=0,"SETTLED",IF(SUMIF(Transactions!$F$8:$F$3006,B534,Transactions!$Q$8:$Q$3006)&gt;SUMIF(Transactions!$F$8:$F$3006,B534,Transactions!$R$8:$R$3006),"OWES","OVERPAID"))))</f>
        <v/>
      </c>
      <c r="I534" s="1"/>
    </row>
    <row r="535" spans="1:9" ht="18" customHeight="1" x14ac:dyDescent="0.25">
      <c r="A535" s="48">
        <v>520</v>
      </c>
      <c r="B535" s="49" t="str">
        <f t="array" ref="B535">IFERROR(IF(INDEX(Transactions!$F$8:$F$3006,MATCH(0,COUNTIF($B$11:B534,Transactions!$F$8:$F$3006),0))="","",INDEX(Transactions!$F$8:$F$3006,MATCH(0,COUNTIF($B$11:B534,Transactions!$F$8:$F$3006),0))),"")</f>
        <v/>
      </c>
      <c r="C535" s="50" t="str">
        <f>IF(B535="","",SUMIF(Transactions!$F$8:$F$3006,B535,Transactions!$H$8:$H$3006))</f>
        <v/>
      </c>
      <c r="D535" s="51" t="str">
        <f>IF(B535="","",SUMIF(Transactions!$F$8:$F$3006,B535,Transactions!$N$8:$N$3006))</f>
        <v/>
      </c>
      <c r="E535" s="52" t="str">
        <f>IF(B535="","",SUMIF(Transactions!$F$8:$F$3006,B535,Transactions!$O$8:$O$3006))</f>
        <v/>
      </c>
      <c r="F535" s="53" t="str">
        <f>IF(B535="","",SUMIF(Transactions!$F$8:$F$3006,B535,Transactions!$R$8:$R$3006))</f>
        <v/>
      </c>
      <c r="G535" s="54" t="str">
        <f>IF(B535="","",(C535+F535)-(D535+E535+SUMIF(Transactions!$F$8:$F$3006,B535,Transactions!$Q$8:$Q$3006)))</f>
        <v/>
      </c>
      <c r="H535" s="55" t="str">
        <f>IF(B535="","",IF(G535&gt;0,"OUTSTANDING",IF(G535=0,"SETTLED",IF(SUMIF(Transactions!$F$8:$F$3006,B535,Transactions!$Q$8:$Q$3006)&gt;SUMIF(Transactions!$F$8:$F$3006,B535,Transactions!$R$8:$R$3006),"OWES","OVERPAID"))))</f>
        <v/>
      </c>
      <c r="I535" s="1"/>
    </row>
    <row r="536" spans="1:9" ht="18" customHeight="1" x14ac:dyDescent="0.25">
      <c r="A536" s="40">
        <v>521</v>
      </c>
      <c r="B536" s="41" t="str">
        <f t="array" ref="B536">IFERROR(IF(INDEX(Transactions!$F$8:$F$3006,MATCH(0,COUNTIF($B$11:B535,Transactions!$F$8:$F$3006),0))="","",INDEX(Transactions!$F$8:$F$3006,MATCH(0,COUNTIF($B$11:B535,Transactions!$F$8:$F$3006),0))),"")</f>
        <v/>
      </c>
      <c r="C536" s="42" t="str">
        <f>IF(B536="","",SUMIF(Transactions!$F$8:$F$3006,B536,Transactions!$H$8:$H$3006))</f>
        <v/>
      </c>
      <c r="D536" s="43" t="str">
        <f>IF(B536="","",SUMIF(Transactions!$F$8:$F$3006,B536,Transactions!$N$8:$N$3006))</f>
        <v/>
      </c>
      <c r="E536" s="44" t="str">
        <f>IF(B536="","",SUMIF(Transactions!$F$8:$F$3006,B536,Transactions!$O$8:$O$3006))</f>
        <v/>
      </c>
      <c r="F536" s="45" t="str">
        <f>IF(B536="","",SUMIF(Transactions!$F$8:$F$3006,B536,Transactions!$R$8:$R$3006))</f>
        <v/>
      </c>
      <c r="G536" s="46" t="str">
        <f>IF(B536="","",(C536+F536)-(D536+E536+SUMIF(Transactions!$F$8:$F$3006,B536,Transactions!$Q$8:$Q$3006)))</f>
        <v/>
      </c>
      <c r="H536" s="47" t="str">
        <f>IF(B536="","",IF(G536&gt;0,"OUTSTANDING",IF(G536=0,"SETTLED",IF(SUMIF(Transactions!$F$8:$F$3006,B536,Transactions!$Q$8:$Q$3006)&gt;SUMIF(Transactions!$F$8:$F$3006,B536,Transactions!$R$8:$R$3006),"OWES","OVERPAID"))))</f>
        <v/>
      </c>
      <c r="I536" s="1"/>
    </row>
    <row r="537" spans="1:9" ht="18" customHeight="1" x14ac:dyDescent="0.25">
      <c r="A537" s="48">
        <v>522</v>
      </c>
      <c r="B537" s="49" t="str">
        <f t="array" ref="B537">IFERROR(IF(INDEX(Transactions!$F$8:$F$3006,MATCH(0,COUNTIF($B$11:B536,Transactions!$F$8:$F$3006),0))="","",INDEX(Transactions!$F$8:$F$3006,MATCH(0,COUNTIF($B$11:B536,Transactions!$F$8:$F$3006),0))),"")</f>
        <v/>
      </c>
      <c r="C537" s="50" t="str">
        <f>IF(B537="","",SUMIF(Transactions!$F$8:$F$3006,B537,Transactions!$H$8:$H$3006))</f>
        <v/>
      </c>
      <c r="D537" s="51" t="str">
        <f>IF(B537="","",SUMIF(Transactions!$F$8:$F$3006,B537,Transactions!$N$8:$N$3006))</f>
        <v/>
      </c>
      <c r="E537" s="52" t="str">
        <f>IF(B537="","",SUMIF(Transactions!$F$8:$F$3006,B537,Transactions!$O$8:$O$3006))</f>
        <v/>
      </c>
      <c r="F537" s="53" t="str">
        <f>IF(B537="","",SUMIF(Transactions!$F$8:$F$3006,B537,Transactions!$R$8:$R$3006))</f>
        <v/>
      </c>
      <c r="G537" s="54" t="str">
        <f>IF(B537="","",(C537+F537)-(D537+E537+SUMIF(Transactions!$F$8:$F$3006,B537,Transactions!$Q$8:$Q$3006)))</f>
        <v/>
      </c>
      <c r="H537" s="55" t="str">
        <f>IF(B537="","",IF(G537&gt;0,"OUTSTANDING",IF(G537=0,"SETTLED",IF(SUMIF(Transactions!$F$8:$F$3006,B537,Transactions!$Q$8:$Q$3006)&gt;SUMIF(Transactions!$F$8:$F$3006,B537,Transactions!$R$8:$R$3006),"OWES","OVERPAID"))))</f>
        <v/>
      </c>
      <c r="I537" s="1"/>
    </row>
    <row r="538" spans="1:9" ht="18" customHeight="1" x14ac:dyDescent="0.25">
      <c r="A538" s="40">
        <v>523</v>
      </c>
      <c r="B538" s="41" t="str">
        <f t="array" ref="B538">IFERROR(IF(INDEX(Transactions!$F$8:$F$3006,MATCH(0,COUNTIF($B$11:B537,Transactions!$F$8:$F$3006),0))="","",INDEX(Transactions!$F$8:$F$3006,MATCH(0,COUNTIF($B$11:B537,Transactions!$F$8:$F$3006),0))),"")</f>
        <v/>
      </c>
      <c r="C538" s="42" t="str">
        <f>IF(B538="","",SUMIF(Transactions!$F$8:$F$3006,B538,Transactions!$H$8:$H$3006))</f>
        <v/>
      </c>
      <c r="D538" s="43" t="str">
        <f>IF(B538="","",SUMIF(Transactions!$F$8:$F$3006,B538,Transactions!$N$8:$N$3006))</f>
        <v/>
      </c>
      <c r="E538" s="44" t="str">
        <f>IF(B538="","",SUMIF(Transactions!$F$8:$F$3006,B538,Transactions!$O$8:$O$3006))</f>
        <v/>
      </c>
      <c r="F538" s="45" t="str">
        <f>IF(B538="","",SUMIF(Transactions!$F$8:$F$3006,B538,Transactions!$R$8:$R$3006))</f>
        <v/>
      </c>
      <c r="G538" s="46" t="str">
        <f>IF(B538="","",(C538+F538)-(D538+E538+SUMIF(Transactions!$F$8:$F$3006,B538,Transactions!$Q$8:$Q$3006)))</f>
        <v/>
      </c>
      <c r="H538" s="47" t="str">
        <f>IF(B538="","",IF(G538&gt;0,"OUTSTANDING",IF(G538=0,"SETTLED",IF(SUMIF(Transactions!$F$8:$F$3006,B538,Transactions!$Q$8:$Q$3006)&gt;SUMIF(Transactions!$F$8:$F$3006,B538,Transactions!$R$8:$R$3006),"OWES","OVERPAID"))))</f>
        <v/>
      </c>
      <c r="I538" s="1"/>
    </row>
    <row r="539" spans="1:9" ht="18" customHeight="1" x14ac:dyDescent="0.25">
      <c r="A539" s="48">
        <v>524</v>
      </c>
      <c r="B539" s="49" t="str">
        <f t="array" ref="B539">IFERROR(IF(INDEX(Transactions!$F$8:$F$3006,MATCH(0,COUNTIF($B$11:B538,Transactions!$F$8:$F$3006),0))="","",INDEX(Transactions!$F$8:$F$3006,MATCH(0,COUNTIF($B$11:B538,Transactions!$F$8:$F$3006),0))),"")</f>
        <v/>
      </c>
      <c r="C539" s="50" t="str">
        <f>IF(B539="","",SUMIF(Transactions!$F$8:$F$3006,B539,Transactions!$H$8:$H$3006))</f>
        <v/>
      </c>
      <c r="D539" s="51" t="str">
        <f>IF(B539="","",SUMIF(Transactions!$F$8:$F$3006,B539,Transactions!$N$8:$N$3006))</f>
        <v/>
      </c>
      <c r="E539" s="52" t="str">
        <f>IF(B539="","",SUMIF(Transactions!$F$8:$F$3006,B539,Transactions!$O$8:$O$3006))</f>
        <v/>
      </c>
      <c r="F539" s="53" t="str">
        <f>IF(B539="","",SUMIF(Transactions!$F$8:$F$3006,B539,Transactions!$R$8:$R$3006))</f>
        <v/>
      </c>
      <c r="G539" s="54" t="str">
        <f>IF(B539="","",(C539+F539)-(D539+E539+SUMIF(Transactions!$F$8:$F$3006,B539,Transactions!$Q$8:$Q$3006)))</f>
        <v/>
      </c>
      <c r="H539" s="55" t="str">
        <f>IF(B539="","",IF(G539&gt;0,"OUTSTANDING",IF(G539=0,"SETTLED",IF(SUMIF(Transactions!$F$8:$F$3006,B539,Transactions!$Q$8:$Q$3006)&gt;SUMIF(Transactions!$F$8:$F$3006,B539,Transactions!$R$8:$R$3006),"OWES","OVERPAID"))))</f>
        <v/>
      </c>
      <c r="I539" s="1"/>
    </row>
    <row r="540" spans="1:9" ht="18" customHeight="1" x14ac:dyDescent="0.25">
      <c r="A540" s="40">
        <v>525</v>
      </c>
      <c r="B540" s="41" t="str">
        <f t="array" ref="B540">IFERROR(IF(INDEX(Transactions!$F$8:$F$3006,MATCH(0,COUNTIF($B$11:B539,Transactions!$F$8:$F$3006),0))="","",INDEX(Transactions!$F$8:$F$3006,MATCH(0,COUNTIF($B$11:B539,Transactions!$F$8:$F$3006),0))),"")</f>
        <v/>
      </c>
      <c r="C540" s="42" t="str">
        <f>IF(B540="","",SUMIF(Transactions!$F$8:$F$3006,B540,Transactions!$H$8:$H$3006))</f>
        <v/>
      </c>
      <c r="D540" s="43" t="str">
        <f>IF(B540="","",SUMIF(Transactions!$F$8:$F$3006,B540,Transactions!$N$8:$N$3006))</f>
        <v/>
      </c>
      <c r="E540" s="44" t="str">
        <f>IF(B540="","",SUMIF(Transactions!$F$8:$F$3006,B540,Transactions!$O$8:$O$3006))</f>
        <v/>
      </c>
      <c r="F540" s="45" t="str">
        <f>IF(B540="","",SUMIF(Transactions!$F$8:$F$3006,B540,Transactions!$R$8:$R$3006))</f>
        <v/>
      </c>
      <c r="G540" s="46" t="str">
        <f>IF(B540="","",(C540+F540)-(D540+E540+SUMIF(Transactions!$F$8:$F$3006,B540,Transactions!$Q$8:$Q$3006)))</f>
        <v/>
      </c>
      <c r="H540" s="47" t="str">
        <f>IF(B540="","",IF(G540&gt;0,"OUTSTANDING",IF(G540=0,"SETTLED",IF(SUMIF(Transactions!$F$8:$F$3006,B540,Transactions!$Q$8:$Q$3006)&gt;SUMIF(Transactions!$F$8:$F$3006,B540,Transactions!$R$8:$R$3006),"OWES","OVERPAID"))))</f>
        <v/>
      </c>
      <c r="I540" s="1"/>
    </row>
    <row r="541" spans="1:9" ht="18" customHeight="1" x14ac:dyDescent="0.25">
      <c r="A541" s="48">
        <v>526</v>
      </c>
      <c r="B541" s="49" t="str">
        <f t="array" ref="B541">IFERROR(IF(INDEX(Transactions!$F$8:$F$3006,MATCH(0,COUNTIF($B$11:B540,Transactions!$F$8:$F$3006),0))="","",INDEX(Transactions!$F$8:$F$3006,MATCH(0,COUNTIF($B$11:B540,Transactions!$F$8:$F$3006),0))),"")</f>
        <v/>
      </c>
      <c r="C541" s="50" t="str">
        <f>IF(B541="","",SUMIF(Transactions!$F$8:$F$3006,B541,Transactions!$H$8:$H$3006))</f>
        <v/>
      </c>
      <c r="D541" s="51" t="str">
        <f>IF(B541="","",SUMIF(Transactions!$F$8:$F$3006,B541,Transactions!$N$8:$N$3006))</f>
        <v/>
      </c>
      <c r="E541" s="52" t="str">
        <f>IF(B541="","",SUMIF(Transactions!$F$8:$F$3006,B541,Transactions!$O$8:$O$3006))</f>
        <v/>
      </c>
      <c r="F541" s="53" t="str">
        <f>IF(B541="","",SUMIF(Transactions!$F$8:$F$3006,B541,Transactions!$R$8:$R$3006))</f>
        <v/>
      </c>
      <c r="G541" s="54" t="str">
        <f>IF(B541="","",(C541+F541)-(D541+E541+SUMIF(Transactions!$F$8:$F$3006,B541,Transactions!$Q$8:$Q$3006)))</f>
        <v/>
      </c>
      <c r="H541" s="55" t="str">
        <f>IF(B541="","",IF(G541&gt;0,"OUTSTANDING",IF(G541=0,"SETTLED",IF(SUMIF(Transactions!$F$8:$F$3006,B541,Transactions!$Q$8:$Q$3006)&gt;SUMIF(Transactions!$F$8:$F$3006,B541,Transactions!$R$8:$R$3006),"OWES","OVERPAID"))))</f>
        <v/>
      </c>
      <c r="I541" s="1"/>
    </row>
    <row r="542" spans="1:9" ht="18" customHeight="1" x14ac:dyDescent="0.25">
      <c r="A542" s="40">
        <v>527</v>
      </c>
      <c r="B542" s="41" t="str">
        <f t="array" ref="B542">IFERROR(IF(INDEX(Transactions!$F$8:$F$3006,MATCH(0,COUNTIF($B$11:B541,Transactions!$F$8:$F$3006),0))="","",INDEX(Transactions!$F$8:$F$3006,MATCH(0,COUNTIF($B$11:B541,Transactions!$F$8:$F$3006),0))),"")</f>
        <v/>
      </c>
      <c r="C542" s="42" t="str">
        <f>IF(B542="","",SUMIF(Transactions!$F$8:$F$3006,B542,Transactions!$H$8:$H$3006))</f>
        <v/>
      </c>
      <c r="D542" s="43" t="str">
        <f>IF(B542="","",SUMIF(Transactions!$F$8:$F$3006,B542,Transactions!$N$8:$N$3006))</f>
        <v/>
      </c>
      <c r="E542" s="44" t="str">
        <f>IF(B542="","",SUMIF(Transactions!$F$8:$F$3006,B542,Transactions!$O$8:$O$3006))</f>
        <v/>
      </c>
      <c r="F542" s="45" t="str">
        <f>IF(B542="","",SUMIF(Transactions!$F$8:$F$3006,B542,Transactions!$R$8:$R$3006))</f>
        <v/>
      </c>
      <c r="G542" s="46" t="str">
        <f>IF(B542="","",(C542+F542)-(D542+E542+SUMIF(Transactions!$F$8:$F$3006,B542,Transactions!$Q$8:$Q$3006)))</f>
        <v/>
      </c>
      <c r="H542" s="47" t="str">
        <f>IF(B542="","",IF(G542&gt;0,"OUTSTANDING",IF(G542=0,"SETTLED",IF(SUMIF(Transactions!$F$8:$F$3006,B542,Transactions!$Q$8:$Q$3006)&gt;SUMIF(Transactions!$F$8:$F$3006,B542,Transactions!$R$8:$R$3006),"OWES","OVERPAID"))))</f>
        <v/>
      </c>
      <c r="I542" s="1"/>
    </row>
    <row r="543" spans="1:9" ht="18" customHeight="1" x14ac:dyDescent="0.25">
      <c r="A543" s="48">
        <v>528</v>
      </c>
      <c r="B543" s="49" t="str">
        <f t="array" ref="B543">IFERROR(IF(INDEX(Transactions!$F$8:$F$3006,MATCH(0,COUNTIF($B$11:B542,Transactions!$F$8:$F$3006),0))="","",INDEX(Transactions!$F$8:$F$3006,MATCH(0,COUNTIF($B$11:B542,Transactions!$F$8:$F$3006),0))),"")</f>
        <v/>
      </c>
      <c r="C543" s="50" t="str">
        <f>IF(B543="","",SUMIF(Transactions!$F$8:$F$3006,B543,Transactions!$H$8:$H$3006))</f>
        <v/>
      </c>
      <c r="D543" s="51" t="str">
        <f>IF(B543="","",SUMIF(Transactions!$F$8:$F$3006,B543,Transactions!$N$8:$N$3006))</f>
        <v/>
      </c>
      <c r="E543" s="52" t="str">
        <f>IF(B543="","",SUMIF(Transactions!$F$8:$F$3006,B543,Transactions!$O$8:$O$3006))</f>
        <v/>
      </c>
      <c r="F543" s="53" t="str">
        <f>IF(B543="","",SUMIF(Transactions!$F$8:$F$3006,B543,Transactions!$R$8:$R$3006))</f>
        <v/>
      </c>
      <c r="G543" s="54" t="str">
        <f>IF(B543="","",(C543+F543)-(D543+E543+SUMIF(Transactions!$F$8:$F$3006,B543,Transactions!$Q$8:$Q$3006)))</f>
        <v/>
      </c>
      <c r="H543" s="55" t="str">
        <f>IF(B543="","",IF(G543&gt;0,"OUTSTANDING",IF(G543=0,"SETTLED",IF(SUMIF(Transactions!$F$8:$F$3006,B543,Transactions!$Q$8:$Q$3006)&gt;SUMIF(Transactions!$F$8:$F$3006,B543,Transactions!$R$8:$R$3006),"OWES","OVERPAID"))))</f>
        <v/>
      </c>
      <c r="I543" s="1"/>
    </row>
    <row r="544" spans="1:9" ht="18" customHeight="1" x14ac:dyDescent="0.25">
      <c r="A544" s="40">
        <v>529</v>
      </c>
      <c r="B544" s="41" t="str">
        <f t="array" ref="B544">IFERROR(IF(INDEX(Transactions!$F$8:$F$3006,MATCH(0,COUNTIF($B$11:B543,Transactions!$F$8:$F$3006),0))="","",INDEX(Transactions!$F$8:$F$3006,MATCH(0,COUNTIF($B$11:B543,Transactions!$F$8:$F$3006),0))),"")</f>
        <v/>
      </c>
      <c r="C544" s="42" t="str">
        <f>IF(B544="","",SUMIF(Transactions!$F$8:$F$3006,B544,Transactions!$H$8:$H$3006))</f>
        <v/>
      </c>
      <c r="D544" s="43" t="str">
        <f>IF(B544="","",SUMIF(Transactions!$F$8:$F$3006,B544,Transactions!$N$8:$N$3006))</f>
        <v/>
      </c>
      <c r="E544" s="44" t="str">
        <f>IF(B544="","",SUMIF(Transactions!$F$8:$F$3006,B544,Transactions!$O$8:$O$3006))</f>
        <v/>
      </c>
      <c r="F544" s="45" t="str">
        <f>IF(B544="","",SUMIF(Transactions!$F$8:$F$3006,B544,Transactions!$R$8:$R$3006))</f>
        <v/>
      </c>
      <c r="G544" s="46" t="str">
        <f>IF(B544="","",(C544+F544)-(D544+E544+SUMIF(Transactions!$F$8:$F$3006,B544,Transactions!$Q$8:$Q$3006)))</f>
        <v/>
      </c>
      <c r="H544" s="47" t="str">
        <f>IF(B544="","",IF(G544&gt;0,"OUTSTANDING",IF(G544=0,"SETTLED",IF(SUMIF(Transactions!$F$8:$F$3006,B544,Transactions!$Q$8:$Q$3006)&gt;SUMIF(Transactions!$F$8:$F$3006,B544,Transactions!$R$8:$R$3006),"OWES","OVERPAID"))))</f>
        <v/>
      </c>
      <c r="I544" s="1"/>
    </row>
    <row r="545" spans="1:9" ht="18" customHeight="1" x14ac:dyDescent="0.25">
      <c r="A545" s="48">
        <v>530</v>
      </c>
      <c r="B545" s="49" t="str">
        <f t="array" ref="B545">IFERROR(IF(INDEX(Transactions!$F$8:$F$3006,MATCH(0,COUNTIF($B$11:B544,Transactions!$F$8:$F$3006),0))="","",INDEX(Transactions!$F$8:$F$3006,MATCH(0,COUNTIF($B$11:B544,Transactions!$F$8:$F$3006),0))),"")</f>
        <v/>
      </c>
      <c r="C545" s="50" t="str">
        <f>IF(B545="","",SUMIF(Transactions!$F$8:$F$3006,B545,Transactions!$H$8:$H$3006))</f>
        <v/>
      </c>
      <c r="D545" s="51" t="str">
        <f>IF(B545="","",SUMIF(Transactions!$F$8:$F$3006,B545,Transactions!$N$8:$N$3006))</f>
        <v/>
      </c>
      <c r="E545" s="52" t="str">
        <f>IF(B545="","",SUMIF(Transactions!$F$8:$F$3006,B545,Transactions!$O$8:$O$3006))</f>
        <v/>
      </c>
      <c r="F545" s="53" t="str">
        <f>IF(B545="","",SUMIF(Transactions!$F$8:$F$3006,B545,Transactions!$R$8:$R$3006))</f>
        <v/>
      </c>
      <c r="G545" s="54" t="str">
        <f>IF(B545="","",(C545+F545)-(D545+E545+SUMIF(Transactions!$F$8:$F$3006,B545,Transactions!$Q$8:$Q$3006)))</f>
        <v/>
      </c>
      <c r="H545" s="55" t="str">
        <f>IF(B545="","",IF(G545&gt;0,"OUTSTANDING",IF(G545=0,"SETTLED",IF(SUMIF(Transactions!$F$8:$F$3006,B545,Transactions!$Q$8:$Q$3006)&gt;SUMIF(Transactions!$F$8:$F$3006,B545,Transactions!$R$8:$R$3006),"OWES","OVERPAID"))))</f>
        <v/>
      </c>
      <c r="I545" s="1"/>
    </row>
    <row r="546" spans="1:9" ht="18" customHeight="1" x14ac:dyDescent="0.25">
      <c r="A546" s="40">
        <v>531</v>
      </c>
      <c r="B546" s="41" t="str">
        <f t="array" ref="B546">IFERROR(IF(INDEX(Transactions!$F$8:$F$3006,MATCH(0,COUNTIF($B$11:B545,Transactions!$F$8:$F$3006),0))="","",INDEX(Transactions!$F$8:$F$3006,MATCH(0,COUNTIF($B$11:B545,Transactions!$F$8:$F$3006),0))),"")</f>
        <v/>
      </c>
      <c r="C546" s="42" t="str">
        <f>IF(B546="","",SUMIF(Transactions!$F$8:$F$3006,B546,Transactions!$H$8:$H$3006))</f>
        <v/>
      </c>
      <c r="D546" s="43" t="str">
        <f>IF(B546="","",SUMIF(Transactions!$F$8:$F$3006,B546,Transactions!$N$8:$N$3006))</f>
        <v/>
      </c>
      <c r="E546" s="44" t="str">
        <f>IF(B546="","",SUMIF(Transactions!$F$8:$F$3006,B546,Transactions!$O$8:$O$3006))</f>
        <v/>
      </c>
      <c r="F546" s="45" t="str">
        <f>IF(B546="","",SUMIF(Transactions!$F$8:$F$3006,B546,Transactions!$R$8:$R$3006))</f>
        <v/>
      </c>
      <c r="G546" s="46" t="str">
        <f>IF(B546="","",(C546+F546)-(D546+E546+SUMIF(Transactions!$F$8:$F$3006,B546,Transactions!$Q$8:$Q$3006)))</f>
        <v/>
      </c>
      <c r="H546" s="47" t="str">
        <f>IF(B546="","",IF(G546&gt;0,"OUTSTANDING",IF(G546=0,"SETTLED",IF(SUMIF(Transactions!$F$8:$F$3006,B546,Transactions!$Q$8:$Q$3006)&gt;SUMIF(Transactions!$F$8:$F$3006,B546,Transactions!$R$8:$R$3006),"OWES","OVERPAID"))))</f>
        <v/>
      </c>
      <c r="I546" s="1"/>
    </row>
    <row r="547" spans="1:9" ht="18" customHeight="1" x14ac:dyDescent="0.25">
      <c r="A547" s="48">
        <v>532</v>
      </c>
      <c r="B547" s="49" t="str">
        <f t="array" ref="B547">IFERROR(IF(INDEX(Transactions!$F$8:$F$3006,MATCH(0,COUNTIF($B$11:B546,Transactions!$F$8:$F$3006),0))="","",INDEX(Transactions!$F$8:$F$3006,MATCH(0,COUNTIF($B$11:B546,Transactions!$F$8:$F$3006),0))),"")</f>
        <v/>
      </c>
      <c r="C547" s="50" t="str">
        <f>IF(B547="","",SUMIF(Transactions!$F$8:$F$3006,B547,Transactions!$H$8:$H$3006))</f>
        <v/>
      </c>
      <c r="D547" s="51" t="str">
        <f>IF(B547="","",SUMIF(Transactions!$F$8:$F$3006,B547,Transactions!$N$8:$N$3006))</f>
        <v/>
      </c>
      <c r="E547" s="52" t="str">
        <f>IF(B547="","",SUMIF(Transactions!$F$8:$F$3006,B547,Transactions!$O$8:$O$3006))</f>
        <v/>
      </c>
      <c r="F547" s="53" t="str">
        <f>IF(B547="","",SUMIF(Transactions!$F$8:$F$3006,B547,Transactions!$R$8:$R$3006))</f>
        <v/>
      </c>
      <c r="G547" s="54" t="str">
        <f>IF(B547="","",(C547+F547)-(D547+E547+SUMIF(Transactions!$F$8:$F$3006,B547,Transactions!$Q$8:$Q$3006)))</f>
        <v/>
      </c>
      <c r="H547" s="55" t="str">
        <f>IF(B547="","",IF(G547&gt;0,"OUTSTANDING",IF(G547=0,"SETTLED",IF(SUMIF(Transactions!$F$8:$F$3006,B547,Transactions!$Q$8:$Q$3006)&gt;SUMIF(Transactions!$F$8:$F$3006,B547,Transactions!$R$8:$R$3006),"OWES","OVERPAID"))))</f>
        <v/>
      </c>
      <c r="I547" s="1"/>
    </row>
    <row r="548" spans="1:9" ht="18" customHeight="1" x14ac:dyDescent="0.25">
      <c r="A548" s="40">
        <v>533</v>
      </c>
      <c r="B548" s="41" t="str">
        <f t="array" ref="B548">IFERROR(IF(INDEX(Transactions!$F$8:$F$3006,MATCH(0,COUNTIF($B$11:B547,Transactions!$F$8:$F$3006),0))="","",INDEX(Transactions!$F$8:$F$3006,MATCH(0,COUNTIF($B$11:B547,Transactions!$F$8:$F$3006),0))),"")</f>
        <v/>
      </c>
      <c r="C548" s="42" t="str">
        <f>IF(B548="","",SUMIF(Transactions!$F$8:$F$3006,B548,Transactions!$H$8:$H$3006))</f>
        <v/>
      </c>
      <c r="D548" s="43" t="str">
        <f>IF(B548="","",SUMIF(Transactions!$F$8:$F$3006,B548,Transactions!$N$8:$N$3006))</f>
        <v/>
      </c>
      <c r="E548" s="44" t="str">
        <f>IF(B548="","",SUMIF(Transactions!$F$8:$F$3006,B548,Transactions!$O$8:$O$3006))</f>
        <v/>
      </c>
      <c r="F548" s="45" t="str">
        <f>IF(B548="","",SUMIF(Transactions!$F$8:$F$3006,B548,Transactions!$R$8:$R$3006))</f>
        <v/>
      </c>
      <c r="G548" s="46" t="str">
        <f>IF(B548="","",(C548+F548)-(D548+E548+SUMIF(Transactions!$F$8:$F$3006,B548,Transactions!$Q$8:$Q$3006)))</f>
        <v/>
      </c>
      <c r="H548" s="47" t="str">
        <f>IF(B548="","",IF(G548&gt;0,"OUTSTANDING",IF(G548=0,"SETTLED",IF(SUMIF(Transactions!$F$8:$F$3006,B548,Transactions!$Q$8:$Q$3006)&gt;SUMIF(Transactions!$F$8:$F$3006,B548,Transactions!$R$8:$R$3006),"OWES","OVERPAID"))))</f>
        <v/>
      </c>
      <c r="I548" s="1"/>
    </row>
    <row r="549" spans="1:9" ht="18" customHeight="1" x14ac:dyDescent="0.25">
      <c r="A549" s="48">
        <v>534</v>
      </c>
      <c r="B549" s="49" t="str">
        <f t="array" ref="B549">IFERROR(IF(INDEX(Transactions!$F$8:$F$3006,MATCH(0,COUNTIF($B$11:B548,Transactions!$F$8:$F$3006),0))="","",INDEX(Transactions!$F$8:$F$3006,MATCH(0,COUNTIF($B$11:B548,Transactions!$F$8:$F$3006),0))),"")</f>
        <v/>
      </c>
      <c r="C549" s="50" t="str">
        <f>IF(B549="","",SUMIF(Transactions!$F$8:$F$3006,B549,Transactions!$H$8:$H$3006))</f>
        <v/>
      </c>
      <c r="D549" s="51" t="str">
        <f>IF(B549="","",SUMIF(Transactions!$F$8:$F$3006,B549,Transactions!$N$8:$N$3006))</f>
        <v/>
      </c>
      <c r="E549" s="52" t="str">
        <f>IF(B549="","",SUMIF(Transactions!$F$8:$F$3006,B549,Transactions!$O$8:$O$3006))</f>
        <v/>
      </c>
      <c r="F549" s="53" t="str">
        <f>IF(B549="","",SUMIF(Transactions!$F$8:$F$3006,B549,Transactions!$R$8:$R$3006))</f>
        <v/>
      </c>
      <c r="G549" s="54" t="str">
        <f>IF(B549="","",(C549+F549)-(D549+E549+SUMIF(Transactions!$F$8:$F$3006,B549,Transactions!$Q$8:$Q$3006)))</f>
        <v/>
      </c>
      <c r="H549" s="55" t="str">
        <f>IF(B549="","",IF(G549&gt;0,"OUTSTANDING",IF(G549=0,"SETTLED",IF(SUMIF(Transactions!$F$8:$F$3006,B549,Transactions!$Q$8:$Q$3006)&gt;SUMIF(Transactions!$F$8:$F$3006,B549,Transactions!$R$8:$R$3006),"OWES","OVERPAID"))))</f>
        <v/>
      </c>
      <c r="I549" s="1"/>
    </row>
    <row r="550" spans="1:9" ht="18" customHeight="1" x14ac:dyDescent="0.25">
      <c r="A550" s="40">
        <v>535</v>
      </c>
      <c r="B550" s="41" t="str">
        <f t="array" ref="B550">IFERROR(IF(INDEX(Transactions!$F$8:$F$3006,MATCH(0,COUNTIF($B$11:B549,Transactions!$F$8:$F$3006),0))="","",INDEX(Transactions!$F$8:$F$3006,MATCH(0,COUNTIF($B$11:B549,Transactions!$F$8:$F$3006),0))),"")</f>
        <v/>
      </c>
      <c r="C550" s="42" t="str">
        <f>IF(B550="","",SUMIF(Transactions!$F$8:$F$3006,B550,Transactions!$H$8:$H$3006))</f>
        <v/>
      </c>
      <c r="D550" s="43" t="str">
        <f>IF(B550="","",SUMIF(Transactions!$F$8:$F$3006,B550,Transactions!$N$8:$N$3006))</f>
        <v/>
      </c>
      <c r="E550" s="44" t="str">
        <f>IF(B550="","",SUMIF(Transactions!$F$8:$F$3006,B550,Transactions!$O$8:$O$3006))</f>
        <v/>
      </c>
      <c r="F550" s="45" t="str">
        <f>IF(B550="","",SUMIF(Transactions!$F$8:$F$3006,B550,Transactions!$R$8:$R$3006))</f>
        <v/>
      </c>
      <c r="G550" s="46" t="str">
        <f>IF(B550="","",(C550+F550)-(D550+E550+SUMIF(Transactions!$F$8:$F$3006,B550,Transactions!$Q$8:$Q$3006)))</f>
        <v/>
      </c>
      <c r="H550" s="47" t="str">
        <f>IF(B550="","",IF(G550&gt;0,"OUTSTANDING",IF(G550=0,"SETTLED",IF(SUMIF(Transactions!$F$8:$F$3006,B550,Transactions!$Q$8:$Q$3006)&gt;SUMIF(Transactions!$F$8:$F$3006,B550,Transactions!$R$8:$R$3006),"OWES","OVERPAID"))))</f>
        <v/>
      </c>
      <c r="I550" s="1"/>
    </row>
    <row r="551" spans="1:9" ht="18" customHeight="1" x14ac:dyDescent="0.25">
      <c r="A551" s="48">
        <v>536</v>
      </c>
      <c r="B551" s="49" t="str">
        <f t="array" ref="B551">IFERROR(IF(INDEX(Transactions!$F$8:$F$3006,MATCH(0,COUNTIF($B$11:B550,Transactions!$F$8:$F$3006),0))="","",INDEX(Transactions!$F$8:$F$3006,MATCH(0,COUNTIF($B$11:B550,Transactions!$F$8:$F$3006),0))),"")</f>
        <v/>
      </c>
      <c r="C551" s="50" t="str">
        <f>IF(B551="","",SUMIF(Transactions!$F$8:$F$3006,B551,Transactions!$H$8:$H$3006))</f>
        <v/>
      </c>
      <c r="D551" s="51" t="str">
        <f>IF(B551="","",SUMIF(Transactions!$F$8:$F$3006,B551,Transactions!$N$8:$N$3006))</f>
        <v/>
      </c>
      <c r="E551" s="52" t="str">
        <f>IF(B551="","",SUMIF(Transactions!$F$8:$F$3006,B551,Transactions!$O$8:$O$3006))</f>
        <v/>
      </c>
      <c r="F551" s="53" t="str">
        <f>IF(B551="","",SUMIF(Transactions!$F$8:$F$3006,B551,Transactions!$R$8:$R$3006))</f>
        <v/>
      </c>
      <c r="G551" s="54" t="str">
        <f>IF(B551="","",(C551+F551)-(D551+E551+SUMIF(Transactions!$F$8:$F$3006,B551,Transactions!$Q$8:$Q$3006)))</f>
        <v/>
      </c>
      <c r="H551" s="55" t="str">
        <f>IF(B551="","",IF(G551&gt;0,"OUTSTANDING",IF(G551=0,"SETTLED",IF(SUMIF(Transactions!$F$8:$F$3006,B551,Transactions!$Q$8:$Q$3006)&gt;SUMIF(Transactions!$F$8:$F$3006,B551,Transactions!$R$8:$R$3006),"OWES","OVERPAID"))))</f>
        <v/>
      </c>
      <c r="I551" s="1"/>
    </row>
    <row r="552" spans="1:9" ht="18" customHeight="1" x14ac:dyDescent="0.25">
      <c r="A552" s="40">
        <v>537</v>
      </c>
      <c r="B552" s="41" t="str">
        <f t="array" ref="B552">IFERROR(IF(INDEX(Transactions!$F$8:$F$3006,MATCH(0,COUNTIF($B$11:B551,Transactions!$F$8:$F$3006),0))="","",INDEX(Transactions!$F$8:$F$3006,MATCH(0,COUNTIF($B$11:B551,Transactions!$F$8:$F$3006),0))),"")</f>
        <v/>
      </c>
      <c r="C552" s="42" t="str">
        <f>IF(B552="","",SUMIF(Transactions!$F$8:$F$3006,B552,Transactions!$H$8:$H$3006))</f>
        <v/>
      </c>
      <c r="D552" s="43" t="str">
        <f>IF(B552="","",SUMIF(Transactions!$F$8:$F$3006,B552,Transactions!$N$8:$N$3006))</f>
        <v/>
      </c>
      <c r="E552" s="44" t="str">
        <f>IF(B552="","",SUMIF(Transactions!$F$8:$F$3006,B552,Transactions!$O$8:$O$3006))</f>
        <v/>
      </c>
      <c r="F552" s="45" t="str">
        <f>IF(B552="","",SUMIF(Transactions!$F$8:$F$3006,B552,Transactions!$R$8:$R$3006))</f>
        <v/>
      </c>
      <c r="G552" s="46" t="str">
        <f>IF(B552="","",(C552+F552)-(D552+E552+SUMIF(Transactions!$F$8:$F$3006,B552,Transactions!$Q$8:$Q$3006)))</f>
        <v/>
      </c>
      <c r="H552" s="47" t="str">
        <f>IF(B552="","",IF(G552&gt;0,"OUTSTANDING",IF(G552=0,"SETTLED",IF(SUMIF(Transactions!$F$8:$F$3006,B552,Transactions!$Q$8:$Q$3006)&gt;SUMIF(Transactions!$F$8:$F$3006,B552,Transactions!$R$8:$R$3006),"OWES","OVERPAID"))))</f>
        <v/>
      </c>
      <c r="I552" s="1"/>
    </row>
    <row r="553" spans="1:9" ht="18" customHeight="1" x14ac:dyDescent="0.25">
      <c r="A553" s="48">
        <v>538</v>
      </c>
      <c r="B553" s="49" t="str">
        <f t="array" ref="B553">IFERROR(IF(INDEX(Transactions!$F$8:$F$3006,MATCH(0,COUNTIF($B$11:B552,Transactions!$F$8:$F$3006),0))="","",INDEX(Transactions!$F$8:$F$3006,MATCH(0,COUNTIF($B$11:B552,Transactions!$F$8:$F$3006),0))),"")</f>
        <v/>
      </c>
      <c r="C553" s="50" t="str">
        <f>IF(B553="","",SUMIF(Transactions!$F$8:$F$3006,B553,Transactions!$H$8:$H$3006))</f>
        <v/>
      </c>
      <c r="D553" s="51" t="str">
        <f>IF(B553="","",SUMIF(Transactions!$F$8:$F$3006,B553,Transactions!$N$8:$N$3006))</f>
        <v/>
      </c>
      <c r="E553" s="52" t="str">
        <f>IF(B553="","",SUMIF(Transactions!$F$8:$F$3006,B553,Transactions!$O$8:$O$3006))</f>
        <v/>
      </c>
      <c r="F553" s="53" t="str">
        <f>IF(B553="","",SUMIF(Transactions!$F$8:$F$3006,B553,Transactions!$R$8:$R$3006))</f>
        <v/>
      </c>
      <c r="G553" s="54" t="str">
        <f>IF(B553="","",(C553+F553)-(D553+E553+SUMIF(Transactions!$F$8:$F$3006,B553,Transactions!$Q$8:$Q$3006)))</f>
        <v/>
      </c>
      <c r="H553" s="55" t="str">
        <f>IF(B553="","",IF(G553&gt;0,"OUTSTANDING",IF(G553=0,"SETTLED",IF(SUMIF(Transactions!$F$8:$F$3006,B553,Transactions!$Q$8:$Q$3006)&gt;SUMIF(Transactions!$F$8:$F$3006,B553,Transactions!$R$8:$R$3006),"OWES","OVERPAID"))))</f>
        <v/>
      </c>
      <c r="I553" s="1"/>
    </row>
    <row r="554" spans="1:9" ht="18" customHeight="1" x14ac:dyDescent="0.25">
      <c r="A554" s="40">
        <v>539</v>
      </c>
      <c r="B554" s="41" t="str">
        <f t="array" ref="B554">IFERROR(IF(INDEX(Transactions!$F$8:$F$3006,MATCH(0,COUNTIF($B$11:B553,Transactions!$F$8:$F$3006),0))="","",INDEX(Transactions!$F$8:$F$3006,MATCH(0,COUNTIF($B$11:B553,Transactions!$F$8:$F$3006),0))),"")</f>
        <v/>
      </c>
      <c r="C554" s="42" t="str">
        <f>IF(B554="","",SUMIF(Transactions!$F$8:$F$3006,B554,Transactions!$H$8:$H$3006))</f>
        <v/>
      </c>
      <c r="D554" s="43" t="str">
        <f>IF(B554="","",SUMIF(Transactions!$F$8:$F$3006,B554,Transactions!$N$8:$N$3006))</f>
        <v/>
      </c>
      <c r="E554" s="44" t="str">
        <f>IF(B554="","",SUMIF(Transactions!$F$8:$F$3006,B554,Transactions!$O$8:$O$3006))</f>
        <v/>
      </c>
      <c r="F554" s="45" t="str">
        <f>IF(B554="","",SUMIF(Transactions!$F$8:$F$3006,B554,Transactions!$R$8:$R$3006))</f>
        <v/>
      </c>
      <c r="G554" s="46" t="str">
        <f>IF(B554="","",(C554+F554)-(D554+E554+SUMIF(Transactions!$F$8:$F$3006,B554,Transactions!$Q$8:$Q$3006)))</f>
        <v/>
      </c>
      <c r="H554" s="47" t="str">
        <f>IF(B554="","",IF(G554&gt;0,"OUTSTANDING",IF(G554=0,"SETTLED",IF(SUMIF(Transactions!$F$8:$F$3006,B554,Transactions!$Q$8:$Q$3006)&gt;SUMIF(Transactions!$F$8:$F$3006,B554,Transactions!$R$8:$R$3006),"OWES","OVERPAID"))))</f>
        <v/>
      </c>
      <c r="I554" s="1"/>
    </row>
    <row r="555" spans="1:9" ht="18" customHeight="1" x14ac:dyDescent="0.25">
      <c r="A555" s="48">
        <v>540</v>
      </c>
      <c r="B555" s="49" t="str">
        <f t="array" ref="B555">IFERROR(IF(INDEX(Transactions!$F$8:$F$3006,MATCH(0,COUNTIF($B$11:B554,Transactions!$F$8:$F$3006),0))="","",INDEX(Transactions!$F$8:$F$3006,MATCH(0,COUNTIF($B$11:B554,Transactions!$F$8:$F$3006),0))),"")</f>
        <v/>
      </c>
      <c r="C555" s="50" t="str">
        <f>IF(B555="","",SUMIF(Transactions!$F$8:$F$3006,B555,Transactions!$H$8:$H$3006))</f>
        <v/>
      </c>
      <c r="D555" s="51" t="str">
        <f>IF(B555="","",SUMIF(Transactions!$F$8:$F$3006,B555,Transactions!$N$8:$N$3006))</f>
        <v/>
      </c>
      <c r="E555" s="52" t="str">
        <f>IF(B555="","",SUMIF(Transactions!$F$8:$F$3006,B555,Transactions!$O$8:$O$3006))</f>
        <v/>
      </c>
      <c r="F555" s="53" t="str">
        <f>IF(B555="","",SUMIF(Transactions!$F$8:$F$3006,B555,Transactions!$R$8:$R$3006))</f>
        <v/>
      </c>
      <c r="G555" s="54" t="str">
        <f>IF(B555="","",(C555+F555)-(D555+E555+SUMIF(Transactions!$F$8:$F$3006,B555,Transactions!$Q$8:$Q$3006)))</f>
        <v/>
      </c>
      <c r="H555" s="55" t="str">
        <f>IF(B555="","",IF(G555&gt;0,"OUTSTANDING",IF(G555=0,"SETTLED",IF(SUMIF(Transactions!$F$8:$F$3006,B555,Transactions!$Q$8:$Q$3006)&gt;SUMIF(Transactions!$F$8:$F$3006,B555,Transactions!$R$8:$R$3006),"OWES","OVERPAID"))))</f>
        <v/>
      </c>
      <c r="I555" s="1"/>
    </row>
    <row r="556" spans="1:9" ht="18" customHeight="1" x14ac:dyDescent="0.25">
      <c r="A556" s="40">
        <v>541</v>
      </c>
      <c r="B556" s="41" t="str">
        <f t="array" ref="B556">IFERROR(IF(INDEX(Transactions!$F$8:$F$3006,MATCH(0,COUNTIF($B$11:B555,Transactions!$F$8:$F$3006),0))="","",INDEX(Transactions!$F$8:$F$3006,MATCH(0,COUNTIF($B$11:B555,Transactions!$F$8:$F$3006),0))),"")</f>
        <v/>
      </c>
      <c r="C556" s="42" t="str">
        <f>IF(B556="","",SUMIF(Transactions!$F$8:$F$3006,B556,Transactions!$H$8:$H$3006))</f>
        <v/>
      </c>
      <c r="D556" s="43" t="str">
        <f>IF(B556="","",SUMIF(Transactions!$F$8:$F$3006,B556,Transactions!$N$8:$N$3006))</f>
        <v/>
      </c>
      <c r="E556" s="44" t="str">
        <f>IF(B556="","",SUMIF(Transactions!$F$8:$F$3006,B556,Transactions!$O$8:$O$3006))</f>
        <v/>
      </c>
      <c r="F556" s="45" t="str">
        <f>IF(B556="","",SUMIF(Transactions!$F$8:$F$3006,B556,Transactions!$R$8:$R$3006))</f>
        <v/>
      </c>
      <c r="G556" s="46" t="str">
        <f>IF(B556="","",(C556+F556)-(D556+E556+SUMIF(Transactions!$F$8:$F$3006,B556,Transactions!$Q$8:$Q$3006)))</f>
        <v/>
      </c>
      <c r="H556" s="47" t="str">
        <f>IF(B556="","",IF(G556&gt;0,"OUTSTANDING",IF(G556=0,"SETTLED",IF(SUMIF(Transactions!$F$8:$F$3006,B556,Transactions!$Q$8:$Q$3006)&gt;SUMIF(Transactions!$F$8:$F$3006,B556,Transactions!$R$8:$R$3006),"OWES","OVERPAID"))))</f>
        <v/>
      </c>
      <c r="I556" s="1"/>
    </row>
    <row r="557" spans="1:9" ht="18" customHeight="1" x14ac:dyDescent="0.25">
      <c r="A557" s="48">
        <v>542</v>
      </c>
      <c r="B557" s="49" t="str">
        <f t="array" ref="B557">IFERROR(IF(INDEX(Transactions!$F$8:$F$3006,MATCH(0,COUNTIF($B$11:B556,Transactions!$F$8:$F$3006),0))="","",INDEX(Transactions!$F$8:$F$3006,MATCH(0,COUNTIF($B$11:B556,Transactions!$F$8:$F$3006),0))),"")</f>
        <v/>
      </c>
      <c r="C557" s="50" t="str">
        <f>IF(B557="","",SUMIF(Transactions!$F$8:$F$3006,B557,Transactions!$H$8:$H$3006))</f>
        <v/>
      </c>
      <c r="D557" s="51" t="str">
        <f>IF(B557="","",SUMIF(Transactions!$F$8:$F$3006,B557,Transactions!$N$8:$N$3006))</f>
        <v/>
      </c>
      <c r="E557" s="52" t="str">
        <f>IF(B557="","",SUMIF(Transactions!$F$8:$F$3006,B557,Transactions!$O$8:$O$3006))</f>
        <v/>
      </c>
      <c r="F557" s="53" t="str">
        <f>IF(B557="","",SUMIF(Transactions!$F$8:$F$3006,B557,Transactions!$R$8:$R$3006))</f>
        <v/>
      </c>
      <c r="G557" s="54" t="str">
        <f>IF(B557="","",(C557+F557)-(D557+E557+SUMIF(Transactions!$F$8:$F$3006,B557,Transactions!$Q$8:$Q$3006)))</f>
        <v/>
      </c>
      <c r="H557" s="55" t="str">
        <f>IF(B557="","",IF(G557&gt;0,"OUTSTANDING",IF(G557=0,"SETTLED",IF(SUMIF(Transactions!$F$8:$F$3006,B557,Transactions!$Q$8:$Q$3006)&gt;SUMIF(Transactions!$F$8:$F$3006,B557,Transactions!$R$8:$R$3006),"OWES","OVERPAID"))))</f>
        <v/>
      </c>
      <c r="I557" s="1"/>
    </row>
    <row r="558" spans="1:9" ht="18" customHeight="1" x14ac:dyDescent="0.25">
      <c r="A558" s="40">
        <v>543</v>
      </c>
      <c r="B558" s="41" t="str">
        <f t="array" ref="B558">IFERROR(IF(INDEX(Transactions!$F$8:$F$3006,MATCH(0,COUNTIF($B$11:B557,Transactions!$F$8:$F$3006),0))="","",INDEX(Transactions!$F$8:$F$3006,MATCH(0,COUNTIF($B$11:B557,Transactions!$F$8:$F$3006),0))),"")</f>
        <v/>
      </c>
      <c r="C558" s="42" t="str">
        <f>IF(B558="","",SUMIF(Transactions!$F$8:$F$3006,B558,Transactions!$H$8:$H$3006))</f>
        <v/>
      </c>
      <c r="D558" s="43" t="str">
        <f>IF(B558="","",SUMIF(Transactions!$F$8:$F$3006,B558,Transactions!$N$8:$N$3006))</f>
        <v/>
      </c>
      <c r="E558" s="44" t="str">
        <f>IF(B558="","",SUMIF(Transactions!$F$8:$F$3006,B558,Transactions!$O$8:$O$3006))</f>
        <v/>
      </c>
      <c r="F558" s="45" t="str">
        <f>IF(B558="","",SUMIF(Transactions!$F$8:$F$3006,B558,Transactions!$R$8:$R$3006))</f>
        <v/>
      </c>
      <c r="G558" s="46" t="str">
        <f>IF(B558="","",(C558+F558)-(D558+E558+SUMIF(Transactions!$F$8:$F$3006,B558,Transactions!$Q$8:$Q$3006)))</f>
        <v/>
      </c>
      <c r="H558" s="47" t="str">
        <f>IF(B558="","",IF(G558&gt;0,"OUTSTANDING",IF(G558=0,"SETTLED",IF(SUMIF(Transactions!$F$8:$F$3006,B558,Transactions!$Q$8:$Q$3006)&gt;SUMIF(Transactions!$F$8:$F$3006,B558,Transactions!$R$8:$R$3006),"OWES","OVERPAID"))))</f>
        <v/>
      </c>
      <c r="I558" s="1"/>
    </row>
    <row r="559" spans="1:9" ht="18" customHeight="1" x14ac:dyDescent="0.25">
      <c r="A559" s="48">
        <v>544</v>
      </c>
      <c r="B559" s="49" t="str">
        <f t="array" ref="B559">IFERROR(IF(INDEX(Transactions!$F$8:$F$3006,MATCH(0,COUNTIF($B$11:B558,Transactions!$F$8:$F$3006),0))="","",INDEX(Transactions!$F$8:$F$3006,MATCH(0,COUNTIF($B$11:B558,Transactions!$F$8:$F$3006),0))),"")</f>
        <v/>
      </c>
      <c r="C559" s="50" t="str">
        <f>IF(B559="","",SUMIF(Transactions!$F$8:$F$3006,B559,Transactions!$H$8:$H$3006))</f>
        <v/>
      </c>
      <c r="D559" s="51" t="str">
        <f>IF(B559="","",SUMIF(Transactions!$F$8:$F$3006,B559,Transactions!$N$8:$N$3006))</f>
        <v/>
      </c>
      <c r="E559" s="52" t="str">
        <f>IF(B559="","",SUMIF(Transactions!$F$8:$F$3006,B559,Transactions!$O$8:$O$3006))</f>
        <v/>
      </c>
      <c r="F559" s="53" t="str">
        <f>IF(B559="","",SUMIF(Transactions!$F$8:$F$3006,B559,Transactions!$R$8:$R$3006))</f>
        <v/>
      </c>
      <c r="G559" s="54" t="str">
        <f>IF(B559="","",(C559+F559)-(D559+E559+SUMIF(Transactions!$F$8:$F$3006,B559,Transactions!$Q$8:$Q$3006)))</f>
        <v/>
      </c>
      <c r="H559" s="55" t="str">
        <f>IF(B559="","",IF(G559&gt;0,"OUTSTANDING",IF(G559=0,"SETTLED",IF(SUMIF(Transactions!$F$8:$F$3006,B559,Transactions!$Q$8:$Q$3006)&gt;SUMIF(Transactions!$F$8:$F$3006,B559,Transactions!$R$8:$R$3006),"OWES","OVERPAID"))))</f>
        <v/>
      </c>
      <c r="I559" s="1"/>
    </row>
    <row r="560" spans="1:9" ht="18" customHeight="1" x14ac:dyDescent="0.25">
      <c r="A560" s="40">
        <v>545</v>
      </c>
      <c r="B560" s="41" t="str">
        <f t="array" ref="B560">IFERROR(IF(INDEX(Transactions!$F$8:$F$3006,MATCH(0,COUNTIF($B$11:B559,Transactions!$F$8:$F$3006),0))="","",INDEX(Transactions!$F$8:$F$3006,MATCH(0,COUNTIF($B$11:B559,Transactions!$F$8:$F$3006),0))),"")</f>
        <v/>
      </c>
      <c r="C560" s="42" t="str">
        <f>IF(B560="","",SUMIF(Transactions!$F$8:$F$3006,B560,Transactions!$H$8:$H$3006))</f>
        <v/>
      </c>
      <c r="D560" s="43" t="str">
        <f>IF(B560="","",SUMIF(Transactions!$F$8:$F$3006,B560,Transactions!$N$8:$N$3006))</f>
        <v/>
      </c>
      <c r="E560" s="44" t="str">
        <f>IF(B560="","",SUMIF(Transactions!$F$8:$F$3006,B560,Transactions!$O$8:$O$3006))</f>
        <v/>
      </c>
      <c r="F560" s="45" t="str">
        <f>IF(B560="","",SUMIF(Transactions!$F$8:$F$3006,B560,Transactions!$R$8:$R$3006))</f>
        <v/>
      </c>
      <c r="G560" s="46" t="str">
        <f>IF(B560="","",(C560+F560)-(D560+E560+SUMIF(Transactions!$F$8:$F$3006,B560,Transactions!$Q$8:$Q$3006)))</f>
        <v/>
      </c>
      <c r="H560" s="47" t="str">
        <f>IF(B560="","",IF(G560&gt;0,"OUTSTANDING",IF(G560=0,"SETTLED",IF(SUMIF(Transactions!$F$8:$F$3006,B560,Transactions!$Q$8:$Q$3006)&gt;SUMIF(Transactions!$F$8:$F$3006,B560,Transactions!$R$8:$R$3006),"OWES","OVERPAID"))))</f>
        <v/>
      </c>
      <c r="I560" s="1"/>
    </row>
    <row r="561" spans="1:9" ht="18" customHeight="1" x14ac:dyDescent="0.25">
      <c r="A561" s="48">
        <v>546</v>
      </c>
      <c r="B561" s="49" t="str">
        <f t="array" ref="B561">IFERROR(IF(INDEX(Transactions!$F$8:$F$3006,MATCH(0,COUNTIF($B$11:B560,Transactions!$F$8:$F$3006),0))="","",INDEX(Transactions!$F$8:$F$3006,MATCH(0,COUNTIF($B$11:B560,Transactions!$F$8:$F$3006),0))),"")</f>
        <v/>
      </c>
      <c r="C561" s="50" t="str">
        <f>IF(B561="","",SUMIF(Transactions!$F$8:$F$3006,B561,Transactions!$H$8:$H$3006))</f>
        <v/>
      </c>
      <c r="D561" s="51" t="str">
        <f>IF(B561="","",SUMIF(Transactions!$F$8:$F$3006,B561,Transactions!$N$8:$N$3006))</f>
        <v/>
      </c>
      <c r="E561" s="52" t="str">
        <f>IF(B561="","",SUMIF(Transactions!$F$8:$F$3006,B561,Transactions!$O$8:$O$3006))</f>
        <v/>
      </c>
      <c r="F561" s="53" t="str">
        <f>IF(B561="","",SUMIF(Transactions!$F$8:$F$3006,B561,Transactions!$R$8:$R$3006))</f>
        <v/>
      </c>
      <c r="G561" s="54" t="str">
        <f>IF(B561="","",(C561+F561)-(D561+E561+SUMIF(Transactions!$F$8:$F$3006,B561,Transactions!$Q$8:$Q$3006)))</f>
        <v/>
      </c>
      <c r="H561" s="55" t="str">
        <f>IF(B561="","",IF(G561&gt;0,"OUTSTANDING",IF(G561=0,"SETTLED",IF(SUMIF(Transactions!$F$8:$F$3006,B561,Transactions!$Q$8:$Q$3006)&gt;SUMIF(Transactions!$F$8:$F$3006,B561,Transactions!$R$8:$R$3006),"OWES","OVERPAID"))))</f>
        <v/>
      </c>
      <c r="I561" s="1"/>
    </row>
    <row r="562" spans="1:9" ht="18" customHeight="1" x14ac:dyDescent="0.25">
      <c r="A562" s="40">
        <v>547</v>
      </c>
      <c r="B562" s="41" t="str">
        <f t="array" ref="B562">IFERROR(IF(INDEX(Transactions!$F$8:$F$3006,MATCH(0,COUNTIF($B$11:B561,Transactions!$F$8:$F$3006),0))="","",INDEX(Transactions!$F$8:$F$3006,MATCH(0,COUNTIF($B$11:B561,Transactions!$F$8:$F$3006),0))),"")</f>
        <v/>
      </c>
      <c r="C562" s="42" t="str">
        <f>IF(B562="","",SUMIF(Transactions!$F$8:$F$3006,B562,Transactions!$H$8:$H$3006))</f>
        <v/>
      </c>
      <c r="D562" s="43" t="str">
        <f>IF(B562="","",SUMIF(Transactions!$F$8:$F$3006,B562,Transactions!$N$8:$N$3006))</f>
        <v/>
      </c>
      <c r="E562" s="44" t="str">
        <f>IF(B562="","",SUMIF(Transactions!$F$8:$F$3006,B562,Transactions!$O$8:$O$3006))</f>
        <v/>
      </c>
      <c r="F562" s="45" t="str">
        <f>IF(B562="","",SUMIF(Transactions!$F$8:$F$3006,B562,Transactions!$R$8:$R$3006))</f>
        <v/>
      </c>
      <c r="G562" s="46" t="str">
        <f>IF(B562="","",(C562+F562)-(D562+E562+SUMIF(Transactions!$F$8:$F$3006,B562,Transactions!$Q$8:$Q$3006)))</f>
        <v/>
      </c>
      <c r="H562" s="47" t="str">
        <f>IF(B562="","",IF(G562&gt;0,"OUTSTANDING",IF(G562=0,"SETTLED",IF(SUMIF(Transactions!$F$8:$F$3006,B562,Transactions!$Q$8:$Q$3006)&gt;SUMIF(Transactions!$F$8:$F$3006,B562,Transactions!$R$8:$R$3006),"OWES","OVERPAID"))))</f>
        <v/>
      </c>
      <c r="I562" s="1"/>
    </row>
    <row r="563" spans="1:9" ht="18" customHeight="1" x14ac:dyDescent="0.25">
      <c r="A563" s="48">
        <v>548</v>
      </c>
      <c r="B563" s="49" t="str">
        <f t="array" ref="B563">IFERROR(IF(INDEX(Transactions!$F$8:$F$3006,MATCH(0,COUNTIF($B$11:B562,Transactions!$F$8:$F$3006),0))="","",INDEX(Transactions!$F$8:$F$3006,MATCH(0,COUNTIF($B$11:B562,Transactions!$F$8:$F$3006),0))),"")</f>
        <v/>
      </c>
      <c r="C563" s="50" t="str">
        <f>IF(B563="","",SUMIF(Transactions!$F$8:$F$3006,B563,Transactions!$H$8:$H$3006))</f>
        <v/>
      </c>
      <c r="D563" s="51" t="str">
        <f>IF(B563="","",SUMIF(Transactions!$F$8:$F$3006,B563,Transactions!$N$8:$N$3006))</f>
        <v/>
      </c>
      <c r="E563" s="52" t="str">
        <f>IF(B563="","",SUMIF(Transactions!$F$8:$F$3006,B563,Transactions!$O$8:$O$3006))</f>
        <v/>
      </c>
      <c r="F563" s="53" t="str">
        <f>IF(B563="","",SUMIF(Transactions!$F$8:$F$3006,B563,Transactions!$R$8:$R$3006))</f>
        <v/>
      </c>
      <c r="G563" s="54" t="str">
        <f>IF(B563="","",(C563+F563)-(D563+E563+SUMIF(Transactions!$F$8:$F$3006,B563,Transactions!$Q$8:$Q$3006)))</f>
        <v/>
      </c>
      <c r="H563" s="55" t="str">
        <f>IF(B563="","",IF(G563&gt;0,"OUTSTANDING",IF(G563=0,"SETTLED",IF(SUMIF(Transactions!$F$8:$F$3006,B563,Transactions!$Q$8:$Q$3006)&gt;SUMIF(Transactions!$F$8:$F$3006,B563,Transactions!$R$8:$R$3006),"OWES","OVERPAID"))))</f>
        <v/>
      </c>
      <c r="I563" s="1"/>
    </row>
    <row r="564" spans="1:9" ht="18" customHeight="1" x14ac:dyDescent="0.25">
      <c r="A564" s="40">
        <v>549</v>
      </c>
      <c r="B564" s="41" t="str">
        <f t="array" ref="B564">IFERROR(IF(INDEX(Transactions!$F$8:$F$3006,MATCH(0,COUNTIF($B$11:B563,Transactions!$F$8:$F$3006),0))="","",INDEX(Transactions!$F$8:$F$3006,MATCH(0,COUNTIF($B$11:B563,Transactions!$F$8:$F$3006),0))),"")</f>
        <v/>
      </c>
      <c r="C564" s="42" t="str">
        <f>IF(B564="","",SUMIF(Transactions!$F$8:$F$3006,B564,Transactions!$H$8:$H$3006))</f>
        <v/>
      </c>
      <c r="D564" s="43" t="str">
        <f>IF(B564="","",SUMIF(Transactions!$F$8:$F$3006,B564,Transactions!$N$8:$N$3006))</f>
        <v/>
      </c>
      <c r="E564" s="44" t="str">
        <f>IF(B564="","",SUMIF(Transactions!$F$8:$F$3006,B564,Transactions!$O$8:$O$3006))</f>
        <v/>
      </c>
      <c r="F564" s="45" t="str">
        <f>IF(B564="","",SUMIF(Transactions!$F$8:$F$3006,B564,Transactions!$R$8:$R$3006))</f>
        <v/>
      </c>
      <c r="G564" s="46" t="str">
        <f>IF(B564="","",(C564+F564)-(D564+E564+SUMIF(Transactions!$F$8:$F$3006,B564,Transactions!$Q$8:$Q$3006)))</f>
        <v/>
      </c>
      <c r="H564" s="47" t="str">
        <f>IF(B564="","",IF(G564&gt;0,"OUTSTANDING",IF(G564=0,"SETTLED",IF(SUMIF(Transactions!$F$8:$F$3006,B564,Transactions!$Q$8:$Q$3006)&gt;SUMIF(Transactions!$F$8:$F$3006,B564,Transactions!$R$8:$R$3006),"OWES","OVERPAID"))))</f>
        <v/>
      </c>
      <c r="I564" s="1"/>
    </row>
    <row r="565" spans="1:9" ht="18" customHeight="1" x14ac:dyDescent="0.25">
      <c r="A565" s="48">
        <v>550</v>
      </c>
      <c r="B565" s="49" t="str">
        <f t="array" ref="B565">IFERROR(IF(INDEX(Transactions!$F$8:$F$3006,MATCH(0,COUNTIF($B$11:B564,Transactions!$F$8:$F$3006),0))="","",INDEX(Transactions!$F$8:$F$3006,MATCH(0,COUNTIF($B$11:B564,Transactions!$F$8:$F$3006),0))),"")</f>
        <v/>
      </c>
      <c r="C565" s="50" t="str">
        <f>IF(B565="","",SUMIF(Transactions!$F$8:$F$3006,B565,Transactions!$H$8:$H$3006))</f>
        <v/>
      </c>
      <c r="D565" s="51" t="str">
        <f>IF(B565="","",SUMIF(Transactions!$F$8:$F$3006,B565,Transactions!$N$8:$N$3006))</f>
        <v/>
      </c>
      <c r="E565" s="52" t="str">
        <f>IF(B565="","",SUMIF(Transactions!$F$8:$F$3006,B565,Transactions!$O$8:$O$3006))</f>
        <v/>
      </c>
      <c r="F565" s="53" t="str">
        <f>IF(B565="","",SUMIF(Transactions!$F$8:$F$3006,B565,Transactions!$R$8:$R$3006))</f>
        <v/>
      </c>
      <c r="G565" s="54" t="str">
        <f>IF(B565="","",(C565+F565)-(D565+E565+SUMIF(Transactions!$F$8:$F$3006,B565,Transactions!$Q$8:$Q$3006)))</f>
        <v/>
      </c>
      <c r="H565" s="55" t="str">
        <f>IF(B565="","",IF(G565&gt;0,"OUTSTANDING",IF(G565=0,"SETTLED",IF(SUMIF(Transactions!$F$8:$F$3006,B565,Transactions!$Q$8:$Q$3006)&gt;SUMIF(Transactions!$F$8:$F$3006,B565,Transactions!$R$8:$R$3006),"OWES","OVERPAID"))))</f>
        <v/>
      </c>
      <c r="I565" s="1"/>
    </row>
    <row r="566" spans="1:9" ht="18" customHeight="1" x14ac:dyDescent="0.25">
      <c r="A566" s="40">
        <v>551</v>
      </c>
      <c r="B566" s="41" t="str">
        <f t="array" ref="B566">IFERROR(IF(INDEX(Transactions!$F$8:$F$3006,MATCH(0,COUNTIF($B$11:B565,Transactions!$F$8:$F$3006),0))="","",INDEX(Transactions!$F$8:$F$3006,MATCH(0,COUNTIF($B$11:B565,Transactions!$F$8:$F$3006),0))),"")</f>
        <v/>
      </c>
      <c r="C566" s="42" t="str">
        <f>IF(B566="","",SUMIF(Transactions!$F$8:$F$3006,B566,Transactions!$H$8:$H$3006))</f>
        <v/>
      </c>
      <c r="D566" s="43" t="str">
        <f>IF(B566="","",SUMIF(Transactions!$F$8:$F$3006,B566,Transactions!$N$8:$N$3006))</f>
        <v/>
      </c>
      <c r="E566" s="44" t="str">
        <f>IF(B566="","",SUMIF(Transactions!$F$8:$F$3006,B566,Transactions!$O$8:$O$3006))</f>
        <v/>
      </c>
      <c r="F566" s="45" t="str">
        <f>IF(B566="","",SUMIF(Transactions!$F$8:$F$3006,B566,Transactions!$R$8:$R$3006))</f>
        <v/>
      </c>
      <c r="G566" s="46" t="str">
        <f>IF(B566="","",(C566+F566)-(D566+E566+SUMIF(Transactions!$F$8:$F$3006,B566,Transactions!$Q$8:$Q$3006)))</f>
        <v/>
      </c>
      <c r="H566" s="47" t="str">
        <f>IF(B566="","",IF(G566&gt;0,"OUTSTANDING",IF(G566=0,"SETTLED",IF(SUMIF(Transactions!$F$8:$F$3006,B566,Transactions!$Q$8:$Q$3006)&gt;SUMIF(Transactions!$F$8:$F$3006,B566,Transactions!$R$8:$R$3006),"OWES","OVERPAID"))))</f>
        <v/>
      </c>
      <c r="I566" s="1"/>
    </row>
    <row r="567" spans="1:9" ht="18" customHeight="1" x14ac:dyDescent="0.25">
      <c r="A567" s="48">
        <v>552</v>
      </c>
      <c r="B567" s="49" t="str">
        <f t="array" ref="B567">IFERROR(IF(INDEX(Transactions!$F$8:$F$3006,MATCH(0,COUNTIF($B$11:B566,Transactions!$F$8:$F$3006),0))="","",INDEX(Transactions!$F$8:$F$3006,MATCH(0,COUNTIF($B$11:B566,Transactions!$F$8:$F$3006),0))),"")</f>
        <v/>
      </c>
      <c r="C567" s="50" t="str">
        <f>IF(B567="","",SUMIF(Transactions!$F$8:$F$3006,B567,Transactions!$H$8:$H$3006))</f>
        <v/>
      </c>
      <c r="D567" s="51" t="str">
        <f>IF(B567="","",SUMIF(Transactions!$F$8:$F$3006,B567,Transactions!$N$8:$N$3006))</f>
        <v/>
      </c>
      <c r="E567" s="52" t="str">
        <f>IF(B567="","",SUMIF(Transactions!$F$8:$F$3006,B567,Transactions!$O$8:$O$3006))</f>
        <v/>
      </c>
      <c r="F567" s="53" t="str">
        <f>IF(B567="","",SUMIF(Transactions!$F$8:$F$3006,B567,Transactions!$R$8:$R$3006))</f>
        <v/>
      </c>
      <c r="G567" s="54" t="str">
        <f>IF(B567="","",(C567+F567)-(D567+E567+SUMIF(Transactions!$F$8:$F$3006,B567,Transactions!$Q$8:$Q$3006)))</f>
        <v/>
      </c>
      <c r="H567" s="55" t="str">
        <f>IF(B567="","",IF(G567&gt;0,"OUTSTANDING",IF(G567=0,"SETTLED",IF(SUMIF(Transactions!$F$8:$F$3006,B567,Transactions!$Q$8:$Q$3006)&gt;SUMIF(Transactions!$F$8:$F$3006,B567,Transactions!$R$8:$R$3006),"OWES","OVERPAID"))))</f>
        <v/>
      </c>
      <c r="I567" s="1"/>
    </row>
    <row r="568" spans="1:9" ht="18" customHeight="1" x14ac:dyDescent="0.25">
      <c r="A568" s="40">
        <v>553</v>
      </c>
      <c r="B568" s="41" t="str">
        <f t="array" ref="B568">IFERROR(IF(INDEX(Transactions!$F$8:$F$3006,MATCH(0,COUNTIF($B$11:B567,Transactions!$F$8:$F$3006),0))="","",INDEX(Transactions!$F$8:$F$3006,MATCH(0,COUNTIF($B$11:B567,Transactions!$F$8:$F$3006),0))),"")</f>
        <v/>
      </c>
      <c r="C568" s="42" t="str">
        <f>IF(B568="","",SUMIF(Transactions!$F$8:$F$3006,B568,Transactions!$H$8:$H$3006))</f>
        <v/>
      </c>
      <c r="D568" s="43" t="str">
        <f>IF(B568="","",SUMIF(Transactions!$F$8:$F$3006,B568,Transactions!$N$8:$N$3006))</f>
        <v/>
      </c>
      <c r="E568" s="44" t="str">
        <f>IF(B568="","",SUMIF(Transactions!$F$8:$F$3006,B568,Transactions!$O$8:$O$3006))</f>
        <v/>
      </c>
      <c r="F568" s="45" t="str">
        <f>IF(B568="","",SUMIF(Transactions!$F$8:$F$3006,B568,Transactions!$R$8:$R$3006))</f>
        <v/>
      </c>
      <c r="G568" s="46" t="str">
        <f>IF(B568="","",(C568+F568)-(D568+E568+SUMIF(Transactions!$F$8:$F$3006,B568,Transactions!$Q$8:$Q$3006)))</f>
        <v/>
      </c>
      <c r="H568" s="47" t="str">
        <f>IF(B568="","",IF(G568&gt;0,"OUTSTANDING",IF(G568=0,"SETTLED",IF(SUMIF(Transactions!$F$8:$F$3006,B568,Transactions!$Q$8:$Q$3006)&gt;SUMIF(Transactions!$F$8:$F$3006,B568,Transactions!$R$8:$R$3006),"OWES","OVERPAID"))))</f>
        <v/>
      </c>
      <c r="I568" s="1"/>
    </row>
    <row r="569" spans="1:9" ht="18" customHeight="1" x14ac:dyDescent="0.25">
      <c r="A569" s="48">
        <v>554</v>
      </c>
      <c r="B569" s="49" t="str">
        <f t="array" ref="B569">IFERROR(IF(INDEX(Transactions!$F$8:$F$3006,MATCH(0,COUNTIF($B$11:B568,Transactions!$F$8:$F$3006),0))="","",INDEX(Transactions!$F$8:$F$3006,MATCH(0,COUNTIF($B$11:B568,Transactions!$F$8:$F$3006),0))),"")</f>
        <v/>
      </c>
      <c r="C569" s="50" t="str">
        <f>IF(B569="","",SUMIF(Transactions!$F$8:$F$3006,B569,Transactions!$H$8:$H$3006))</f>
        <v/>
      </c>
      <c r="D569" s="51" t="str">
        <f>IF(B569="","",SUMIF(Transactions!$F$8:$F$3006,B569,Transactions!$N$8:$N$3006))</f>
        <v/>
      </c>
      <c r="E569" s="52" t="str">
        <f>IF(B569="","",SUMIF(Transactions!$F$8:$F$3006,B569,Transactions!$O$8:$O$3006))</f>
        <v/>
      </c>
      <c r="F569" s="53" t="str">
        <f>IF(B569="","",SUMIF(Transactions!$F$8:$F$3006,B569,Transactions!$R$8:$R$3006))</f>
        <v/>
      </c>
      <c r="G569" s="54" t="str">
        <f>IF(B569="","",(C569+F569)-(D569+E569+SUMIF(Transactions!$F$8:$F$3006,B569,Transactions!$Q$8:$Q$3006)))</f>
        <v/>
      </c>
      <c r="H569" s="55" t="str">
        <f>IF(B569="","",IF(G569&gt;0,"OUTSTANDING",IF(G569=0,"SETTLED",IF(SUMIF(Transactions!$F$8:$F$3006,B569,Transactions!$Q$8:$Q$3006)&gt;SUMIF(Transactions!$F$8:$F$3006,B569,Transactions!$R$8:$R$3006),"OWES","OVERPAID"))))</f>
        <v/>
      </c>
      <c r="I569" s="1"/>
    </row>
    <row r="570" spans="1:9" ht="18" customHeight="1" x14ac:dyDescent="0.25">
      <c r="A570" s="40">
        <v>555</v>
      </c>
      <c r="B570" s="41" t="str">
        <f t="array" ref="B570">IFERROR(IF(INDEX(Transactions!$F$8:$F$3006,MATCH(0,COUNTIF($B$11:B569,Transactions!$F$8:$F$3006),0))="","",INDEX(Transactions!$F$8:$F$3006,MATCH(0,COUNTIF($B$11:B569,Transactions!$F$8:$F$3006),0))),"")</f>
        <v/>
      </c>
      <c r="C570" s="42" t="str">
        <f>IF(B570="","",SUMIF(Transactions!$F$8:$F$3006,B570,Transactions!$H$8:$H$3006))</f>
        <v/>
      </c>
      <c r="D570" s="43" t="str">
        <f>IF(B570="","",SUMIF(Transactions!$F$8:$F$3006,B570,Transactions!$N$8:$N$3006))</f>
        <v/>
      </c>
      <c r="E570" s="44" t="str">
        <f>IF(B570="","",SUMIF(Transactions!$F$8:$F$3006,B570,Transactions!$O$8:$O$3006))</f>
        <v/>
      </c>
      <c r="F570" s="45" t="str">
        <f>IF(B570="","",SUMIF(Transactions!$F$8:$F$3006,B570,Transactions!$R$8:$R$3006))</f>
        <v/>
      </c>
      <c r="G570" s="46" t="str">
        <f>IF(B570="","",(C570+F570)-(D570+E570+SUMIF(Transactions!$F$8:$F$3006,B570,Transactions!$Q$8:$Q$3006)))</f>
        <v/>
      </c>
      <c r="H570" s="47" t="str">
        <f>IF(B570="","",IF(G570&gt;0,"OUTSTANDING",IF(G570=0,"SETTLED",IF(SUMIF(Transactions!$F$8:$F$3006,B570,Transactions!$Q$8:$Q$3006)&gt;SUMIF(Transactions!$F$8:$F$3006,B570,Transactions!$R$8:$R$3006),"OWES","OVERPAID"))))</f>
        <v/>
      </c>
      <c r="I570" s="1"/>
    </row>
    <row r="571" spans="1:9" ht="18" customHeight="1" x14ac:dyDescent="0.25">
      <c r="A571" s="48">
        <v>556</v>
      </c>
      <c r="B571" s="49" t="str">
        <f t="array" ref="B571">IFERROR(IF(INDEX(Transactions!$F$8:$F$3006,MATCH(0,COUNTIF($B$11:B570,Transactions!$F$8:$F$3006),0))="","",INDEX(Transactions!$F$8:$F$3006,MATCH(0,COUNTIF($B$11:B570,Transactions!$F$8:$F$3006),0))),"")</f>
        <v/>
      </c>
      <c r="C571" s="50" t="str">
        <f>IF(B571="","",SUMIF(Transactions!$F$8:$F$3006,B571,Transactions!$H$8:$H$3006))</f>
        <v/>
      </c>
      <c r="D571" s="51" t="str">
        <f>IF(B571="","",SUMIF(Transactions!$F$8:$F$3006,B571,Transactions!$N$8:$N$3006))</f>
        <v/>
      </c>
      <c r="E571" s="52" t="str">
        <f>IF(B571="","",SUMIF(Transactions!$F$8:$F$3006,B571,Transactions!$O$8:$O$3006))</f>
        <v/>
      </c>
      <c r="F571" s="53" t="str">
        <f>IF(B571="","",SUMIF(Transactions!$F$8:$F$3006,B571,Transactions!$R$8:$R$3006))</f>
        <v/>
      </c>
      <c r="G571" s="54" t="str">
        <f>IF(B571="","",(C571+F571)-(D571+E571+SUMIF(Transactions!$F$8:$F$3006,B571,Transactions!$Q$8:$Q$3006)))</f>
        <v/>
      </c>
      <c r="H571" s="55" t="str">
        <f>IF(B571="","",IF(G571&gt;0,"OUTSTANDING",IF(G571=0,"SETTLED",IF(SUMIF(Transactions!$F$8:$F$3006,B571,Transactions!$Q$8:$Q$3006)&gt;SUMIF(Transactions!$F$8:$F$3006,B571,Transactions!$R$8:$R$3006),"OWES","OVERPAID"))))</f>
        <v/>
      </c>
      <c r="I571" s="1"/>
    </row>
    <row r="572" spans="1:9" ht="18" customHeight="1" x14ac:dyDescent="0.25">
      <c r="A572" s="40">
        <v>557</v>
      </c>
      <c r="B572" s="41" t="str">
        <f t="array" ref="B572">IFERROR(IF(INDEX(Transactions!$F$8:$F$3006,MATCH(0,COUNTIF($B$11:B571,Transactions!$F$8:$F$3006),0))="","",INDEX(Transactions!$F$8:$F$3006,MATCH(0,COUNTIF($B$11:B571,Transactions!$F$8:$F$3006),0))),"")</f>
        <v/>
      </c>
      <c r="C572" s="42" t="str">
        <f>IF(B572="","",SUMIF(Transactions!$F$8:$F$3006,B572,Transactions!$H$8:$H$3006))</f>
        <v/>
      </c>
      <c r="D572" s="43" t="str">
        <f>IF(B572="","",SUMIF(Transactions!$F$8:$F$3006,B572,Transactions!$N$8:$N$3006))</f>
        <v/>
      </c>
      <c r="E572" s="44" t="str">
        <f>IF(B572="","",SUMIF(Transactions!$F$8:$F$3006,B572,Transactions!$O$8:$O$3006))</f>
        <v/>
      </c>
      <c r="F572" s="45" t="str">
        <f>IF(B572="","",SUMIF(Transactions!$F$8:$F$3006,B572,Transactions!$R$8:$R$3006))</f>
        <v/>
      </c>
      <c r="G572" s="46" t="str">
        <f>IF(B572="","",(C572+F572)-(D572+E572+SUMIF(Transactions!$F$8:$F$3006,B572,Transactions!$Q$8:$Q$3006)))</f>
        <v/>
      </c>
      <c r="H572" s="47" t="str">
        <f>IF(B572="","",IF(G572&gt;0,"OUTSTANDING",IF(G572=0,"SETTLED",IF(SUMIF(Transactions!$F$8:$F$3006,B572,Transactions!$Q$8:$Q$3006)&gt;SUMIF(Transactions!$F$8:$F$3006,B572,Transactions!$R$8:$R$3006),"OWES","OVERPAID"))))</f>
        <v/>
      </c>
      <c r="I572" s="1"/>
    </row>
    <row r="573" spans="1:9" ht="18" customHeight="1" x14ac:dyDescent="0.25">
      <c r="A573" s="48">
        <v>558</v>
      </c>
      <c r="B573" s="49" t="str">
        <f t="array" ref="B573">IFERROR(IF(INDEX(Transactions!$F$8:$F$3006,MATCH(0,COUNTIF($B$11:B572,Transactions!$F$8:$F$3006),0))="","",INDEX(Transactions!$F$8:$F$3006,MATCH(0,COUNTIF($B$11:B572,Transactions!$F$8:$F$3006),0))),"")</f>
        <v/>
      </c>
      <c r="C573" s="50" t="str">
        <f>IF(B573="","",SUMIF(Transactions!$F$8:$F$3006,B573,Transactions!$H$8:$H$3006))</f>
        <v/>
      </c>
      <c r="D573" s="51" t="str">
        <f>IF(B573="","",SUMIF(Transactions!$F$8:$F$3006,B573,Transactions!$N$8:$N$3006))</f>
        <v/>
      </c>
      <c r="E573" s="52" t="str">
        <f>IF(B573="","",SUMIF(Transactions!$F$8:$F$3006,B573,Transactions!$O$8:$O$3006))</f>
        <v/>
      </c>
      <c r="F573" s="53" t="str">
        <f>IF(B573="","",SUMIF(Transactions!$F$8:$F$3006,B573,Transactions!$R$8:$R$3006))</f>
        <v/>
      </c>
      <c r="G573" s="54" t="str">
        <f>IF(B573="","",(C573+F573)-(D573+E573+SUMIF(Transactions!$F$8:$F$3006,B573,Transactions!$Q$8:$Q$3006)))</f>
        <v/>
      </c>
      <c r="H573" s="55" t="str">
        <f>IF(B573="","",IF(G573&gt;0,"OUTSTANDING",IF(G573=0,"SETTLED",IF(SUMIF(Transactions!$F$8:$F$3006,B573,Transactions!$Q$8:$Q$3006)&gt;SUMIF(Transactions!$F$8:$F$3006,B573,Transactions!$R$8:$R$3006),"OWES","OVERPAID"))))</f>
        <v/>
      </c>
      <c r="I573" s="1"/>
    </row>
    <row r="574" spans="1:9" ht="18" customHeight="1" x14ac:dyDescent="0.25">
      <c r="A574" s="40">
        <v>559</v>
      </c>
      <c r="B574" s="41" t="str">
        <f t="array" ref="B574">IFERROR(IF(INDEX(Transactions!$F$8:$F$3006,MATCH(0,COUNTIF($B$11:B573,Transactions!$F$8:$F$3006),0))="","",INDEX(Transactions!$F$8:$F$3006,MATCH(0,COUNTIF($B$11:B573,Transactions!$F$8:$F$3006),0))),"")</f>
        <v/>
      </c>
      <c r="C574" s="42" t="str">
        <f>IF(B574="","",SUMIF(Transactions!$F$8:$F$3006,B574,Transactions!$H$8:$H$3006))</f>
        <v/>
      </c>
      <c r="D574" s="43" t="str">
        <f>IF(B574="","",SUMIF(Transactions!$F$8:$F$3006,B574,Transactions!$N$8:$N$3006))</f>
        <v/>
      </c>
      <c r="E574" s="44" t="str">
        <f>IF(B574="","",SUMIF(Transactions!$F$8:$F$3006,B574,Transactions!$O$8:$O$3006))</f>
        <v/>
      </c>
      <c r="F574" s="45" t="str">
        <f>IF(B574="","",SUMIF(Transactions!$F$8:$F$3006,B574,Transactions!$R$8:$R$3006))</f>
        <v/>
      </c>
      <c r="G574" s="46" t="str">
        <f>IF(B574="","",(C574+F574)-(D574+E574+SUMIF(Transactions!$F$8:$F$3006,B574,Transactions!$Q$8:$Q$3006)))</f>
        <v/>
      </c>
      <c r="H574" s="47" t="str">
        <f>IF(B574="","",IF(G574&gt;0,"OUTSTANDING",IF(G574=0,"SETTLED",IF(SUMIF(Transactions!$F$8:$F$3006,B574,Transactions!$Q$8:$Q$3006)&gt;SUMIF(Transactions!$F$8:$F$3006,B574,Transactions!$R$8:$R$3006),"OWES","OVERPAID"))))</f>
        <v/>
      </c>
      <c r="I574" s="1"/>
    </row>
    <row r="575" spans="1:9" ht="18" customHeight="1" x14ac:dyDescent="0.25">
      <c r="A575" s="48">
        <v>560</v>
      </c>
      <c r="B575" s="49" t="str">
        <f t="array" ref="B575">IFERROR(IF(INDEX(Transactions!$F$8:$F$3006,MATCH(0,COUNTIF($B$11:B574,Transactions!$F$8:$F$3006),0))="","",INDEX(Transactions!$F$8:$F$3006,MATCH(0,COUNTIF($B$11:B574,Transactions!$F$8:$F$3006),0))),"")</f>
        <v/>
      </c>
      <c r="C575" s="50" t="str">
        <f>IF(B575="","",SUMIF(Transactions!$F$8:$F$3006,B575,Transactions!$H$8:$H$3006))</f>
        <v/>
      </c>
      <c r="D575" s="51" t="str">
        <f>IF(B575="","",SUMIF(Transactions!$F$8:$F$3006,B575,Transactions!$N$8:$N$3006))</f>
        <v/>
      </c>
      <c r="E575" s="52" t="str">
        <f>IF(B575="","",SUMIF(Transactions!$F$8:$F$3006,B575,Transactions!$O$8:$O$3006))</f>
        <v/>
      </c>
      <c r="F575" s="53" t="str">
        <f>IF(B575="","",SUMIF(Transactions!$F$8:$F$3006,B575,Transactions!$R$8:$R$3006))</f>
        <v/>
      </c>
      <c r="G575" s="54" t="str">
        <f>IF(B575="","",(C575+F575)-(D575+E575+SUMIF(Transactions!$F$8:$F$3006,B575,Transactions!$Q$8:$Q$3006)))</f>
        <v/>
      </c>
      <c r="H575" s="55" t="str">
        <f>IF(B575="","",IF(G575&gt;0,"OUTSTANDING",IF(G575=0,"SETTLED",IF(SUMIF(Transactions!$F$8:$F$3006,B575,Transactions!$Q$8:$Q$3006)&gt;SUMIF(Transactions!$F$8:$F$3006,B575,Transactions!$R$8:$R$3006),"OWES","OVERPAID"))))</f>
        <v/>
      </c>
      <c r="I575" s="1"/>
    </row>
    <row r="576" spans="1:9" ht="18" customHeight="1" x14ac:dyDescent="0.25">
      <c r="A576" s="40">
        <v>561</v>
      </c>
      <c r="B576" s="41" t="str">
        <f t="array" ref="B576">IFERROR(IF(INDEX(Transactions!$F$8:$F$3006,MATCH(0,COUNTIF($B$11:B575,Transactions!$F$8:$F$3006),0))="","",INDEX(Transactions!$F$8:$F$3006,MATCH(0,COUNTIF($B$11:B575,Transactions!$F$8:$F$3006),0))),"")</f>
        <v/>
      </c>
      <c r="C576" s="42" t="str">
        <f>IF(B576="","",SUMIF(Transactions!$F$8:$F$3006,B576,Transactions!$H$8:$H$3006))</f>
        <v/>
      </c>
      <c r="D576" s="43" t="str">
        <f>IF(B576="","",SUMIF(Transactions!$F$8:$F$3006,B576,Transactions!$N$8:$N$3006))</f>
        <v/>
      </c>
      <c r="E576" s="44" t="str">
        <f>IF(B576="","",SUMIF(Transactions!$F$8:$F$3006,B576,Transactions!$O$8:$O$3006))</f>
        <v/>
      </c>
      <c r="F576" s="45" t="str">
        <f>IF(B576="","",SUMIF(Transactions!$F$8:$F$3006,B576,Transactions!$R$8:$R$3006))</f>
        <v/>
      </c>
      <c r="G576" s="46" t="str">
        <f>IF(B576="","",(C576+F576)-(D576+E576+SUMIF(Transactions!$F$8:$F$3006,B576,Transactions!$Q$8:$Q$3006)))</f>
        <v/>
      </c>
      <c r="H576" s="47" t="str">
        <f>IF(B576="","",IF(G576&gt;0,"OUTSTANDING",IF(G576=0,"SETTLED",IF(SUMIF(Transactions!$F$8:$F$3006,B576,Transactions!$Q$8:$Q$3006)&gt;SUMIF(Transactions!$F$8:$F$3006,B576,Transactions!$R$8:$R$3006),"OWES","OVERPAID"))))</f>
        <v/>
      </c>
      <c r="I576" s="1"/>
    </row>
    <row r="577" spans="1:9" ht="18" customHeight="1" x14ac:dyDescent="0.25">
      <c r="A577" s="48">
        <v>562</v>
      </c>
      <c r="B577" s="49" t="str">
        <f t="array" ref="B577">IFERROR(IF(INDEX(Transactions!$F$8:$F$3006,MATCH(0,COUNTIF($B$11:B576,Transactions!$F$8:$F$3006),0))="","",INDEX(Transactions!$F$8:$F$3006,MATCH(0,COUNTIF($B$11:B576,Transactions!$F$8:$F$3006),0))),"")</f>
        <v/>
      </c>
      <c r="C577" s="50" t="str">
        <f>IF(B577="","",SUMIF(Transactions!$F$8:$F$3006,B577,Transactions!$H$8:$H$3006))</f>
        <v/>
      </c>
      <c r="D577" s="51" t="str">
        <f>IF(B577="","",SUMIF(Transactions!$F$8:$F$3006,B577,Transactions!$N$8:$N$3006))</f>
        <v/>
      </c>
      <c r="E577" s="52" t="str">
        <f>IF(B577="","",SUMIF(Transactions!$F$8:$F$3006,B577,Transactions!$O$8:$O$3006))</f>
        <v/>
      </c>
      <c r="F577" s="53" t="str">
        <f>IF(B577="","",SUMIF(Transactions!$F$8:$F$3006,B577,Transactions!$R$8:$R$3006))</f>
        <v/>
      </c>
      <c r="G577" s="54" t="str">
        <f>IF(B577="","",(C577+F577)-(D577+E577+SUMIF(Transactions!$F$8:$F$3006,B577,Transactions!$Q$8:$Q$3006)))</f>
        <v/>
      </c>
      <c r="H577" s="55" t="str">
        <f>IF(B577="","",IF(G577&gt;0,"OUTSTANDING",IF(G577=0,"SETTLED",IF(SUMIF(Transactions!$F$8:$F$3006,B577,Transactions!$Q$8:$Q$3006)&gt;SUMIF(Transactions!$F$8:$F$3006,B577,Transactions!$R$8:$R$3006),"OWES","OVERPAID"))))</f>
        <v/>
      </c>
      <c r="I577" s="1"/>
    </row>
    <row r="578" spans="1:9" ht="18" customHeight="1" x14ac:dyDescent="0.25">
      <c r="A578" s="40">
        <v>563</v>
      </c>
      <c r="B578" s="41" t="str">
        <f t="array" ref="B578">IFERROR(IF(INDEX(Transactions!$F$8:$F$3006,MATCH(0,COUNTIF($B$11:B577,Transactions!$F$8:$F$3006),0))="","",INDEX(Transactions!$F$8:$F$3006,MATCH(0,COUNTIF($B$11:B577,Transactions!$F$8:$F$3006),0))),"")</f>
        <v/>
      </c>
      <c r="C578" s="42" t="str">
        <f>IF(B578="","",SUMIF(Transactions!$F$8:$F$3006,B578,Transactions!$H$8:$H$3006))</f>
        <v/>
      </c>
      <c r="D578" s="43" t="str">
        <f>IF(B578="","",SUMIF(Transactions!$F$8:$F$3006,B578,Transactions!$N$8:$N$3006))</f>
        <v/>
      </c>
      <c r="E578" s="44" t="str">
        <f>IF(B578="","",SUMIF(Transactions!$F$8:$F$3006,B578,Transactions!$O$8:$O$3006))</f>
        <v/>
      </c>
      <c r="F578" s="45" t="str">
        <f>IF(B578="","",SUMIF(Transactions!$F$8:$F$3006,B578,Transactions!$R$8:$R$3006))</f>
        <v/>
      </c>
      <c r="G578" s="46" t="str">
        <f>IF(B578="","",(C578+F578)-(D578+E578+SUMIF(Transactions!$F$8:$F$3006,B578,Transactions!$Q$8:$Q$3006)))</f>
        <v/>
      </c>
      <c r="H578" s="47" t="str">
        <f>IF(B578="","",IF(G578&gt;0,"OUTSTANDING",IF(G578=0,"SETTLED",IF(SUMIF(Transactions!$F$8:$F$3006,B578,Transactions!$Q$8:$Q$3006)&gt;SUMIF(Transactions!$F$8:$F$3006,B578,Transactions!$R$8:$R$3006),"OWES","OVERPAID"))))</f>
        <v/>
      </c>
      <c r="I578" s="1"/>
    </row>
    <row r="579" spans="1:9" ht="18" customHeight="1" x14ac:dyDescent="0.25">
      <c r="A579" s="48">
        <v>564</v>
      </c>
      <c r="B579" s="49" t="str">
        <f t="array" ref="B579">IFERROR(IF(INDEX(Transactions!$F$8:$F$3006,MATCH(0,COUNTIF($B$11:B578,Transactions!$F$8:$F$3006),0))="","",INDEX(Transactions!$F$8:$F$3006,MATCH(0,COUNTIF($B$11:B578,Transactions!$F$8:$F$3006),0))),"")</f>
        <v/>
      </c>
      <c r="C579" s="50" t="str">
        <f>IF(B579="","",SUMIF(Transactions!$F$8:$F$3006,B579,Transactions!$H$8:$H$3006))</f>
        <v/>
      </c>
      <c r="D579" s="51" t="str">
        <f>IF(B579="","",SUMIF(Transactions!$F$8:$F$3006,B579,Transactions!$N$8:$N$3006))</f>
        <v/>
      </c>
      <c r="E579" s="52" t="str">
        <f>IF(B579="","",SUMIF(Transactions!$F$8:$F$3006,B579,Transactions!$O$8:$O$3006))</f>
        <v/>
      </c>
      <c r="F579" s="53" t="str">
        <f>IF(B579="","",SUMIF(Transactions!$F$8:$F$3006,B579,Transactions!$R$8:$R$3006))</f>
        <v/>
      </c>
      <c r="G579" s="54" t="str">
        <f>IF(B579="","",(C579+F579)-(D579+E579+SUMIF(Transactions!$F$8:$F$3006,B579,Transactions!$Q$8:$Q$3006)))</f>
        <v/>
      </c>
      <c r="H579" s="55" t="str">
        <f>IF(B579="","",IF(G579&gt;0,"OUTSTANDING",IF(G579=0,"SETTLED",IF(SUMIF(Transactions!$F$8:$F$3006,B579,Transactions!$Q$8:$Q$3006)&gt;SUMIF(Transactions!$F$8:$F$3006,B579,Transactions!$R$8:$R$3006),"OWES","OVERPAID"))))</f>
        <v/>
      </c>
      <c r="I579" s="1"/>
    </row>
    <row r="580" spans="1:9" ht="18" customHeight="1" x14ac:dyDescent="0.25">
      <c r="A580" s="40">
        <v>565</v>
      </c>
      <c r="B580" s="41" t="str">
        <f t="array" ref="B580">IFERROR(IF(INDEX(Transactions!$F$8:$F$3006,MATCH(0,COUNTIF($B$11:B579,Transactions!$F$8:$F$3006),0))="","",INDEX(Transactions!$F$8:$F$3006,MATCH(0,COUNTIF($B$11:B579,Transactions!$F$8:$F$3006),0))),"")</f>
        <v/>
      </c>
      <c r="C580" s="42" t="str">
        <f>IF(B580="","",SUMIF(Transactions!$F$8:$F$3006,B580,Transactions!$H$8:$H$3006))</f>
        <v/>
      </c>
      <c r="D580" s="43" t="str">
        <f>IF(B580="","",SUMIF(Transactions!$F$8:$F$3006,B580,Transactions!$N$8:$N$3006))</f>
        <v/>
      </c>
      <c r="E580" s="44" t="str">
        <f>IF(B580="","",SUMIF(Transactions!$F$8:$F$3006,B580,Transactions!$O$8:$O$3006))</f>
        <v/>
      </c>
      <c r="F580" s="45" t="str">
        <f>IF(B580="","",SUMIF(Transactions!$F$8:$F$3006,B580,Transactions!$R$8:$R$3006))</f>
        <v/>
      </c>
      <c r="G580" s="46" t="str">
        <f>IF(B580="","",(C580+F580)-(D580+E580+SUMIF(Transactions!$F$8:$F$3006,B580,Transactions!$Q$8:$Q$3006)))</f>
        <v/>
      </c>
      <c r="H580" s="47" t="str">
        <f>IF(B580="","",IF(G580&gt;0,"OUTSTANDING",IF(G580=0,"SETTLED",IF(SUMIF(Transactions!$F$8:$F$3006,B580,Transactions!$Q$8:$Q$3006)&gt;SUMIF(Transactions!$F$8:$F$3006,B580,Transactions!$R$8:$R$3006),"OWES","OVERPAID"))))</f>
        <v/>
      </c>
      <c r="I580" s="1"/>
    </row>
    <row r="581" spans="1:9" ht="18" customHeight="1" x14ac:dyDescent="0.25">
      <c r="A581" s="48">
        <v>566</v>
      </c>
      <c r="B581" s="49" t="str">
        <f t="array" ref="B581">IFERROR(IF(INDEX(Transactions!$F$8:$F$3006,MATCH(0,COUNTIF($B$11:B580,Transactions!$F$8:$F$3006),0))="","",INDEX(Transactions!$F$8:$F$3006,MATCH(0,COUNTIF($B$11:B580,Transactions!$F$8:$F$3006),0))),"")</f>
        <v/>
      </c>
      <c r="C581" s="50" t="str">
        <f>IF(B581="","",SUMIF(Transactions!$F$8:$F$3006,B581,Transactions!$H$8:$H$3006))</f>
        <v/>
      </c>
      <c r="D581" s="51" t="str">
        <f>IF(B581="","",SUMIF(Transactions!$F$8:$F$3006,B581,Transactions!$N$8:$N$3006))</f>
        <v/>
      </c>
      <c r="E581" s="52" t="str">
        <f>IF(B581="","",SUMIF(Transactions!$F$8:$F$3006,B581,Transactions!$O$8:$O$3006))</f>
        <v/>
      </c>
      <c r="F581" s="53" t="str">
        <f>IF(B581="","",SUMIF(Transactions!$F$8:$F$3006,B581,Transactions!$R$8:$R$3006))</f>
        <v/>
      </c>
      <c r="G581" s="54" t="str">
        <f>IF(B581="","",(C581+F581)-(D581+E581+SUMIF(Transactions!$F$8:$F$3006,B581,Transactions!$Q$8:$Q$3006)))</f>
        <v/>
      </c>
      <c r="H581" s="55" t="str">
        <f>IF(B581="","",IF(G581&gt;0,"OUTSTANDING",IF(G581=0,"SETTLED",IF(SUMIF(Transactions!$F$8:$F$3006,B581,Transactions!$Q$8:$Q$3006)&gt;SUMIF(Transactions!$F$8:$F$3006,B581,Transactions!$R$8:$R$3006),"OWES","OVERPAID"))))</f>
        <v/>
      </c>
      <c r="I581" s="1"/>
    </row>
    <row r="582" spans="1:9" ht="18" customHeight="1" x14ac:dyDescent="0.25">
      <c r="A582" s="40">
        <v>567</v>
      </c>
      <c r="B582" s="41" t="str">
        <f t="array" ref="B582">IFERROR(IF(INDEX(Transactions!$F$8:$F$3006,MATCH(0,COUNTIF($B$11:B581,Transactions!$F$8:$F$3006),0))="","",INDEX(Transactions!$F$8:$F$3006,MATCH(0,COUNTIF($B$11:B581,Transactions!$F$8:$F$3006),0))),"")</f>
        <v/>
      </c>
      <c r="C582" s="42" t="str">
        <f>IF(B582="","",SUMIF(Transactions!$F$8:$F$3006,B582,Transactions!$H$8:$H$3006))</f>
        <v/>
      </c>
      <c r="D582" s="43" t="str">
        <f>IF(B582="","",SUMIF(Transactions!$F$8:$F$3006,B582,Transactions!$N$8:$N$3006))</f>
        <v/>
      </c>
      <c r="E582" s="44" t="str">
        <f>IF(B582="","",SUMIF(Transactions!$F$8:$F$3006,B582,Transactions!$O$8:$O$3006))</f>
        <v/>
      </c>
      <c r="F582" s="45" t="str">
        <f>IF(B582="","",SUMIF(Transactions!$F$8:$F$3006,B582,Transactions!$R$8:$R$3006))</f>
        <v/>
      </c>
      <c r="G582" s="46" t="str">
        <f>IF(B582="","",(C582+F582)-(D582+E582+SUMIF(Transactions!$F$8:$F$3006,B582,Transactions!$Q$8:$Q$3006)))</f>
        <v/>
      </c>
      <c r="H582" s="47" t="str">
        <f>IF(B582="","",IF(G582&gt;0,"OUTSTANDING",IF(G582=0,"SETTLED",IF(SUMIF(Transactions!$F$8:$F$3006,B582,Transactions!$Q$8:$Q$3006)&gt;SUMIF(Transactions!$F$8:$F$3006,B582,Transactions!$R$8:$R$3006),"OWES","OVERPAID"))))</f>
        <v/>
      </c>
      <c r="I582" s="1"/>
    </row>
    <row r="583" spans="1:9" ht="18" customHeight="1" x14ac:dyDescent="0.25">
      <c r="A583" s="48">
        <v>568</v>
      </c>
      <c r="B583" s="49" t="str">
        <f t="array" ref="B583">IFERROR(IF(INDEX(Transactions!$F$8:$F$3006,MATCH(0,COUNTIF($B$11:B582,Transactions!$F$8:$F$3006),0))="","",INDEX(Transactions!$F$8:$F$3006,MATCH(0,COUNTIF($B$11:B582,Transactions!$F$8:$F$3006),0))),"")</f>
        <v/>
      </c>
      <c r="C583" s="50" t="str">
        <f>IF(B583="","",SUMIF(Transactions!$F$8:$F$3006,B583,Transactions!$H$8:$H$3006))</f>
        <v/>
      </c>
      <c r="D583" s="51" t="str">
        <f>IF(B583="","",SUMIF(Transactions!$F$8:$F$3006,B583,Transactions!$N$8:$N$3006))</f>
        <v/>
      </c>
      <c r="E583" s="52" t="str">
        <f>IF(B583="","",SUMIF(Transactions!$F$8:$F$3006,B583,Transactions!$O$8:$O$3006))</f>
        <v/>
      </c>
      <c r="F583" s="53" t="str">
        <f>IF(B583="","",SUMIF(Transactions!$F$8:$F$3006,B583,Transactions!$R$8:$R$3006))</f>
        <v/>
      </c>
      <c r="G583" s="54" t="str">
        <f>IF(B583="","",(C583+F583)-(D583+E583+SUMIF(Transactions!$F$8:$F$3006,B583,Transactions!$Q$8:$Q$3006)))</f>
        <v/>
      </c>
      <c r="H583" s="55" t="str">
        <f>IF(B583="","",IF(G583&gt;0,"OUTSTANDING",IF(G583=0,"SETTLED",IF(SUMIF(Transactions!$F$8:$F$3006,B583,Transactions!$Q$8:$Q$3006)&gt;SUMIF(Transactions!$F$8:$F$3006,B583,Transactions!$R$8:$R$3006),"OWES","OVERPAID"))))</f>
        <v/>
      </c>
      <c r="I583" s="1"/>
    </row>
    <row r="584" spans="1:9" ht="18" customHeight="1" x14ac:dyDescent="0.25">
      <c r="A584" s="40">
        <v>569</v>
      </c>
      <c r="B584" s="41" t="str">
        <f t="array" ref="B584">IFERROR(IF(INDEX(Transactions!$F$8:$F$3006,MATCH(0,COUNTIF($B$11:B583,Transactions!$F$8:$F$3006),0))="","",INDEX(Transactions!$F$8:$F$3006,MATCH(0,COUNTIF($B$11:B583,Transactions!$F$8:$F$3006),0))),"")</f>
        <v/>
      </c>
      <c r="C584" s="42" t="str">
        <f>IF(B584="","",SUMIF(Transactions!$F$8:$F$3006,B584,Transactions!$H$8:$H$3006))</f>
        <v/>
      </c>
      <c r="D584" s="43" t="str">
        <f>IF(B584="","",SUMIF(Transactions!$F$8:$F$3006,B584,Transactions!$N$8:$N$3006))</f>
        <v/>
      </c>
      <c r="E584" s="44" t="str">
        <f>IF(B584="","",SUMIF(Transactions!$F$8:$F$3006,B584,Transactions!$O$8:$O$3006))</f>
        <v/>
      </c>
      <c r="F584" s="45" t="str">
        <f>IF(B584="","",SUMIF(Transactions!$F$8:$F$3006,B584,Transactions!$R$8:$R$3006))</f>
        <v/>
      </c>
      <c r="G584" s="46" t="str">
        <f>IF(B584="","",(C584+F584)-(D584+E584+SUMIF(Transactions!$F$8:$F$3006,B584,Transactions!$Q$8:$Q$3006)))</f>
        <v/>
      </c>
      <c r="H584" s="47" t="str">
        <f>IF(B584="","",IF(G584&gt;0,"OUTSTANDING",IF(G584=0,"SETTLED",IF(SUMIF(Transactions!$F$8:$F$3006,B584,Transactions!$Q$8:$Q$3006)&gt;SUMIF(Transactions!$F$8:$F$3006,B584,Transactions!$R$8:$R$3006),"OWES","OVERPAID"))))</f>
        <v/>
      </c>
      <c r="I584" s="1"/>
    </row>
    <row r="585" spans="1:9" ht="18" customHeight="1" x14ac:dyDescent="0.25">
      <c r="A585" s="48">
        <v>570</v>
      </c>
      <c r="B585" s="49" t="str">
        <f t="array" ref="B585">IFERROR(IF(INDEX(Transactions!$F$8:$F$3006,MATCH(0,COUNTIF($B$11:B584,Transactions!$F$8:$F$3006),0))="","",INDEX(Transactions!$F$8:$F$3006,MATCH(0,COUNTIF($B$11:B584,Transactions!$F$8:$F$3006),0))),"")</f>
        <v/>
      </c>
      <c r="C585" s="50" t="str">
        <f>IF(B585="","",SUMIF(Transactions!$F$8:$F$3006,B585,Transactions!$H$8:$H$3006))</f>
        <v/>
      </c>
      <c r="D585" s="51" t="str">
        <f>IF(B585="","",SUMIF(Transactions!$F$8:$F$3006,B585,Transactions!$N$8:$N$3006))</f>
        <v/>
      </c>
      <c r="E585" s="52" t="str">
        <f>IF(B585="","",SUMIF(Transactions!$F$8:$F$3006,B585,Transactions!$O$8:$O$3006))</f>
        <v/>
      </c>
      <c r="F585" s="53" t="str">
        <f>IF(B585="","",SUMIF(Transactions!$F$8:$F$3006,B585,Transactions!$R$8:$R$3006))</f>
        <v/>
      </c>
      <c r="G585" s="54" t="str">
        <f>IF(B585="","",(C585+F585)-(D585+E585+SUMIF(Transactions!$F$8:$F$3006,B585,Transactions!$Q$8:$Q$3006)))</f>
        <v/>
      </c>
      <c r="H585" s="55" t="str">
        <f>IF(B585="","",IF(G585&gt;0,"OUTSTANDING",IF(G585=0,"SETTLED",IF(SUMIF(Transactions!$F$8:$F$3006,B585,Transactions!$Q$8:$Q$3006)&gt;SUMIF(Transactions!$F$8:$F$3006,B585,Transactions!$R$8:$R$3006),"OWES","OVERPAID"))))</f>
        <v/>
      </c>
      <c r="I585" s="1"/>
    </row>
    <row r="586" spans="1:9" ht="18" customHeight="1" x14ac:dyDescent="0.25">
      <c r="A586" s="40">
        <v>571</v>
      </c>
      <c r="B586" s="41" t="str">
        <f t="array" ref="B586">IFERROR(IF(INDEX(Transactions!$F$8:$F$3006,MATCH(0,COUNTIF($B$11:B585,Transactions!$F$8:$F$3006),0))="","",INDEX(Transactions!$F$8:$F$3006,MATCH(0,COUNTIF($B$11:B585,Transactions!$F$8:$F$3006),0))),"")</f>
        <v/>
      </c>
      <c r="C586" s="42" t="str">
        <f>IF(B586="","",SUMIF(Transactions!$F$8:$F$3006,B586,Transactions!$H$8:$H$3006))</f>
        <v/>
      </c>
      <c r="D586" s="43" t="str">
        <f>IF(B586="","",SUMIF(Transactions!$F$8:$F$3006,B586,Transactions!$N$8:$N$3006))</f>
        <v/>
      </c>
      <c r="E586" s="44" t="str">
        <f>IF(B586="","",SUMIF(Transactions!$F$8:$F$3006,B586,Transactions!$O$8:$O$3006))</f>
        <v/>
      </c>
      <c r="F586" s="45" t="str">
        <f>IF(B586="","",SUMIF(Transactions!$F$8:$F$3006,B586,Transactions!$R$8:$R$3006))</f>
        <v/>
      </c>
      <c r="G586" s="46" t="str">
        <f>IF(B586="","",(C586+F586)-(D586+E586+SUMIF(Transactions!$F$8:$F$3006,B586,Transactions!$Q$8:$Q$3006)))</f>
        <v/>
      </c>
      <c r="H586" s="47" t="str">
        <f>IF(B586="","",IF(G586&gt;0,"OUTSTANDING",IF(G586=0,"SETTLED",IF(SUMIF(Transactions!$F$8:$F$3006,B586,Transactions!$Q$8:$Q$3006)&gt;SUMIF(Transactions!$F$8:$F$3006,B586,Transactions!$R$8:$R$3006),"OWES","OVERPAID"))))</f>
        <v/>
      </c>
      <c r="I586" s="1"/>
    </row>
    <row r="587" spans="1:9" ht="18" customHeight="1" x14ac:dyDescent="0.25">
      <c r="A587" s="48">
        <v>572</v>
      </c>
      <c r="B587" s="49" t="str">
        <f t="array" ref="B587">IFERROR(IF(INDEX(Transactions!$F$8:$F$3006,MATCH(0,COUNTIF($B$11:B586,Transactions!$F$8:$F$3006),0))="","",INDEX(Transactions!$F$8:$F$3006,MATCH(0,COUNTIF($B$11:B586,Transactions!$F$8:$F$3006),0))),"")</f>
        <v/>
      </c>
      <c r="C587" s="50" t="str">
        <f>IF(B587="","",SUMIF(Transactions!$F$8:$F$3006,B587,Transactions!$H$8:$H$3006))</f>
        <v/>
      </c>
      <c r="D587" s="51" t="str">
        <f>IF(B587="","",SUMIF(Transactions!$F$8:$F$3006,B587,Transactions!$N$8:$N$3006))</f>
        <v/>
      </c>
      <c r="E587" s="52" t="str">
        <f>IF(B587="","",SUMIF(Transactions!$F$8:$F$3006,B587,Transactions!$O$8:$O$3006))</f>
        <v/>
      </c>
      <c r="F587" s="53" t="str">
        <f>IF(B587="","",SUMIF(Transactions!$F$8:$F$3006,B587,Transactions!$R$8:$R$3006))</f>
        <v/>
      </c>
      <c r="G587" s="54" t="str">
        <f>IF(B587="","",(C587+F587)-(D587+E587+SUMIF(Transactions!$F$8:$F$3006,B587,Transactions!$Q$8:$Q$3006)))</f>
        <v/>
      </c>
      <c r="H587" s="55" t="str">
        <f>IF(B587="","",IF(G587&gt;0,"OUTSTANDING",IF(G587=0,"SETTLED",IF(SUMIF(Transactions!$F$8:$F$3006,B587,Transactions!$Q$8:$Q$3006)&gt;SUMIF(Transactions!$F$8:$F$3006,B587,Transactions!$R$8:$R$3006),"OWES","OVERPAID"))))</f>
        <v/>
      </c>
      <c r="I587" s="1"/>
    </row>
    <row r="588" spans="1:9" ht="18" customHeight="1" x14ac:dyDescent="0.25">
      <c r="A588" s="40">
        <v>573</v>
      </c>
      <c r="B588" s="41" t="str">
        <f t="array" ref="B588">IFERROR(IF(INDEX(Transactions!$F$8:$F$3006,MATCH(0,COUNTIF($B$11:B587,Transactions!$F$8:$F$3006),0))="","",INDEX(Transactions!$F$8:$F$3006,MATCH(0,COUNTIF($B$11:B587,Transactions!$F$8:$F$3006),0))),"")</f>
        <v/>
      </c>
      <c r="C588" s="42" t="str">
        <f>IF(B588="","",SUMIF(Transactions!$F$8:$F$3006,B588,Transactions!$H$8:$H$3006))</f>
        <v/>
      </c>
      <c r="D588" s="43" t="str">
        <f>IF(B588="","",SUMIF(Transactions!$F$8:$F$3006,B588,Transactions!$N$8:$N$3006))</f>
        <v/>
      </c>
      <c r="E588" s="44" t="str">
        <f>IF(B588="","",SUMIF(Transactions!$F$8:$F$3006,B588,Transactions!$O$8:$O$3006))</f>
        <v/>
      </c>
      <c r="F588" s="45" t="str">
        <f>IF(B588="","",SUMIF(Transactions!$F$8:$F$3006,B588,Transactions!$R$8:$R$3006))</f>
        <v/>
      </c>
      <c r="G588" s="46" t="str">
        <f>IF(B588="","",(C588+F588)-(D588+E588+SUMIF(Transactions!$F$8:$F$3006,B588,Transactions!$Q$8:$Q$3006)))</f>
        <v/>
      </c>
      <c r="H588" s="47" t="str">
        <f>IF(B588="","",IF(G588&gt;0,"OUTSTANDING",IF(G588=0,"SETTLED",IF(SUMIF(Transactions!$F$8:$F$3006,B588,Transactions!$Q$8:$Q$3006)&gt;SUMIF(Transactions!$F$8:$F$3006,B588,Transactions!$R$8:$R$3006),"OWES","OVERPAID"))))</f>
        <v/>
      </c>
      <c r="I588" s="1"/>
    </row>
    <row r="589" spans="1:9" ht="18" customHeight="1" x14ac:dyDescent="0.25">
      <c r="A589" s="48">
        <v>574</v>
      </c>
      <c r="B589" s="49" t="str">
        <f t="array" ref="B589">IFERROR(IF(INDEX(Transactions!$F$8:$F$3006,MATCH(0,COUNTIF($B$11:B588,Transactions!$F$8:$F$3006),0))="","",INDEX(Transactions!$F$8:$F$3006,MATCH(0,COUNTIF($B$11:B588,Transactions!$F$8:$F$3006),0))),"")</f>
        <v/>
      </c>
      <c r="C589" s="50" t="str">
        <f>IF(B589="","",SUMIF(Transactions!$F$8:$F$3006,B589,Transactions!$H$8:$H$3006))</f>
        <v/>
      </c>
      <c r="D589" s="51" t="str">
        <f>IF(B589="","",SUMIF(Transactions!$F$8:$F$3006,B589,Transactions!$N$8:$N$3006))</f>
        <v/>
      </c>
      <c r="E589" s="52" t="str">
        <f>IF(B589="","",SUMIF(Transactions!$F$8:$F$3006,B589,Transactions!$O$8:$O$3006))</f>
        <v/>
      </c>
      <c r="F589" s="53" t="str">
        <f>IF(B589="","",SUMIF(Transactions!$F$8:$F$3006,B589,Transactions!$R$8:$R$3006))</f>
        <v/>
      </c>
      <c r="G589" s="54" t="str">
        <f>IF(B589="","",(C589+F589)-(D589+E589+SUMIF(Transactions!$F$8:$F$3006,B589,Transactions!$Q$8:$Q$3006)))</f>
        <v/>
      </c>
      <c r="H589" s="55" t="str">
        <f>IF(B589="","",IF(G589&gt;0,"OUTSTANDING",IF(G589=0,"SETTLED",IF(SUMIF(Transactions!$F$8:$F$3006,B589,Transactions!$Q$8:$Q$3006)&gt;SUMIF(Transactions!$F$8:$F$3006,B589,Transactions!$R$8:$R$3006),"OWES","OVERPAID"))))</f>
        <v/>
      </c>
      <c r="I589" s="1"/>
    </row>
    <row r="590" spans="1:9" ht="18" customHeight="1" x14ac:dyDescent="0.25">
      <c r="A590" s="40">
        <v>575</v>
      </c>
      <c r="B590" s="41" t="str">
        <f t="array" ref="B590">IFERROR(IF(INDEX(Transactions!$F$8:$F$3006,MATCH(0,COUNTIF($B$11:B589,Transactions!$F$8:$F$3006),0))="","",INDEX(Transactions!$F$8:$F$3006,MATCH(0,COUNTIF($B$11:B589,Transactions!$F$8:$F$3006),0))),"")</f>
        <v/>
      </c>
      <c r="C590" s="42" t="str">
        <f>IF(B590="","",SUMIF(Transactions!$F$8:$F$3006,B590,Transactions!$H$8:$H$3006))</f>
        <v/>
      </c>
      <c r="D590" s="43" t="str">
        <f>IF(B590="","",SUMIF(Transactions!$F$8:$F$3006,B590,Transactions!$N$8:$N$3006))</f>
        <v/>
      </c>
      <c r="E590" s="44" t="str">
        <f>IF(B590="","",SUMIF(Transactions!$F$8:$F$3006,B590,Transactions!$O$8:$O$3006))</f>
        <v/>
      </c>
      <c r="F590" s="45" t="str">
        <f>IF(B590="","",SUMIF(Transactions!$F$8:$F$3006,B590,Transactions!$R$8:$R$3006))</f>
        <v/>
      </c>
      <c r="G590" s="46" t="str">
        <f>IF(B590="","",(C590+F590)-(D590+E590+SUMIF(Transactions!$F$8:$F$3006,B590,Transactions!$Q$8:$Q$3006)))</f>
        <v/>
      </c>
      <c r="H590" s="47" t="str">
        <f>IF(B590="","",IF(G590&gt;0,"OUTSTANDING",IF(G590=0,"SETTLED",IF(SUMIF(Transactions!$F$8:$F$3006,B590,Transactions!$Q$8:$Q$3006)&gt;SUMIF(Transactions!$F$8:$F$3006,B590,Transactions!$R$8:$R$3006),"OWES","OVERPAID"))))</f>
        <v/>
      </c>
      <c r="I590" s="1"/>
    </row>
    <row r="591" spans="1:9" ht="18" customHeight="1" x14ac:dyDescent="0.25">
      <c r="A591" s="48">
        <v>576</v>
      </c>
      <c r="B591" s="49" t="str">
        <f t="array" ref="B591">IFERROR(IF(INDEX(Transactions!$F$8:$F$3006,MATCH(0,COUNTIF($B$11:B590,Transactions!$F$8:$F$3006),0))="","",INDEX(Transactions!$F$8:$F$3006,MATCH(0,COUNTIF($B$11:B590,Transactions!$F$8:$F$3006),0))),"")</f>
        <v/>
      </c>
      <c r="C591" s="50" t="str">
        <f>IF(B591="","",SUMIF(Transactions!$F$8:$F$3006,B591,Transactions!$H$8:$H$3006))</f>
        <v/>
      </c>
      <c r="D591" s="51" t="str">
        <f>IF(B591="","",SUMIF(Transactions!$F$8:$F$3006,B591,Transactions!$N$8:$N$3006))</f>
        <v/>
      </c>
      <c r="E591" s="52" t="str">
        <f>IF(B591="","",SUMIF(Transactions!$F$8:$F$3006,B591,Transactions!$O$8:$O$3006))</f>
        <v/>
      </c>
      <c r="F591" s="53" t="str">
        <f>IF(B591="","",SUMIF(Transactions!$F$8:$F$3006,B591,Transactions!$R$8:$R$3006))</f>
        <v/>
      </c>
      <c r="G591" s="54" t="str">
        <f>IF(B591="","",(C591+F591)-(D591+E591+SUMIF(Transactions!$F$8:$F$3006,B591,Transactions!$Q$8:$Q$3006)))</f>
        <v/>
      </c>
      <c r="H591" s="55" t="str">
        <f>IF(B591="","",IF(G591&gt;0,"OUTSTANDING",IF(G591=0,"SETTLED",IF(SUMIF(Transactions!$F$8:$F$3006,B591,Transactions!$Q$8:$Q$3006)&gt;SUMIF(Transactions!$F$8:$F$3006,B591,Transactions!$R$8:$R$3006),"OWES","OVERPAID"))))</f>
        <v/>
      </c>
      <c r="I591" s="1"/>
    </row>
    <row r="592" spans="1:9" ht="18" customHeight="1" x14ac:dyDescent="0.25">
      <c r="A592" s="40">
        <v>577</v>
      </c>
      <c r="B592" s="41" t="str">
        <f t="array" ref="B592">IFERROR(IF(INDEX(Transactions!$F$8:$F$3006,MATCH(0,COUNTIF($B$11:B591,Transactions!$F$8:$F$3006),0))="","",INDEX(Transactions!$F$8:$F$3006,MATCH(0,COUNTIF($B$11:B591,Transactions!$F$8:$F$3006),0))),"")</f>
        <v/>
      </c>
      <c r="C592" s="42" t="str">
        <f>IF(B592="","",SUMIF(Transactions!$F$8:$F$3006,B592,Transactions!$H$8:$H$3006))</f>
        <v/>
      </c>
      <c r="D592" s="43" t="str">
        <f>IF(B592="","",SUMIF(Transactions!$F$8:$F$3006,B592,Transactions!$N$8:$N$3006))</f>
        <v/>
      </c>
      <c r="E592" s="44" t="str">
        <f>IF(B592="","",SUMIF(Transactions!$F$8:$F$3006,B592,Transactions!$O$8:$O$3006))</f>
        <v/>
      </c>
      <c r="F592" s="45" t="str">
        <f>IF(B592="","",SUMIF(Transactions!$F$8:$F$3006,B592,Transactions!$R$8:$R$3006))</f>
        <v/>
      </c>
      <c r="G592" s="46" t="str">
        <f>IF(B592="","",(C592+F592)-(D592+E592+SUMIF(Transactions!$F$8:$F$3006,B592,Transactions!$Q$8:$Q$3006)))</f>
        <v/>
      </c>
      <c r="H592" s="47" t="str">
        <f>IF(B592="","",IF(G592&gt;0,"OUTSTANDING",IF(G592=0,"SETTLED",IF(SUMIF(Transactions!$F$8:$F$3006,B592,Transactions!$Q$8:$Q$3006)&gt;SUMIF(Transactions!$F$8:$F$3006,B592,Transactions!$R$8:$R$3006),"OWES","OVERPAID"))))</f>
        <v/>
      </c>
      <c r="I592" s="1"/>
    </row>
    <row r="593" spans="1:9" ht="18" customHeight="1" x14ac:dyDescent="0.25">
      <c r="A593" s="48">
        <v>578</v>
      </c>
      <c r="B593" s="49" t="str">
        <f t="array" ref="B593">IFERROR(IF(INDEX(Transactions!$F$8:$F$3006,MATCH(0,COUNTIF($B$11:B592,Transactions!$F$8:$F$3006),0))="","",INDEX(Transactions!$F$8:$F$3006,MATCH(0,COUNTIF($B$11:B592,Transactions!$F$8:$F$3006),0))),"")</f>
        <v/>
      </c>
      <c r="C593" s="50" t="str">
        <f>IF(B593="","",SUMIF(Transactions!$F$8:$F$3006,B593,Transactions!$H$8:$H$3006))</f>
        <v/>
      </c>
      <c r="D593" s="51" t="str">
        <f>IF(B593="","",SUMIF(Transactions!$F$8:$F$3006,B593,Transactions!$N$8:$N$3006))</f>
        <v/>
      </c>
      <c r="E593" s="52" t="str">
        <f>IF(B593="","",SUMIF(Transactions!$F$8:$F$3006,B593,Transactions!$O$8:$O$3006))</f>
        <v/>
      </c>
      <c r="F593" s="53" t="str">
        <f>IF(B593="","",SUMIF(Transactions!$F$8:$F$3006,B593,Transactions!$R$8:$R$3006))</f>
        <v/>
      </c>
      <c r="G593" s="54" t="str">
        <f>IF(B593="","",(C593+F593)-(D593+E593+SUMIF(Transactions!$F$8:$F$3006,B593,Transactions!$Q$8:$Q$3006)))</f>
        <v/>
      </c>
      <c r="H593" s="55" t="str">
        <f>IF(B593="","",IF(G593&gt;0,"OUTSTANDING",IF(G593=0,"SETTLED",IF(SUMIF(Transactions!$F$8:$F$3006,B593,Transactions!$Q$8:$Q$3006)&gt;SUMIF(Transactions!$F$8:$F$3006,B593,Transactions!$R$8:$R$3006),"OWES","OVERPAID"))))</f>
        <v/>
      </c>
      <c r="I593" s="1"/>
    </row>
    <row r="594" spans="1:9" ht="18" customHeight="1" x14ac:dyDescent="0.25">
      <c r="A594" s="40">
        <v>579</v>
      </c>
      <c r="B594" s="41" t="str">
        <f t="array" ref="B594">IFERROR(IF(INDEX(Transactions!$F$8:$F$3006,MATCH(0,COUNTIF($B$11:B593,Transactions!$F$8:$F$3006),0))="","",INDEX(Transactions!$F$8:$F$3006,MATCH(0,COUNTIF($B$11:B593,Transactions!$F$8:$F$3006),0))),"")</f>
        <v/>
      </c>
      <c r="C594" s="42" t="str">
        <f>IF(B594="","",SUMIF(Transactions!$F$8:$F$3006,B594,Transactions!$H$8:$H$3006))</f>
        <v/>
      </c>
      <c r="D594" s="43" t="str">
        <f>IF(B594="","",SUMIF(Transactions!$F$8:$F$3006,B594,Transactions!$N$8:$N$3006))</f>
        <v/>
      </c>
      <c r="E594" s="44" t="str">
        <f>IF(B594="","",SUMIF(Transactions!$F$8:$F$3006,B594,Transactions!$O$8:$O$3006))</f>
        <v/>
      </c>
      <c r="F594" s="45" t="str">
        <f>IF(B594="","",SUMIF(Transactions!$F$8:$F$3006,B594,Transactions!$R$8:$R$3006))</f>
        <v/>
      </c>
      <c r="G594" s="46" t="str">
        <f>IF(B594="","",(C594+F594)-(D594+E594+SUMIF(Transactions!$F$8:$F$3006,B594,Transactions!$Q$8:$Q$3006)))</f>
        <v/>
      </c>
      <c r="H594" s="47" t="str">
        <f>IF(B594="","",IF(G594&gt;0,"OUTSTANDING",IF(G594=0,"SETTLED",IF(SUMIF(Transactions!$F$8:$F$3006,B594,Transactions!$Q$8:$Q$3006)&gt;SUMIF(Transactions!$F$8:$F$3006,B594,Transactions!$R$8:$R$3006),"OWES","OVERPAID"))))</f>
        <v/>
      </c>
      <c r="I594" s="1"/>
    </row>
    <row r="595" spans="1:9" ht="18" customHeight="1" x14ac:dyDescent="0.25">
      <c r="A595" s="48">
        <v>580</v>
      </c>
      <c r="B595" s="49" t="str">
        <f t="array" ref="B595">IFERROR(IF(INDEX(Transactions!$F$8:$F$3006,MATCH(0,COUNTIF($B$11:B594,Transactions!$F$8:$F$3006),0))="","",INDEX(Transactions!$F$8:$F$3006,MATCH(0,COUNTIF($B$11:B594,Transactions!$F$8:$F$3006),0))),"")</f>
        <v/>
      </c>
      <c r="C595" s="50" t="str">
        <f>IF(B595="","",SUMIF(Transactions!$F$8:$F$3006,B595,Transactions!$H$8:$H$3006))</f>
        <v/>
      </c>
      <c r="D595" s="51" t="str">
        <f>IF(B595="","",SUMIF(Transactions!$F$8:$F$3006,B595,Transactions!$N$8:$N$3006))</f>
        <v/>
      </c>
      <c r="E595" s="52" t="str">
        <f>IF(B595="","",SUMIF(Transactions!$F$8:$F$3006,B595,Transactions!$O$8:$O$3006))</f>
        <v/>
      </c>
      <c r="F595" s="53" t="str">
        <f>IF(B595="","",SUMIF(Transactions!$F$8:$F$3006,B595,Transactions!$R$8:$R$3006))</f>
        <v/>
      </c>
      <c r="G595" s="54" t="str">
        <f>IF(B595="","",(C595+F595)-(D595+E595+SUMIF(Transactions!$F$8:$F$3006,B595,Transactions!$Q$8:$Q$3006)))</f>
        <v/>
      </c>
      <c r="H595" s="55" t="str">
        <f>IF(B595="","",IF(G595&gt;0,"OUTSTANDING",IF(G595=0,"SETTLED",IF(SUMIF(Transactions!$F$8:$F$3006,B595,Transactions!$Q$8:$Q$3006)&gt;SUMIF(Transactions!$F$8:$F$3006,B595,Transactions!$R$8:$R$3006),"OWES","OVERPAID"))))</f>
        <v/>
      </c>
      <c r="I595" s="1"/>
    </row>
    <row r="596" spans="1:9" ht="18" customHeight="1" x14ac:dyDescent="0.25">
      <c r="A596" s="40">
        <v>581</v>
      </c>
      <c r="B596" s="41" t="str">
        <f t="array" ref="B596">IFERROR(IF(INDEX(Transactions!$F$8:$F$3006,MATCH(0,COUNTIF($B$11:B595,Transactions!$F$8:$F$3006),0))="","",INDEX(Transactions!$F$8:$F$3006,MATCH(0,COUNTIF($B$11:B595,Transactions!$F$8:$F$3006),0))),"")</f>
        <v/>
      </c>
      <c r="C596" s="42" t="str">
        <f>IF(B596="","",SUMIF(Transactions!$F$8:$F$3006,B596,Transactions!$H$8:$H$3006))</f>
        <v/>
      </c>
      <c r="D596" s="43" t="str">
        <f>IF(B596="","",SUMIF(Transactions!$F$8:$F$3006,B596,Transactions!$N$8:$N$3006))</f>
        <v/>
      </c>
      <c r="E596" s="44" t="str">
        <f>IF(B596="","",SUMIF(Transactions!$F$8:$F$3006,B596,Transactions!$O$8:$O$3006))</f>
        <v/>
      </c>
      <c r="F596" s="45" t="str">
        <f>IF(B596="","",SUMIF(Transactions!$F$8:$F$3006,B596,Transactions!$R$8:$R$3006))</f>
        <v/>
      </c>
      <c r="G596" s="46" t="str">
        <f>IF(B596="","",(C596+F596)-(D596+E596+SUMIF(Transactions!$F$8:$F$3006,B596,Transactions!$Q$8:$Q$3006)))</f>
        <v/>
      </c>
      <c r="H596" s="47" t="str">
        <f>IF(B596="","",IF(G596&gt;0,"OUTSTANDING",IF(G596=0,"SETTLED",IF(SUMIF(Transactions!$F$8:$F$3006,B596,Transactions!$Q$8:$Q$3006)&gt;SUMIF(Transactions!$F$8:$F$3006,B596,Transactions!$R$8:$R$3006),"OWES","OVERPAID"))))</f>
        <v/>
      </c>
      <c r="I596" s="1"/>
    </row>
    <row r="597" spans="1:9" ht="18" customHeight="1" x14ac:dyDescent="0.25">
      <c r="A597" s="48">
        <v>582</v>
      </c>
      <c r="B597" s="49" t="str">
        <f t="array" ref="B597">IFERROR(IF(INDEX(Transactions!$F$8:$F$3006,MATCH(0,COUNTIF($B$11:B596,Transactions!$F$8:$F$3006),0))="","",INDEX(Transactions!$F$8:$F$3006,MATCH(0,COUNTIF($B$11:B596,Transactions!$F$8:$F$3006),0))),"")</f>
        <v/>
      </c>
      <c r="C597" s="50" t="str">
        <f>IF(B597="","",SUMIF(Transactions!$F$8:$F$3006,B597,Transactions!$H$8:$H$3006))</f>
        <v/>
      </c>
      <c r="D597" s="51" t="str">
        <f>IF(B597="","",SUMIF(Transactions!$F$8:$F$3006,B597,Transactions!$N$8:$N$3006))</f>
        <v/>
      </c>
      <c r="E597" s="52" t="str">
        <f>IF(B597="","",SUMIF(Transactions!$F$8:$F$3006,B597,Transactions!$O$8:$O$3006))</f>
        <v/>
      </c>
      <c r="F597" s="53" t="str">
        <f>IF(B597="","",SUMIF(Transactions!$F$8:$F$3006,B597,Transactions!$R$8:$R$3006))</f>
        <v/>
      </c>
      <c r="G597" s="54" t="str">
        <f>IF(B597="","",(C597+F597)-(D597+E597+SUMIF(Transactions!$F$8:$F$3006,B597,Transactions!$Q$8:$Q$3006)))</f>
        <v/>
      </c>
      <c r="H597" s="55" t="str">
        <f>IF(B597="","",IF(G597&gt;0,"OUTSTANDING",IF(G597=0,"SETTLED",IF(SUMIF(Transactions!$F$8:$F$3006,B597,Transactions!$Q$8:$Q$3006)&gt;SUMIF(Transactions!$F$8:$F$3006,B597,Transactions!$R$8:$R$3006),"OWES","OVERPAID"))))</f>
        <v/>
      </c>
      <c r="I597" s="1"/>
    </row>
    <row r="598" spans="1:9" ht="18" customHeight="1" x14ac:dyDescent="0.25">
      <c r="A598" s="40">
        <v>583</v>
      </c>
      <c r="B598" s="41" t="str">
        <f t="array" ref="B598">IFERROR(IF(INDEX(Transactions!$F$8:$F$3006,MATCH(0,COUNTIF($B$11:B597,Transactions!$F$8:$F$3006),0))="","",INDEX(Transactions!$F$8:$F$3006,MATCH(0,COUNTIF($B$11:B597,Transactions!$F$8:$F$3006),0))),"")</f>
        <v/>
      </c>
      <c r="C598" s="42" t="str">
        <f>IF(B598="","",SUMIF(Transactions!$F$8:$F$3006,B598,Transactions!$H$8:$H$3006))</f>
        <v/>
      </c>
      <c r="D598" s="43" t="str">
        <f>IF(B598="","",SUMIF(Transactions!$F$8:$F$3006,B598,Transactions!$N$8:$N$3006))</f>
        <v/>
      </c>
      <c r="E598" s="44" t="str">
        <f>IF(B598="","",SUMIF(Transactions!$F$8:$F$3006,B598,Transactions!$O$8:$O$3006))</f>
        <v/>
      </c>
      <c r="F598" s="45" t="str">
        <f>IF(B598="","",SUMIF(Transactions!$F$8:$F$3006,B598,Transactions!$R$8:$R$3006))</f>
        <v/>
      </c>
      <c r="G598" s="46" t="str">
        <f>IF(B598="","",(C598+F598)-(D598+E598+SUMIF(Transactions!$F$8:$F$3006,B598,Transactions!$Q$8:$Q$3006)))</f>
        <v/>
      </c>
      <c r="H598" s="47" t="str">
        <f>IF(B598="","",IF(G598&gt;0,"OUTSTANDING",IF(G598=0,"SETTLED",IF(SUMIF(Transactions!$F$8:$F$3006,B598,Transactions!$Q$8:$Q$3006)&gt;SUMIF(Transactions!$F$8:$F$3006,B598,Transactions!$R$8:$R$3006),"OWES","OVERPAID"))))</f>
        <v/>
      </c>
      <c r="I598" s="1"/>
    </row>
    <row r="599" spans="1:9" ht="18" customHeight="1" x14ac:dyDescent="0.25">
      <c r="A599" s="48">
        <v>584</v>
      </c>
      <c r="B599" s="49" t="str">
        <f t="array" ref="B599">IFERROR(IF(INDEX(Transactions!$F$8:$F$3006,MATCH(0,COUNTIF($B$11:B598,Transactions!$F$8:$F$3006),0))="","",INDEX(Transactions!$F$8:$F$3006,MATCH(0,COUNTIF($B$11:B598,Transactions!$F$8:$F$3006),0))),"")</f>
        <v/>
      </c>
      <c r="C599" s="50" t="str">
        <f>IF(B599="","",SUMIF(Transactions!$F$8:$F$3006,B599,Transactions!$H$8:$H$3006))</f>
        <v/>
      </c>
      <c r="D599" s="51" t="str">
        <f>IF(B599="","",SUMIF(Transactions!$F$8:$F$3006,B599,Transactions!$N$8:$N$3006))</f>
        <v/>
      </c>
      <c r="E599" s="52" t="str">
        <f>IF(B599="","",SUMIF(Transactions!$F$8:$F$3006,B599,Transactions!$O$8:$O$3006))</f>
        <v/>
      </c>
      <c r="F599" s="53" t="str">
        <f>IF(B599="","",SUMIF(Transactions!$F$8:$F$3006,B599,Transactions!$R$8:$R$3006))</f>
        <v/>
      </c>
      <c r="G599" s="54" t="str">
        <f>IF(B599="","",(C599+F599)-(D599+E599+SUMIF(Transactions!$F$8:$F$3006,B599,Transactions!$Q$8:$Q$3006)))</f>
        <v/>
      </c>
      <c r="H599" s="55" t="str">
        <f>IF(B599="","",IF(G599&gt;0,"OUTSTANDING",IF(G599=0,"SETTLED",IF(SUMIF(Transactions!$F$8:$F$3006,B599,Transactions!$Q$8:$Q$3006)&gt;SUMIF(Transactions!$F$8:$F$3006,B599,Transactions!$R$8:$R$3006),"OWES","OVERPAID"))))</f>
        <v/>
      </c>
      <c r="I599" s="1"/>
    </row>
    <row r="600" spans="1:9" ht="18" customHeight="1" x14ac:dyDescent="0.25">
      <c r="A600" s="40">
        <v>585</v>
      </c>
      <c r="B600" s="41" t="str">
        <f t="array" ref="B600">IFERROR(IF(INDEX(Transactions!$F$8:$F$3006,MATCH(0,COUNTIF($B$11:B599,Transactions!$F$8:$F$3006),0))="","",INDEX(Transactions!$F$8:$F$3006,MATCH(0,COUNTIF($B$11:B599,Transactions!$F$8:$F$3006),0))),"")</f>
        <v/>
      </c>
      <c r="C600" s="42" t="str">
        <f>IF(B600="","",SUMIF(Transactions!$F$8:$F$3006,B600,Transactions!$H$8:$H$3006))</f>
        <v/>
      </c>
      <c r="D600" s="43" t="str">
        <f>IF(B600="","",SUMIF(Transactions!$F$8:$F$3006,B600,Transactions!$N$8:$N$3006))</f>
        <v/>
      </c>
      <c r="E600" s="44" t="str">
        <f>IF(B600="","",SUMIF(Transactions!$F$8:$F$3006,B600,Transactions!$O$8:$O$3006))</f>
        <v/>
      </c>
      <c r="F600" s="45" t="str">
        <f>IF(B600="","",SUMIF(Transactions!$F$8:$F$3006,B600,Transactions!$R$8:$R$3006))</f>
        <v/>
      </c>
      <c r="G600" s="46" t="str">
        <f>IF(B600="","",(C600+F600)-(D600+E600+SUMIF(Transactions!$F$8:$F$3006,B600,Transactions!$Q$8:$Q$3006)))</f>
        <v/>
      </c>
      <c r="H600" s="47" t="str">
        <f>IF(B600="","",IF(G600&gt;0,"OUTSTANDING",IF(G600=0,"SETTLED",IF(SUMIF(Transactions!$F$8:$F$3006,B600,Transactions!$Q$8:$Q$3006)&gt;SUMIF(Transactions!$F$8:$F$3006,B600,Transactions!$R$8:$R$3006),"OWES","OVERPAID"))))</f>
        <v/>
      </c>
      <c r="I600" s="1"/>
    </row>
    <row r="601" spans="1:9" ht="18" customHeight="1" x14ac:dyDescent="0.25">
      <c r="A601" s="48">
        <v>586</v>
      </c>
      <c r="B601" s="49" t="str">
        <f t="array" ref="B601">IFERROR(IF(INDEX(Transactions!$F$8:$F$3006,MATCH(0,COUNTIF($B$11:B600,Transactions!$F$8:$F$3006),0))="","",INDEX(Transactions!$F$8:$F$3006,MATCH(0,COUNTIF($B$11:B600,Transactions!$F$8:$F$3006),0))),"")</f>
        <v/>
      </c>
      <c r="C601" s="50" t="str">
        <f>IF(B601="","",SUMIF(Transactions!$F$8:$F$3006,B601,Transactions!$H$8:$H$3006))</f>
        <v/>
      </c>
      <c r="D601" s="51" t="str">
        <f>IF(B601="","",SUMIF(Transactions!$F$8:$F$3006,B601,Transactions!$N$8:$N$3006))</f>
        <v/>
      </c>
      <c r="E601" s="52" t="str">
        <f>IF(B601="","",SUMIF(Transactions!$F$8:$F$3006,B601,Transactions!$O$8:$O$3006))</f>
        <v/>
      </c>
      <c r="F601" s="53" t="str">
        <f>IF(B601="","",SUMIF(Transactions!$F$8:$F$3006,B601,Transactions!$R$8:$R$3006))</f>
        <v/>
      </c>
      <c r="G601" s="54" t="str">
        <f>IF(B601="","",(C601+F601)-(D601+E601+SUMIF(Transactions!$F$8:$F$3006,B601,Transactions!$Q$8:$Q$3006)))</f>
        <v/>
      </c>
      <c r="H601" s="55" t="str">
        <f>IF(B601="","",IF(G601&gt;0,"OUTSTANDING",IF(G601=0,"SETTLED",IF(SUMIF(Transactions!$F$8:$F$3006,B601,Transactions!$Q$8:$Q$3006)&gt;SUMIF(Transactions!$F$8:$F$3006,B601,Transactions!$R$8:$R$3006),"OWES","OVERPAID"))))</f>
        <v/>
      </c>
      <c r="I601" s="1"/>
    </row>
    <row r="602" spans="1:9" ht="18" customHeight="1" x14ac:dyDescent="0.25">
      <c r="A602" s="40">
        <v>587</v>
      </c>
      <c r="B602" s="41" t="str">
        <f t="array" ref="B602">IFERROR(IF(INDEX(Transactions!$F$8:$F$3006,MATCH(0,COUNTIF($B$11:B601,Transactions!$F$8:$F$3006),0))="","",INDEX(Transactions!$F$8:$F$3006,MATCH(0,COUNTIF($B$11:B601,Transactions!$F$8:$F$3006),0))),"")</f>
        <v/>
      </c>
      <c r="C602" s="42" t="str">
        <f>IF(B602="","",SUMIF(Transactions!$F$8:$F$3006,B602,Transactions!$H$8:$H$3006))</f>
        <v/>
      </c>
      <c r="D602" s="43" t="str">
        <f>IF(B602="","",SUMIF(Transactions!$F$8:$F$3006,B602,Transactions!$N$8:$N$3006))</f>
        <v/>
      </c>
      <c r="E602" s="44" t="str">
        <f>IF(B602="","",SUMIF(Transactions!$F$8:$F$3006,B602,Transactions!$O$8:$O$3006))</f>
        <v/>
      </c>
      <c r="F602" s="45" t="str">
        <f>IF(B602="","",SUMIF(Transactions!$F$8:$F$3006,B602,Transactions!$R$8:$R$3006))</f>
        <v/>
      </c>
      <c r="G602" s="46" t="str">
        <f>IF(B602="","",(C602+F602)-(D602+E602+SUMIF(Transactions!$F$8:$F$3006,B602,Transactions!$Q$8:$Q$3006)))</f>
        <v/>
      </c>
      <c r="H602" s="47" t="str">
        <f>IF(B602="","",IF(G602&gt;0,"OUTSTANDING",IF(G602=0,"SETTLED",IF(SUMIF(Transactions!$F$8:$F$3006,B602,Transactions!$Q$8:$Q$3006)&gt;SUMIF(Transactions!$F$8:$F$3006,B602,Transactions!$R$8:$R$3006),"OWES","OVERPAID"))))</f>
        <v/>
      </c>
      <c r="I602" s="1"/>
    </row>
    <row r="603" spans="1:9" ht="18" customHeight="1" x14ac:dyDescent="0.25">
      <c r="A603" s="48">
        <v>588</v>
      </c>
      <c r="B603" s="49" t="str">
        <f t="array" ref="B603">IFERROR(IF(INDEX(Transactions!$F$8:$F$3006,MATCH(0,COUNTIF($B$11:B602,Transactions!$F$8:$F$3006),0))="","",INDEX(Transactions!$F$8:$F$3006,MATCH(0,COUNTIF($B$11:B602,Transactions!$F$8:$F$3006),0))),"")</f>
        <v/>
      </c>
      <c r="C603" s="50" t="str">
        <f>IF(B603="","",SUMIF(Transactions!$F$8:$F$3006,B603,Transactions!$H$8:$H$3006))</f>
        <v/>
      </c>
      <c r="D603" s="51" t="str">
        <f>IF(B603="","",SUMIF(Transactions!$F$8:$F$3006,B603,Transactions!$N$8:$N$3006))</f>
        <v/>
      </c>
      <c r="E603" s="52" t="str">
        <f>IF(B603="","",SUMIF(Transactions!$F$8:$F$3006,B603,Transactions!$O$8:$O$3006))</f>
        <v/>
      </c>
      <c r="F603" s="53" t="str">
        <f>IF(B603="","",SUMIF(Transactions!$F$8:$F$3006,B603,Transactions!$R$8:$R$3006))</f>
        <v/>
      </c>
      <c r="G603" s="54" t="str">
        <f>IF(B603="","",(C603+F603)-(D603+E603+SUMIF(Transactions!$F$8:$F$3006,B603,Transactions!$Q$8:$Q$3006)))</f>
        <v/>
      </c>
      <c r="H603" s="55" t="str">
        <f>IF(B603="","",IF(G603&gt;0,"OUTSTANDING",IF(G603=0,"SETTLED",IF(SUMIF(Transactions!$F$8:$F$3006,B603,Transactions!$Q$8:$Q$3006)&gt;SUMIF(Transactions!$F$8:$F$3006,B603,Transactions!$R$8:$R$3006),"OWES","OVERPAID"))))</f>
        <v/>
      </c>
      <c r="I603" s="1"/>
    </row>
    <row r="604" spans="1:9" ht="18" customHeight="1" x14ac:dyDescent="0.25">
      <c r="A604" s="40">
        <v>589</v>
      </c>
      <c r="B604" s="41" t="str">
        <f t="array" ref="B604">IFERROR(IF(INDEX(Transactions!$F$8:$F$3006,MATCH(0,COUNTIF($B$11:B603,Transactions!$F$8:$F$3006),0))="","",INDEX(Transactions!$F$8:$F$3006,MATCH(0,COUNTIF($B$11:B603,Transactions!$F$8:$F$3006),0))),"")</f>
        <v/>
      </c>
      <c r="C604" s="42" t="str">
        <f>IF(B604="","",SUMIF(Transactions!$F$8:$F$3006,B604,Transactions!$H$8:$H$3006))</f>
        <v/>
      </c>
      <c r="D604" s="43" t="str">
        <f>IF(B604="","",SUMIF(Transactions!$F$8:$F$3006,B604,Transactions!$N$8:$N$3006))</f>
        <v/>
      </c>
      <c r="E604" s="44" t="str">
        <f>IF(B604="","",SUMIF(Transactions!$F$8:$F$3006,B604,Transactions!$O$8:$O$3006))</f>
        <v/>
      </c>
      <c r="F604" s="45" t="str">
        <f>IF(B604="","",SUMIF(Transactions!$F$8:$F$3006,B604,Transactions!$R$8:$R$3006))</f>
        <v/>
      </c>
      <c r="G604" s="46" t="str">
        <f>IF(B604="","",(C604+F604)-(D604+E604+SUMIF(Transactions!$F$8:$F$3006,B604,Transactions!$Q$8:$Q$3006)))</f>
        <v/>
      </c>
      <c r="H604" s="47" t="str">
        <f>IF(B604="","",IF(G604&gt;0,"OUTSTANDING",IF(G604=0,"SETTLED",IF(SUMIF(Transactions!$F$8:$F$3006,B604,Transactions!$Q$8:$Q$3006)&gt;SUMIF(Transactions!$F$8:$F$3006,B604,Transactions!$R$8:$R$3006),"OWES","OVERPAID"))))</f>
        <v/>
      </c>
      <c r="I604" s="1"/>
    </row>
    <row r="605" spans="1:9" ht="18" customHeight="1" x14ac:dyDescent="0.25">
      <c r="A605" s="48">
        <v>590</v>
      </c>
      <c r="B605" s="49" t="str">
        <f t="array" ref="B605">IFERROR(IF(INDEX(Transactions!$F$8:$F$3006,MATCH(0,COUNTIF($B$11:B604,Transactions!$F$8:$F$3006),0))="","",INDEX(Transactions!$F$8:$F$3006,MATCH(0,COUNTIF($B$11:B604,Transactions!$F$8:$F$3006),0))),"")</f>
        <v/>
      </c>
      <c r="C605" s="50" t="str">
        <f>IF(B605="","",SUMIF(Transactions!$F$8:$F$3006,B605,Transactions!$H$8:$H$3006))</f>
        <v/>
      </c>
      <c r="D605" s="51" t="str">
        <f>IF(B605="","",SUMIF(Transactions!$F$8:$F$3006,B605,Transactions!$N$8:$N$3006))</f>
        <v/>
      </c>
      <c r="E605" s="52" t="str">
        <f>IF(B605="","",SUMIF(Transactions!$F$8:$F$3006,B605,Transactions!$O$8:$O$3006))</f>
        <v/>
      </c>
      <c r="F605" s="53" t="str">
        <f>IF(B605="","",SUMIF(Transactions!$F$8:$F$3006,B605,Transactions!$R$8:$R$3006))</f>
        <v/>
      </c>
      <c r="G605" s="54" t="str">
        <f>IF(B605="","",(C605+F605)-(D605+E605+SUMIF(Transactions!$F$8:$F$3006,B605,Transactions!$Q$8:$Q$3006)))</f>
        <v/>
      </c>
      <c r="H605" s="55" t="str">
        <f>IF(B605="","",IF(G605&gt;0,"OUTSTANDING",IF(G605=0,"SETTLED",IF(SUMIF(Transactions!$F$8:$F$3006,B605,Transactions!$Q$8:$Q$3006)&gt;SUMIF(Transactions!$F$8:$F$3006,B605,Transactions!$R$8:$R$3006),"OWES","OVERPAID"))))</f>
        <v/>
      </c>
      <c r="I605" s="1"/>
    </row>
    <row r="606" spans="1:9" ht="18" customHeight="1" x14ac:dyDescent="0.25">
      <c r="A606" s="40">
        <v>591</v>
      </c>
      <c r="B606" s="41" t="str">
        <f t="array" ref="B606">IFERROR(IF(INDEX(Transactions!$F$8:$F$3006,MATCH(0,COUNTIF($B$11:B605,Transactions!$F$8:$F$3006),0))="","",INDEX(Transactions!$F$8:$F$3006,MATCH(0,COUNTIF($B$11:B605,Transactions!$F$8:$F$3006),0))),"")</f>
        <v/>
      </c>
      <c r="C606" s="42" t="str">
        <f>IF(B606="","",SUMIF(Transactions!$F$8:$F$3006,B606,Transactions!$H$8:$H$3006))</f>
        <v/>
      </c>
      <c r="D606" s="43" t="str">
        <f>IF(B606="","",SUMIF(Transactions!$F$8:$F$3006,B606,Transactions!$N$8:$N$3006))</f>
        <v/>
      </c>
      <c r="E606" s="44" t="str">
        <f>IF(B606="","",SUMIF(Transactions!$F$8:$F$3006,B606,Transactions!$O$8:$O$3006))</f>
        <v/>
      </c>
      <c r="F606" s="45" t="str">
        <f>IF(B606="","",SUMIF(Transactions!$F$8:$F$3006,B606,Transactions!$R$8:$R$3006))</f>
        <v/>
      </c>
      <c r="G606" s="46" t="str">
        <f>IF(B606="","",(C606+F606)-(D606+E606+SUMIF(Transactions!$F$8:$F$3006,B606,Transactions!$Q$8:$Q$3006)))</f>
        <v/>
      </c>
      <c r="H606" s="47" t="str">
        <f>IF(B606="","",IF(G606&gt;0,"OUTSTANDING",IF(G606=0,"SETTLED",IF(SUMIF(Transactions!$F$8:$F$3006,B606,Transactions!$Q$8:$Q$3006)&gt;SUMIF(Transactions!$F$8:$F$3006,B606,Transactions!$R$8:$R$3006),"OWES","OVERPAID"))))</f>
        <v/>
      </c>
      <c r="I606" s="1"/>
    </row>
    <row r="607" spans="1:9" ht="18" customHeight="1" x14ac:dyDescent="0.25">
      <c r="A607" s="48">
        <v>592</v>
      </c>
      <c r="B607" s="49" t="str">
        <f t="array" ref="B607">IFERROR(IF(INDEX(Transactions!$F$8:$F$3006,MATCH(0,COUNTIF($B$11:B606,Transactions!$F$8:$F$3006),0))="","",INDEX(Transactions!$F$8:$F$3006,MATCH(0,COUNTIF($B$11:B606,Transactions!$F$8:$F$3006),0))),"")</f>
        <v/>
      </c>
      <c r="C607" s="50" t="str">
        <f>IF(B607="","",SUMIF(Transactions!$F$8:$F$3006,B607,Transactions!$H$8:$H$3006))</f>
        <v/>
      </c>
      <c r="D607" s="51" t="str">
        <f>IF(B607="","",SUMIF(Transactions!$F$8:$F$3006,B607,Transactions!$N$8:$N$3006))</f>
        <v/>
      </c>
      <c r="E607" s="52" t="str">
        <f>IF(B607="","",SUMIF(Transactions!$F$8:$F$3006,B607,Transactions!$O$8:$O$3006))</f>
        <v/>
      </c>
      <c r="F607" s="53" t="str">
        <f>IF(B607="","",SUMIF(Transactions!$F$8:$F$3006,B607,Transactions!$R$8:$R$3006))</f>
        <v/>
      </c>
      <c r="G607" s="54" t="str">
        <f>IF(B607="","",(C607+F607)-(D607+E607+SUMIF(Transactions!$F$8:$F$3006,B607,Transactions!$Q$8:$Q$3006)))</f>
        <v/>
      </c>
      <c r="H607" s="55" t="str">
        <f>IF(B607="","",IF(G607&gt;0,"OUTSTANDING",IF(G607=0,"SETTLED",IF(SUMIF(Transactions!$F$8:$F$3006,B607,Transactions!$Q$8:$Q$3006)&gt;SUMIF(Transactions!$F$8:$F$3006,B607,Transactions!$R$8:$R$3006),"OWES","OVERPAID"))))</f>
        <v/>
      </c>
      <c r="I607" s="1"/>
    </row>
    <row r="608" spans="1:9" ht="18" customHeight="1" x14ac:dyDescent="0.25">
      <c r="A608" s="40">
        <v>593</v>
      </c>
      <c r="B608" s="41" t="str">
        <f t="array" ref="B608">IFERROR(IF(INDEX(Transactions!$F$8:$F$3006,MATCH(0,COUNTIF($B$11:B607,Transactions!$F$8:$F$3006),0))="","",INDEX(Transactions!$F$8:$F$3006,MATCH(0,COUNTIF($B$11:B607,Transactions!$F$8:$F$3006),0))),"")</f>
        <v/>
      </c>
      <c r="C608" s="42" t="str">
        <f>IF(B608="","",SUMIF(Transactions!$F$8:$F$3006,B608,Transactions!$H$8:$H$3006))</f>
        <v/>
      </c>
      <c r="D608" s="43" t="str">
        <f>IF(B608="","",SUMIF(Transactions!$F$8:$F$3006,B608,Transactions!$N$8:$N$3006))</f>
        <v/>
      </c>
      <c r="E608" s="44" t="str">
        <f>IF(B608="","",SUMIF(Transactions!$F$8:$F$3006,B608,Transactions!$O$8:$O$3006))</f>
        <v/>
      </c>
      <c r="F608" s="45" t="str">
        <f>IF(B608="","",SUMIF(Transactions!$F$8:$F$3006,B608,Transactions!$R$8:$R$3006))</f>
        <v/>
      </c>
      <c r="G608" s="46" t="str">
        <f>IF(B608="","",(C608+F608)-(D608+E608+SUMIF(Transactions!$F$8:$F$3006,B608,Transactions!$Q$8:$Q$3006)))</f>
        <v/>
      </c>
      <c r="H608" s="47" t="str">
        <f>IF(B608="","",IF(G608&gt;0,"OUTSTANDING",IF(G608=0,"SETTLED",IF(SUMIF(Transactions!$F$8:$F$3006,B608,Transactions!$Q$8:$Q$3006)&gt;SUMIF(Transactions!$F$8:$F$3006,B608,Transactions!$R$8:$R$3006),"OWES","OVERPAID"))))</f>
        <v/>
      </c>
      <c r="I608" s="1"/>
    </row>
    <row r="609" spans="1:9" ht="18" customHeight="1" x14ac:dyDescent="0.25">
      <c r="A609" s="48">
        <v>594</v>
      </c>
      <c r="B609" s="49" t="str">
        <f t="array" ref="B609">IFERROR(IF(INDEX(Transactions!$F$8:$F$3006,MATCH(0,COUNTIF($B$11:B608,Transactions!$F$8:$F$3006),0))="","",INDEX(Transactions!$F$8:$F$3006,MATCH(0,COUNTIF($B$11:B608,Transactions!$F$8:$F$3006),0))),"")</f>
        <v/>
      </c>
      <c r="C609" s="50" t="str">
        <f>IF(B609="","",SUMIF(Transactions!$F$8:$F$3006,B609,Transactions!$H$8:$H$3006))</f>
        <v/>
      </c>
      <c r="D609" s="51" t="str">
        <f>IF(B609="","",SUMIF(Transactions!$F$8:$F$3006,B609,Transactions!$N$8:$N$3006))</f>
        <v/>
      </c>
      <c r="E609" s="52" t="str">
        <f>IF(B609="","",SUMIF(Transactions!$F$8:$F$3006,B609,Transactions!$O$8:$O$3006))</f>
        <v/>
      </c>
      <c r="F609" s="53" t="str">
        <f>IF(B609="","",SUMIF(Transactions!$F$8:$F$3006,B609,Transactions!$R$8:$R$3006))</f>
        <v/>
      </c>
      <c r="G609" s="54" t="str">
        <f>IF(B609="","",(C609+F609)-(D609+E609+SUMIF(Transactions!$F$8:$F$3006,B609,Transactions!$Q$8:$Q$3006)))</f>
        <v/>
      </c>
      <c r="H609" s="55" t="str">
        <f>IF(B609="","",IF(G609&gt;0,"OUTSTANDING",IF(G609=0,"SETTLED",IF(SUMIF(Transactions!$F$8:$F$3006,B609,Transactions!$Q$8:$Q$3006)&gt;SUMIF(Transactions!$F$8:$F$3006,B609,Transactions!$R$8:$R$3006),"OWES","OVERPAID"))))</f>
        <v/>
      </c>
      <c r="I609" s="1"/>
    </row>
    <row r="610" spans="1:9" ht="18" customHeight="1" x14ac:dyDescent="0.25">
      <c r="A610" s="40">
        <v>595</v>
      </c>
      <c r="B610" s="41" t="str">
        <f t="array" ref="B610">IFERROR(IF(INDEX(Transactions!$F$8:$F$3006,MATCH(0,COUNTIF($B$11:B609,Transactions!$F$8:$F$3006),0))="","",INDEX(Transactions!$F$8:$F$3006,MATCH(0,COUNTIF($B$11:B609,Transactions!$F$8:$F$3006),0))),"")</f>
        <v/>
      </c>
      <c r="C610" s="42" t="str">
        <f>IF(B610="","",SUMIF(Transactions!$F$8:$F$3006,B610,Transactions!$H$8:$H$3006))</f>
        <v/>
      </c>
      <c r="D610" s="43" t="str">
        <f>IF(B610="","",SUMIF(Transactions!$F$8:$F$3006,B610,Transactions!$N$8:$N$3006))</f>
        <v/>
      </c>
      <c r="E610" s="44" t="str">
        <f>IF(B610="","",SUMIF(Transactions!$F$8:$F$3006,B610,Transactions!$O$8:$O$3006))</f>
        <v/>
      </c>
      <c r="F610" s="45" t="str">
        <f>IF(B610="","",SUMIF(Transactions!$F$8:$F$3006,B610,Transactions!$R$8:$R$3006))</f>
        <v/>
      </c>
      <c r="G610" s="46" t="str">
        <f>IF(B610="","",(C610+F610)-(D610+E610+SUMIF(Transactions!$F$8:$F$3006,B610,Transactions!$Q$8:$Q$3006)))</f>
        <v/>
      </c>
      <c r="H610" s="47" t="str">
        <f>IF(B610="","",IF(G610&gt;0,"OUTSTANDING",IF(G610=0,"SETTLED",IF(SUMIF(Transactions!$F$8:$F$3006,B610,Transactions!$Q$8:$Q$3006)&gt;SUMIF(Transactions!$F$8:$F$3006,B610,Transactions!$R$8:$R$3006),"OWES","OVERPAID"))))</f>
        <v/>
      </c>
      <c r="I610" s="1"/>
    </row>
    <row r="611" spans="1:9" ht="18" customHeight="1" x14ac:dyDescent="0.25">
      <c r="A611" s="48">
        <v>596</v>
      </c>
      <c r="B611" s="49" t="str">
        <f t="array" ref="B611">IFERROR(IF(INDEX(Transactions!$F$8:$F$3006,MATCH(0,COUNTIF($B$11:B610,Transactions!$F$8:$F$3006),0))="","",INDEX(Transactions!$F$8:$F$3006,MATCH(0,COUNTIF($B$11:B610,Transactions!$F$8:$F$3006),0))),"")</f>
        <v/>
      </c>
      <c r="C611" s="50" t="str">
        <f>IF(B611="","",SUMIF(Transactions!$F$8:$F$3006,B611,Transactions!$H$8:$H$3006))</f>
        <v/>
      </c>
      <c r="D611" s="51" t="str">
        <f>IF(B611="","",SUMIF(Transactions!$F$8:$F$3006,B611,Transactions!$N$8:$N$3006))</f>
        <v/>
      </c>
      <c r="E611" s="52" t="str">
        <f>IF(B611="","",SUMIF(Transactions!$F$8:$F$3006,B611,Transactions!$O$8:$O$3006))</f>
        <v/>
      </c>
      <c r="F611" s="53" t="str">
        <f>IF(B611="","",SUMIF(Transactions!$F$8:$F$3006,B611,Transactions!$R$8:$R$3006))</f>
        <v/>
      </c>
      <c r="G611" s="54" t="str">
        <f>IF(B611="","",(C611+F611)-(D611+E611+SUMIF(Transactions!$F$8:$F$3006,B611,Transactions!$Q$8:$Q$3006)))</f>
        <v/>
      </c>
      <c r="H611" s="55" t="str">
        <f>IF(B611="","",IF(G611&gt;0,"OUTSTANDING",IF(G611=0,"SETTLED",IF(SUMIF(Transactions!$F$8:$F$3006,B611,Transactions!$Q$8:$Q$3006)&gt;SUMIF(Transactions!$F$8:$F$3006,B611,Transactions!$R$8:$R$3006),"OWES","OVERPAID"))))</f>
        <v/>
      </c>
      <c r="I611" s="1"/>
    </row>
    <row r="612" spans="1:9" ht="18" customHeight="1" x14ac:dyDescent="0.25">
      <c r="A612" s="40">
        <v>597</v>
      </c>
      <c r="B612" s="41" t="str">
        <f t="array" ref="B612">IFERROR(IF(INDEX(Transactions!$F$8:$F$3006,MATCH(0,COUNTIF($B$11:B611,Transactions!$F$8:$F$3006),0))="","",INDEX(Transactions!$F$8:$F$3006,MATCH(0,COUNTIF($B$11:B611,Transactions!$F$8:$F$3006),0))),"")</f>
        <v/>
      </c>
      <c r="C612" s="42" t="str">
        <f>IF(B612="","",SUMIF(Transactions!$F$8:$F$3006,B612,Transactions!$H$8:$H$3006))</f>
        <v/>
      </c>
      <c r="D612" s="43" t="str">
        <f>IF(B612="","",SUMIF(Transactions!$F$8:$F$3006,B612,Transactions!$N$8:$N$3006))</f>
        <v/>
      </c>
      <c r="E612" s="44" t="str">
        <f>IF(B612="","",SUMIF(Transactions!$F$8:$F$3006,B612,Transactions!$O$8:$O$3006))</f>
        <v/>
      </c>
      <c r="F612" s="45" t="str">
        <f>IF(B612="","",SUMIF(Transactions!$F$8:$F$3006,B612,Transactions!$R$8:$R$3006))</f>
        <v/>
      </c>
      <c r="G612" s="46" t="str">
        <f>IF(B612="","",(C612+F612)-(D612+E612+SUMIF(Transactions!$F$8:$F$3006,B612,Transactions!$Q$8:$Q$3006)))</f>
        <v/>
      </c>
      <c r="H612" s="47" t="str">
        <f>IF(B612="","",IF(G612&gt;0,"OUTSTANDING",IF(G612=0,"SETTLED",IF(SUMIF(Transactions!$F$8:$F$3006,B612,Transactions!$Q$8:$Q$3006)&gt;SUMIF(Transactions!$F$8:$F$3006,B612,Transactions!$R$8:$R$3006),"OWES","OVERPAID"))))</f>
        <v/>
      </c>
      <c r="I612" s="1"/>
    </row>
    <row r="613" spans="1:9" ht="18" customHeight="1" x14ac:dyDescent="0.25">
      <c r="A613" s="48">
        <v>598</v>
      </c>
      <c r="B613" s="49" t="str">
        <f t="array" ref="B613">IFERROR(IF(INDEX(Transactions!$F$8:$F$3006,MATCH(0,COUNTIF($B$11:B612,Transactions!$F$8:$F$3006),0))="","",INDEX(Transactions!$F$8:$F$3006,MATCH(0,COUNTIF($B$11:B612,Transactions!$F$8:$F$3006),0))),"")</f>
        <v/>
      </c>
      <c r="C613" s="50" t="str">
        <f>IF(B613="","",SUMIF(Transactions!$F$8:$F$3006,B613,Transactions!$H$8:$H$3006))</f>
        <v/>
      </c>
      <c r="D613" s="51" t="str">
        <f>IF(B613="","",SUMIF(Transactions!$F$8:$F$3006,B613,Transactions!$N$8:$N$3006))</f>
        <v/>
      </c>
      <c r="E613" s="52" t="str">
        <f>IF(B613="","",SUMIF(Transactions!$F$8:$F$3006,B613,Transactions!$O$8:$O$3006))</f>
        <v/>
      </c>
      <c r="F613" s="53" t="str">
        <f>IF(B613="","",SUMIF(Transactions!$F$8:$F$3006,B613,Transactions!$R$8:$R$3006))</f>
        <v/>
      </c>
      <c r="G613" s="54" t="str">
        <f>IF(B613="","",(C613+F613)-(D613+E613+SUMIF(Transactions!$F$8:$F$3006,B613,Transactions!$Q$8:$Q$3006)))</f>
        <v/>
      </c>
      <c r="H613" s="55" t="str">
        <f>IF(B613="","",IF(G613&gt;0,"OUTSTANDING",IF(G613=0,"SETTLED",IF(SUMIF(Transactions!$F$8:$F$3006,B613,Transactions!$Q$8:$Q$3006)&gt;SUMIF(Transactions!$F$8:$F$3006,B613,Transactions!$R$8:$R$3006),"OWES","OVERPAID"))))</f>
        <v/>
      </c>
      <c r="I613" s="1"/>
    </row>
    <row r="614" spans="1:9" ht="18" customHeight="1" x14ac:dyDescent="0.25">
      <c r="A614" s="40">
        <v>599</v>
      </c>
      <c r="B614" s="41" t="str">
        <f t="array" ref="B614">IFERROR(IF(INDEX(Transactions!$F$8:$F$3006,MATCH(0,COUNTIF($B$11:B613,Transactions!$F$8:$F$3006),0))="","",INDEX(Transactions!$F$8:$F$3006,MATCH(0,COUNTIF($B$11:B613,Transactions!$F$8:$F$3006),0))),"")</f>
        <v/>
      </c>
      <c r="C614" s="42" t="str">
        <f>IF(B614="","",SUMIF(Transactions!$F$8:$F$3006,B614,Transactions!$H$8:$H$3006))</f>
        <v/>
      </c>
      <c r="D614" s="43" t="str">
        <f>IF(B614="","",SUMIF(Transactions!$F$8:$F$3006,B614,Transactions!$N$8:$N$3006))</f>
        <v/>
      </c>
      <c r="E614" s="44" t="str">
        <f>IF(B614="","",SUMIF(Transactions!$F$8:$F$3006,B614,Transactions!$O$8:$O$3006))</f>
        <v/>
      </c>
      <c r="F614" s="45" t="str">
        <f>IF(B614="","",SUMIF(Transactions!$F$8:$F$3006,B614,Transactions!$R$8:$R$3006))</f>
        <v/>
      </c>
      <c r="G614" s="46" t="str">
        <f>IF(B614="","",(C614+F614)-(D614+E614+SUMIF(Transactions!$F$8:$F$3006,B614,Transactions!$Q$8:$Q$3006)))</f>
        <v/>
      </c>
      <c r="H614" s="47" t="str">
        <f>IF(B614="","",IF(G614&gt;0,"OUTSTANDING",IF(G614=0,"SETTLED",IF(SUMIF(Transactions!$F$8:$F$3006,B614,Transactions!$Q$8:$Q$3006)&gt;SUMIF(Transactions!$F$8:$F$3006,B614,Transactions!$R$8:$R$3006),"OWES","OVERPAID"))))</f>
        <v/>
      </c>
      <c r="I614" s="1"/>
    </row>
    <row r="615" spans="1:9" ht="18" customHeight="1" x14ac:dyDescent="0.25">
      <c r="A615" s="48">
        <v>600</v>
      </c>
      <c r="B615" s="49" t="str">
        <f t="array" ref="B615">IFERROR(IF(INDEX(Transactions!$F$8:$F$3006,MATCH(0,COUNTIF($B$11:B614,Transactions!$F$8:$F$3006),0))="","",INDEX(Transactions!$F$8:$F$3006,MATCH(0,COUNTIF($B$11:B614,Transactions!$F$8:$F$3006),0))),"")</f>
        <v/>
      </c>
      <c r="C615" s="50" t="str">
        <f>IF(B615="","",SUMIF(Transactions!$F$8:$F$3006,B615,Transactions!$H$8:$H$3006))</f>
        <v/>
      </c>
      <c r="D615" s="51" t="str">
        <f>IF(B615="","",SUMIF(Transactions!$F$8:$F$3006,B615,Transactions!$N$8:$N$3006))</f>
        <v/>
      </c>
      <c r="E615" s="52" t="str">
        <f>IF(B615="","",SUMIF(Transactions!$F$8:$F$3006,B615,Transactions!$O$8:$O$3006))</f>
        <v/>
      </c>
      <c r="F615" s="53" t="str">
        <f>IF(B615="","",SUMIF(Transactions!$F$8:$F$3006,B615,Transactions!$R$8:$R$3006))</f>
        <v/>
      </c>
      <c r="G615" s="54" t="str">
        <f>IF(B615="","",(C615+F615)-(D615+E615+SUMIF(Transactions!$F$8:$F$3006,B615,Transactions!$Q$8:$Q$3006)))</f>
        <v/>
      </c>
      <c r="H615" s="55" t="str">
        <f>IF(B615="","",IF(G615&gt;0,"OUTSTANDING",IF(G615=0,"SETTLED",IF(SUMIF(Transactions!$F$8:$F$3006,B615,Transactions!$Q$8:$Q$3006)&gt;SUMIF(Transactions!$F$8:$F$3006,B615,Transactions!$R$8:$R$3006),"OWES","OVERPAID"))))</f>
        <v/>
      </c>
      <c r="I615" s="1"/>
    </row>
    <row r="616" spans="1:9" ht="18" customHeight="1" x14ac:dyDescent="0.25">
      <c r="A616" s="40">
        <v>601</v>
      </c>
      <c r="B616" s="41" t="str">
        <f t="array" ref="B616">IFERROR(IF(INDEX(Transactions!$F$8:$F$3006,MATCH(0,COUNTIF($B$11:B615,Transactions!$F$8:$F$3006),0))="","",INDEX(Transactions!$F$8:$F$3006,MATCH(0,COUNTIF($B$11:B615,Transactions!$F$8:$F$3006),0))),"")</f>
        <v/>
      </c>
      <c r="C616" s="42" t="str">
        <f>IF(B616="","",SUMIF(Transactions!$F$8:$F$3006,B616,Transactions!$H$8:$H$3006))</f>
        <v/>
      </c>
      <c r="D616" s="43" t="str">
        <f>IF(B616="","",SUMIF(Transactions!$F$8:$F$3006,B616,Transactions!$N$8:$N$3006))</f>
        <v/>
      </c>
      <c r="E616" s="44" t="str">
        <f>IF(B616="","",SUMIF(Transactions!$F$8:$F$3006,B616,Transactions!$O$8:$O$3006))</f>
        <v/>
      </c>
      <c r="F616" s="45" t="str">
        <f>IF(B616="","",SUMIF(Transactions!$F$8:$F$3006,B616,Transactions!$R$8:$R$3006))</f>
        <v/>
      </c>
      <c r="G616" s="46" t="str">
        <f>IF(B616="","",(C616+F616)-(D616+E616+SUMIF(Transactions!$F$8:$F$3006,B616,Transactions!$Q$8:$Q$3006)))</f>
        <v/>
      </c>
      <c r="H616" s="47" t="str">
        <f>IF(B616="","",IF(G616&gt;0,"OUTSTANDING",IF(G616=0,"SETTLED",IF(SUMIF(Transactions!$F$8:$F$3006,B616,Transactions!$Q$8:$Q$3006)&gt;SUMIF(Transactions!$F$8:$F$3006,B616,Transactions!$R$8:$R$3006),"OWES","OVERPAID"))))</f>
        <v/>
      </c>
      <c r="I616" s="1"/>
    </row>
    <row r="617" spans="1:9" ht="18" customHeight="1" x14ac:dyDescent="0.25">
      <c r="A617" s="48">
        <v>602</v>
      </c>
      <c r="B617" s="49" t="str">
        <f t="array" ref="B617">IFERROR(IF(INDEX(Transactions!$F$8:$F$3006,MATCH(0,COUNTIF($B$11:B616,Transactions!$F$8:$F$3006),0))="","",INDEX(Transactions!$F$8:$F$3006,MATCH(0,COUNTIF($B$11:B616,Transactions!$F$8:$F$3006),0))),"")</f>
        <v/>
      </c>
      <c r="C617" s="50" t="str">
        <f>IF(B617="","",SUMIF(Transactions!$F$8:$F$3006,B617,Transactions!$H$8:$H$3006))</f>
        <v/>
      </c>
      <c r="D617" s="51" t="str">
        <f>IF(B617="","",SUMIF(Transactions!$F$8:$F$3006,B617,Transactions!$N$8:$N$3006))</f>
        <v/>
      </c>
      <c r="E617" s="52" t="str">
        <f>IF(B617="","",SUMIF(Transactions!$F$8:$F$3006,B617,Transactions!$O$8:$O$3006))</f>
        <v/>
      </c>
      <c r="F617" s="53" t="str">
        <f>IF(B617="","",SUMIF(Transactions!$F$8:$F$3006,B617,Transactions!$R$8:$R$3006))</f>
        <v/>
      </c>
      <c r="G617" s="54" t="str">
        <f>IF(B617="","",(C617+F617)-(D617+E617+SUMIF(Transactions!$F$8:$F$3006,B617,Transactions!$Q$8:$Q$3006)))</f>
        <v/>
      </c>
      <c r="H617" s="55" t="str">
        <f>IF(B617="","",IF(G617&gt;0,"OUTSTANDING",IF(G617=0,"SETTLED",IF(SUMIF(Transactions!$F$8:$F$3006,B617,Transactions!$Q$8:$Q$3006)&gt;SUMIF(Transactions!$F$8:$F$3006,B617,Transactions!$R$8:$R$3006),"OWES","OVERPAID"))))</f>
        <v/>
      </c>
      <c r="I617" s="1"/>
    </row>
    <row r="618" spans="1:9" ht="18" customHeight="1" x14ac:dyDescent="0.25">
      <c r="A618" s="40">
        <v>603</v>
      </c>
      <c r="B618" s="41" t="str">
        <f t="array" ref="B618">IFERROR(IF(INDEX(Transactions!$F$8:$F$3006,MATCH(0,COUNTIF($B$11:B617,Transactions!$F$8:$F$3006),0))="","",INDEX(Transactions!$F$8:$F$3006,MATCH(0,COUNTIF($B$11:B617,Transactions!$F$8:$F$3006),0))),"")</f>
        <v/>
      </c>
      <c r="C618" s="42" t="str">
        <f>IF(B618="","",SUMIF(Transactions!$F$8:$F$3006,B618,Transactions!$H$8:$H$3006))</f>
        <v/>
      </c>
      <c r="D618" s="43" t="str">
        <f>IF(B618="","",SUMIF(Transactions!$F$8:$F$3006,B618,Transactions!$N$8:$N$3006))</f>
        <v/>
      </c>
      <c r="E618" s="44" t="str">
        <f>IF(B618="","",SUMIF(Transactions!$F$8:$F$3006,B618,Transactions!$O$8:$O$3006))</f>
        <v/>
      </c>
      <c r="F618" s="45" t="str">
        <f>IF(B618="","",SUMIF(Transactions!$F$8:$F$3006,B618,Transactions!$R$8:$R$3006))</f>
        <v/>
      </c>
      <c r="G618" s="46" t="str">
        <f>IF(B618="","",(C618+F618)-(D618+E618+SUMIF(Transactions!$F$8:$F$3006,B618,Transactions!$Q$8:$Q$3006)))</f>
        <v/>
      </c>
      <c r="H618" s="47" t="str">
        <f>IF(B618="","",IF(G618&gt;0,"OUTSTANDING",IF(G618=0,"SETTLED",IF(SUMIF(Transactions!$F$8:$F$3006,B618,Transactions!$Q$8:$Q$3006)&gt;SUMIF(Transactions!$F$8:$F$3006,B618,Transactions!$R$8:$R$3006),"OWES","OVERPAID"))))</f>
        <v/>
      </c>
      <c r="I618" s="1"/>
    </row>
    <row r="619" spans="1:9" ht="18" customHeight="1" x14ac:dyDescent="0.25">
      <c r="A619" s="48">
        <v>604</v>
      </c>
      <c r="B619" s="49" t="str">
        <f t="array" ref="B619">IFERROR(IF(INDEX(Transactions!$F$8:$F$3006,MATCH(0,COUNTIF($B$11:B618,Transactions!$F$8:$F$3006),0))="","",INDEX(Transactions!$F$8:$F$3006,MATCH(0,COUNTIF($B$11:B618,Transactions!$F$8:$F$3006),0))),"")</f>
        <v/>
      </c>
      <c r="C619" s="50" t="str">
        <f>IF(B619="","",SUMIF(Transactions!$F$8:$F$3006,B619,Transactions!$H$8:$H$3006))</f>
        <v/>
      </c>
      <c r="D619" s="51" t="str">
        <f>IF(B619="","",SUMIF(Transactions!$F$8:$F$3006,B619,Transactions!$N$8:$N$3006))</f>
        <v/>
      </c>
      <c r="E619" s="52" t="str">
        <f>IF(B619="","",SUMIF(Transactions!$F$8:$F$3006,B619,Transactions!$O$8:$O$3006))</f>
        <v/>
      </c>
      <c r="F619" s="53" t="str">
        <f>IF(B619="","",SUMIF(Transactions!$F$8:$F$3006,B619,Transactions!$R$8:$R$3006))</f>
        <v/>
      </c>
      <c r="G619" s="54" t="str">
        <f>IF(B619="","",(C619+F619)-(D619+E619+SUMIF(Transactions!$F$8:$F$3006,B619,Transactions!$Q$8:$Q$3006)))</f>
        <v/>
      </c>
      <c r="H619" s="55" t="str">
        <f>IF(B619="","",IF(G619&gt;0,"OUTSTANDING",IF(G619=0,"SETTLED",IF(SUMIF(Transactions!$F$8:$F$3006,B619,Transactions!$Q$8:$Q$3006)&gt;SUMIF(Transactions!$F$8:$F$3006,B619,Transactions!$R$8:$R$3006),"OWES","OVERPAID"))))</f>
        <v/>
      </c>
      <c r="I619" s="1"/>
    </row>
    <row r="620" spans="1:9" ht="18" customHeight="1" x14ac:dyDescent="0.25">
      <c r="A620" s="40">
        <v>605</v>
      </c>
      <c r="B620" s="41" t="str">
        <f t="array" ref="B620">IFERROR(IF(INDEX(Transactions!$F$8:$F$3006,MATCH(0,COUNTIF($B$11:B619,Transactions!$F$8:$F$3006),0))="","",INDEX(Transactions!$F$8:$F$3006,MATCH(0,COUNTIF($B$11:B619,Transactions!$F$8:$F$3006),0))),"")</f>
        <v/>
      </c>
      <c r="C620" s="42" t="str">
        <f>IF(B620="","",SUMIF(Transactions!$F$8:$F$3006,B620,Transactions!$H$8:$H$3006))</f>
        <v/>
      </c>
      <c r="D620" s="43" t="str">
        <f>IF(B620="","",SUMIF(Transactions!$F$8:$F$3006,B620,Transactions!$N$8:$N$3006))</f>
        <v/>
      </c>
      <c r="E620" s="44" t="str">
        <f>IF(B620="","",SUMIF(Transactions!$F$8:$F$3006,B620,Transactions!$O$8:$O$3006))</f>
        <v/>
      </c>
      <c r="F620" s="45" t="str">
        <f>IF(B620="","",SUMIF(Transactions!$F$8:$F$3006,B620,Transactions!$R$8:$R$3006))</f>
        <v/>
      </c>
      <c r="G620" s="46" t="str">
        <f>IF(B620="","",(C620+F620)-(D620+E620+SUMIF(Transactions!$F$8:$F$3006,B620,Transactions!$Q$8:$Q$3006)))</f>
        <v/>
      </c>
      <c r="H620" s="47" t="str">
        <f>IF(B620="","",IF(G620&gt;0,"OUTSTANDING",IF(G620=0,"SETTLED",IF(SUMIF(Transactions!$F$8:$F$3006,B620,Transactions!$Q$8:$Q$3006)&gt;SUMIF(Transactions!$F$8:$F$3006,B620,Transactions!$R$8:$R$3006),"OWES","OVERPAID"))))</f>
        <v/>
      </c>
      <c r="I620" s="1"/>
    </row>
    <row r="621" spans="1:9" ht="18" customHeight="1" x14ac:dyDescent="0.25">
      <c r="A621" s="48">
        <v>606</v>
      </c>
      <c r="B621" s="49" t="str">
        <f t="array" ref="B621">IFERROR(IF(INDEX(Transactions!$F$8:$F$3006,MATCH(0,COUNTIF($B$11:B620,Transactions!$F$8:$F$3006),0))="","",INDEX(Transactions!$F$8:$F$3006,MATCH(0,COUNTIF($B$11:B620,Transactions!$F$8:$F$3006),0))),"")</f>
        <v/>
      </c>
      <c r="C621" s="50" t="str">
        <f>IF(B621="","",SUMIF(Transactions!$F$8:$F$3006,B621,Transactions!$H$8:$H$3006))</f>
        <v/>
      </c>
      <c r="D621" s="51" t="str">
        <f>IF(B621="","",SUMIF(Transactions!$F$8:$F$3006,B621,Transactions!$N$8:$N$3006))</f>
        <v/>
      </c>
      <c r="E621" s="52" t="str">
        <f>IF(B621="","",SUMIF(Transactions!$F$8:$F$3006,B621,Transactions!$O$8:$O$3006))</f>
        <v/>
      </c>
      <c r="F621" s="53" t="str">
        <f>IF(B621="","",SUMIF(Transactions!$F$8:$F$3006,B621,Transactions!$R$8:$R$3006))</f>
        <v/>
      </c>
      <c r="G621" s="54" t="str">
        <f>IF(B621="","",(C621+F621)-(D621+E621+SUMIF(Transactions!$F$8:$F$3006,B621,Transactions!$Q$8:$Q$3006)))</f>
        <v/>
      </c>
      <c r="H621" s="55" t="str">
        <f>IF(B621="","",IF(G621&gt;0,"OUTSTANDING",IF(G621=0,"SETTLED",IF(SUMIF(Transactions!$F$8:$F$3006,B621,Transactions!$Q$8:$Q$3006)&gt;SUMIF(Transactions!$F$8:$F$3006,B621,Transactions!$R$8:$R$3006),"OWES","OVERPAID"))))</f>
        <v/>
      </c>
      <c r="I621" s="1"/>
    </row>
    <row r="622" spans="1:9" ht="18" customHeight="1" x14ac:dyDescent="0.25">
      <c r="A622" s="40">
        <v>607</v>
      </c>
      <c r="B622" s="41" t="str">
        <f t="array" ref="B622">IFERROR(IF(INDEX(Transactions!$F$8:$F$3006,MATCH(0,COUNTIF($B$11:B621,Transactions!$F$8:$F$3006),0))="","",INDEX(Transactions!$F$8:$F$3006,MATCH(0,COUNTIF($B$11:B621,Transactions!$F$8:$F$3006),0))),"")</f>
        <v/>
      </c>
      <c r="C622" s="42" t="str">
        <f>IF(B622="","",SUMIF(Transactions!$F$8:$F$3006,B622,Transactions!$H$8:$H$3006))</f>
        <v/>
      </c>
      <c r="D622" s="43" t="str">
        <f>IF(B622="","",SUMIF(Transactions!$F$8:$F$3006,B622,Transactions!$N$8:$N$3006))</f>
        <v/>
      </c>
      <c r="E622" s="44" t="str">
        <f>IF(B622="","",SUMIF(Transactions!$F$8:$F$3006,B622,Transactions!$O$8:$O$3006))</f>
        <v/>
      </c>
      <c r="F622" s="45" t="str">
        <f>IF(B622="","",SUMIF(Transactions!$F$8:$F$3006,B622,Transactions!$R$8:$R$3006))</f>
        <v/>
      </c>
      <c r="G622" s="46" t="str">
        <f>IF(B622="","",(C622+F622)-(D622+E622+SUMIF(Transactions!$F$8:$F$3006,B622,Transactions!$Q$8:$Q$3006)))</f>
        <v/>
      </c>
      <c r="H622" s="47" t="str">
        <f>IF(B622="","",IF(G622&gt;0,"OUTSTANDING",IF(G622=0,"SETTLED",IF(SUMIF(Transactions!$F$8:$F$3006,B622,Transactions!$Q$8:$Q$3006)&gt;SUMIF(Transactions!$F$8:$F$3006,B622,Transactions!$R$8:$R$3006),"OWES","OVERPAID"))))</f>
        <v/>
      </c>
      <c r="I622" s="1"/>
    </row>
    <row r="623" spans="1:9" ht="18" customHeight="1" x14ac:dyDescent="0.25">
      <c r="A623" s="48">
        <v>608</v>
      </c>
      <c r="B623" s="49" t="str">
        <f t="array" ref="B623">IFERROR(IF(INDEX(Transactions!$F$8:$F$3006,MATCH(0,COUNTIF($B$11:B622,Transactions!$F$8:$F$3006),0))="","",INDEX(Transactions!$F$8:$F$3006,MATCH(0,COUNTIF($B$11:B622,Transactions!$F$8:$F$3006),0))),"")</f>
        <v/>
      </c>
      <c r="C623" s="50" t="str">
        <f>IF(B623="","",SUMIF(Transactions!$F$8:$F$3006,B623,Transactions!$H$8:$H$3006))</f>
        <v/>
      </c>
      <c r="D623" s="51" t="str">
        <f>IF(B623="","",SUMIF(Transactions!$F$8:$F$3006,B623,Transactions!$N$8:$N$3006))</f>
        <v/>
      </c>
      <c r="E623" s="52" t="str">
        <f>IF(B623="","",SUMIF(Transactions!$F$8:$F$3006,B623,Transactions!$O$8:$O$3006))</f>
        <v/>
      </c>
      <c r="F623" s="53" t="str">
        <f>IF(B623="","",SUMIF(Transactions!$F$8:$F$3006,B623,Transactions!$R$8:$R$3006))</f>
        <v/>
      </c>
      <c r="G623" s="54" t="str">
        <f>IF(B623="","",(C623+F623)-(D623+E623+SUMIF(Transactions!$F$8:$F$3006,B623,Transactions!$Q$8:$Q$3006)))</f>
        <v/>
      </c>
      <c r="H623" s="55" t="str">
        <f>IF(B623="","",IF(G623&gt;0,"OUTSTANDING",IF(G623=0,"SETTLED",IF(SUMIF(Transactions!$F$8:$F$3006,B623,Transactions!$Q$8:$Q$3006)&gt;SUMIF(Transactions!$F$8:$F$3006,B623,Transactions!$R$8:$R$3006),"OWES","OVERPAID"))))</f>
        <v/>
      </c>
      <c r="I623" s="1"/>
    </row>
    <row r="624" spans="1:9" ht="18" customHeight="1" x14ac:dyDescent="0.25">
      <c r="A624" s="40">
        <v>609</v>
      </c>
      <c r="B624" s="41" t="str">
        <f t="array" ref="B624">IFERROR(IF(INDEX(Transactions!$F$8:$F$3006,MATCH(0,COUNTIF($B$11:B623,Transactions!$F$8:$F$3006),0))="","",INDEX(Transactions!$F$8:$F$3006,MATCH(0,COUNTIF($B$11:B623,Transactions!$F$8:$F$3006),0))),"")</f>
        <v/>
      </c>
      <c r="C624" s="42" t="str">
        <f>IF(B624="","",SUMIF(Transactions!$F$8:$F$3006,B624,Transactions!$H$8:$H$3006))</f>
        <v/>
      </c>
      <c r="D624" s="43" t="str">
        <f>IF(B624="","",SUMIF(Transactions!$F$8:$F$3006,B624,Transactions!$N$8:$N$3006))</f>
        <v/>
      </c>
      <c r="E624" s="44" t="str">
        <f>IF(B624="","",SUMIF(Transactions!$F$8:$F$3006,B624,Transactions!$O$8:$O$3006))</f>
        <v/>
      </c>
      <c r="F624" s="45" t="str">
        <f>IF(B624="","",SUMIF(Transactions!$F$8:$F$3006,B624,Transactions!$R$8:$R$3006))</f>
        <v/>
      </c>
      <c r="G624" s="46" t="str">
        <f>IF(B624="","",(C624+F624)-(D624+E624+SUMIF(Transactions!$F$8:$F$3006,B624,Transactions!$Q$8:$Q$3006)))</f>
        <v/>
      </c>
      <c r="H624" s="47" t="str">
        <f>IF(B624="","",IF(G624&gt;0,"OUTSTANDING",IF(G624=0,"SETTLED",IF(SUMIF(Transactions!$F$8:$F$3006,B624,Transactions!$Q$8:$Q$3006)&gt;SUMIF(Transactions!$F$8:$F$3006,B624,Transactions!$R$8:$R$3006),"OWES","OVERPAID"))))</f>
        <v/>
      </c>
      <c r="I624" s="1"/>
    </row>
    <row r="625" spans="1:9" ht="18" customHeight="1" x14ac:dyDescent="0.25">
      <c r="A625" s="48">
        <v>610</v>
      </c>
      <c r="B625" s="49" t="str">
        <f t="array" ref="B625">IFERROR(IF(INDEX(Transactions!$F$8:$F$3006,MATCH(0,COUNTIF($B$11:B624,Transactions!$F$8:$F$3006),0))="","",INDEX(Transactions!$F$8:$F$3006,MATCH(0,COUNTIF($B$11:B624,Transactions!$F$8:$F$3006),0))),"")</f>
        <v/>
      </c>
      <c r="C625" s="50" t="str">
        <f>IF(B625="","",SUMIF(Transactions!$F$8:$F$3006,B625,Transactions!$H$8:$H$3006))</f>
        <v/>
      </c>
      <c r="D625" s="51" t="str">
        <f>IF(B625="","",SUMIF(Transactions!$F$8:$F$3006,B625,Transactions!$N$8:$N$3006))</f>
        <v/>
      </c>
      <c r="E625" s="52" t="str">
        <f>IF(B625="","",SUMIF(Transactions!$F$8:$F$3006,B625,Transactions!$O$8:$O$3006))</f>
        <v/>
      </c>
      <c r="F625" s="53" t="str">
        <f>IF(B625="","",SUMIF(Transactions!$F$8:$F$3006,B625,Transactions!$R$8:$R$3006))</f>
        <v/>
      </c>
      <c r="G625" s="54" t="str">
        <f>IF(B625="","",(C625+F625)-(D625+E625+SUMIF(Transactions!$F$8:$F$3006,B625,Transactions!$Q$8:$Q$3006)))</f>
        <v/>
      </c>
      <c r="H625" s="55" t="str">
        <f>IF(B625="","",IF(G625&gt;0,"OUTSTANDING",IF(G625=0,"SETTLED",IF(SUMIF(Transactions!$F$8:$F$3006,B625,Transactions!$Q$8:$Q$3006)&gt;SUMIF(Transactions!$F$8:$F$3006,B625,Transactions!$R$8:$R$3006),"OWES","OVERPAID"))))</f>
        <v/>
      </c>
      <c r="I625" s="1"/>
    </row>
    <row r="626" spans="1:9" ht="18" customHeight="1" x14ac:dyDescent="0.25">
      <c r="A626" s="40">
        <v>611</v>
      </c>
      <c r="B626" s="41" t="str">
        <f t="array" ref="B626">IFERROR(IF(INDEX(Transactions!$F$8:$F$3006,MATCH(0,COUNTIF($B$11:B625,Transactions!$F$8:$F$3006),0))="","",INDEX(Transactions!$F$8:$F$3006,MATCH(0,COUNTIF($B$11:B625,Transactions!$F$8:$F$3006),0))),"")</f>
        <v/>
      </c>
      <c r="C626" s="42" t="str">
        <f>IF(B626="","",SUMIF(Transactions!$F$8:$F$3006,B626,Transactions!$H$8:$H$3006))</f>
        <v/>
      </c>
      <c r="D626" s="43" t="str">
        <f>IF(B626="","",SUMIF(Transactions!$F$8:$F$3006,B626,Transactions!$N$8:$N$3006))</f>
        <v/>
      </c>
      <c r="E626" s="44" t="str">
        <f>IF(B626="","",SUMIF(Transactions!$F$8:$F$3006,B626,Transactions!$O$8:$O$3006))</f>
        <v/>
      </c>
      <c r="F626" s="45" t="str">
        <f>IF(B626="","",SUMIF(Transactions!$F$8:$F$3006,B626,Transactions!$R$8:$R$3006))</f>
        <v/>
      </c>
      <c r="G626" s="46" t="str">
        <f>IF(B626="","",(C626+F626)-(D626+E626+SUMIF(Transactions!$F$8:$F$3006,B626,Transactions!$Q$8:$Q$3006)))</f>
        <v/>
      </c>
      <c r="H626" s="47" t="str">
        <f>IF(B626="","",IF(G626&gt;0,"OUTSTANDING",IF(G626=0,"SETTLED",IF(SUMIF(Transactions!$F$8:$F$3006,B626,Transactions!$Q$8:$Q$3006)&gt;SUMIF(Transactions!$F$8:$F$3006,B626,Transactions!$R$8:$R$3006),"OWES","OVERPAID"))))</f>
        <v/>
      </c>
      <c r="I626" s="1"/>
    </row>
    <row r="627" spans="1:9" ht="18" customHeight="1" x14ac:dyDescent="0.25">
      <c r="A627" s="48">
        <v>612</v>
      </c>
      <c r="B627" s="49" t="str">
        <f t="array" ref="B627">IFERROR(IF(INDEX(Transactions!$F$8:$F$3006,MATCH(0,COUNTIF($B$11:B626,Transactions!$F$8:$F$3006),0))="","",INDEX(Transactions!$F$8:$F$3006,MATCH(0,COUNTIF($B$11:B626,Transactions!$F$8:$F$3006),0))),"")</f>
        <v/>
      </c>
      <c r="C627" s="50" t="str">
        <f>IF(B627="","",SUMIF(Transactions!$F$8:$F$3006,B627,Transactions!$H$8:$H$3006))</f>
        <v/>
      </c>
      <c r="D627" s="51" t="str">
        <f>IF(B627="","",SUMIF(Transactions!$F$8:$F$3006,B627,Transactions!$N$8:$N$3006))</f>
        <v/>
      </c>
      <c r="E627" s="52" t="str">
        <f>IF(B627="","",SUMIF(Transactions!$F$8:$F$3006,B627,Transactions!$O$8:$O$3006))</f>
        <v/>
      </c>
      <c r="F627" s="53" t="str">
        <f>IF(B627="","",SUMIF(Transactions!$F$8:$F$3006,B627,Transactions!$R$8:$R$3006))</f>
        <v/>
      </c>
      <c r="G627" s="54" t="str">
        <f>IF(B627="","",(C627+F627)-(D627+E627+SUMIF(Transactions!$F$8:$F$3006,B627,Transactions!$Q$8:$Q$3006)))</f>
        <v/>
      </c>
      <c r="H627" s="55" t="str">
        <f>IF(B627="","",IF(G627&gt;0,"OUTSTANDING",IF(G627=0,"SETTLED",IF(SUMIF(Transactions!$F$8:$F$3006,B627,Transactions!$Q$8:$Q$3006)&gt;SUMIF(Transactions!$F$8:$F$3006,B627,Transactions!$R$8:$R$3006),"OWES","OVERPAID"))))</f>
        <v/>
      </c>
      <c r="I627" s="1"/>
    </row>
    <row r="628" spans="1:9" ht="18" customHeight="1" x14ac:dyDescent="0.25">
      <c r="A628" s="40">
        <v>613</v>
      </c>
      <c r="B628" s="41" t="str">
        <f t="array" ref="B628">IFERROR(IF(INDEX(Transactions!$F$8:$F$3006,MATCH(0,COUNTIF($B$11:B627,Transactions!$F$8:$F$3006),0))="","",INDEX(Transactions!$F$8:$F$3006,MATCH(0,COUNTIF($B$11:B627,Transactions!$F$8:$F$3006),0))),"")</f>
        <v/>
      </c>
      <c r="C628" s="42" t="str">
        <f>IF(B628="","",SUMIF(Transactions!$F$8:$F$3006,B628,Transactions!$H$8:$H$3006))</f>
        <v/>
      </c>
      <c r="D628" s="43" t="str">
        <f>IF(B628="","",SUMIF(Transactions!$F$8:$F$3006,B628,Transactions!$N$8:$N$3006))</f>
        <v/>
      </c>
      <c r="E628" s="44" t="str">
        <f>IF(B628="","",SUMIF(Transactions!$F$8:$F$3006,B628,Transactions!$O$8:$O$3006))</f>
        <v/>
      </c>
      <c r="F628" s="45" t="str">
        <f>IF(B628="","",SUMIF(Transactions!$F$8:$F$3006,B628,Transactions!$R$8:$R$3006))</f>
        <v/>
      </c>
      <c r="G628" s="46" t="str">
        <f>IF(B628="","",(C628+F628)-(D628+E628+SUMIF(Transactions!$F$8:$F$3006,B628,Transactions!$Q$8:$Q$3006)))</f>
        <v/>
      </c>
      <c r="H628" s="47" t="str">
        <f>IF(B628="","",IF(G628&gt;0,"OUTSTANDING",IF(G628=0,"SETTLED",IF(SUMIF(Transactions!$F$8:$F$3006,B628,Transactions!$Q$8:$Q$3006)&gt;SUMIF(Transactions!$F$8:$F$3006,B628,Transactions!$R$8:$R$3006),"OWES","OVERPAID"))))</f>
        <v/>
      </c>
      <c r="I628" s="1"/>
    </row>
    <row r="629" spans="1:9" ht="18" customHeight="1" x14ac:dyDescent="0.25">
      <c r="A629" s="48">
        <v>614</v>
      </c>
      <c r="B629" s="49" t="str">
        <f t="array" ref="B629">IFERROR(IF(INDEX(Transactions!$F$8:$F$3006,MATCH(0,COUNTIF($B$11:B628,Transactions!$F$8:$F$3006),0))="","",INDEX(Transactions!$F$8:$F$3006,MATCH(0,COUNTIF($B$11:B628,Transactions!$F$8:$F$3006),0))),"")</f>
        <v/>
      </c>
      <c r="C629" s="50" t="str">
        <f>IF(B629="","",SUMIF(Transactions!$F$8:$F$3006,B629,Transactions!$H$8:$H$3006))</f>
        <v/>
      </c>
      <c r="D629" s="51" t="str">
        <f>IF(B629="","",SUMIF(Transactions!$F$8:$F$3006,B629,Transactions!$N$8:$N$3006))</f>
        <v/>
      </c>
      <c r="E629" s="52" t="str">
        <f>IF(B629="","",SUMIF(Transactions!$F$8:$F$3006,B629,Transactions!$O$8:$O$3006))</f>
        <v/>
      </c>
      <c r="F629" s="53" t="str">
        <f>IF(B629="","",SUMIF(Transactions!$F$8:$F$3006,B629,Transactions!$R$8:$R$3006))</f>
        <v/>
      </c>
      <c r="G629" s="54" t="str">
        <f>IF(B629="","",(C629+F629)-(D629+E629+SUMIF(Transactions!$F$8:$F$3006,B629,Transactions!$Q$8:$Q$3006)))</f>
        <v/>
      </c>
      <c r="H629" s="55" t="str">
        <f>IF(B629="","",IF(G629&gt;0,"OUTSTANDING",IF(G629=0,"SETTLED",IF(SUMIF(Transactions!$F$8:$F$3006,B629,Transactions!$Q$8:$Q$3006)&gt;SUMIF(Transactions!$F$8:$F$3006,B629,Transactions!$R$8:$R$3006),"OWES","OVERPAID"))))</f>
        <v/>
      </c>
      <c r="I629" s="1"/>
    </row>
    <row r="630" spans="1:9" ht="18" customHeight="1" x14ac:dyDescent="0.25">
      <c r="A630" s="40">
        <v>615</v>
      </c>
      <c r="B630" s="41" t="str">
        <f t="array" ref="B630">IFERROR(IF(INDEX(Transactions!$F$8:$F$3006,MATCH(0,COUNTIF($B$11:B629,Transactions!$F$8:$F$3006),0))="","",INDEX(Transactions!$F$8:$F$3006,MATCH(0,COUNTIF($B$11:B629,Transactions!$F$8:$F$3006),0))),"")</f>
        <v/>
      </c>
      <c r="C630" s="42" t="str">
        <f>IF(B630="","",SUMIF(Transactions!$F$8:$F$3006,B630,Transactions!$H$8:$H$3006))</f>
        <v/>
      </c>
      <c r="D630" s="43" t="str">
        <f>IF(B630="","",SUMIF(Transactions!$F$8:$F$3006,B630,Transactions!$N$8:$N$3006))</f>
        <v/>
      </c>
      <c r="E630" s="44" t="str">
        <f>IF(B630="","",SUMIF(Transactions!$F$8:$F$3006,B630,Transactions!$O$8:$O$3006))</f>
        <v/>
      </c>
      <c r="F630" s="45" t="str">
        <f>IF(B630="","",SUMIF(Transactions!$F$8:$F$3006,B630,Transactions!$R$8:$R$3006))</f>
        <v/>
      </c>
      <c r="G630" s="46" t="str">
        <f>IF(B630="","",(C630+F630)-(D630+E630+SUMIF(Transactions!$F$8:$F$3006,B630,Transactions!$Q$8:$Q$3006)))</f>
        <v/>
      </c>
      <c r="H630" s="47" t="str">
        <f>IF(B630="","",IF(G630&gt;0,"OUTSTANDING",IF(G630=0,"SETTLED",IF(SUMIF(Transactions!$F$8:$F$3006,B630,Transactions!$Q$8:$Q$3006)&gt;SUMIF(Transactions!$F$8:$F$3006,B630,Transactions!$R$8:$R$3006),"OWES","OVERPAID"))))</f>
        <v/>
      </c>
      <c r="I630" s="1"/>
    </row>
    <row r="631" spans="1:9" ht="18" customHeight="1" x14ac:dyDescent="0.25">
      <c r="A631" s="48">
        <v>616</v>
      </c>
      <c r="B631" s="49" t="str">
        <f t="array" ref="B631">IFERROR(IF(INDEX(Transactions!$F$8:$F$3006,MATCH(0,COUNTIF($B$11:B630,Transactions!$F$8:$F$3006),0))="","",INDEX(Transactions!$F$8:$F$3006,MATCH(0,COUNTIF($B$11:B630,Transactions!$F$8:$F$3006),0))),"")</f>
        <v/>
      </c>
      <c r="C631" s="50" t="str">
        <f>IF(B631="","",SUMIF(Transactions!$F$8:$F$3006,B631,Transactions!$H$8:$H$3006))</f>
        <v/>
      </c>
      <c r="D631" s="51" t="str">
        <f>IF(B631="","",SUMIF(Transactions!$F$8:$F$3006,B631,Transactions!$N$8:$N$3006))</f>
        <v/>
      </c>
      <c r="E631" s="52" t="str">
        <f>IF(B631="","",SUMIF(Transactions!$F$8:$F$3006,B631,Transactions!$O$8:$O$3006))</f>
        <v/>
      </c>
      <c r="F631" s="53" t="str">
        <f>IF(B631="","",SUMIF(Transactions!$F$8:$F$3006,B631,Transactions!$R$8:$R$3006))</f>
        <v/>
      </c>
      <c r="G631" s="54" t="str">
        <f>IF(B631="","",(C631+F631)-(D631+E631+SUMIF(Transactions!$F$8:$F$3006,B631,Transactions!$Q$8:$Q$3006)))</f>
        <v/>
      </c>
      <c r="H631" s="55" t="str">
        <f>IF(B631="","",IF(G631&gt;0,"OUTSTANDING",IF(G631=0,"SETTLED",IF(SUMIF(Transactions!$F$8:$F$3006,B631,Transactions!$Q$8:$Q$3006)&gt;SUMIF(Transactions!$F$8:$F$3006,B631,Transactions!$R$8:$R$3006),"OWES","OVERPAID"))))</f>
        <v/>
      </c>
      <c r="I631" s="1"/>
    </row>
    <row r="632" spans="1:9" ht="18" customHeight="1" x14ac:dyDescent="0.25">
      <c r="A632" s="40">
        <v>617</v>
      </c>
      <c r="B632" s="41" t="str">
        <f t="array" ref="B632">IFERROR(IF(INDEX(Transactions!$F$8:$F$3006,MATCH(0,COUNTIF($B$11:B631,Transactions!$F$8:$F$3006),0))="","",INDEX(Transactions!$F$8:$F$3006,MATCH(0,COUNTIF($B$11:B631,Transactions!$F$8:$F$3006),0))),"")</f>
        <v/>
      </c>
      <c r="C632" s="42" t="str">
        <f>IF(B632="","",SUMIF(Transactions!$F$8:$F$3006,B632,Transactions!$H$8:$H$3006))</f>
        <v/>
      </c>
      <c r="D632" s="43" t="str">
        <f>IF(B632="","",SUMIF(Transactions!$F$8:$F$3006,B632,Transactions!$N$8:$N$3006))</f>
        <v/>
      </c>
      <c r="E632" s="44" t="str">
        <f>IF(B632="","",SUMIF(Transactions!$F$8:$F$3006,B632,Transactions!$O$8:$O$3006))</f>
        <v/>
      </c>
      <c r="F632" s="45" t="str">
        <f>IF(B632="","",SUMIF(Transactions!$F$8:$F$3006,B632,Transactions!$R$8:$R$3006))</f>
        <v/>
      </c>
      <c r="G632" s="46" t="str">
        <f>IF(B632="","",(C632+F632)-(D632+E632+SUMIF(Transactions!$F$8:$F$3006,B632,Transactions!$Q$8:$Q$3006)))</f>
        <v/>
      </c>
      <c r="H632" s="47" t="str">
        <f>IF(B632="","",IF(G632&gt;0,"OUTSTANDING",IF(G632=0,"SETTLED",IF(SUMIF(Transactions!$F$8:$F$3006,B632,Transactions!$Q$8:$Q$3006)&gt;SUMIF(Transactions!$F$8:$F$3006,B632,Transactions!$R$8:$R$3006),"OWES","OVERPAID"))))</f>
        <v/>
      </c>
      <c r="I632" s="1"/>
    </row>
    <row r="633" spans="1:9" ht="18" customHeight="1" x14ac:dyDescent="0.25">
      <c r="A633" s="48">
        <v>618</v>
      </c>
      <c r="B633" s="49" t="str">
        <f t="array" ref="B633">IFERROR(IF(INDEX(Transactions!$F$8:$F$3006,MATCH(0,COUNTIF($B$11:B632,Transactions!$F$8:$F$3006),0))="","",INDEX(Transactions!$F$8:$F$3006,MATCH(0,COUNTIF($B$11:B632,Transactions!$F$8:$F$3006),0))),"")</f>
        <v/>
      </c>
      <c r="C633" s="50" t="str">
        <f>IF(B633="","",SUMIF(Transactions!$F$8:$F$3006,B633,Transactions!$H$8:$H$3006))</f>
        <v/>
      </c>
      <c r="D633" s="51" t="str">
        <f>IF(B633="","",SUMIF(Transactions!$F$8:$F$3006,B633,Transactions!$N$8:$N$3006))</f>
        <v/>
      </c>
      <c r="E633" s="52" t="str">
        <f>IF(B633="","",SUMIF(Transactions!$F$8:$F$3006,B633,Transactions!$O$8:$O$3006))</f>
        <v/>
      </c>
      <c r="F633" s="53" t="str">
        <f>IF(B633="","",SUMIF(Transactions!$F$8:$F$3006,B633,Transactions!$R$8:$R$3006))</f>
        <v/>
      </c>
      <c r="G633" s="54" t="str">
        <f>IF(B633="","",(C633+F633)-(D633+E633+SUMIF(Transactions!$F$8:$F$3006,B633,Transactions!$Q$8:$Q$3006)))</f>
        <v/>
      </c>
      <c r="H633" s="55" t="str">
        <f>IF(B633="","",IF(G633&gt;0,"OUTSTANDING",IF(G633=0,"SETTLED",IF(SUMIF(Transactions!$F$8:$F$3006,B633,Transactions!$Q$8:$Q$3006)&gt;SUMIF(Transactions!$F$8:$F$3006,B633,Transactions!$R$8:$R$3006),"OWES","OVERPAID"))))</f>
        <v/>
      </c>
      <c r="I633" s="1"/>
    </row>
    <row r="634" spans="1:9" ht="18" customHeight="1" x14ac:dyDescent="0.25">
      <c r="A634" s="40">
        <v>619</v>
      </c>
      <c r="B634" s="41" t="str">
        <f t="array" ref="B634">IFERROR(IF(INDEX(Transactions!$F$8:$F$3006,MATCH(0,COUNTIF($B$11:B633,Transactions!$F$8:$F$3006),0))="","",INDEX(Transactions!$F$8:$F$3006,MATCH(0,COUNTIF($B$11:B633,Transactions!$F$8:$F$3006),0))),"")</f>
        <v/>
      </c>
      <c r="C634" s="42" t="str">
        <f>IF(B634="","",SUMIF(Transactions!$F$8:$F$3006,B634,Transactions!$H$8:$H$3006))</f>
        <v/>
      </c>
      <c r="D634" s="43" t="str">
        <f>IF(B634="","",SUMIF(Transactions!$F$8:$F$3006,B634,Transactions!$N$8:$N$3006))</f>
        <v/>
      </c>
      <c r="E634" s="44" t="str">
        <f>IF(B634="","",SUMIF(Transactions!$F$8:$F$3006,B634,Transactions!$O$8:$O$3006))</f>
        <v/>
      </c>
      <c r="F634" s="45" t="str">
        <f>IF(B634="","",SUMIF(Transactions!$F$8:$F$3006,B634,Transactions!$R$8:$R$3006))</f>
        <v/>
      </c>
      <c r="G634" s="46" t="str">
        <f>IF(B634="","",(C634+F634)-(D634+E634+SUMIF(Transactions!$F$8:$F$3006,B634,Transactions!$Q$8:$Q$3006)))</f>
        <v/>
      </c>
      <c r="H634" s="47" t="str">
        <f>IF(B634="","",IF(G634&gt;0,"OUTSTANDING",IF(G634=0,"SETTLED",IF(SUMIF(Transactions!$F$8:$F$3006,B634,Transactions!$Q$8:$Q$3006)&gt;SUMIF(Transactions!$F$8:$F$3006,B634,Transactions!$R$8:$R$3006),"OWES","OVERPAID"))))</f>
        <v/>
      </c>
      <c r="I634" s="1"/>
    </row>
    <row r="635" spans="1:9" ht="18" customHeight="1" x14ac:dyDescent="0.25">
      <c r="A635" s="48">
        <v>620</v>
      </c>
      <c r="B635" s="49" t="str">
        <f t="array" ref="B635">IFERROR(IF(INDEX(Transactions!$F$8:$F$3006,MATCH(0,COUNTIF($B$11:B634,Transactions!$F$8:$F$3006),0))="","",INDEX(Transactions!$F$8:$F$3006,MATCH(0,COUNTIF($B$11:B634,Transactions!$F$8:$F$3006),0))),"")</f>
        <v/>
      </c>
      <c r="C635" s="50" t="str">
        <f>IF(B635="","",SUMIF(Transactions!$F$8:$F$3006,B635,Transactions!$H$8:$H$3006))</f>
        <v/>
      </c>
      <c r="D635" s="51" t="str">
        <f>IF(B635="","",SUMIF(Transactions!$F$8:$F$3006,B635,Transactions!$N$8:$N$3006))</f>
        <v/>
      </c>
      <c r="E635" s="52" t="str">
        <f>IF(B635="","",SUMIF(Transactions!$F$8:$F$3006,B635,Transactions!$O$8:$O$3006))</f>
        <v/>
      </c>
      <c r="F635" s="53" t="str">
        <f>IF(B635="","",SUMIF(Transactions!$F$8:$F$3006,B635,Transactions!$R$8:$R$3006))</f>
        <v/>
      </c>
      <c r="G635" s="54" t="str">
        <f>IF(B635="","",(C635+F635)-(D635+E635+SUMIF(Transactions!$F$8:$F$3006,B635,Transactions!$Q$8:$Q$3006)))</f>
        <v/>
      </c>
      <c r="H635" s="55" t="str">
        <f>IF(B635="","",IF(G635&gt;0,"OUTSTANDING",IF(G635=0,"SETTLED",IF(SUMIF(Transactions!$F$8:$F$3006,B635,Transactions!$Q$8:$Q$3006)&gt;SUMIF(Transactions!$F$8:$F$3006,B635,Transactions!$R$8:$R$3006),"OWES","OVERPAID"))))</f>
        <v/>
      </c>
      <c r="I635" s="1"/>
    </row>
    <row r="636" spans="1:9" ht="18" customHeight="1" x14ac:dyDescent="0.25">
      <c r="A636" s="40">
        <v>621</v>
      </c>
      <c r="B636" s="41" t="str">
        <f t="array" ref="B636">IFERROR(IF(INDEX(Transactions!$F$8:$F$3006,MATCH(0,COUNTIF($B$11:B635,Transactions!$F$8:$F$3006),0))="","",INDEX(Transactions!$F$8:$F$3006,MATCH(0,COUNTIF($B$11:B635,Transactions!$F$8:$F$3006),0))),"")</f>
        <v/>
      </c>
      <c r="C636" s="42" t="str">
        <f>IF(B636="","",SUMIF(Transactions!$F$8:$F$3006,B636,Transactions!$H$8:$H$3006))</f>
        <v/>
      </c>
      <c r="D636" s="43" t="str">
        <f>IF(B636="","",SUMIF(Transactions!$F$8:$F$3006,B636,Transactions!$N$8:$N$3006))</f>
        <v/>
      </c>
      <c r="E636" s="44" t="str">
        <f>IF(B636="","",SUMIF(Transactions!$F$8:$F$3006,B636,Transactions!$O$8:$O$3006))</f>
        <v/>
      </c>
      <c r="F636" s="45" t="str">
        <f>IF(B636="","",SUMIF(Transactions!$F$8:$F$3006,B636,Transactions!$R$8:$R$3006))</f>
        <v/>
      </c>
      <c r="G636" s="46" t="str">
        <f>IF(B636="","",(C636+F636)-(D636+E636+SUMIF(Transactions!$F$8:$F$3006,B636,Transactions!$Q$8:$Q$3006)))</f>
        <v/>
      </c>
      <c r="H636" s="47" t="str">
        <f>IF(B636="","",IF(G636&gt;0,"OUTSTANDING",IF(G636=0,"SETTLED",IF(SUMIF(Transactions!$F$8:$F$3006,B636,Transactions!$Q$8:$Q$3006)&gt;SUMIF(Transactions!$F$8:$F$3006,B636,Transactions!$R$8:$R$3006),"OWES","OVERPAID"))))</f>
        <v/>
      </c>
      <c r="I636" s="1"/>
    </row>
    <row r="637" spans="1:9" ht="18" customHeight="1" x14ac:dyDescent="0.25">
      <c r="A637" s="48">
        <v>622</v>
      </c>
      <c r="B637" s="49" t="str">
        <f t="array" ref="B637">IFERROR(IF(INDEX(Transactions!$F$8:$F$3006,MATCH(0,COUNTIF($B$11:B636,Transactions!$F$8:$F$3006),0))="","",INDEX(Transactions!$F$8:$F$3006,MATCH(0,COUNTIF($B$11:B636,Transactions!$F$8:$F$3006),0))),"")</f>
        <v/>
      </c>
      <c r="C637" s="50" t="str">
        <f>IF(B637="","",SUMIF(Transactions!$F$8:$F$3006,B637,Transactions!$H$8:$H$3006))</f>
        <v/>
      </c>
      <c r="D637" s="51" t="str">
        <f>IF(B637="","",SUMIF(Transactions!$F$8:$F$3006,B637,Transactions!$N$8:$N$3006))</f>
        <v/>
      </c>
      <c r="E637" s="52" t="str">
        <f>IF(B637="","",SUMIF(Transactions!$F$8:$F$3006,B637,Transactions!$O$8:$O$3006))</f>
        <v/>
      </c>
      <c r="F637" s="53" t="str">
        <f>IF(B637="","",SUMIF(Transactions!$F$8:$F$3006,B637,Transactions!$R$8:$R$3006))</f>
        <v/>
      </c>
      <c r="G637" s="54" t="str">
        <f>IF(B637="","",(C637+F637)-(D637+E637+SUMIF(Transactions!$F$8:$F$3006,B637,Transactions!$Q$8:$Q$3006)))</f>
        <v/>
      </c>
      <c r="H637" s="55" t="str">
        <f>IF(B637="","",IF(G637&gt;0,"OUTSTANDING",IF(G637=0,"SETTLED",IF(SUMIF(Transactions!$F$8:$F$3006,B637,Transactions!$Q$8:$Q$3006)&gt;SUMIF(Transactions!$F$8:$F$3006,B637,Transactions!$R$8:$R$3006),"OWES","OVERPAID"))))</f>
        <v/>
      </c>
      <c r="I637" s="1"/>
    </row>
    <row r="638" spans="1:9" ht="18" customHeight="1" x14ac:dyDescent="0.25">
      <c r="A638" s="40">
        <v>623</v>
      </c>
      <c r="B638" s="41" t="str">
        <f t="array" ref="B638">IFERROR(IF(INDEX(Transactions!$F$8:$F$3006,MATCH(0,COUNTIF($B$11:B637,Transactions!$F$8:$F$3006),0))="","",INDEX(Transactions!$F$8:$F$3006,MATCH(0,COUNTIF($B$11:B637,Transactions!$F$8:$F$3006),0))),"")</f>
        <v/>
      </c>
      <c r="C638" s="42" t="str">
        <f>IF(B638="","",SUMIF(Transactions!$F$8:$F$3006,B638,Transactions!$H$8:$H$3006))</f>
        <v/>
      </c>
      <c r="D638" s="43" t="str">
        <f>IF(B638="","",SUMIF(Transactions!$F$8:$F$3006,B638,Transactions!$N$8:$N$3006))</f>
        <v/>
      </c>
      <c r="E638" s="44" t="str">
        <f>IF(B638="","",SUMIF(Transactions!$F$8:$F$3006,B638,Transactions!$O$8:$O$3006))</f>
        <v/>
      </c>
      <c r="F638" s="45" t="str">
        <f>IF(B638="","",SUMIF(Transactions!$F$8:$F$3006,B638,Transactions!$R$8:$R$3006))</f>
        <v/>
      </c>
      <c r="G638" s="46" t="str">
        <f>IF(B638="","",(C638+F638)-(D638+E638+SUMIF(Transactions!$F$8:$F$3006,B638,Transactions!$Q$8:$Q$3006)))</f>
        <v/>
      </c>
      <c r="H638" s="47" t="str">
        <f>IF(B638="","",IF(G638&gt;0,"OUTSTANDING",IF(G638=0,"SETTLED",IF(SUMIF(Transactions!$F$8:$F$3006,B638,Transactions!$Q$8:$Q$3006)&gt;SUMIF(Transactions!$F$8:$F$3006,B638,Transactions!$R$8:$R$3006),"OWES","OVERPAID"))))</f>
        <v/>
      </c>
      <c r="I638" s="1"/>
    </row>
    <row r="639" spans="1:9" ht="18" customHeight="1" x14ac:dyDescent="0.25">
      <c r="A639" s="48">
        <v>624</v>
      </c>
      <c r="B639" s="49" t="str">
        <f t="array" ref="B639">IFERROR(IF(INDEX(Transactions!$F$8:$F$3006,MATCH(0,COUNTIF($B$11:B638,Transactions!$F$8:$F$3006),0))="","",INDEX(Transactions!$F$8:$F$3006,MATCH(0,COUNTIF($B$11:B638,Transactions!$F$8:$F$3006),0))),"")</f>
        <v/>
      </c>
      <c r="C639" s="50" t="str">
        <f>IF(B639="","",SUMIF(Transactions!$F$8:$F$3006,B639,Transactions!$H$8:$H$3006))</f>
        <v/>
      </c>
      <c r="D639" s="51" t="str">
        <f>IF(B639="","",SUMIF(Transactions!$F$8:$F$3006,B639,Transactions!$N$8:$N$3006))</f>
        <v/>
      </c>
      <c r="E639" s="52" t="str">
        <f>IF(B639="","",SUMIF(Transactions!$F$8:$F$3006,B639,Transactions!$O$8:$O$3006))</f>
        <v/>
      </c>
      <c r="F639" s="53" t="str">
        <f>IF(B639="","",SUMIF(Transactions!$F$8:$F$3006,B639,Transactions!$R$8:$R$3006))</f>
        <v/>
      </c>
      <c r="G639" s="54" t="str">
        <f>IF(B639="","",(C639+F639)-(D639+E639+SUMIF(Transactions!$F$8:$F$3006,B639,Transactions!$Q$8:$Q$3006)))</f>
        <v/>
      </c>
      <c r="H639" s="55" t="str">
        <f>IF(B639="","",IF(G639&gt;0,"OUTSTANDING",IF(G639=0,"SETTLED",IF(SUMIF(Transactions!$F$8:$F$3006,B639,Transactions!$Q$8:$Q$3006)&gt;SUMIF(Transactions!$F$8:$F$3006,B639,Transactions!$R$8:$R$3006),"OWES","OVERPAID"))))</f>
        <v/>
      </c>
      <c r="I639" s="1"/>
    </row>
    <row r="640" spans="1:9" ht="18" customHeight="1" x14ac:dyDescent="0.25">
      <c r="A640" s="40">
        <v>625</v>
      </c>
      <c r="B640" s="41" t="str">
        <f t="array" ref="B640">IFERROR(IF(INDEX(Transactions!$F$8:$F$3006,MATCH(0,COUNTIF($B$11:B639,Transactions!$F$8:$F$3006),0))="","",INDEX(Transactions!$F$8:$F$3006,MATCH(0,COUNTIF($B$11:B639,Transactions!$F$8:$F$3006),0))),"")</f>
        <v/>
      </c>
      <c r="C640" s="42" t="str">
        <f>IF(B640="","",SUMIF(Transactions!$F$8:$F$3006,B640,Transactions!$H$8:$H$3006))</f>
        <v/>
      </c>
      <c r="D640" s="43" t="str">
        <f>IF(B640="","",SUMIF(Transactions!$F$8:$F$3006,B640,Transactions!$N$8:$N$3006))</f>
        <v/>
      </c>
      <c r="E640" s="44" t="str">
        <f>IF(B640="","",SUMIF(Transactions!$F$8:$F$3006,B640,Transactions!$O$8:$O$3006))</f>
        <v/>
      </c>
      <c r="F640" s="45" t="str">
        <f>IF(B640="","",SUMIF(Transactions!$F$8:$F$3006,B640,Transactions!$R$8:$R$3006))</f>
        <v/>
      </c>
      <c r="G640" s="46" t="str">
        <f>IF(B640="","",(C640+F640)-(D640+E640+SUMIF(Transactions!$F$8:$F$3006,B640,Transactions!$Q$8:$Q$3006)))</f>
        <v/>
      </c>
      <c r="H640" s="47" t="str">
        <f>IF(B640="","",IF(G640&gt;0,"OUTSTANDING",IF(G640=0,"SETTLED",IF(SUMIF(Transactions!$F$8:$F$3006,B640,Transactions!$Q$8:$Q$3006)&gt;SUMIF(Transactions!$F$8:$F$3006,B640,Transactions!$R$8:$R$3006),"OWES","OVERPAID"))))</f>
        <v/>
      </c>
      <c r="I640" s="1"/>
    </row>
    <row r="641" spans="1:9" ht="18" customHeight="1" x14ac:dyDescent="0.25">
      <c r="A641" s="48">
        <v>626</v>
      </c>
      <c r="B641" s="49" t="str">
        <f t="array" ref="B641">IFERROR(IF(INDEX(Transactions!$F$8:$F$3006,MATCH(0,COUNTIF($B$11:B640,Transactions!$F$8:$F$3006),0))="","",INDEX(Transactions!$F$8:$F$3006,MATCH(0,COUNTIF($B$11:B640,Transactions!$F$8:$F$3006),0))),"")</f>
        <v/>
      </c>
      <c r="C641" s="50" t="str">
        <f>IF(B641="","",SUMIF(Transactions!$F$8:$F$3006,B641,Transactions!$H$8:$H$3006))</f>
        <v/>
      </c>
      <c r="D641" s="51" t="str">
        <f>IF(B641="","",SUMIF(Transactions!$F$8:$F$3006,B641,Transactions!$N$8:$N$3006))</f>
        <v/>
      </c>
      <c r="E641" s="52" t="str">
        <f>IF(B641="","",SUMIF(Transactions!$F$8:$F$3006,B641,Transactions!$O$8:$O$3006))</f>
        <v/>
      </c>
      <c r="F641" s="53" t="str">
        <f>IF(B641="","",SUMIF(Transactions!$F$8:$F$3006,B641,Transactions!$R$8:$R$3006))</f>
        <v/>
      </c>
      <c r="G641" s="54" t="str">
        <f>IF(B641="","",(C641+F641)-(D641+E641+SUMIF(Transactions!$F$8:$F$3006,B641,Transactions!$Q$8:$Q$3006)))</f>
        <v/>
      </c>
      <c r="H641" s="55" t="str">
        <f>IF(B641="","",IF(G641&gt;0,"OUTSTANDING",IF(G641=0,"SETTLED",IF(SUMIF(Transactions!$F$8:$F$3006,B641,Transactions!$Q$8:$Q$3006)&gt;SUMIF(Transactions!$F$8:$F$3006,B641,Transactions!$R$8:$R$3006),"OWES","OVERPAID"))))</f>
        <v/>
      </c>
      <c r="I641" s="1"/>
    </row>
    <row r="642" spans="1:9" ht="18" customHeight="1" x14ac:dyDescent="0.25">
      <c r="A642" s="40">
        <v>627</v>
      </c>
      <c r="B642" s="41" t="str">
        <f t="array" ref="B642">IFERROR(IF(INDEX(Transactions!$F$8:$F$3006,MATCH(0,COUNTIF($B$11:B641,Transactions!$F$8:$F$3006),0))="","",INDEX(Transactions!$F$8:$F$3006,MATCH(0,COUNTIF($B$11:B641,Transactions!$F$8:$F$3006),0))),"")</f>
        <v/>
      </c>
      <c r="C642" s="42" t="str">
        <f>IF(B642="","",SUMIF(Transactions!$F$8:$F$3006,B642,Transactions!$H$8:$H$3006))</f>
        <v/>
      </c>
      <c r="D642" s="43" t="str">
        <f>IF(B642="","",SUMIF(Transactions!$F$8:$F$3006,B642,Transactions!$N$8:$N$3006))</f>
        <v/>
      </c>
      <c r="E642" s="44" t="str">
        <f>IF(B642="","",SUMIF(Transactions!$F$8:$F$3006,B642,Transactions!$O$8:$O$3006))</f>
        <v/>
      </c>
      <c r="F642" s="45" t="str">
        <f>IF(B642="","",SUMIF(Transactions!$F$8:$F$3006,B642,Transactions!$R$8:$R$3006))</f>
        <v/>
      </c>
      <c r="G642" s="46" t="str">
        <f>IF(B642="","",(C642+F642)-(D642+E642+SUMIF(Transactions!$F$8:$F$3006,B642,Transactions!$Q$8:$Q$3006)))</f>
        <v/>
      </c>
      <c r="H642" s="47" t="str">
        <f>IF(B642="","",IF(G642&gt;0,"OUTSTANDING",IF(G642=0,"SETTLED",IF(SUMIF(Transactions!$F$8:$F$3006,B642,Transactions!$Q$8:$Q$3006)&gt;SUMIF(Transactions!$F$8:$F$3006,B642,Transactions!$R$8:$R$3006),"OWES","OVERPAID"))))</f>
        <v/>
      </c>
      <c r="I642" s="1"/>
    </row>
    <row r="643" spans="1:9" ht="18" customHeight="1" x14ac:dyDescent="0.25">
      <c r="A643" s="48">
        <v>628</v>
      </c>
      <c r="B643" s="49" t="str">
        <f t="array" ref="B643">IFERROR(IF(INDEX(Transactions!$F$8:$F$3006,MATCH(0,COUNTIF($B$11:B642,Transactions!$F$8:$F$3006),0))="","",INDEX(Transactions!$F$8:$F$3006,MATCH(0,COUNTIF($B$11:B642,Transactions!$F$8:$F$3006),0))),"")</f>
        <v/>
      </c>
      <c r="C643" s="50" t="str">
        <f>IF(B643="","",SUMIF(Transactions!$F$8:$F$3006,B643,Transactions!$H$8:$H$3006))</f>
        <v/>
      </c>
      <c r="D643" s="51" t="str">
        <f>IF(B643="","",SUMIF(Transactions!$F$8:$F$3006,B643,Transactions!$N$8:$N$3006))</f>
        <v/>
      </c>
      <c r="E643" s="52" t="str">
        <f>IF(B643="","",SUMIF(Transactions!$F$8:$F$3006,B643,Transactions!$O$8:$O$3006))</f>
        <v/>
      </c>
      <c r="F643" s="53" t="str">
        <f>IF(B643="","",SUMIF(Transactions!$F$8:$F$3006,B643,Transactions!$R$8:$R$3006))</f>
        <v/>
      </c>
      <c r="G643" s="54" t="str">
        <f>IF(B643="","",(C643+F643)-(D643+E643+SUMIF(Transactions!$F$8:$F$3006,B643,Transactions!$Q$8:$Q$3006)))</f>
        <v/>
      </c>
      <c r="H643" s="55" t="str">
        <f>IF(B643="","",IF(G643&gt;0,"OUTSTANDING",IF(G643=0,"SETTLED",IF(SUMIF(Transactions!$F$8:$F$3006,B643,Transactions!$Q$8:$Q$3006)&gt;SUMIF(Transactions!$F$8:$F$3006,B643,Transactions!$R$8:$R$3006),"OWES","OVERPAID"))))</f>
        <v/>
      </c>
      <c r="I643" s="1"/>
    </row>
    <row r="644" spans="1:9" ht="18" customHeight="1" x14ac:dyDescent="0.25">
      <c r="A644" s="40">
        <v>629</v>
      </c>
      <c r="B644" s="41" t="str">
        <f t="array" ref="B644">IFERROR(IF(INDEX(Transactions!$F$8:$F$3006,MATCH(0,COUNTIF($B$11:B643,Transactions!$F$8:$F$3006),0))="","",INDEX(Transactions!$F$8:$F$3006,MATCH(0,COUNTIF($B$11:B643,Transactions!$F$8:$F$3006),0))),"")</f>
        <v/>
      </c>
      <c r="C644" s="42" t="str">
        <f>IF(B644="","",SUMIF(Transactions!$F$8:$F$3006,B644,Transactions!$H$8:$H$3006))</f>
        <v/>
      </c>
      <c r="D644" s="43" t="str">
        <f>IF(B644="","",SUMIF(Transactions!$F$8:$F$3006,B644,Transactions!$N$8:$N$3006))</f>
        <v/>
      </c>
      <c r="E644" s="44" t="str">
        <f>IF(B644="","",SUMIF(Transactions!$F$8:$F$3006,B644,Transactions!$O$8:$O$3006))</f>
        <v/>
      </c>
      <c r="F644" s="45" t="str">
        <f>IF(B644="","",SUMIF(Transactions!$F$8:$F$3006,B644,Transactions!$R$8:$R$3006))</f>
        <v/>
      </c>
      <c r="G644" s="46" t="str">
        <f>IF(B644="","",(C644+F644)-(D644+E644+SUMIF(Transactions!$F$8:$F$3006,B644,Transactions!$Q$8:$Q$3006)))</f>
        <v/>
      </c>
      <c r="H644" s="47" t="str">
        <f>IF(B644="","",IF(G644&gt;0,"OUTSTANDING",IF(G644=0,"SETTLED",IF(SUMIF(Transactions!$F$8:$F$3006,B644,Transactions!$Q$8:$Q$3006)&gt;SUMIF(Transactions!$F$8:$F$3006,B644,Transactions!$R$8:$R$3006),"OWES","OVERPAID"))))</f>
        <v/>
      </c>
      <c r="I644" s="1"/>
    </row>
    <row r="645" spans="1:9" ht="18" customHeight="1" x14ac:dyDescent="0.25">
      <c r="A645" s="48">
        <v>630</v>
      </c>
      <c r="B645" s="49" t="str">
        <f t="array" ref="B645">IFERROR(IF(INDEX(Transactions!$F$8:$F$3006,MATCH(0,COUNTIF($B$11:B644,Transactions!$F$8:$F$3006),0))="","",INDEX(Transactions!$F$8:$F$3006,MATCH(0,COUNTIF($B$11:B644,Transactions!$F$8:$F$3006),0))),"")</f>
        <v/>
      </c>
      <c r="C645" s="50" t="str">
        <f>IF(B645="","",SUMIF(Transactions!$F$8:$F$3006,B645,Transactions!$H$8:$H$3006))</f>
        <v/>
      </c>
      <c r="D645" s="51" t="str">
        <f>IF(B645="","",SUMIF(Transactions!$F$8:$F$3006,B645,Transactions!$N$8:$N$3006))</f>
        <v/>
      </c>
      <c r="E645" s="52" t="str">
        <f>IF(B645="","",SUMIF(Transactions!$F$8:$F$3006,B645,Transactions!$O$8:$O$3006))</f>
        <v/>
      </c>
      <c r="F645" s="53" t="str">
        <f>IF(B645="","",SUMIF(Transactions!$F$8:$F$3006,B645,Transactions!$R$8:$R$3006))</f>
        <v/>
      </c>
      <c r="G645" s="54" t="str">
        <f>IF(B645="","",(C645+F645)-(D645+E645+SUMIF(Transactions!$F$8:$F$3006,B645,Transactions!$Q$8:$Q$3006)))</f>
        <v/>
      </c>
      <c r="H645" s="55" t="str">
        <f>IF(B645="","",IF(G645&gt;0,"OUTSTANDING",IF(G645=0,"SETTLED",IF(SUMIF(Transactions!$F$8:$F$3006,B645,Transactions!$Q$8:$Q$3006)&gt;SUMIF(Transactions!$F$8:$F$3006,B645,Transactions!$R$8:$R$3006),"OWES","OVERPAID"))))</f>
        <v/>
      </c>
      <c r="I645" s="1"/>
    </row>
    <row r="646" spans="1:9" ht="18" customHeight="1" x14ac:dyDescent="0.25">
      <c r="A646" s="40">
        <v>631</v>
      </c>
      <c r="B646" s="41" t="str">
        <f t="array" ref="B646">IFERROR(IF(INDEX(Transactions!$F$8:$F$3006,MATCH(0,COUNTIF($B$11:B645,Transactions!$F$8:$F$3006),0))="","",INDEX(Transactions!$F$8:$F$3006,MATCH(0,COUNTIF($B$11:B645,Transactions!$F$8:$F$3006),0))),"")</f>
        <v/>
      </c>
      <c r="C646" s="42" t="str">
        <f>IF(B646="","",SUMIF(Transactions!$F$8:$F$3006,B646,Transactions!$H$8:$H$3006))</f>
        <v/>
      </c>
      <c r="D646" s="43" t="str">
        <f>IF(B646="","",SUMIF(Transactions!$F$8:$F$3006,B646,Transactions!$N$8:$N$3006))</f>
        <v/>
      </c>
      <c r="E646" s="44" t="str">
        <f>IF(B646="","",SUMIF(Transactions!$F$8:$F$3006,B646,Transactions!$O$8:$O$3006))</f>
        <v/>
      </c>
      <c r="F646" s="45" t="str">
        <f>IF(B646="","",SUMIF(Transactions!$F$8:$F$3006,B646,Transactions!$R$8:$R$3006))</f>
        <v/>
      </c>
      <c r="G646" s="46" t="str">
        <f>IF(B646="","",(C646+F646)-(D646+E646+SUMIF(Transactions!$F$8:$F$3006,B646,Transactions!$Q$8:$Q$3006)))</f>
        <v/>
      </c>
      <c r="H646" s="47" t="str">
        <f>IF(B646="","",IF(G646&gt;0,"OUTSTANDING",IF(G646=0,"SETTLED",IF(SUMIF(Transactions!$F$8:$F$3006,B646,Transactions!$Q$8:$Q$3006)&gt;SUMIF(Transactions!$F$8:$F$3006,B646,Transactions!$R$8:$R$3006),"OWES","OVERPAID"))))</f>
        <v/>
      </c>
      <c r="I646" s="1"/>
    </row>
    <row r="647" spans="1:9" ht="18" customHeight="1" x14ac:dyDescent="0.25">
      <c r="A647" s="48">
        <v>632</v>
      </c>
      <c r="B647" s="49" t="str">
        <f t="array" ref="B647">IFERROR(IF(INDEX(Transactions!$F$8:$F$3006,MATCH(0,COUNTIF($B$11:B646,Transactions!$F$8:$F$3006),0))="","",INDEX(Transactions!$F$8:$F$3006,MATCH(0,COUNTIF($B$11:B646,Transactions!$F$8:$F$3006),0))),"")</f>
        <v/>
      </c>
      <c r="C647" s="50" t="str">
        <f>IF(B647="","",SUMIF(Transactions!$F$8:$F$3006,B647,Transactions!$H$8:$H$3006))</f>
        <v/>
      </c>
      <c r="D647" s="51" t="str">
        <f>IF(B647="","",SUMIF(Transactions!$F$8:$F$3006,B647,Transactions!$N$8:$N$3006))</f>
        <v/>
      </c>
      <c r="E647" s="52" t="str">
        <f>IF(B647="","",SUMIF(Transactions!$F$8:$F$3006,B647,Transactions!$O$8:$O$3006))</f>
        <v/>
      </c>
      <c r="F647" s="53" t="str">
        <f>IF(B647="","",SUMIF(Transactions!$F$8:$F$3006,B647,Transactions!$R$8:$R$3006))</f>
        <v/>
      </c>
      <c r="G647" s="54" t="str">
        <f>IF(B647="","",(C647+F647)-(D647+E647+SUMIF(Transactions!$F$8:$F$3006,B647,Transactions!$Q$8:$Q$3006)))</f>
        <v/>
      </c>
      <c r="H647" s="55" t="str">
        <f>IF(B647="","",IF(G647&gt;0,"OUTSTANDING",IF(G647=0,"SETTLED",IF(SUMIF(Transactions!$F$8:$F$3006,B647,Transactions!$Q$8:$Q$3006)&gt;SUMIF(Transactions!$F$8:$F$3006,B647,Transactions!$R$8:$R$3006),"OWES","OVERPAID"))))</f>
        <v/>
      </c>
      <c r="I647" s="1"/>
    </row>
    <row r="648" spans="1:9" ht="18" customHeight="1" x14ac:dyDescent="0.25">
      <c r="A648" s="40">
        <v>633</v>
      </c>
      <c r="B648" s="41" t="str">
        <f t="array" ref="B648">IFERROR(IF(INDEX(Transactions!$F$8:$F$3006,MATCH(0,COUNTIF($B$11:B647,Transactions!$F$8:$F$3006),0))="","",INDEX(Transactions!$F$8:$F$3006,MATCH(0,COUNTIF($B$11:B647,Transactions!$F$8:$F$3006),0))),"")</f>
        <v/>
      </c>
      <c r="C648" s="42" t="str">
        <f>IF(B648="","",SUMIF(Transactions!$F$8:$F$3006,B648,Transactions!$H$8:$H$3006))</f>
        <v/>
      </c>
      <c r="D648" s="43" t="str">
        <f>IF(B648="","",SUMIF(Transactions!$F$8:$F$3006,B648,Transactions!$N$8:$N$3006))</f>
        <v/>
      </c>
      <c r="E648" s="44" t="str">
        <f>IF(B648="","",SUMIF(Transactions!$F$8:$F$3006,B648,Transactions!$O$8:$O$3006))</f>
        <v/>
      </c>
      <c r="F648" s="45" t="str">
        <f>IF(B648="","",SUMIF(Transactions!$F$8:$F$3006,B648,Transactions!$R$8:$R$3006))</f>
        <v/>
      </c>
      <c r="G648" s="46" t="str">
        <f>IF(B648="","",(C648+F648)-(D648+E648+SUMIF(Transactions!$F$8:$F$3006,B648,Transactions!$Q$8:$Q$3006)))</f>
        <v/>
      </c>
      <c r="H648" s="47" t="str">
        <f>IF(B648="","",IF(G648&gt;0,"OUTSTANDING",IF(G648=0,"SETTLED",IF(SUMIF(Transactions!$F$8:$F$3006,B648,Transactions!$Q$8:$Q$3006)&gt;SUMIF(Transactions!$F$8:$F$3006,B648,Transactions!$R$8:$R$3006),"OWES","OVERPAID"))))</f>
        <v/>
      </c>
      <c r="I648" s="1"/>
    </row>
    <row r="649" spans="1:9" ht="18" customHeight="1" x14ac:dyDescent="0.25">
      <c r="A649" s="48">
        <v>634</v>
      </c>
      <c r="B649" s="49" t="str">
        <f t="array" ref="B649">IFERROR(IF(INDEX(Transactions!$F$8:$F$3006,MATCH(0,COUNTIF($B$11:B648,Transactions!$F$8:$F$3006),0))="","",INDEX(Transactions!$F$8:$F$3006,MATCH(0,COUNTIF($B$11:B648,Transactions!$F$8:$F$3006),0))),"")</f>
        <v/>
      </c>
      <c r="C649" s="50" t="str">
        <f>IF(B649="","",SUMIF(Transactions!$F$8:$F$3006,B649,Transactions!$H$8:$H$3006))</f>
        <v/>
      </c>
      <c r="D649" s="51" t="str">
        <f>IF(B649="","",SUMIF(Transactions!$F$8:$F$3006,B649,Transactions!$N$8:$N$3006))</f>
        <v/>
      </c>
      <c r="E649" s="52" t="str">
        <f>IF(B649="","",SUMIF(Transactions!$F$8:$F$3006,B649,Transactions!$O$8:$O$3006))</f>
        <v/>
      </c>
      <c r="F649" s="53" t="str">
        <f>IF(B649="","",SUMIF(Transactions!$F$8:$F$3006,B649,Transactions!$R$8:$R$3006))</f>
        <v/>
      </c>
      <c r="G649" s="54" t="str">
        <f>IF(B649="","",(C649+F649)-(D649+E649+SUMIF(Transactions!$F$8:$F$3006,B649,Transactions!$Q$8:$Q$3006)))</f>
        <v/>
      </c>
      <c r="H649" s="55" t="str">
        <f>IF(B649="","",IF(G649&gt;0,"OUTSTANDING",IF(G649=0,"SETTLED",IF(SUMIF(Transactions!$F$8:$F$3006,B649,Transactions!$Q$8:$Q$3006)&gt;SUMIF(Transactions!$F$8:$F$3006,B649,Transactions!$R$8:$R$3006),"OWES","OVERPAID"))))</f>
        <v/>
      </c>
      <c r="I649" s="1"/>
    </row>
    <row r="650" spans="1:9" ht="18" customHeight="1" x14ac:dyDescent="0.25">
      <c r="A650" s="40">
        <v>635</v>
      </c>
      <c r="B650" s="41" t="str">
        <f t="array" ref="B650">IFERROR(IF(INDEX(Transactions!$F$8:$F$3006,MATCH(0,COUNTIF($B$11:B649,Transactions!$F$8:$F$3006),0))="","",INDEX(Transactions!$F$8:$F$3006,MATCH(0,COUNTIF($B$11:B649,Transactions!$F$8:$F$3006),0))),"")</f>
        <v/>
      </c>
      <c r="C650" s="42" t="str">
        <f>IF(B650="","",SUMIF(Transactions!$F$8:$F$3006,B650,Transactions!$H$8:$H$3006))</f>
        <v/>
      </c>
      <c r="D650" s="43" t="str">
        <f>IF(B650="","",SUMIF(Transactions!$F$8:$F$3006,B650,Transactions!$N$8:$N$3006))</f>
        <v/>
      </c>
      <c r="E650" s="44" t="str">
        <f>IF(B650="","",SUMIF(Transactions!$F$8:$F$3006,B650,Transactions!$O$8:$O$3006))</f>
        <v/>
      </c>
      <c r="F650" s="45" t="str">
        <f>IF(B650="","",SUMIF(Transactions!$F$8:$F$3006,B650,Transactions!$R$8:$R$3006))</f>
        <v/>
      </c>
      <c r="G650" s="46" t="str">
        <f>IF(B650="","",(C650+F650)-(D650+E650+SUMIF(Transactions!$F$8:$F$3006,B650,Transactions!$Q$8:$Q$3006)))</f>
        <v/>
      </c>
      <c r="H650" s="47" t="str">
        <f>IF(B650="","",IF(G650&gt;0,"OUTSTANDING",IF(G650=0,"SETTLED",IF(SUMIF(Transactions!$F$8:$F$3006,B650,Transactions!$Q$8:$Q$3006)&gt;SUMIF(Transactions!$F$8:$F$3006,B650,Transactions!$R$8:$R$3006),"OWES","OVERPAID"))))</f>
        <v/>
      </c>
      <c r="I650" s="1"/>
    </row>
    <row r="651" spans="1:9" ht="18" customHeight="1" x14ac:dyDescent="0.25">
      <c r="A651" s="48">
        <v>636</v>
      </c>
      <c r="B651" s="49" t="str">
        <f t="array" ref="B651">IFERROR(IF(INDEX(Transactions!$F$8:$F$3006,MATCH(0,COUNTIF($B$11:B650,Transactions!$F$8:$F$3006),0))="","",INDEX(Transactions!$F$8:$F$3006,MATCH(0,COUNTIF($B$11:B650,Transactions!$F$8:$F$3006),0))),"")</f>
        <v/>
      </c>
      <c r="C651" s="50" t="str">
        <f>IF(B651="","",SUMIF(Transactions!$F$8:$F$3006,B651,Transactions!$H$8:$H$3006))</f>
        <v/>
      </c>
      <c r="D651" s="51" t="str">
        <f>IF(B651="","",SUMIF(Transactions!$F$8:$F$3006,B651,Transactions!$N$8:$N$3006))</f>
        <v/>
      </c>
      <c r="E651" s="52" t="str">
        <f>IF(B651="","",SUMIF(Transactions!$F$8:$F$3006,B651,Transactions!$O$8:$O$3006))</f>
        <v/>
      </c>
      <c r="F651" s="53" t="str">
        <f>IF(B651="","",SUMIF(Transactions!$F$8:$F$3006,B651,Transactions!$R$8:$R$3006))</f>
        <v/>
      </c>
      <c r="G651" s="54" t="str">
        <f>IF(B651="","",(C651+F651)-(D651+E651+SUMIF(Transactions!$F$8:$F$3006,B651,Transactions!$Q$8:$Q$3006)))</f>
        <v/>
      </c>
      <c r="H651" s="55" t="str">
        <f>IF(B651="","",IF(G651&gt;0,"OUTSTANDING",IF(G651=0,"SETTLED",IF(SUMIF(Transactions!$F$8:$F$3006,B651,Transactions!$Q$8:$Q$3006)&gt;SUMIF(Transactions!$F$8:$F$3006,B651,Transactions!$R$8:$R$3006),"OWES","OVERPAID"))))</f>
        <v/>
      </c>
      <c r="I651" s="1"/>
    </row>
    <row r="652" spans="1:9" ht="18" customHeight="1" x14ac:dyDescent="0.25">
      <c r="A652" s="40">
        <v>637</v>
      </c>
      <c r="B652" s="41" t="str">
        <f t="array" ref="B652">IFERROR(IF(INDEX(Transactions!$F$8:$F$3006,MATCH(0,COUNTIF($B$11:B651,Transactions!$F$8:$F$3006),0))="","",INDEX(Transactions!$F$8:$F$3006,MATCH(0,COUNTIF($B$11:B651,Transactions!$F$8:$F$3006),0))),"")</f>
        <v/>
      </c>
      <c r="C652" s="42" t="str">
        <f>IF(B652="","",SUMIF(Transactions!$F$8:$F$3006,B652,Transactions!$H$8:$H$3006))</f>
        <v/>
      </c>
      <c r="D652" s="43" t="str">
        <f>IF(B652="","",SUMIF(Transactions!$F$8:$F$3006,B652,Transactions!$N$8:$N$3006))</f>
        <v/>
      </c>
      <c r="E652" s="44" t="str">
        <f>IF(B652="","",SUMIF(Transactions!$F$8:$F$3006,B652,Transactions!$O$8:$O$3006))</f>
        <v/>
      </c>
      <c r="F652" s="45" t="str">
        <f>IF(B652="","",SUMIF(Transactions!$F$8:$F$3006,B652,Transactions!$R$8:$R$3006))</f>
        <v/>
      </c>
      <c r="G652" s="46" t="str">
        <f>IF(B652="","",(C652+F652)-(D652+E652+SUMIF(Transactions!$F$8:$F$3006,B652,Transactions!$Q$8:$Q$3006)))</f>
        <v/>
      </c>
      <c r="H652" s="47" t="str">
        <f>IF(B652="","",IF(G652&gt;0,"OUTSTANDING",IF(G652=0,"SETTLED",IF(SUMIF(Transactions!$F$8:$F$3006,B652,Transactions!$Q$8:$Q$3006)&gt;SUMIF(Transactions!$F$8:$F$3006,B652,Transactions!$R$8:$R$3006),"OWES","OVERPAID"))))</f>
        <v/>
      </c>
      <c r="I652" s="1"/>
    </row>
    <row r="653" spans="1:9" ht="18" customHeight="1" x14ac:dyDescent="0.25">
      <c r="A653" s="48">
        <v>638</v>
      </c>
      <c r="B653" s="49" t="str">
        <f t="array" ref="B653">IFERROR(IF(INDEX(Transactions!$F$8:$F$3006,MATCH(0,COUNTIF($B$11:B652,Transactions!$F$8:$F$3006),0))="","",INDEX(Transactions!$F$8:$F$3006,MATCH(0,COUNTIF($B$11:B652,Transactions!$F$8:$F$3006),0))),"")</f>
        <v/>
      </c>
      <c r="C653" s="50" t="str">
        <f>IF(B653="","",SUMIF(Transactions!$F$8:$F$3006,B653,Transactions!$H$8:$H$3006))</f>
        <v/>
      </c>
      <c r="D653" s="51" t="str">
        <f>IF(B653="","",SUMIF(Transactions!$F$8:$F$3006,B653,Transactions!$N$8:$N$3006))</f>
        <v/>
      </c>
      <c r="E653" s="52" t="str">
        <f>IF(B653="","",SUMIF(Transactions!$F$8:$F$3006,B653,Transactions!$O$8:$O$3006))</f>
        <v/>
      </c>
      <c r="F653" s="53" t="str">
        <f>IF(B653="","",SUMIF(Transactions!$F$8:$F$3006,B653,Transactions!$R$8:$R$3006))</f>
        <v/>
      </c>
      <c r="G653" s="54" t="str">
        <f>IF(B653="","",(C653+F653)-(D653+E653+SUMIF(Transactions!$F$8:$F$3006,B653,Transactions!$Q$8:$Q$3006)))</f>
        <v/>
      </c>
      <c r="H653" s="55" t="str">
        <f>IF(B653="","",IF(G653&gt;0,"OUTSTANDING",IF(G653=0,"SETTLED",IF(SUMIF(Transactions!$F$8:$F$3006,B653,Transactions!$Q$8:$Q$3006)&gt;SUMIF(Transactions!$F$8:$F$3006,B653,Transactions!$R$8:$R$3006),"OWES","OVERPAID"))))</f>
        <v/>
      </c>
      <c r="I653" s="1"/>
    </row>
    <row r="654" spans="1:9" ht="18" customHeight="1" x14ac:dyDescent="0.25">
      <c r="A654" s="40">
        <v>639</v>
      </c>
      <c r="B654" s="41" t="str">
        <f t="array" ref="B654">IFERROR(IF(INDEX(Transactions!$F$8:$F$3006,MATCH(0,COUNTIF($B$11:B653,Transactions!$F$8:$F$3006),0))="","",INDEX(Transactions!$F$8:$F$3006,MATCH(0,COUNTIF($B$11:B653,Transactions!$F$8:$F$3006),0))),"")</f>
        <v/>
      </c>
      <c r="C654" s="42" t="str">
        <f>IF(B654="","",SUMIF(Transactions!$F$8:$F$3006,B654,Transactions!$H$8:$H$3006))</f>
        <v/>
      </c>
      <c r="D654" s="43" t="str">
        <f>IF(B654="","",SUMIF(Transactions!$F$8:$F$3006,B654,Transactions!$N$8:$N$3006))</f>
        <v/>
      </c>
      <c r="E654" s="44" t="str">
        <f>IF(B654="","",SUMIF(Transactions!$F$8:$F$3006,B654,Transactions!$O$8:$O$3006))</f>
        <v/>
      </c>
      <c r="F654" s="45" t="str">
        <f>IF(B654="","",SUMIF(Transactions!$F$8:$F$3006,B654,Transactions!$R$8:$R$3006))</f>
        <v/>
      </c>
      <c r="G654" s="46" t="str">
        <f>IF(B654="","",(C654+F654)-(D654+E654+SUMIF(Transactions!$F$8:$F$3006,B654,Transactions!$Q$8:$Q$3006)))</f>
        <v/>
      </c>
      <c r="H654" s="47" t="str">
        <f>IF(B654="","",IF(G654&gt;0,"OUTSTANDING",IF(G654=0,"SETTLED",IF(SUMIF(Transactions!$F$8:$F$3006,B654,Transactions!$Q$8:$Q$3006)&gt;SUMIF(Transactions!$F$8:$F$3006,B654,Transactions!$R$8:$R$3006),"OWES","OVERPAID"))))</f>
        <v/>
      </c>
      <c r="I654" s="1"/>
    </row>
    <row r="655" spans="1:9" ht="18" customHeight="1" x14ac:dyDescent="0.25">
      <c r="A655" s="48">
        <v>640</v>
      </c>
      <c r="B655" s="49" t="str">
        <f t="array" ref="B655">IFERROR(IF(INDEX(Transactions!$F$8:$F$3006,MATCH(0,COUNTIF($B$11:B654,Transactions!$F$8:$F$3006),0))="","",INDEX(Transactions!$F$8:$F$3006,MATCH(0,COUNTIF($B$11:B654,Transactions!$F$8:$F$3006),0))),"")</f>
        <v/>
      </c>
      <c r="C655" s="50" t="str">
        <f>IF(B655="","",SUMIF(Transactions!$F$8:$F$3006,B655,Transactions!$H$8:$H$3006))</f>
        <v/>
      </c>
      <c r="D655" s="51" t="str">
        <f>IF(B655="","",SUMIF(Transactions!$F$8:$F$3006,B655,Transactions!$N$8:$N$3006))</f>
        <v/>
      </c>
      <c r="E655" s="52" t="str">
        <f>IF(B655="","",SUMIF(Transactions!$F$8:$F$3006,B655,Transactions!$O$8:$O$3006))</f>
        <v/>
      </c>
      <c r="F655" s="53" t="str">
        <f>IF(B655="","",SUMIF(Transactions!$F$8:$F$3006,B655,Transactions!$R$8:$R$3006))</f>
        <v/>
      </c>
      <c r="G655" s="54" t="str">
        <f>IF(B655="","",(C655+F655)-(D655+E655+SUMIF(Transactions!$F$8:$F$3006,B655,Transactions!$Q$8:$Q$3006)))</f>
        <v/>
      </c>
      <c r="H655" s="55" t="str">
        <f>IF(B655="","",IF(G655&gt;0,"OUTSTANDING",IF(G655=0,"SETTLED",IF(SUMIF(Transactions!$F$8:$F$3006,B655,Transactions!$Q$8:$Q$3006)&gt;SUMIF(Transactions!$F$8:$F$3006,B655,Transactions!$R$8:$R$3006),"OWES","OVERPAID"))))</f>
        <v/>
      </c>
      <c r="I655" s="1"/>
    </row>
    <row r="656" spans="1:9" ht="18" customHeight="1" x14ac:dyDescent="0.25">
      <c r="A656" s="40">
        <v>641</v>
      </c>
      <c r="B656" s="41" t="str">
        <f t="array" ref="B656">IFERROR(IF(INDEX(Transactions!$F$8:$F$3006,MATCH(0,COUNTIF($B$11:B655,Transactions!$F$8:$F$3006),0))="","",INDEX(Transactions!$F$8:$F$3006,MATCH(0,COUNTIF($B$11:B655,Transactions!$F$8:$F$3006),0))),"")</f>
        <v/>
      </c>
      <c r="C656" s="42" t="str">
        <f>IF(B656="","",SUMIF(Transactions!$F$8:$F$3006,B656,Transactions!$H$8:$H$3006))</f>
        <v/>
      </c>
      <c r="D656" s="43" t="str">
        <f>IF(B656="","",SUMIF(Transactions!$F$8:$F$3006,B656,Transactions!$N$8:$N$3006))</f>
        <v/>
      </c>
      <c r="E656" s="44" t="str">
        <f>IF(B656="","",SUMIF(Transactions!$F$8:$F$3006,B656,Transactions!$O$8:$O$3006))</f>
        <v/>
      </c>
      <c r="F656" s="45" t="str">
        <f>IF(B656="","",SUMIF(Transactions!$F$8:$F$3006,B656,Transactions!$R$8:$R$3006))</f>
        <v/>
      </c>
      <c r="G656" s="46" t="str">
        <f>IF(B656="","",(C656+F656)-(D656+E656+SUMIF(Transactions!$F$8:$F$3006,B656,Transactions!$Q$8:$Q$3006)))</f>
        <v/>
      </c>
      <c r="H656" s="47" t="str">
        <f>IF(B656="","",IF(G656&gt;0,"OUTSTANDING",IF(G656=0,"SETTLED",IF(SUMIF(Transactions!$F$8:$F$3006,B656,Transactions!$Q$8:$Q$3006)&gt;SUMIF(Transactions!$F$8:$F$3006,B656,Transactions!$R$8:$R$3006),"OWES","OVERPAID"))))</f>
        <v/>
      </c>
      <c r="I656" s="1"/>
    </row>
    <row r="657" spans="1:9" ht="18" customHeight="1" x14ac:dyDescent="0.25">
      <c r="A657" s="48">
        <v>642</v>
      </c>
      <c r="B657" s="49" t="str">
        <f t="array" ref="B657">IFERROR(IF(INDEX(Transactions!$F$8:$F$3006,MATCH(0,COUNTIF($B$11:B656,Transactions!$F$8:$F$3006),0))="","",INDEX(Transactions!$F$8:$F$3006,MATCH(0,COUNTIF($B$11:B656,Transactions!$F$8:$F$3006),0))),"")</f>
        <v/>
      </c>
      <c r="C657" s="50" t="str">
        <f>IF(B657="","",SUMIF(Transactions!$F$8:$F$3006,B657,Transactions!$H$8:$H$3006))</f>
        <v/>
      </c>
      <c r="D657" s="51" t="str">
        <f>IF(B657="","",SUMIF(Transactions!$F$8:$F$3006,B657,Transactions!$N$8:$N$3006))</f>
        <v/>
      </c>
      <c r="E657" s="52" t="str">
        <f>IF(B657="","",SUMIF(Transactions!$F$8:$F$3006,B657,Transactions!$O$8:$O$3006))</f>
        <v/>
      </c>
      <c r="F657" s="53" t="str">
        <f>IF(B657="","",SUMIF(Transactions!$F$8:$F$3006,B657,Transactions!$R$8:$R$3006))</f>
        <v/>
      </c>
      <c r="G657" s="54" t="str">
        <f>IF(B657="","",(C657+F657)-(D657+E657+SUMIF(Transactions!$F$8:$F$3006,B657,Transactions!$Q$8:$Q$3006)))</f>
        <v/>
      </c>
      <c r="H657" s="55" t="str">
        <f>IF(B657="","",IF(G657&gt;0,"OUTSTANDING",IF(G657=0,"SETTLED",IF(SUMIF(Transactions!$F$8:$F$3006,B657,Transactions!$Q$8:$Q$3006)&gt;SUMIF(Transactions!$F$8:$F$3006,B657,Transactions!$R$8:$R$3006),"OWES","OVERPAID"))))</f>
        <v/>
      </c>
      <c r="I657" s="1"/>
    </row>
    <row r="658" spans="1:9" ht="18" customHeight="1" x14ac:dyDescent="0.25">
      <c r="A658" s="40">
        <v>643</v>
      </c>
      <c r="B658" s="41" t="str">
        <f t="array" ref="B658">IFERROR(IF(INDEX(Transactions!$F$8:$F$3006,MATCH(0,COUNTIF($B$11:B657,Transactions!$F$8:$F$3006),0))="","",INDEX(Transactions!$F$8:$F$3006,MATCH(0,COUNTIF($B$11:B657,Transactions!$F$8:$F$3006),0))),"")</f>
        <v/>
      </c>
      <c r="C658" s="42" t="str">
        <f>IF(B658="","",SUMIF(Transactions!$F$8:$F$3006,B658,Transactions!$H$8:$H$3006))</f>
        <v/>
      </c>
      <c r="D658" s="43" t="str">
        <f>IF(B658="","",SUMIF(Transactions!$F$8:$F$3006,B658,Transactions!$N$8:$N$3006))</f>
        <v/>
      </c>
      <c r="E658" s="44" t="str">
        <f>IF(B658="","",SUMIF(Transactions!$F$8:$F$3006,B658,Transactions!$O$8:$O$3006))</f>
        <v/>
      </c>
      <c r="F658" s="45" t="str">
        <f>IF(B658="","",SUMIF(Transactions!$F$8:$F$3006,B658,Transactions!$R$8:$R$3006))</f>
        <v/>
      </c>
      <c r="G658" s="46" t="str">
        <f>IF(B658="","",(C658+F658)-(D658+E658+SUMIF(Transactions!$F$8:$F$3006,B658,Transactions!$Q$8:$Q$3006)))</f>
        <v/>
      </c>
      <c r="H658" s="47" t="str">
        <f>IF(B658="","",IF(G658&gt;0,"OUTSTANDING",IF(G658=0,"SETTLED",IF(SUMIF(Transactions!$F$8:$F$3006,B658,Transactions!$Q$8:$Q$3006)&gt;SUMIF(Transactions!$F$8:$F$3006,B658,Transactions!$R$8:$R$3006),"OWES","OVERPAID"))))</f>
        <v/>
      </c>
      <c r="I658" s="1"/>
    </row>
    <row r="659" spans="1:9" ht="18" customHeight="1" x14ac:dyDescent="0.25">
      <c r="A659" s="48">
        <v>644</v>
      </c>
      <c r="B659" s="49" t="str">
        <f t="array" ref="B659">IFERROR(IF(INDEX(Transactions!$F$8:$F$3006,MATCH(0,COUNTIF($B$11:B658,Transactions!$F$8:$F$3006),0))="","",INDEX(Transactions!$F$8:$F$3006,MATCH(0,COUNTIF($B$11:B658,Transactions!$F$8:$F$3006),0))),"")</f>
        <v/>
      </c>
      <c r="C659" s="50" t="str">
        <f>IF(B659="","",SUMIF(Transactions!$F$8:$F$3006,B659,Transactions!$H$8:$H$3006))</f>
        <v/>
      </c>
      <c r="D659" s="51" t="str">
        <f>IF(B659="","",SUMIF(Transactions!$F$8:$F$3006,B659,Transactions!$N$8:$N$3006))</f>
        <v/>
      </c>
      <c r="E659" s="52" t="str">
        <f>IF(B659="","",SUMIF(Transactions!$F$8:$F$3006,B659,Transactions!$O$8:$O$3006))</f>
        <v/>
      </c>
      <c r="F659" s="53" t="str">
        <f>IF(B659="","",SUMIF(Transactions!$F$8:$F$3006,B659,Transactions!$R$8:$R$3006))</f>
        <v/>
      </c>
      <c r="G659" s="54" t="str">
        <f>IF(B659="","",(C659+F659)-(D659+E659+SUMIF(Transactions!$F$8:$F$3006,B659,Transactions!$Q$8:$Q$3006)))</f>
        <v/>
      </c>
      <c r="H659" s="55" t="str">
        <f>IF(B659="","",IF(G659&gt;0,"OUTSTANDING",IF(G659=0,"SETTLED",IF(SUMIF(Transactions!$F$8:$F$3006,B659,Transactions!$Q$8:$Q$3006)&gt;SUMIF(Transactions!$F$8:$F$3006,B659,Transactions!$R$8:$R$3006),"OWES","OVERPAID"))))</f>
        <v/>
      </c>
      <c r="I659" s="1"/>
    </row>
    <row r="660" spans="1:9" ht="18" customHeight="1" x14ac:dyDescent="0.25">
      <c r="A660" s="40">
        <v>645</v>
      </c>
      <c r="B660" s="41" t="str">
        <f t="array" ref="B660">IFERROR(IF(INDEX(Transactions!$F$8:$F$3006,MATCH(0,COUNTIF($B$11:B659,Transactions!$F$8:$F$3006),0))="","",INDEX(Transactions!$F$8:$F$3006,MATCH(0,COUNTIF($B$11:B659,Transactions!$F$8:$F$3006),0))),"")</f>
        <v/>
      </c>
      <c r="C660" s="42" t="str">
        <f>IF(B660="","",SUMIF(Transactions!$F$8:$F$3006,B660,Transactions!$H$8:$H$3006))</f>
        <v/>
      </c>
      <c r="D660" s="43" t="str">
        <f>IF(B660="","",SUMIF(Transactions!$F$8:$F$3006,B660,Transactions!$N$8:$N$3006))</f>
        <v/>
      </c>
      <c r="E660" s="44" t="str">
        <f>IF(B660="","",SUMIF(Transactions!$F$8:$F$3006,B660,Transactions!$O$8:$O$3006))</f>
        <v/>
      </c>
      <c r="F660" s="45" t="str">
        <f>IF(B660="","",SUMIF(Transactions!$F$8:$F$3006,B660,Transactions!$R$8:$R$3006))</f>
        <v/>
      </c>
      <c r="G660" s="46" t="str">
        <f>IF(B660="","",(C660+F660)-(D660+E660+SUMIF(Transactions!$F$8:$F$3006,B660,Transactions!$Q$8:$Q$3006)))</f>
        <v/>
      </c>
      <c r="H660" s="47" t="str">
        <f>IF(B660="","",IF(G660&gt;0,"OUTSTANDING",IF(G660=0,"SETTLED",IF(SUMIF(Transactions!$F$8:$F$3006,B660,Transactions!$Q$8:$Q$3006)&gt;SUMIF(Transactions!$F$8:$F$3006,B660,Transactions!$R$8:$R$3006),"OWES","OVERPAID"))))</f>
        <v/>
      </c>
      <c r="I660" s="1"/>
    </row>
    <row r="661" spans="1:9" ht="18" customHeight="1" x14ac:dyDescent="0.25">
      <c r="A661" s="48">
        <v>646</v>
      </c>
      <c r="B661" s="49" t="str">
        <f t="array" ref="B661">IFERROR(IF(INDEX(Transactions!$F$8:$F$3006,MATCH(0,COUNTIF($B$11:B660,Transactions!$F$8:$F$3006),0))="","",INDEX(Transactions!$F$8:$F$3006,MATCH(0,COUNTIF($B$11:B660,Transactions!$F$8:$F$3006),0))),"")</f>
        <v/>
      </c>
      <c r="C661" s="50" t="str">
        <f>IF(B661="","",SUMIF(Transactions!$F$8:$F$3006,B661,Transactions!$H$8:$H$3006))</f>
        <v/>
      </c>
      <c r="D661" s="51" t="str">
        <f>IF(B661="","",SUMIF(Transactions!$F$8:$F$3006,B661,Transactions!$N$8:$N$3006))</f>
        <v/>
      </c>
      <c r="E661" s="52" t="str">
        <f>IF(B661="","",SUMIF(Transactions!$F$8:$F$3006,B661,Transactions!$O$8:$O$3006))</f>
        <v/>
      </c>
      <c r="F661" s="53" t="str">
        <f>IF(B661="","",SUMIF(Transactions!$F$8:$F$3006,B661,Transactions!$R$8:$R$3006))</f>
        <v/>
      </c>
      <c r="G661" s="54" t="str">
        <f>IF(B661="","",(C661+F661)-(D661+E661+SUMIF(Transactions!$F$8:$F$3006,B661,Transactions!$Q$8:$Q$3006)))</f>
        <v/>
      </c>
      <c r="H661" s="55" t="str">
        <f>IF(B661="","",IF(G661&gt;0,"OUTSTANDING",IF(G661=0,"SETTLED",IF(SUMIF(Transactions!$F$8:$F$3006,B661,Transactions!$Q$8:$Q$3006)&gt;SUMIF(Transactions!$F$8:$F$3006,B661,Transactions!$R$8:$R$3006),"OWES","OVERPAID"))))</f>
        <v/>
      </c>
      <c r="I661" s="1"/>
    </row>
    <row r="662" spans="1:9" ht="18" customHeight="1" x14ac:dyDescent="0.25">
      <c r="A662" s="40">
        <v>647</v>
      </c>
      <c r="B662" s="41" t="str">
        <f t="array" ref="B662">IFERROR(IF(INDEX(Transactions!$F$8:$F$3006,MATCH(0,COUNTIF($B$11:B661,Transactions!$F$8:$F$3006),0))="","",INDEX(Transactions!$F$8:$F$3006,MATCH(0,COUNTIF($B$11:B661,Transactions!$F$8:$F$3006),0))),"")</f>
        <v/>
      </c>
      <c r="C662" s="42" t="str">
        <f>IF(B662="","",SUMIF(Transactions!$F$8:$F$3006,B662,Transactions!$H$8:$H$3006))</f>
        <v/>
      </c>
      <c r="D662" s="43" t="str">
        <f>IF(B662="","",SUMIF(Transactions!$F$8:$F$3006,B662,Transactions!$N$8:$N$3006))</f>
        <v/>
      </c>
      <c r="E662" s="44" t="str">
        <f>IF(B662="","",SUMIF(Transactions!$F$8:$F$3006,B662,Transactions!$O$8:$O$3006))</f>
        <v/>
      </c>
      <c r="F662" s="45" t="str">
        <f>IF(B662="","",SUMIF(Transactions!$F$8:$F$3006,B662,Transactions!$R$8:$R$3006))</f>
        <v/>
      </c>
      <c r="G662" s="46" t="str">
        <f>IF(B662="","",(C662+F662)-(D662+E662+SUMIF(Transactions!$F$8:$F$3006,B662,Transactions!$Q$8:$Q$3006)))</f>
        <v/>
      </c>
      <c r="H662" s="47" t="str">
        <f>IF(B662="","",IF(G662&gt;0,"OUTSTANDING",IF(G662=0,"SETTLED",IF(SUMIF(Transactions!$F$8:$F$3006,B662,Transactions!$Q$8:$Q$3006)&gt;SUMIF(Transactions!$F$8:$F$3006,B662,Transactions!$R$8:$R$3006),"OWES","OVERPAID"))))</f>
        <v/>
      </c>
      <c r="I662" s="1"/>
    </row>
    <row r="663" spans="1:9" ht="18" customHeight="1" x14ac:dyDescent="0.25">
      <c r="A663" s="48">
        <v>648</v>
      </c>
      <c r="B663" s="49" t="str">
        <f t="array" ref="B663">IFERROR(IF(INDEX(Transactions!$F$8:$F$3006,MATCH(0,COUNTIF($B$11:B662,Transactions!$F$8:$F$3006),0))="","",INDEX(Transactions!$F$8:$F$3006,MATCH(0,COUNTIF($B$11:B662,Transactions!$F$8:$F$3006),0))),"")</f>
        <v/>
      </c>
      <c r="C663" s="50" t="str">
        <f>IF(B663="","",SUMIF(Transactions!$F$8:$F$3006,B663,Transactions!$H$8:$H$3006))</f>
        <v/>
      </c>
      <c r="D663" s="51" t="str">
        <f>IF(B663="","",SUMIF(Transactions!$F$8:$F$3006,B663,Transactions!$N$8:$N$3006))</f>
        <v/>
      </c>
      <c r="E663" s="52" t="str">
        <f>IF(B663="","",SUMIF(Transactions!$F$8:$F$3006,B663,Transactions!$O$8:$O$3006))</f>
        <v/>
      </c>
      <c r="F663" s="53" t="str">
        <f>IF(B663="","",SUMIF(Transactions!$F$8:$F$3006,B663,Transactions!$R$8:$R$3006))</f>
        <v/>
      </c>
      <c r="G663" s="54" t="str">
        <f>IF(B663="","",(C663+F663)-(D663+E663+SUMIF(Transactions!$F$8:$F$3006,B663,Transactions!$Q$8:$Q$3006)))</f>
        <v/>
      </c>
      <c r="H663" s="55" t="str">
        <f>IF(B663="","",IF(G663&gt;0,"OUTSTANDING",IF(G663=0,"SETTLED",IF(SUMIF(Transactions!$F$8:$F$3006,B663,Transactions!$Q$8:$Q$3006)&gt;SUMIF(Transactions!$F$8:$F$3006,B663,Transactions!$R$8:$R$3006),"OWES","OVERPAID"))))</f>
        <v/>
      </c>
      <c r="I663" s="1"/>
    </row>
    <row r="664" spans="1:9" ht="18" customHeight="1" x14ac:dyDescent="0.25">
      <c r="A664" s="40">
        <v>649</v>
      </c>
      <c r="B664" s="41" t="str">
        <f t="array" ref="B664">IFERROR(IF(INDEX(Transactions!$F$8:$F$3006,MATCH(0,COUNTIF($B$11:B663,Transactions!$F$8:$F$3006),0))="","",INDEX(Transactions!$F$8:$F$3006,MATCH(0,COUNTIF($B$11:B663,Transactions!$F$8:$F$3006),0))),"")</f>
        <v/>
      </c>
      <c r="C664" s="42" t="str">
        <f>IF(B664="","",SUMIF(Transactions!$F$8:$F$3006,B664,Transactions!$H$8:$H$3006))</f>
        <v/>
      </c>
      <c r="D664" s="43" t="str">
        <f>IF(B664="","",SUMIF(Transactions!$F$8:$F$3006,B664,Transactions!$N$8:$N$3006))</f>
        <v/>
      </c>
      <c r="E664" s="44" t="str">
        <f>IF(B664="","",SUMIF(Transactions!$F$8:$F$3006,B664,Transactions!$O$8:$O$3006))</f>
        <v/>
      </c>
      <c r="F664" s="45" t="str">
        <f>IF(B664="","",SUMIF(Transactions!$F$8:$F$3006,B664,Transactions!$R$8:$R$3006))</f>
        <v/>
      </c>
      <c r="G664" s="46" t="str">
        <f>IF(B664="","",(C664+F664)-(D664+E664+SUMIF(Transactions!$F$8:$F$3006,B664,Transactions!$Q$8:$Q$3006)))</f>
        <v/>
      </c>
      <c r="H664" s="47" t="str">
        <f>IF(B664="","",IF(G664&gt;0,"OUTSTANDING",IF(G664=0,"SETTLED",IF(SUMIF(Transactions!$F$8:$F$3006,B664,Transactions!$Q$8:$Q$3006)&gt;SUMIF(Transactions!$F$8:$F$3006,B664,Transactions!$R$8:$R$3006),"OWES","OVERPAID"))))</f>
        <v/>
      </c>
      <c r="I664" s="1"/>
    </row>
    <row r="665" spans="1:9" ht="18" customHeight="1" x14ac:dyDescent="0.25">
      <c r="A665" s="48">
        <v>650</v>
      </c>
      <c r="B665" s="49" t="str">
        <f t="array" ref="B665">IFERROR(IF(INDEX(Transactions!$F$8:$F$3006,MATCH(0,COUNTIF($B$11:B664,Transactions!$F$8:$F$3006),0))="","",INDEX(Transactions!$F$8:$F$3006,MATCH(0,COUNTIF($B$11:B664,Transactions!$F$8:$F$3006),0))),"")</f>
        <v/>
      </c>
      <c r="C665" s="50" t="str">
        <f>IF(B665="","",SUMIF(Transactions!$F$8:$F$3006,B665,Transactions!$H$8:$H$3006))</f>
        <v/>
      </c>
      <c r="D665" s="51" t="str">
        <f>IF(B665="","",SUMIF(Transactions!$F$8:$F$3006,B665,Transactions!$N$8:$N$3006))</f>
        <v/>
      </c>
      <c r="E665" s="52" t="str">
        <f>IF(B665="","",SUMIF(Transactions!$F$8:$F$3006,B665,Transactions!$O$8:$O$3006))</f>
        <v/>
      </c>
      <c r="F665" s="53" t="str">
        <f>IF(B665="","",SUMIF(Transactions!$F$8:$F$3006,B665,Transactions!$R$8:$R$3006))</f>
        <v/>
      </c>
      <c r="G665" s="54" t="str">
        <f>IF(B665="","",(C665+F665)-(D665+E665+SUMIF(Transactions!$F$8:$F$3006,B665,Transactions!$Q$8:$Q$3006)))</f>
        <v/>
      </c>
      <c r="H665" s="55" t="str">
        <f>IF(B665="","",IF(G665&gt;0,"OUTSTANDING",IF(G665=0,"SETTLED",IF(SUMIF(Transactions!$F$8:$F$3006,B665,Transactions!$Q$8:$Q$3006)&gt;SUMIF(Transactions!$F$8:$F$3006,B665,Transactions!$R$8:$R$3006),"OWES","OVERPAID"))))</f>
        <v/>
      </c>
      <c r="I665" s="1"/>
    </row>
    <row r="666" spans="1:9" ht="18" customHeight="1" x14ac:dyDescent="0.25">
      <c r="A666" s="40">
        <v>651</v>
      </c>
      <c r="B666" s="41" t="str">
        <f t="array" ref="B666">IFERROR(IF(INDEX(Transactions!$F$8:$F$3006,MATCH(0,COUNTIF($B$11:B665,Transactions!$F$8:$F$3006),0))="","",INDEX(Transactions!$F$8:$F$3006,MATCH(0,COUNTIF($B$11:B665,Transactions!$F$8:$F$3006),0))),"")</f>
        <v/>
      </c>
      <c r="C666" s="42" t="str">
        <f>IF(B666="","",SUMIF(Transactions!$F$8:$F$3006,B666,Transactions!$H$8:$H$3006))</f>
        <v/>
      </c>
      <c r="D666" s="43" t="str">
        <f>IF(B666="","",SUMIF(Transactions!$F$8:$F$3006,B666,Transactions!$N$8:$N$3006))</f>
        <v/>
      </c>
      <c r="E666" s="44" t="str">
        <f>IF(B666="","",SUMIF(Transactions!$F$8:$F$3006,B666,Transactions!$O$8:$O$3006))</f>
        <v/>
      </c>
      <c r="F666" s="45" t="str">
        <f>IF(B666="","",SUMIF(Transactions!$F$8:$F$3006,B666,Transactions!$R$8:$R$3006))</f>
        <v/>
      </c>
      <c r="G666" s="46" t="str">
        <f>IF(B666="","",(C666+F666)-(D666+E666+SUMIF(Transactions!$F$8:$F$3006,B666,Transactions!$Q$8:$Q$3006)))</f>
        <v/>
      </c>
      <c r="H666" s="47" t="str">
        <f>IF(B666="","",IF(G666&gt;0,"OUTSTANDING",IF(G666=0,"SETTLED",IF(SUMIF(Transactions!$F$8:$F$3006,B666,Transactions!$Q$8:$Q$3006)&gt;SUMIF(Transactions!$F$8:$F$3006,B666,Transactions!$R$8:$R$3006),"OWES","OVERPAID"))))</f>
        <v/>
      </c>
      <c r="I666" s="1"/>
    </row>
    <row r="667" spans="1:9" ht="18" customHeight="1" x14ac:dyDescent="0.25">
      <c r="A667" s="48">
        <v>652</v>
      </c>
      <c r="B667" s="49" t="str">
        <f t="array" ref="B667">IFERROR(IF(INDEX(Transactions!$F$8:$F$3006,MATCH(0,COUNTIF($B$11:B666,Transactions!$F$8:$F$3006),0))="","",INDEX(Transactions!$F$8:$F$3006,MATCH(0,COUNTIF($B$11:B666,Transactions!$F$8:$F$3006),0))),"")</f>
        <v/>
      </c>
      <c r="C667" s="50" t="str">
        <f>IF(B667="","",SUMIF(Transactions!$F$8:$F$3006,B667,Transactions!$H$8:$H$3006))</f>
        <v/>
      </c>
      <c r="D667" s="51" t="str">
        <f>IF(B667="","",SUMIF(Transactions!$F$8:$F$3006,B667,Transactions!$N$8:$N$3006))</f>
        <v/>
      </c>
      <c r="E667" s="52" t="str">
        <f>IF(B667="","",SUMIF(Transactions!$F$8:$F$3006,B667,Transactions!$O$8:$O$3006))</f>
        <v/>
      </c>
      <c r="F667" s="53" t="str">
        <f>IF(B667="","",SUMIF(Transactions!$F$8:$F$3006,B667,Transactions!$R$8:$R$3006))</f>
        <v/>
      </c>
      <c r="G667" s="54" t="str">
        <f>IF(B667="","",(C667+F667)-(D667+E667+SUMIF(Transactions!$F$8:$F$3006,B667,Transactions!$Q$8:$Q$3006)))</f>
        <v/>
      </c>
      <c r="H667" s="55" t="str">
        <f>IF(B667="","",IF(G667&gt;0,"OUTSTANDING",IF(G667=0,"SETTLED",IF(SUMIF(Transactions!$F$8:$F$3006,B667,Transactions!$Q$8:$Q$3006)&gt;SUMIF(Transactions!$F$8:$F$3006,B667,Transactions!$R$8:$R$3006),"OWES","OVERPAID"))))</f>
        <v/>
      </c>
      <c r="I667" s="1"/>
    </row>
    <row r="668" spans="1:9" ht="18" customHeight="1" x14ac:dyDescent="0.25">
      <c r="A668" s="40">
        <v>653</v>
      </c>
      <c r="B668" s="41" t="str">
        <f t="array" ref="B668">IFERROR(IF(INDEX(Transactions!$F$8:$F$3006,MATCH(0,COUNTIF($B$11:B667,Transactions!$F$8:$F$3006),0))="","",INDEX(Transactions!$F$8:$F$3006,MATCH(0,COUNTIF($B$11:B667,Transactions!$F$8:$F$3006),0))),"")</f>
        <v/>
      </c>
      <c r="C668" s="42" t="str">
        <f>IF(B668="","",SUMIF(Transactions!$F$8:$F$3006,B668,Transactions!$H$8:$H$3006))</f>
        <v/>
      </c>
      <c r="D668" s="43" t="str">
        <f>IF(B668="","",SUMIF(Transactions!$F$8:$F$3006,B668,Transactions!$N$8:$N$3006))</f>
        <v/>
      </c>
      <c r="E668" s="44" t="str">
        <f>IF(B668="","",SUMIF(Transactions!$F$8:$F$3006,B668,Transactions!$O$8:$O$3006))</f>
        <v/>
      </c>
      <c r="F668" s="45" t="str">
        <f>IF(B668="","",SUMIF(Transactions!$F$8:$F$3006,B668,Transactions!$R$8:$R$3006))</f>
        <v/>
      </c>
      <c r="G668" s="46" t="str">
        <f>IF(B668="","",(C668+F668)-(D668+E668+SUMIF(Transactions!$F$8:$F$3006,B668,Transactions!$Q$8:$Q$3006)))</f>
        <v/>
      </c>
      <c r="H668" s="47" t="str">
        <f>IF(B668="","",IF(G668&gt;0,"OUTSTANDING",IF(G668=0,"SETTLED",IF(SUMIF(Transactions!$F$8:$F$3006,B668,Transactions!$Q$8:$Q$3006)&gt;SUMIF(Transactions!$F$8:$F$3006,B668,Transactions!$R$8:$R$3006),"OWES","OVERPAID"))))</f>
        <v/>
      </c>
      <c r="I668" s="1"/>
    </row>
    <row r="669" spans="1:9" ht="18" customHeight="1" x14ac:dyDescent="0.25">
      <c r="A669" s="48">
        <v>654</v>
      </c>
      <c r="B669" s="49" t="str">
        <f t="array" ref="B669">IFERROR(IF(INDEX(Transactions!$F$8:$F$3006,MATCH(0,COUNTIF($B$11:B668,Transactions!$F$8:$F$3006),0))="","",INDEX(Transactions!$F$8:$F$3006,MATCH(0,COUNTIF($B$11:B668,Transactions!$F$8:$F$3006),0))),"")</f>
        <v/>
      </c>
      <c r="C669" s="50" t="str">
        <f>IF(B669="","",SUMIF(Transactions!$F$8:$F$3006,B669,Transactions!$H$8:$H$3006))</f>
        <v/>
      </c>
      <c r="D669" s="51" t="str">
        <f>IF(B669="","",SUMIF(Transactions!$F$8:$F$3006,B669,Transactions!$N$8:$N$3006))</f>
        <v/>
      </c>
      <c r="E669" s="52" t="str">
        <f>IF(B669="","",SUMIF(Transactions!$F$8:$F$3006,B669,Transactions!$O$8:$O$3006))</f>
        <v/>
      </c>
      <c r="F669" s="53" t="str">
        <f>IF(B669="","",SUMIF(Transactions!$F$8:$F$3006,B669,Transactions!$R$8:$R$3006))</f>
        <v/>
      </c>
      <c r="G669" s="54" t="str">
        <f>IF(B669="","",(C669+F669)-(D669+E669+SUMIF(Transactions!$F$8:$F$3006,B669,Transactions!$Q$8:$Q$3006)))</f>
        <v/>
      </c>
      <c r="H669" s="55" t="str">
        <f>IF(B669="","",IF(G669&gt;0,"OUTSTANDING",IF(G669=0,"SETTLED",IF(SUMIF(Transactions!$F$8:$F$3006,B669,Transactions!$Q$8:$Q$3006)&gt;SUMIF(Transactions!$F$8:$F$3006,B669,Transactions!$R$8:$R$3006),"OWES","OVERPAID"))))</f>
        <v/>
      </c>
      <c r="I669" s="1"/>
    </row>
    <row r="670" spans="1:9" ht="18" customHeight="1" x14ac:dyDescent="0.25">
      <c r="A670" s="40">
        <v>655</v>
      </c>
      <c r="B670" s="41" t="str">
        <f t="array" ref="B670">IFERROR(IF(INDEX(Transactions!$F$8:$F$3006,MATCH(0,COUNTIF($B$11:B669,Transactions!$F$8:$F$3006),0))="","",INDEX(Transactions!$F$8:$F$3006,MATCH(0,COUNTIF($B$11:B669,Transactions!$F$8:$F$3006),0))),"")</f>
        <v/>
      </c>
      <c r="C670" s="42" t="str">
        <f>IF(B670="","",SUMIF(Transactions!$F$8:$F$3006,B670,Transactions!$H$8:$H$3006))</f>
        <v/>
      </c>
      <c r="D670" s="43" t="str">
        <f>IF(B670="","",SUMIF(Transactions!$F$8:$F$3006,B670,Transactions!$N$8:$N$3006))</f>
        <v/>
      </c>
      <c r="E670" s="44" t="str">
        <f>IF(B670="","",SUMIF(Transactions!$F$8:$F$3006,B670,Transactions!$O$8:$O$3006))</f>
        <v/>
      </c>
      <c r="F670" s="45" t="str">
        <f>IF(B670="","",SUMIF(Transactions!$F$8:$F$3006,B670,Transactions!$R$8:$R$3006))</f>
        <v/>
      </c>
      <c r="G670" s="46" t="str">
        <f>IF(B670="","",(C670+F670)-(D670+E670+SUMIF(Transactions!$F$8:$F$3006,B670,Transactions!$Q$8:$Q$3006)))</f>
        <v/>
      </c>
      <c r="H670" s="47" t="str">
        <f>IF(B670="","",IF(G670&gt;0,"OUTSTANDING",IF(G670=0,"SETTLED",IF(SUMIF(Transactions!$F$8:$F$3006,B670,Transactions!$Q$8:$Q$3006)&gt;SUMIF(Transactions!$F$8:$F$3006,B670,Transactions!$R$8:$R$3006),"OWES","OVERPAID"))))</f>
        <v/>
      </c>
      <c r="I670" s="1"/>
    </row>
    <row r="671" spans="1:9" ht="18" customHeight="1" x14ac:dyDescent="0.25">
      <c r="A671" s="48">
        <v>656</v>
      </c>
      <c r="B671" s="49" t="str">
        <f t="array" ref="B671">IFERROR(IF(INDEX(Transactions!$F$8:$F$3006,MATCH(0,COUNTIF($B$11:B670,Transactions!$F$8:$F$3006),0))="","",INDEX(Transactions!$F$8:$F$3006,MATCH(0,COUNTIF($B$11:B670,Transactions!$F$8:$F$3006),0))),"")</f>
        <v/>
      </c>
      <c r="C671" s="50" t="str">
        <f>IF(B671="","",SUMIF(Transactions!$F$8:$F$3006,B671,Transactions!$H$8:$H$3006))</f>
        <v/>
      </c>
      <c r="D671" s="51" t="str">
        <f>IF(B671="","",SUMIF(Transactions!$F$8:$F$3006,B671,Transactions!$N$8:$N$3006))</f>
        <v/>
      </c>
      <c r="E671" s="52" t="str">
        <f>IF(B671="","",SUMIF(Transactions!$F$8:$F$3006,B671,Transactions!$O$8:$O$3006))</f>
        <v/>
      </c>
      <c r="F671" s="53" t="str">
        <f>IF(B671="","",SUMIF(Transactions!$F$8:$F$3006,B671,Transactions!$R$8:$R$3006))</f>
        <v/>
      </c>
      <c r="G671" s="54" t="str">
        <f>IF(B671="","",(C671+F671)-(D671+E671+SUMIF(Transactions!$F$8:$F$3006,B671,Transactions!$Q$8:$Q$3006)))</f>
        <v/>
      </c>
      <c r="H671" s="55" t="str">
        <f>IF(B671="","",IF(G671&gt;0,"OUTSTANDING",IF(G671=0,"SETTLED",IF(SUMIF(Transactions!$F$8:$F$3006,B671,Transactions!$Q$8:$Q$3006)&gt;SUMIF(Transactions!$F$8:$F$3006,B671,Transactions!$R$8:$R$3006),"OWES","OVERPAID"))))</f>
        <v/>
      </c>
      <c r="I671" s="1"/>
    </row>
    <row r="672" spans="1:9" ht="18" customHeight="1" x14ac:dyDescent="0.25">
      <c r="A672" s="40">
        <v>657</v>
      </c>
      <c r="B672" s="41" t="str">
        <f t="array" ref="B672">IFERROR(IF(INDEX(Transactions!$F$8:$F$3006,MATCH(0,COUNTIF($B$11:B671,Transactions!$F$8:$F$3006),0))="","",INDEX(Transactions!$F$8:$F$3006,MATCH(0,COUNTIF($B$11:B671,Transactions!$F$8:$F$3006),0))),"")</f>
        <v/>
      </c>
      <c r="C672" s="42" t="str">
        <f>IF(B672="","",SUMIF(Transactions!$F$8:$F$3006,B672,Transactions!$H$8:$H$3006))</f>
        <v/>
      </c>
      <c r="D672" s="43" t="str">
        <f>IF(B672="","",SUMIF(Transactions!$F$8:$F$3006,B672,Transactions!$N$8:$N$3006))</f>
        <v/>
      </c>
      <c r="E672" s="44" t="str">
        <f>IF(B672="","",SUMIF(Transactions!$F$8:$F$3006,B672,Transactions!$O$8:$O$3006))</f>
        <v/>
      </c>
      <c r="F672" s="45" t="str">
        <f>IF(B672="","",SUMIF(Transactions!$F$8:$F$3006,B672,Transactions!$R$8:$R$3006))</f>
        <v/>
      </c>
      <c r="G672" s="46" t="str">
        <f>IF(B672="","",(C672+F672)-(D672+E672+SUMIF(Transactions!$F$8:$F$3006,B672,Transactions!$Q$8:$Q$3006)))</f>
        <v/>
      </c>
      <c r="H672" s="47" t="str">
        <f>IF(B672="","",IF(G672&gt;0,"OUTSTANDING",IF(G672=0,"SETTLED",IF(SUMIF(Transactions!$F$8:$F$3006,B672,Transactions!$Q$8:$Q$3006)&gt;SUMIF(Transactions!$F$8:$F$3006,B672,Transactions!$R$8:$R$3006),"OWES","OVERPAID"))))</f>
        <v/>
      </c>
      <c r="I672" s="1"/>
    </row>
    <row r="673" spans="1:9" ht="18" customHeight="1" x14ac:dyDescent="0.25">
      <c r="A673" s="48">
        <v>658</v>
      </c>
      <c r="B673" s="49" t="str">
        <f t="array" ref="B673">IFERROR(IF(INDEX(Transactions!$F$8:$F$3006,MATCH(0,COUNTIF($B$11:B672,Transactions!$F$8:$F$3006),0))="","",INDEX(Transactions!$F$8:$F$3006,MATCH(0,COUNTIF($B$11:B672,Transactions!$F$8:$F$3006),0))),"")</f>
        <v/>
      </c>
      <c r="C673" s="50" t="str">
        <f>IF(B673="","",SUMIF(Transactions!$F$8:$F$3006,B673,Transactions!$H$8:$H$3006))</f>
        <v/>
      </c>
      <c r="D673" s="51" t="str">
        <f>IF(B673="","",SUMIF(Transactions!$F$8:$F$3006,B673,Transactions!$N$8:$N$3006))</f>
        <v/>
      </c>
      <c r="E673" s="52" t="str">
        <f>IF(B673="","",SUMIF(Transactions!$F$8:$F$3006,B673,Transactions!$O$8:$O$3006))</f>
        <v/>
      </c>
      <c r="F673" s="53" t="str">
        <f>IF(B673="","",SUMIF(Transactions!$F$8:$F$3006,B673,Transactions!$R$8:$R$3006))</f>
        <v/>
      </c>
      <c r="G673" s="54" t="str">
        <f>IF(B673="","",(C673+F673)-(D673+E673+SUMIF(Transactions!$F$8:$F$3006,B673,Transactions!$Q$8:$Q$3006)))</f>
        <v/>
      </c>
      <c r="H673" s="55" t="str">
        <f>IF(B673="","",IF(G673&gt;0,"OUTSTANDING",IF(G673=0,"SETTLED",IF(SUMIF(Transactions!$F$8:$F$3006,B673,Transactions!$Q$8:$Q$3006)&gt;SUMIF(Transactions!$F$8:$F$3006,B673,Transactions!$R$8:$R$3006),"OWES","OVERPAID"))))</f>
        <v/>
      </c>
      <c r="I673" s="1"/>
    </row>
    <row r="674" spans="1:9" ht="18" customHeight="1" x14ac:dyDescent="0.25">
      <c r="A674" s="40">
        <v>659</v>
      </c>
      <c r="B674" s="41" t="str">
        <f t="array" ref="B674">IFERROR(IF(INDEX(Transactions!$F$8:$F$3006,MATCH(0,COUNTIF($B$11:B673,Transactions!$F$8:$F$3006),0))="","",INDEX(Transactions!$F$8:$F$3006,MATCH(0,COUNTIF($B$11:B673,Transactions!$F$8:$F$3006),0))),"")</f>
        <v/>
      </c>
      <c r="C674" s="42" t="str">
        <f>IF(B674="","",SUMIF(Transactions!$F$8:$F$3006,B674,Transactions!$H$8:$H$3006))</f>
        <v/>
      </c>
      <c r="D674" s="43" t="str">
        <f>IF(B674="","",SUMIF(Transactions!$F$8:$F$3006,B674,Transactions!$N$8:$N$3006))</f>
        <v/>
      </c>
      <c r="E674" s="44" t="str">
        <f>IF(B674="","",SUMIF(Transactions!$F$8:$F$3006,B674,Transactions!$O$8:$O$3006))</f>
        <v/>
      </c>
      <c r="F674" s="45" t="str">
        <f>IF(B674="","",SUMIF(Transactions!$F$8:$F$3006,B674,Transactions!$R$8:$R$3006))</f>
        <v/>
      </c>
      <c r="G674" s="46" t="str">
        <f>IF(B674="","",(C674+F674)-(D674+E674+SUMIF(Transactions!$F$8:$F$3006,B674,Transactions!$Q$8:$Q$3006)))</f>
        <v/>
      </c>
      <c r="H674" s="47" t="str">
        <f>IF(B674="","",IF(G674&gt;0,"OUTSTANDING",IF(G674=0,"SETTLED",IF(SUMIF(Transactions!$F$8:$F$3006,B674,Transactions!$Q$8:$Q$3006)&gt;SUMIF(Transactions!$F$8:$F$3006,B674,Transactions!$R$8:$R$3006),"OWES","OVERPAID"))))</f>
        <v/>
      </c>
      <c r="I674" s="1"/>
    </row>
    <row r="675" spans="1:9" ht="18" customHeight="1" x14ac:dyDescent="0.25">
      <c r="A675" s="48">
        <v>660</v>
      </c>
      <c r="B675" s="49" t="str">
        <f t="array" ref="B675">IFERROR(IF(INDEX(Transactions!$F$8:$F$3006,MATCH(0,COUNTIF($B$11:B674,Transactions!$F$8:$F$3006),0))="","",INDEX(Transactions!$F$8:$F$3006,MATCH(0,COUNTIF($B$11:B674,Transactions!$F$8:$F$3006),0))),"")</f>
        <v/>
      </c>
      <c r="C675" s="50" t="str">
        <f>IF(B675="","",SUMIF(Transactions!$F$8:$F$3006,B675,Transactions!$H$8:$H$3006))</f>
        <v/>
      </c>
      <c r="D675" s="51" t="str">
        <f>IF(B675="","",SUMIF(Transactions!$F$8:$F$3006,B675,Transactions!$N$8:$N$3006))</f>
        <v/>
      </c>
      <c r="E675" s="52" t="str">
        <f>IF(B675="","",SUMIF(Transactions!$F$8:$F$3006,B675,Transactions!$O$8:$O$3006))</f>
        <v/>
      </c>
      <c r="F675" s="53" t="str">
        <f>IF(B675="","",SUMIF(Transactions!$F$8:$F$3006,B675,Transactions!$R$8:$R$3006))</f>
        <v/>
      </c>
      <c r="G675" s="54" t="str">
        <f>IF(B675="","",(C675+F675)-(D675+E675+SUMIF(Transactions!$F$8:$F$3006,B675,Transactions!$Q$8:$Q$3006)))</f>
        <v/>
      </c>
      <c r="H675" s="55" t="str">
        <f>IF(B675="","",IF(G675&gt;0,"OUTSTANDING",IF(G675=0,"SETTLED",IF(SUMIF(Transactions!$F$8:$F$3006,B675,Transactions!$Q$8:$Q$3006)&gt;SUMIF(Transactions!$F$8:$F$3006,B675,Transactions!$R$8:$R$3006),"OWES","OVERPAID"))))</f>
        <v/>
      </c>
      <c r="I675" s="1"/>
    </row>
    <row r="676" spans="1:9" ht="18" customHeight="1" x14ac:dyDescent="0.25">
      <c r="A676" s="40">
        <v>661</v>
      </c>
      <c r="B676" s="41" t="str">
        <f t="array" ref="B676">IFERROR(IF(INDEX(Transactions!$F$8:$F$3006,MATCH(0,COUNTIF($B$11:B675,Transactions!$F$8:$F$3006),0))="","",INDEX(Transactions!$F$8:$F$3006,MATCH(0,COUNTIF($B$11:B675,Transactions!$F$8:$F$3006),0))),"")</f>
        <v/>
      </c>
      <c r="C676" s="42" t="str">
        <f>IF(B676="","",SUMIF(Transactions!$F$8:$F$3006,B676,Transactions!$H$8:$H$3006))</f>
        <v/>
      </c>
      <c r="D676" s="43" t="str">
        <f>IF(B676="","",SUMIF(Transactions!$F$8:$F$3006,B676,Transactions!$N$8:$N$3006))</f>
        <v/>
      </c>
      <c r="E676" s="44" t="str">
        <f>IF(B676="","",SUMIF(Transactions!$F$8:$F$3006,B676,Transactions!$O$8:$O$3006))</f>
        <v/>
      </c>
      <c r="F676" s="45" t="str">
        <f>IF(B676="","",SUMIF(Transactions!$F$8:$F$3006,B676,Transactions!$R$8:$R$3006))</f>
        <v/>
      </c>
      <c r="G676" s="46" t="str">
        <f>IF(B676="","",(C676+F676)-(D676+E676+SUMIF(Transactions!$F$8:$F$3006,B676,Transactions!$Q$8:$Q$3006)))</f>
        <v/>
      </c>
      <c r="H676" s="47" t="str">
        <f>IF(B676="","",IF(G676&gt;0,"OUTSTANDING",IF(G676=0,"SETTLED",IF(SUMIF(Transactions!$F$8:$F$3006,B676,Transactions!$Q$8:$Q$3006)&gt;SUMIF(Transactions!$F$8:$F$3006,B676,Transactions!$R$8:$R$3006),"OWES","OVERPAID"))))</f>
        <v/>
      </c>
      <c r="I676" s="1"/>
    </row>
    <row r="677" spans="1:9" ht="18" customHeight="1" x14ac:dyDescent="0.25">
      <c r="A677" s="48">
        <v>662</v>
      </c>
      <c r="B677" s="49" t="str">
        <f t="array" ref="B677">IFERROR(IF(INDEX(Transactions!$F$8:$F$3006,MATCH(0,COUNTIF($B$11:B676,Transactions!$F$8:$F$3006),0))="","",INDEX(Transactions!$F$8:$F$3006,MATCH(0,COUNTIF($B$11:B676,Transactions!$F$8:$F$3006),0))),"")</f>
        <v/>
      </c>
      <c r="C677" s="50" t="str">
        <f>IF(B677="","",SUMIF(Transactions!$F$8:$F$3006,B677,Transactions!$H$8:$H$3006))</f>
        <v/>
      </c>
      <c r="D677" s="51" t="str">
        <f>IF(B677="","",SUMIF(Transactions!$F$8:$F$3006,B677,Transactions!$N$8:$N$3006))</f>
        <v/>
      </c>
      <c r="E677" s="52" t="str">
        <f>IF(B677="","",SUMIF(Transactions!$F$8:$F$3006,B677,Transactions!$O$8:$O$3006))</f>
        <v/>
      </c>
      <c r="F677" s="53" t="str">
        <f>IF(B677="","",SUMIF(Transactions!$F$8:$F$3006,B677,Transactions!$R$8:$R$3006))</f>
        <v/>
      </c>
      <c r="G677" s="54" t="str">
        <f>IF(B677="","",(C677+F677)-(D677+E677+SUMIF(Transactions!$F$8:$F$3006,B677,Transactions!$Q$8:$Q$3006)))</f>
        <v/>
      </c>
      <c r="H677" s="55" t="str">
        <f>IF(B677="","",IF(G677&gt;0,"OUTSTANDING",IF(G677=0,"SETTLED",IF(SUMIF(Transactions!$F$8:$F$3006,B677,Transactions!$Q$8:$Q$3006)&gt;SUMIF(Transactions!$F$8:$F$3006,B677,Transactions!$R$8:$R$3006),"OWES","OVERPAID"))))</f>
        <v/>
      </c>
      <c r="I677" s="1"/>
    </row>
    <row r="678" spans="1:9" ht="18" customHeight="1" x14ac:dyDescent="0.25">
      <c r="A678" s="40">
        <v>663</v>
      </c>
      <c r="B678" s="41" t="str">
        <f t="array" ref="B678">IFERROR(IF(INDEX(Transactions!$F$8:$F$3006,MATCH(0,COUNTIF($B$11:B677,Transactions!$F$8:$F$3006),0))="","",INDEX(Transactions!$F$8:$F$3006,MATCH(0,COUNTIF($B$11:B677,Transactions!$F$8:$F$3006),0))),"")</f>
        <v/>
      </c>
      <c r="C678" s="42" t="str">
        <f>IF(B678="","",SUMIF(Transactions!$F$8:$F$3006,B678,Transactions!$H$8:$H$3006))</f>
        <v/>
      </c>
      <c r="D678" s="43" t="str">
        <f>IF(B678="","",SUMIF(Transactions!$F$8:$F$3006,B678,Transactions!$N$8:$N$3006))</f>
        <v/>
      </c>
      <c r="E678" s="44" t="str">
        <f>IF(B678="","",SUMIF(Transactions!$F$8:$F$3006,B678,Transactions!$O$8:$O$3006))</f>
        <v/>
      </c>
      <c r="F678" s="45" t="str">
        <f>IF(B678="","",SUMIF(Transactions!$F$8:$F$3006,B678,Transactions!$R$8:$R$3006))</f>
        <v/>
      </c>
      <c r="G678" s="46" t="str">
        <f>IF(B678="","",(C678+F678)-(D678+E678+SUMIF(Transactions!$F$8:$F$3006,B678,Transactions!$Q$8:$Q$3006)))</f>
        <v/>
      </c>
      <c r="H678" s="47" t="str">
        <f>IF(B678="","",IF(G678&gt;0,"OUTSTANDING",IF(G678=0,"SETTLED",IF(SUMIF(Transactions!$F$8:$F$3006,B678,Transactions!$Q$8:$Q$3006)&gt;SUMIF(Transactions!$F$8:$F$3006,B678,Transactions!$R$8:$R$3006),"OWES","OVERPAID"))))</f>
        <v/>
      </c>
      <c r="I678" s="1"/>
    </row>
    <row r="679" spans="1:9" ht="18" customHeight="1" x14ac:dyDescent="0.25">
      <c r="A679" s="48">
        <v>664</v>
      </c>
      <c r="B679" s="49" t="str">
        <f t="array" ref="B679">IFERROR(IF(INDEX(Transactions!$F$8:$F$3006,MATCH(0,COUNTIF($B$11:B678,Transactions!$F$8:$F$3006),0))="","",INDEX(Transactions!$F$8:$F$3006,MATCH(0,COUNTIF($B$11:B678,Transactions!$F$8:$F$3006),0))),"")</f>
        <v/>
      </c>
      <c r="C679" s="50" t="str">
        <f>IF(B679="","",SUMIF(Transactions!$F$8:$F$3006,B679,Transactions!$H$8:$H$3006))</f>
        <v/>
      </c>
      <c r="D679" s="51" t="str">
        <f>IF(B679="","",SUMIF(Transactions!$F$8:$F$3006,B679,Transactions!$N$8:$N$3006))</f>
        <v/>
      </c>
      <c r="E679" s="52" t="str">
        <f>IF(B679="","",SUMIF(Transactions!$F$8:$F$3006,B679,Transactions!$O$8:$O$3006))</f>
        <v/>
      </c>
      <c r="F679" s="53" t="str">
        <f>IF(B679="","",SUMIF(Transactions!$F$8:$F$3006,B679,Transactions!$R$8:$R$3006))</f>
        <v/>
      </c>
      <c r="G679" s="54" t="str">
        <f>IF(B679="","",(C679+F679)-(D679+E679+SUMIF(Transactions!$F$8:$F$3006,B679,Transactions!$Q$8:$Q$3006)))</f>
        <v/>
      </c>
      <c r="H679" s="55" t="str">
        <f>IF(B679="","",IF(G679&gt;0,"OUTSTANDING",IF(G679=0,"SETTLED",IF(SUMIF(Transactions!$F$8:$F$3006,B679,Transactions!$Q$8:$Q$3006)&gt;SUMIF(Transactions!$F$8:$F$3006,B679,Transactions!$R$8:$R$3006),"OWES","OVERPAID"))))</f>
        <v/>
      </c>
      <c r="I679" s="1"/>
    </row>
    <row r="680" spans="1:9" ht="18" customHeight="1" x14ac:dyDescent="0.25">
      <c r="A680" s="40">
        <v>665</v>
      </c>
      <c r="B680" s="41" t="str">
        <f t="array" ref="B680">IFERROR(IF(INDEX(Transactions!$F$8:$F$3006,MATCH(0,COUNTIF($B$11:B679,Transactions!$F$8:$F$3006),0))="","",INDEX(Transactions!$F$8:$F$3006,MATCH(0,COUNTIF($B$11:B679,Transactions!$F$8:$F$3006),0))),"")</f>
        <v/>
      </c>
      <c r="C680" s="42" t="str">
        <f>IF(B680="","",SUMIF(Transactions!$F$8:$F$3006,B680,Transactions!$H$8:$H$3006))</f>
        <v/>
      </c>
      <c r="D680" s="43" t="str">
        <f>IF(B680="","",SUMIF(Transactions!$F$8:$F$3006,B680,Transactions!$N$8:$N$3006))</f>
        <v/>
      </c>
      <c r="E680" s="44" t="str">
        <f>IF(B680="","",SUMIF(Transactions!$F$8:$F$3006,B680,Transactions!$O$8:$O$3006))</f>
        <v/>
      </c>
      <c r="F680" s="45" t="str">
        <f>IF(B680="","",SUMIF(Transactions!$F$8:$F$3006,B680,Transactions!$R$8:$R$3006))</f>
        <v/>
      </c>
      <c r="G680" s="46" t="str">
        <f>IF(B680="","",(C680+F680)-(D680+E680+SUMIF(Transactions!$F$8:$F$3006,B680,Transactions!$Q$8:$Q$3006)))</f>
        <v/>
      </c>
      <c r="H680" s="47" t="str">
        <f>IF(B680="","",IF(G680&gt;0,"OUTSTANDING",IF(G680=0,"SETTLED",IF(SUMIF(Transactions!$F$8:$F$3006,B680,Transactions!$Q$8:$Q$3006)&gt;SUMIF(Transactions!$F$8:$F$3006,B680,Transactions!$R$8:$R$3006),"OWES","OVERPAID"))))</f>
        <v/>
      </c>
      <c r="I680" s="1"/>
    </row>
    <row r="681" spans="1:9" ht="18" customHeight="1" x14ac:dyDescent="0.25">
      <c r="A681" s="48">
        <v>666</v>
      </c>
      <c r="B681" s="49" t="str">
        <f t="array" ref="B681">IFERROR(IF(INDEX(Transactions!$F$8:$F$3006,MATCH(0,COUNTIF($B$11:B680,Transactions!$F$8:$F$3006),0))="","",INDEX(Transactions!$F$8:$F$3006,MATCH(0,COUNTIF($B$11:B680,Transactions!$F$8:$F$3006),0))),"")</f>
        <v/>
      </c>
      <c r="C681" s="50" t="str">
        <f>IF(B681="","",SUMIF(Transactions!$F$8:$F$3006,B681,Transactions!$H$8:$H$3006))</f>
        <v/>
      </c>
      <c r="D681" s="51" t="str">
        <f>IF(B681="","",SUMIF(Transactions!$F$8:$F$3006,B681,Transactions!$N$8:$N$3006))</f>
        <v/>
      </c>
      <c r="E681" s="52" t="str">
        <f>IF(B681="","",SUMIF(Transactions!$F$8:$F$3006,B681,Transactions!$O$8:$O$3006))</f>
        <v/>
      </c>
      <c r="F681" s="53" t="str">
        <f>IF(B681="","",SUMIF(Transactions!$F$8:$F$3006,B681,Transactions!$R$8:$R$3006))</f>
        <v/>
      </c>
      <c r="G681" s="54" t="str">
        <f>IF(B681="","",(C681+F681)-(D681+E681+SUMIF(Transactions!$F$8:$F$3006,B681,Transactions!$Q$8:$Q$3006)))</f>
        <v/>
      </c>
      <c r="H681" s="55" t="str">
        <f>IF(B681="","",IF(G681&gt;0,"OUTSTANDING",IF(G681=0,"SETTLED",IF(SUMIF(Transactions!$F$8:$F$3006,B681,Transactions!$Q$8:$Q$3006)&gt;SUMIF(Transactions!$F$8:$F$3006,B681,Transactions!$R$8:$R$3006),"OWES","OVERPAID"))))</f>
        <v/>
      </c>
      <c r="I681" s="1"/>
    </row>
    <row r="682" spans="1:9" ht="18" customHeight="1" x14ac:dyDescent="0.25">
      <c r="A682" s="40">
        <v>667</v>
      </c>
      <c r="B682" s="41" t="str">
        <f t="array" ref="B682">IFERROR(IF(INDEX(Transactions!$F$8:$F$3006,MATCH(0,COUNTIF($B$11:B681,Transactions!$F$8:$F$3006),0))="","",INDEX(Transactions!$F$8:$F$3006,MATCH(0,COUNTIF($B$11:B681,Transactions!$F$8:$F$3006),0))),"")</f>
        <v/>
      </c>
      <c r="C682" s="42" t="str">
        <f>IF(B682="","",SUMIF(Transactions!$F$8:$F$3006,B682,Transactions!$H$8:$H$3006))</f>
        <v/>
      </c>
      <c r="D682" s="43" t="str">
        <f>IF(B682="","",SUMIF(Transactions!$F$8:$F$3006,B682,Transactions!$N$8:$N$3006))</f>
        <v/>
      </c>
      <c r="E682" s="44" t="str">
        <f>IF(B682="","",SUMIF(Transactions!$F$8:$F$3006,B682,Transactions!$O$8:$O$3006))</f>
        <v/>
      </c>
      <c r="F682" s="45" t="str">
        <f>IF(B682="","",SUMIF(Transactions!$F$8:$F$3006,B682,Transactions!$R$8:$R$3006))</f>
        <v/>
      </c>
      <c r="G682" s="46" t="str">
        <f>IF(B682="","",(C682+F682)-(D682+E682+SUMIF(Transactions!$F$8:$F$3006,B682,Transactions!$Q$8:$Q$3006)))</f>
        <v/>
      </c>
      <c r="H682" s="47" t="str">
        <f>IF(B682="","",IF(G682&gt;0,"OUTSTANDING",IF(G682=0,"SETTLED",IF(SUMIF(Transactions!$F$8:$F$3006,B682,Transactions!$Q$8:$Q$3006)&gt;SUMIF(Transactions!$F$8:$F$3006,B682,Transactions!$R$8:$R$3006),"OWES","OVERPAID"))))</f>
        <v/>
      </c>
      <c r="I682" s="1"/>
    </row>
    <row r="683" spans="1:9" ht="18" customHeight="1" x14ac:dyDescent="0.25">
      <c r="A683" s="48">
        <v>668</v>
      </c>
      <c r="B683" s="49" t="str">
        <f t="array" ref="B683">IFERROR(IF(INDEX(Transactions!$F$8:$F$3006,MATCH(0,COUNTIF($B$11:B682,Transactions!$F$8:$F$3006),0))="","",INDEX(Transactions!$F$8:$F$3006,MATCH(0,COUNTIF($B$11:B682,Transactions!$F$8:$F$3006),0))),"")</f>
        <v/>
      </c>
      <c r="C683" s="50" t="str">
        <f>IF(B683="","",SUMIF(Transactions!$F$8:$F$3006,B683,Transactions!$H$8:$H$3006))</f>
        <v/>
      </c>
      <c r="D683" s="51" t="str">
        <f>IF(B683="","",SUMIF(Transactions!$F$8:$F$3006,B683,Transactions!$N$8:$N$3006))</f>
        <v/>
      </c>
      <c r="E683" s="52" t="str">
        <f>IF(B683="","",SUMIF(Transactions!$F$8:$F$3006,B683,Transactions!$O$8:$O$3006))</f>
        <v/>
      </c>
      <c r="F683" s="53" t="str">
        <f>IF(B683="","",SUMIF(Transactions!$F$8:$F$3006,B683,Transactions!$R$8:$R$3006))</f>
        <v/>
      </c>
      <c r="G683" s="54" t="str">
        <f>IF(B683="","",(C683+F683)-(D683+E683+SUMIF(Transactions!$F$8:$F$3006,B683,Transactions!$Q$8:$Q$3006)))</f>
        <v/>
      </c>
      <c r="H683" s="55" t="str">
        <f>IF(B683="","",IF(G683&gt;0,"OUTSTANDING",IF(G683=0,"SETTLED",IF(SUMIF(Transactions!$F$8:$F$3006,B683,Transactions!$Q$8:$Q$3006)&gt;SUMIF(Transactions!$F$8:$F$3006,B683,Transactions!$R$8:$R$3006),"OWES","OVERPAID"))))</f>
        <v/>
      </c>
      <c r="I683" s="1"/>
    </row>
    <row r="684" spans="1:9" ht="18" customHeight="1" x14ac:dyDescent="0.25">
      <c r="A684" s="40">
        <v>669</v>
      </c>
      <c r="B684" s="41" t="str">
        <f t="array" ref="B684">IFERROR(IF(INDEX(Transactions!$F$8:$F$3006,MATCH(0,COUNTIF($B$11:B683,Transactions!$F$8:$F$3006),0))="","",INDEX(Transactions!$F$8:$F$3006,MATCH(0,COUNTIF($B$11:B683,Transactions!$F$8:$F$3006),0))),"")</f>
        <v/>
      </c>
      <c r="C684" s="42" t="str">
        <f>IF(B684="","",SUMIF(Transactions!$F$8:$F$3006,B684,Transactions!$H$8:$H$3006))</f>
        <v/>
      </c>
      <c r="D684" s="43" t="str">
        <f>IF(B684="","",SUMIF(Transactions!$F$8:$F$3006,B684,Transactions!$N$8:$N$3006))</f>
        <v/>
      </c>
      <c r="E684" s="44" t="str">
        <f>IF(B684="","",SUMIF(Transactions!$F$8:$F$3006,B684,Transactions!$O$8:$O$3006))</f>
        <v/>
      </c>
      <c r="F684" s="45" t="str">
        <f>IF(B684="","",SUMIF(Transactions!$F$8:$F$3006,B684,Transactions!$R$8:$R$3006))</f>
        <v/>
      </c>
      <c r="G684" s="46" t="str">
        <f>IF(B684="","",(C684+F684)-(D684+E684+SUMIF(Transactions!$F$8:$F$3006,B684,Transactions!$Q$8:$Q$3006)))</f>
        <v/>
      </c>
      <c r="H684" s="47" t="str">
        <f>IF(B684="","",IF(G684&gt;0,"OUTSTANDING",IF(G684=0,"SETTLED",IF(SUMIF(Transactions!$F$8:$F$3006,B684,Transactions!$Q$8:$Q$3006)&gt;SUMIF(Transactions!$F$8:$F$3006,B684,Transactions!$R$8:$R$3006),"OWES","OVERPAID"))))</f>
        <v/>
      </c>
      <c r="I684" s="1"/>
    </row>
    <row r="685" spans="1:9" ht="18" customHeight="1" x14ac:dyDescent="0.25">
      <c r="A685" s="48">
        <v>670</v>
      </c>
      <c r="B685" s="49" t="str">
        <f t="array" ref="B685">IFERROR(IF(INDEX(Transactions!$F$8:$F$3006,MATCH(0,COUNTIF($B$11:B684,Transactions!$F$8:$F$3006),0))="","",INDEX(Transactions!$F$8:$F$3006,MATCH(0,COUNTIF($B$11:B684,Transactions!$F$8:$F$3006),0))),"")</f>
        <v/>
      </c>
      <c r="C685" s="50" t="str">
        <f>IF(B685="","",SUMIF(Transactions!$F$8:$F$3006,B685,Transactions!$H$8:$H$3006))</f>
        <v/>
      </c>
      <c r="D685" s="51" t="str">
        <f>IF(B685="","",SUMIF(Transactions!$F$8:$F$3006,B685,Transactions!$N$8:$N$3006))</f>
        <v/>
      </c>
      <c r="E685" s="52" t="str">
        <f>IF(B685="","",SUMIF(Transactions!$F$8:$F$3006,B685,Transactions!$O$8:$O$3006))</f>
        <v/>
      </c>
      <c r="F685" s="53" t="str">
        <f>IF(B685="","",SUMIF(Transactions!$F$8:$F$3006,B685,Transactions!$R$8:$R$3006))</f>
        <v/>
      </c>
      <c r="G685" s="54" t="str">
        <f>IF(B685="","",(C685+F685)-(D685+E685+SUMIF(Transactions!$F$8:$F$3006,B685,Transactions!$Q$8:$Q$3006)))</f>
        <v/>
      </c>
      <c r="H685" s="55" t="str">
        <f>IF(B685="","",IF(G685&gt;0,"OUTSTANDING",IF(G685=0,"SETTLED",IF(SUMIF(Transactions!$F$8:$F$3006,B685,Transactions!$Q$8:$Q$3006)&gt;SUMIF(Transactions!$F$8:$F$3006,B685,Transactions!$R$8:$R$3006),"OWES","OVERPAID"))))</f>
        <v/>
      </c>
      <c r="I685" s="1"/>
    </row>
    <row r="686" spans="1:9" ht="18" customHeight="1" x14ac:dyDescent="0.25">
      <c r="A686" s="40">
        <v>671</v>
      </c>
      <c r="B686" s="41" t="str">
        <f t="array" ref="B686">IFERROR(IF(INDEX(Transactions!$F$8:$F$3006,MATCH(0,COUNTIF($B$11:B685,Transactions!$F$8:$F$3006),0))="","",INDEX(Transactions!$F$8:$F$3006,MATCH(0,COUNTIF($B$11:B685,Transactions!$F$8:$F$3006),0))),"")</f>
        <v/>
      </c>
      <c r="C686" s="42" t="str">
        <f>IF(B686="","",SUMIF(Transactions!$F$8:$F$3006,B686,Transactions!$H$8:$H$3006))</f>
        <v/>
      </c>
      <c r="D686" s="43" t="str">
        <f>IF(B686="","",SUMIF(Transactions!$F$8:$F$3006,B686,Transactions!$N$8:$N$3006))</f>
        <v/>
      </c>
      <c r="E686" s="44" t="str">
        <f>IF(B686="","",SUMIF(Transactions!$F$8:$F$3006,B686,Transactions!$O$8:$O$3006))</f>
        <v/>
      </c>
      <c r="F686" s="45" t="str">
        <f>IF(B686="","",SUMIF(Transactions!$F$8:$F$3006,B686,Transactions!$R$8:$R$3006))</f>
        <v/>
      </c>
      <c r="G686" s="46" t="str">
        <f>IF(B686="","",(C686+F686)-(D686+E686+SUMIF(Transactions!$F$8:$F$3006,B686,Transactions!$Q$8:$Q$3006)))</f>
        <v/>
      </c>
      <c r="H686" s="47" t="str">
        <f>IF(B686="","",IF(G686&gt;0,"OUTSTANDING",IF(G686=0,"SETTLED",IF(SUMIF(Transactions!$F$8:$F$3006,B686,Transactions!$Q$8:$Q$3006)&gt;SUMIF(Transactions!$F$8:$F$3006,B686,Transactions!$R$8:$R$3006),"OWES","OVERPAID"))))</f>
        <v/>
      </c>
      <c r="I686" s="1"/>
    </row>
    <row r="687" spans="1:9" ht="18" customHeight="1" x14ac:dyDescent="0.25">
      <c r="A687" s="48">
        <v>672</v>
      </c>
      <c r="B687" s="49" t="str">
        <f t="array" ref="B687">IFERROR(IF(INDEX(Transactions!$F$8:$F$3006,MATCH(0,COUNTIF($B$11:B686,Transactions!$F$8:$F$3006),0))="","",INDEX(Transactions!$F$8:$F$3006,MATCH(0,COUNTIF($B$11:B686,Transactions!$F$8:$F$3006),0))),"")</f>
        <v/>
      </c>
      <c r="C687" s="50" t="str">
        <f>IF(B687="","",SUMIF(Transactions!$F$8:$F$3006,B687,Transactions!$H$8:$H$3006))</f>
        <v/>
      </c>
      <c r="D687" s="51" t="str">
        <f>IF(B687="","",SUMIF(Transactions!$F$8:$F$3006,B687,Transactions!$N$8:$N$3006))</f>
        <v/>
      </c>
      <c r="E687" s="52" t="str">
        <f>IF(B687="","",SUMIF(Transactions!$F$8:$F$3006,B687,Transactions!$O$8:$O$3006))</f>
        <v/>
      </c>
      <c r="F687" s="53" t="str">
        <f>IF(B687="","",SUMIF(Transactions!$F$8:$F$3006,B687,Transactions!$R$8:$R$3006))</f>
        <v/>
      </c>
      <c r="G687" s="54" t="str">
        <f>IF(B687="","",(C687+F687)-(D687+E687+SUMIF(Transactions!$F$8:$F$3006,B687,Transactions!$Q$8:$Q$3006)))</f>
        <v/>
      </c>
      <c r="H687" s="55" t="str">
        <f>IF(B687="","",IF(G687&gt;0,"OUTSTANDING",IF(G687=0,"SETTLED",IF(SUMIF(Transactions!$F$8:$F$3006,B687,Transactions!$Q$8:$Q$3006)&gt;SUMIF(Transactions!$F$8:$F$3006,B687,Transactions!$R$8:$R$3006),"OWES","OVERPAID"))))</f>
        <v/>
      </c>
      <c r="I687" s="1"/>
    </row>
    <row r="688" spans="1:9" ht="18" customHeight="1" x14ac:dyDescent="0.25">
      <c r="A688" s="40">
        <v>673</v>
      </c>
      <c r="B688" s="41" t="str">
        <f t="array" ref="B688">IFERROR(IF(INDEX(Transactions!$F$8:$F$3006,MATCH(0,COUNTIF($B$11:B687,Transactions!$F$8:$F$3006),0))="","",INDEX(Transactions!$F$8:$F$3006,MATCH(0,COUNTIF($B$11:B687,Transactions!$F$8:$F$3006),0))),"")</f>
        <v/>
      </c>
      <c r="C688" s="42" t="str">
        <f>IF(B688="","",SUMIF(Transactions!$F$8:$F$3006,B688,Transactions!$H$8:$H$3006))</f>
        <v/>
      </c>
      <c r="D688" s="43" t="str">
        <f>IF(B688="","",SUMIF(Transactions!$F$8:$F$3006,B688,Transactions!$N$8:$N$3006))</f>
        <v/>
      </c>
      <c r="E688" s="44" t="str">
        <f>IF(B688="","",SUMIF(Transactions!$F$8:$F$3006,B688,Transactions!$O$8:$O$3006))</f>
        <v/>
      </c>
      <c r="F688" s="45" t="str">
        <f>IF(B688="","",SUMIF(Transactions!$F$8:$F$3006,B688,Transactions!$R$8:$R$3006))</f>
        <v/>
      </c>
      <c r="G688" s="46" t="str">
        <f>IF(B688="","",(C688+F688)-(D688+E688+SUMIF(Transactions!$F$8:$F$3006,B688,Transactions!$Q$8:$Q$3006)))</f>
        <v/>
      </c>
      <c r="H688" s="47" t="str">
        <f>IF(B688="","",IF(G688&gt;0,"OUTSTANDING",IF(G688=0,"SETTLED",IF(SUMIF(Transactions!$F$8:$F$3006,B688,Transactions!$Q$8:$Q$3006)&gt;SUMIF(Transactions!$F$8:$F$3006,B688,Transactions!$R$8:$R$3006),"OWES","OVERPAID"))))</f>
        <v/>
      </c>
      <c r="I688" s="1"/>
    </row>
    <row r="689" spans="1:9" ht="18" customHeight="1" x14ac:dyDescent="0.25">
      <c r="A689" s="48">
        <v>674</v>
      </c>
      <c r="B689" s="49" t="str">
        <f t="array" ref="B689">IFERROR(IF(INDEX(Transactions!$F$8:$F$3006,MATCH(0,COUNTIF($B$11:B688,Transactions!$F$8:$F$3006),0))="","",INDEX(Transactions!$F$8:$F$3006,MATCH(0,COUNTIF($B$11:B688,Transactions!$F$8:$F$3006),0))),"")</f>
        <v/>
      </c>
      <c r="C689" s="50" t="str">
        <f>IF(B689="","",SUMIF(Transactions!$F$8:$F$3006,B689,Transactions!$H$8:$H$3006))</f>
        <v/>
      </c>
      <c r="D689" s="51" t="str">
        <f>IF(B689="","",SUMIF(Transactions!$F$8:$F$3006,B689,Transactions!$N$8:$N$3006))</f>
        <v/>
      </c>
      <c r="E689" s="52" t="str">
        <f>IF(B689="","",SUMIF(Transactions!$F$8:$F$3006,B689,Transactions!$O$8:$O$3006))</f>
        <v/>
      </c>
      <c r="F689" s="53" t="str">
        <f>IF(B689="","",SUMIF(Transactions!$F$8:$F$3006,B689,Transactions!$R$8:$R$3006))</f>
        <v/>
      </c>
      <c r="G689" s="54" t="str">
        <f>IF(B689="","",(C689+F689)-(D689+E689+SUMIF(Transactions!$F$8:$F$3006,B689,Transactions!$Q$8:$Q$3006)))</f>
        <v/>
      </c>
      <c r="H689" s="55" t="str">
        <f>IF(B689="","",IF(G689&gt;0,"OUTSTANDING",IF(G689=0,"SETTLED",IF(SUMIF(Transactions!$F$8:$F$3006,B689,Transactions!$Q$8:$Q$3006)&gt;SUMIF(Transactions!$F$8:$F$3006,B689,Transactions!$R$8:$R$3006),"OWES","OVERPAID"))))</f>
        <v/>
      </c>
      <c r="I689" s="1"/>
    </row>
    <row r="690" spans="1:9" ht="18" customHeight="1" x14ac:dyDescent="0.25">
      <c r="A690" s="40">
        <v>675</v>
      </c>
      <c r="B690" s="41" t="str">
        <f t="array" ref="B690">IFERROR(IF(INDEX(Transactions!$F$8:$F$3006,MATCH(0,COUNTIF($B$11:B689,Transactions!$F$8:$F$3006),0))="","",INDEX(Transactions!$F$8:$F$3006,MATCH(0,COUNTIF($B$11:B689,Transactions!$F$8:$F$3006),0))),"")</f>
        <v/>
      </c>
      <c r="C690" s="42" t="str">
        <f>IF(B690="","",SUMIF(Transactions!$F$8:$F$3006,B690,Transactions!$H$8:$H$3006))</f>
        <v/>
      </c>
      <c r="D690" s="43" t="str">
        <f>IF(B690="","",SUMIF(Transactions!$F$8:$F$3006,B690,Transactions!$N$8:$N$3006))</f>
        <v/>
      </c>
      <c r="E690" s="44" t="str">
        <f>IF(B690="","",SUMIF(Transactions!$F$8:$F$3006,B690,Transactions!$O$8:$O$3006))</f>
        <v/>
      </c>
      <c r="F690" s="45" t="str">
        <f>IF(B690="","",SUMIF(Transactions!$F$8:$F$3006,B690,Transactions!$R$8:$R$3006))</f>
        <v/>
      </c>
      <c r="G690" s="46" t="str">
        <f>IF(B690="","",(C690+F690)-(D690+E690+SUMIF(Transactions!$F$8:$F$3006,B690,Transactions!$Q$8:$Q$3006)))</f>
        <v/>
      </c>
      <c r="H690" s="47" t="str">
        <f>IF(B690="","",IF(G690&gt;0,"OUTSTANDING",IF(G690=0,"SETTLED",IF(SUMIF(Transactions!$F$8:$F$3006,B690,Transactions!$Q$8:$Q$3006)&gt;SUMIF(Transactions!$F$8:$F$3006,B690,Transactions!$R$8:$R$3006),"OWES","OVERPAID"))))</f>
        <v/>
      </c>
      <c r="I690" s="1"/>
    </row>
    <row r="691" spans="1:9" ht="18" customHeight="1" x14ac:dyDescent="0.25">
      <c r="A691" s="48">
        <v>676</v>
      </c>
      <c r="B691" s="49" t="str">
        <f t="array" ref="B691">IFERROR(IF(INDEX(Transactions!$F$8:$F$3006,MATCH(0,COUNTIF($B$11:B690,Transactions!$F$8:$F$3006),0))="","",INDEX(Transactions!$F$8:$F$3006,MATCH(0,COUNTIF($B$11:B690,Transactions!$F$8:$F$3006),0))),"")</f>
        <v/>
      </c>
      <c r="C691" s="50" t="str">
        <f>IF(B691="","",SUMIF(Transactions!$F$8:$F$3006,B691,Transactions!$H$8:$H$3006))</f>
        <v/>
      </c>
      <c r="D691" s="51" t="str">
        <f>IF(B691="","",SUMIF(Transactions!$F$8:$F$3006,B691,Transactions!$N$8:$N$3006))</f>
        <v/>
      </c>
      <c r="E691" s="52" t="str">
        <f>IF(B691="","",SUMIF(Transactions!$F$8:$F$3006,B691,Transactions!$O$8:$O$3006))</f>
        <v/>
      </c>
      <c r="F691" s="53" t="str">
        <f>IF(B691="","",SUMIF(Transactions!$F$8:$F$3006,B691,Transactions!$R$8:$R$3006))</f>
        <v/>
      </c>
      <c r="G691" s="54" t="str">
        <f>IF(B691="","",(C691+F691)-(D691+E691+SUMIF(Transactions!$F$8:$F$3006,B691,Transactions!$Q$8:$Q$3006)))</f>
        <v/>
      </c>
      <c r="H691" s="55" t="str">
        <f>IF(B691="","",IF(G691&gt;0,"OUTSTANDING",IF(G691=0,"SETTLED",IF(SUMIF(Transactions!$F$8:$F$3006,B691,Transactions!$Q$8:$Q$3006)&gt;SUMIF(Transactions!$F$8:$F$3006,B691,Transactions!$R$8:$R$3006),"OWES","OVERPAID"))))</f>
        <v/>
      </c>
      <c r="I691" s="1"/>
    </row>
    <row r="692" spans="1:9" ht="18" customHeight="1" x14ac:dyDescent="0.25">
      <c r="A692" s="40">
        <v>677</v>
      </c>
      <c r="B692" s="41" t="str">
        <f t="array" ref="B692">IFERROR(IF(INDEX(Transactions!$F$8:$F$3006,MATCH(0,COUNTIF($B$11:B691,Transactions!$F$8:$F$3006),0))="","",INDEX(Transactions!$F$8:$F$3006,MATCH(0,COUNTIF($B$11:B691,Transactions!$F$8:$F$3006),0))),"")</f>
        <v/>
      </c>
      <c r="C692" s="42" t="str">
        <f>IF(B692="","",SUMIF(Transactions!$F$8:$F$3006,B692,Transactions!$H$8:$H$3006))</f>
        <v/>
      </c>
      <c r="D692" s="43" t="str">
        <f>IF(B692="","",SUMIF(Transactions!$F$8:$F$3006,B692,Transactions!$N$8:$N$3006))</f>
        <v/>
      </c>
      <c r="E692" s="44" t="str">
        <f>IF(B692="","",SUMIF(Transactions!$F$8:$F$3006,B692,Transactions!$O$8:$O$3006))</f>
        <v/>
      </c>
      <c r="F692" s="45" t="str">
        <f>IF(B692="","",SUMIF(Transactions!$F$8:$F$3006,B692,Transactions!$R$8:$R$3006))</f>
        <v/>
      </c>
      <c r="G692" s="46" t="str">
        <f>IF(B692="","",(C692+F692)-(D692+E692+SUMIF(Transactions!$F$8:$F$3006,B692,Transactions!$Q$8:$Q$3006)))</f>
        <v/>
      </c>
      <c r="H692" s="47" t="str">
        <f>IF(B692="","",IF(G692&gt;0,"OUTSTANDING",IF(G692=0,"SETTLED",IF(SUMIF(Transactions!$F$8:$F$3006,B692,Transactions!$Q$8:$Q$3006)&gt;SUMIF(Transactions!$F$8:$F$3006,B692,Transactions!$R$8:$R$3006),"OWES","OVERPAID"))))</f>
        <v/>
      </c>
      <c r="I692" s="1"/>
    </row>
    <row r="693" spans="1:9" ht="18" customHeight="1" x14ac:dyDescent="0.25">
      <c r="A693" s="48">
        <v>678</v>
      </c>
      <c r="B693" s="49" t="str">
        <f t="array" ref="B693">IFERROR(IF(INDEX(Transactions!$F$8:$F$3006,MATCH(0,COUNTIF($B$11:B692,Transactions!$F$8:$F$3006),0))="","",INDEX(Transactions!$F$8:$F$3006,MATCH(0,COUNTIF($B$11:B692,Transactions!$F$8:$F$3006),0))),"")</f>
        <v/>
      </c>
      <c r="C693" s="50" t="str">
        <f>IF(B693="","",SUMIF(Transactions!$F$8:$F$3006,B693,Transactions!$H$8:$H$3006))</f>
        <v/>
      </c>
      <c r="D693" s="51" t="str">
        <f>IF(B693="","",SUMIF(Transactions!$F$8:$F$3006,B693,Transactions!$N$8:$N$3006))</f>
        <v/>
      </c>
      <c r="E693" s="52" t="str">
        <f>IF(B693="","",SUMIF(Transactions!$F$8:$F$3006,B693,Transactions!$O$8:$O$3006))</f>
        <v/>
      </c>
      <c r="F693" s="53" t="str">
        <f>IF(B693="","",SUMIF(Transactions!$F$8:$F$3006,B693,Transactions!$R$8:$R$3006))</f>
        <v/>
      </c>
      <c r="G693" s="54" t="str">
        <f>IF(B693="","",(C693+F693)-(D693+E693+SUMIF(Transactions!$F$8:$F$3006,B693,Transactions!$Q$8:$Q$3006)))</f>
        <v/>
      </c>
      <c r="H693" s="55" t="str">
        <f>IF(B693="","",IF(G693&gt;0,"OUTSTANDING",IF(G693=0,"SETTLED",IF(SUMIF(Transactions!$F$8:$F$3006,B693,Transactions!$Q$8:$Q$3006)&gt;SUMIF(Transactions!$F$8:$F$3006,B693,Transactions!$R$8:$R$3006),"OWES","OVERPAID"))))</f>
        <v/>
      </c>
      <c r="I693" s="1"/>
    </row>
    <row r="694" spans="1:9" ht="18" customHeight="1" x14ac:dyDescent="0.25">
      <c r="A694" s="40">
        <v>679</v>
      </c>
      <c r="B694" s="41" t="str">
        <f t="array" ref="B694">IFERROR(IF(INDEX(Transactions!$F$8:$F$3006,MATCH(0,COUNTIF($B$11:B693,Transactions!$F$8:$F$3006),0))="","",INDEX(Transactions!$F$8:$F$3006,MATCH(0,COUNTIF($B$11:B693,Transactions!$F$8:$F$3006),0))),"")</f>
        <v/>
      </c>
      <c r="C694" s="42" t="str">
        <f>IF(B694="","",SUMIF(Transactions!$F$8:$F$3006,B694,Transactions!$H$8:$H$3006))</f>
        <v/>
      </c>
      <c r="D694" s="43" t="str">
        <f>IF(B694="","",SUMIF(Transactions!$F$8:$F$3006,B694,Transactions!$N$8:$N$3006))</f>
        <v/>
      </c>
      <c r="E694" s="44" t="str">
        <f>IF(B694="","",SUMIF(Transactions!$F$8:$F$3006,B694,Transactions!$O$8:$O$3006))</f>
        <v/>
      </c>
      <c r="F694" s="45" t="str">
        <f>IF(B694="","",SUMIF(Transactions!$F$8:$F$3006,B694,Transactions!$R$8:$R$3006))</f>
        <v/>
      </c>
      <c r="G694" s="46" t="str">
        <f>IF(B694="","",(C694+F694)-(D694+E694+SUMIF(Transactions!$F$8:$F$3006,B694,Transactions!$Q$8:$Q$3006)))</f>
        <v/>
      </c>
      <c r="H694" s="47" t="str">
        <f>IF(B694="","",IF(G694&gt;0,"OUTSTANDING",IF(G694=0,"SETTLED",IF(SUMIF(Transactions!$F$8:$F$3006,B694,Transactions!$Q$8:$Q$3006)&gt;SUMIF(Transactions!$F$8:$F$3006,B694,Transactions!$R$8:$R$3006),"OWES","OVERPAID"))))</f>
        <v/>
      </c>
      <c r="I694" s="1"/>
    </row>
    <row r="695" spans="1:9" ht="18" customHeight="1" x14ac:dyDescent="0.25">
      <c r="A695" s="48">
        <v>680</v>
      </c>
      <c r="B695" s="49" t="str">
        <f t="array" ref="B695">IFERROR(IF(INDEX(Transactions!$F$8:$F$3006,MATCH(0,COUNTIF($B$11:B694,Transactions!$F$8:$F$3006),0))="","",INDEX(Transactions!$F$8:$F$3006,MATCH(0,COUNTIF($B$11:B694,Transactions!$F$8:$F$3006),0))),"")</f>
        <v/>
      </c>
      <c r="C695" s="50" t="str">
        <f>IF(B695="","",SUMIF(Transactions!$F$8:$F$3006,B695,Transactions!$H$8:$H$3006))</f>
        <v/>
      </c>
      <c r="D695" s="51" t="str">
        <f>IF(B695="","",SUMIF(Transactions!$F$8:$F$3006,B695,Transactions!$N$8:$N$3006))</f>
        <v/>
      </c>
      <c r="E695" s="52" t="str">
        <f>IF(B695="","",SUMIF(Transactions!$F$8:$F$3006,B695,Transactions!$O$8:$O$3006))</f>
        <v/>
      </c>
      <c r="F695" s="53" t="str">
        <f>IF(B695="","",SUMIF(Transactions!$F$8:$F$3006,B695,Transactions!$R$8:$R$3006))</f>
        <v/>
      </c>
      <c r="G695" s="54" t="str">
        <f>IF(B695="","",(C695+F695)-(D695+E695+SUMIF(Transactions!$F$8:$F$3006,B695,Transactions!$Q$8:$Q$3006)))</f>
        <v/>
      </c>
      <c r="H695" s="55" t="str">
        <f>IF(B695="","",IF(G695&gt;0,"OUTSTANDING",IF(G695=0,"SETTLED",IF(SUMIF(Transactions!$F$8:$F$3006,B695,Transactions!$Q$8:$Q$3006)&gt;SUMIF(Transactions!$F$8:$F$3006,B695,Transactions!$R$8:$R$3006),"OWES","OVERPAID"))))</f>
        <v/>
      </c>
      <c r="I695" s="1"/>
    </row>
    <row r="696" spans="1:9" ht="18" customHeight="1" x14ac:dyDescent="0.25">
      <c r="A696" s="40">
        <v>681</v>
      </c>
      <c r="B696" s="41" t="str">
        <f t="array" ref="B696">IFERROR(IF(INDEX(Transactions!$F$8:$F$3006,MATCH(0,COUNTIF($B$11:B695,Transactions!$F$8:$F$3006),0))="","",INDEX(Transactions!$F$8:$F$3006,MATCH(0,COUNTIF($B$11:B695,Transactions!$F$8:$F$3006),0))),"")</f>
        <v/>
      </c>
      <c r="C696" s="42" t="str">
        <f>IF(B696="","",SUMIF(Transactions!$F$8:$F$3006,B696,Transactions!$H$8:$H$3006))</f>
        <v/>
      </c>
      <c r="D696" s="43" t="str">
        <f>IF(B696="","",SUMIF(Transactions!$F$8:$F$3006,B696,Transactions!$N$8:$N$3006))</f>
        <v/>
      </c>
      <c r="E696" s="44" t="str">
        <f>IF(B696="","",SUMIF(Transactions!$F$8:$F$3006,B696,Transactions!$O$8:$O$3006))</f>
        <v/>
      </c>
      <c r="F696" s="45" t="str">
        <f>IF(B696="","",SUMIF(Transactions!$F$8:$F$3006,B696,Transactions!$R$8:$R$3006))</f>
        <v/>
      </c>
      <c r="G696" s="46" t="str">
        <f>IF(B696="","",(C696+F696)-(D696+E696+SUMIF(Transactions!$F$8:$F$3006,B696,Transactions!$Q$8:$Q$3006)))</f>
        <v/>
      </c>
      <c r="H696" s="47" t="str">
        <f>IF(B696="","",IF(G696&gt;0,"OUTSTANDING",IF(G696=0,"SETTLED",IF(SUMIF(Transactions!$F$8:$F$3006,B696,Transactions!$Q$8:$Q$3006)&gt;SUMIF(Transactions!$F$8:$F$3006,B696,Transactions!$R$8:$R$3006),"OWES","OVERPAID"))))</f>
        <v/>
      </c>
      <c r="I696" s="1"/>
    </row>
    <row r="697" spans="1:9" ht="18" customHeight="1" x14ac:dyDescent="0.25">
      <c r="A697" s="48">
        <v>682</v>
      </c>
      <c r="B697" s="49" t="str">
        <f t="array" ref="B697">IFERROR(IF(INDEX(Transactions!$F$8:$F$3006,MATCH(0,COUNTIF($B$11:B696,Transactions!$F$8:$F$3006),0))="","",INDEX(Transactions!$F$8:$F$3006,MATCH(0,COUNTIF($B$11:B696,Transactions!$F$8:$F$3006),0))),"")</f>
        <v/>
      </c>
      <c r="C697" s="50" t="str">
        <f>IF(B697="","",SUMIF(Transactions!$F$8:$F$3006,B697,Transactions!$H$8:$H$3006))</f>
        <v/>
      </c>
      <c r="D697" s="51" t="str">
        <f>IF(B697="","",SUMIF(Transactions!$F$8:$F$3006,B697,Transactions!$N$8:$N$3006))</f>
        <v/>
      </c>
      <c r="E697" s="52" t="str">
        <f>IF(B697="","",SUMIF(Transactions!$F$8:$F$3006,B697,Transactions!$O$8:$O$3006))</f>
        <v/>
      </c>
      <c r="F697" s="53" t="str">
        <f>IF(B697="","",SUMIF(Transactions!$F$8:$F$3006,B697,Transactions!$R$8:$R$3006))</f>
        <v/>
      </c>
      <c r="G697" s="54" t="str">
        <f>IF(B697="","",(C697+F697)-(D697+E697+SUMIF(Transactions!$F$8:$F$3006,B697,Transactions!$Q$8:$Q$3006)))</f>
        <v/>
      </c>
      <c r="H697" s="55" t="str">
        <f>IF(B697="","",IF(G697&gt;0,"OUTSTANDING",IF(G697=0,"SETTLED",IF(SUMIF(Transactions!$F$8:$F$3006,B697,Transactions!$Q$8:$Q$3006)&gt;SUMIF(Transactions!$F$8:$F$3006,B697,Transactions!$R$8:$R$3006),"OWES","OVERPAID"))))</f>
        <v/>
      </c>
      <c r="I697" s="1"/>
    </row>
    <row r="698" spans="1:9" ht="18" customHeight="1" x14ac:dyDescent="0.25">
      <c r="A698" s="40">
        <v>683</v>
      </c>
      <c r="B698" s="41" t="str">
        <f t="array" ref="B698">IFERROR(IF(INDEX(Transactions!$F$8:$F$3006,MATCH(0,COUNTIF($B$11:B697,Transactions!$F$8:$F$3006),0))="","",INDEX(Transactions!$F$8:$F$3006,MATCH(0,COUNTIF($B$11:B697,Transactions!$F$8:$F$3006),0))),"")</f>
        <v/>
      </c>
      <c r="C698" s="42" t="str">
        <f>IF(B698="","",SUMIF(Transactions!$F$8:$F$3006,B698,Transactions!$H$8:$H$3006))</f>
        <v/>
      </c>
      <c r="D698" s="43" t="str">
        <f>IF(B698="","",SUMIF(Transactions!$F$8:$F$3006,B698,Transactions!$N$8:$N$3006))</f>
        <v/>
      </c>
      <c r="E698" s="44" t="str">
        <f>IF(B698="","",SUMIF(Transactions!$F$8:$F$3006,B698,Transactions!$O$8:$O$3006))</f>
        <v/>
      </c>
      <c r="F698" s="45" t="str">
        <f>IF(B698="","",SUMIF(Transactions!$F$8:$F$3006,B698,Transactions!$R$8:$R$3006))</f>
        <v/>
      </c>
      <c r="G698" s="46" t="str">
        <f>IF(B698="","",(C698+F698)-(D698+E698+SUMIF(Transactions!$F$8:$F$3006,B698,Transactions!$Q$8:$Q$3006)))</f>
        <v/>
      </c>
      <c r="H698" s="47" t="str">
        <f>IF(B698="","",IF(G698&gt;0,"OUTSTANDING",IF(G698=0,"SETTLED",IF(SUMIF(Transactions!$F$8:$F$3006,B698,Transactions!$Q$8:$Q$3006)&gt;SUMIF(Transactions!$F$8:$F$3006,B698,Transactions!$R$8:$R$3006),"OWES","OVERPAID"))))</f>
        <v/>
      </c>
      <c r="I698" s="1"/>
    </row>
    <row r="699" spans="1:9" ht="18" customHeight="1" x14ac:dyDescent="0.25">
      <c r="A699" s="48">
        <v>684</v>
      </c>
      <c r="B699" s="49" t="str">
        <f t="array" ref="B699">IFERROR(IF(INDEX(Transactions!$F$8:$F$3006,MATCH(0,COUNTIF($B$11:B698,Transactions!$F$8:$F$3006),0))="","",INDEX(Transactions!$F$8:$F$3006,MATCH(0,COUNTIF($B$11:B698,Transactions!$F$8:$F$3006),0))),"")</f>
        <v/>
      </c>
      <c r="C699" s="50" t="str">
        <f>IF(B699="","",SUMIF(Transactions!$F$8:$F$3006,B699,Transactions!$H$8:$H$3006))</f>
        <v/>
      </c>
      <c r="D699" s="51" t="str">
        <f>IF(B699="","",SUMIF(Transactions!$F$8:$F$3006,B699,Transactions!$N$8:$N$3006))</f>
        <v/>
      </c>
      <c r="E699" s="52" t="str">
        <f>IF(B699="","",SUMIF(Transactions!$F$8:$F$3006,B699,Transactions!$O$8:$O$3006))</f>
        <v/>
      </c>
      <c r="F699" s="53" t="str">
        <f>IF(B699="","",SUMIF(Transactions!$F$8:$F$3006,B699,Transactions!$R$8:$R$3006))</f>
        <v/>
      </c>
      <c r="G699" s="54" t="str">
        <f>IF(B699="","",(C699+F699)-(D699+E699+SUMIF(Transactions!$F$8:$F$3006,B699,Transactions!$Q$8:$Q$3006)))</f>
        <v/>
      </c>
      <c r="H699" s="55" t="str">
        <f>IF(B699="","",IF(G699&gt;0,"OUTSTANDING",IF(G699=0,"SETTLED",IF(SUMIF(Transactions!$F$8:$F$3006,B699,Transactions!$Q$8:$Q$3006)&gt;SUMIF(Transactions!$F$8:$F$3006,B699,Transactions!$R$8:$R$3006),"OWES","OVERPAID"))))</f>
        <v/>
      </c>
      <c r="I699" s="1"/>
    </row>
    <row r="700" spans="1:9" ht="18" customHeight="1" x14ac:dyDescent="0.25">
      <c r="A700" s="40">
        <v>685</v>
      </c>
      <c r="B700" s="41" t="str">
        <f t="array" ref="B700">IFERROR(IF(INDEX(Transactions!$F$8:$F$3006,MATCH(0,COUNTIF($B$11:B699,Transactions!$F$8:$F$3006),0))="","",INDEX(Transactions!$F$8:$F$3006,MATCH(0,COUNTIF($B$11:B699,Transactions!$F$8:$F$3006),0))),"")</f>
        <v/>
      </c>
      <c r="C700" s="42" t="str">
        <f>IF(B700="","",SUMIF(Transactions!$F$8:$F$3006,B700,Transactions!$H$8:$H$3006))</f>
        <v/>
      </c>
      <c r="D700" s="43" t="str">
        <f>IF(B700="","",SUMIF(Transactions!$F$8:$F$3006,B700,Transactions!$N$8:$N$3006))</f>
        <v/>
      </c>
      <c r="E700" s="44" t="str">
        <f>IF(B700="","",SUMIF(Transactions!$F$8:$F$3006,B700,Transactions!$O$8:$O$3006))</f>
        <v/>
      </c>
      <c r="F700" s="45" t="str">
        <f>IF(B700="","",SUMIF(Transactions!$F$8:$F$3006,B700,Transactions!$R$8:$R$3006))</f>
        <v/>
      </c>
      <c r="G700" s="46" t="str">
        <f>IF(B700="","",(C700+F700)-(D700+E700+SUMIF(Transactions!$F$8:$F$3006,B700,Transactions!$Q$8:$Q$3006)))</f>
        <v/>
      </c>
      <c r="H700" s="47" t="str">
        <f>IF(B700="","",IF(G700&gt;0,"OUTSTANDING",IF(G700=0,"SETTLED",IF(SUMIF(Transactions!$F$8:$F$3006,B700,Transactions!$Q$8:$Q$3006)&gt;SUMIF(Transactions!$F$8:$F$3006,B700,Transactions!$R$8:$R$3006),"OWES","OVERPAID"))))</f>
        <v/>
      </c>
      <c r="I700" s="1"/>
    </row>
    <row r="701" spans="1:9" ht="18" customHeight="1" x14ac:dyDescent="0.25">
      <c r="A701" s="48">
        <v>686</v>
      </c>
      <c r="B701" s="49" t="str">
        <f t="array" ref="B701">IFERROR(IF(INDEX(Transactions!$F$8:$F$3006,MATCH(0,COUNTIF($B$11:B700,Transactions!$F$8:$F$3006),0))="","",INDEX(Transactions!$F$8:$F$3006,MATCH(0,COUNTIF($B$11:B700,Transactions!$F$8:$F$3006),0))),"")</f>
        <v/>
      </c>
      <c r="C701" s="50" t="str">
        <f>IF(B701="","",SUMIF(Transactions!$F$8:$F$3006,B701,Transactions!$H$8:$H$3006))</f>
        <v/>
      </c>
      <c r="D701" s="51" t="str">
        <f>IF(B701="","",SUMIF(Transactions!$F$8:$F$3006,B701,Transactions!$N$8:$N$3006))</f>
        <v/>
      </c>
      <c r="E701" s="52" t="str">
        <f>IF(B701="","",SUMIF(Transactions!$F$8:$F$3006,B701,Transactions!$O$8:$O$3006))</f>
        <v/>
      </c>
      <c r="F701" s="53" t="str">
        <f>IF(B701="","",SUMIF(Transactions!$F$8:$F$3006,B701,Transactions!$R$8:$R$3006))</f>
        <v/>
      </c>
      <c r="G701" s="54" t="str">
        <f>IF(B701="","",(C701+F701)-(D701+E701+SUMIF(Transactions!$F$8:$F$3006,B701,Transactions!$Q$8:$Q$3006)))</f>
        <v/>
      </c>
      <c r="H701" s="55" t="str">
        <f>IF(B701="","",IF(G701&gt;0,"OUTSTANDING",IF(G701=0,"SETTLED",IF(SUMIF(Transactions!$F$8:$F$3006,B701,Transactions!$Q$8:$Q$3006)&gt;SUMIF(Transactions!$F$8:$F$3006,B701,Transactions!$R$8:$R$3006),"OWES","OVERPAID"))))</f>
        <v/>
      </c>
      <c r="I701" s="1"/>
    </row>
    <row r="702" spans="1:9" ht="18" customHeight="1" x14ac:dyDescent="0.25">
      <c r="A702" s="40">
        <v>687</v>
      </c>
      <c r="B702" s="41" t="str">
        <f t="array" ref="B702">IFERROR(IF(INDEX(Transactions!$F$8:$F$3006,MATCH(0,COUNTIF($B$11:B701,Transactions!$F$8:$F$3006),0))="","",INDEX(Transactions!$F$8:$F$3006,MATCH(0,COUNTIF($B$11:B701,Transactions!$F$8:$F$3006),0))),"")</f>
        <v/>
      </c>
      <c r="C702" s="42" t="str">
        <f>IF(B702="","",SUMIF(Transactions!$F$8:$F$3006,B702,Transactions!$H$8:$H$3006))</f>
        <v/>
      </c>
      <c r="D702" s="43" t="str">
        <f>IF(B702="","",SUMIF(Transactions!$F$8:$F$3006,B702,Transactions!$N$8:$N$3006))</f>
        <v/>
      </c>
      <c r="E702" s="44" t="str">
        <f>IF(B702="","",SUMIF(Transactions!$F$8:$F$3006,B702,Transactions!$O$8:$O$3006))</f>
        <v/>
      </c>
      <c r="F702" s="45" t="str">
        <f>IF(B702="","",SUMIF(Transactions!$F$8:$F$3006,B702,Transactions!$R$8:$R$3006))</f>
        <v/>
      </c>
      <c r="G702" s="46" t="str">
        <f>IF(B702="","",(C702+F702)-(D702+E702+SUMIF(Transactions!$F$8:$F$3006,B702,Transactions!$Q$8:$Q$3006)))</f>
        <v/>
      </c>
      <c r="H702" s="47" t="str">
        <f>IF(B702="","",IF(G702&gt;0,"OUTSTANDING",IF(G702=0,"SETTLED",IF(SUMIF(Transactions!$F$8:$F$3006,B702,Transactions!$Q$8:$Q$3006)&gt;SUMIF(Transactions!$F$8:$F$3006,B702,Transactions!$R$8:$R$3006),"OWES","OVERPAID"))))</f>
        <v/>
      </c>
      <c r="I702" s="1"/>
    </row>
    <row r="703" spans="1:9" ht="18" customHeight="1" x14ac:dyDescent="0.25">
      <c r="A703" s="48">
        <v>688</v>
      </c>
      <c r="B703" s="49" t="str">
        <f t="array" ref="B703">IFERROR(IF(INDEX(Transactions!$F$8:$F$3006,MATCH(0,COUNTIF($B$11:B702,Transactions!$F$8:$F$3006),0))="","",INDEX(Transactions!$F$8:$F$3006,MATCH(0,COUNTIF($B$11:B702,Transactions!$F$8:$F$3006),0))),"")</f>
        <v/>
      </c>
      <c r="C703" s="50" t="str">
        <f>IF(B703="","",SUMIF(Transactions!$F$8:$F$3006,B703,Transactions!$H$8:$H$3006))</f>
        <v/>
      </c>
      <c r="D703" s="51" t="str">
        <f>IF(B703="","",SUMIF(Transactions!$F$8:$F$3006,B703,Transactions!$N$8:$N$3006))</f>
        <v/>
      </c>
      <c r="E703" s="52" t="str">
        <f>IF(B703="","",SUMIF(Transactions!$F$8:$F$3006,B703,Transactions!$O$8:$O$3006))</f>
        <v/>
      </c>
      <c r="F703" s="53" t="str">
        <f>IF(B703="","",SUMIF(Transactions!$F$8:$F$3006,B703,Transactions!$R$8:$R$3006))</f>
        <v/>
      </c>
      <c r="G703" s="54" t="str">
        <f>IF(B703="","",(C703+F703)-(D703+E703+SUMIF(Transactions!$F$8:$F$3006,B703,Transactions!$Q$8:$Q$3006)))</f>
        <v/>
      </c>
      <c r="H703" s="55" t="str">
        <f>IF(B703="","",IF(G703&gt;0,"OUTSTANDING",IF(G703=0,"SETTLED",IF(SUMIF(Transactions!$F$8:$F$3006,B703,Transactions!$Q$8:$Q$3006)&gt;SUMIF(Transactions!$F$8:$F$3006,B703,Transactions!$R$8:$R$3006),"OWES","OVERPAID"))))</f>
        <v/>
      </c>
      <c r="I703" s="1"/>
    </row>
    <row r="704" spans="1:9" ht="18" customHeight="1" x14ac:dyDescent="0.25">
      <c r="A704" s="40">
        <v>689</v>
      </c>
      <c r="B704" s="41" t="str">
        <f t="array" ref="B704">IFERROR(IF(INDEX(Transactions!$F$8:$F$3006,MATCH(0,COUNTIF($B$11:B703,Transactions!$F$8:$F$3006),0))="","",INDEX(Transactions!$F$8:$F$3006,MATCH(0,COUNTIF($B$11:B703,Transactions!$F$8:$F$3006),0))),"")</f>
        <v/>
      </c>
      <c r="C704" s="42" t="str">
        <f>IF(B704="","",SUMIF(Transactions!$F$8:$F$3006,B704,Transactions!$H$8:$H$3006))</f>
        <v/>
      </c>
      <c r="D704" s="43" t="str">
        <f>IF(B704="","",SUMIF(Transactions!$F$8:$F$3006,B704,Transactions!$N$8:$N$3006))</f>
        <v/>
      </c>
      <c r="E704" s="44" t="str">
        <f>IF(B704="","",SUMIF(Transactions!$F$8:$F$3006,B704,Transactions!$O$8:$O$3006))</f>
        <v/>
      </c>
      <c r="F704" s="45" t="str">
        <f>IF(B704="","",SUMIF(Transactions!$F$8:$F$3006,B704,Transactions!$R$8:$R$3006))</f>
        <v/>
      </c>
      <c r="G704" s="46" t="str">
        <f>IF(B704="","",(C704+F704)-(D704+E704+SUMIF(Transactions!$F$8:$F$3006,B704,Transactions!$Q$8:$Q$3006)))</f>
        <v/>
      </c>
      <c r="H704" s="47" t="str">
        <f>IF(B704="","",IF(G704&gt;0,"OUTSTANDING",IF(G704=0,"SETTLED",IF(SUMIF(Transactions!$F$8:$F$3006,B704,Transactions!$Q$8:$Q$3006)&gt;SUMIF(Transactions!$F$8:$F$3006,B704,Transactions!$R$8:$R$3006),"OWES","OVERPAID"))))</f>
        <v/>
      </c>
      <c r="I704" s="1"/>
    </row>
    <row r="705" spans="1:9" ht="18" customHeight="1" x14ac:dyDescent="0.25">
      <c r="A705" s="48">
        <v>690</v>
      </c>
      <c r="B705" s="49" t="str">
        <f t="array" ref="B705">IFERROR(IF(INDEX(Transactions!$F$8:$F$3006,MATCH(0,COUNTIF($B$11:B704,Transactions!$F$8:$F$3006),0))="","",INDEX(Transactions!$F$8:$F$3006,MATCH(0,COUNTIF($B$11:B704,Transactions!$F$8:$F$3006),0))),"")</f>
        <v/>
      </c>
      <c r="C705" s="50" t="str">
        <f>IF(B705="","",SUMIF(Transactions!$F$8:$F$3006,B705,Transactions!$H$8:$H$3006))</f>
        <v/>
      </c>
      <c r="D705" s="51" t="str">
        <f>IF(B705="","",SUMIF(Transactions!$F$8:$F$3006,B705,Transactions!$N$8:$N$3006))</f>
        <v/>
      </c>
      <c r="E705" s="52" t="str">
        <f>IF(B705="","",SUMIF(Transactions!$F$8:$F$3006,B705,Transactions!$O$8:$O$3006))</f>
        <v/>
      </c>
      <c r="F705" s="53" t="str">
        <f>IF(B705="","",SUMIF(Transactions!$F$8:$F$3006,B705,Transactions!$R$8:$R$3006))</f>
        <v/>
      </c>
      <c r="G705" s="54" t="str">
        <f>IF(B705="","",(C705+F705)-(D705+E705+SUMIF(Transactions!$F$8:$F$3006,B705,Transactions!$Q$8:$Q$3006)))</f>
        <v/>
      </c>
      <c r="H705" s="55" t="str">
        <f>IF(B705="","",IF(G705&gt;0,"OUTSTANDING",IF(G705=0,"SETTLED",IF(SUMIF(Transactions!$F$8:$F$3006,B705,Transactions!$Q$8:$Q$3006)&gt;SUMIF(Transactions!$F$8:$F$3006,B705,Transactions!$R$8:$R$3006),"OWES","OVERPAID"))))</f>
        <v/>
      </c>
      <c r="I705" s="1"/>
    </row>
    <row r="706" spans="1:9" ht="18" customHeight="1" x14ac:dyDescent="0.25">
      <c r="A706" s="40">
        <v>691</v>
      </c>
      <c r="B706" s="41" t="str">
        <f t="array" ref="B706">IFERROR(IF(INDEX(Transactions!$F$8:$F$3006,MATCH(0,COUNTIF($B$11:B705,Transactions!$F$8:$F$3006),0))="","",INDEX(Transactions!$F$8:$F$3006,MATCH(0,COUNTIF($B$11:B705,Transactions!$F$8:$F$3006),0))),"")</f>
        <v/>
      </c>
      <c r="C706" s="42" t="str">
        <f>IF(B706="","",SUMIF(Transactions!$F$8:$F$3006,B706,Transactions!$H$8:$H$3006))</f>
        <v/>
      </c>
      <c r="D706" s="43" t="str">
        <f>IF(B706="","",SUMIF(Transactions!$F$8:$F$3006,B706,Transactions!$N$8:$N$3006))</f>
        <v/>
      </c>
      <c r="E706" s="44" t="str">
        <f>IF(B706="","",SUMIF(Transactions!$F$8:$F$3006,B706,Transactions!$O$8:$O$3006))</f>
        <v/>
      </c>
      <c r="F706" s="45" t="str">
        <f>IF(B706="","",SUMIF(Transactions!$F$8:$F$3006,B706,Transactions!$R$8:$R$3006))</f>
        <v/>
      </c>
      <c r="G706" s="46" t="str">
        <f>IF(B706="","",(C706+F706)-(D706+E706+SUMIF(Transactions!$F$8:$F$3006,B706,Transactions!$Q$8:$Q$3006)))</f>
        <v/>
      </c>
      <c r="H706" s="47" t="str">
        <f>IF(B706="","",IF(G706&gt;0,"OUTSTANDING",IF(G706=0,"SETTLED",IF(SUMIF(Transactions!$F$8:$F$3006,B706,Transactions!$Q$8:$Q$3006)&gt;SUMIF(Transactions!$F$8:$F$3006,B706,Transactions!$R$8:$R$3006),"OWES","OVERPAID"))))</f>
        <v/>
      </c>
      <c r="I706" s="1"/>
    </row>
    <row r="707" spans="1:9" ht="18" customHeight="1" x14ac:dyDescent="0.25">
      <c r="A707" s="48">
        <v>692</v>
      </c>
      <c r="B707" s="49" t="str">
        <f t="array" ref="B707">IFERROR(IF(INDEX(Transactions!$F$8:$F$3006,MATCH(0,COUNTIF($B$11:B706,Transactions!$F$8:$F$3006),0))="","",INDEX(Transactions!$F$8:$F$3006,MATCH(0,COUNTIF($B$11:B706,Transactions!$F$8:$F$3006),0))),"")</f>
        <v/>
      </c>
      <c r="C707" s="50" t="str">
        <f>IF(B707="","",SUMIF(Transactions!$F$8:$F$3006,B707,Transactions!$H$8:$H$3006))</f>
        <v/>
      </c>
      <c r="D707" s="51" t="str">
        <f>IF(B707="","",SUMIF(Transactions!$F$8:$F$3006,B707,Transactions!$N$8:$N$3006))</f>
        <v/>
      </c>
      <c r="E707" s="52" t="str">
        <f>IF(B707="","",SUMIF(Transactions!$F$8:$F$3006,B707,Transactions!$O$8:$O$3006))</f>
        <v/>
      </c>
      <c r="F707" s="53" t="str">
        <f>IF(B707="","",SUMIF(Transactions!$F$8:$F$3006,B707,Transactions!$R$8:$R$3006))</f>
        <v/>
      </c>
      <c r="G707" s="54" t="str">
        <f>IF(B707="","",(C707+F707)-(D707+E707+SUMIF(Transactions!$F$8:$F$3006,B707,Transactions!$Q$8:$Q$3006)))</f>
        <v/>
      </c>
      <c r="H707" s="55" t="str">
        <f>IF(B707="","",IF(G707&gt;0,"OUTSTANDING",IF(G707=0,"SETTLED",IF(SUMIF(Transactions!$F$8:$F$3006,B707,Transactions!$Q$8:$Q$3006)&gt;SUMIF(Transactions!$F$8:$F$3006,B707,Transactions!$R$8:$R$3006),"OWES","OVERPAID"))))</f>
        <v/>
      </c>
      <c r="I707" s="1"/>
    </row>
    <row r="708" spans="1:9" ht="18" customHeight="1" x14ac:dyDescent="0.25">
      <c r="A708" s="40">
        <v>693</v>
      </c>
      <c r="B708" s="41" t="str">
        <f t="array" ref="B708">IFERROR(IF(INDEX(Transactions!$F$8:$F$3006,MATCH(0,COUNTIF($B$11:B707,Transactions!$F$8:$F$3006),0))="","",INDEX(Transactions!$F$8:$F$3006,MATCH(0,COUNTIF($B$11:B707,Transactions!$F$8:$F$3006),0))),"")</f>
        <v/>
      </c>
      <c r="C708" s="42" t="str">
        <f>IF(B708="","",SUMIF(Transactions!$F$8:$F$3006,B708,Transactions!$H$8:$H$3006))</f>
        <v/>
      </c>
      <c r="D708" s="43" t="str">
        <f>IF(B708="","",SUMIF(Transactions!$F$8:$F$3006,B708,Transactions!$N$8:$N$3006))</f>
        <v/>
      </c>
      <c r="E708" s="44" t="str">
        <f>IF(B708="","",SUMIF(Transactions!$F$8:$F$3006,B708,Transactions!$O$8:$O$3006))</f>
        <v/>
      </c>
      <c r="F708" s="45" t="str">
        <f>IF(B708="","",SUMIF(Transactions!$F$8:$F$3006,B708,Transactions!$R$8:$R$3006))</f>
        <v/>
      </c>
      <c r="G708" s="46" t="str">
        <f>IF(B708="","",(C708+F708)-(D708+E708+SUMIF(Transactions!$F$8:$F$3006,B708,Transactions!$Q$8:$Q$3006)))</f>
        <v/>
      </c>
      <c r="H708" s="47" t="str">
        <f>IF(B708="","",IF(G708&gt;0,"OUTSTANDING",IF(G708=0,"SETTLED",IF(SUMIF(Transactions!$F$8:$F$3006,B708,Transactions!$Q$8:$Q$3006)&gt;SUMIF(Transactions!$F$8:$F$3006,B708,Transactions!$R$8:$R$3006),"OWES","OVERPAID"))))</f>
        <v/>
      </c>
      <c r="I708" s="1"/>
    </row>
    <row r="709" spans="1:9" ht="18" customHeight="1" x14ac:dyDescent="0.25">
      <c r="A709" s="48">
        <v>694</v>
      </c>
      <c r="B709" s="49" t="str">
        <f t="array" ref="B709">IFERROR(IF(INDEX(Transactions!$F$8:$F$3006,MATCH(0,COUNTIF($B$11:B708,Transactions!$F$8:$F$3006),0))="","",INDEX(Transactions!$F$8:$F$3006,MATCH(0,COUNTIF($B$11:B708,Transactions!$F$8:$F$3006),0))),"")</f>
        <v/>
      </c>
      <c r="C709" s="50" t="str">
        <f>IF(B709="","",SUMIF(Transactions!$F$8:$F$3006,B709,Transactions!$H$8:$H$3006))</f>
        <v/>
      </c>
      <c r="D709" s="51" t="str">
        <f>IF(B709="","",SUMIF(Transactions!$F$8:$F$3006,B709,Transactions!$N$8:$N$3006))</f>
        <v/>
      </c>
      <c r="E709" s="52" t="str">
        <f>IF(B709="","",SUMIF(Transactions!$F$8:$F$3006,B709,Transactions!$O$8:$O$3006))</f>
        <v/>
      </c>
      <c r="F709" s="53" t="str">
        <f>IF(B709="","",SUMIF(Transactions!$F$8:$F$3006,B709,Transactions!$R$8:$R$3006))</f>
        <v/>
      </c>
      <c r="G709" s="54" t="str">
        <f>IF(B709="","",(C709+F709)-(D709+E709+SUMIF(Transactions!$F$8:$F$3006,B709,Transactions!$Q$8:$Q$3006)))</f>
        <v/>
      </c>
      <c r="H709" s="55" t="str">
        <f>IF(B709="","",IF(G709&gt;0,"OUTSTANDING",IF(G709=0,"SETTLED",IF(SUMIF(Transactions!$F$8:$F$3006,B709,Transactions!$Q$8:$Q$3006)&gt;SUMIF(Transactions!$F$8:$F$3006,B709,Transactions!$R$8:$R$3006),"OWES","OVERPAID"))))</f>
        <v/>
      </c>
      <c r="I709" s="1"/>
    </row>
    <row r="710" spans="1:9" ht="18" customHeight="1" x14ac:dyDescent="0.25">
      <c r="A710" s="40">
        <v>695</v>
      </c>
      <c r="B710" s="41" t="str">
        <f t="array" ref="B710">IFERROR(IF(INDEX(Transactions!$F$8:$F$3006,MATCH(0,COUNTIF($B$11:B709,Transactions!$F$8:$F$3006),0))="","",INDEX(Transactions!$F$8:$F$3006,MATCH(0,COUNTIF($B$11:B709,Transactions!$F$8:$F$3006),0))),"")</f>
        <v/>
      </c>
      <c r="C710" s="42" t="str">
        <f>IF(B710="","",SUMIF(Transactions!$F$8:$F$3006,B710,Transactions!$H$8:$H$3006))</f>
        <v/>
      </c>
      <c r="D710" s="43" t="str">
        <f>IF(B710="","",SUMIF(Transactions!$F$8:$F$3006,B710,Transactions!$N$8:$N$3006))</f>
        <v/>
      </c>
      <c r="E710" s="44" t="str">
        <f>IF(B710="","",SUMIF(Transactions!$F$8:$F$3006,B710,Transactions!$O$8:$O$3006))</f>
        <v/>
      </c>
      <c r="F710" s="45" t="str">
        <f>IF(B710="","",SUMIF(Transactions!$F$8:$F$3006,B710,Transactions!$R$8:$R$3006))</f>
        <v/>
      </c>
      <c r="G710" s="46" t="str">
        <f>IF(B710="","",(C710+F710)-(D710+E710+SUMIF(Transactions!$F$8:$F$3006,B710,Transactions!$Q$8:$Q$3006)))</f>
        <v/>
      </c>
      <c r="H710" s="47" t="str">
        <f>IF(B710="","",IF(G710&gt;0,"OUTSTANDING",IF(G710=0,"SETTLED",IF(SUMIF(Transactions!$F$8:$F$3006,B710,Transactions!$Q$8:$Q$3006)&gt;SUMIF(Transactions!$F$8:$F$3006,B710,Transactions!$R$8:$R$3006),"OWES","OVERPAID"))))</f>
        <v/>
      </c>
      <c r="I710" s="1"/>
    </row>
    <row r="711" spans="1:9" ht="18" customHeight="1" x14ac:dyDescent="0.25">
      <c r="A711" s="48">
        <v>696</v>
      </c>
      <c r="B711" s="49" t="str">
        <f t="array" ref="B711">IFERROR(IF(INDEX(Transactions!$F$8:$F$3006,MATCH(0,COUNTIF($B$11:B710,Transactions!$F$8:$F$3006),0))="","",INDEX(Transactions!$F$8:$F$3006,MATCH(0,COUNTIF($B$11:B710,Transactions!$F$8:$F$3006),0))),"")</f>
        <v/>
      </c>
      <c r="C711" s="50" t="str">
        <f>IF(B711="","",SUMIF(Transactions!$F$8:$F$3006,B711,Transactions!$H$8:$H$3006))</f>
        <v/>
      </c>
      <c r="D711" s="51" t="str">
        <f>IF(B711="","",SUMIF(Transactions!$F$8:$F$3006,B711,Transactions!$N$8:$N$3006))</f>
        <v/>
      </c>
      <c r="E711" s="52" t="str">
        <f>IF(B711="","",SUMIF(Transactions!$F$8:$F$3006,B711,Transactions!$O$8:$O$3006))</f>
        <v/>
      </c>
      <c r="F711" s="53" t="str">
        <f>IF(B711="","",SUMIF(Transactions!$F$8:$F$3006,B711,Transactions!$R$8:$R$3006))</f>
        <v/>
      </c>
      <c r="G711" s="54" t="str">
        <f>IF(B711="","",(C711+F711)-(D711+E711+SUMIF(Transactions!$F$8:$F$3006,B711,Transactions!$Q$8:$Q$3006)))</f>
        <v/>
      </c>
      <c r="H711" s="55" t="str">
        <f>IF(B711="","",IF(G711&gt;0,"OUTSTANDING",IF(G711=0,"SETTLED",IF(SUMIF(Transactions!$F$8:$F$3006,B711,Transactions!$Q$8:$Q$3006)&gt;SUMIF(Transactions!$F$8:$F$3006,B711,Transactions!$R$8:$R$3006),"OWES","OVERPAID"))))</f>
        <v/>
      </c>
      <c r="I711" s="1"/>
    </row>
    <row r="712" spans="1:9" ht="18" customHeight="1" x14ac:dyDescent="0.25">
      <c r="A712" s="40">
        <v>697</v>
      </c>
      <c r="B712" s="41" t="str">
        <f t="array" ref="B712">IFERROR(IF(INDEX(Transactions!$F$8:$F$3006,MATCH(0,COUNTIF($B$11:B711,Transactions!$F$8:$F$3006),0))="","",INDEX(Transactions!$F$8:$F$3006,MATCH(0,COUNTIF($B$11:B711,Transactions!$F$8:$F$3006),0))),"")</f>
        <v/>
      </c>
      <c r="C712" s="42" t="str">
        <f>IF(B712="","",SUMIF(Transactions!$F$8:$F$3006,B712,Transactions!$H$8:$H$3006))</f>
        <v/>
      </c>
      <c r="D712" s="43" t="str">
        <f>IF(B712="","",SUMIF(Transactions!$F$8:$F$3006,B712,Transactions!$N$8:$N$3006))</f>
        <v/>
      </c>
      <c r="E712" s="44" t="str">
        <f>IF(B712="","",SUMIF(Transactions!$F$8:$F$3006,B712,Transactions!$O$8:$O$3006))</f>
        <v/>
      </c>
      <c r="F712" s="45" t="str">
        <f>IF(B712="","",SUMIF(Transactions!$F$8:$F$3006,B712,Transactions!$R$8:$R$3006))</f>
        <v/>
      </c>
      <c r="G712" s="46" t="str">
        <f>IF(B712="","",(C712+F712)-(D712+E712+SUMIF(Transactions!$F$8:$F$3006,B712,Transactions!$Q$8:$Q$3006)))</f>
        <v/>
      </c>
      <c r="H712" s="47" t="str">
        <f>IF(B712="","",IF(G712&gt;0,"OUTSTANDING",IF(G712=0,"SETTLED",IF(SUMIF(Transactions!$F$8:$F$3006,B712,Transactions!$Q$8:$Q$3006)&gt;SUMIF(Transactions!$F$8:$F$3006,B712,Transactions!$R$8:$R$3006),"OWES","OVERPAID"))))</f>
        <v/>
      </c>
      <c r="I712" s="1"/>
    </row>
    <row r="713" spans="1:9" ht="18" customHeight="1" x14ac:dyDescent="0.25">
      <c r="A713" s="48">
        <v>698</v>
      </c>
      <c r="B713" s="49" t="str">
        <f t="array" ref="B713">IFERROR(IF(INDEX(Transactions!$F$8:$F$3006,MATCH(0,COUNTIF($B$11:B712,Transactions!$F$8:$F$3006),0))="","",INDEX(Transactions!$F$8:$F$3006,MATCH(0,COUNTIF($B$11:B712,Transactions!$F$8:$F$3006),0))),"")</f>
        <v/>
      </c>
      <c r="C713" s="50" t="str">
        <f>IF(B713="","",SUMIF(Transactions!$F$8:$F$3006,B713,Transactions!$H$8:$H$3006))</f>
        <v/>
      </c>
      <c r="D713" s="51" t="str">
        <f>IF(B713="","",SUMIF(Transactions!$F$8:$F$3006,B713,Transactions!$N$8:$N$3006))</f>
        <v/>
      </c>
      <c r="E713" s="52" t="str">
        <f>IF(B713="","",SUMIF(Transactions!$F$8:$F$3006,B713,Transactions!$O$8:$O$3006))</f>
        <v/>
      </c>
      <c r="F713" s="53" t="str">
        <f>IF(B713="","",SUMIF(Transactions!$F$8:$F$3006,B713,Transactions!$R$8:$R$3006))</f>
        <v/>
      </c>
      <c r="G713" s="54" t="str">
        <f>IF(B713="","",(C713+F713)-(D713+E713+SUMIF(Transactions!$F$8:$F$3006,B713,Transactions!$Q$8:$Q$3006)))</f>
        <v/>
      </c>
      <c r="H713" s="55" t="str">
        <f>IF(B713="","",IF(G713&gt;0,"OUTSTANDING",IF(G713=0,"SETTLED",IF(SUMIF(Transactions!$F$8:$F$3006,B713,Transactions!$Q$8:$Q$3006)&gt;SUMIF(Transactions!$F$8:$F$3006,B713,Transactions!$R$8:$R$3006),"OWES","OVERPAID"))))</f>
        <v/>
      </c>
      <c r="I713" s="1"/>
    </row>
    <row r="714" spans="1:9" ht="18" customHeight="1" x14ac:dyDescent="0.25">
      <c r="A714" s="40">
        <v>699</v>
      </c>
      <c r="B714" s="41" t="str">
        <f t="array" ref="B714">IFERROR(IF(INDEX(Transactions!$F$8:$F$3006,MATCH(0,COUNTIF($B$11:B713,Transactions!$F$8:$F$3006),0))="","",INDEX(Transactions!$F$8:$F$3006,MATCH(0,COUNTIF($B$11:B713,Transactions!$F$8:$F$3006),0))),"")</f>
        <v/>
      </c>
      <c r="C714" s="42" t="str">
        <f>IF(B714="","",SUMIF(Transactions!$F$8:$F$3006,B714,Transactions!$H$8:$H$3006))</f>
        <v/>
      </c>
      <c r="D714" s="43" t="str">
        <f>IF(B714="","",SUMIF(Transactions!$F$8:$F$3006,B714,Transactions!$N$8:$N$3006))</f>
        <v/>
      </c>
      <c r="E714" s="44" t="str">
        <f>IF(B714="","",SUMIF(Transactions!$F$8:$F$3006,B714,Transactions!$O$8:$O$3006))</f>
        <v/>
      </c>
      <c r="F714" s="45" t="str">
        <f>IF(B714="","",SUMIF(Transactions!$F$8:$F$3006,B714,Transactions!$R$8:$R$3006))</f>
        <v/>
      </c>
      <c r="G714" s="46" t="str">
        <f>IF(B714="","",(C714+F714)-(D714+E714+SUMIF(Transactions!$F$8:$F$3006,B714,Transactions!$Q$8:$Q$3006)))</f>
        <v/>
      </c>
      <c r="H714" s="47" t="str">
        <f>IF(B714="","",IF(G714&gt;0,"OUTSTANDING",IF(G714=0,"SETTLED",IF(SUMIF(Transactions!$F$8:$F$3006,B714,Transactions!$Q$8:$Q$3006)&gt;SUMIF(Transactions!$F$8:$F$3006,B714,Transactions!$R$8:$R$3006),"OWES","OVERPAID"))))</f>
        <v/>
      </c>
      <c r="I714" s="1"/>
    </row>
    <row r="715" spans="1:9" ht="18" customHeight="1" x14ac:dyDescent="0.25">
      <c r="A715" s="48">
        <v>700</v>
      </c>
      <c r="B715" s="49" t="str">
        <f t="array" ref="B715">IFERROR(IF(INDEX(Transactions!$F$8:$F$3006,MATCH(0,COUNTIF($B$11:B714,Transactions!$F$8:$F$3006),0))="","",INDEX(Transactions!$F$8:$F$3006,MATCH(0,COUNTIF($B$11:B714,Transactions!$F$8:$F$3006),0))),"")</f>
        <v/>
      </c>
      <c r="C715" s="50" t="str">
        <f>IF(B715="","",SUMIF(Transactions!$F$8:$F$3006,B715,Transactions!$H$8:$H$3006))</f>
        <v/>
      </c>
      <c r="D715" s="51" t="str">
        <f>IF(B715="","",SUMIF(Transactions!$F$8:$F$3006,B715,Transactions!$N$8:$N$3006))</f>
        <v/>
      </c>
      <c r="E715" s="52" t="str">
        <f>IF(B715="","",SUMIF(Transactions!$F$8:$F$3006,B715,Transactions!$O$8:$O$3006))</f>
        <v/>
      </c>
      <c r="F715" s="53" t="str">
        <f>IF(B715="","",SUMIF(Transactions!$F$8:$F$3006,B715,Transactions!$R$8:$R$3006))</f>
        <v/>
      </c>
      <c r="G715" s="54" t="str">
        <f>IF(B715="","",(C715+F715)-(D715+E715+SUMIF(Transactions!$F$8:$F$3006,B715,Transactions!$Q$8:$Q$3006)))</f>
        <v/>
      </c>
      <c r="H715" s="55" t="str">
        <f>IF(B715="","",IF(G715&gt;0,"OUTSTANDING",IF(G715=0,"SETTLED",IF(SUMIF(Transactions!$F$8:$F$3006,B715,Transactions!$Q$8:$Q$3006)&gt;SUMIF(Transactions!$F$8:$F$3006,B715,Transactions!$R$8:$R$3006),"OWES","OVERPAID"))))</f>
        <v/>
      </c>
      <c r="I715" s="1"/>
    </row>
    <row r="716" spans="1:9" ht="18" customHeight="1" x14ac:dyDescent="0.25">
      <c r="A716" s="40">
        <v>701</v>
      </c>
      <c r="B716" s="41" t="str">
        <f t="array" ref="B716">IFERROR(IF(INDEX(Transactions!$F$8:$F$3006,MATCH(0,COUNTIF($B$11:B715,Transactions!$F$8:$F$3006),0))="","",INDEX(Transactions!$F$8:$F$3006,MATCH(0,COUNTIF($B$11:B715,Transactions!$F$8:$F$3006),0))),"")</f>
        <v/>
      </c>
      <c r="C716" s="42" t="str">
        <f>IF(B716="","",SUMIF(Transactions!$F$8:$F$3006,B716,Transactions!$H$8:$H$3006))</f>
        <v/>
      </c>
      <c r="D716" s="43" t="str">
        <f>IF(B716="","",SUMIF(Transactions!$F$8:$F$3006,B716,Transactions!$N$8:$N$3006))</f>
        <v/>
      </c>
      <c r="E716" s="44" t="str">
        <f>IF(B716="","",SUMIF(Transactions!$F$8:$F$3006,B716,Transactions!$O$8:$O$3006))</f>
        <v/>
      </c>
      <c r="F716" s="45" t="str">
        <f>IF(B716="","",SUMIF(Transactions!$F$8:$F$3006,B716,Transactions!$R$8:$R$3006))</f>
        <v/>
      </c>
      <c r="G716" s="46" t="str">
        <f>IF(B716="","",(C716+F716)-(D716+E716+SUMIF(Transactions!$F$8:$F$3006,B716,Transactions!$Q$8:$Q$3006)))</f>
        <v/>
      </c>
      <c r="H716" s="47" t="str">
        <f>IF(B716="","",IF(G716&gt;0,"OUTSTANDING",IF(G716=0,"SETTLED",IF(SUMIF(Transactions!$F$8:$F$3006,B716,Transactions!$Q$8:$Q$3006)&gt;SUMIF(Transactions!$F$8:$F$3006,B716,Transactions!$R$8:$R$3006),"OWES","OVERPAID"))))</f>
        <v/>
      </c>
      <c r="I716" s="1"/>
    </row>
    <row r="717" spans="1:9" ht="18" customHeight="1" x14ac:dyDescent="0.25">
      <c r="A717" s="48">
        <v>702</v>
      </c>
      <c r="B717" s="49" t="str">
        <f t="array" ref="B717">IFERROR(IF(INDEX(Transactions!$F$8:$F$3006,MATCH(0,COUNTIF($B$11:B716,Transactions!$F$8:$F$3006),0))="","",INDEX(Transactions!$F$8:$F$3006,MATCH(0,COUNTIF($B$11:B716,Transactions!$F$8:$F$3006),0))),"")</f>
        <v/>
      </c>
      <c r="C717" s="50" t="str">
        <f>IF(B717="","",SUMIF(Transactions!$F$8:$F$3006,B717,Transactions!$H$8:$H$3006))</f>
        <v/>
      </c>
      <c r="D717" s="51" t="str">
        <f>IF(B717="","",SUMIF(Transactions!$F$8:$F$3006,B717,Transactions!$N$8:$N$3006))</f>
        <v/>
      </c>
      <c r="E717" s="52" t="str">
        <f>IF(B717="","",SUMIF(Transactions!$F$8:$F$3006,B717,Transactions!$O$8:$O$3006))</f>
        <v/>
      </c>
      <c r="F717" s="53" t="str">
        <f>IF(B717="","",SUMIF(Transactions!$F$8:$F$3006,B717,Transactions!$R$8:$R$3006))</f>
        <v/>
      </c>
      <c r="G717" s="54" t="str">
        <f>IF(B717="","",(C717+F717)-(D717+E717+SUMIF(Transactions!$F$8:$F$3006,B717,Transactions!$Q$8:$Q$3006)))</f>
        <v/>
      </c>
      <c r="H717" s="55" t="str">
        <f>IF(B717="","",IF(G717&gt;0,"OUTSTANDING",IF(G717=0,"SETTLED",IF(SUMIF(Transactions!$F$8:$F$3006,B717,Transactions!$Q$8:$Q$3006)&gt;SUMIF(Transactions!$F$8:$F$3006,B717,Transactions!$R$8:$R$3006),"OWES","OVERPAID"))))</f>
        <v/>
      </c>
      <c r="I717" s="1"/>
    </row>
    <row r="718" spans="1:9" ht="18" customHeight="1" x14ac:dyDescent="0.25">
      <c r="A718" s="40">
        <v>703</v>
      </c>
      <c r="B718" s="41" t="str">
        <f t="array" ref="B718">IFERROR(IF(INDEX(Transactions!$F$8:$F$3006,MATCH(0,COUNTIF($B$11:B717,Transactions!$F$8:$F$3006),0))="","",INDEX(Transactions!$F$8:$F$3006,MATCH(0,COUNTIF($B$11:B717,Transactions!$F$8:$F$3006),0))),"")</f>
        <v/>
      </c>
      <c r="C718" s="42" t="str">
        <f>IF(B718="","",SUMIF(Transactions!$F$8:$F$3006,B718,Transactions!$H$8:$H$3006))</f>
        <v/>
      </c>
      <c r="D718" s="43" t="str">
        <f>IF(B718="","",SUMIF(Transactions!$F$8:$F$3006,B718,Transactions!$N$8:$N$3006))</f>
        <v/>
      </c>
      <c r="E718" s="44" t="str">
        <f>IF(B718="","",SUMIF(Transactions!$F$8:$F$3006,B718,Transactions!$O$8:$O$3006))</f>
        <v/>
      </c>
      <c r="F718" s="45" t="str">
        <f>IF(B718="","",SUMIF(Transactions!$F$8:$F$3006,B718,Transactions!$R$8:$R$3006))</f>
        <v/>
      </c>
      <c r="G718" s="46" t="str">
        <f>IF(B718="","",(C718+F718)-(D718+E718+SUMIF(Transactions!$F$8:$F$3006,B718,Transactions!$Q$8:$Q$3006)))</f>
        <v/>
      </c>
      <c r="H718" s="47" t="str">
        <f>IF(B718="","",IF(G718&gt;0,"OUTSTANDING",IF(G718=0,"SETTLED",IF(SUMIF(Transactions!$F$8:$F$3006,B718,Transactions!$Q$8:$Q$3006)&gt;SUMIF(Transactions!$F$8:$F$3006,B718,Transactions!$R$8:$R$3006),"OWES","OVERPAID"))))</f>
        <v/>
      </c>
      <c r="I718" s="1"/>
    </row>
    <row r="719" spans="1:9" ht="18" customHeight="1" x14ac:dyDescent="0.25">
      <c r="A719" s="48">
        <v>704</v>
      </c>
      <c r="B719" s="49" t="str">
        <f t="array" ref="B719">IFERROR(IF(INDEX(Transactions!$F$8:$F$3006,MATCH(0,COUNTIF($B$11:B718,Transactions!$F$8:$F$3006),0))="","",INDEX(Transactions!$F$8:$F$3006,MATCH(0,COUNTIF($B$11:B718,Transactions!$F$8:$F$3006),0))),"")</f>
        <v/>
      </c>
      <c r="C719" s="50" t="str">
        <f>IF(B719="","",SUMIF(Transactions!$F$8:$F$3006,B719,Transactions!$H$8:$H$3006))</f>
        <v/>
      </c>
      <c r="D719" s="51" t="str">
        <f>IF(B719="","",SUMIF(Transactions!$F$8:$F$3006,B719,Transactions!$N$8:$N$3006))</f>
        <v/>
      </c>
      <c r="E719" s="52" t="str">
        <f>IF(B719="","",SUMIF(Transactions!$F$8:$F$3006,B719,Transactions!$O$8:$O$3006))</f>
        <v/>
      </c>
      <c r="F719" s="53" t="str">
        <f>IF(B719="","",SUMIF(Transactions!$F$8:$F$3006,B719,Transactions!$R$8:$R$3006))</f>
        <v/>
      </c>
      <c r="G719" s="54" t="str">
        <f>IF(B719="","",(C719+F719)-(D719+E719+SUMIF(Transactions!$F$8:$F$3006,B719,Transactions!$Q$8:$Q$3006)))</f>
        <v/>
      </c>
      <c r="H719" s="55" t="str">
        <f>IF(B719="","",IF(G719&gt;0,"OUTSTANDING",IF(G719=0,"SETTLED",IF(SUMIF(Transactions!$F$8:$F$3006,B719,Transactions!$Q$8:$Q$3006)&gt;SUMIF(Transactions!$F$8:$F$3006,B719,Transactions!$R$8:$R$3006),"OWES","OVERPAID"))))</f>
        <v/>
      </c>
      <c r="I719" s="1"/>
    </row>
    <row r="720" spans="1:9" ht="18" customHeight="1" x14ac:dyDescent="0.25">
      <c r="A720" s="40">
        <v>705</v>
      </c>
      <c r="B720" s="41" t="str">
        <f t="array" ref="B720">IFERROR(IF(INDEX(Transactions!$F$8:$F$3006,MATCH(0,COUNTIF($B$11:B719,Transactions!$F$8:$F$3006),0))="","",INDEX(Transactions!$F$8:$F$3006,MATCH(0,COUNTIF($B$11:B719,Transactions!$F$8:$F$3006),0))),"")</f>
        <v/>
      </c>
      <c r="C720" s="42" t="str">
        <f>IF(B720="","",SUMIF(Transactions!$F$8:$F$3006,B720,Transactions!$H$8:$H$3006))</f>
        <v/>
      </c>
      <c r="D720" s="43" t="str">
        <f>IF(B720="","",SUMIF(Transactions!$F$8:$F$3006,B720,Transactions!$N$8:$N$3006))</f>
        <v/>
      </c>
      <c r="E720" s="44" t="str">
        <f>IF(B720="","",SUMIF(Transactions!$F$8:$F$3006,B720,Transactions!$O$8:$O$3006))</f>
        <v/>
      </c>
      <c r="F720" s="45" t="str">
        <f>IF(B720="","",SUMIF(Transactions!$F$8:$F$3006,B720,Transactions!$R$8:$R$3006))</f>
        <v/>
      </c>
      <c r="G720" s="46" t="str">
        <f>IF(B720="","",(C720+F720)-(D720+E720+SUMIF(Transactions!$F$8:$F$3006,B720,Transactions!$Q$8:$Q$3006)))</f>
        <v/>
      </c>
      <c r="H720" s="47" t="str">
        <f>IF(B720="","",IF(G720&gt;0,"OUTSTANDING",IF(G720=0,"SETTLED",IF(SUMIF(Transactions!$F$8:$F$3006,B720,Transactions!$Q$8:$Q$3006)&gt;SUMIF(Transactions!$F$8:$F$3006,B720,Transactions!$R$8:$R$3006),"OWES","OVERPAID"))))</f>
        <v/>
      </c>
      <c r="I720" s="1"/>
    </row>
    <row r="721" spans="1:9" ht="18" customHeight="1" x14ac:dyDescent="0.25">
      <c r="A721" s="48">
        <v>706</v>
      </c>
      <c r="B721" s="49" t="str">
        <f t="array" ref="B721">IFERROR(IF(INDEX(Transactions!$F$8:$F$3006,MATCH(0,COUNTIF($B$11:B720,Transactions!$F$8:$F$3006),0))="","",INDEX(Transactions!$F$8:$F$3006,MATCH(0,COUNTIF($B$11:B720,Transactions!$F$8:$F$3006),0))),"")</f>
        <v/>
      </c>
      <c r="C721" s="50" t="str">
        <f>IF(B721="","",SUMIF(Transactions!$F$8:$F$3006,B721,Transactions!$H$8:$H$3006))</f>
        <v/>
      </c>
      <c r="D721" s="51" t="str">
        <f>IF(B721="","",SUMIF(Transactions!$F$8:$F$3006,B721,Transactions!$N$8:$N$3006))</f>
        <v/>
      </c>
      <c r="E721" s="52" t="str">
        <f>IF(B721="","",SUMIF(Transactions!$F$8:$F$3006,B721,Transactions!$O$8:$O$3006))</f>
        <v/>
      </c>
      <c r="F721" s="53" t="str">
        <f>IF(B721="","",SUMIF(Transactions!$F$8:$F$3006,B721,Transactions!$R$8:$R$3006))</f>
        <v/>
      </c>
      <c r="G721" s="54" t="str">
        <f>IF(B721="","",(C721+F721)-(D721+E721+SUMIF(Transactions!$F$8:$F$3006,B721,Transactions!$Q$8:$Q$3006)))</f>
        <v/>
      </c>
      <c r="H721" s="55" t="str">
        <f>IF(B721="","",IF(G721&gt;0,"OUTSTANDING",IF(G721=0,"SETTLED",IF(SUMIF(Transactions!$F$8:$F$3006,B721,Transactions!$Q$8:$Q$3006)&gt;SUMIF(Transactions!$F$8:$F$3006,B721,Transactions!$R$8:$R$3006),"OWES","OVERPAID"))))</f>
        <v/>
      </c>
      <c r="I721" s="1"/>
    </row>
    <row r="722" spans="1:9" ht="18" customHeight="1" x14ac:dyDescent="0.25">
      <c r="A722" s="40">
        <v>707</v>
      </c>
      <c r="B722" s="41" t="str">
        <f t="array" ref="B722">IFERROR(IF(INDEX(Transactions!$F$8:$F$3006,MATCH(0,COUNTIF($B$11:B721,Transactions!$F$8:$F$3006),0))="","",INDEX(Transactions!$F$8:$F$3006,MATCH(0,COUNTIF($B$11:B721,Transactions!$F$8:$F$3006),0))),"")</f>
        <v/>
      </c>
      <c r="C722" s="42" t="str">
        <f>IF(B722="","",SUMIF(Transactions!$F$8:$F$3006,B722,Transactions!$H$8:$H$3006))</f>
        <v/>
      </c>
      <c r="D722" s="43" t="str">
        <f>IF(B722="","",SUMIF(Transactions!$F$8:$F$3006,B722,Transactions!$N$8:$N$3006))</f>
        <v/>
      </c>
      <c r="E722" s="44" t="str">
        <f>IF(B722="","",SUMIF(Transactions!$F$8:$F$3006,B722,Transactions!$O$8:$O$3006))</f>
        <v/>
      </c>
      <c r="F722" s="45" t="str">
        <f>IF(B722="","",SUMIF(Transactions!$F$8:$F$3006,B722,Transactions!$R$8:$R$3006))</f>
        <v/>
      </c>
      <c r="G722" s="46" t="str">
        <f>IF(B722="","",(C722+F722)-(D722+E722+SUMIF(Transactions!$F$8:$F$3006,B722,Transactions!$Q$8:$Q$3006)))</f>
        <v/>
      </c>
      <c r="H722" s="47" t="str">
        <f>IF(B722="","",IF(G722&gt;0,"OUTSTANDING",IF(G722=0,"SETTLED",IF(SUMIF(Transactions!$F$8:$F$3006,B722,Transactions!$Q$8:$Q$3006)&gt;SUMIF(Transactions!$F$8:$F$3006,B722,Transactions!$R$8:$R$3006),"OWES","OVERPAID"))))</f>
        <v/>
      </c>
      <c r="I722" s="1"/>
    </row>
    <row r="723" spans="1:9" ht="18" customHeight="1" x14ac:dyDescent="0.25">
      <c r="A723" s="48">
        <v>708</v>
      </c>
      <c r="B723" s="49" t="str">
        <f t="array" ref="B723">IFERROR(IF(INDEX(Transactions!$F$8:$F$3006,MATCH(0,COUNTIF($B$11:B722,Transactions!$F$8:$F$3006),0))="","",INDEX(Transactions!$F$8:$F$3006,MATCH(0,COUNTIF($B$11:B722,Transactions!$F$8:$F$3006),0))),"")</f>
        <v/>
      </c>
      <c r="C723" s="50" t="str">
        <f>IF(B723="","",SUMIF(Transactions!$F$8:$F$3006,B723,Transactions!$H$8:$H$3006))</f>
        <v/>
      </c>
      <c r="D723" s="51" t="str">
        <f>IF(B723="","",SUMIF(Transactions!$F$8:$F$3006,B723,Transactions!$N$8:$N$3006))</f>
        <v/>
      </c>
      <c r="E723" s="52" t="str">
        <f>IF(B723="","",SUMIF(Transactions!$F$8:$F$3006,B723,Transactions!$O$8:$O$3006))</f>
        <v/>
      </c>
      <c r="F723" s="53" t="str">
        <f>IF(B723="","",SUMIF(Transactions!$F$8:$F$3006,B723,Transactions!$R$8:$R$3006))</f>
        <v/>
      </c>
      <c r="G723" s="54" t="str">
        <f>IF(B723="","",(C723+F723)-(D723+E723+SUMIF(Transactions!$F$8:$F$3006,B723,Transactions!$Q$8:$Q$3006)))</f>
        <v/>
      </c>
      <c r="H723" s="55" t="str">
        <f>IF(B723="","",IF(G723&gt;0,"OUTSTANDING",IF(G723=0,"SETTLED",IF(SUMIF(Transactions!$F$8:$F$3006,B723,Transactions!$Q$8:$Q$3006)&gt;SUMIF(Transactions!$F$8:$F$3006,B723,Transactions!$R$8:$R$3006),"OWES","OVERPAID"))))</f>
        <v/>
      </c>
      <c r="I723" s="1"/>
    </row>
    <row r="724" spans="1:9" ht="18" customHeight="1" x14ac:dyDescent="0.25">
      <c r="A724" s="40">
        <v>709</v>
      </c>
      <c r="B724" s="41" t="str">
        <f t="array" ref="B724">IFERROR(IF(INDEX(Transactions!$F$8:$F$3006,MATCH(0,COUNTIF($B$11:B723,Transactions!$F$8:$F$3006),0))="","",INDEX(Transactions!$F$8:$F$3006,MATCH(0,COUNTIF($B$11:B723,Transactions!$F$8:$F$3006),0))),"")</f>
        <v/>
      </c>
      <c r="C724" s="42" t="str">
        <f>IF(B724="","",SUMIF(Transactions!$F$8:$F$3006,B724,Transactions!$H$8:$H$3006))</f>
        <v/>
      </c>
      <c r="D724" s="43" t="str">
        <f>IF(B724="","",SUMIF(Transactions!$F$8:$F$3006,B724,Transactions!$N$8:$N$3006))</f>
        <v/>
      </c>
      <c r="E724" s="44" t="str">
        <f>IF(B724="","",SUMIF(Transactions!$F$8:$F$3006,B724,Transactions!$O$8:$O$3006))</f>
        <v/>
      </c>
      <c r="F724" s="45" t="str">
        <f>IF(B724="","",SUMIF(Transactions!$F$8:$F$3006,B724,Transactions!$R$8:$R$3006))</f>
        <v/>
      </c>
      <c r="G724" s="46" t="str">
        <f>IF(B724="","",(C724+F724)-(D724+E724+SUMIF(Transactions!$F$8:$F$3006,B724,Transactions!$Q$8:$Q$3006)))</f>
        <v/>
      </c>
      <c r="H724" s="47" t="str">
        <f>IF(B724="","",IF(G724&gt;0,"OUTSTANDING",IF(G724=0,"SETTLED",IF(SUMIF(Transactions!$F$8:$F$3006,B724,Transactions!$Q$8:$Q$3006)&gt;SUMIF(Transactions!$F$8:$F$3006,B724,Transactions!$R$8:$R$3006),"OWES","OVERPAID"))))</f>
        <v/>
      </c>
      <c r="I724" s="1"/>
    </row>
    <row r="725" spans="1:9" ht="18" customHeight="1" x14ac:dyDescent="0.25">
      <c r="A725" s="48">
        <v>710</v>
      </c>
      <c r="B725" s="49" t="str">
        <f t="array" ref="B725">IFERROR(IF(INDEX(Transactions!$F$8:$F$3006,MATCH(0,COUNTIF($B$11:B724,Transactions!$F$8:$F$3006),0))="","",INDEX(Transactions!$F$8:$F$3006,MATCH(0,COUNTIF($B$11:B724,Transactions!$F$8:$F$3006),0))),"")</f>
        <v/>
      </c>
      <c r="C725" s="50" t="str">
        <f>IF(B725="","",SUMIF(Transactions!$F$8:$F$3006,B725,Transactions!$H$8:$H$3006))</f>
        <v/>
      </c>
      <c r="D725" s="51" t="str">
        <f>IF(B725="","",SUMIF(Transactions!$F$8:$F$3006,B725,Transactions!$N$8:$N$3006))</f>
        <v/>
      </c>
      <c r="E725" s="52" t="str">
        <f>IF(B725="","",SUMIF(Transactions!$F$8:$F$3006,B725,Transactions!$O$8:$O$3006))</f>
        <v/>
      </c>
      <c r="F725" s="53" t="str">
        <f>IF(B725="","",SUMIF(Transactions!$F$8:$F$3006,B725,Transactions!$R$8:$R$3006))</f>
        <v/>
      </c>
      <c r="G725" s="54" t="str">
        <f>IF(B725="","",(C725+F725)-(D725+E725+SUMIF(Transactions!$F$8:$F$3006,B725,Transactions!$Q$8:$Q$3006)))</f>
        <v/>
      </c>
      <c r="H725" s="55" t="str">
        <f>IF(B725="","",IF(G725&gt;0,"OUTSTANDING",IF(G725=0,"SETTLED",IF(SUMIF(Transactions!$F$8:$F$3006,B725,Transactions!$Q$8:$Q$3006)&gt;SUMIF(Transactions!$F$8:$F$3006,B725,Transactions!$R$8:$R$3006),"OWES","OVERPAID"))))</f>
        <v/>
      </c>
      <c r="I725" s="1"/>
    </row>
    <row r="726" spans="1:9" ht="18" customHeight="1" x14ac:dyDescent="0.25">
      <c r="A726" s="40">
        <v>711</v>
      </c>
      <c r="B726" s="41" t="str">
        <f t="array" ref="B726">IFERROR(IF(INDEX(Transactions!$F$8:$F$3006,MATCH(0,COUNTIF($B$11:B725,Transactions!$F$8:$F$3006),0))="","",INDEX(Transactions!$F$8:$F$3006,MATCH(0,COUNTIF($B$11:B725,Transactions!$F$8:$F$3006),0))),"")</f>
        <v/>
      </c>
      <c r="C726" s="42" t="str">
        <f>IF(B726="","",SUMIF(Transactions!$F$8:$F$3006,B726,Transactions!$H$8:$H$3006))</f>
        <v/>
      </c>
      <c r="D726" s="43" t="str">
        <f>IF(B726="","",SUMIF(Transactions!$F$8:$F$3006,B726,Transactions!$N$8:$N$3006))</f>
        <v/>
      </c>
      <c r="E726" s="44" t="str">
        <f>IF(B726="","",SUMIF(Transactions!$F$8:$F$3006,B726,Transactions!$O$8:$O$3006))</f>
        <v/>
      </c>
      <c r="F726" s="45" t="str">
        <f>IF(B726="","",SUMIF(Transactions!$F$8:$F$3006,B726,Transactions!$R$8:$R$3006))</f>
        <v/>
      </c>
      <c r="G726" s="46" t="str">
        <f>IF(B726="","",(C726+F726)-(D726+E726+SUMIF(Transactions!$F$8:$F$3006,B726,Transactions!$Q$8:$Q$3006)))</f>
        <v/>
      </c>
      <c r="H726" s="47" t="str">
        <f>IF(B726="","",IF(G726&gt;0,"OUTSTANDING",IF(G726=0,"SETTLED",IF(SUMIF(Transactions!$F$8:$F$3006,B726,Transactions!$Q$8:$Q$3006)&gt;SUMIF(Transactions!$F$8:$F$3006,B726,Transactions!$R$8:$R$3006),"OWES","OVERPAID"))))</f>
        <v/>
      </c>
      <c r="I726" s="1"/>
    </row>
    <row r="727" spans="1:9" ht="18" customHeight="1" x14ac:dyDescent="0.25">
      <c r="A727" s="48">
        <v>712</v>
      </c>
      <c r="B727" s="49" t="str">
        <f t="array" ref="B727">IFERROR(IF(INDEX(Transactions!$F$8:$F$3006,MATCH(0,COUNTIF($B$11:B726,Transactions!$F$8:$F$3006),0))="","",INDEX(Transactions!$F$8:$F$3006,MATCH(0,COUNTIF($B$11:B726,Transactions!$F$8:$F$3006),0))),"")</f>
        <v/>
      </c>
      <c r="C727" s="50" t="str">
        <f>IF(B727="","",SUMIF(Transactions!$F$8:$F$3006,B727,Transactions!$H$8:$H$3006))</f>
        <v/>
      </c>
      <c r="D727" s="51" t="str">
        <f>IF(B727="","",SUMIF(Transactions!$F$8:$F$3006,B727,Transactions!$N$8:$N$3006))</f>
        <v/>
      </c>
      <c r="E727" s="52" t="str">
        <f>IF(B727="","",SUMIF(Transactions!$F$8:$F$3006,B727,Transactions!$O$8:$O$3006))</f>
        <v/>
      </c>
      <c r="F727" s="53" t="str">
        <f>IF(B727="","",SUMIF(Transactions!$F$8:$F$3006,B727,Transactions!$R$8:$R$3006))</f>
        <v/>
      </c>
      <c r="G727" s="54" t="str">
        <f>IF(B727="","",(C727+F727)-(D727+E727+SUMIF(Transactions!$F$8:$F$3006,B727,Transactions!$Q$8:$Q$3006)))</f>
        <v/>
      </c>
      <c r="H727" s="55" t="str">
        <f>IF(B727="","",IF(G727&gt;0,"OUTSTANDING",IF(G727=0,"SETTLED",IF(SUMIF(Transactions!$F$8:$F$3006,B727,Transactions!$Q$8:$Q$3006)&gt;SUMIF(Transactions!$F$8:$F$3006,B727,Transactions!$R$8:$R$3006),"OWES","OVERPAID"))))</f>
        <v/>
      </c>
      <c r="I727" s="1"/>
    </row>
    <row r="728" spans="1:9" ht="18" customHeight="1" x14ac:dyDescent="0.25">
      <c r="A728" s="40">
        <v>713</v>
      </c>
      <c r="B728" s="41" t="str">
        <f t="array" ref="B728">IFERROR(IF(INDEX(Transactions!$F$8:$F$3006,MATCH(0,COUNTIF($B$11:B727,Transactions!$F$8:$F$3006),0))="","",INDEX(Transactions!$F$8:$F$3006,MATCH(0,COUNTIF($B$11:B727,Transactions!$F$8:$F$3006),0))),"")</f>
        <v/>
      </c>
      <c r="C728" s="42" t="str">
        <f>IF(B728="","",SUMIF(Transactions!$F$8:$F$3006,B728,Transactions!$H$8:$H$3006))</f>
        <v/>
      </c>
      <c r="D728" s="43" t="str">
        <f>IF(B728="","",SUMIF(Transactions!$F$8:$F$3006,B728,Transactions!$N$8:$N$3006))</f>
        <v/>
      </c>
      <c r="E728" s="44" t="str">
        <f>IF(B728="","",SUMIF(Transactions!$F$8:$F$3006,B728,Transactions!$O$8:$O$3006))</f>
        <v/>
      </c>
      <c r="F728" s="45" t="str">
        <f>IF(B728="","",SUMIF(Transactions!$F$8:$F$3006,B728,Transactions!$R$8:$R$3006))</f>
        <v/>
      </c>
      <c r="G728" s="46" t="str">
        <f>IF(B728="","",(C728+F728)-(D728+E728+SUMIF(Transactions!$F$8:$F$3006,B728,Transactions!$Q$8:$Q$3006)))</f>
        <v/>
      </c>
      <c r="H728" s="47" t="str">
        <f>IF(B728="","",IF(G728&gt;0,"OUTSTANDING",IF(G728=0,"SETTLED",IF(SUMIF(Transactions!$F$8:$F$3006,B728,Transactions!$Q$8:$Q$3006)&gt;SUMIF(Transactions!$F$8:$F$3006,B728,Transactions!$R$8:$R$3006),"OWES","OVERPAID"))))</f>
        <v/>
      </c>
      <c r="I728" s="1"/>
    </row>
    <row r="729" spans="1:9" ht="18" customHeight="1" x14ac:dyDescent="0.25">
      <c r="A729" s="48">
        <v>714</v>
      </c>
      <c r="B729" s="49" t="str">
        <f t="array" ref="B729">IFERROR(IF(INDEX(Transactions!$F$8:$F$3006,MATCH(0,COUNTIF($B$11:B728,Transactions!$F$8:$F$3006),0))="","",INDEX(Transactions!$F$8:$F$3006,MATCH(0,COUNTIF($B$11:B728,Transactions!$F$8:$F$3006),0))),"")</f>
        <v/>
      </c>
      <c r="C729" s="50" t="str">
        <f>IF(B729="","",SUMIF(Transactions!$F$8:$F$3006,B729,Transactions!$H$8:$H$3006))</f>
        <v/>
      </c>
      <c r="D729" s="51" t="str">
        <f>IF(B729="","",SUMIF(Transactions!$F$8:$F$3006,B729,Transactions!$N$8:$N$3006))</f>
        <v/>
      </c>
      <c r="E729" s="52" t="str">
        <f>IF(B729="","",SUMIF(Transactions!$F$8:$F$3006,B729,Transactions!$O$8:$O$3006))</f>
        <v/>
      </c>
      <c r="F729" s="53" t="str">
        <f>IF(B729="","",SUMIF(Transactions!$F$8:$F$3006,B729,Transactions!$R$8:$R$3006))</f>
        <v/>
      </c>
      <c r="G729" s="54" t="str">
        <f>IF(B729="","",(C729+F729)-(D729+E729+SUMIF(Transactions!$F$8:$F$3006,B729,Transactions!$Q$8:$Q$3006)))</f>
        <v/>
      </c>
      <c r="H729" s="55" t="str">
        <f>IF(B729="","",IF(G729&gt;0,"OUTSTANDING",IF(G729=0,"SETTLED",IF(SUMIF(Transactions!$F$8:$F$3006,B729,Transactions!$Q$8:$Q$3006)&gt;SUMIF(Transactions!$F$8:$F$3006,B729,Transactions!$R$8:$R$3006),"OWES","OVERPAID"))))</f>
        <v/>
      </c>
      <c r="I729" s="1"/>
    </row>
    <row r="730" spans="1:9" ht="18" customHeight="1" x14ac:dyDescent="0.25">
      <c r="A730" s="40">
        <v>715</v>
      </c>
      <c r="B730" s="41" t="str">
        <f t="array" ref="B730">IFERROR(IF(INDEX(Transactions!$F$8:$F$3006,MATCH(0,COUNTIF($B$11:B729,Transactions!$F$8:$F$3006),0))="","",INDEX(Transactions!$F$8:$F$3006,MATCH(0,COUNTIF($B$11:B729,Transactions!$F$8:$F$3006),0))),"")</f>
        <v/>
      </c>
      <c r="C730" s="42" t="str">
        <f>IF(B730="","",SUMIF(Transactions!$F$8:$F$3006,B730,Transactions!$H$8:$H$3006))</f>
        <v/>
      </c>
      <c r="D730" s="43" t="str">
        <f>IF(B730="","",SUMIF(Transactions!$F$8:$F$3006,B730,Transactions!$N$8:$N$3006))</f>
        <v/>
      </c>
      <c r="E730" s="44" t="str">
        <f>IF(B730="","",SUMIF(Transactions!$F$8:$F$3006,B730,Transactions!$O$8:$O$3006))</f>
        <v/>
      </c>
      <c r="F730" s="45" t="str">
        <f>IF(B730="","",SUMIF(Transactions!$F$8:$F$3006,B730,Transactions!$R$8:$R$3006))</f>
        <v/>
      </c>
      <c r="G730" s="46" t="str">
        <f>IF(B730="","",(C730+F730)-(D730+E730+SUMIF(Transactions!$F$8:$F$3006,B730,Transactions!$Q$8:$Q$3006)))</f>
        <v/>
      </c>
      <c r="H730" s="47" t="str">
        <f>IF(B730="","",IF(G730&gt;0,"OUTSTANDING",IF(G730=0,"SETTLED",IF(SUMIF(Transactions!$F$8:$F$3006,B730,Transactions!$Q$8:$Q$3006)&gt;SUMIF(Transactions!$F$8:$F$3006,B730,Transactions!$R$8:$R$3006),"OWES","OVERPAID"))))</f>
        <v/>
      </c>
      <c r="I730" s="1"/>
    </row>
    <row r="731" spans="1:9" ht="18" customHeight="1" x14ac:dyDescent="0.25">
      <c r="A731" s="48">
        <v>716</v>
      </c>
      <c r="B731" s="49" t="str">
        <f t="array" ref="B731">IFERROR(IF(INDEX(Transactions!$F$8:$F$3006,MATCH(0,COUNTIF($B$11:B730,Transactions!$F$8:$F$3006),0))="","",INDEX(Transactions!$F$8:$F$3006,MATCH(0,COUNTIF($B$11:B730,Transactions!$F$8:$F$3006),0))),"")</f>
        <v/>
      </c>
      <c r="C731" s="50" t="str">
        <f>IF(B731="","",SUMIF(Transactions!$F$8:$F$3006,B731,Transactions!$H$8:$H$3006))</f>
        <v/>
      </c>
      <c r="D731" s="51" t="str">
        <f>IF(B731="","",SUMIF(Transactions!$F$8:$F$3006,B731,Transactions!$N$8:$N$3006))</f>
        <v/>
      </c>
      <c r="E731" s="52" t="str">
        <f>IF(B731="","",SUMIF(Transactions!$F$8:$F$3006,B731,Transactions!$O$8:$O$3006))</f>
        <v/>
      </c>
      <c r="F731" s="53" t="str">
        <f>IF(B731="","",SUMIF(Transactions!$F$8:$F$3006,B731,Transactions!$R$8:$R$3006))</f>
        <v/>
      </c>
      <c r="G731" s="54" t="str">
        <f>IF(B731="","",(C731+F731)-(D731+E731+SUMIF(Transactions!$F$8:$F$3006,B731,Transactions!$Q$8:$Q$3006)))</f>
        <v/>
      </c>
      <c r="H731" s="55" t="str">
        <f>IF(B731="","",IF(G731&gt;0,"OUTSTANDING",IF(G731=0,"SETTLED",IF(SUMIF(Transactions!$F$8:$F$3006,B731,Transactions!$Q$8:$Q$3006)&gt;SUMIF(Transactions!$F$8:$F$3006,B731,Transactions!$R$8:$R$3006),"OWES","OVERPAID"))))</f>
        <v/>
      </c>
      <c r="I731" s="1"/>
    </row>
    <row r="732" spans="1:9" ht="18" customHeight="1" x14ac:dyDescent="0.25">
      <c r="A732" s="40">
        <v>717</v>
      </c>
      <c r="B732" s="41" t="str">
        <f t="array" ref="B732">IFERROR(IF(INDEX(Transactions!$F$8:$F$3006,MATCH(0,COUNTIF($B$11:B731,Transactions!$F$8:$F$3006),0))="","",INDEX(Transactions!$F$8:$F$3006,MATCH(0,COUNTIF($B$11:B731,Transactions!$F$8:$F$3006),0))),"")</f>
        <v/>
      </c>
      <c r="C732" s="42" t="str">
        <f>IF(B732="","",SUMIF(Transactions!$F$8:$F$3006,B732,Transactions!$H$8:$H$3006))</f>
        <v/>
      </c>
      <c r="D732" s="43" t="str">
        <f>IF(B732="","",SUMIF(Transactions!$F$8:$F$3006,B732,Transactions!$N$8:$N$3006))</f>
        <v/>
      </c>
      <c r="E732" s="44" t="str">
        <f>IF(B732="","",SUMIF(Transactions!$F$8:$F$3006,B732,Transactions!$O$8:$O$3006))</f>
        <v/>
      </c>
      <c r="F732" s="45" t="str">
        <f>IF(B732="","",SUMIF(Transactions!$F$8:$F$3006,B732,Transactions!$R$8:$R$3006))</f>
        <v/>
      </c>
      <c r="G732" s="46" t="str">
        <f>IF(B732="","",(C732+F732)-(D732+E732+SUMIF(Transactions!$F$8:$F$3006,B732,Transactions!$Q$8:$Q$3006)))</f>
        <v/>
      </c>
      <c r="H732" s="47" t="str">
        <f>IF(B732="","",IF(G732&gt;0,"OUTSTANDING",IF(G732=0,"SETTLED",IF(SUMIF(Transactions!$F$8:$F$3006,B732,Transactions!$Q$8:$Q$3006)&gt;SUMIF(Transactions!$F$8:$F$3006,B732,Transactions!$R$8:$R$3006),"OWES","OVERPAID"))))</f>
        <v/>
      </c>
      <c r="I732" s="1"/>
    </row>
    <row r="733" spans="1:9" ht="18" customHeight="1" x14ac:dyDescent="0.25">
      <c r="A733" s="48">
        <v>718</v>
      </c>
      <c r="B733" s="49" t="str">
        <f t="array" ref="B733">IFERROR(IF(INDEX(Transactions!$F$8:$F$3006,MATCH(0,COUNTIF($B$11:B732,Transactions!$F$8:$F$3006),0))="","",INDEX(Transactions!$F$8:$F$3006,MATCH(0,COUNTIF($B$11:B732,Transactions!$F$8:$F$3006),0))),"")</f>
        <v/>
      </c>
      <c r="C733" s="50" t="str">
        <f>IF(B733="","",SUMIF(Transactions!$F$8:$F$3006,B733,Transactions!$H$8:$H$3006))</f>
        <v/>
      </c>
      <c r="D733" s="51" t="str">
        <f>IF(B733="","",SUMIF(Transactions!$F$8:$F$3006,B733,Transactions!$N$8:$N$3006))</f>
        <v/>
      </c>
      <c r="E733" s="52" t="str">
        <f>IF(B733="","",SUMIF(Transactions!$F$8:$F$3006,B733,Transactions!$O$8:$O$3006))</f>
        <v/>
      </c>
      <c r="F733" s="53" t="str">
        <f>IF(B733="","",SUMIF(Transactions!$F$8:$F$3006,B733,Transactions!$R$8:$R$3006))</f>
        <v/>
      </c>
      <c r="G733" s="54" t="str">
        <f>IF(B733="","",(C733+F733)-(D733+E733+SUMIF(Transactions!$F$8:$F$3006,B733,Transactions!$Q$8:$Q$3006)))</f>
        <v/>
      </c>
      <c r="H733" s="55" t="str">
        <f>IF(B733="","",IF(G733&gt;0,"OUTSTANDING",IF(G733=0,"SETTLED",IF(SUMIF(Transactions!$F$8:$F$3006,B733,Transactions!$Q$8:$Q$3006)&gt;SUMIF(Transactions!$F$8:$F$3006,B733,Transactions!$R$8:$R$3006),"OWES","OVERPAID"))))</f>
        <v/>
      </c>
      <c r="I733" s="1"/>
    </row>
    <row r="734" spans="1:9" ht="18" customHeight="1" x14ac:dyDescent="0.25">
      <c r="A734" s="40">
        <v>719</v>
      </c>
      <c r="B734" s="41" t="str">
        <f t="array" ref="B734">IFERROR(IF(INDEX(Transactions!$F$8:$F$3006,MATCH(0,COUNTIF($B$11:B733,Transactions!$F$8:$F$3006),0))="","",INDEX(Transactions!$F$8:$F$3006,MATCH(0,COUNTIF($B$11:B733,Transactions!$F$8:$F$3006),0))),"")</f>
        <v/>
      </c>
      <c r="C734" s="42" t="str">
        <f>IF(B734="","",SUMIF(Transactions!$F$8:$F$3006,B734,Transactions!$H$8:$H$3006))</f>
        <v/>
      </c>
      <c r="D734" s="43" t="str">
        <f>IF(B734="","",SUMIF(Transactions!$F$8:$F$3006,B734,Transactions!$N$8:$N$3006))</f>
        <v/>
      </c>
      <c r="E734" s="44" t="str">
        <f>IF(B734="","",SUMIF(Transactions!$F$8:$F$3006,B734,Transactions!$O$8:$O$3006))</f>
        <v/>
      </c>
      <c r="F734" s="45" t="str">
        <f>IF(B734="","",SUMIF(Transactions!$F$8:$F$3006,B734,Transactions!$R$8:$R$3006))</f>
        <v/>
      </c>
      <c r="G734" s="46" t="str">
        <f>IF(B734="","",(C734+F734)-(D734+E734+SUMIF(Transactions!$F$8:$F$3006,B734,Transactions!$Q$8:$Q$3006)))</f>
        <v/>
      </c>
      <c r="H734" s="47" t="str">
        <f>IF(B734="","",IF(G734&gt;0,"OUTSTANDING",IF(G734=0,"SETTLED",IF(SUMIF(Transactions!$F$8:$F$3006,B734,Transactions!$Q$8:$Q$3006)&gt;SUMIF(Transactions!$F$8:$F$3006,B734,Transactions!$R$8:$R$3006),"OWES","OVERPAID"))))</f>
        <v/>
      </c>
      <c r="I734" s="1"/>
    </row>
    <row r="735" spans="1:9" ht="18" customHeight="1" x14ac:dyDescent="0.25">
      <c r="A735" s="48">
        <v>720</v>
      </c>
      <c r="B735" s="49" t="str">
        <f t="array" ref="B735">IFERROR(IF(INDEX(Transactions!$F$8:$F$3006,MATCH(0,COUNTIF($B$11:B734,Transactions!$F$8:$F$3006),0))="","",INDEX(Transactions!$F$8:$F$3006,MATCH(0,COUNTIF($B$11:B734,Transactions!$F$8:$F$3006),0))),"")</f>
        <v/>
      </c>
      <c r="C735" s="50" t="str">
        <f>IF(B735="","",SUMIF(Transactions!$F$8:$F$3006,B735,Transactions!$H$8:$H$3006))</f>
        <v/>
      </c>
      <c r="D735" s="51" t="str">
        <f>IF(B735="","",SUMIF(Transactions!$F$8:$F$3006,B735,Transactions!$N$8:$N$3006))</f>
        <v/>
      </c>
      <c r="E735" s="52" t="str">
        <f>IF(B735="","",SUMIF(Transactions!$F$8:$F$3006,B735,Transactions!$O$8:$O$3006))</f>
        <v/>
      </c>
      <c r="F735" s="53" t="str">
        <f>IF(B735="","",SUMIF(Transactions!$F$8:$F$3006,B735,Transactions!$R$8:$R$3006))</f>
        <v/>
      </c>
      <c r="G735" s="54" t="str">
        <f>IF(B735="","",(C735+F735)-(D735+E735+SUMIF(Transactions!$F$8:$F$3006,B735,Transactions!$Q$8:$Q$3006)))</f>
        <v/>
      </c>
      <c r="H735" s="55" t="str">
        <f>IF(B735="","",IF(G735&gt;0,"OUTSTANDING",IF(G735=0,"SETTLED",IF(SUMIF(Transactions!$F$8:$F$3006,B735,Transactions!$Q$8:$Q$3006)&gt;SUMIF(Transactions!$F$8:$F$3006,B735,Transactions!$R$8:$R$3006),"OWES","OVERPAID"))))</f>
        <v/>
      </c>
      <c r="I735" s="1"/>
    </row>
    <row r="736" spans="1:9" ht="18" customHeight="1" x14ac:dyDescent="0.25">
      <c r="A736" s="40">
        <v>721</v>
      </c>
      <c r="B736" s="41" t="str">
        <f t="array" ref="B736">IFERROR(IF(INDEX(Transactions!$F$8:$F$3006,MATCH(0,COUNTIF($B$11:B735,Transactions!$F$8:$F$3006),0))="","",INDEX(Transactions!$F$8:$F$3006,MATCH(0,COUNTIF($B$11:B735,Transactions!$F$8:$F$3006),0))),"")</f>
        <v/>
      </c>
      <c r="C736" s="42" t="str">
        <f>IF(B736="","",SUMIF(Transactions!$F$8:$F$3006,B736,Transactions!$H$8:$H$3006))</f>
        <v/>
      </c>
      <c r="D736" s="43" t="str">
        <f>IF(B736="","",SUMIF(Transactions!$F$8:$F$3006,B736,Transactions!$N$8:$N$3006))</f>
        <v/>
      </c>
      <c r="E736" s="44" t="str">
        <f>IF(B736="","",SUMIF(Transactions!$F$8:$F$3006,B736,Transactions!$O$8:$O$3006))</f>
        <v/>
      </c>
      <c r="F736" s="45" t="str">
        <f>IF(B736="","",SUMIF(Transactions!$F$8:$F$3006,B736,Transactions!$R$8:$R$3006))</f>
        <v/>
      </c>
      <c r="G736" s="46" t="str">
        <f>IF(B736="","",(C736+F736)-(D736+E736+SUMIF(Transactions!$F$8:$F$3006,B736,Transactions!$Q$8:$Q$3006)))</f>
        <v/>
      </c>
      <c r="H736" s="47" t="str">
        <f>IF(B736="","",IF(G736&gt;0,"OUTSTANDING",IF(G736=0,"SETTLED",IF(SUMIF(Transactions!$F$8:$F$3006,B736,Transactions!$Q$8:$Q$3006)&gt;SUMIF(Transactions!$F$8:$F$3006,B736,Transactions!$R$8:$R$3006),"OWES","OVERPAID"))))</f>
        <v/>
      </c>
      <c r="I736" s="1"/>
    </row>
    <row r="737" spans="1:9" ht="18" customHeight="1" x14ac:dyDescent="0.25">
      <c r="A737" s="48">
        <v>722</v>
      </c>
      <c r="B737" s="49" t="str">
        <f t="array" ref="B737">IFERROR(IF(INDEX(Transactions!$F$8:$F$3006,MATCH(0,COUNTIF($B$11:B736,Transactions!$F$8:$F$3006),0))="","",INDEX(Transactions!$F$8:$F$3006,MATCH(0,COUNTIF($B$11:B736,Transactions!$F$8:$F$3006),0))),"")</f>
        <v/>
      </c>
      <c r="C737" s="50" t="str">
        <f>IF(B737="","",SUMIF(Transactions!$F$8:$F$3006,B737,Transactions!$H$8:$H$3006))</f>
        <v/>
      </c>
      <c r="D737" s="51" t="str">
        <f>IF(B737="","",SUMIF(Transactions!$F$8:$F$3006,B737,Transactions!$N$8:$N$3006))</f>
        <v/>
      </c>
      <c r="E737" s="52" t="str">
        <f>IF(B737="","",SUMIF(Transactions!$F$8:$F$3006,B737,Transactions!$O$8:$O$3006))</f>
        <v/>
      </c>
      <c r="F737" s="53" t="str">
        <f>IF(B737="","",SUMIF(Transactions!$F$8:$F$3006,B737,Transactions!$R$8:$R$3006))</f>
        <v/>
      </c>
      <c r="G737" s="54" t="str">
        <f>IF(B737="","",(C737+F737)-(D737+E737+SUMIF(Transactions!$F$8:$F$3006,B737,Transactions!$Q$8:$Q$3006)))</f>
        <v/>
      </c>
      <c r="H737" s="55" t="str">
        <f>IF(B737="","",IF(G737&gt;0,"OUTSTANDING",IF(G737=0,"SETTLED",IF(SUMIF(Transactions!$F$8:$F$3006,B737,Transactions!$Q$8:$Q$3006)&gt;SUMIF(Transactions!$F$8:$F$3006,B737,Transactions!$R$8:$R$3006),"OWES","OVERPAID"))))</f>
        <v/>
      </c>
      <c r="I737" s="1"/>
    </row>
    <row r="738" spans="1:9" ht="18" customHeight="1" x14ac:dyDescent="0.25">
      <c r="A738" s="40">
        <v>723</v>
      </c>
      <c r="B738" s="41" t="str">
        <f t="array" ref="B738">IFERROR(IF(INDEX(Transactions!$F$8:$F$3006,MATCH(0,COUNTIF($B$11:B737,Transactions!$F$8:$F$3006),0))="","",INDEX(Transactions!$F$8:$F$3006,MATCH(0,COUNTIF($B$11:B737,Transactions!$F$8:$F$3006),0))),"")</f>
        <v/>
      </c>
      <c r="C738" s="42" t="str">
        <f>IF(B738="","",SUMIF(Transactions!$F$8:$F$3006,B738,Transactions!$H$8:$H$3006))</f>
        <v/>
      </c>
      <c r="D738" s="43" t="str">
        <f>IF(B738="","",SUMIF(Transactions!$F$8:$F$3006,B738,Transactions!$N$8:$N$3006))</f>
        <v/>
      </c>
      <c r="E738" s="44" t="str">
        <f>IF(B738="","",SUMIF(Transactions!$F$8:$F$3006,B738,Transactions!$O$8:$O$3006))</f>
        <v/>
      </c>
      <c r="F738" s="45" t="str">
        <f>IF(B738="","",SUMIF(Transactions!$F$8:$F$3006,B738,Transactions!$R$8:$R$3006))</f>
        <v/>
      </c>
      <c r="G738" s="46" t="str">
        <f>IF(B738="","",(C738+F738)-(D738+E738+SUMIF(Transactions!$F$8:$F$3006,B738,Transactions!$Q$8:$Q$3006)))</f>
        <v/>
      </c>
      <c r="H738" s="47" t="str">
        <f>IF(B738="","",IF(G738&gt;0,"OUTSTANDING",IF(G738=0,"SETTLED",IF(SUMIF(Transactions!$F$8:$F$3006,B738,Transactions!$Q$8:$Q$3006)&gt;SUMIF(Transactions!$F$8:$F$3006,B738,Transactions!$R$8:$R$3006),"OWES","OVERPAID"))))</f>
        <v/>
      </c>
      <c r="I738" s="1"/>
    </row>
    <row r="739" spans="1:9" ht="18" customHeight="1" x14ac:dyDescent="0.25">
      <c r="A739" s="48">
        <v>724</v>
      </c>
      <c r="B739" s="49" t="str">
        <f t="array" ref="B739">IFERROR(IF(INDEX(Transactions!$F$8:$F$3006,MATCH(0,COUNTIF($B$11:B738,Transactions!$F$8:$F$3006),0))="","",INDEX(Transactions!$F$8:$F$3006,MATCH(0,COUNTIF($B$11:B738,Transactions!$F$8:$F$3006),0))),"")</f>
        <v/>
      </c>
      <c r="C739" s="50" t="str">
        <f>IF(B739="","",SUMIF(Transactions!$F$8:$F$3006,B739,Transactions!$H$8:$H$3006))</f>
        <v/>
      </c>
      <c r="D739" s="51" t="str">
        <f>IF(B739="","",SUMIF(Transactions!$F$8:$F$3006,B739,Transactions!$N$8:$N$3006))</f>
        <v/>
      </c>
      <c r="E739" s="52" t="str">
        <f>IF(B739="","",SUMIF(Transactions!$F$8:$F$3006,B739,Transactions!$O$8:$O$3006))</f>
        <v/>
      </c>
      <c r="F739" s="53" t="str">
        <f>IF(B739="","",SUMIF(Transactions!$F$8:$F$3006,B739,Transactions!$R$8:$R$3006))</f>
        <v/>
      </c>
      <c r="G739" s="54" t="str">
        <f>IF(B739="","",(C739+F739)-(D739+E739+SUMIF(Transactions!$F$8:$F$3006,B739,Transactions!$Q$8:$Q$3006)))</f>
        <v/>
      </c>
      <c r="H739" s="55" t="str">
        <f>IF(B739="","",IF(G739&gt;0,"OUTSTANDING",IF(G739=0,"SETTLED",IF(SUMIF(Transactions!$F$8:$F$3006,B739,Transactions!$Q$8:$Q$3006)&gt;SUMIF(Transactions!$F$8:$F$3006,B739,Transactions!$R$8:$R$3006),"OWES","OVERPAID"))))</f>
        <v/>
      </c>
      <c r="I739" s="1"/>
    </row>
    <row r="740" spans="1:9" ht="18" customHeight="1" x14ac:dyDescent="0.25">
      <c r="A740" s="40">
        <v>725</v>
      </c>
      <c r="B740" s="41" t="str">
        <f t="array" ref="B740">IFERROR(IF(INDEX(Transactions!$F$8:$F$3006,MATCH(0,COUNTIF($B$11:B739,Transactions!$F$8:$F$3006),0))="","",INDEX(Transactions!$F$8:$F$3006,MATCH(0,COUNTIF($B$11:B739,Transactions!$F$8:$F$3006),0))),"")</f>
        <v/>
      </c>
      <c r="C740" s="42" t="str">
        <f>IF(B740="","",SUMIF(Transactions!$F$8:$F$3006,B740,Transactions!$H$8:$H$3006))</f>
        <v/>
      </c>
      <c r="D740" s="43" t="str">
        <f>IF(B740="","",SUMIF(Transactions!$F$8:$F$3006,B740,Transactions!$N$8:$N$3006))</f>
        <v/>
      </c>
      <c r="E740" s="44" t="str">
        <f>IF(B740="","",SUMIF(Transactions!$F$8:$F$3006,B740,Transactions!$O$8:$O$3006))</f>
        <v/>
      </c>
      <c r="F740" s="45" t="str">
        <f>IF(B740="","",SUMIF(Transactions!$F$8:$F$3006,B740,Transactions!$R$8:$R$3006))</f>
        <v/>
      </c>
      <c r="G740" s="46" t="str">
        <f>IF(B740="","",(C740+F740)-(D740+E740+SUMIF(Transactions!$F$8:$F$3006,B740,Transactions!$Q$8:$Q$3006)))</f>
        <v/>
      </c>
      <c r="H740" s="47" t="str">
        <f>IF(B740="","",IF(G740&gt;0,"OUTSTANDING",IF(G740=0,"SETTLED",IF(SUMIF(Transactions!$F$8:$F$3006,B740,Transactions!$Q$8:$Q$3006)&gt;SUMIF(Transactions!$F$8:$F$3006,B740,Transactions!$R$8:$R$3006),"OWES","OVERPAID"))))</f>
        <v/>
      </c>
      <c r="I740" s="1"/>
    </row>
    <row r="741" spans="1:9" ht="18" customHeight="1" x14ac:dyDescent="0.25">
      <c r="A741" s="48">
        <v>726</v>
      </c>
      <c r="B741" s="49" t="str">
        <f t="array" ref="B741">IFERROR(IF(INDEX(Transactions!$F$8:$F$3006,MATCH(0,COUNTIF($B$11:B740,Transactions!$F$8:$F$3006),0))="","",INDEX(Transactions!$F$8:$F$3006,MATCH(0,COUNTIF($B$11:B740,Transactions!$F$8:$F$3006),0))),"")</f>
        <v/>
      </c>
      <c r="C741" s="50" t="str">
        <f>IF(B741="","",SUMIF(Transactions!$F$8:$F$3006,B741,Transactions!$H$8:$H$3006))</f>
        <v/>
      </c>
      <c r="D741" s="51" t="str">
        <f>IF(B741="","",SUMIF(Transactions!$F$8:$F$3006,B741,Transactions!$N$8:$N$3006))</f>
        <v/>
      </c>
      <c r="E741" s="52" t="str">
        <f>IF(B741="","",SUMIF(Transactions!$F$8:$F$3006,B741,Transactions!$O$8:$O$3006))</f>
        <v/>
      </c>
      <c r="F741" s="53" t="str">
        <f>IF(B741="","",SUMIF(Transactions!$F$8:$F$3006,B741,Transactions!$R$8:$R$3006))</f>
        <v/>
      </c>
      <c r="G741" s="54" t="str">
        <f>IF(B741="","",(C741+F741)-(D741+E741+SUMIF(Transactions!$F$8:$F$3006,B741,Transactions!$Q$8:$Q$3006)))</f>
        <v/>
      </c>
      <c r="H741" s="55" t="str">
        <f>IF(B741="","",IF(G741&gt;0,"OUTSTANDING",IF(G741=0,"SETTLED",IF(SUMIF(Transactions!$F$8:$F$3006,B741,Transactions!$Q$8:$Q$3006)&gt;SUMIF(Transactions!$F$8:$F$3006,B741,Transactions!$R$8:$R$3006),"OWES","OVERPAID"))))</f>
        <v/>
      </c>
      <c r="I741" s="1"/>
    </row>
    <row r="742" spans="1:9" ht="18" customHeight="1" x14ac:dyDescent="0.25">
      <c r="A742" s="40">
        <v>727</v>
      </c>
      <c r="B742" s="41" t="str">
        <f t="array" ref="B742">IFERROR(IF(INDEX(Transactions!$F$8:$F$3006,MATCH(0,COUNTIF($B$11:B741,Transactions!$F$8:$F$3006),0))="","",INDEX(Transactions!$F$8:$F$3006,MATCH(0,COUNTIF($B$11:B741,Transactions!$F$8:$F$3006),0))),"")</f>
        <v/>
      </c>
      <c r="C742" s="42" t="str">
        <f>IF(B742="","",SUMIF(Transactions!$F$8:$F$3006,B742,Transactions!$H$8:$H$3006))</f>
        <v/>
      </c>
      <c r="D742" s="43" t="str">
        <f>IF(B742="","",SUMIF(Transactions!$F$8:$F$3006,B742,Transactions!$N$8:$N$3006))</f>
        <v/>
      </c>
      <c r="E742" s="44" t="str">
        <f>IF(B742="","",SUMIF(Transactions!$F$8:$F$3006,B742,Transactions!$O$8:$O$3006))</f>
        <v/>
      </c>
      <c r="F742" s="45" t="str">
        <f>IF(B742="","",SUMIF(Transactions!$F$8:$F$3006,B742,Transactions!$R$8:$R$3006))</f>
        <v/>
      </c>
      <c r="G742" s="46" t="str">
        <f>IF(B742="","",(C742+F742)-(D742+E742+SUMIF(Transactions!$F$8:$F$3006,B742,Transactions!$Q$8:$Q$3006)))</f>
        <v/>
      </c>
      <c r="H742" s="47" t="str">
        <f>IF(B742="","",IF(G742&gt;0,"OUTSTANDING",IF(G742=0,"SETTLED",IF(SUMIF(Transactions!$F$8:$F$3006,B742,Transactions!$Q$8:$Q$3006)&gt;SUMIF(Transactions!$F$8:$F$3006,B742,Transactions!$R$8:$R$3006),"OWES","OVERPAID"))))</f>
        <v/>
      </c>
      <c r="I742" s="1"/>
    </row>
    <row r="743" spans="1:9" ht="18" customHeight="1" x14ac:dyDescent="0.25">
      <c r="A743" s="48">
        <v>728</v>
      </c>
      <c r="B743" s="49" t="str">
        <f t="array" ref="B743">IFERROR(IF(INDEX(Transactions!$F$8:$F$3006,MATCH(0,COUNTIF($B$11:B742,Transactions!$F$8:$F$3006),0))="","",INDEX(Transactions!$F$8:$F$3006,MATCH(0,COUNTIF($B$11:B742,Transactions!$F$8:$F$3006),0))),"")</f>
        <v/>
      </c>
      <c r="C743" s="50" t="str">
        <f>IF(B743="","",SUMIF(Transactions!$F$8:$F$3006,B743,Transactions!$H$8:$H$3006))</f>
        <v/>
      </c>
      <c r="D743" s="51" t="str">
        <f>IF(B743="","",SUMIF(Transactions!$F$8:$F$3006,B743,Transactions!$N$8:$N$3006))</f>
        <v/>
      </c>
      <c r="E743" s="52" t="str">
        <f>IF(B743="","",SUMIF(Transactions!$F$8:$F$3006,B743,Transactions!$O$8:$O$3006))</f>
        <v/>
      </c>
      <c r="F743" s="53" t="str">
        <f>IF(B743="","",SUMIF(Transactions!$F$8:$F$3006,B743,Transactions!$R$8:$R$3006))</f>
        <v/>
      </c>
      <c r="G743" s="54" t="str">
        <f>IF(B743="","",(C743+F743)-(D743+E743+SUMIF(Transactions!$F$8:$F$3006,B743,Transactions!$Q$8:$Q$3006)))</f>
        <v/>
      </c>
      <c r="H743" s="55" t="str">
        <f>IF(B743="","",IF(G743&gt;0,"OUTSTANDING",IF(G743=0,"SETTLED",IF(SUMIF(Transactions!$F$8:$F$3006,B743,Transactions!$Q$8:$Q$3006)&gt;SUMIF(Transactions!$F$8:$F$3006,B743,Transactions!$R$8:$R$3006),"OWES","OVERPAID"))))</f>
        <v/>
      </c>
      <c r="I743" s="1"/>
    </row>
    <row r="744" spans="1:9" ht="18" customHeight="1" x14ac:dyDescent="0.25">
      <c r="A744" s="40">
        <v>729</v>
      </c>
      <c r="B744" s="41" t="str">
        <f t="array" ref="B744">IFERROR(IF(INDEX(Transactions!$F$8:$F$3006,MATCH(0,COUNTIF($B$11:B743,Transactions!$F$8:$F$3006),0))="","",INDEX(Transactions!$F$8:$F$3006,MATCH(0,COUNTIF($B$11:B743,Transactions!$F$8:$F$3006),0))),"")</f>
        <v/>
      </c>
      <c r="C744" s="42" t="str">
        <f>IF(B744="","",SUMIF(Transactions!$F$8:$F$3006,B744,Transactions!$H$8:$H$3006))</f>
        <v/>
      </c>
      <c r="D744" s="43" t="str">
        <f>IF(B744="","",SUMIF(Transactions!$F$8:$F$3006,B744,Transactions!$N$8:$N$3006))</f>
        <v/>
      </c>
      <c r="E744" s="44" t="str">
        <f>IF(B744="","",SUMIF(Transactions!$F$8:$F$3006,B744,Transactions!$O$8:$O$3006))</f>
        <v/>
      </c>
      <c r="F744" s="45" t="str">
        <f>IF(B744="","",SUMIF(Transactions!$F$8:$F$3006,B744,Transactions!$R$8:$R$3006))</f>
        <v/>
      </c>
      <c r="G744" s="46" t="str">
        <f>IF(B744="","",(C744+F744)-(D744+E744+SUMIF(Transactions!$F$8:$F$3006,B744,Transactions!$Q$8:$Q$3006)))</f>
        <v/>
      </c>
      <c r="H744" s="47" t="str">
        <f>IF(B744="","",IF(G744&gt;0,"OUTSTANDING",IF(G744=0,"SETTLED",IF(SUMIF(Transactions!$F$8:$F$3006,B744,Transactions!$Q$8:$Q$3006)&gt;SUMIF(Transactions!$F$8:$F$3006,B744,Transactions!$R$8:$R$3006),"OWES","OVERPAID"))))</f>
        <v/>
      </c>
      <c r="I744" s="1"/>
    </row>
    <row r="745" spans="1:9" ht="18" customHeight="1" x14ac:dyDescent="0.25">
      <c r="A745" s="48">
        <v>730</v>
      </c>
      <c r="B745" s="49" t="str">
        <f t="array" ref="B745">IFERROR(IF(INDEX(Transactions!$F$8:$F$3006,MATCH(0,COUNTIF($B$11:B744,Transactions!$F$8:$F$3006),0))="","",INDEX(Transactions!$F$8:$F$3006,MATCH(0,COUNTIF($B$11:B744,Transactions!$F$8:$F$3006),0))),"")</f>
        <v/>
      </c>
      <c r="C745" s="50" t="str">
        <f>IF(B745="","",SUMIF(Transactions!$F$8:$F$3006,B745,Transactions!$H$8:$H$3006))</f>
        <v/>
      </c>
      <c r="D745" s="51" t="str">
        <f>IF(B745="","",SUMIF(Transactions!$F$8:$F$3006,B745,Transactions!$N$8:$N$3006))</f>
        <v/>
      </c>
      <c r="E745" s="52" t="str">
        <f>IF(B745="","",SUMIF(Transactions!$F$8:$F$3006,B745,Transactions!$O$8:$O$3006))</f>
        <v/>
      </c>
      <c r="F745" s="53" t="str">
        <f>IF(B745="","",SUMIF(Transactions!$F$8:$F$3006,B745,Transactions!$R$8:$R$3006))</f>
        <v/>
      </c>
      <c r="G745" s="54" t="str">
        <f>IF(B745="","",(C745+F745)-(D745+E745+SUMIF(Transactions!$F$8:$F$3006,B745,Transactions!$Q$8:$Q$3006)))</f>
        <v/>
      </c>
      <c r="H745" s="55" t="str">
        <f>IF(B745="","",IF(G745&gt;0,"OUTSTANDING",IF(G745=0,"SETTLED",IF(SUMIF(Transactions!$F$8:$F$3006,B745,Transactions!$Q$8:$Q$3006)&gt;SUMIF(Transactions!$F$8:$F$3006,B745,Transactions!$R$8:$R$3006),"OWES","OVERPAID"))))</f>
        <v/>
      </c>
      <c r="I745" s="1"/>
    </row>
    <row r="746" spans="1:9" ht="18" customHeight="1" x14ac:dyDescent="0.25">
      <c r="A746" s="40">
        <v>731</v>
      </c>
      <c r="B746" s="41" t="str">
        <f t="array" ref="B746">IFERROR(IF(INDEX(Transactions!$F$8:$F$3006,MATCH(0,COUNTIF($B$11:B745,Transactions!$F$8:$F$3006),0))="","",INDEX(Transactions!$F$8:$F$3006,MATCH(0,COUNTIF($B$11:B745,Transactions!$F$8:$F$3006),0))),"")</f>
        <v/>
      </c>
      <c r="C746" s="42" t="str">
        <f>IF(B746="","",SUMIF(Transactions!$F$8:$F$3006,B746,Transactions!$H$8:$H$3006))</f>
        <v/>
      </c>
      <c r="D746" s="43" t="str">
        <f>IF(B746="","",SUMIF(Transactions!$F$8:$F$3006,B746,Transactions!$N$8:$N$3006))</f>
        <v/>
      </c>
      <c r="E746" s="44" t="str">
        <f>IF(B746="","",SUMIF(Transactions!$F$8:$F$3006,B746,Transactions!$O$8:$O$3006))</f>
        <v/>
      </c>
      <c r="F746" s="45" t="str">
        <f>IF(B746="","",SUMIF(Transactions!$F$8:$F$3006,B746,Transactions!$R$8:$R$3006))</f>
        <v/>
      </c>
      <c r="G746" s="46" t="str">
        <f>IF(B746="","",(C746+F746)-(D746+E746+SUMIF(Transactions!$F$8:$F$3006,B746,Transactions!$Q$8:$Q$3006)))</f>
        <v/>
      </c>
      <c r="H746" s="47" t="str">
        <f>IF(B746="","",IF(G746&gt;0,"OUTSTANDING",IF(G746=0,"SETTLED",IF(SUMIF(Transactions!$F$8:$F$3006,B746,Transactions!$Q$8:$Q$3006)&gt;SUMIF(Transactions!$F$8:$F$3006,B746,Transactions!$R$8:$R$3006),"OWES","OVERPAID"))))</f>
        <v/>
      </c>
      <c r="I746" s="1"/>
    </row>
    <row r="747" spans="1:9" ht="18" customHeight="1" x14ac:dyDescent="0.25">
      <c r="A747" s="48">
        <v>732</v>
      </c>
      <c r="B747" s="49" t="str">
        <f t="array" ref="B747">IFERROR(IF(INDEX(Transactions!$F$8:$F$3006,MATCH(0,COUNTIF($B$11:B746,Transactions!$F$8:$F$3006),0))="","",INDEX(Transactions!$F$8:$F$3006,MATCH(0,COUNTIF($B$11:B746,Transactions!$F$8:$F$3006),0))),"")</f>
        <v/>
      </c>
      <c r="C747" s="50" t="str">
        <f>IF(B747="","",SUMIF(Transactions!$F$8:$F$3006,B747,Transactions!$H$8:$H$3006))</f>
        <v/>
      </c>
      <c r="D747" s="51" t="str">
        <f>IF(B747="","",SUMIF(Transactions!$F$8:$F$3006,B747,Transactions!$N$8:$N$3006))</f>
        <v/>
      </c>
      <c r="E747" s="52" t="str">
        <f>IF(B747="","",SUMIF(Transactions!$F$8:$F$3006,B747,Transactions!$O$8:$O$3006))</f>
        <v/>
      </c>
      <c r="F747" s="53" t="str">
        <f>IF(B747="","",SUMIF(Transactions!$F$8:$F$3006,B747,Transactions!$R$8:$R$3006))</f>
        <v/>
      </c>
      <c r="G747" s="54" t="str">
        <f>IF(B747="","",(C747+F747)-(D747+E747+SUMIF(Transactions!$F$8:$F$3006,B747,Transactions!$Q$8:$Q$3006)))</f>
        <v/>
      </c>
      <c r="H747" s="55" t="str">
        <f>IF(B747="","",IF(G747&gt;0,"OUTSTANDING",IF(G747=0,"SETTLED",IF(SUMIF(Transactions!$F$8:$F$3006,B747,Transactions!$Q$8:$Q$3006)&gt;SUMIF(Transactions!$F$8:$F$3006,B747,Transactions!$R$8:$R$3006),"OWES","OVERPAID"))))</f>
        <v/>
      </c>
      <c r="I747" s="1"/>
    </row>
    <row r="748" spans="1:9" ht="18" customHeight="1" x14ac:dyDescent="0.25">
      <c r="A748" s="40">
        <v>733</v>
      </c>
      <c r="B748" s="41" t="str">
        <f t="array" ref="B748">IFERROR(IF(INDEX(Transactions!$F$8:$F$3006,MATCH(0,COUNTIF($B$11:B747,Transactions!$F$8:$F$3006),0))="","",INDEX(Transactions!$F$8:$F$3006,MATCH(0,COUNTIF($B$11:B747,Transactions!$F$8:$F$3006),0))),"")</f>
        <v/>
      </c>
      <c r="C748" s="42" t="str">
        <f>IF(B748="","",SUMIF(Transactions!$F$8:$F$3006,B748,Transactions!$H$8:$H$3006))</f>
        <v/>
      </c>
      <c r="D748" s="43" t="str">
        <f>IF(B748="","",SUMIF(Transactions!$F$8:$F$3006,B748,Transactions!$N$8:$N$3006))</f>
        <v/>
      </c>
      <c r="E748" s="44" t="str">
        <f>IF(B748="","",SUMIF(Transactions!$F$8:$F$3006,B748,Transactions!$O$8:$O$3006))</f>
        <v/>
      </c>
      <c r="F748" s="45" t="str">
        <f>IF(B748="","",SUMIF(Transactions!$F$8:$F$3006,B748,Transactions!$R$8:$R$3006))</f>
        <v/>
      </c>
      <c r="G748" s="46" t="str">
        <f>IF(B748="","",(C748+F748)-(D748+E748+SUMIF(Transactions!$F$8:$F$3006,B748,Transactions!$Q$8:$Q$3006)))</f>
        <v/>
      </c>
      <c r="H748" s="47" t="str">
        <f>IF(B748="","",IF(G748&gt;0,"OUTSTANDING",IF(G748=0,"SETTLED",IF(SUMIF(Transactions!$F$8:$F$3006,B748,Transactions!$Q$8:$Q$3006)&gt;SUMIF(Transactions!$F$8:$F$3006,B748,Transactions!$R$8:$R$3006),"OWES","OVERPAID"))))</f>
        <v/>
      </c>
      <c r="I748" s="1"/>
    </row>
    <row r="749" spans="1:9" ht="18" customHeight="1" x14ac:dyDescent="0.25">
      <c r="A749" s="48">
        <v>734</v>
      </c>
      <c r="B749" s="49" t="str">
        <f t="array" ref="B749">IFERROR(IF(INDEX(Transactions!$F$8:$F$3006,MATCH(0,COUNTIF($B$11:B748,Transactions!$F$8:$F$3006),0))="","",INDEX(Transactions!$F$8:$F$3006,MATCH(0,COUNTIF($B$11:B748,Transactions!$F$8:$F$3006),0))),"")</f>
        <v/>
      </c>
      <c r="C749" s="50" t="str">
        <f>IF(B749="","",SUMIF(Transactions!$F$8:$F$3006,B749,Transactions!$H$8:$H$3006))</f>
        <v/>
      </c>
      <c r="D749" s="51" t="str">
        <f>IF(B749="","",SUMIF(Transactions!$F$8:$F$3006,B749,Transactions!$N$8:$N$3006))</f>
        <v/>
      </c>
      <c r="E749" s="52" t="str">
        <f>IF(B749="","",SUMIF(Transactions!$F$8:$F$3006,B749,Transactions!$O$8:$O$3006))</f>
        <v/>
      </c>
      <c r="F749" s="53" t="str">
        <f>IF(B749="","",SUMIF(Transactions!$F$8:$F$3006,B749,Transactions!$R$8:$R$3006))</f>
        <v/>
      </c>
      <c r="G749" s="54" t="str">
        <f>IF(B749="","",(C749+F749)-(D749+E749+SUMIF(Transactions!$F$8:$F$3006,B749,Transactions!$Q$8:$Q$3006)))</f>
        <v/>
      </c>
      <c r="H749" s="55" t="str">
        <f>IF(B749="","",IF(G749&gt;0,"OUTSTANDING",IF(G749=0,"SETTLED",IF(SUMIF(Transactions!$F$8:$F$3006,B749,Transactions!$Q$8:$Q$3006)&gt;SUMIF(Transactions!$F$8:$F$3006,B749,Transactions!$R$8:$R$3006),"OWES","OVERPAID"))))</f>
        <v/>
      </c>
      <c r="I749" s="1"/>
    </row>
    <row r="750" spans="1:9" ht="18" customHeight="1" x14ac:dyDescent="0.25">
      <c r="A750" s="40">
        <v>735</v>
      </c>
      <c r="B750" s="41" t="str">
        <f t="array" ref="B750">IFERROR(IF(INDEX(Transactions!$F$8:$F$3006,MATCH(0,COUNTIF($B$11:B749,Transactions!$F$8:$F$3006),0))="","",INDEX(Transactions!$F$8:$F$3006,MATCH(0,COUNTIF($B$11:B749,Transactions!$F$8:$F$3006),0))),"")</f>
        <v/>
      </c>
      <c r="C750" s="42" t="str">
        <f>IF(B750="","",SUMIF(Transactions!$F$8:$F$3006,B750,Transactions!$H$8:$H$3006))</f>
        <v/>
      </c>
      <c r="D750" s="43" t="str">
        <f>IF(B750="","",SUMIF(Transactions!$F$8:$F$3006,B750,Transactions!$N$8:$N$3006))</f>
        <v/>
      </c>
      <c r="E750" s="44" t="str">
        <f>IF(B750="","",SUMIF(Transactions!$F$8:$F$3006,B750,Transactions!$O$8:$O$3006))</f>
        <v/>
      </c>
      <c r="F750" s="45" t="str">
        <f>IF(B750="","",SUMIF(Transactions!$F$8:$F$3006,B750,Transactions!$R$8:$R$3006))</f>
        <v/>
      </c>
      <c r="G750" s="46" t="str">
        <f>IF(B750="","",(C750+F750)-(D750+E750+SUMIF(Transactions!$F$8:$F$3006,B750,Transactions!$Q$8:$Q$3006)))</f>
        <v/>
      </c>
      <c r="H750" s="47" t="str">
        <f>IF(B750="","",IF(G750&gt;0,"OUTSTANDING",IF(G750=0,"SETTLED",IF(SUMIF(Transactions!$F$8:$F$3006,B750,Transactions!$Q$8:$Q$3006)&gt;SUMIF(Transactions!$F$8:$F$3006,B750,Transactions!$R$8:$R$3006),"OWES","OVERPAID"))))</f>
        <v/>
      </c>
      <c r="I750" s="1"/>
    </row>
    <row r="751" spans="1:9" ht="18" customHeight="1" x14ac:dyDescent="0.25">
      <c r="A751" s="48">
        <v>736</v>
      </c>
      <c r="B751" s="49" t="str">
        <f t="array" ref="B751">IFERROR(IF(INDEX(Transactions!$F$8:$F$3006,MATCH(0,COUNTIF($B$11:B750,Transactions!$F$8:$F$3006),0))="","",INDEX(Transactions!$F$8:$F$3006,MATCH(0,COUNTIF($B$11:B750,Transactions!$F$8:$F$3006),0))),"")</f>
        <v/>
      </c>
      <c r="C751" s="50" t="str">
        <f>IF(B751="","",SUMIF(Transactions!$F$8:$F$3006,B751,Transactions!$H$8:$H$3006))</f>
        <v/>
      </c>
      <c r="D751" s="51" t="str">
        <f>IF(B751="","",SUMIF(Transactions!$F$8:$F$3006,B751,Transactions!$N$8:$N$3006))</f>
        <v/>
      </c>
      <c r="E751" s="52" t="str">
        <f>IF(B751="","",SUMIF(Transactions!$F$8:$F$3006,B751,Transactions!$O$8:$O$3006))</f>
        <v/>
      </c>
      <c r="F751" s="53" t="str">
        <f>IF(B751="","",SUMIF(Transactions!$F$8:$F$3006,B751,Transactions!$R$8:$R$3006))</f>
        <v/>
      </c>
      <c r="G751" s="54" t="str">
        <f>IF(B751="","",(C751+F751)-(D751+E751+SUMIF(Transactions!$F$8:$F$3006,B751,Transactions!$Q$8:$Q$3006)))</f>
        <v/>
      </c>
      <c r="H751" s="55" t="str">
        <f>IF(B751="","",IF(G751&gt;0,"OUTSTANDING",IF(G751=0,"SETTLED",IF(SUMIF(Transactions!$F$8:$F$3006,B751,Transactions!$Q$8:$Q$3006)&gt;SUMIF(Transactions!$F$8:$F$3006,B751,Transactions!$R$8:$R$3006),"OWES","OVERPAID"))))</f>
        <v/>
      </c>
      <c r="I751" s="1"/>
    </row>
    <row r="752" spans="1:9" ht="18" customHeight="1" x14ac:dyDescent="0.25">
      <c r="A752" s="40">
        <v>737</v>
      </c>
      <c r="B752" s="41" t="str">
        <f t="array" ref="B752">IFERROR(IF(INDEX(Transactions!$F$8:$F$3006,MATCH(0,COUNTIF($B$11:B751,Transactions!$F$8:$F$3006),0))="","",INDEX(Transactions!$F$8:$F$3006,MATCH(0,COUNTIF($B$11:B751,Transactions!$F$8:$F$3006),0))),"")</f>
        <v/>
      </c>
      <c r="C752" s="42" t="str">
        <f>IF(B752="","",SUMIF(Transactions!$F$8:$F$3006,B752,Transactions!$H$8:$H$3006))</f>
        <v/>
      </c>
      <c r="D752" s="43" t="str">
        <f>IF(B752="","",SUMIF(Transactions!$F$8:$F$3006,B752,Transactions!$N$8:$N$3006))</f>
        <v/>
      </c>
      <c r="E752" s="44" t="str">
        <f>IF(B752="","",SUMIF(Transactions!$F$8:$F$3006,B752,Transactions!$O$8:$O$3006))</f>
        <v/>
      </c>
      <c r="F752" s="45" t="str">
        <f>IF(B752="","",SUMIF(Transactions!$F$8:$F$3006,B752,Transactions!$R$8:$R$3006))</f>
        <v/>
      </c>
      <c r="G752" s="46" t="str">
        <f>IF(B752="","",(C752+F752)-(D752+E752+SUMIF(Transactions!$F$8:$F$3006,B752,Transactions!$Q$8:$Q$3006)))</f>
        <v/>
      </c>
      <c r="H752" s="47" t="str">
        <f>IF(B752="","",IF(G752&gt;0,"OUTSTANDING",IF(G752=0,"SETTLED",IF(SUMIF(Transactions!$F$8:$F$3006,B752,Transactions!$Q$8:$Q$3006)&gt;SUMIF(Transactions!$F$8:$F$3006,B752,Transactions!$R$8:$R$3006),"OWES","OVERPAID"))))</f>
        <v/>
      </c>
      <c r="I752" s="1"/>
    </row>
    <row r="753" spans="1:9" ht="18" customHeight="1" x14ac:dyDescent="0.25">
      <c r="A753" s="48">
        <v>738</v>
      </c>
      <c r="B753" s="49" t="str">
        <f t="array" ref="B753">IFERROR(IF(INDEX(Transactions!$F$8:$F$3006,MATCH(0,COUNTIF($B$11:B752,Transactions!$F$8:$F$3006),0))="","",INDEX(Transactions!$F$8:$F$3006,MATCH(0,COUNTIF($B$11:B752,Transactions!$F$8:$F$3006),0))),"")</f>
        <v/>
      </c>
      <c r="C753" s="50" t="str">
        <f>IF(B753="","",SUMIF(Transactions!$F$8:$F$3006,B753,Transactions!$H$8:$H$3006))</f>
        <v/>
      </c>
      <c r="D753" s="51" t="str">
        <f>IF(B753="","",SUMIF(Transactions!$F$8:$F$3006,B753,Transactions!$N$8:$N$3006))</f>
        <v/>
      </c>
      <c r="E753" s="52" t="str">
        <f>IF(B753="","",SUMIF(Transactions!$F$8:$F$3006,B753,Transactions!$O$8:$O$3006))</f>
        <v/>
      </c>
      <c r="F753" s="53" t="str">
        <f>IF(B753="","",SUMIF(Transactions!$F$8:$F$3006,B753,Transactions!$R$8:$R$3006))</f>
        <v/>
      </c>
      <c r="G753" s="54" t="str">
        <f>IF(B753="","",(C753+F753)-(D753+E753+SUMIF(Transactions!$F$8:$F$3006,B753,Transactions!$Q$8:$Q$3006)))</f>
        <v/>
      </c>
      <c r="H753" s="55" t="str">
        <f>IF(B753="","",IF(G753&gt;0,"OUTSTANDING",IF(G753=0,"SETTLED",IF(SUMIF(Transactions!$F$8:$F$3006,B753,Transactions!$Q$8:$Q$3006)&gt;SUMIF(Transactions!$F$8:$F$3006,B753,Transactions!$R$8:$R$3006),"OWES","OVERPAID"))))</f>
        <v/>
      </c>
      <c r="I753" s="1"/>
    </row>
    <row r="754" spans="1:9" ht="18" customHeight="1" x14ac:dyDescent="0.25">
      <c r="A754" s="40">
        <v>739</v>
      </c>
      <c r="B754" s="41" t="str">
        <f t="array" ref="B754">IFERROR(IF(INDEX(Transactions!$F$8:$F$3006,MATCH(0,COUNTIF($B$11:B753,Transactions!$F$8:$F$3006),0))="","",INDEX(Transactions!$F$8:$F$3006,MATCH(0,COUNTIF($B$11:B753,Transactions!$F$8:$F$3006),0))),"")</f>
        <v/>
      </c>
      <c r="C754" s="42" t="str">
        <f>IF(B754="","",SUMIF(Transactions!$F$8:$F$3006,B754,Transactions!$H$8:$H$3006))</f>
        <v/>
      </c>
      <c r="D754" s="43" t="str">
        <f>IF(B754="","",SUMIF(Transactions!$F$8:$F$3006,B754,Transactions!$N$8:$N$3006))</f>
        <v/>
      </c>
      <c r="E754" s="44" t="str">
        <f>IF(B754="","",SUMIF(Transactions!$F$8:$F$3006,B754,Transactions!$O$8:$O$3006))</f>
        <v/>
      </c>
      <c r="F754" s="45" t="str">
        <f>IF(B754="","",SUMIF(Transactions!$F$8:$F$3006,B754,Transactions!$R$8:$R$3006))</f>
        <v/>
      </c>
      <c r="G754" s="46" t="str">
        <f>IF(B754="","",(C754+F754)-(D754+E754+SUMIF(Transactions!$F$8:$F$3006,B754,Transactions!$Q$8:$Q$3006)))</f>
        <v/>
      </c>
      <c r="H754" s="47" t="str">
        <f>IF(B754="","",IF(G754&gt;0,"OUTSTANDING",IF(G754=0,"SETTLED",IF(SUMIF(Transactions!$F$8:$F$3006,B754,Transactions!$Q$8:$Q$3006)&gt;SUMIF(Transactions!$F$8:$F$3006,B754,Transactions!$R$8:$R$3006),"OWES","OVERPAID"))))</f>
        <v/>
      </c>
      <c r="I754" s="1"/>
    </row>
    <row r="755" spans="1:9" ht="18" customHeight="1" x14ac:dyDescent="0.25">
      <c r="A755" s="48">
        <v>740</v>
      </c>
      <c r="B755" s="49" t="str">
        <f t="array" ref="B755">IFERROR(IF(INDEX(Transactions!$F$8:$F$3006,MATCH(0,COUNTIF($B$11:B754,Transactions!$F$8:$F$3006),0))="","",INDEX(Transactions!$F$8:$F$3006,MATCH(0,COUNTIF($B$11:B754,Transactions!$F$8:$F$3006),0))),"")</f>
        <v/>
      </c>
      <c r="C755" s="50" t="str">
        <f>IF(B755="","",SUMIF(Transactions!$F$8:$F$3006,B755,Transactions!$H$8:$H$3006))</f>
        <v/>
      </c>
      <c r="D755" s="51" t="str">
        <f>IF(B755="","",SUMIF(Transactions!$F$8:$F$3006,B755,Transactions!$N$8:$N$3006))</f>
        <v/>
      </c>
      <c r="E755" s="52" t="str">
        <f>IF(B755="","",SUMIF(Transactions!$F$8:$F$3006,B755,Transactions!$O$8:$O$3006))</f>
        <v/>
      </c>
      <c r="F755" s="53" t="str">
        <f>IF(B755="","",SUMIF(Transactions!$F$8:$F$3006,B755,Transactions!$R$8:$R$3006))</f>
        <v/>
      </c>
      <c r="G755" s="54" t="str">
        <f>IF(B755="","",(C755+F755)-(D755+E755+SUMIF(Transactions!$F$8:$F$3006,B755,Transactions!$Q$8:$Q$3006)))</f>
        <v/>
      </c>
      <c r="H755" s="55" t="str">
        <f>IF(B755="","",IF(G755&gt;0,"OUTSTANDING",IF(G755=0,"SETTLED",IF(SUMIF(Transactions!$F$8:$F$3006,B755,Transactions!$Q$8:$Q$3006)&gt;SUMIF(Transactions!$F$8:$F$3006,B755,Transactions!$R$8:$R$3006),"OWES","OVERPAID"))))</f>
        <v/>
      </c>
      <c r="I755" s="1"/>
    </row>
    <row r="756" spans="1:9" ht="18" customHeight="1" x14ac:dyDescent="0.25">
      <c r="A756" s="40">
        <v>741</v>
      </c>
      <c r="B756" s="41" t="str">
        <f t="array" ref="B756">IFERROR(IF(INDEX(Transactions!$F$8:$F$3006,MATCH(0,COUNTIF($B$11:B755,Transactions!$F$8:$F$3006),0))="","",INDEX(Transactions!$F$8:$F$3006,MATCH(0,COUNTIF($B$11:B755,Transactions!$F$8:$F$3006),0))),"")</f>
        <v/>
      </c>
      <c r="C756" s="42" t="str">
        <f>IF(B756="","",SUMIF(Transactions!$F$8:$F$3006,B756,Transactions!$H$8:$H$3006))</f>
        <v/>
      </c>
      <c r="D756" s="43" t="str">
        <f>IF(B756="","",SUMIF(Transactions!$F$8:$F$3006,B756,Transactions!$N$8:$N$3006))</f>
        <v/>
      </c>
      <c r="E756" s="44" t="str">
        <f>IF(B756="","",SUMIF(Transactions!$F$8:$F$3006,B756,Transactions!$O$8:$O$3006))</f>
        <v/>
      </c>
      <c r="F756" s="45" t="str">
        <f>IF(B756="","",SUMIF(Transactions!$F$8:$F$3006,B756,Transactions!$R$8:$R$3006))</f>
        <v/>
      </c>
      <c r="G756" s="46" t="str">
        <f>IF(B756="","",(C756+F756)-(D756+E756+SUMIF(Transactions!$F$8:$F$3006,B756,Transactions!$Q$8:$Q$3006)))</f>
        <v/>
      </c>
      <c r="H756" s="47" t="str">
        <f>IF(B756="","",IF(G756&gt;0,"OUTSTANDING",IF(G756=0,"SETTLED",IF(SUMIF(Transactions!$F$8:$F$3006,B756,Transactions!$Q$8:$Q$3006)&gt;SUMIF(Transactions!$F$8:$F$3006,B756,Transactions!$R$8:$R$3006),"OWES","OVERPAID"))))</f>
        <v/>
      </c>
      <c r="I756" s="1"/>
    </row>
    <row r="757" spans="1:9" ht="18" customHeight="1" x14ac:dyDescent="0.25">
      <c r="A757" s="48">
        <v>742</v>
      </c>
      <c r="B757" s="49" t="str">
        <f t="array" ref="B757">IFERROR(IF(INDEX(Transactions!$F$8:$F$3006,MATCH(0,COUNTIF($B$11:B756,Transactions!$F$8:$F$3006),0))="","",INDEX(Transactions!$F$8:$F$3006,MATCH(0,COUNTIF($B$11:B756,Transactions!$F$8:$F$3006),0))),"")</f>
        <v/>
      </c>
      <c r="C757" s="50" t="str">
        <f>IF(B757="","",SUMIF(Transactions!$F$8:$F$3006,B757,Transactions!$H$8:$H$3006))</f>
        <v/>
      </c>
      <c r="D757" s="51" t="str">
        <f>IF(B757="","",SUMIF(Transactions!$F$8:$F$3006,B757,Transactions!$N$8:$N$3006))</f>
        <v/>
      </c>
      <c r="E757" s="52" t="str">
        <f>IF(B757="","",SUMIF(Transactions!$F$8:$F$3006,B757,Transactions!$O$8:$O$3006))</f>
        <v/>
      </c>
      <c r="F757" s="53" t="str">
        <f>IF(B757="","",SUMIF(Transactions!$F$8:$F$3006,B757,Transactions!$R$8:$R$3006))</f>
        <v/>
      </c>
      <c r="G757" s="54" t="str">
        <f>IF(B757="","",(C757+F757)-(D757+E757+SUMIF(Transactions!$F$8:$F$3006,B757,Transactions!$Q$8:$Q$3006)))</f>
        <v/>
      </c>
      <c r="H757" s="55" t="str">
        <f>IF(B757="","",IF(G757&gt;0,"OUTSTANDING",IF(G757=0,"SETTLED",IF(SUMIF(Transactions!$F$8:$F$3006,B757,Transactions!$Q$8:$Q$3006)&gt;SUMIF(Transactions!$F$8:$F$3006,B757,Transactions!$R$8:$R$3006),"OWES","OVERPAID"))))</f>
        <v/>
      </c>
      <c r="I757" s="1"/>
    </row>
    <row r="758" spans="1:9" ht="18" customHeight="1" x14ac:dyDescent="0.25">
      <c r="A758" s="40">
        <v>743</v>
      </c>
      <c r="B758" s="41" t="str">
        <f t="array" ref="B758">IFERROR(IF(INDEX(Transactions!$F$8:$F$3006,MATCH(0,COUNTIF($B$11:B757,Transactions!$F$8:$F$3006),0))="","",INDEX(Transactions!$F$8:$F$3006,MATCH(0,COUNTIF($B$11:B757,Transactions!$F$8:$F$3006),0))),"")</f>
        <v/>
      </c>
      <c r="C758" s="42" t="str">
        <f>IF(B758="","",SUMIF(Transactions!$F$8:$F$3006,B758,Transactions!$H$8:$H$3006))</f>
        <v/>
      </c>
      <c r="D758" s="43" t="str">
        <f>IF(B758="","",SUMIF(Transactions!$F$8:$F$3006,B758,Transactions!$N$8:$N$3006))</f>
        <v/>
      </c>
      <c r="E758" s="44" t="str">
        <f>IF(B758="","",SUMIF(Transactions!$F$8:$F$3006,B758,Transactions!$O$8:$O$3006))</f>
        <v/>
      </c>
      <c r="F758" s="45" t="str">
        <f>IF(B758="","",SUMIF(Transactions!$F$8:$F$3006,B758,Transactions!$R$8:$R$3006))</f>
        <v/>
      </c>
      <c r="G758" s="46" t="str">
        <f>IF(B758="","",(C758+F758)-(D758+E758+SUMIF(Transactions!$F$8:$F$3006,B758,Transactions!$Q$8:$Q$3006)))</f>
        <v/>
      </c>
      <c r="H758" s="47" t="str">
        <f>IF(B758="","",IF(G758&gt;0,"OUTSTANDING",IF(G758=0,"SETTLED",IF(SUMIF(Transactions!$F$8:$F$3006,B758,Transactions!$Q$8:$Q$3006)&gt;SUMIF(Transactions!$F$8:$F$3006,B758,Transactions!$R$8:$R$3006),"OWES","OVERPAID"))))</f>
        <v/>
      </c>
      <c r="I758" s="1"/>
    </row>
    <row r="759" spans="1:9" ht="18" customHeight="1" x14ac:dyDescent="0.25">
      <c r="A759" s="48">
        <v>744</v>
      </c>
      <c r="B759" s="49" t="str">
        <f t="array" ref="B759">IFERROR(IF(INDEX(Transactions!$F$8:$F$3006,MATCH(0,COUNTIF($B$11:B758,Transactions!$F$8:$F$3006),0))="","",INDEX(Transactions!$F$8:$F$3006,MATCH(0,COUNTIF($B$11:B758,Transactions!$F$8:$F$3006),0))),"")</f>
        <v/>
      </c>
      <c r="C759" s="50" t="str">
        <f>IF(B759="","",SUMIF(Transactions!$F$8:$F$3006,B759,Transactions!$H$8:$H$3006))</f>
        <v/>
      </c>
      <c r="D759" s="51" t="str">
        <f>IF(B759="","",SUMIF(Transactions!$F$8:$F$3006,B759,Transactions!$N$8:$N$3006))</f>
        <v/>
      </c>
      <c r="E759" s="52" t="str">
        <f>IF(B759="","",SUMIF(Transactions!$F$8:$F$3006,B759,Transactions!$O$8:$O$3006))</f>
        <v/>
      </c>
      <c r="F759" s="53" t="str">
        <f>IF(B759="","",SUMIF(Transactions!$F$8:$F$3006,B759,Transactions!$R$8:$R$3006))</f>
        <v/>
      </c>
      <c r="G759" s="54" t="str">
        <f>IF(B759="","",(C759+F759)-(D759+E759+SUMIF(Transactions!$F$8:$F$3006,B759,Transactions!$Q$8:$Q$3006)))</f>
        <v/>
      </c>
      <c r="H759" s="55" t="str">
        <f>IF(B759="","",IF(G759&gt;0,"OUTSTANDING",IF(G759=0,"SETTLED",IF(SUMIF(Transactions!$F$8:$F$3006,B759,Transactions!$Q$8:$Q$3006)&gt;SUMIF(Transactions!$F$8:$F$3006,B759,Transactions!$R$8:$R$3006),"OWES","OVERPAID"))))</f>
        <v/>
      </c>
      <c r="I759" s="1"/>
    </row>
    <row r="760" spans="1:9" ht="18" customHeight="1" x14ac:dyDescent="0.25">
      <c r="A760" s="40">
        <v>745</v>
      </c>
      <c r="B760" s="41" t="str">
        <f t="array" ref="B760">IFERROR(IF(INDEX(Transactions!$F$8:$F$3006,MATCH(0,COUNTIF($B$11:B759,Transactions!$F$8:$F$3006),0))="","",INDEX(Transactions!$F$8:$F$3006,MATCH(0,COUNTIF($B$11:B759,Transactions!$F$8:$F$3006),0))),"")</f>
        <v/>
      </c>
      <c r="C760" s="42" t="str">
        <f>IF(B760="","",SUMIF(Transactions!$F$8:$F$3006,B760,Transactions!$H$8:$H$3006))</f>
        <v/>
      </c>
      <c r="D760" s="43" t="str">
        <f>IF(B760="","",SUMIF(Transactions!$F$8:$F$3006,B760,Transactions!$N$8:$N$3006))</f>
        <v/>
      </c>
      <c r="E760" s="44" t="str">
        <f>IF(B760="","",SUMIF(Transactions!$F$8:$F$3006,B760,Transactions!$O$8:$O$3006))</f>
        <v/>
      </c>
      <c r="F760" s="45" t="str">
        <f>IF(B760="","",SUMIF(Transactions!$F$8:$F$3006,B760,Transactions!$R$8:$R$3006))</f>
        <v/>
      </c>
      <c r="G760" s="46" t="str">
        <f>IF(B760="","",(C760+F760)-(D760+E760+SUMIF(Transactions!$F$8:$F$3006,B760,Transactions!$Q$8:$Q$3006)))</f>
        <v/>
      </c>
      <c r="H760" s="47" t="str">
        <f>IF(B760="","",IF(G760&gt;0,"OUTSTANDING",IF(G760=0,"SETTLED",IF(SUMIF(Transactions!$F$8:$F$3006,B760,Transactions!$Q$8:$Q$3006)&gt;SUMIF(Transactions!$F$8:$F$3006,B760,Transactions!$R$8:$R$3006),"OWES","OVERPAID"))))</f>
        <v/>
      </c>
      <c r="I760" s="1"/>
    </row>
    <row r="761" spans="1:9" ht="18" customHeight="1" x14ac:dyDescent="0.25">
      <c r="A761" s="48">
        <v>746</v>
      </c>
      <c r="B761" s="49" t="str">
        <f t="array" ref="B761">IFERROR(IF(INDEX(Transactions!$F$8:$F$3006,MATCH(0,COUNTIF($B$11:B760,Transactions!$F$8:$F$3006),0))="","",INDEX(Transactions!$F$8:$F$3006,MATCH(0,COUNTIF($B$11:B760,Transactions!$F$8:$F$3006),0))),"")</f>
        <v/>
      </c>
      <c r="C761" s="50" t="str">
        <f>IF(B761="","",SUMIF(Transactions!$F$8:$F$3006,B761,Transactions!$H$8:$H$3006))</f>
        <v/>
      </c>
      <c r="D761" s="51" t="str">
        <f>IF(B761="","",SUMIF(Transactions!$F$8:$F$3006,B761,Transactions!$N$8:$N$3006))</f>
        <v/>
      </c>
      <c r="E761" s="52" t="str">
        <f>IF(B761="","",SUMIF(Transactions!$F$8:$F$3006,B761,Transactions!$O$8:$O$3006))</f>
        <v/>
      </c>
      <c r="F761" s="53" t="str">
        <f>IF(B761="","",SUMIF(Transactions!$F$8:$F$3006,B761,Transactions!$R$8:$R$3006))</f>
        <v/>
      </c>
      <c r="G761" s="54" t="str">
        <f>IF(B761="","",(C761+F761)-(D761+E761+SUMIF(Transactions!$F$8:$F$3006,B761,Transactions!$Q$8:$Q$3006)))</f>
        <v/>
      </c>
      <c r="H761" s="55" t="str">
        <f>IF(B761="","",IF(G761&gt;0,"OUTSTANDING",IF(G761=0,"SETTLED",IF(SUMIF(Transactions!$F$8:$F$3006,B761,Transactions!$Q$8:$Q$3006)&gt;SUMIF(Transactions!$F$8:$F$3006,B761,Transactions!$R$8:$R$3006),"OWES","OVERPAID"))))</f>
        <v/>
      </c>
      <c r="I761" s="1"/>
    </row>
    <row r="762" spans="1:9" ht="18" customHeight="1" x14ac:dyDescent="0.25">
      <c r="A762" s="40">
        <v>747</v>
      </c>
      <c r="B762" s="41" t="str">
        <f t="array" ref="B762">IFERROR(IF(INDEX(Transactions!$F$8:$F$3006,MATCH(0,COUNTIF($B$11:B761,Transactions!$F$8:$F$3006),0))="","",INDEX(Transactions!$F$8:$F$3006,MATCH(0,COUNTIF($B$11:B761,Transactions!$F$8:$F$3006),0))),"")</f>
        <v/>
      </c>
      <c r="C762" s="42" t="str">
        <f>IF(B762="","",SUMIF(Transactions!$F$8:$F$3006,B762,Transactions!$H$8:$H$3006))</f>
        <v/>
      </c>
      <c r="D762" s="43" t="str">
        <f>IF(B762="","",SUMIF(Transactions!$F$8:$F$3006,B762,Transactions!$N$8:$N$3006))</f>
        <v/>
      </c>
      <c r="E762" s="44" t="str">
        <f>IF(B762="","",SUMIF(Transactions!$F$8:$F$3006,B762,Transactions!$O$8:$O$3006))</f>
        <v/>
      </c>
      <c r="F762" s="45" t="str">
        <f>IF(B762="","",SUMIF(Transactions!$F$8:$F$3006,B762,Transactions!$R$8:$R$3006))</f>
        <v/>
      </c>
      <c r="G762" s="46" t="str">
        <f>IF(B762="","",(C762+F762)-(D762+E762+SUMIF(Transactions!$F$8:$F$3006,B762,Transactions!$Q$8:$Q$3006)))</f>
        <v/>
      </c>
      <c r="H762" s="47" t="str">
        <f>IF(B762="","",IF(G762&gt;0,"OUTSTANDING",IF(G762=0,"SETTLED",IF(SUMIF(Transactions!$F$8:$F$3006,B762,Transactions!$Q$8:$Q$3006)&gt;SUMIF(Transactions!$F$8:$F$3006,B762,Transactions!$R$8:$R$3006),"OWES","OVERPAID"))))</f>
        <v/>
      </c>
      <c r="I762" s="1"/>
    </row>
    <row r="763" spans="1:9" ht="18" customHeight="1" x14ac:dyDescent="0.25">
      <c r="A763" s="48">
        <v>748</v>
      </c>
      <c r="B763" s="49" t="str">
        <f t="array" ref="B763">IFERROR(IF(INDEX(Transactions!$F$8:$F$3006,MATCH(0,COUNTIF($B$11:B762,Transactions!$F$8:$F$3006),0))="","",INDEX(Transactions!$F$8:$F$3006,MATCH(0,COUNTIF($B$11:B762,Transactions!$F$8:$F$3006),0))),"")</f>
        <v/>
      </c>
      <c r="C763" s="50" t="str">
        <f>IF(B763="","",SUMIF(Transactions!$F$8:$F$3006,B763,Transactions!$H$8:$H$3006))</f>
        <v/>
      </c>
      <c r="D763" s="51" t="str">
        <f>IF(B763="","",SUMIF(Transactions!$F$8:$F$3006,B763,Transactions!$N$8:$N$3006))</f>
        <v/>
      </c>
      <c r="E763" s="52" t="str">
        <f>IF(B763="","",SUMIF(Transactions!$F$8:$F$3006,B763,Transactions!$O$8:$O$3006))</f>
        <v/>
      </c>
      <c r="F763" s="53" t="str">
        <f>IF(B763="","",SUMIF(Transactions!$F$8:$F$3006,B763,Transactions!$R$8:$R$3006))</f>
        <v/>
      </c>
      <c r="G763" s="54" t="str">
        <f>IF(B763="","",(C763+F763)-(D763+E763+SUMIF(Transactions!$F$8:$F$3006,B763,Transactions!$Q$8:$Q$3006)))</f>
        <v/>
      </c>
      <c r="H763" s="55" t="str">
        <f>IF(B763="","",IF(G763&gt;0,"OUTSTANDING",IF(G763=0,"SETTLED",IF(SUMIF(Transactions!$F$8:$F$3006,B763,Transactions!$Q$8:$Q$3006)&gt;SUMIF(Transactions!$F$8:$F$3006,B763,Transactions!$R$8:$R$3006),"OWES","OVERPAID"))))</f>
        <v/>
      </c>
      <c r="I763" s="1"/>
    </row>
    <row r="764" spans="1:9" ht="18" customHeight="1" x14ac:dyDescent="0.25">
      <c r="A764" s="40">
        <v>749</v>
      </c>
      <c r="B764" s="41" t="str">
        <f t="array" ref="B764">IFERROR(IF(INDEX(Transactions!$F$8:$F$3006,MATCH(0,COUNTIF($B$11:B763,Transactions!$F$8:$F$3006),0))="","",INDEX(Transactions!$F$8:$F$3006,MATCH(0,COUNTIF($B$11:B763,Transactions!$F$8:$F$3006),0))),"")</f>
        <v/>
      </c>
      <c r="C764" s="42" t="str">
        <f>IF(B764="","",SUMIF(Transactions!$F$8:$F$3006,B764,Transactions!$H$8:$H$3006))</f>
        <v/>
      </c>
      <c r="D764" s="43" t="str">
        <f>IF(B764="","",SUMIF(Transactions!$F$8:$F$3006,B764,Transactions!$N$8:$N$3006))</f>
        <v/>
      </c>
      <c r="E764" s="44" t="str">
        <f>IF(B764="","",SUMIF(Transactions!$F$8:$F$3006,B764,Transactions!$O$8:$O$3006))</f>
        <v/>
      </c>
      <c r="F764" s="45" t="str">
        <f>IF(B764="","",SUMIF(Transactions!$F$8:$F$3006,B764,Transactions!$R$8:$R$3006))</f>
        <v/>
      </c>
      <c r="G764" s="46" t="str">
        <f>IF(B764="","",(C764+F764)-(D764+E764+SUMIF(Transactions!$F$8:$F$3006,B764,Transactions!$Q$8:$Q$3006)))</f>
        <v/>
      </c>
      <c r="H764" s="47" t="str">
        <f>IF(B764="","",IF(G764&gt;0,"OUTSTANDING",IF(G764=0,"SETTLED",IF(SUMIF(Transactions!$F$8:$F$3006,B764,Transactions!$Q$8:$Q$3006)&gt;SUMIF(Transactions!$F$8:$F$3006,B764,Transactions!$R$8:$R$3006),"OWES","OVERPAID"))))</f>
        <v/>
      </c>
      <c r="I764" s="1"/>
    </row>
    <row r="765" spans="1:9" ht="18" customHeight="1" x14ac:dyDescent="0.25">
      <c r="A765" s="48">
        <v>750</v>
      </c>
      <c r="B765" s="49" t="str">
        <f t="array" ref="B765">IFERROR(IF(INDEX(Transactions!$F$8:$F$3006,MATCH(0,COUNTIF($B$11:B764,Transactions!$F$8:$F$3006),0))="","",INDEX(Transactions!$F$8:$F$3006,MATCH(0,COUNTIF($B$11:B764,Transactions!$F$8:$F$3006),0))),"")</f>
        <v/>
      </c>
      <c r="C765" s="50" t="str">
        <f>IF(B765="","",SUMIF(Transactions!$F$8:$F$3006,B765,Transactions!$H$8:$H$3006))</f>
        <v/>
      </c>
      <c r="D765" s="51" t="str">
        <f>IF(B765="","",SUMIF(Transactions!$F$8:$F$3006,B765,Transactions!$N$8:$N$3006))</f>
        <v/>
      </c>
      <c r="E765" s="52" t="str">
        <f>IF(B765="","",SUMIF(Transactions!$F$8:$F$3006,B765,Transactions!$O$8:$O$3006))</f>
        <v/>
      </c>
      <c r="F765" s="53" t="str">
        <f>IF(B765="","",SUMIF(Transactions!$F$8:$F$3006,B765,Transactions!$R$8:$R$3006))</f>
        <v/>
      </c>
      <c r="G765" s="54" t="str">
        <f>IF(B765="","",(C765+F765)-(D765+E765+SUMIF(Transactions!$F$8:$F$3006,B765,Transactions!$Q$8:$Q$3006)))</f>
        <v/>
      </c>
      <c r="H765" s="55" t="str">
        <f>IF(B765="","",IF(G765&gt;0,"OUTSTANDING",IF(G765=0,"SETTLED",IF(SUMIF(Transactions!$F$8:$F$3006,B765,Transactions!$Q$8:$Q$3006)&gt;SUMIF(Transactions!$F$8:$F$3006,B765,Transactions!$R$8:$R$3006),"OWES","OVERPAID"))))</f>
        <v/>
      </c>
      <c r="I765" s="1"/>
    </row>
    <row r="766" spans="1:9" ht="18" customHeight="1" x14ac:dyDescent="0.25">
      <c r="A766" s="40">
        <v>751</v>
      </c>
      <c r="B766" s="41" t="str">
        <f t="array" ref="B766">IFERROR(IF(INDEX(Transactions!$F$8:$F$3006,MATCH(0,COUNTIF($B$11:B765,Transactions!$F$8:$F$3006),0))="","",INDEX(Transactions!$F$8:$F$3006,MATCH(0,COUNTIF($B$11:B765,Transactions!$F$8:$F$3006),0))),"")</f>
        <v/>
      </c>
      <c r="C766" s="42" t="str">
        <f>IF(B766="","",SUMIF(Transactions!$F$8:$F$3006,B766,Transactions!$H$8:$H$3006))</f>
        <v/>
      </c>
      <c r="D766" s="43" t="str">
        <f>IF(B766="","",SUMIF(Transactions!$F$8:$F$3006,B766,Transactions!$N$8:$N$3006))</f>
        <v/>
      </c>
      <c r="E766" s="44" t="str">
        <f>IF(B766="","",SUMIF(Transactions!$F$8:$F$3006,B766,Transactions!$O$8:$O$3006))</f>
        <v/>
      </c>
      <c r="F766" s="45" t="str">
        <f>IF(B766="","",SUMIF(Transactions!$F$8:$F$3006,B766,Transactions!$R$8:$R$3006))</f>
        <v/>
      </c>
      <c r="G766" s="46" t="str">
        <f>IF(B766="","",(C766+F766)-(D766+E766+SUMIF(Transactions!$F$8:$F$3006,B766,Transactions!$Q$8:$Q$3006)))</f>
        <v/>
      </c>
      <c r="H766" s="47" t="str">
        <f>IF(B766="","",IF(G766&gt;0,"OUTSTANDING",IF(G766=0,"SETTLED",IF(SUMIF(Transactions!$F$8:$F$3006,B766,Transactions!$Q$8:$Q$3006)&gt;SUMIF(Transactions!$F$8:$F$3006,B766,Transactions!$R$8:$R$3006),"OWES","OVERPAID"))))</f>
        <v/>
      </c>
      <c r="I766" s="1"/>
    </row>
    <row r="767" spans="1:9" ht="18" customHeight="1" x14ac:dyDescent="0.25">
      <c r="A767" s="48">
        <v>752</v>
      </c>
      <c r="B767" s="49" t="str">
        <f t="array" ref="B767">IFERROR(IF(INDEX(Transactions!$F$8:$F$3006,MATCH(0,COUNTIF($B$11:B766,Transactions!$F$8:$F$3006),0))="","",INDEX(Transactions!$F$8:$F$3006,MATCH(0,COUNTIF($B$11:B766,Transactions!$F$8:$F$3006),0))),"")</f>
        <v/>
      </c>
      <c r="C767" s="50" t="str">
        <f>IF(B767="","",SUMIF(Transactions!$F$8:$F$3006,B767,Transactions!$H$8:$H$3006))</f>
        <v/>
      </c>
      <c r="D767" s="51" t="str">
        <f>IF(B767="","",SUMIF(Transactions!$F$8:$F$3006,B767,Transactions!$N$8:$N$3006))</f>
        <v/>
      </c>
      <c r="E767" s="52" t="str">
        <f>IF(B767="","",SUMIF(Transactions!$F$8:$F$3006,B767,Transactions!$O$8:$O$3006))</f>
        <v/>
      </c>
      <c r="F767" s="53" t="str">
        <f>IF(B767="","",SUMIF(Transactions!$F$8:$F$3006,B767,Transactions!$R$8:$R$3006))</f>
        <v/>
      </c>
      <c r="G767" s="54" t="str">
        <f>IF(B767="","",(C767+F767)-(D767+E767+SUMIF(Transactions!$F$8:$F$3006,B767,Transactions!$Q$8:$Q$3006)))</f>
        <v/>
      </c>
      <c r="H767" s="55" t="str">
        <f>IF(B767="","",IF(G767&gt;0,"OUTSTANDING",IF(G767=0,"SETTLED",IF(SUMIF(Transactions!$F$8:$F$3006,B767,Transactions!$Q$8:$Q$3006)&gt;SUMIF(Transactions!$F$8:$F$3006,B767,Transactions!$R$8:$R$3006),"OWES","OVERPAID"))))</f>
        <v/>
      </c>
      <c r="I767" s="1"/>
    </row>
    <row r="768" spans="1:9" ht="18" customHeight="1" x14ac:dyDescent="0.25">
      <c r="A768" s="40">
        <v>753</v>
      </c>
      <c r="B768" s="41" t="str">
        <f t="array" ref="B768">IFERROR(IF(INDEX(Transactions!$F$8:$F$3006,MATCH(0,COUNTIF($B$11:B767,Transactions!$F$8:$F$3006),0))="","",INDEX(Transactions!$F$8:$F$3006,MATCH(0,COUNTIF($B$11:B767,Transactions!$F$8:$F$3006),0))),"")</f>
        <v/>
      </c>
      <c r="C768" s="42" t="str">
        <f>IF(B768="","",SUMIF(Transactions!$F$8:$F$3006,B768,Transactions!$H$8:$H$3006))</f>
        <v/>
      </c>
      <c r="D768" s="43" t="str">
        <f>IF(B768="","",SUMIF(Transactions!$F$8:$F$3006,B768,Transactions!$N$8:$N$3006))</f>
        <v/>
      </c>
      <c r="E768" s="44" t="str">
        <f>IF(B768="","",SUMIF(Transactions!$F$8:$F$3006,B768,Transactions!$O$8:$O$3006))</f>
        <v/>
      </c>
      <c r="F768" s="45" t="str">
        <f>IF(B768="","",SUMIF(Transactions!$F$8:$F$3006,B768,Transactions!$R$8:$R$3006))</f>
        <v/>
      </c>
      <c r="G768" s="46" t="str">
        <f>IF(B768="","",(C768+F768)-(D768+E768+SUMIF(Transactions!$F$8:$F$3006,B768,Transactions!$Q$8:$Q$3006)))</f>
        <v/>
      </c>
      <c r="H768" s="47" t="str">
        <f>IF(B768="","",IF(G768&gt;0,"OUTSTANDING",IF(G768=0,"SETTLED",IF(SUMIF(Transactions!$F$8:$F$3006,B768,Transactions!$Q$8:$Q$3006)&gt;SUMIF(Transactions!$F$8:$F$3006,B768,Transactions!$R$8:$R$3006),"OWES","OVERPAID"))))</f>
        <v/>
      </c>
      <c r="I768" s="1"/>
    </row>
    <row r="769" spans="1:9" ht="18" customHeight="1" x14ac:dyDescent="0.25">
      <c r="A769" s="48">
        <v>754</v>
      </c>
      <c r="B769" s="49" t="str">
        <f t="array" ref="B769">IFERROR(IF(INDEX(Transactions!$F$8:$F$3006,MATCH(0,COUNTIF($B$11:B768,Transactions!$F$8:$F$3006),0))="","",INDEX(Transactions!$F$8:$F$3006,MATCH(0,COUNTIF($B$11:B768,Transactions!$F$8:$F$3006),0))),"")</f>
        <v/>
      </c>
      <c r="C769" s="50" t="str">
        <f>IF(B769="","",SUMIF(Transactions!$F$8:$F$3006,B769,Transactions!$H$8:$H$3006))</f>
        <v/>
      </c>
      <c r="D769" s="51" t="str">
        <f>IF(B769="","",SUMIF(Transactions!$F$8:$F$3006,B769,Transactions!$N$8:$N$3006))</f>
        <v/>
      </c>
      <c r="E769" s="52" t="str">
        <f>IF(B769="","",SUMIF(Transactions!$F$8:$F$3006,B769,Transactions!$O$8:$O$3006))</f>
        <v/>
      </c>
      <c r="F769" s="53" t="str">
        <f>IF(B769="","",SUMIF(Transactions!$F$8:$F$3006,B769,Transactions!$R$8:$R$3006))</f>
        <v/>
      </c>
      <c r="G769" s="54" t="str">
        <f>IF(B769="","",(C769+F769)-(D769+E769+SUMIF(Transactions!$F$8:$F$3006,B769,Transactions!$Q$8:$Q$3006)))</f>
        <v/>
      </c>
      <c r="H769" s="55" t="str">
        <f>IF(B769="","",IF(G769&gt;0,"OUTSTANDING",IF(G769=0,"SETTLED",IF(SUMIF(Transactions!$F$8:$F$3006,B769,Transactions!$Q$8:$Q$3006)&gt;SUMIF(Transactions!$F$8:$F$3006,B769,Transactions!$R$8:$R$3006),"OWES","OVERPAID"))))</f>
        <v/>
      </c>
      <c r="I769" s="1"/>
    </row>
    <row r="770" spans="1:9" ht="18" customHeight="1" x14ac:dyDescent="0.25">
      <c r="A770" s="40">
        <v>755</v>
      </c>
      <c r="B770" s="41" t="str">
        <f t="array" ref="B770">IFERROR(IF(INDEX(Transactions!$F$8:$F$3006,MATCH(0,COUNTIF($B$11:B769,Transactions!$F$8:$F$3006),0))="","",INDEX(Transactions!$F$8:$F$3006,MATCH(0,COUNTIF($B$11:B769,Transactions!$F$8:$F$3006),0))),"")</f>
        <v/>
      </c>
      <c r="C770" s="42" t="str">
        <f>IF(B770="","",SUMIF(Transactions!$F$8:$F$3006,B770,Transactions!$H$8:$H$3006))</f>
        <v/>
      </c>
      <c r="D770" s="43" t="str">
        <f>IF(B770="","",SUMIF(Transactions!$F$8:$F$3006,B770,Transactions!$N$8:$N$3006))</f>
        <v/>
      </c>
      <c r="E770" s="44" t="str">
        <f>IF(B770="","",SUMIF(Transactions!$F$8:$F$3006,B770,Transactions!$O$8:$O$3006))</f>
        <v/>
      </c>
      <c r="F770" s="45" t="str">
        <f>IF(B770="","",SUMIF(Transactions!$F$8:$F$3006,B770,Transactions!$R$8:$R$3006))</f>
        <v/>
      </c>
      <c r="G770" s="46" t="str">
        <f>IF(B770="","",(C770+F770)-(D770+E770+SUMIF(Transactions!$F$8:$F$3006,B770,Transactions!$Q$8:$Q$3006)))</f>
        <v/>
      </c>
      <c r="H770" s="47" t="str">
        <f>IF(B770="","",IF(G770&gt;0,"OUTSTANDING",IF(G770=0,"SETTLED",IF(SUMIF(Transactions!$F$8:$F$3006,B770,Transactions!$Q$8:$Q$3006)&gt;SUMIF(Transactions!$F$8:$F$3006,B770,Transactions!$R$8:$R$3006),"OWES","OVERPAID"))))</f>
        <v/>
      </c>
      <c r="I770" s="1"/>
    </row>
    <row r="771" spans="1:9" ht="18" customHeight="1" x14ac:dyDescent="0.25">
      <c r="A771" s="48">
        <v>756</v>
      </c>
      <c r="B771" s="49" t="str">
        <f t="array" ref="B771">IFERROR(IF(INDEX(Transactions!$F$8:$F$3006,MATCH(0,COUNTIF($B$11:B770,Transactions!$F$8:$F$3006),0))="","",INDEX(Transactions!$F$8:$F$3006,MATCH(0,COUNTIF($B$11:B770,Transactions!$F$8:$F$3006),0))),"")</f>
        <v/>
      </c>
      <c r="C771" s="50" t="str">
        <f>IF(B771="","",SUMIF(Transactions!$F$8:$F$3006,B771,Transactions!$H$8:$H$3006))</f>
        <v/>
      </c>
      <c r="D771" s="51" t="str">
        <f>IF(B771="","",SUMIF(Transactions!$F$8:$F$3006,B771,Transactions!$N$8:$N$3006))</f>
        <v/>
      </c>
      <c r="E771" s="52" t="str">
        <f>IF(B771="","",SUMIF(Transactions!$F$8:$F$3006,B771,Transactions!$O$8:$O$3006))</f>
        <v/>
      </c>
      <c r="F771" s="53" t="str">
        <f>IF(B771="","",SUMIF(Transactions!$F$8:$F$3006,B771,Transactions!$R$8:$R$3006))</f>
        <v/>
      </c>
      <c r="G771" s="54" t="str">
        <f>IF(B771="","",(C771+F771)-(D771+E771+SUMIF(Transactions!$F$8:$F$3006,B771,Transactions!$Q$8:$Q$3006)))</f>
        <v/>
      </c>
      <c r="H771" s="55" t="str">
        <f>IF(B771="","",IF(G771&gt;0,"OUTSTANDING",IF(G771=0,"SETTLED",IF(SUMIF(Transactions!$F$8:$F$3006,B771,Transactions!$Q$8:$Q$3006)&gt;SUMIF(Transactions!$F$8:$F$3006,B771,Transactions!$R$8:$R$3006),"OWES","OVERPAID"))))</f>
        <v/>
      </c>
      <c r="I771" s="1"/>
    </row>
    <row r="772" spans="1:9" ht="18" customHeight="1" x14ac:dyDescent="0.25">
      <c r="A772" s="40">
        <v>757</v>
      </c>
      <c r="B772" s="41" t="str">
        <f t="array" ref="B772">IFERROR(IF(INDEX(Transactions!$F$8:$F$3006,MATCH(0,COUNTIF($B$11:B771,Transactions!$F$8:$F$3006),0))="","",INDEX(Transactions!$F$8:$F$3006,MATCH(0,COUNTIF($B$11:B771,Transactions!$F$8:$F$3006),0))),"")</f>
        <v/>
      </c>
      <c r="C772" s="42" t="str">
        <f>IF(B772="","",SUMIF(Transactions!$F$8:$F$3006,B772,Transactions!$H$8:$H$3006))</f>
        <v/>
      </c>
      <c r="D772" s="43" t="str">
        <f>IF(B772="","",SUMIF(Transactions!$F$8:$F$3006,B772,Transactions!$N$8:$N$3006))</f>
        <v/>
      </c>
      <c r="E772" s="44" t="str">
        <f>IF(B772="","",SUMIF(Transactions!$F$8:$F$3006,B772,Transactions!$O$8:$O$3006))</f>
        <v/>
      </c>
      <c r="F772" s="45" t="str">
        <f>IF(B772="","",SUMIF(Transactions!$F$8:$F$3006,B772,Transactions!$R$8:$R$3006))</f>
        <v/>
      </c>
      <c r="G772" s="46" t="str">
        <f>IF(B772="","",(C772+F772)-(D772+E772+SUMIF(Transactions!$F$8:$F$3006,B772,Transactions!$Q$8:$Q$3006)))</f>
        <v/>
      </c>
      <c r="H772" s="47" t="str">
        <f>IF(B772="","",IF(G772&gt;0,"OUTSTANDING",IF(G772=0,"SETTLED",IF(SUMIF(Transactions!$F$8:$F$3006,B772,Transactions!$Q$8:$Q$3006)&gt;SUMIF(Transactions!$F$8:$F$3006,B772,Transactions!$R$8:$R$3006),"OWES","OVERPAID"))))</f>
        <v/>
      </c>
      <c r="I772" s="1"/>
    </row>
    <row r="773" spans="1:9" ht="18" customHeight="1" x14ac:dyDescent="0.25">
      <c r="A773" s="48">
        <v>758</v>
      </c>
      <c r="B773" s="49" t="str">
        <f t="array" ref="B773">IFERROR(IF(INDEX(Transactions!$F$8:$F$3006,MATCH(0,COUNTIF($B$11:B772,Transactions!$F$8:$F$3006),0))="","",INDEX(Transactions!$F$8:$F$3006,MATCH(0,COUNTIF($B$11:B772,Transactions!$F$8:$F$3006),0))),"")</f>
        <v/>
      </c>
      <c r="C773" s="50" t="str">
        <f>IF(B773="","",SUMIF(Transactions!$F$8:$F$3006,B773,Transactions!$H$8:$H$3006))</f>
        <v/>
      </c>
      <c r="D773" s="51" t="str">
        <f>IF(B773="","",SUMIF(Transactions!$F$8:$F$3006,B773,Transactions!$N$8:$N$3006))</f>
        <v/>
      </c>
      <c r="E773" s="52" t="str">
        <f>IF(B773="","",SUMIF(Transactions!$F$8:$F$3006,B773,Transactions!$O$8:$O$3006))</f>
        <v/>
      </c>
      <c r="F773" s="53" t="str">
        <f>IF(B773="","",SUMIF(Transactions!$F$8:$F$3006,B773,Transactions!$R$8:$R$3006))</f>
        <v/>
      </c>
      <c r="G773" s="54" t="str">
        <f>IF(B773="","",(C773+F773)-(D773+E773+SUMIF(Transactions!$F$8:$F$3006,B773,Transactions!$Q$8:$Q$3006)))</f>
        <v/>
      </c>
      <c r="H773" s="55" t="str">
        <f>IF(B773="","",IF(G773&gt;0,"OUTSTANDING",IF(G773=0,"SETTLED",IF(SUMIF(Transactions!$F$8:$F$3006,B773,Transactions!$Q$8:$Q$3006)&gt;SUMIF(Transactions!$F$8:$F$3006,B773,Transactions!$R$8:$R$3006),"OWES","OVERPAID"))))</f>
        <v/>
      </c>
      <c r="I773" s="1"/>
    </row>
    <row r="774" spans="1:9" ht="18" customHeight="1" x14ac:dyDescent="0.25">
      <c r="A774" s="40">
        <v>759</v>
      </c>
      <c r="B774" s="41" t="str">
        <f t="array" ref="B774">IFERROR(IF(INDEX(Transactions!$F$8:$F$3006,MATCH(0,COUNTIF($B$11:B773,Transactions!$F$8:$F$3006),0))="","",INDEX(Transactions!$F$8:$F$3006,MATCH(0,COUNTIF($B$11:B773,Transactions!$F$8:$F$3006),0))),"")</f>
        <v/>
      </c>
      <c r="C774" s="42" t="str">
        <f>IF(B774="","",SUMIF(Transactions!$F$8:$F$3006,B774,Transactions!$H$8:$H$3006))</f>
        <v/>
      </c>
      <c r="D774" s="43" t="str">
        <f>IF(B774="","",SUMIF(Transactions!$F$8:$F$3006,B774,Transactions!$N$8:$N$3006))</f>
        <v/>
      </c>
      <c r="E774" s="44" t="str">
        <f>IF(B774="","",SUMIF(Transactions!$F$8:$F$3006,B774,Transactions!$O$8:$O$3006))</f>
        <v/>
      </c>
      <c r="F774" s="45" t="str">
        <f>IF(B774="","",SUMIF(Transactions!$F$8:$F$3006,B774,Transactions!$R$8:$R$3006))</f>
        <v/>
      </c>
      <c r="G774" s="46" t="str">
        <f>IF(B774="","",(C774+F774)-(D774+E774+SUMIF(Transactions!$F$8:$F$3006,B774,Transactions!$Q$8:$Q$3006)))</f>
        <v/>
      </c>
      <c r="H774" s="47" t="str">
        <f>IF(B774="","",IF(G774&gt;0,"OUTSTANDING",IF(G774=0,"SETTLED",IF(SUMIF(Transactions!$F$8:$F$3006,B774,Transactions!$Q$8:$Q$3006)&gt;SUMIF(Transactions!$F$8:$F$3006,B774,Transactions!$R$8:$R$3006),"OWES","OVERPAID"))))</f>
        <v/>
      </c>
      <c r="I774" s="1"/>
    </row>
    <row r="775" spans="1:9" ht="18" customHeight="1" x14ac:dyDescent="0.25">
      <c r="A775" s="48">
        <v>760</v>
      </c>
      <c r="B775" s="49" t="str">
        <f t="array" ref="B775">IFERROR(IF(INDEX(Transactions!$F$8:$F$3006,MATCH(0,COUNTIF($B$11:B774,Transactions!$F$8:$F$3006),0))="","",INDEX(Transactions!$F$8:$F$3006,MATCH(0,COUNTIF($B$11:B774,Transactions!$F$8:$F$3006),0))),"")</f>
        <v/>
      </c>
      <c r="C775" s="50" t="str">
        <f>IF(B775="","",SUMIF(Transactions!$F$8:$F$3006,B775,Transactions!$H$8:$H$3006))</f>
        <v/>
      </c>
      <c r="D775" s="51" t="str">
        <f>IF(B775="","",SUMIF(Transactions!$F$8:$F$3006,B775,Transactions!$N$8:$N$3006))</f>
        <v/>
      </c>
      <c r="E775" s="52" t="str">
        <f>IF(B775="","",SUMIF(Transactions!$F$8:$F$3006,B775,Transactions!$O$8:$O$3006))</f>
        <v/>
      </c>
      <c r="F775" s="53" t="str">
        <f>IF(B775="","",SUMIF(Transactions!$F$8:$F$3006,B775,Transactions!$R$8:$R$3006))</f>
        <v/>
      </c>
      <c r="G775" s="54" t="str">
        <f>IF(B775="","",(C775+F775)-(D775+E775+SUMIF(Transactions!$F$8:$F$3006,B775,Transactions!$Q$8:$Q$3006)))</f>
        <v/>
      </c>
      <c r="H775" s="55" t="str">
        <f>IF(B775="","",IF(G775&gt;0,"OUTSTANDING",IF(G775=0,"SETTLED",IF(SUMIF(Transactions!$F$8:$F$3006,B775,Transactions!$Q$8:$Q$3006)&gt;SUMIF(Transactions!$F$8:$F$3006,B775,Transactions!$R$8:$R$3006),"OWES","OVERPAID"))))</f>
        <v/>
      </c>
      <c r="I775" s="1"/>
    </row>
    <row r="776" spans="1:9" ht="18" customHeight="1" x14ac:dyDescent="0.25">
      <c r="A776" s="40">
        <v>761</v>
      </c>
      <c r="B776" s="41" t="str">
        <f t="array" ref="B776">IFERROR(IF(INDEX(Transactions!$F$8:$F$3006,MATCH(0,COUNTIF($B$11:B775,Transactions!$F$8:$F$3006),0))="","",INDEX(Transactions!$F$8:$F$3006,MATCH(0,COUNTIF($B$11:B775,Transactions!$F$8:$F$3006),0))),"")</f>
        <v/>
      </c>
      <c r="C776" s="42" t="str">
        <f>IF(B776="","",SUMIF(Transactions!$F$8:$F$3006,B776,Transactions!$H$8:$H$3006))</f>
        <v/>
      </c>
      <c r="D776" s="43" t="str">
        <f>IF(B776="","",SUMIF(Transactions!$F$8:$F$3006,B776,Transactions!$N$8:$N$3006))</f>
        <v/>
      </c>
      <c r="E776" s="44" t="str">
        <f>IF(B776="","",SUMIF(Transactions!$F$8:$F$3006,B776,Transactions!$O$8:$O$3006))</f>
        <v/>
      </c>
      <c r="F776" s="45" t="str">
        <f>IF(B776="","",SUMIF(Transactions!$F$8:$F$3006,B776,Transactions!$R$8:$R$3006))</f>
        <v/>
      </c>
      <c r="G776" s="46" t="str">
        <f>IF(B776="","",(C776+F776)-(D776+E776+SUMIF(Transactions!$F$8:$F$3006,B776,Transactions!$Q$8:$Q$3006)))</f>
        <v/>
      </c>
      <c r="H776" s="47" t="str">
        <f>IF(B776="","",IF(G776&gt;0,"OUTSTANDING",IF(G776=0,"SETTLED",IF(SUMIF(Transactions!$F$8:$F$3006,B776,Transactions!$Q$8:$Q$3006)&gt;SUMIF(Transactions!$F$8:$F$3006,B776,Transactions!$R$8:$R$3006),"OWES","OVERPAID"))))</f>
        <v/>
      </c>
      <c r="I776" s="1"/>
    </row>
    <row r="777" spans="1:9" ht="18" customHeight="1" x14ac:dyDescent="0.25">
      <c r="A777" s="48">
        <v>762</v>
      </c>
      <c r="B777" s="49" t="str">
        <f t="array" ref="B777">IFERROR(IF(INDEX(Transactions!$F$8:$F$3006,MATCH(0,COUNTIF($B$11:B776,Transactions!$F$8:$F$3006),0))="","",INDEX(Transactions!$F$8:$F$3006,MATCH(0,COUNTIF($B$11:B776,Transactions!$F$8:$F$3006),0))),"")</f>
        <v/>
      </c>
      <c r="C777" s="50" t="str">
        <f>IF(B777="","",SUMIF(Transactions!$F$8:$F$3006,B777,Transactions!$H$8:$H$3006))</f>
        <v/>
      </c>
      <c r="D777" s="51" t="str">
        <f>IF(B777="","",SUMIF(Transactions!$F$8:$F$3006,B777,Transactions!$N$8:$N$3006))</f>
        <v/>
      </c>
      <c r="E777" s="52" t="str">
        <f>IF(B777="","",SUMIF(Transactions!$F$8:$F$3006,B777,Transactions!$O$8:$O$3006))</f>
        <v/>
      </c>
      <c r="F777" s="53" t="str">
        <f>IF(B777="","",SUMIF(Transactions!$F$8:$F$3006,B777,Transactions!$R$8:$R$3006))</f>
        <v/>
      </c>
      <c r="G777" s="54" t="str">
        <f>IF(B777="","",(C777+F777)-(D777+E777+SUMIF(Transactions!$F$8:$F$3006,B777,Transactions!$Q$8:$Q$3006)))</f>
        <v/>
      </c>
      <c r="H777" s="55" t="str">
        <f>IF(B777="","",IF(G777&gt;0,"OUTSTANDING",IF(G777=0,"SETTLED",IF(SUMIF(Transactions!$F$8:$F$3006,B777,Transactions!$Q$8:$Q$3006)&gt;SUMIF(Transactions!$F$8:$F$3006,B777,Transactions!$R$8:$R$3006),"OWES","OVERPAID"))))</f>
        <v/>
      </c>
      <c r="I777" s="1"/>
    </row>
    <row r="778" spans="1:9" ht="18" customHeight="1" x14ac:dyDescent="0.25">
      <c r="A778" s="40">
        <v>763</v>
      </c>
      <c r="B778" s="41" t="str">
        <f t="array" ref="B778">IFERROR(IF(INDEX(Transactions!$F$8:$F$3006,MATCH(0,COUNTIF($B$11:B777,Transactions!$F$8:$F$3006),0))="","",INDEX(Transactions!$F$8:$F$3006,MATCH(0,COUNTIF($B$11:B777,Transactions!$F$8:$F$3006),0))),"")</f>
        <v/>
      </c>
      <c r="C778" s="42" t="str">
        <f>IF(B778="","",SUMIF(Transactions!$F$8:$F$3006,B778,Transactions!$H$8:$H$3006))</f>
        <v/>
      </c>
      <c r="D778" s="43" t="str">
        <f>IF(B778="","",SUMIF(Transactions!$F$8:$F$3006,B778,Transactions!$N$8:$N$3006))</f>
        <v/>
      </c>
      <c r="E778" s="44" t="str">
        <f>IF(B778="","",SUMIF(Transactions!$F$8:$F$3006,B778,Transactions!$O$8:$O$3006))</f>
        <v/>
      </c>
      <c r="F778" s="45" t="str">
        <f>IF(B778="","",SUMIF(Transactions!$F$8:$F$3006,B778,Transactions!$R$8:$R$3006))</f>
        <v/>
      </c>
      <c r="G778" s="46" t="str">
        <f>IF(B778="","",(C778+F778)-(D778+E778+SUMIF(Transactions!$F$8:$F$3006,B778,Transactions!$Q$8:$Q$3006)))</f>
        <v/>
      </c>
      <c r="H778" s="47" t="str">
        <f>IF(B778="","",IF(G778&gt;0,"OUTSTANDING",IF(G778=0,"SETTLED",IF(SUMIF(Transactions!$F$8:$F$3006,B778,Transactions!$Q$8:$Q$3006)&gt;SUMIF(Transactions!$F$8:$F$3006,B778,Transactions!$R$8:$R$3006),"OWES","OVERPAID"))))</f>
        <v/>
      </c>
      <c r="I778" s="1"/>
    </row>
    <row r="779" spans="1:9" ht="18" customHeight="1" x14ac:dyDescent="0.25">
      <c r="A779" s="48">
        <v>764</v>
      </c>
      <c r="B779" s="49" t="str">
        <f t="array" ref="B779">IFERROR(IF(INDEX(Transactions!$F$8:$F$3006,MATCH(0,COUNTIF($B$11:B778,Transactions!$F$8:$F$3006),0))="","",INDEX(Transactions!$F$8:$F$3006,MATCH(0,COUNTIF($B$11:B778,Transactions!$F$8:$F$3006),0))),"")</f>
        <v/>
      </c>
      <c r="C779" s="50" t="str">
        <f>IF(B779="","",SUMIF(Transactions!$F$8:$F$3006,B779,Transactions!$H$8:$H$3006))</f>
        <v/>
      </c>
      <c r="D779" s="51" t="str">
        <f>IF(B779="","",SUMIF(Transactions!$F$8:$F$3006,B779,Transactions!$N$8:$N$3006))</f>
        <v/>
      </c>
      <c r="E779" s="52" t="str">
        <f>IF(B779="","",SUMIF(Transactions!$F$8:$F$3006,B779,Transactions!$O$8:$O$3006))</f>
        <v/>
      </c>
      <c r="F779" s="53" t="str">
        <f>IF(B779="","",SUMIF(Transactions!$F$8:$F$3006,B779,Transactions!$R$8:$R$3006))</f>
        <v/>
      </c>
      <c r="G779" s="54" t="str">
        <f>IF(B779="","",(C779+F779)-(D779+E779+SUMIF(Transactions!$F$8:$F$3006,B779,Transactions!$Q$8:$Q$3006)))</f>
        <v/>
      </c>
      <c r="H779" s="55" t="str">
        <f>IF(B779="","",IF(G779&gt;0,"OUTSTANDING",IF(G779=0,"SETTLED",IF(SUMIF(Transactions!$F$8:$F$3006,B779,Transactions!$Q$8:$Q$3006)&gt;SUMIF(Transactions!$F$8:$F$3006,B779,Transactions!$R$8:$R$3006),"OWES","OVERPAID"))))</f>
        <v/>
      </c>
      <c r="I779" s="1"/>
    </row>
    <row r="780" spans="1:9" ht="18" customHeight="1" x14ac:dyDescent="0.25">
      <c r="A780" s="40">
        <v>765</v>
      </c>
      <c r="B780" s="41" t="str">
        <f t="array" ref="B780">IFERROR(IF(INDEX(Transactions!$F$8:$F$3006,MATCH(0,COUNTIF($B$11:B779,Transactions!$F$8:$F$3006),0))="","",INDEX(Transactions!$F$8:$F$3006,MATCH(0,COUNTIF($B$11:B779,Transactions!$F$8:$F$3006),0))),"")</f>
        <v/>
      </c>
      <c r="C780" s="42" t="str">
        <f>IF(B780="","",SUMIF(Transactions!$F$8:$F$3006,B780,Transactions!$H$8:$H$3006))</f>
        <v/>
      </c>
      <c r="D780" s="43" t="str">
        <f>IF(B780="","",SUMIF(Transactions!$F$8:$F$3006,B780,Transactions!$N$8:$N$3006))</f>
        <v/>
      </c>
      <c r="E780" s="44" t="str">
        <f>IF(B780="","",SUMIF(Transactions!$F$8:$F$3006,B780,Transactions!$O$8:$O$3006))</f>
        <v/>
      </c>
      <c r="F780" s="45" t="str">
        <f>IF(B780="","",SUMIF(Transactions!$F$8:$F$3006,B780,Transactions!$R$8:$R$3006))</f>
        <v/>
      </c>
      <c r="G780" s="46" t="str">
        <f>IF(B780="","",(C780+F780)-(D780+E780+SUMIF(Transactions!$F$8:$F$3006,B780,Transactions!$Q$8:$Q$3006)))</f>
        <v/>
      </c>
      <c r="H780" s="47" t="str">
        <f>IF(B780="","",IF(G780&gt;0,"OUTSTANDING",IF(G780=0,"SETTLED",IF(SUMIF(Transactions!$F$8:$F$3006,B780,Transactions!$Q$8:$Q$3006)&gt;SUMIF(Transactions!$F$8:$F$3006,B780,Transactions!$R$8:$R$3006),"OWES","OVERPAID"))))</f>
        <v/>
      </c>
      <c r="I780" s="1"/>
    </row>
    <row r="781" spans="1:9" ht="18" customHeight="1" x14ac:dyDescent="0.25">
      <c r="A781" s="48">
        <v>766</v>
      </c>
      <c r="B781" s="49" t="str">
        <f t="array" ref="B781">IFERROR(IF(INDEX(Transactions!$F$8:$F$3006,MATCH(0,COUNTIF($B$11:B780,Transactions!$F$8:$F$3006),0))="","",INDEX(Transactions!$F$8:$F$3006,MATCH(0,COUNTIF($B$11:B780,Transactions!$F$8:$F$3006),0))),"")</f>
        <v/>
      </c>
      <c r="C781" s="50" t="str">
        <f>IF(B781="","",SUMIF(Transactions!$F$8:$F$3006,B781,Transactions!$H$8:$H$3006))</f>
        <v/>
      </c>
      <c r="D781" s="51" t="str">
        <f>IF(B781="","",SUMIF(Transactions!$F$8:$F$3006,B781,Transactions!$N$8:$N$3006))</f>
        <v/>
      </c>
      <c r="E781" s="52" t="str">
        <f>IF(B781="","",SUMIF(Transactions!$F$8:$F$3006,B781,Transactions!$O$8:$O$3006))</f>
        <v/>
      </c>
      <c r="F781" s="53" t="str">
        <f>IF(B781="","",SUMIF(Transactions!$F$8:$F$3006,B781,Transactions!$R$8:$R$3006))</f>
        <v/>
      </c>
      <c r="G781" s="54" t="str">
        <f>IF(B781="","",(C781+F781)-(D781+E781+SUMIF(Transactions!$F$8:$F$3006,B781,Transactions!$Q$8:$Q$3006)))</f>
        <v/>
      </c>
      <c r="H781" s="55" t="str">
        <f>IF(B781="","",IF(G781&gt;0,"OUTSTANDING",IF(G781=0,"SETTLED",IF(SUMIF(Transactions!$F$8:$F$3006,B781,Transactions!$Q$8:$Q$3006)&gt;SUMIF(Transactions!$F$8:$F$3006,B781,Transactions!$R$8:$R$3006),"OWES","OVERPAID"))))</f>
        <v/>
      </c>
      <c r="I781" s="1"/>
    </row>
    <row r="782" spans="1:9" ht="18" customHeight="1" x14ac:dyDescent="0.25">
      <c r="A782" s="40">
        <v>767</v>
      </c>
      <c r="B782" s="41" t="str">
        <f t="array" ref="B782">IFERROR(IF(INDEX(Transactions!$F$8:$F$3006,MATCH(0,COUNTIF($B$11:B781,Transactions!$F$8:$F$3006),0))="","",INDEX(Transactions!$F$8:$F$3006,MATCH(0,COUNTIF($B$11:B781,Transactions!$F$8:$F$3006),0))),"")</f>
        <v/>
      </c>
      <c r="C782" s="42" t="str">
        <f>IF(B782="","",SUMIF(Transactions!$F$8:$F$3006,B782,Transactions!$H$8:$H$3006))</f>
        <v/>
      </c>
      <c r="D782" s="43" t="str">
        <f>IF(B782="","",SUMIF(Transactions!$F$8:$F$3006,B782,Transactions!$N$8:$N$3006))</f>
        <v/>
      </c>
      <c r="E782" s="44" t="str">
        <f>IF(B782="","",SUMIF(Transactions!$F$8:$F$3006,B782,Transactions!$O$8:$O$3006))</f>
        <v/>
      </c>
      <c r="F782" s="45" t="str">
        <f>IF(B782="","",SUMIF(Transactions!$F$8:$F$3006,B782,Transactions!$R$8:$R$3006))</f>
        <v/>
      </c>
      <c r="G782" s="46" t="str">
        <f>IF(B782="","",(C782+F782)-(D782+E782+SUMIF(Transactions!$F$8:$F$3006,B782,Transactions!$Q$8:$Q$3006)))</f>
        <v/>
      </c>
      <c r="H782" s="47" t="str">
        <f>IF(B782="","",IF(G782&gt;0,"OUTSTANDING",IF(G782=0,"SETTLED",IF(SUMIF(Transactions!$F$8:$F$3006,B782,Transactions!$Q$8:$Q$3006)&gt;SUMIF(Transactions!$F$8:$F$3006,B782,Transactions!$R$8:$R$3006),"OWES","OVERPAID"))))</f>
        <v/>
      </c>
      <c r="I782" s="1"/>
    </row>
    <row r="783" spans="1:9" ht="18" customHeight="1" x14ac:dyDescent="0.25">
      <c r="A783" s="48">
        <v>768</v>
      </c>
      <c r="B783" s="49" t="str">
        <f t="array" ref="B783">IFERROR(IF(INDEX(Transactions!$F$8:$F$3006,MATCH(0,COUNTIF($B$11:B782,Transactions!$F$8:$F$3006),0))="","",INDEX(Transactions!$F$8:$F$3006,MATCH(0,COUNTIF($B$11:B782,Transactions!$F$8:$F$3006),0))),"")</f>
        <v/>
      </c>
      <c r="C783" s="50" t="str">
        <f>IF(B783="","",SUMIF(Transactions!$F$8:$F$3006,B783,Transactions!$H$8:$H$3006))</f>
        <v/>
      </c>
      <c r="D783" s="51" t="str">
        <f>IF(B783="","",SUMIF(Transactions!$F$8:$F$3006,B783,Transactions!$N$8:$N$3006))</f>
        <v/>
      </c>
      <c r="E783" s="52" t="str">
        <f>IF(B783="","",SUMIF(Transactions!$F$8:$F$3006,B783,Transactions!$O$8:$O$3006))</f>
        <v/>
      </c>
      <c r="F783" s="53" t="str">
        <f>IF(B783="","",SUMIF(Transactions!$F$8:$F$3006,B783,Transactions!$R$8:$R$3006))</f>
        <v/>
      </c>
      <c r="G783" s="54" t="str">
        <f>IF(B783="","",(C783+F783)-(D783+E783+SUMIF(Transactions!$F$8:$F$3006,B783,Transactions!$Q$8:$Q$3006)))</f>
        <v/>
      </c>
      <c r="H783" s="55" t="str">
        <f>IF(B783="","",IF(G783&gt;0,"OUTSTANDING",IF(G783=0,"SETTLED",IF(SUMIF(Transactions!$F$8:$F$3006,B783,Transactions!$Q$8:$Q$3006)&gt;SUMIF(Transactions!$F$8:$F$3006,B783,Transactions!$R$8:$R$3006),"OWES","OVERPAID"))))</f>
        <v/>
      </c>
      <c r="I783" s="1"/>
    </row>
    <row r="784" spans="1:9" ht="18" customHeight="1" x14ac:dyDescent="0.25">
      <c r="A784" s="40">
        <v>769</v>
      </c>
      <c r="B784" s="41" t="str">
        <f t="array" ref="B784">IFERROR(IF(INDEX(Transactions!$F$8:$F$3006,MATCH(0,COUNTIF($B$11:B783,Transactions!$F$8:$F$3006),0))="","",INDEX(Transactions!$F$8:$F$3006,MATCH(0,COUNTIF($B$11:B783,Transactions!$F$8:$F$3006),0))),"")</f>
        <v/>
      </c>
      <c r="C784" s="42" t="str">
        <f>IF(B784="","",SUMIF(Transactions!$F$8:$F$3006,B784,Transactions!$H$8:$H$3006))</f>
        <v/>
      </c>
      <c r="D784" s="43" t="str">
        <f>IF(B784="","",SUMIF(Transactions!$F$8:$F$3006,B784,Transactions!$N$8:$N$3006))</f>
        <v/>
      </c>
      <c r="E784" s="44" t="str">
        <f>IF(B784="","",SUMIF(Transactions!$F$8:$F$3006,B784,Transactions!$O$8:$O$3006))</f>
        <v/>
      </c>
      <c r="F784" s="45" t="str">
        <f>IF(B784="","",SUMIF(Transactions!$F$8:$F$3006,B784,Transactions!$R$8:$R$3006))</f>
        <v/>
      </c>
      <c r="G784" s="46" t="str">
        <f>IF(B784="","",(C784+F784)-(D784+E784+SUMIF(Transactions!$F$8:$F$3006,B784,Transactions!$Q$8:$Q$3006)))</f>
        <v/>
      </c>
      <c r="H784" s="47" t="str">
        <f>IF(B784="","",IF(G784&gt;0,"OUTSTANDING",IF(G784=0,"SETTLED",IF(SUMIF(Transactions!$F$8:$F$3006,B784,Transactions!$Q$8:$Q$3006)&gt;SUMIF(Transactions!$F$8:$F$3006,B784,Transactions!$R$8:$R$3006),"OWES","OVERPAID"))))</f>
        <v/>
      </c>
      <c r="I784" s="1"/>
    </row>
    <row r="785" spans="1:9" ht="18" customHeight="1" x14ac:dyDescent="0.25">
      <c r="A785" s="48">
        <v>770</v>
      </c>
      <c r="B785" s="49" t="str">
        <f t="array" ref="B785">IFERROR(IF(INDEX(Transactions!$F$8:$F$3006,MATCH(0,COUNTIF($B$11:B784,Transactions!$F$8:$F$3006),0))="","",INDEX(Transactions!$F$8:$F$3006,MATCH(0,COUNTIF($B$11:B784,Transactions!$F$8:$F$3006),0))),"")</f>
        <v/>
      </c>
      <c r="C785" s="50" t="str">
        <f>IF(B785="","",SUMIF(Transactions!$F$8:$F$3006,B785,Transactions!$H$8:$H$3006))</f>
        <v/>
      </c>
      <c r="D785" s="51" t="str">
        <f>IF(B785="","",SUMIF(Transactions!$F$8:$F$3006,B785,Transactions!$N$8:$N$3006))</f>
        <v/>
      </c>
      <c r="E785" s="52" t="str">
        <f>IF(B785="","",SUMIF(Transactions!$F$8:$F$3006,B785,Transactions!$O$8:$O$3006))</f>
        <v/>
      </c>
      <c r="F785" s="53" t="str">
        <f>IF(B785="","",SUMIF(Transactions!$F$8:$F$3006,B785,Transactions!$R$8:$R$3006))</f>
        <v/>
      </c>
      <c r="G785" s="54" t="str">
        <f>IF(B785="","",(C785+F785)-(D785+E785+SUMIF(Transactions!$F$8:$F$3006,B785,Transactions!$Q$8:$Q$3006)))</f>
        <v/>
      </c>
      <c r="H785" s="55" t="str">
        <f>IF(B785="","",IF(G785&gt;0,"OUTSTANDING",IF(G785=0,"SETTLED",IF(SUMIF(Transactions!$F$8:$F$3006,B785,Transactions!$Q$8:$Q$3006)&gt;SUMIF(Transactions!$F$8:$F$3006,B785,Transactions!$R$8:$R$3006),"OWES","OVERPAID"))))</f>
        <v/>
      </c>
      <c r="I785" s="1"/>
    </row>
    <row r="786" spans="1:9" ht="18" customHeight="1" x14ac:dyDescent="0.25">
      <c r="A786" s="40">
        <v>771</v>
      </c>
      <c r="B786" s="41" t="str">
        <f t="array" ref="B786">IFERROR(IF(INDEX(Transactions!$F$8:$F$3006,MATCH(0,COUNTIF($B$11:B785,Transactions!$F$8:$F$3006),0))="","",INDEX(Transactions!$F$8:$F$3006,MATCH(0,COUNTIF($B$11:B785,Transactions!$F$8:$F$3006),0))),"")</f>
        <v/>
      </c>
      <c r="C786" s="42" t="str">
        <f>IF(B786="","",SUMIF(Transactions!$F$8:$F$3006,B786,Transactions!$H$8:$H$3006))</f>
        <v/>
      </c>
      <c r="D786" s="43" t="str">
        <f>IF(B786="","",SUMIF(Transactions!$F$8:$F$3006,B786,Transactions!$N$8:$N$3006))</f>
        <v/>
      </c>
      <c r="E786" s="44" t="str">
        <f>IF(B786="","",SUMIF(Transactions!$F$8:$F$3006,B786,Transactions!$O$8:$O$3006))</f>
        <v/>
      </c>
      <c r="F786" s="45" t="str">
        <f>IF(B786="","",SUMIF(Transactions!$F$8:$F$3006,B786,Transactions!$R$8:$R$3006))</f>
        <v/>
      </c>
      <c r="G786" s="46" t="str">
        <f>IF(B786="","",(C786+F786)-(D786+E786+SUMIF(Transactions!$F$8:$F$3006,B786,Transactions!$Q$8:$Q$3006)))</f>
        <v/>
      </c>
      <c r="H786" s="47" t="str">
        <f>IF(B786="","",IF(G786&gt;0,"OUTSTANDING",IF(G786=0,"SETTLED",IF(SUMIF(Transactions!$F$8:$F$3006,B786,Transactions!$Q$8:$Q$3006)&gt;SUMIF(Transactions!$F$8:$F$3006,B786,Transactions!$R$8:$R$3006),"OWES","OVERPAID"))))</f>
        <v/>
      </c>
      <c r="I786" s="1"/>
    </row>
    <row r="787" spans="1:9" ht="18" customHeight="1" x14ac:dyDescent="0.25">
      <c r="A787" s="48">
        <v>772</v>
      </c>
      <c r="B787" s="49" t="str">
        <f t="array" ref="B787">IFERROR(IF(INDEX(Transactions!$F$8:$F$3006,MATCH(0,COUNTIF($B$11:B786,Transactions!$F$8:$F$3006),0))="","",INDEX(Transactions!$F$8:$F$3006,MATCH(0,COUNTIF($B$11:B786,Transactions!$F$8:$F$3006),0))),"")</f>
        <v/>
      </c>
      <c r="C787" s="50" t="str">
        <f>IF(B787="","",SUMIF(Transactions!$F$8:$F$3006,B787,Transactions!$H$8:$H$3006))</f>
        <v/>
      </c>
      <c r="D787" s="51" t="str">
        <f>IF(B787="","",SUMIF(Transactions!$F$8:$F$3006,B787,Transactions!$N$8:$N$3006))</f>
        <v/>
      </c>
      <c r="E787" s="52" t="str">
        <f>IF(B787="","",SUMIF(Transactions!$F$8:$F$3006,B787,Transactions!$O$8:$O$3006))</f>
        <v/>
      </c>
      <c r="F787" s="53" t="str">
        <f>IF(B787="","",SUMIF(Transactions!$F$8:$F$3006,B787,Transactions!$R$8:$R$3006))</f>
        <v/>
      </c>
      <c r="G787" s="54" t="str">
        <f>IF(B787="","",(C787+F787)-(D787+E787+SUMIF(Transactions!$F$8:$F$3006,B787,Transactions!$Q$8:$Q$3006)))</f>
        <v/>
      </c>
      <c r="H787" s="55" t="str">
        <f>IF(B787="","",IF(G787&gt;0,"OUTSTANDING",IF(G787=0,"SETTLED",IF(SUMIF(Transactions!$F$8:$F$3006,B787,Transactions!$Q$8:$Q$3006)&gt;SUMIF(Transactions!$F$8:$F$3006,B787,Transactions!$R$8:$R$3006),"OWES","OVERPAID"))))</f>
        <v/>
      </c>
      <c r="I787" s="1"/>
    </row>
    <row r="788" spans="1:9" ht="18" customHeight="1" x14ac:dyDescent="0.25">
      <c r="A788" s="40">
        <v>773</v>
      </c>
      <c r="B788" s="41" t="str">
        <f t="array" ref="B788">IFERROR(IF(INDEX(Transactions!$F$8:$F$3006,MATCH(0,COUNTIF($B$11:B787,Transactions!$F$8:$F$3006),0))="","",INDEX(Transactions!$F$8:$F$3006,MATCH(0,COUNTIF($B$11:B787,Transactions!$F$8:$F$3006),0))),"")</f>
        <v/>
      </c>
      <c r="C788" s="42" t="str">
        <f>IF(B788="","",SUMIF(Transactions!$F$8:$F$3006,B788,Transactions!$H$8:$H$3006))</f>
        <v/>
      </c>
      <c r="D788" s="43" t="str">
        <f>IF(B788="","",SUMIF(Transactions!$F$8:$F$3006,B788,Transactions!$N$8:$N$3006))</f>
        <v/>
      </c>
      <c r="E788" s="44" t="str">
        <f>IF(B788="","",SUMIF(Transactions!$F$8:$F$3006,B788,Transactions!$O$8:$O$3006))</f>
        <v/>
      </c>
      <c r="F788" s="45" t="str">
        <f>IF(B788="","",SUMIF(Transactions!$F$8:$F$3006,B788,Transactions!$R$8:$R$3006))</f>
        <v/>
      </c>
      <c r="G788" s="46" t="str">
        <f>IF(B788="","",(C788+F788)-(D788+E788+SUMIF(Transactions!$F$8:$F$3006,B788,Transactions!$Q$8:$Q$3006)))</f>
        <v/>
      </c>
      <c r="H788" s="47" t="str">
        <f>IF(B788="","",IF(G788&gt;0,"OUTSTANDING",IF(G788=0,"SETTLED",IF(SUMIF(Transactions!$F$8:$F$3006,B788,Transactions!$Q$8:$Q$3006)&gt;SUMIF(Transactions!$F$8:$F$3006,B788,Transactions!$R$8:$R$3006),"OWES","OVERPAID"))))</f>
        <v/>
      </c>
      <c r="I788" s="1"/>
    </row>
    <row r="789" spans="1:9" ht="18" customHeight="1" x14ac:dyDescent="0.25">
      <c r="A789" s="48">
        <v>774</v>
      </c>
      <c r="B789" s="49" t="str">
        <f t="array" ref="B789">IFERROR(IF(INDEX(Transactions!$F$8:$F$3006,MATCH(0,COUNTIF($B$11:B788,Transactions!$F$8:$F$3006),0))="","",INDEX(Transactions!$F$8:$F$3006,MATCH(0,COUNTIF($B$11:B788,Transactions!$F$8:$F$3006),0))),"")</f>
        <v/>
      </c>
      <c r="C789" s="50" t="str">
        <f>IF(B789="","",SUMIF(Transactions!$F$8:$F$3006,B789,Transactions!$H$8:$H$3006))</f>
        <v/>
      </c>
      <c r="D789" s="51" t="str">
        <f>IF(B789="","",SUMIF(Transactions!$F$8:$F$3006,B789,Transactions!$N$8:$N$3006))</f>
        <v/>
      </c>
      <c r="E789" s="52" t="str">
        <f>IF(B789="","",SUMIF(Transactions!$F$8:$F$3006,B789,Transactions!$O$8:$O$3006))</f>
        <v/>
      </c>
      <c r="F789" s="53" t="str">
        <f>IF(B789="","",SUMIF(Transactions!$F$8:$F$3006,B789,Transactions!$R$8:$R$3006))</f>
        <v/>
      </c>
      <c r="G789" s="54" t="str">
        <f>IF(B789="","",(C789+F789)-(D789+E789+SUMIF(Transactions!$F$8:$F$3006,B789,Transactions!$Q$8:$Q$3006)))</f>
        <v/>
      </c>
      <c r="H789" s="55" t="str">
        <f>IF(B789="","",IF(G789&gt;0,"OUTSTANDING",IF(G789=0,"SETTLED",IF(SUMIF(Transactions!$F$8:$F$3006,B789,Transactions!$Q$8:$Q$3006)&gt;SUMIF(Transactions!$F$8:$F$3006,B789,Transactions!$R$8:$R$3006),"OWES","OVERPAID"))))</f>
        <v/>
      </c>
      <c r="I789" s="1"/>
    </row>
    <row r="790" spans="1:9" ht="18" customHeight="1" x14ac:dyDescent="0.25">
      <c r="A790" s="40">
        <v>775</v>
      </c>
      <c r="B790" s="41" t="str">
        <f t="array" ref="B790">IFERROR(IF(INDEX(Transactions!$F$8:$F$3006,MATCH(0,COUNTIF($B$11:B789,Transactions!$F$8:$F$3006),0))="","",INDEX(Transactions!$F$8:$F$3006,MATCH(0,COUNTIF($B$11:B789,Transactions!$F$8:$F$3006),0))),"")</f>
        <v/>
      </c>
      <c r="C790" s="42" t="str">
        <f>IF(B790="","",SUMIF(Transactions!$F$8:$F$3006,B790,Transactions!$H$8:$H$3006))</f>
        <v/>
      </c>
      <c r="D790" s="43" t="str">
        <f>IF(B790="","",SUMIF(Transactions!$F$8:$F$3006,B790,Transactions!$N$8:$N$3006))</f>
        <v/>
      </c>
      <c r="E790" s="44" t="str">
        <f>IF(B790="","",SUMIF(Transactions!$F$8:$F$3006,B790,Transactions!$O$8:$O$3006))</f>
        <v/>
      </c>
      <c r="F790" s="45" t="str">
        <f>IF(B790="","",SUMIF(Transactions!$F$8:$F$3006,B790,Transactions!$R$8:$R$3006))</f>
        <v/>
      </c>
      <c r="G790" s="46" t="str">
        <f>IF(B790="","",(C790+F790)-(D790+E790+SUMIF(Transactions!$F$8:$F$3006,B790,Transactions!$Q$8:$Q$3006)))</f>
        <v/>
      </c>
      <c r="H790" s="47" t="str">
        <f>IF(B790="","",IF(G790&gt;0,"OUTSTANDING",IF(G790=0,"SETTLED",IF(SUMIF(Transactions!$F$8:$F$3006,B790,Transactions!$Q$8:$Q$3006)&gt;SUMIF(Transactions!$F$8:$F$3006,B790,Transactions!$R$8:$R$3006),"OWES","OVERPAID"))))</f>
        <v/>
      </c>
      <c r="I790" s="1"/>
    </row>
    <row r="791" spans="1:9" ht="18" customHeight="1" x14ac:dyDescent="0.25">
      <c r="A791" s="48">
        <v>776</v>
      </c>
      <c r="B791" s="49" t="str">
        <f t="array" ref="B791">IFERROR(IF(INDEX(Transactions!$F$8:$F$3006,MATCH(0,COUNTIF($B$11:B790,Transactions!$F$8:$F$3006),0))="","",INDEX(Transactions!$F$8:$F$3006,MATCH(0,COUNTIF($B$11:B790,Transactions!$F$8:$F$3006),0))),"")</f>
        <v/>
      </c>
      <c r="C791" s="50" t="str">
        <f>IF(B791="","",SUMIF(Transactions!$F$8:$F$3006,B791,Transactions!$H$8:$H$3006))</f>
        <v/>
      </c>
      <c r="D791" s="51" t="str">
        <f>IF(B791="","",SUMIF(Transactions!$F$8:$F$3006,B791,Transactions!$N$8:$N$3006))</f>
        <v/>
      </c>
      <c r="E791" s="52" t="str">
        <f>IF(B791="","",SUMIF(Transactions!$F$8:$F$3006,B791,Transactions!$O$8:$O$3006))</f>
        <v/>
      </c>
      <c r="F791" s="53" t="str">
        <f>IF(B791="","",SUMIF(Transactions!$F$8:$F$3006,B791,Transactions!$R$8:$R$3006))</f>
        <v/>
      </c>
      <c r="G791" s="54" t="str">
        <f>IF(B791="","",(C791+F791)-(D791+E791+SUMIF(Transactions!$F$8:$F$3006,B791,Transactions!$Q$8:$Q$3006)))</f>
        <v/>
      </c>
      <c r="H791" s="55" t="str">
        <f>IF(B791="","",IF(G791&gt;0,"OUTSTANDING",IF(G791=0,"SETTLED",IF(SUMIF(Transactions!$F$8:$F$3006,B791,Transactions!$Q$8:$Q$3006)&gt;SUMIF(Transactions!$F$8:$F$3006,B791,Transactions!$R$8:$R$3006),"OWES","OVERPAID"))))</f>
        <v/>
      </c>
      <c r="I791" s="1"/>
    </row>
    <row r="792" spans="1:9" ht="18" customHeight="1" x14ac:dyDescent="0.25">
      <c r="A792" s="40">
        <v>777</v>
      </c>
      <c r="B792" s="41" t="str">
        <f t="array" ref="B792">IFERROR(IF(INDEX(Transactions!$F$8:$F$3006,MATCH(0,COUNTIF($B$11:B791,Transactions!$F$8:$F$3006),0))="","",INDEX(Transactions!$F$8:$F$3006,MATCH(0,COUNTIF($B$11:B791,Transactions!$F$8:$F$3006),0))),"")</f>
        <v/>
      </c>
      <c r="C792" s="42" t="str">
        <f>IF(B792="","",SUMIF(Transactions!$F$8:$F$3006,B792,Transactions!$H$8:$H$3006))</f>
        <v/>
      </c>
      <c r="D792" s="43" t="str">
        <f>IF(B792="","",SUMIF(Transactions!$F$8:$F$3006,B792,Transactions!$N$8:$N$3006))</f>
        <v/>
      </c>
      <c r="E792" s="44" t="str">
        <f>IF(B792="","",SUMIF(Transactions!$F$8:$F$3006,B792,Transactions!$O$8:$O$3006))</f>
        <v/>
      </c>
      <c r="F792" s="45" t="str">
        <f>IF(B792="","",SUMIF(Transactions!$F$8:$F$3006,B792,Transactions!$R$8:$R$3006))</f>
        <v/>
      </c>
      <c r="G792" s="46" t="str">
        <f>IF(B792="","",(C792+F792)-(D792+E792+SUMIF(Transactions!$F$8:$F$3006,B792,Transactions!$Q$8:$Q$3006)))</f>
        <v/>
      </c>
      <c r="H792" s="47" t="str">
        <f>IF(B792="","",IF(G792&gt;0,"OUTSTANDING",IF(G792=0,"SETTLED",IF(SUMIF(Transactions!$F$8:$F$3006,B792,Transactions!$Q$8:$Q$3006)&gt;SUMIF(Transactions!$F$8:$F$3006,B792,Transactions!$R$8:$R$3006),"OWES","OVERPAID"))))</f>
        <v/>
      </c>
      <c r="I792" s="1"/>
    </row>
    <row r="793" spans="1:9" ht="18" customHeight="1" x14ac:dyDescent="0.25">
      <c r="A793" s="48">
        <v>778</v>
      </c>
      <c r="B793" s="49" t="str">
        <f t="array" ref="B793">IFERROR(IF(INDEX(Transactions!$F$8:$F$3006,MATCH(0,COUNTIF($B$11:B792,Transactions!$F$8:$F$3006),0))="","",INDEX(Transactions!$F$8:$F$3006,MATCH(0,COUNTIF($B$11:B792,Transactions!$F$8:$F$3006),0))),"")</f>
        <v/>
      </c>
      <c r="C793" s="50" t="str">
        <f>IF(B793="","",SUMIF(Transactions!$F$8:$F$3006,B793,Transactions!$H$8:$H$3006))</f>
        <v/>
      </c>
      <c r="D793" s="51" t="str">
        <f>IF(B793="","",SUMIF(Transactions!$F$8:$F$3006,B793,Transactions!$N$8:$N$3006))</f>
        <v/>
      </c>
      <c r="E793" s="52" t="str">
        <f>IF(B793="","",SUMIF(Transactions!$F$8:$F$3006,B793,Transactions!$O$8:$O$3006))</f>
        <v/>
      </c>
      <c r="F793" s="53" t="str">
        <f>IF(B793="","",SUMIF(Transactions!$F$8:$F$3006,B793,Transactions!$R$8:$R$3006))</f>
        <v/>
      </c>
      <c r="G793" s="54" t="str">
        <f>IF(B793="","",(C793+F793)-(D793+E793+SUMIF(Transactions!$F$8:$F$3006,B793,Transactions!$Q$8:$Q$3006)))</f>
        <v/>
      </c>
      <c r="H793" s="55" t="str">
        <f>IF(B793="","",IF(G793&gt;0,"OUTSTANDING",IF(G793=0,"SETTLED",IF(SUMIF(Transactions!$F$8:$F$3006,B793,Transactions!$Q$8:$Q$3006)&gt;SUMIF(Transactions!$F$8:$F$3006,B793,Transactions!$R$8:$R$3006),"OWES","OVERPAID"))))</f>
        <v/>
      </c>
      <c r="I793" s="1"/>
    </row>
    <row r="794" spans="1:9" ht="18" customHeight="1" x14ac:dyDescent="0.25">
      <c r="A794" s="40">
        <v>779</v>
      </c>
      <c r="B794" s="41" t="str">
        <f t="array" ref="B794">IFERROR(IF(INDEX(Transactions!$F$8:$F$3006,MATCH(0,COUNTIF($B$11:B793,Transactions!$F$8:$F$3006),0))="","",INDEX(Transactions!$F$8:$F$3006,MATCH(0,COUNTIF($B$11:B793,Transactions!$F$8:$F$3006),0))),"")</f>
        <v/>
      </c>
      <c r="C794" s="42" t="str">
        <f>IF(B794="","",SUMIF(Transactions!$F$8:$F$3006,B794,Transactions!$H$8:$H$3006))</f>
        <v/>
      </c>
      <c r="D794" s="43" t="str">
        <f>IF(B794="","",SUMIF(Transactions!$F$8:$F$3006,B794,Transactions!$N$8:$N$3006))</f>
        <v/>
      </c>
      <c r="E794" s="44" t="str">
        <f>IF(B794="","",SUMIF(Transactions!$F$8:$F$3006,B794,Transactions!$O$8:$O$3006))</f>
        <v/>
      </c>
      <c r="F794" s="45" t="str">
        <f>IF(B794="","",SUMIF(Transactions!$F$8:$F$3006,B794,Transactions!$R$8:$R$3006))</f>
        <v/>
      </c>
      <c r="G794" s="46" t="str">
        <f>IF(B794="","",(C794+F794)-(D794+E794+SUMIF(Transactions!$F$8:$F$3006,B794,Transactions!$Q$8:$Q$3006)))</f>
        <v/>
      </c>
      <c r="H794" s="47" t="str">
        <f>IF(B794="","",IF(G794&gt;0,"OUTSTANDING",IF(G794=0,"SETTLED",IF(SUMIF(Transactions!$F$8:$F$3006,B794,Transactions!$Q$8:$Q$3006)&gt;SUMIF(Transactions!$F$8:$F$3006,B794,Transactions!$R$8:$R$3006),"OWES","OVERPAID"))))</f>
        <v/>
      </c>
      <c r="I794" s="1"/>
    </row>
    <row r="795" spans="1:9" ht="18" customHeight="1" x14ac:dyDescent="0.25">
      <c r="A795" s="48">
        <v>780</v>
      </c>
      <c r="B795" s="49" t="str">
        <f t="array" ref="B795">IFERROR(IF(INDEX(Transactions!$F$8:$F$3006,MATCH(0,COUNTIF($B$11:B794,Transactions!$F$8:$F$3006),0))="","",INDEX(Transactions!$F$8:$F$3006,MATCH(0,COUNTIF($B$11:B794,Transactions!$F$8:$F$3006),0))),"")</f>
        <v/>
      </c>
      <c r="C795" s="50" t="str">
        <f>IF(B795="","",SUMIF(Transactions!$F$8:$F$3006,B795,Transactions!$H$8:$H$3006))</f>
        <v/>
      </c>
      <c r="D795" s="51" t="str">
        <f>IF(B795="","",SUMIF(Transactions!$F$8:$F$3006,B795,Transactions!$N$8:$N$3006))</f>
        <v/>
      </c>
      <c r="E795" s="52" t="str">
        <f>IF(B795="","",SUMIF(Transactions!$F$8:$F$3006,B795,Transactions!$O$8:$O$3006))</f>
        <v/>
      </c>
      <c r="F795" s="53" t="str">
        <f>IF(B795="","",SUMIF(Transactions!$F$8:$F$3006,B795,Transactions!$R$8:$R$3006))</f>
        <v/>
      </c>
      <c r="G795" s="54" t="str">
        <f>IF(B795="","",(C795+F795)-(D795+E795+SUMIF(Transactions!$F$8:$F$3006,B795,Transactions!$Q$8:$Q$3006)))</f>
        <v/>
      </c>
      <c r="H795" s="55" t="str">
        <f>IF(B795="","",IF(G795&gt;0,"OUTSTANDING",IF(G795=0,"SETTLED",IF(SUMIF(Transactions!$F$8:$F$3006,B795,Transactions!$Q$8:$Q$3006)&gt;SUMIF(Transactions!$F$8:$F$3006,B795,Transactions!$R$8:$R$3006),"OWES","OVERPAID"))))</f>
        <v/>
      </c>
      <c r="I795" s="1"/>
    </row>
    <row r="796" spans="1:9" ht="18" customHeight="1" x14ac:dyDescent="0.25">
      <c r="A796" s="40">
        <v>781</v>
      </c>
      <c r="B796" s="41" t="str">
        <f t="array" ref="B796">IFERROR(IF(INDEX(Transactions!$F$8:$F$3006,MATCH(0,COUNTIF($B$11:B795,Transactions!$F$8:$F$3006),0))="","",INDEX(Transactions!$F$8:$F$3006,MATCH(0,COUNTIF($B$11:B795,Transactions!$F$8:$F$3006),0))),"")</f>
        <v/>
      </c>
      <c r="C796" s="42" t="str">
        <f>IF(B796="","",SUMIF(Transactions!$F$8:$F$3006,B796,Transactions!$H$8:$H$3006))</f>
        <v/>
      </c>
      <c r="D796" s="43" t="str">
        <f>IF(B796="","",SUMIF(Transactions!$F$8:$F$3006,B796,Transactions!$N$8:$N$3006))</f>
        <v/>
      </c>
      <c r="E796" s="44" t="str">
        <f>IF(B796="","",SUMIF(Transactions!$F$8:$F$3006,B796,Transactions!$O$8:$O$3006))</f>
        <v/>
      </c>
      <c r="F796" s="45" t="str">
        <f>IF(B796="","",SUMIF(Transactions!$F$8:$F$3006,B796,Transactions!$R$8:$R$3006))</f>
        <v/>
      </c>
      <c r="G796" s="46" t="str">
        <f>IF(B796="","",(C796+F796)-(D796+E796+SUMIF(Transactions!$F$8:$F$3006,B796,Transactions!$Q$8:$Q$3006)))</f>
        <v/>
      </c>
      <c r="H796" s="47" t="str">
        <f>IF(B796="","",IF(G796&gt;0,"OUTSTANDING",IF(G796=0,"SETTLED",IF(SUMIF(Transactions!$F$8:$F$3006,B796,Transactions!$Q$8:$Q$3006)&gt;SUMIF(Transactions!$F$8:$F$3006,B796,Transactions!$R$8:$R$3006),"OWES","OVERPAID"))))</f>
        <v/>
      </c>
      <c r="I796" s="1"/>
    </row>
    <row r="797" spans="1:9" ht="18" customHeight="1" x14ac:dyDescent="0.25">
      <c r="A797" s="48">
        <v>782</v>
      </c>
      <c r="B797" s="49" t="str">
        <f t="array" ref="B797">IFERROR(IF(INDEX(Transactions!$F$8:$F$3006,MATCH(0,COUNTIF($B$11:B796,Transactions!$F$8:$F$3006),0))="","",INDEX(Transactions!$F$8:$F$3006,MATCH(0,COUNTIF($B$11:B796,Transactions!$F$8:$F$3006),0))),"")</f>
        <v/>
      </c>
      <c r="C797" s="50" t="str">
        <f>IF(B797="","",SUMIF(Transactions!$F$8:$F$3006,B797,Transactions!$H$8:$H$3006))</f>
        <v/>
      </c>
      <c r="D797" s="51" t="str">
        <f>IF(B797="","",SUMIF(Transactions!$F$8:$F$3006,B797,Transactions!$N$8:$N$3006))</f>
        <v/>
      </c>
      <c r="E797" s="52" t="str">
        <f>IF(B797="","",SUMIF(Transactions!$F$8:$F$3006,B797,Transactions!$O$8:$O$3006))</f>
        <v/>
      </c>
      <c r="F797" s="53" t="str">
        <f>IF(B797="","",SUMIF(Transactions!$F$8:$F$3006,B797,Transactions!$R$8:$R$3006))</f>
        <v/>
      </c>
      <c r="G797" s="54" t="str">
        <f>IF(B797="","",(C797+F797)-(D797+E797+SUMIF(Transactions!$F$8:$F$3006,B797,Transactions!$Q$8:$Q$3006)))</f>
        <v/>
      </c>
      <c r="H797" s="55" t="str">
        <f>IF(B797="","",IF(G797&gt;0,"OUTSTANDING",IF(G797=0,"SETTLED",IF(SUMIF(Transactions!$F$8:$F$3006,B797,Transactions!$Q$8:$Q$3006)&gt;SUMIF(Transactions!$F$8:$F$3006,B797,Transactions!$R$8:$R$3006),"OWES","OVERPAID"))))</f>
        <v/>
      </c>
      <c r="I797" s="1"/>
    </row>
    <row r="798" spans="1:9" ht="18" customHeight="1" x14ac:dyDescent="0.25">
      <c r="A798" s="40">
        <v>783</v>
      </c>
      <c r="B798" s="41" t="str">
        <f t="array" ref="B798">IFERROR(IF(INDEX(Transactions!$F$8:$F$3006,MATCH(0,COUNTIF($B$11:B797,Transactions!$F$8:$F$3006),0))="","",INDEX(Transactions!$F$8:$F$3006,MATCH(0,COUNTIF($B$11:B797,Transactions!$F$8:$F$3006),0))),"")</f>
        <v/>
      </c>
      <c r="C798" s="42" t="str">
        <f>IF(B798="","",SUMIF(Transactions!$F$8:$F$3006,B798,Transactions!$H$8:$H$3006))</f>
        <v/>
      </c>
      <c r="D798" s="43" t="str">
        <f>IF(B798="","",SUMIF(Transactions!$F$8:$F$3006,B798,Transactions!$N$8:$N$3006))</f>
        <v/>
      </c>
      <c r="E798" s="44" t="str">
        <f>IF(B798="","",SUMIF(Transactions!$F$8:$F$3006,B798,Transactions!$O$8:$O$3006))</f>
        <v/>
      </c>
      <c r="F798" s="45" t="str">
        <f>IF(B798="","",SUMIF(Transactions!$F$8:$F$3006,B798,Transactions!$R$8:$R$3006))</f>
        <v/>
      </c>
      <c r="G798" s="46" t="str">
        <f>IF(B798="","",(C798+F798)-(D798+E798+SUMIF(Transactions!$F$8:$F$3006,B798,Transactions!$Q$8:$Q$3006)))</f>
        <v/>
      </c>
      <c r="H798" s="47" t="str">
        <f>IF(B798="","",IF(G798&gt;0,"OUTSTANDING",IF(G798=0,"SETTLED",IF(SUMIF(Transactions!$F$8:$F$3006,B798,Transactions!$Q$8:$Q$3006)&gt;SUMIF(Transactions!$F$8:$F$3006,B798,Transactions!$R$8:$R$3006),"OWES","OVERPAID"))))</f>
        <v/>
      </c>
      <c r="I798" s="1"/>
    </row>
    <row r="799" spans="1:9" ht="18" customHeight="1" x14ac:dyDescent="0.25">
      <c r="A799" s="48">
        <v>784</v>
      </c>
      <c r="B799" s="49" t="str">
        <f t="array" ref="B799">IFERROR(IF(INDEX(Transactions!$F$8:$F$3006,MATCH(0,COUNTIF($B$11:B798,Transactions!$F$8:$F$3006),0))="","",INDEX(Transactions!$F$8:$F$3006,MATCH(0,COUNTIF($B$11:B798,Transactions!$F$8:$F$3006),0))),"")</f>
        <v/>
      </c>
      <c r="C799" s="50" t="str">
        <f>IF(B799="","",SUMIF(Transactions!$F$8:$F$3006,B799,Transactions!$H$8:$H$3006))</f>
        <v/>
      </c>
      <c r="D799" s="51" t="str">
        <f>IF(B799="","",SUMIF(Transactions!$F$8:$F$3006,B799,Transactions!$N$8:$N$3006))</f>
        <v/>
      </c>
      <c r="E799" s="52" t="str">
        <f>IF(B799="","",SUMIF(Transactions!$F$8:$F$3006,B799,Transactions!$O$8:$O$3006))</f>
        <v/>
      </c>
      <c r="F799" s="53" t="str">
        <f>IF(B799="","",SUMIF(Transactions!$F$8:$F$3006,B799,Transactions!$R$8:$R$3006))</f>
        <v/>
      </c>
      <c r="G799" s="54" t="str">
        <f>IF(B799="","",(C799+F799)-(D799+E799+SUMIF(Transactions!$F$8:$F$3006,B799,Transactions!$Q$8:$Q$3006)))</f>
        <v/>
      </c>
      <c r="H799" s="55" t="str">
        <f>IF(B799="","",IF(G799&gt;0,"OUTSTANDING",IF(G799=0,"SETTLED",IF(SUMIF(Transactions!$F$8:$F$3006,B799,Transactions!$Q$8:$Q$3006)&gt;SUMIF(Transactions!$F$8:$F$3006,B799,Transactions!$R$8:$R$3006),"OWES","OVERPAID"))))</f>
        <v/>
      </c>
      <c r="I799" s="1"/>
    </row>
    <row r="800" spans="1:9" ht="18" customHeight="1" x14ac:dyDescent="0.25">
      <c r="A800" s="40">
        <v>785</v>
      </c>
      <c r="B800" s="41" t="str">
        <f t="array" ref="B800">IFERROR(IF(INDEX(Transactions!$F$8:$F$3006,MATCH(0,COUNTIF($B$11:B799,Transactions!$F$8:$F$3006),0))="","",INDEX(Transactions!$F$8:$F$3006,MATCH(0,COUNTIF($B$11:B799,Transactions!$F$8:$F$3006),0))),"")</f>
        <v/>
      </c>
      <c r="C800" s="42" t="str">
        <f>IF(B800="","",SUMIF(Transactions!$F$8:$F$3006,B800,Transactions!$H$8:$H$3006))</f>
        <v/>
      </c>
      <c r="D800" s="43" t="str">
        <f>IF(B800="","",SUMIF(Transactions!$F$8:$F$3006,B800,Transactions!$N$8:$N$3006))</f>
        <v/>
      </c>
      <c r="E800" s="44" t="str">
        <f>IF(B800="","",SUMIF(Transactions!$F$8:$F$3006,B800,Transactions!$O$8:$O$3006))</f>
        <v/>
      </c>
      <c r="F800" s="45" t="str">
        <f>IF(B800="","",SUMIF(Transactions!$F$8:$F$3006,B800,Transactions!$R$8:$R$3006))</f>
        <v/>
      </c>
      <c r="G800" s="46" t="str">
        <f>IF(B800="","",(C800+F800)-(D800+E800+SUMIF(Transactions!$F$8:$F$3006,B800,Transactions!$Q$8:$Q$3006)))</f>
        <v/>
      </c>
      <c r="H800" s="47" t="str">
        <f>IF(B800="","",IF(G800&gt;0,"OUTSTANDING",IF(G800=0,"SETTLED",IF(SUMIF(Transactions!$F$8:$F$3006,B800,Transactions!$Q$8:$Q$3006)&gt;SUMIF(Transactions!$F$8:$F$3006,B800,Transactions!$R$8:$R$3006),"OWES","OVERPAID"))))</f>
        <v/>
      </c>
      <c r="I800" s="1"/>
    </row>
    <row r="801" spans="1:9" ht="18" customHeight="1" x14ac:dyDescent="0.25">
      <c r="A801" s="48">
        <v>786</v>
      </c>
      <c r="B801" s="49" t="str">
        <f t="array" ref="B801">IFERROR(IF(INDEX(Transactions!$F$8:$F$3006,MATCH(0,COUNTIF($B$11:B800,Transactions!$F$8:$F$3006),0))="","",INDEX(Transactions!$F$8:$F$3006,MATCH(0,COUNTIF($B$11:B800,Transactions!$F$8:$F$3006),0))),"")</f>
        <v/>
      </c>
      <c r="C801" s="50" t="str">
        <f>IF(B801="","",SUMIF(Transactions!$F$8:$F$3006,B801,Transactions!$H$8:$H$3006))</f>
        <v/>
      </c>
      <c r="D801" s="51" t="str">
        <f>IF(B801="","",SUMIF(Transactions!$F$8:$F$3006,B801,Transactions!$N$8:$N$3006))</f>
        <v/>
      </c>
      <c r="E801" s="52" t="str">
        <f>IF(B801="","",SUMIF(Transactions!$F$8:$F$3006,B801,Transactions!$O$8:$O$3006))</f>
        <v/>
      </c>
      <c r="F801" s="53" t="str">
        <f>IF(B801="","",SUMIF(Transactions!$F$8:$F$3006,B801,Transactions!$R$8:$R$3006))</f>
        <v/>
      </c>
      <c r="G801" s="54" t="str">
        <f>IF(B801="","",(C801+F801)-(D801+E801+SUMIF(Transactions!$F$8:$F$3006,B801,Transactions!$Q$8:$Q$3006)))</f>
        <v/>
      </c>
      <c r="H801" s="55" t="str">
        <f>IF(B801="","",IF(G801&gt;0,"OUTSTANDING",IF(G801=0,"SETTLED",IF(SUMIF(Transactions!$F$8:$F$3006,B801,Transactions!$Q$8:$Q$3006)&gt;SUMIF(Transactions!$F$8:$F$3006,B801,Transactions!$R$8:$R$3006),"OWES","OVERPAID"))))</f>
        <v/>
      </c>
      <c r="I801" s="1"/>
    </row>
    <row r="802" spans="1:9" ht="18" customHeight="1" x14ac:dyDescent="0.25">
      <c r="A802" s="40">
        <v>787</v>
      </c>
      <c r="B802" s="41" t="str">
        <f t="array" ref="B802">IFERROR(IF(INDEX(Transactions!$F$8:$F$3006,MATCH(0,COUNTIF($B$11:B801,Transactions!$F$8:$F$3006),0))="","",INDEX(Transactions!$F$8:$F$3006,MATCH(0,COUNTIF($B$11:B801,Transactions!$F$8:$F$3006),0))),"")</f>
        <v/>
      </c>
      <c r="C802" s="42" t="str">
        <f>IF(B802="","",SUMIF(Transactions!$F$8:$F$3006,B802,Transactions!$H$8:$H$3006))</f>
        <v/>
      </c>
      <c r="D802" s="43" t="str">
        <f>IF(B802="","",SUMIF(Transactions!$F$8:$F$3006,B802,Transactions!$N$8:$N$3006))</f>
        <v/>
      </c>
      <c r="E802" s="44" t="str">
        <f>IF(B802="","",SUMIF(Transactions!$F$8:$F$3006,B802,Transactions!$O$8:$O$3006))</f>
        <v/>
      </c>
      <c r="F802" s="45" t="str">
        <f>IF(B802="","",SUMIF(Transactions!$F$8:$F$3006,B802,Transactions!$R$8:$R$3006))</f>
        <v/>
      </c>
      <c r="G802" s="46" t="str">
        <f>IF(B802="","",(C802+F802)-(D802+E802+SUMIF(Transactions!$F$8:$F$3006,B802,Transactions!$Q$8:$Q$3006)))</f>
        <v/>
      </c>
      <c r="H802" s="47" t="str">
        <f>IF(B802="","",IF(G802&gt;0,"OUTSTANDING",IF(G802=0,"SETTLED",IF(SUMIF(Transactions!$F$8:$F$3006,B802,Transactions!$Q$8:$Q$3006)&gt;SUMIF(Transactions!$F$8:$F$3006,B802,Transactions!$R$8:$R$3006),"OWES","OVERPAID"))))</f>
        <v/>
      </c>
      <c r="I802" s="1"/>
    </row>
    <row r="803" spans="1:9" ht="18" customHeight="1" x14ac:dyDescent="0.25">
      <c r="A803" s="48">
        <v>788</v>
      </c>
      <c r="B803" s="49" t="str">
        <f t="array" ref="B803">IFERROR(IF(INDEX(Transactions!$F$8:$F$3006,MATCH(0,COUNTIF($B$11:B802,Transactions!$F$8:$F$3006),0))="","",INDEX(Transactions!$F$8:$F$3006,MATCH(0,COUNTIF($B$11:B802,Transactions!$F$8:$F$3006),0))),"")</f>
        <v/>
      </c>
      <c r="C803" s="50" t="str">
        <f>IF(B803="","",SUMIF(Transactions!$F$8:$F$3006,B803,Transactions!$H$8:$H$3006))</f>
        <v/>
      </c>
      <c r="D803" s="51" t="str">
        <f>IF(B803="","",SUMIF(Transactions!$F$8:$F$3006,B803,Transactions!$N$8:$N$3006))</f>
        <v/>
      </c>
      <c r="E803" s="52" t="str">
        <f>IF(B803="","",SUMIF(Transactions!$F$8:$F$3006,B803,Transactions!$O$8:$O$3006))</f>
        <v/>
      </c>
      <c r="F803" s="53" t="str">
        <f>IF(B803="","",SUMIF(Transactions!$F$8:$F$3006,B803,Transactions!$R$8:$R$3006))</f>
        <v/>
      </c>
      <c r="G803" s="54" t="str">
        <f>IF(B803="","",(C803+F803)-(D803+E803+SUMIF(Transactions!$F$8:$F$3006,B803,Transactions!$Q$8:$Q$3006)))</f>
        <v/>
      </c>
      <c r="H803" s="55" t="str">
        <f>IF(B803="","",IF(G803&gt;0,"OUTSTANDING",IF(G803=0,"SETTLED",IF(SUMIF(Transactions!$F$8:$F$3006,B803,Transactions!$Q$8:$Q$3006)&gt;SUMIF(Transactions!$F$8:$F$3006,B803,Transactions!$R$8:$R$3006),"OWES","OVERPAID"))))</f>
        <v/>
      </c>
      <c r="I803" s="1"/>
    </row>
    <row r="804" spans="1:9" ht="18" customHeight="1" x14ac:dyDescent="0.25">
      <c r="A804" s="40">
        <v>789</v>
      </c>
      <c r="B804" s="41" t="str">
        <f t="array" ref="B804">IFERROR(IF(INDEX(Transactions!$F$8:$F$3006,MATCH(0,COUNTIF($B$11:B803,Transactions!$F$8:$F$3006),0))="","",INDEX(Transactions!$F$8:$F$3006,MATCH(0,COUNTIF($B$11:B803,Transactions!$F$8:$F$3006),0))),"")</f>
        <v/>
      </c>
      <c r="C804" s="42" t="str">
        <f>IF(B804="","",SUMIF(Transactions!$F$8:$F$3006,B804,Transactions!$H$8:$H$3006))</f>
        <v/>
      </c>
      <c r="D804" s="43" t="str">
        <f>IF(B804="","",SUMIF(Transactions!$F$8:$F$3006,B804,Transactions!$N$8:$N$3006))</f>
        <v/>
      </c>
      <c r="E804" s="44" t="str">
        <f>IF(B804="","",SUMIF(Transactions!$F$8:$F$3006,B804,Transactions!$O$8:$O$3006))</f>
        <v/>
      </c>
      <c r="F804" s="45" t="str">
        <f>IF(B804="","",SUMIF(Transactions!$F$8:$F$3006,B804,Transactions!$R$8:$R$3006))</f>
        <v/>
      </c>
      <c r="G804" s="46" t="str">
        <f>IF(B804="","",(C804+F804)-(D804+E804+SUMIF(Transactions!$F$8:$F$3006,B804,Transactions!$Q$8:$Q$3006)))</f>
        <v/>
      </c>
      <c r="H804" s="47" t="str">
        <f>IF(B804="","",IF(G804&gt;0,"OUTSTANDING",IF(G804=0,"SETTLED",IF(SUMIF(Transactions!$F$8:$F$3006,B804,Transactions!$Q$8:$Q$3006)&gt;SUMIF(Transactions!$F$8:$F$3006,B804,Transactions!$R$8:$R$3006),"OWES","OVERPAID"))))</f>
        <v/>
      </c>
      <c r="I804" s="1"/>
    </row>
    <row r="805" spans="1:9" ht="18" customHeight="1" x14ac:dyDescent="0.25">
      <c r="A805" s="48">
        <v>790</v>
      </c>
      <c r="B805" s="49" t="str">
        <f t="array" ref="B805">IFERROR(IF(INDEX(Transactions!$F$8:$F$3006,MATCH(0,COUNTIF($B$11:B804,Transactions!$F$8:$F$3006),0))="","",INDEX(Transactions!$F$8:$F$3006,MATCH(0,COUNTIF($B$11:B804,Transactions!$F$8:$F$3006),0))),"")</f>
        <v/>
      </c>
      <c r="C805" s="50" t="str">
        <f>IF(B805="","",SUMIF(Transactions!$F$8:$F$3006,B805,Transactions!$H$8:$H$3006))</f>
        <v/>
      </c>
      <c r="D805" s="51" t="str">
        <f>IF(B805="","",SUMIF(Transactions!$F$8:$F$3006,B805,Transactions!$N$8:$N$3006))</f>
        <v/>
      </c>
      <c r="E805" s="52" t="str">
        <f>IF(B805="","",SUMIF(Transactions!$F$8:$F$3006,B805,Transactions!$O$8:$O$3006))</f>
        <v/>
      </c>
      <c r="F805" s="53" t="str">
        <f>IF(B805="","",SUMIF(Transactions!$F$8:$F$3006,B805,Transactions!$R$8:$R$3006))</f>
        <v/>
      </c>
      <c r="G805" s="54" t="str">
        <f>IF(B805="","",(C805+F805)-(D805+E805+SUMIF(Transactions!$F$8:$F$3006,B805,Transactions!$Q$8:$Q$3006)))</f>
        <v/>
      </c>
      <c r="H805" s="55" t="str">
        <f>IF(B805="","",IF(G805&gt;0,"OUTSTANDING",IF(G805=0,"SETTLED",IF(SUMIF(Transactions!$F$8:$F$3006,B805,Transactions!$Q$8:$Q$3006)&gt;SUMIF(Transactions!$F$8:$F$3006,B805,Transactions!$R$8:$R$3006),"OWES","OVERPAID"))))</f>
        <v/>
      </c>
      <c r="I805" s="1"/>
    </row>
    <row r="806" spans="1:9" ht="18" customHeight="1" x14ac:dyDescent="0.25">
      <c r="A806" s="40">
        <v>791</v>
      </c>
      <c r="B806" s="41" t="str">
        <f t="array" ref="B806">IFERROR(IF(INDEX(Transactions!$F$8:$F$3006,MATCH(0,COUNTIF($B$11:B805,Transactions!$F$8:$F$3006),0))="","",INDEX(Transactions!$F$8:$F$3006,MATCH(0,COUNTIF($B$11:B805,Transactions!$F$8:$F$3006),0))),"")</f>
        <v/>
      </c>
      <c r="C806" s="42" t="str">
        <f>IF(B806="","",SUMIF(Transactions!$F$8:$F$3006,B806,Transactions!$H$8:$H$3006))</f>
        <v/>
      </c>
      <c r="D806" s="43" t="str">
        <f>IF(B806="","",SUMIF(Transactions!$F$8:$F$3006,B806,Transactions!$N$8:$N$3006))</f>
        <v/>
      </c>
      <c r="E806" s="44" t="str">
        <f>IF(B806="","",SUMIF(Transactions!$F$8:$F$3006,B806,Transactions!$O$8:$O$3006))</f>
        <v/>
      </c>
      <c r="F806" s="45" t="str">
        <f>IF(B806="","",SUMIF(Transactions!$F$8:$F$3006,B806,Transactions!$R$8:$R$3006))</f>
        <v/>
      </c>
      <c r="G806" s="46" t="str">
        <f>IF(B806="","",(C806+F806)-(D806+E806+SUMIF(Transactions!$F$8:$F$3006,B806,Transactions!$Q$8:$Q$3006)))</f>
        <v/>
      </c>
      <c r="H806" s="47" t="str">
        <f>IF(B806="","",IF(G806&gt;0,"OUTSTANDING",IF(G806=0,"SETTLED",IF(SUMIF(Transactions!$F$8:$F$3006,B806,Transactions!$Q$8:$Q$3006)&gt;SUMIF(Transactions!$F$8:$F$3006,B806,Transactions!$R$8:$R$3006),"OWES","OVERPAID"))))</f>
        <v/>
      </c>
      <c r="I806" s="1"/>
    </row>
    <row r="807" spans="1:9" ht="18" customHeight="1" x14ac:dyDescent="0.25">
      <c r="A807" s="48">
        <v>792</v>
      </c>
      <c r="B807" s="49" t="str">
        <f t="array" ref="B807">IFERROR(IF(INDEX(Transactions!$F$8:$F$3006,MATCH(0,COUNTIF($B$11:B806,Transactions!$F$8:$F$3006),0))="","",INDEX(Transactions!$F$8:$F$3006,MATCH(0,COUNTIF($B$11:B806,Transactions!$F$8:$F$3006),0))),"")</f>
        <v/>
      </c>
      <c r="C807" s="50" t="str">
        <f>IF(B807="","",SUMIF(Transactions!$F$8:$F$3006,B807,Transactions!$H$8:$H$3006))</f>
        <v/>
      </c>
      <c r="D807" s="51" t="str">
        <f>IF(B807="","",SUMIF(Transactions!$F$8:$F$3006,B807,Transactions!$N$8:$N$3006))</f>
        <v/>
      </c>
      <c r="E807" s="52" t="str">
        <f>IF(B807="","",SUMIF(Transactions!$F$8:$F$3006,B807,Transactions!$O$8:$O$3006))</f>
        <v/>
      </c>
      <c r="F807" s="53" t="str">
        <f>IF(B807="","",SUMIF(Transactions!$F$8:$F$3006,B807,Transactions!$R$8:$R$3006))</f>
        <v/>
      </c>
      <c r="G807" s="54" t="str">
        <f>IF(B807="","",(C807+F807)-(D807+E807+SUMIF(Transactions!$F$8:$F$3006,B807,Transactions!$Q$8:$Q$3006)))</f>
        <v/>
      </c>
      <c r="H807" s="55" t="str">
        <f>IF(B807="","",IF(G807&gt;0,"OUTSTANDING",IF(G807=0,"SETTLED",IF(SUMIF(Transactions!$F$8:$F$3006,B807,Transactions!$Q$8:$Q$3006)&gt;SUMIF(Transactions!$F$8:$F$3006,B807,Transactions!$R$8:$R$3006),"OWES","OVERPAID"))))</f>
        <v/>
      </c>
      <c r="I807" s="1"/>
    </row>
    <row r="808" spans="1:9" ht="18" customHeight="1" x14ac:dyDescent="0.25">
      <c r="A808" s="40">
        <v>793</v>
      </c>
      <c r="B808" s="41" t="str">
        <f t="array" ref="B808">IFERROR(IF(INDEX(Transactions!$F$8:$F$3006,MATCH(0,COUNTIF($B$11:B807,Transactions!$F$8:$F$3006),0))="","",INDEX(Transactions!$F$8:$F$3006,MATCH(0,COUNTIF($B$11:B807,Transactions!$F$8:$F$3006),0))),"")</f>
        <v/>
      </c>
      <c r="C808" s="42" t="str">
        <f>IF(B808="","",SUMIF(Transactions!$F$8:$F$3006,B808,Transactions!$H$8:$H$3006))</f>
        <v/>
      </c>
      <c r="D808" s="43" t="str">
        <f>IF(B808="","",SUMIF(Transactions!$F$8:$F$3006,B808,Transactions!$N$8:$N$3006))</f>
        <v/>
      </c>
      <c r="E808" s="44" t="str">
        <f>IF(B808="","",SUMIF(Transactions!$F$8:$F$3006,B808,Transactions!$O$8:$O$3006))</f>
        <v/>
      </c>
      <c r="F808" s="45" t="str">
        <f>IF(B808="","",SUMIF(Transactions!$F$8:$F$3006,B808,Transactions!$R$8:$R$3006))</f>
        <v/>
      </c>
      <c r="G808" s="46" t="str">
        <f>IF(B808="","",(C808+F808)-(D808+E808+SUMIF(Transactions!$F$8:$F$3006,B808,Transactions!$Q$8:$Q$3006)))</f>
        <v/>
      </c>
      <c r="H808" s="47" t="str">
        <f>IF(B808="","",IF(G808&gt;0,"OUTSTANDING",IF(G808=0,"SETTLED",IF(SUMIF(Transactions!$F$8:$F$3006,B808,Transactions!$Q$8:$Q$3006)&gt;SUMIF(Transactions!$F$8:$F$3006,B808,Transactions!$R$8:$R$3006),"OWES","OVERPAID"))))</f>
        <v/>
      </c>
      <c r="I808" s="1"/>
    </row>
    <row r="809" spans="1:9" ht="18" customHeight="1" x14ac:dyDescent="0.25">
      <c r="A809" s="48">
        <v>794</v>
      </c>
      <c r="B809" s="49" t="str">
        <f t="array" ref="B809">IFERROR(IF(INDEX(Transactions!$F$8:$F$3006,MATCH(0,COUNTIF($B$11:B808,Transactions!$F$8:$F$3006),0))="","",INDEX(Transactions!$F$8:$F$3006,MATCH(0,COUNTIF($B$11:B808,Transactions!$F$8:$F$3006),0))),"")</f>
        <v/>
      </c>
      <c r="C809" s="50" t="str">
        <f>IF(B809="","",SUMIF(Transactions!$F$8:$F$3006,B809,Transactions!$H$8:$H$3006))</f>
        <v/>
      </c>
      <c r="D809" s="51" t="str">
        <f>IF(B809="","",SUMIF(Transactions!$F$8:$F$3006,B809,Transactions!$N$8:$N$3006))</f>
        <v/>
      </c>
      <c r="E809" s="52" t="str">
        <f>IF(B809="","",SUMIF(Transactions!$F$8:$F$3006,B809,Transactions!$O$8:$O$3006))</f>
        <v/>
      </c>
      <c r="F809" s="53" t="str">
        <f>IF(B809="","",SUMIF(Transactions!$F$8:$F$3006,B809,Transactions!$R$8:$R$3006))</f>
        <v/>
      </c>
      <c r="G809" s="54" t="str">
        <f>IF(B809="","",(C809+F809)-(D809+E809+SUMIF(Transactions!$F$8:$F$3006,B809,Transactions!$Q$8:$Q$3006)))</f>
        <v/>
      </c>
      <c r="H809" s="55" t="str">
        <f>IF(B809="","",IF(G809&gt;0,"OUTSTANDING",IF(G809=0,"SETTLED",IF(SUMIF(Transactions!$F$8:$F$3006,B809,Transactions!$Q$8:$Q$3006)&gt;SUMIF(Transactions!$F$8:$F$3006,B809,Transactions!$R$8:$R$3006),"OWES","OVERPAID"))))</f>
        <v/>
      </c>
      <c r="I809" s="1"/>
    </row>
    <row r="810" spans="1:9" ht="18" customHeight="1" x14ac:dyDescent="0.25">
      <c r="A810" s="40">
        <v>795</v>
      </c>
      <c r="B810" s="41" t="str">
        <f t="array" ref="B810">IFERROR(IF(INDEX(Transactions!$F$8:$F$3006,MATCH(0,COUNTIF($B$11:B809,Transactions!$F$8:$F$3006),0))="","",INDEX(Transactions!$F$8:$F$3006,MATCH(0,COUNTIF($B$11:B809,Transactions!$F$8:$F$3006),0))),"")</f>
        <v/>
      </c>
      <c r="C810" s="42" t="str">
        <f>IF(B810="","",SUMIF(Transactions!$F$8:$F$3006,B810,Transactions!$H$8:$H$3006))</f>
        <v/>
      </c>
      <c r="D810" s="43" t="str">
        <f>IF(B810="","",SUMIF(Transactions!$F$8:$F$3006,B810,Transactions!$N$8:$N$3006))</f>
        <v/>
      </c>
      <c r="E810" s="44" t="str">
        <f>IF(B810="","",SUMIF(Transactions!$F$8:$F$3006,B810,Transactions!$O$8:$O$3006))</f>
        <v/>
      </c>
      <c r="F810" s="45" t="str">
        <f>IF(B810="","",SUMIF(Transactions!$F$8:$F$3006,B810,Transactions!$R$8:$R$3006))</f>
        <v/>
      </c>
      <c r="G810" s="46" t="str">
        <f>IF(B810="","",(C810+F810)-(D810+E810+SUMIF(Transactions!$F$8:$F$3006,B810,Transactions!$Q$8:$Q$3006)))</f>
        <v/>
      </c>
      <c r="H810" s="47" t="str">
        <f>IF(B810="","",IF(G810&gt;0,"OUTSTANDING",IF(G810=0,"SETTLED",IF(SUMIF(Transactions!$F$8:$F$3006,B810,Transactions!$Q$8:$Q$3006)&gt;SUMIF(Transactions!$F$8:$F$3006,B810,Transactions!$R$8:$R$3006),"OWES","OVERPAID"))))</f>
        <v/>
      </c>
      <c r="I810" s="1"/>
    </row>
    <row r="811" spans="1:9" ht="18" customHeight="1" x14ac:dyDescent="0.25">
      <c r="A811" s="48">
        <v>796</v>
      </c>
      <c r="B811" s="49" t="str">
        <f t="array" ref="B811">IFERROR(IF(INDEX(Transactions!$F$8:$F$3006,MATCH(0,COUNTIF($B$11:B810,Transactions!$F$8:$F$3006),0))="","",INDEX(Transactions!$F$8:$F$3006,MATCH(0,COUNTIF($B$11:B810,Transactions!$F$8:$F$3006),0))),"")</f>
        <v/>
      </c>
      <c r="C811" s="50" t="str">
        <f>IF(B811="","",SUMIF(Transactions!$F$8:$F$3006,B811,Transactions!$H$8:$H$3006))</f>
        <v/>
      </c>
      <c r="D811" s="51" t="str">
        <f>IF(B811="","",SUMIF(Transactions!$F$8:$F$3006,B811,Transactions!$N$8:$N$3006))</f>
        <v/>
      </c>
      <c r="E811" s="52" t="str">
        <f>IF(B811="","",SUMIF(Transactions!$F$8:$F$3006,B811,Transactions!$O$8:$O$3006))</f>
        <v/>
      </c>
      <c r="F811" s="53" t="str">
        <f>IF(B811="","",SUMIF(Transactions!$F$8:$F$3006,B811,Transactions!$R$8:$R$3006))</f>
        <v/>
      </c>
      <c r="G811" s="54" t="str">
        <f>IF(B811="","",(C811+F811)-(D811+E811+SUMIF(Transactions!$F$8:$F$3006,B811,Transactions!$Q$8:$Q$3006)))</f>
        <v/>
      </c>
      <c r="H811" s="55" t="str">
        <f>IF(B811="","",IF(G811&gt;0,"OUTSTANDING",IF(G811=0,"SETTLED",IF(SUMIF(Transactions!$F$8:$F$3006,B811,Transactions!$Q$8:$Q$3006)&gt;SUMIF(Transactions!$F$8:$F$3006,B811,Transactions!$R$8:$R$3006),"OWES","OVERPAID"))))</f>
        <v/>
      </c>
      <c r="I811" s="1"/>
    </row>
    <row r="812" spans="1:9" ht="18" customHeight="1" x14ac:dyDescent="0.25">
      <c r="A812" s="40">
        <v>797</v>
      </c>
      <c r="B812" s="41" t="str">
        <f t="array" ref="B812">IFERROR(IF(INDEX(Transactions!$F$8:$F$3006,MATCH(0,COUNTIF($B$11:B811,Transactions!$F$8:$F$3006),0))="","",INDEX(Transactions!$F$8:$F$3006,MATCH(0,COUNTIF($B$11:B811,Transactions!$F$8:$F$3006),0))),"")</f>
        <v/>
      </c>
      <c r="C812" s="42" t="str">
        <f>IF(B812="","",SUMIF(Transactions!$F$8:$F$3006,B812,Transactions!$H$8:$H$3006))</f>
        <v/>
      </c>
      <c r="D812" s="43" t="str">
        <f>IF(B812="","",SUMIF(Transactions!$F$8:$F$3006,B812,Transactions!$N$8:$N$3006))</f>
        <v/>
      </c>
      <c r="E812" s="44" t="str">
        <f>IF(B812="","",SUMIF(Transactions!$F$8:$F$3006,B812,Transactions!$O$8:$O$3006))</f>
        <v/>
      </c>
      <c r="F812" s="45" t="str">
        <f>IF(B812="","",SUMIF(Transactions!$F$8:$F$3006,B812,Transactions!$R$8:$R$3006))</f>
        <v/>
      </c>
      <c r="G812" s="46" t="str">
        <f>IF(B812="","",(C812+F812)-(D812+E812+SUMIF(Transactions!$F$8:$F$3006,B812,Transactions!$Q$8:$Q$3006)))</f>
        <v/>
      </c>
      <c r="H812" s="47" t="str">
        <f>IF(B812="","",IF(G812&gt;0,"OUTSTANDING",IF(G812=0,"SETTLED",IF(SUMIF(Transactions!$F$8:$F$3006,B812,Transactions!$Q$8:$Q$3006)&gt;SUMIF(Transactions!$F$8:$F$3006,B812,Transactions!$R$8:$R$3006),"OWES","OVERPAID"))))</f>
        <v/>
      </c>
      <c r="I812" s="1"/>
    </row>
    <row r="813" spans="1:9" ht="18" customHeight="1" x14ac:dyDescent="0.25">
      <c r="A813" s="48">
        <v>798</v>
      </c>
      <c r="B813" s="49" t="str">
        <f t="array" ref="B813">IFERROR(IF(INDEX(Transactions!$F$8:$F$3006,MATCH(0,COUNTIF($B$11:B812,Transactions!$F$8:$F$3006),0))="","",INDEX(Transactions!$F$8:$F$3006,MATCH(0,COUNTIF($B$11:B812,Transactions!$F$8:$F$3006),0))),"")</f>
        <v/>
      </c>
      <c r="C813" s="50" t="str">
        <f>IF(B813="","",SUMIF(Transactions!$F$8:$F$3006,B813,Transactions!$H$8:$H$3006))</f>
        <v/>
      </c>
      <c r="D813" s="51" t="str">
        <f>IF(B813="","",SUMIF(Transactions!$F$8:$F$3006,B813,Transactions!$N$8:$N$3006))</f>
        <v/>
      </c>
      <c r="E813" s="52" t="str">
        <f>IF(B813="","",SUMIF(Transactions!$F$8:$F$3006,B813,Transactions!$O$8:$O$3006))</f>
        <v/>
      </c>
      <c r="F813" s="53" t="str">
        <f>IF(B813="","",SUMIF(Transactions!$F$8:$F$3006,B813,Transactions!$R$8:$R$3006))</f>
        <v/>
      </c>
      <c r="G813" s="54" t="str">
        <f>IF(B813="","",(C813+F813)-(D813+E813+SUMIF(Transactions!$F$8:$F$3006,B813,Transactions!$Q$8:$Q$3006)))</f>
        <v/>
      </c>
      <c r="H813" s="55" t="str">
        <f>IF(B813="","",IF(G813&gt;0,"OUTSTANDING",IF(G813=0,"SETTLED",IF(SUMIF(Transactions!$F$8:$F$3006,B813,Transactions!$Q$8:$Q$3006)&gt;SUMIF(Transactions!$F$8:$F$3006,B813,Transactions!$R$8:$R$3006),"OWES","OVERPAID"))))</f>
        <v/>
      </c>
      <c r="I813" s="1"/>
    </row>
    <row r="814" spans="1:9" ht="18" customHeight="1" x14ac:dyDescent="0.25">
      <c r="A814" s="40">
        <v>799</v>
      </c>
      <c r="B814" s="41" t="str">
        <f t="array" ref="B814">IFERROR(IF(INDEX(Transactions!$F$8:$F$3006,MATCH(0,COUNTIF($B$11:B813,Transactions!$F$8:$F$3006),0))="","",INDEX(Transactions!$F$8:$F$3006,MATCH(0,COUNTIF($B$11:B813,Transactions!$F$8:$F$3006),0))),"")</f>
        <v/>
      </c>
      <c r="C814" s="42" t="str">
        <f>IF(B814="","",SUMIF(Transactions!$F$8:$F$3006,B814,Transactions!$H$8:$H$3006))</f>
        <v/>
      </c>
      <c r="D814" s="43" t="str">
        <f>IF(B814="","",SUMIF(Transactions!$F$8:$F$3006,B814,Transactions!$N$8:$N$3006))</f>
        <v/>
      </c>
      <c r="E814" s="44" t="str">
        <f>IF(B814="","",SUMIF(Transactions!$F$8:$F$3006,B814,Transactions!$O$8:$O$3006))</f>
        <v/>
      </c>
      <c r="F814" s="45" t="str">
        <f>IF(B814="","",SUMIF(Transactions!$F$8:$F$3006,B814,Transactions!$R$8:$R$3006))</f>
        <v/>
      </c>
      <c r="G814" s="46" t="str">
        <f>IF(B814="","",(C814+F814)-(D814+E814+SUMIF(Transactions!$F$8:$F$3006,B814,Transactions!$Q$8:$Q$3006)))</f>
        <v/>
      </c>
      <c r="H814" s="47" t="str">
        <f>IF(B814="","",IF(G814&gt;0,"OUTSTANDING",IF(G814=0,"SETTLED",IF(SUMIF(Transactions!$F$8:$F$3006,B814,Transactions!$Q$8:$Q$3006)&gt;SUMIF(Transactions!$F$8:$F$3006,B814,Transactions!$R$8:$R$3006),"OWES","OVERPAID"))))</f>
        <v/>
      </c>
      <c r="I814" s="1"/>
    </row>
    <row r="815" spans="1:9" ht="18" customHeight="1" x14ac:dyDescent="0.25">
      <c r="A815" s="48">
        <v>800</v>
      </c>
      <c r="B815" s="49" t="str">
        <f t="array" ref="B815">IFERROR(IF(INDEX(Transactions!$F$8:$F$3006,MATCH(0,COUNTIF($B$11:B814,Transactions!$F$8:$F$3006),0))="","",INDEX(Transactions!$F$8:$F$3006,MATCH(0,COUNTIF($B$11:B814,Transactions!$F$8:$F$3006),0))),"")</f>
        <v/>
      </c>
      <c r="C815" s="50" t="str">
        <f>IF(B815="","",SUMIF(Transactions!$F$8:$F$3006,B815,Transactions!$H$8:$H$3006))</f>
        <v/>
      </c>
      <c r="D815" s="51" t="str">
        <f>IF(B815="","",SUMIF(Transactions!$F$8:$F$3006,B815,Transactions!$N$8:$N$3006))</f>
        <v/>
      </c>
      <c r="E815" s="52" t="str">
        <f>IF(B815="","",SUMIF(Transactions!$F$8:$F$3006,B815,Transactions!$O$8:$O$3006))</f>
        <v/>
      </c>
      <c r="F815" s="53" t="str">
        <f>IF(B815="","",SUMIF(Transactions!$F$8:$F$3006,B815,Transactions!$R$8:$R$3006))</f>
        <v/>
      </c>
      <c r="G815" s="54" t="str">
        <f>IF(B815="","",(C815+F815)-(D815+E815+SUMIF(Transactions!$F$8:$F$3006,B815,Transactions!$Q$8:$Q$3006)))</f>
        <v/>
      </c>
      <c r="H815" s="55" t="str">
        <f>IF(B815="","",IF(G815&gt;0,"OUTSTANDING",IF(G815=0,"SETTLED",IF(SUMIF(Transactions!$F$8:$F$3006,B815,Transactions!$Q$8:$Q$3006)&gt;SUMIF(Transactions!$F$8:$F$3006,B815,Transactions!$R$8:$R$3006),"OWES","OVERPAID"))))</f>
        <v/>
      </c>
      <c r="I815" s="1"/>
    </row>
    <row r="816" spans="1:9" ht="18" customHeight="1" x14ac:dyDescent="0.25">
      <c r="A816" s="40">
        <v>801</v>
      </c>
      <c r="B816" s="41" t="str">
        <f t="array" ref="B816">IFERROR(IF(INDEX(Transactions!$F$8:$F$3006,MATCH(0,COUNTIF($B$11:B815,Transactions!$F$8:$F$3006),0))="","",INDEX(Transactions!$F$8:$F$3006,MATCH(0,COUNTIF($B$11:B815,Transactions!$F$8:$F$3006),0))),"")</f>
        <v/>
      </c>
      <c r="C816" s="42" t="str">
        <f>IF(B816="","",SUMIF(Transactions!$F$8:$F$3006,B816,Transactions!$H$8:$H$3006))</f>
        <v/>
      </c>
      <c r="D816" s="43" t="str">
        <f>IF(B816="","",SUMIF(Transactions!$F$8:$F$3006,B816,Transactions!$N$8:$N$3006))</f>
        <v/>
      </c>
      <c r="E816" s="44" t="str">
        <f>IF(B816="","",SUMIF(Transactions!$F$8:$F$3006,B816,Transactions!$O$8:$O$3006))</f>
        <v/>
      </c>
      <c r="F816" s="45" t="str">
        <f>IF(B816="","",SUMIF(Transactions!$F$8:$F$3006,B816,Transactions!$R$8:$R$3006))</f>
        <v/>
      </c>
      <c r="G816" s="46" t="str">
        <f>IF(B816="","",(C816+F816)-(D816+E816+SUMIF(Transactions!$F$8:$F$3006,B816,Transactions!$Q$8:$Q$3006)))</f>
        <v/>
      </c>
      <c r="H816" s="47" t="str">
        <f>IF(B816="","",IF(G816&gt;0,"OUTSTANDING",IF(G816=0,"SETTLED",IF(SUMIF(Transactions!$F$8:$F$3006,B816,Transactions!$Q$8:$Q$3006)&gt;SUMIF(Transactions!$F$8:$F$3006,B816,Transactions!$R$8:$R$3006),"OWES","OVERPAID"))))</f>
        <v/>
      </c>
      <c r="I816" s="1"/>
    </row>
    <row r="817" spans="1:9" ht="18" customHeight="1" x14ac:dyDescent="0.25">
      <c r="A817" s="48">
        <v>802</v>
      </c>
      <c r="B817" s="49" t="str">
        <f t="array" ref="B817">IFERROR(IF(INDEX(Transactions!$F$8:$F$3006,MATCH(0,COUNTIF($B$11:B816,Transactions!$F$8:$F$3006),0))="","",INDEX(Transactions!$F$8:$F$3006,MATCH(0,COUNTIF($B$11:B816,Transactions!$F$8:$F$3006),0))),"")</f>
        <v/>
      </c>
      <c r="C817" s="50" t="str">
        <f>IF(B817="","",SUMIF(Transactions!$F$8:$F$3006,B817,Transactions!$H$8:$H$3006))</f>
        <v/>
      </c>
      <c r="D817" s="51" t="str">
        <f>IF(B817="","",SUMIF(Transactions!$F$8:$F$3006,B817,Transactions!$N$8:$N$3006))</f>
        <v/>
      </c>
      <c r="E817" s="52" t="str">
        <f>IF(B817="","",SUMIF(Transactions!$F$8:$F$3006,B817,Transactions!$O$8:$O$3006))</f>
        <v/>
      </c>
      <c r="F817" s="53" t="str">
        <f>IF(B817="","",SUMIF(Transactions!$F$8:$F$3006,B817,Transactions!$R$8:$R$3006))</f>
        <v/>
      </c>
      <c r="G817" s="54" t="str">
        <f>IF(B817="","",(C817+F817)-(D817+E817+SUMIF(Transactions!$F$8:$F$3006,B817,Transactions!$Q$8:$Q$3006)))</f>
        <v/>
      </c>
      <c r="H817" s="55" t="str">
        <f>IF(B817="","",IF(G817&gt;0,"OUTSTANDING",IF(G817=0,"SETTLED",IF(SUMIF(Transactions!$F$8:$F$3006,B817,Transactions!$Q$8:$Q$3006)&gt;SUMIF(Transactions!$F$8:$F$3006,B817,Transactions!$R$8:$R$3006),"OWES","OVERPAID"))))</f>
        <v/>
      </c>
      <c r="I817" s="1"/>
    </row>
    <row r="818" spans="1:9" ht="18" customHeight="1" x14ac:dyDescent="0.25">
      <c r="A818" s="40">
        <v>803</v>
      </c>
      <c r="B818" s="41" t="str">
        <f t="array" ref="B818">IFERROR(IF(INDEX(Transactions!$F$8:$F$3006,MATCH(0,COUNTIF($B$11:B817,Transactions!$F$8:$F$3006),0))="","",INDEX(Transactions!$F$8:$F$3006,MATCH(0,COUNTIF($B$11:B817,Transactions!$F$8:$F$3006),0))),"")</f>
        <v/>
      </c>
      <c r="C818" s="42" t="str">
        <f>IF(B818="","",SUMIF(Transactions!$F$8:$F$3006,B818,Transactions!$H$8:$H$3006))</f>
        <v/>
      </c>
      <c r="D818" s="43" t="str">
        <f>IF(B818="","",SUMIF(Transactions!$F$8:$F$3006,B818,Transactions!$N$8:$N$3006))</f>
        <v/>
      </c>
      <c r="E818" s="44" t="str">
        <f>IF(B818="","",SUMIF(Transactions!$F$8:$F$3006,B818,Transactions!$O$8:$O$3006))</f>
        <v/>
      </c>
      <c r="F818" s="45" t="str">
        <f>IF(B818="","",SUMIF(Transactions!$F$8:$F$3006,B818,Transactions!$R$8:$R$3006))</f>
        <v/>
      </c>
      <c r="G818" s="46" t="str">
        <f>IF(B818="","",(C818+F818)-(D818+E818+SUMIF(Transactions!$F$8:$F$3006,B818,Transactions!$Q$8:$Q$3006)))</f>
        <v/>
      </c>
      <c r="H818" s="47" t="str">
        <f>IF(B818="","",IF(G818&gt;0,"OUTSTANDING",IF(G818=0,"SETTLED",IF(SUMIF(Transactions!$F$8:$F$3006,B818,Transactions!$Q$8:$Q$3006)&gt;SUMIF(Transactions!$F$8:$F$3006,B818,Transactions!$R$8:$R$3006),"OWES","OVERPAID"))))</f>
        <v/>
      </c>
      <c r="I818" s="1"/>
    </row>
    <row r="819" spans="1:9" ht="18" customHeight="1" x14ac:dyDescent="0.25">
      <c r="A819" s="48">
        <v>804</v>
      </c>
      <c r="B819" s="49" t="str">
        <f t="array" ref="B819">IFERROR(IF(INDEX(Transactions!$F$8:$F$3006,MATCH(0,COUNTIF($B$11:B818,Transactions!$F$8:$F$3006),0))="","",INDEX(Transactions!$F$8:$F$3006,MATCH(0,COUNTIF($B$11:B818,Transactions!$F$8:$F$3006),0))),"")</f>
        <v/>
      </c>
      <c r="C819" s="50" t="str">
        <f>IF(B819="","",SUMIF(Transactions!$F$8:$F$3006,B819,Transactions!$H$8:$H$3006))</f>
        <v/>
      </c>
      <c r="D819" s="51" t="str">
        <f>IF(B819="","",SUMIF(Transactions!$F$8:$F$3006,B819,Transactions!$N$8:$N$3006))</f>
        <v/>
      </c>
      <c r="E819" s="52" t="str">
        <f>IF(B819="","",SUMIF(Transactions!$F$8:$F$3006,B819,Transactions!$O$8:$O$3006))</f>
        <v/>
      </c>
      <c r="F819" s="53" t="str">
        <f>IF(B819="","",SUMIF(Transactions!$F$8:$F$3006,B819,Transactions!$R$8:$R$3006))</f>
        <v/>
      </c>
      <c r="G819" s="54" t="str">
        <f>IF(B819="","",(C819+F819)-(D819+E819+SUMIF(Transactions!$F$8:$F$3006,B819,Transactions!$Q$8:$Q$3006)))</f>
        <v/>
      </c>
      <c r="H819" s="55" t="str">
        <f>IF(B819="","",IF(G819&gt;0,"OUTSTANDING",IF(G819=0,"SETTLED",IF(SUMIF(Transactions!$F$8:$F$3006,B819,Transactions!$Q$8:$Q$3006)&gt;SUMIF(Transactions!$F$8:$F$3006,B819,Transactions!$R$8:$R$3006),"OWES","OVERPAID"))))</f>
        <v/>
      </c>
      <c r="I819" s="1"/>
    </row>
    <row r="820" spans="1:9" ht="18" customHeight="1" x14ac:dyDescent="0.25">
      <c r="A820" s="40">
        <v>805</v>
      </c>
      <c r="B820" s="41" t="str">
        <f t="array" ref="B820">IFERROR(IF(INDEX(Transactions!$F$8:$F$3006,MATCH(0,COUNTIF($B$11:B819,Transactions!$F$8:$F$3006),0))="","",INDEX(Transactions!$F$8:$F$3006,MATCH(0,COUNTIF($B$11:B819,Transactions!$F$8:$F$3006),0))),"")</f>
        <v/>
      </c>
      <c r="C820" s="42" t="str">
        <f>IF(B820="","",SUMIF(Transactions!$F$8:$F$3006,B820,Transactions!$H$8:$H$3006))</f>
        <v/>
      </c>
      <c r="D820" s="43" t="str">
        <f>IF(B820="","",SUMIF(Transactions!$F$8:$F$3006,B820,Transactions!$N$8:$N$3006))</f>
        <v/>
      </c>
      <c r="E820" s="44" t="str">
        <f>IF(B820="","",SUMIF(Transactions!$F$8:$F$3006,B820,Transactions!$O$8:$O$3006))</f>
        <v/>
      </c>
      <c r="F820" s="45" t="str">
        <f>IF(B820="","",SUMIF(Transactions!$F$8:$F$3006,B820,Transactions!$R$8:$R$3006))</f>
        <v/>
      </c>
      <c r="G820" s="46" t="str">
        <f>IF(B820="","",(C820+F820)-(D820+E820+SUMIF(Transactions!$F$8:$F$3006,B820,Transactions!$Q$8:$Q$3006)))</f>
        <v/>
      </c>
      <c r="H820" s="47" t="str">
        <f>IF(B820="","",IF(G820&gt;0,"OUTSTANDING",IF(G820=0,"SETTLED",IF(SUMIF(Transactions!$F$8:$F$3006,B820,Transactions!$Q$8:$Q$3006)&gt;SUMIF(Transactions!$F$8:$F$3006,B820,Transactions!$R$8:$R$3006),"OWES","OVERPAID"))))</f>
        <v/>
      </c>
      <c r="I820" s="1"/>
    </row>
    <row r="821" spans="1:9" ht="18" customHeight="1" x14ac:dyDescent="0.25">
      <c r="A821" s="48">
        <v>806</v>
      </c>
      <c r="B821" s="49" t="str">
        <f t="array" ref="B821">IFERROR(IF(INDEX(Transactions!$F$8:$F$3006,MATCH(0,COUNTIF($B$11:B820,Transactions!$F$8:$F$3006),0))="","",INDEX(Transactions!$F$8:$F$3006,MATCH(0,COUNTIF($B$11:B820,Transactions!$F$8:$F$3006),0))),"")</f>
        <v/>
      </c>
      <c r="C821" s="50" t="str">
        <f>IF(B821="","",SUMIF(Transactions!$F$8:$F$3006,B821,Transactions!$H$8:$H$3006))</f>
        <v/>
      </c>
      <c r="D821" s="51" t="str">
        <f>IF(B821="","",SUMIF(Transactions!$F$8:$F$3006,B821,Transactions!$N$8:$N$3006))</f>
        <v/>
      </c>
      <c r="E821" s="52" t="str">
        <f>IF(B821="","",SUMIF(Transactions!$F$8:$F$3006,B821,Transactions!$O$8:$O$3006))</f>
        <v/>
      </c>
      <c r="F821" s="53" t="str">
        <f>IF(B821="","",SUMIF(Transactions!$F$8:$F$3006,B821,Transactions!$R$8:$R$3006))</f>
        <v/>
      </c>
      <c r="G821" s="54" t="str">
        <f>IF(B821="","",(C821+F821)-(D821+E821+SUMIF(Transactions!$F$8:$F$3006,B821,Transactions!$Q$8:$Q$3006)))</f>
        <v/>
      </c>
      <c r="H821" s="55" t="str">
        <f>IF(B821="","",IF(G821&gt;0,"OUTSTANDING",IF(G821=0,"SETTLED",IF(SUMIF(Transactions!$F$8:$F$3006,B821,Transactions!$Q$8:$Q$3006)&gt;SUMIF(Transactions!$F$8:$F$3006,B821,Transactions!$R$8:$R$3006),"OWES","OVERPAID"))))</f>
        <v/>
      </c>
      <c r="I821" s="1"/>
    </row>
    <row r="822" spans="1:9" ht="18" customHeight="1" x14ac:dyDescent="0.25">
      <c r="A822" s="40">
        <v>807</v>
      </c>
      <c r="B822" s="41" t="str">
        <f t="array" ref="B822">IFERROR(IF(INDEX(Transactions!$F$8:$F$3006,MATCH(0,COUNTIF($B$11:B821,Transactions!$F$8:$F$3006),0))="","",INDEX(Transactions!$F$8:$F$3006,MATCH(0,COUNTIF($B$11:B821,Transactions!$F$8:$F$3006),0))),"")</f>
        <v/>
      </c>
      <c r="C822" s="42" t="str">
        <f>IF(B822="","",SUMIF(Transactions!$F$8:$F$3006,B822,Transactions!$H$8:$H$3006))</f>
        <v/>
      </c>
      <c r="D822" s="43" t="str">
        <f>IF(B822="","",SUMIF(Transactions!$F$8:$F$3006,B822,Transactions!$N$8:$N$3006))</f>
        <v/>
      </c>
      <c r="E822" s="44" t="str">
        <f>IF(B822="","",SUMIF(Transactions!$F$8:$F$3006,B822,Transactions!$O$8:$O$3006))</f>
        <v/>
      </c>
      <c r="F822" s="45" t="str">
        <f>IF(B822="","",SUMIF(Transactions!$F$8:$F$3006,B822,Transactions!$R$8:$R$3006))</f>
        <v/>
      </c>
      <c r="G822" s="46" t="str">
        <f>IF(B822="","",(C822+F822)-(D822+E822+SUMIF(Transactions!$F$8:$F$3006,B822,Transactions!$Q$8:$Q$3006)))</f>
        <v/>
      </c>
      <c r="H822" s="47" t="str">
        <f>IF(B822="","",IF(G822&gt;0,"OUTSTANDING",IF(G822=0,"SETTLED",IF(SUMIF(Transactions!$F$8:$F$3006,B822,Transactions!$Q$8:$Q$3006)&gt;SUMIF(Transactions!$F$8:$F$3006,B822,Transactions!$R$8:$R$3006),"OWES","OVERPAID"))))</f>
        <v/>
      </c>
      <c r="I822" s="1"/>
    </row>
    <row r="823" spans="1:9" ht="18" customHeight="1" x14ac:dyDescent="0.25">
      <c r="A823" s="48">
        <v>808</v>
      </c>
      <c r="B823" s="49" t="str">
        <f t="array" ref="B823">IFERROR(IF(INDEX(Transactions!$F$8:$F$3006,MATCH(0,COUNTIF($B$11:B822,Transactions!$F$8:$F$3006),0))="","",INDEX(Transactions!$F$8:$F$3006,MATCH(0,COUNTIF($B$11:B822,Transactions!$F$8:$F$3006),0))),"")</f>
        <v/>
      </c>
      <c r="C823" s="50" t="str">
        <f>IF(B823="","",SUMIF(Transactions!$F$8:$F$3006,B823,Transactions!$H$8:$H$3006))</f>
        <v/>
      </c>
      <c r="D823" s="51" t="str">
        <f>IF(B823="","",SUMIF(Transactions!$F$8:$F$3006,B823,Transactions!$N$8:$N$3006))</f>
        <v/>
      </c>
      <c r="E823" s="52" t="str">
        <f>IF(B823="","",SUMIF(Transactions!$F$8:$F$3006,B823,Transactions!$O$8:$O$3006))</f>
        <v/>
      </c>
      <c r="F823" s="53" t="str">
        <f>IF(B823="","",SUMIF(Transactions!$F$8:$F$3006,B823,Transactions!$R$8:$R$3006))</f>
        <v/>
      </c>
      <c r="G823" s="54" t="str">
        <f>IF(B823="","",(C823+F823)-(D823+E823+SUMIF(Transactions!$F$8:$F$3006,B823,Transactions!$Q$8:$Q$3006)))</f>
        <v/>
      </c>
      <c r="H823" s="55" t="str">
        <f>IF(B823="","",IF(G823&gt;0,"OUTSTANDING",IF(G823=0,"SETTLED",IF(SUMIF(Transactions!$F$8:$F$3006,B823,Transactions!$Q$8:$Q$3006)&gt;SUMIF(Transactions!$F$8:$F$3006,B823,Transactions!$R$8:$R$3006),"OWES","OVERPAID"))))</f>
        <v/>
      </c>
      <c r="I823" s="1"/>
    </row>
    <row r="824" spans="1:9" ht="18" customHeight="1" x14ac:dyDescent="0.25">
      <c r="A824" s="40">
        <v>809</v>
      </c>
      <c r="B824" s="41" t="str">
        <f t="array" ref="B824">IFERROR(IF(INDEX(Transactions!$F$8:$F$3006,MATCH(0,COUNTIF($B$11:B823,Transactions!$F$8:$F$3006),0))="","",INDEX(Transactions!$F$8:$F$3006,MATCH(0,COUNTIF($B$11:B823,Transactions!$F$8:$F$3006),0))),"")</f>
        <v/>
      </c>
      <c r="C824" s="42" t="str">
        <f>IF(B824="","",SUMIF(Transactions!$F$8:$F$3006,B824,Transactions!$H$8:$H$3006))</f>
        <v/>
      </c>
      <c r="D824" s="43" t="str">
        <f>IF(B824="","",SUMIF(Transactions!$F$8:$F$3006,B824,Transactions!$N$8:$N$3006))</f>
        <v/>
      </c>
      <c r="E824" s="44" t="str">
        <f>IF(B824="","",SUMIF(Transactions!$F$8:$F$3006,B824,Transactions!$O$8:$O$3006))</f>
        <v/>
      </c>
      <c r="F824" s="45" t="str">
        <f>IF(B824="","",SUMIF(Transactions!$F$8:$F$3006,B824,Transactions!$R$8:$R$3006))</f>
        <v/>
      </c>
      <c r="G824" s="46" t="str">
        <f>IF(B824="","",(C824+F824)-(D824+E824+SUMIF(Transactions!$F$8:$F$3006,B824,Transactions!$Q$8:$Q$3006)))</f>
        <v/>
      </c>
      <c r="H824" s="47" t="str">
        <f>IF(B824="","",IF(G824&gt;0,"OUTSTANDING",IF(G824=0,"SETTLED",IF(SUMIF(Transactions!$F$8:$F$3006,B824,Transactions!$Q$8:$Q$3006)&gt;SUMIF(Transactions!$F$8:$F$3006,B824,Transactions!$R$8:$R$3006),"OWES","OVERPAID"))))</f>
        <v/>
      </c>
      <c r="I824" s="1"/>
    </row>
    <row r="825" spans="1:9" ht="18" customHeight="1" x14ac:dyDescent="0.25">
      <c r="A825" s="48">
        <v>810</v>
      </c>
      <c r="B825" s="49" t="str">
        <f t="array" ref="B825">IFERROR(IF(INDEX(Transactions!$F$8:$F$3006,MATCH(0,COUNTIF($B$11:B824,Transactions!$F$8:$F$3006),0))="","",INDEX(Transactions!$F$8:$F$3006,MATCH(0,COUNTIF($B$11:B824,Transactions!$F$8:$F$3006),0))),"")</f>
        <v/>
      </c>
      <c r="C825" s="50" t="str">
        <f>IF(B825="","",SUMIF(Transactions!$F$8:$F$3006,B825,Transactions!$H$8:$H$3006))</f>
        <v/>
      </c>
      <c r="D825" s="51" t="str">
        <f>IF(B825="","",SUMIF(Transactions!$F$8:$F$3006,B825,Transactions!$N$8:$N$3006))</f>
        <v/>
      </c>
      <c r="E825" s="52" t="str">
        <f>IF(B825="","",SUMIF(Transactions!$F$8:$F$3006,B825,Transactions!$O$8:$O$3006))</f>
        <v/>
      </c>
      <c r="F825" s="53" t="str">
        <f>IF(B825="","",SUMIF(Transactions!$F$8:$F$3006,B825,Transactions!$R$8:$R$3006))</f>
        <v/>
      </c>
      <c r="G825" s="54" t="str">
        <f>IF(B825="","",(C825+F825)-(D825+E825+SUMIF(Transactions!$F$8:$F$3006,B825,Transactions!$Q$8:$Q$3006)))</f>
        <v/>
      </c>
      <c r="H825" s="55" t="str">
        <f>IF(B825="","",IF(G825&gt;0,"OUTSTANDING",IF(G825=0,"SETTLED",IF(SUMIF(Transactions!$F$8:$F$3006,B825,Transactions!$Q$8:$Q$3006)&gt;SUMIF(Transactions!$F$8:$F$3006,B825,Transactions!$R$8:$R$3006),"OWES","OVERPAID"))))</f>
        <v/>
      </c>
      <c r="I825" s="1"/>
    </row>
    <row r="826" spans="1:9" ht="18" customHeight="1" x14ac:dyDescent="0.25">
      <c r="A826" s="40">
        <v>811</v>
      </c>
      <c r="B826" s="41" t="str">
        <f t="array" ref="B826">IFERROR(IF(INDEX(Transactions!$F$8:$F$3006,MATCH(0,COUNTIF($B$11:B825,Transactions!$F$8:$F$3006),0))="","",INDEX(Transactions!$F$8:$F$3006,MATCH(0,COUNTIF($B$11:B825,Transactions!$F$8:$F$3006),0))),"")</f>
        <v/>
      </c>
      <c r="C826" s="42" t="str">
        <f>IF(B826="","",SUMIF(Transactions!$F$8:$F$3006,B826,Transactions!$H$8:$H$3006))</f>
        <v/>
      </c>
      <c r="D826" s="43" t="str">
        <f>IF(B826="","",SUMIF(Transactions!$F$8:$F$3006,B826,Transactions!$N$8:$N$3006))</f>
        <v/>
      </c>
      <c r="E826" s="44" t="str">
        <f>IF(B826="","",SUMIF(Transactions!$F$8:$F$3006,B826,Transactions!$O$8:$O$3006))</f>
        <v/>
      </c>
      <c r="F826" s="45" t="str">
        <f>IF(B826="","",SUMIF(Transactions!$F$8:$F$3006,B826,Transactions!$R$8:$R$3006))</f>
        <v/>
      </c>
      <c r="G826" s="46" t="str">
        <f>IF(B826="","",(C826+F826)-(D826+E826+SUMIF(Transactions!$F$8:$F$3006,B826,Transactions!$Q$8:$Q$3006)))</f>
        <v/>
      </c>
      <c r="H826" s="47" t="str">
        <f>IF(B826="","",IF(G826&gt;0,"OUTSTANDING",IF(G826=0,"SETTLED",IF(SUMIF(Transactions!$F$8:$F$3006,B826,Transactions!$Q$8:$Q$3006)&gt;SUMIF(Transactions!$F$8:$F$3006,B826,Transactions!$R$8:$R$3006),"OWES","OVERPAID"))))</f>
        <v/>
      </c>
      <c r="I826" s="1"/>
    </row>
    <row r="827" spans="1:9" ht="18" customHeight="1" x14ac:dyDescent="0.25">
      <c r="A827" s="48">
        <v>812</v>
      </c>
      <c r="B827" s="49" t="str">
        <f t="array" ref="B827">IFERROR(IF(INDEX(Transactions!$F$8:$F$3006,MATCH(0,COUNTIF($B$11:B826,Transactions!$F$8:$F$3006),0))="","",INDEX(Transactions!$F$8:$F$3006,MATCH(0,COUNTIF($B$11:B826,Transactions!$F$8:$F$3006),0))),"")</f>
        <v/>
      </c>
      <c r="C827" s="50" t="str">
        <f>IF(B827="","",SUMIF(Transactions!$F$8:$F$3006,B827,Transactions!$H$8:$H$3006))</f>
        <v/>
      </c>
      <c r="D827" s="51" t="str">
        <f>IF(B827="","",SUMIF(Transactions!$F$8:$F$3006,B827,Transactions!$N$8:$N$3006))</f>
        <v/>
      </c>
      <c r="E827" s="52" t="str">
        <f>IF(B827="","",SUMIF(Transactions!$F$8:$F$3006,B827,Transactions!$O$8:$O$3006))</f>
        <v/>
      </c>
      <c r="F827" s="53" t="str">
        <f>IF(B827="","",SUMIF(Transactions!$F$8:$F$3006,B827,Transactions!$R$8:$R$3006))</f>
        <v/>
      </c>
      <c r="G827" s="54" t="str">
        <f>IF(B827="","",(C827+F827)-(D827+E827+SUMIF(Transactions!$F$8:$F$3006,B827,Transactions!$Q$8:$Q$3006)))</f>
        <v/>
      </c>
      <c r="H827" s="55" t="str">
        <f>IF(B827="","",IF(G827&gt;0,"OUTSTANDING",IF(G827=0,"SETTLED",IF(SUMIF(Transactions!$F$8:$F$3006,B827,Transactions!$Q$8:$Q$3006)&gt;SUMIF(Transactions!$F$8:$F$3006,B827,Transactions!$R$8:$R$3006),"OWES","OVERPAID"))))</f>
        <v/>
      </c>
      <c r="I827" s="1"/>
    </row>
    <row r="828" spans="1:9" ht="18" customHeight="1" x14ac:dyDescent="0.25">
      <c r="A828" s="40">
        <v>813</v>
      </c>
      <c r="B828" s="41" t="str">
        <f t="array" ref="B828">IFERROR(IF(INDEX(Transactions!$F$8:$F$3006,MATCH(0,COUNTIF($B$11:B827,Transactions!$F$8:$F$3006),0))="","",INDEX(Transactions!$F$8:$F$3006,MATCH(0,COUNTIF($B$11:B827,Transactions!$F$8:$F$3006),0))),"")</f>
        <v/>
      </c>
      <c r="C828" s="42" t="str">
        <f>IF(B828="","",SUMIF(Transactions!$F$8:$F$3006,B828,Transactions!$H$8:$H$3006))</f>
        <v/>
      </c>
      <c r="D828" s="43" t="str">
        <f>IF(B828="","",SUMIF(Transactions!$F$8:$F$3006,B828,Transactions!$N$8:$N$3006))</f>
        <v/>
      </c>
      <c r="E828" s="44" t="str">
        <f>IF(B828="","",SUMIF(Transactions!$F$8:$F$3006,B828,Transactions!$O$8:$O$3006))</f>
        <v/>
      </c>
      <c r="F828" s="45" t="str">
        <f>IF(B828="","",SUMIF(Transactions!$F$8:$F$3006,B828,Transactions!$R$8:$R$3006))</f>
        <v/>
      </c>
      <c r="G828" s="46" t="str">
        <f>IF(B828="","",(C828+F828)-(D828+E828+SUMIF(Transactions!$F$8:$F$3006,B828,Transactions!$Q$8:$Q$3006)))</f>
        <v/>
      </c>
      <c r="H828" s="47" t="str">
        <f>IF(B828="","",IF(G828&gt;0,"OUTSTANDING",IF(G828=0,"SETTLED",IF(SUMIF(Transactions!$F$8:$F$3006,B828,Transactions!$Q$8:$Q$3006)&gt;SUMIF(Transactions!$F$8:$F$3006,B828,Transactions!$R$8:$R$3006),"OWES","OVERPAID"))))</f>
        <v/>
      </c>
      <c r="I828" s="1"/>
    </row>
    <row r="829" spans="1:9" ht="18" customHeight="1" x14ac:dyDescent="0.25">
      <c r="A829" s="48">
        <v>814</v>
      </c>
      <c r="B829" s="49" t="str">
        <f t="array" ref="B829">IFERROR(IF(INDEX(Transactions!$F$8:$F$3006,MATCH(0,COUNTIF($B$11:B828,Transactions!$F$8:$F$3006),0))="","",INDEX(Transactions!$F$8:$F$3006,MATCH(0,COUNTIF($B$11:B828,Transactions!$F$8:$F$3006),0))),"")</f>
        <v/>
      </c>
      <c r="C829" s="50" t="str">
        <f>IF(B829="","",SUMIF(Transactions!$F$8:$F$3006,B829,Transactions!$H$8:$H$3006))</f>
        <v/>
      </c>
      <c r="D829" s="51" t="str">
        <f>IF(B829="","",SUMIF(Transactions!$F$8:$F$3006,B829,Transactions!$N$8:$N$3006))</f>
        <v/>
      </c>
      <c r="E829" s="52" t="str">
        <f>IF(B829="","",SUMIF(Transactions!$F$8:$F$3006,B829,Transactions!$O$8:$O$3006))</f>
        <v/>
      </c>
      <c r="F829" s="53" t="str">
        <f>IF(B829="","",SUMIF(Transactions!$F$8:$F$3006,B829,Transactions!$R$8:$R$3006))</f>
        <v/>
      </c>
      <c r="G829" s="54" t="str">
        <f>IF(B829="","",(C829+F829)-(D829+E829+SUMIF(Transactions!$F$8:$F$3006,B829,Transactions!$Q$8:$Q$3006)))</f>
        <v/>
      </c>
      <c r="H829" s="55" t="str">
        <f>IF(B829="","",IF(G829&gt;0,"OUTSTANDING",IF(G829=0,"SETTLED",IF(SUMIF(Transactions!$F$8:$F$3006,B829,Transactions!$Q$8:$Q$3006)&gt;SUMIF(Transactions!$F$8:$F$3006,B829,Transactions!$R$8:$R$3006),"OWES","OVERPAID"))))</f>
        <v/>
      </c>
      <c r="I829" s="1"/>
    </row>
    <row r="830" spans="1:9" ht="18" customHeight="1" x14ac:dyDescent="0.25">
      <c r="A830" s="40">
        <v>815</v>
      </c>
      <c r="B830" s="41" t="str">
        <f t="array" ref="B830">IFERROR(IF(INDEX(Transactions!$F$8:$F$3006,MATCH(0,COUNTIF($B$11:B829,Transactions!$F$8:$F$3006),0))="","",INDEX(Transactions!$F$8:$F$3006,MATCH(0,COUNTIF($B$11:B829,Transactions!$F$8:$F$3006),0))),"")</f>
        <v/>
      </c>
      <c r="C830" s="42" t="str">
        <f>IF(B830="","",SUMIF(Transactions!$F$8:$F$3006,B830,Transactions!$H$8:$H$3006))</f>
        <v/>
      </c>
      <c r="D830" s="43" t="str">
        <f>IF(B830="","",SUMIF(Transactions!$F$8:$F$3006,B830,Transactions!$N$8:$N$3006))</f>
        <v/>
      </c>
      <c r="E830" s="44" t="str">
        <f>IF(B830="","",SUMIF(Transactions!$F$8:$F$3006,B830,Transactions!$O$8:$O$3006))</f>
        <v/>
      </c>
      <c r="F830" s="45" t="str">
        <f>IF(B830="","",SUMIF(Transactions!$F$8:$F$3006,B830,Transactions!$R$8:$R$3006))</f>
        <v/>
      </c>
      <c r="G830" s="46" t="str">
        <f>IF(B830="","",(C830+F830)-(D830+E830+SUMIF(Transactions!$F$8:$F$3006,B830,Transactions!$Q$8:$Q$3006)))</f>
        <v/>
      </c>
      <c r="H830" s="47" t="str">
        <f>IF(B830="","",IF(G830&gt;0,"OUTSTANDING",IF(G830=0,"SETTLED",IF(SUMIF(Transactions!$F$8:$F$3006,B830,Transactions!$Q$8:$Q$3006)&gt;SUMIF(Transactions!$F$8:$F$3006,B830,Transactions!$R$8:$R$3006),"OWES","OVERPAID"))))</f>
        <v/>
      </c>
      <c r="I830" s="1"/>
    </row>
    <row r="831" spans="1:9" ht="18" customHeight="1" x14ac:dyDescent="0.25">
      <c r="A831" s="48">
        <v>816</v>
      </c>
      <c r="B831" s="49" t="str">
        <f t="array" ref="B831">IFERROR(IF(INDEX(Transactions!$F$8:$F$3006,MATCH(0,COUNTIF($B$11:B830,Transactions!$F$8:$F$3006),0))="","",INDEX(Transactions!$F$8:$F$3006,MATCH(0,COUNTIF($B$11:B830,Transactions!$F$8:$F$3006),0))),"")</f>
        <v/>
      </c>
      <c r="C831" s="50" t="str">
        <f>IF(B831="","",SUMIF(Transactions!$F$8:$F$3006,B831,Transactions!$H$8:$H$3006))</f>
        <v/>
      </c>
      <c r="D831" s="51" t="str">
        <f>IF(B831="","",SUMIF(Transactions!$F$8:$F$3006,B831,Transactions!$N$8:$N$3006))</f>
        <v/>
      </c>
      <c r="E831" s="52" t="str">
        <f>IF(B831="","",SUMIF(Transactions!$F$8:$F$3006,B831,Transactions!$O$8:$O$3006))</f>
        <v/>
      </c>
      <c r="F831" s="53" t="str">
        <f>IF(B831="","",SUMIF(Transactions!$F$8:$F$3006,B831,Transactions!$R$8:$R$3006))</f>
        <v/>
      </c>
      <c r="G831" s="54" t="str">
        <f>IF(B831="","",(C831+F831)-(D831+E831+SUMIF(Transactions!$F$8:$F$3006,B831,Transactions!$Q$8:$Q$3006)))</f>
        <v/>
      </c>
      <c r="H831" s="55" t="str">
        <f>IF(B831="","",IF(G831&gt;0,"OUTSTANDING",IF(G831=0,"SETTLED",IF(SUMIF(Transactions!$F$8:$F$3006,B831,Transactions!$Q$8:$Q$3006)&gt;SUMIF(Transactions!$F$8:$F$3006,B831,Transactions!$R$8:$R$3006),"OWES","OVERPAID"))))</f>
        <v/>
      </c>
      <c r="I831" s="1"/>
    </row>
    <row r="832" spans="1:9" ht="18" customHeight="1" x14ac:dyDescent="0.25">
      <c r="A832" s="40">
        <v>817</v>
      </c>
      <c r="B832" s="41" t="str">
        <f t="array" ref="B832">IFERROR(IF(INDEX(Transactions!$F$8:$F$3006,MATCH(0,COUNTIF($B$11:B831,Transactions!$F$8:$F$3006),0))="","",INDEX(Transactions!$F$8:$F$3006,MATCH(0,COUNTIF($B$11:B831,Transactions!$F$8:$F$3006),0))),"")</f>
        <v/>
      </c>
      <c r="C832" s="42" t="str">
        <f>IF(B832="","",SUMIF(Transactions!$F$8:$F$3006,B832,Transactions!$H$8:$H$3006))</f>
        <v/>
      </c>
      <c r="D832" s="43" t="str">
        <f>IF(B832="","",SUMIF(Transactions!$F$8:$F$3006,B832,Transactions!$N$8:$N$3006))</f>
        <v/>
      </c>
      <c r="E832" s="44" t="str">
        <f>IF(B832="","",SUMIF(Transactions!$F$8:$F$3006,B832,Transactions!$O$8:$O$3006))</f>
        <v/>
      </c>
      <c r="F832" s="45" t="str">
        <f>IF(B832="","",SUMIF(Transactions!$F$8:$F$3006,B832,Transactions!$R$8:$R$3006))</f>
        <v/>
      </c>
      <c r="G832" s="46" t="str">
        <f>IF(B832="","",(C832+F832)-(D832+E832+SUMIF(Transactions!$F$8:$F$3006,B832,Transactions!$Q$8:$Q$3006)))</f>
        <v/>
      </c>
      <c r="H832" s="47" t="str">
        <f>IF(B832="","",IF(G832&gt;0,"OUTSTANDING",IF(G832=0,"SETTLED",IF(SUMIF(Transactions!$F$8:$F$3006,B832,Transactions!$Q$8:$Q$3006)&gt;SUMIF(Transactions!$F$8:$F$3006,B832,Transactions!$R$8:$R$3006),"OWES","OVERPAID"))))</f>
        <v/>
      </c>
      <c r="I832" s="1"/>
    </row>
    <row r="833" spans="1:9" ht="18" customHeight="1" x14ac:dyDescent="0.25">
      <c r="A833" s="48">
        <v>818</v>
      </c>
      <c r="B833" s="49" t="str">
        <f t="array" ref="B833">IFERROR(IF(INDEX(Transactions!$F$8:$F$3006,MATCH(0,COUNTIF($B$11:B832,Transactions!$F$8:$F$3006),0))="","",INDEX(Transactions!$F$8:$F$3006,MATCH(0,COUNTIF($B$11:B832,Transactions!$F$8:$F$3006),0))),"")</f>
        <v/>
      </c>
      <c r="C833" s="50" t="str">
        <f>IF(B833="","",SUMIF(Transactions!$F$8:$F$3006,B833,Transactions!$H$8:$H$3006))</f>
        <v/>
      </c>
      <c r="D833" s="51" t="str">
        <f>IF(B833="","",SUMIF(Transactions!$F$8:$F$3006,B833,Transactions!$N$8:$N$3006))</f>
        <v/>
      </c>
      <c r="E833" s="52" t="str">
        <f>IF(B833="","",SUMIF(Transactions!$F$8:$F$3006,B833,Transactions!$O$8:$O$3006))</f>
        <v/>
      </c>
      <c r="F833" s="53" t="str">
        <f>IF(B833="","",SUMIF(Transactions!$F$8:$F$3006,B833,Transactions!$R$8:$R$3006))</f>
        <v/>
      </c>
      <c r="G833" s="54" t="str">
        <f>IF(B833="","",(C833+F833)-(D833+E833+SUMIF(Transactions!$F$8:$F$3006,B833,Transactions!$Q$8:$Q$3006)))</f>
        <v/>
      </c>
      <c r="H833" s="55" t="str">
        <f>IF(B833="","",IF(G833&gt;0,"OUTSTANDING",IF(G833=0,"SETTLED",IF(SUMIF(Transactions!$F$8:$F$3006,B833,Transactions!$Q$8:$Q$3006)&gt;SUMIF(Transactions!$F$8:$F$3006,B833,Transactions!$R$8:$R$3006),"OWES","OVERPAID"))))</f>
        <v/>
      </c>
      <c r="I833" s="1"/>
    </row>
    <row r="834" spans="1:9" ht="18" customHeight="1" x14ac:dyDescent="0.25">
      <c r="A834" s="40">
        <v>819</v>
      </c>
      <c r="B834" s="41" t="str">
        <f t="array" ref="B834">IFERROR(IF(INDEX(Transactions!$F$8:$F$3006,MATCH(0,COUNTIF($B$11:B833,Transactions!$F$8:$F$3006),0))="","",INDEX(Transactions!$F$8:$F$3006,MATCH(0,COUNTIF($B$11:B833,Transactions!$F$8:$F$3006),0))),"")</f>
        <v/>
      </c>
      <c r="C834" s="42" t="str">
        <f>IF(B834="","",SUMIF(Transactions!$F$8:$F$3006,B834,Transactions!$H$8:$H$3006))</f>
        <v/>
      </c>
      <c r="D834" s="43" t="str">
        <f>IF(B834="","",SUMIF(Transactions!$F$8:$F$3006,B834,Transactions!$N$8:$N$3006))</f>
        <v/>
      </c>
      <c r="E834" s="44" t="str">
        <f>IF(B834="","",SUMIF(Transactions!$F$8:$F$3006,B834,Transactions!$O$8:$O$3006))</f>
        <v/>
      </c>
      <c r="F834" s="45" t="str">
        <f>IF(B834="","",SUMIF(Transactions!$F$8:$F$3006,B834,Transactions!$R$8:$R$3006))</f>
        <v/>
      </c>
      <c r="G834" s="46" t="str">
        <f>IF(B834="","",(C834+F834)-(D834+E834+SUMIF(Transactions!$F$8:$F$3006,B834,Transactions!$Q$8:$Q$3006)))</f>
        <v/>
      </c>
      <c r="H834" s="47" t="str">
        <f>IF(B834="","",IF(G834&gt;0,"OUTSTANDING",IF(G834=0,"SETTLED",IF(SUMIF(Transactions!$F$8:$F$3006,B834,Transactions!$Q$8:$Q$3006)&gt;SUMIF(Transactions!$F$8:$F$3006,B834,Transactions!$R$8:$R$3006),"OWES","OVERPAID"))))</f>
        <v/>
      </c>
      <c r="I834" s="1"/>
    </row>
    <row r="835" spans="1:9" ht="18" customHeight="1" x14ac:dyDescent="0.25">
      <c r="A835" s="48">
        <v>820</v>
      </c>
      <c r="B835" s="49" t="str">
        <f t="array" ref="B835">IFERROR(IF(INDEX(Transactions!$F$8:$F$3006,MATCH(0,COUNTIF($B$11:B834,Transactions!$F$8:$F$3006),0))="","",INDEX(Transactions!$F$8:$F$3006,MATCH(0,COUNTIF($B$11:B834,Transactions!$F$8:$F$3006),0))),"")</f>
        <v/>
      </c>
      <c r="C835" s="50" t="str">
        <f>IF(B835="","",SUMIF(Transactions!$F$8:$F$3006,B835,Transactions!$H$8:$H$3006))</f>
        <v/>
      </c>
      <c r="D835" s="51" t="str">
        <f>IF(B835="","",SUMIF(Transactions!$F$8:$F$3006,B835,Transactions!$N$8:$N$3006))</f>
        <v/>
      </c>
      <c r="E835" s="52" t="str">
        <f>IF(B835="","",SUMIF(Transactions!$F$8:$F$3006,B835,Transactions!$O$8:$O$3006))</f>
        <v/>
      </c>
      <c r="F835" s="53" t="str">
        <f>IF(B835="","",SUMIF(Transactions!$F$8:$F$3006,B835,Transactions!$R$8:$R$3006))</f>
        <v/>
      </c>
      <c r="G835" s="54" t="str">
        <f>IF(B835="","",(C835+F835)-(D835+E835+SUMIF(Transactions!$F$8:$F$3006,B835,Transactions!$Q$8:$Q$3006)))</f>
        <v/>
      </c>
      <c r="H835" s="55" t="str">
        <f>IF(B835="","",IF(G835&gt;0,"OUTSTANDING",IF(G835=0,"SETTLED",IF(SUMIF(Transactions!$F$8:$F$3006,B835,Transactions!$Q$8:$Q$3006)&gt;SUMIF(Transactions!$F$8:$F$3006,B835,Transactions!$R$8:$R$3006),"OWES","OVERPAID"))))</f>
        <v/>
      </c>
      <c r="I835" s="1"/>
    </row>
    <row r="836" spans="1:9" ht="18" customHeight="1" x14ac:dyDescent="0.25">
      <c r="A836" s="40">
        <v>821</v>
      </c>
      <c r="B836" s="41" t="str">
        <f t="array" ref="B836">IFERROR(IF(INDEX(Transactions!$F$8:$F$3006,MATCH(0,COUNTIF($B$11:B835,Transactions!$F$8:$F$3006),0))="","",INDEX(Transactions!$F$8:$F$3006,MATCH(0,COUNTIF($B$11:B835,Transactions!$F$8:$F$3006),0))),"")</f>
        <v/>
      </c>
      <c r="C836" s="42" t="str">
        <f>IF(B836="","",SUMIF(Transactions!$F$8:$F$3006,B836,Transactions!$H$8:$H$3006))</f>
        <v/>
      </c>
      <c r="D836" s="43" t="str">
        <f>IF(B836="","",SUMIF(Transactions!$F$8:$F$3006,B836,Transactions!$N$8:$N$3006))</f>
        <v/>
      </c>
      <c r="E836" s="44" t="str">
        <f>IF(B836="","",SUMIF(Transactions!$F$8:$F$3006,B836,Transactions!$O$8:$O$3006))</f>
        <v/>
      </c>
      <c r="F836" s="45" t="str">
        <f>IF(B836="","",SUMIF(Transactions!$F$8:$F$3006,B836,Transactions!$R$8:$R$3006))</f>
        <v/>
      </c>
      <c r="G836" s="46" t="str">
        <f>IF(B836="","",(C836+F836)-(D836+E836+SUMIF(Transactions!$F$8:$F$3006,B836,Transactions!$Q$8:$Q$3006)))</f>
        <v/>
      </c>
      <c r="H836" s="47" t="str">
        <f>IF(B836="","",IF(G836&gt;0,"OUTSTANDING",IF(G836=0,"SETTLED",IF(SUMIF(Transactions!$F$8:$F$3006,B836,Transactions!$Q$8:$Q$3006)&gt;SUMIF(Transactions!$F$8:$F$3006,B836,Transactions!$R$8:$R$3006),"OWES","OVERPAID"))))</f>
        <v/>
      </c>
      <c r="I836" s="1"/>
    </row>
    <row r="837" spans="1:9" ht="18" customHeight="1" x14ac:dyDescent="0.25">
      <c r="A837" s="48">
        <v>822</v>
      </c>
      <c r="B837" s="49" t="str">
        <f t="array" ref="B837">IFERROR(IF(INDEX(Transactions!$F$8:$F$3006,MATCH(0,COUNTIF($B$11:B836,Transactions!$F$8:$F$3006),0))="","",INDEX(Transactions!$F$8:$F$3006,MATCH(0,COUNTIF($B$11:B836,Transactions!$F$8:$F$3006),0))),"")</f>
        <v/>
      </c>
      <c r="C837" s="50" t="str">
        <f>IF(B837="","",SUMIF(Transactions!$F$8:$F$3006,B837,Transactions!$H$8:$H$3006))</f>
        <v/>
      </c>
      <c r="D837" s="51" t="str">
        <f>IF(B837="","",SUMIF(Transactions!$F$8:$F$3006,B837,Transactions!$N$8:$N$3006))</f>
        <v/>
      </c>
      <c r="E837" s="52" t="str">
        <f>IF(B837="","",SUMIF(Transactions!$F$8:$F$3006,B837,Transactions!$O$8:$O$3006))</f>
        <v/>
      </c>
      <c r="F837" s="53" t="str">
        <f>IF(B837="","",SUMIF(Transactions!$F$8:$F$3006,B837,Transactions!$R$8:$R$3006))</f>
        <v/>
      </c>
      <c r="G837" s="54" t="str">
        <f>IF(B837="","",(C837+F837)-(D837+E837+SUMIF(Transactions!$F$8:$F$3006,B837,Transactions!$Q$8:$Q$3006)))</f>
        <v/>
      </c>
      <c r="H837" s="55" t="str">
        <f>IF(B837="","",IF(G837&gt;0,"OUTSTANDING",IF(G837=0,"SETTLED",IF(SUMIF(Transactions!$F$8:$F$3006,B837,Transactions!$Q$8:$Q$3006)&gt;SUMIF(Transactions!$F$8:$F$3006,B837,Transactions!$R$8:$R$3006),"OWES","OVERPAID"))))</f>
        <v/>
      </c>
      <c r="I837" s="1"/>
    </row>
    <row r="838" spans="1:9" ht="18" customHeight="1" x14ac:dyDescent="0.25">
      <c r="A838" s="40">
        <v>823</v>
      </c>
      <c r="B838" s="41" t="str">
        <f t="array" ref="B838">IFERROR(IF(INDEX(Transactions!$F$8:$F$3006,MATCH(0,COUNTIF($B$11:B837,Transactions!$F$8:$F$3006),0))="","",INDEX(Transactions!$F$8:$F$3006,MATCH(0,COUNTIF($B$11:B837,Transactions!$F$8:$F$3006),0))),"")</f>
        <v/>
      </c>
      <c r="C838" s="42" t="str">
        <f>IF(B838="","",SUMIF(Transactions!$F$8:$F$3006,B838,Transactions!$H$8:$H$3006))</f>
        <v/>
      </c>
      <c r="D838" s="43" t="str">
        <f>IF(B838="","",SUMIF(Transactions!$F$8:$F$3006,B838,Transactions!$N$8:$N$3006))</f>
        <v/>
      </c>
      <c r="E838" s="44" t="str">
        <f>IF(B838="","",SUMIF(Transactions!$F$8:$F$3006,B838,Transactions!$O$8:$O$3006))</f>
        <v/>
      </c>
      <c r="F838" s="45" t="str">
        <f>IF(B838="","",SUMIF(Transactions!$F$8:$F$3006,B838,Transactions!$R$8:$R$3006))</f>
        <v/>
      </c>
      <c r="G838" s="46" t="str">
        <f>IF(B838="","",(C838+F838)-(D838+E838+SUMIF(Transactions!$F$8:$F$3006,B838,Transactions!$Q$8:$Q$3006)))</f>
        <v/>
      </c>
      <c r="H838" s="47" t="str">
        <f>IF(B838="","",IF(G838&gt;0,"OUTSTANDING",IF(G838=0,"SETTLED",IF(SUMIF(Transactions!$F$8:$F$3006,B838,Transactions!$Q$8:$Q$3006)&gt;SUMIF(Transactions!$F$8:$F$3006,B838,Transactions!$R$8:$R$3006),"OWES","OVERPAID"))))</f>
        <v/>
      </c>
      <c r="I838" s="1"/>
    </row>
    <row r="839" spans="1:9" ht="18" customHeight="1" x14ac:dyDescent="0.25">
      <c r="A839" s="48">
        <v>824</v>
      </c>
      <c r="B839" s="49" t="str">
        <f t="array" ref="B839">IFERROR(IF(INDEX(Transactions!$F$8:$F$3006,MATCH(0,COUNTIF($B$11:B838,Transactions!$F$8:$F$3006),0))="","",INDEX(Transactions!$F$8:$F$3006,MATCH(0,COUNTIF($B$11:B838,Transactions!$F$8:$F$3006),0))),"")</f>
        <v/>
      </c>
      <c r="C839" s="50" t="str">
        <f>IF(B839="","",SUMIF(Transactions!$F$8:$F$3006,B839,Transactions!$H$8:$H$3006))</f>
        <v/>
      </c>
      <c r="D839" s="51" t="str">
        <f>IF(B839="","",SUMIF(Transactions!$F$8:$F$3006,B839,Transactions!$N$8:$N$3006))</f>
        <v/>
      </c>
      <c r="E839" s="52" t="str">
        <f>IF(B839="","",SUMIF(Transactions!$F$8:$F$3006,B839,Transactions!$O$8:$O$3006))</f>
        <v/>
      </c>
      <c r="F839" s="53" t="str">
        <f>IF(B839="","",SUMIF(Transactions!$F$8:$F$3006,B839,Transactions!$R$8:$R$3006))</f>
        <v/>
      </c>
      <c r="G839" s="54" t="str">
        <f>IF(B839="","",(C839+F839)-(D839+E839+SUMIF(Transactions!$F$8:$F$3006,B839,Transactions!$Q$8:$Q$3006)))</f>
        <v/>
      </c>
      <c r="H839" s="55" t="str">
        <f>IF(B839="","",IF(G839&gt;0,"OUTSTANDING",IF(G839=0,"SETTLED",IF(SUMIF(Transactions!$F$8:$F$3006,B839,Transactions!$Q$8:$Q$3006)&gt;SUMIF(Transactions!$F$8:$F$3006,B839,Transactions!$R$8:$R$3006),"OWES","OVERPAID"))))</f>
        <v/>
      </c>
      <c r="I839" s="1"/>
    </row>
    <row r="840" spans="1:9" ht="18" customHeight="1" x14ac:dyDescent="0.25">
      <c r="A840" s="40">
        <v>825</v>
      </c>
      <c r="B840" s="41" t="str">
        <f t="array" ref="B840">IFERROR(IF(INDEX(Transactions!$F$8:$F$3006,MATCH(0,COUNTIF($B$11:B839,Transactions!$F$8:$F$3006),0))="","",INDEX(Transactions!$F$8:$F$3006,MATCH(0,COUNTIF($B$11:B839,Transactions!$F$8:$F$3006),0))),"")</f>
        <v/>
      </c>
      <c r="C840" s="42" t="str">
        <f>IF(B840="","",SUMIF(Transactions!$F$8:$F$3006,B840,Transactions!$H$8:$H$3006))</f>
        <v/>
      </c>
      <c r="D840" s="43" t="str">
        <f>IF(B840="","",SUMIF(Transactions!$F$8:$F$3006,B840,Transactions!$N$8:$N$3006))</f>
        <v/>
      </c>
      <c r="E840" s="44" t="str">
        <f>IF(B840="","",SUMIF(Transactions!$F$8:$F$3006,B840,Transactions!$O$8:$O$3006))</f>
        <v/>
      </c>
      <c r="F840" s="45" t="str">
        <f>IF(B840="","",SUMIF(Transactions!$F$8:$F$3006,B840,Transactions!$R$8:$R$3006))</f>
        <v/>
      </c>
      <c r="G840" s="46" t="str">
        <f>IF(B840="","",(C840+F840)-(D840+E840+SUMIF(Transactions!$F$8:$F$3006,B840,Transactions!$Q$8:$Q$3006)))</f>
        <v/>
      </c>
      <c r="H840" s="47" t="str">
        <f>IF(B840="","",IF(G840&gt;0,"OUTSTANDING",IF(G840=0,"SETTLED",IF(SUMIF(Transactions!$F$8:$F$3006,B840,Transactions!$Q$8:$Q$3006)&gt;SUMIF(Transactions!$F$8:$F$3006,B840,Transactions!$R$8:$R$3006),"OWES","OVERPAID"))))</f>
        <v/>
      </c>
      <c r="I840" s="1"/>
    </row>
    <row r="841" spans="1:9" ht="18" customHeight="1" x14ac:dyDescent="0.25">
      <c r="A841" s="48">
        <v>826</v>
      </c>
      <c r="B841" s="49" t="str">
        <f t="array" ref="B841">IFERROR(IF(INDEX(Transactions!$F$8:$F$3006,MATCH(0,COUNTIF($B$11:B840,Transactions!$F$8:$F$3006),0))="","",INDEX(Transactions!$F$8:$F$3006,MATCH(0,COUNTIF($B$11:B840,Transactions!$F$8:$F$3006),0))),"")</f>
        <v/>
      </c>
      <c r="C841" s="50" t="str">
        <f>IF(B841="","",SUMIF(Transactions!$F$8:$F$3006,B841,Transactions!$H$8:$H$3006))</f>
        <v/>
      </c>
      <c r="D841" s="51" t="str">
        <f>IF(B841="","",SUMIF(Transactions!$F$8:$F$3006,B841,Transactions!$N$8:$N$3006))</f>
        <v/>
      </c>
      <c r="E841" s="52" t="str">
        <f>IF(B841="","",SUMIF(Transactions!$F$8:$F$3006,B841,Transactions!$O$8:$O$3006))</f>
        <v/>
      </c>
      <c r="F841" s="53" t="str">
        <f>IF(B841="","",SUMIF(Transactions!$F$8:$F$3006,B841,Transactions!$R$8:$R$3006))</f>
        <v/>
      </c>
      <c r="G841" s="54" t="str">
        <f>IF(B841="","",(C841+F841)-(D841+E841+SUMIF(Transactions!$F$8:$F$3006,B841,Transactions!$Q$8:$Q$3006)))</f>
        <v/>
      </c>
      <c r="H841" s="55" t="str">
        <f>IF(B841="","",IF(G841&gt;0,"OUTSTANDING",IF(G841=0,"SETTLED",IF(SUMIF(Transactions!$F$8:$F$3006,B841,Transactions!$Q$8:$Q$3006)&gt;SUMIF(Transactions!$F$8:$F$3006,B841,Transactions!$R$8:$R$3006),"OWES","OVERPAID"))))</f>
        <v/>
      </c>
      <c r="I841" s="1"/>
    </row>
    <row r="842" spans="1:9" ht="18" customHeight="1" x14ac:dyDescent="0.25">
      <c r="A842" s="40">
        <v>827</v>
      </c>
      <c r="B842" s="41" t="str">
        <f t="array" ref="B842">IFERROR(IF(INDEX(Transactions!$F$8:$F$3006,MATCH(0,COUNTIF($B$11:B841,Transactions!$F$8:$F$3006),0))="","",INDEX(Transactions!$F$8:$F$3006,MATCH(0,COUNTIF($B$11:B841,Transactions!$F$8:$F$3006),0))),"")</f>
        <v/>
      </c>
      <c r="C842" s="42" t="str">
        <f>IF(B842="","",SUMIF(Transactions!$F$8:$F$3006,B842,Transactions!$H$8:$H$3006))</f>
        <v/>
      </c>
      <c r="D842" s="43" t="str">
        <f>IF(B842="","",SUMIF(Transactions!$F$8:$F$3006,B842,Transactions!$N$8:$N$3006))</f>
        <v/>
      </c>
      <c r="E842" s="44" t="str">
        <f>IF(B842="","",SUMIF(Transactions!$F$8:$F$3006,B842,Transactions!$O$8:$O$3006))</f>
        <v/>
      </c>
      <c r="F842" s="45" t="str">
        <f>IF(B842="","",SUMIF(Transactions!$F$8:$F$3006,B842,Transactions!$R$8:$R$3006))</f>
        <v/>
      </c>
      <c r="G842" s="46" t="str">
        <f>IF(B842="","",(C842+F842)-(D842+E842+SUMIF(Transactions!$F$8:$F$3006,B842,Transactions!$Q$8:$Q$3006)))</f>
        <v/>
      </c>
      <c r="H842" s="47" t="str">
        <f>IF(B842="","",IF(G842&gt;0,"OUTSTANDING",IF(G842=0,"SETTLED",IF(SUMIF(Transactions!$F$8:$F$3006,B842,Transactions!$Q$8:$Q$3006)&gt;SUMIF(Transactions!$F$8:$F$3006,B842,Transactions!$R$8:$R$3006),"OWES","OVERPAID"))))</f>
        <v/>
      </c>
      <c r="I842" s="1"/>
    </row>
    <row r="843" spans="1:9" ht="18" customHeight="1" x14ac:dyDescent="0.25">
      <c r="A843" s="48">
        <v>828</v>
      </c>
      <c r="B843" s="49" t="str">
        <f t="array" ref="B843">IFERROR(IF(INDEX(Transactions!$F$8:$F$3006,MATCH(0,COUNTIF($B$11:B842,Transactions!$F$8:$F$3006),0))="","",INDEX(Transactions!$F$8:$F$3006,MATCH(0,COUNTIF($B$11:B842,Transactions!$F$8:$F$3006),0))),"")</f>
        <v/>
      </c>
      <c r="C843" s="50" t="str">
        <f>IF(B843="","",SUMIF(Transactions!$F$8:$F$3006,B843,Transactions!$H$8:$H$3006))</f>
        <v/>
      </c>
      <c r="D843" s="51" t="str">
        <f>IF(B843="","",SUMIF(Transactions!$F$8:$F$3006,B843,Transactions!$N$8:$N$3006))</f>
        <v/>
      </c>
      <c r="E843" s="52" t="str">
        <f>IF(B843="","",SUMIF(Transactions!$F$8:$F$3006,B843,Transactions!$O$8:$O$3006))</f>
        <v/>
      </c>
      <c r="F843" s="53" t="str">
        <f>IF(B843="","",SUMIF(Transactions!$F$8:$F$3006,B843,Transactions!$R$8:$R$3006))</f>
        <v/>
      </c>
      <c r="G843" s="54" t="str">
        <f>IF(B843="","",(C843+F843)-(D843+E843+SUMIF(Transactions!$F$8:$F$3006,B843,Transactions!$Q$8:$Q$3006)))</f>
        <v/>
      </c>
      <c r="H843" s="55" t="str">
        <f>IF(B843="","",IF(G843&gt;0,"OUTSTANDING",IF(G843=0,"SETTLED",IF(SUMIF(Transactions!$F$8:$F$3006,B843,Transactions!$Q$8:$Q$3006)&gt;SUMIF(Transactions!$F$8:$F$3006,B843,Transactions!$R$8:$R$3006),"OWES","OVERPAID"))))</f>
        <v/>
      </c>
      <c r="I843" s="1"/>
    </row>
    <row r="844" spans="1:9" ht="18" customHeight="1" x14ac:dyDescent="0.25">
      <c r="A844" s="40">
        <v>829</v>
      </c>
      <c r="B844" s="41" t="str">
        <f t="array" ref="B844">IFERROR(IF(INDEX(Transactions!$F$8:$F$3006,MATCH(0,COUNTIF($B$11:B843,Transactions!$F$8:$F$3006),0))="","",INDEX(Transactions!$F$8:$F$3006,MATCH(0,COUNTIF($B$11:B843,Transactions!$F$8:$F$3006),0))),"")</f>
        <v/>
      </c>
      <c r="C844" s="42" t="str">
        <f>IF(B844="","",SUMIF(Transactions!$F$8:$F$3006,B844,Transactions!$H$8:$H$3006))</f>
        <v/>
      </c>
      <c r="D844" s="43" t="str">
        <f>IF(B844="","",SUMIF(Transactions!$F$8:$F$3006,B844,Transactions!$N$8:$N$3006))</f>
        <v/>
      </c>
      <c r="E844" s="44" t="str">
        <f>IF(B844="","",SUMIF(Transactions!$F$8:$F$3006,B844,Transactions!$O$8:$O$3006))</f>
        <v/>
      </c>
      <c r="F844" s="45" t="str">
        <f>IF(B844="","",SUMIF(Transactions!$F$8:$F$3006,B844,Transactions!$R$8:$R$3006))</f>
        <v/>
      </c>
      <c r="G844" s="46" t="str">
        <f>IF(B844="","",(C844+F844)-(D844+E844+SUMIF(Transactions!$F$8:$F$3006,B844,Transactions!$Q$8:$Q$3006)))</f>
        <v/>
      </c>
      <c r="H844" s="47" t="str">
        <f>IF(B844="","",IF(G844&gt;0,"OUTSTANDING",IF(G844=0,"SETTLED",IF(SUMIF(Transactions!$F$8:$F$3006,B844,Transactions!$Q$8:$Q$3006)&gt;SUMIF(Transactions!$F$8:$F$3006,B844,Transactions!$R$8:$R$3006),"OWES","OVERPAID"))))</f>
        <v/>
      </c>
      <c r="I844" s="1"/>
    </row>
    <row r="845" spans="1:9" ht="18" customHeight="1" x14ac:dyDescent="0.25">
      <c r="A845" s="48">
        <v>830</v>
      </c>
      <c r="B845" s="49" t="str">
        <f t="array" ref="B845">IFERROR(IF(INDEX(Transactions!$F$8:$F$3006,MATCH(0,COUNTIF($B$11:B844,Transactions!$F$8:$F$3006),0))="","",INDEX(Transactions!$F$8:$F$3006,MATCH(0,COUNTIF($B$11:B844,Transactions!$F$8:$F$3006),0))),"")</f>
        <v/>
      </c>
      <c r="C845" s="50" t="str">
        <f>IF(B845="","",SUMIF(Transactions!$F$8:$F$3006,B845,Transactions!$H$8:$H$3006))</f>
        <v/>
      </c>
      <c r="D845" s="51" t="str">
        <f>IF(B845="","",SUMIF(Transactions!$F$8:$F$3006,B845,Transactions!$N$8:$N$3006))</f>
        <v/>
      </c>
      <c r="E845" s="52" t="str">
        <f>IF(B845="","",SUMIF(Transactions!$F$8:$F$3006,B845,Transactions!$O$8:$O$3006))</f>
        <v/>
      </c>
      <c r="F845" s="53" t="str">
        <f>IF(B845="","",SUMIF(Transactions!$F$8:$F$3006,B845,Transactions!$R$8:$R$3006))</f>
        <v/>
      </c>
      <c r="G845" s="54" t="str">
        <f>IF(B845="","",(C845+F845)-(D845+E845+SUMIF(Transactions!$F$8:$F$3006,B845,Transactions!$Q$8:$Q$3006)))</f>
        <v/>
      </c>
      <c r="H845" s="55" t="str">
        <f>IF(B845="","",IF(G845&gt;0,"OUTSTANDING",IF(G845=0,"SETTLED",IF(SUMIF(Transactions!$F$8:$F$3006,B845,Transactions!$Q$8:$Q$3006)&gt;SUMIF(Transactions!$F$8:$F$3006,B845,Transactions!$R$8:$R$3006),"OWES","OVERPAID"))))</f>
        <v/>
      </c>
      <c r="I845" s="1"/>
    </row>
    <row r="846" spans="1:9" ht="18" customHeight="1" x14ac:dyDescent="0.25">
      <c r="A846" s="40">
        <v>831</v>
      </c>
      <c r="B846" s="41" t="str">
        <f t="array" ref="B846">IFERROR(IF(INDEX(Transactions!$F$8:$F$3006,MATCH(0,COUNTIF($B$11:B845,Transactions!$F$8:$F$3006),0))="","",INDEX(Transactions!$F$8:$F$3006,MATCH(0,COUNTIF($B$11:B845,Transactions!$F$8:$F$3006),0))),"")</f>
        <v/>
      </c>
      <c r="C846" s="42" t="str">
        <f>IF(B846="","",SUMIF(Transactions!$F$8:$F$3006,B846,Transactions!$H$8:$H$3006))</f>
        <v/>
      </c>
      <c r="D846" s="43" t="str">
        <f>IF(B846="","",SUMIF(Transactions!$F$8:$F$3006,B846,Transactions!$N$8:$N$3006))</f>
        <v/>
      </c>
      <c r="E846" s="44" t="str">
        <f>IF(B846="","",SUMIF(Transactions!$F$8:$F$3006,B846,Transactions!$O$8:$O$3006))</f>
        <v/>
      </c>
      <c r="F846" s="45" t="str">
        <f>IF(B846="","",SUMIF(Transactions!$F$8:$F$3006,B846,Transactions!$R$8:$R$3006))</f>
        <v/>
      </c>
      <c r="G846" s="46" t="str">
        <f>IF(B846="","",(C846+F846)-(D846+E846+SUMIF(Transactions!$F$8:$F$3006,B846,Transactions!$Q$8:$Q$3006)))</f>
        <v/>
      </c>
      <c r="H846" s="47" t="str">
        <f>IF(B846="","",IF(G846&gt;0,"OUTSTANDING",IF(G846=0,"SETTLED",IF(SUMIF(Transactions!$F$8:$F$3006,B846,Transactions!$Q$8:$Q$3006)&gt;SUMIF(Transactions!$F$8:$F$3006,B846,Transactions!$R$8:$R$3006),"OWES","OVERPAID"))))</f>
        <v/>
      </c>
      <c r="I846" s="1"/>
    </row>
    <row r="847" spans="1:9" ht="18" customHeight="1" x14ac:dyDescent="0.25">
      <c r="A847" s="48">
        <v>832</v>
      </c>
      <c r="B847" s="49" t="str">
        <f t="array" ref="B847">IFERROR(IF(INDEX(Transactions!$F$8:$F$3006,MATCH(0,COUNTIF($B$11:B846,Transactions!$F$8:$F$3006),0))="","",INDEX(Transactions!$F$8:$F$3006,MATCH(0,COUNTIF($B$11:B846,Transactions!$F$8:$F$3006),0))),"")</f>
        <v/>
      </c>
      <c r="C847" s="50" t="str">
        <f>IF(B847="","",SUMIF(Transactions!$F$8:$F$3006,B847,Transactions!$H$8:$H$3006))</f>
        <v/>
      </c>
      <c r="D847" s="51" t="str">
        <f>IF(B847="","",SUMIF(Transactions!$F$8:$F$3006,B847,Transactions!$N$8:$N$3006))</f>
        <v/>
      </c>
      <c r="E847" s="52" t="str">
        <f>IF(B847="","",SUMIF(Transactions!$F$8:$F$3006,B847,Transactions!$O$8:$O$3006))</f>
        <v/>
      </c>
      <c r="F847" s="53" t="str">
        <f>IF(B847="","",SUMIF(Transactions!$F$8:$F$3006,B847,Transactions!$R$8:$R$3006))</f>
        <v/>
      </c>
      <c r="G847" s="54" t="str">
        <f>IF(B847="","",(C847+F847)-(D847+E847+SUMIF(Transactions!$F$8:$F$3006,B847,Transactions!$Q$8:$Q$3006)))</f>
        <v/>
      </c>
      <c r="H847" s="55" t="str">
        <f>IF(B847="","",IF(G847&gt;0,"OUTSTANDING",IF(G847=0,"SETTLED",IF(SUMIF(Transactions!$F$8:$F$3006,B847,Transactions!$Q$8:$Q$3006)&gt;SUMIF(Transactions!$F$8:$F$3006,B847,Transactions!$R$8:$R$3006),"OWES","OVERPAID"))))</f>
        <v/>
      </c>
      <c r="I847" s="1"/>
    </row>
    <row r="848" spans="1:9" ht="18" customHeight="1" x14ac:dyDescent="0.25">
      <c r="A848" s="40">
        <v>833</v>
      </c>
      <c r="B848" s="41" t="str">
        <f t="array" ref="B848">IFERROR(IF(INDEX(Transactions!$F$8:$F$3006,MATCH(0,COUNTIF($B$11:B847,Transactions!$F$8:$F$3006),0))="","",INDEX(Transactions!$F$8:$F$3006,MATCH(0,COUNTIF($B$11:B847,Transactions!$F$8:$F$3006),0))),"")</f>
        <v/>
      </c>
      <c r="C848" s="42" t="str">
        <f>IF(B848="","",SUMIF(Transactions!$F$8:$F$3006,B848,Transactions!$H$8:$H$3006))</f>
        <v/>
      </c>
      <c r="D848" s="43" t="str">
        <f>IF(B848="","",SUMIF(Transactions!$F$8:$F$3006,B848,Transactions!$N$8:$N$3006))</f>
        <v/>
      </c>
      <c r="E848" s="44" t="str">
        <f>IF(B848="","",SUMIF(Transactions!$F$8:$F$3006,B848,Transactions!$O$8:$O$3006))</f>
        <v/>
      </c>
      <c r="F848" s="45" t="str">
        <f>IF(B848="","",SUMIF(Transactions!$F$8:$F$3006,B848,Transactions!$R$8:$R$3006))</f>
        <v/>
      </c>
      <c r="G848" s="46" t="str">
        <f>IF(B848="","",(C848+F848)-(D848+E848+SUMIF(Transactions!$F$8:$F$3006,B848,Transactions!$Q$8:$Q$3006)))</f>
        <v/>
      </c>
      <c r="H848" s="47" t="str">
        <f>IF(B848="","",IF(G848&gt;0,"OUTSTANDING",IF(G848=0,"SETTLED",IF(SUMIF(Transactions!$F$8:$F$3006,B848,Transactions!$Q$8:$Q$3006)&gt;SUMIF(Transactions!$F$8:$F$3006,B848,Transactions!$R$8:$R$3006),"OWES","OVERPAID"))))</f>
        <v/>
      </c>
      <c r="I848" s="1"/>
    </row>
    <row r="849" spans="1:9" ht="18" customHeight="1" x14ac:dyDescent="0.25">
      <c r="A849" s="48">
        <v>834</v>
      </c>
      <c r="B849" s="49" t="str">
        <f t="array" ref="B849">IFERROR(IF(INDEX(Transactions!$F$8:$F$3006,MATCH(0,COUNTIF($B$11:B848,Transactions!$F$8:$F$3006),0))="","",INDEX(Transactions!$F$8:$F$3006,MATCH(0,COUNTIF($B$11:B848,Transactions!$F$8:$F$3006),0))),"")</f>
        <v/>
      </c>
      <c r="C849" s="50" t="str">
        <f>IF(B849="","",SUMIF(Transactions!$F$8:$F$3006,B849,Transactions!$H$8:$H$3006))</f>
        <v/>
      </c>
      <c r="D849" s="51" t="str">
        <f>IF(B849="","",SUMIF(Transactions!$F$8:$F$3006,B849,Transactions!$N$8:$N$3006))</f>
        <v/>
      </c>
      <c r="E849" s="52" t="str">
        <f>IF(B849="","",SUMIF(Transactions!$F$8:$F$3006,B849,Transactions!$O$8:$O$3006))</f>
        <v/>
      </c>
      <c r="F849" s="53" t="str">
        <f>IF(B849="","",SUMIF(Transactions!$F$8:$F$3006,B849,Transactions!$R$8:$R$3006))</f>
        <v/>
      </c>
      <c r="G849" s="54" t="str">
        <f>IF(B849="","",(C849+F849)-(D849+E849+SUMIF(Transactions!$F$8:$F$3006,B849,Transactions!$Q$8:$Q$3006)))</f>
        <v/>
      </c>
      <c r="H849" s="55" t="str">
        <f>IF(B849="","",IF(G849&gt;0,"OUTSTANDING",IF(G849=0,"SETTLED",IF(SUMIF(Transactions!$F$8:$F$3006,B849,Transactions!$Q$8:$Q$3006)&gt;SUMIF(Transactions!$F$8:$F$3006,B849,Transactions!$R$8:$R$3006),"OWES","OVERPAID"))))</f>
        <v/>
      </c>
      <c r="I849" s="1"/>
    </row>
    <row r="850" spans="1:9" ht="18" customHeight="1" x14ac:dyDescent="0.25">
      <c r="A850" s="40">
        <v>835</v>
      </c>
      <c r="B850" s="41" t="str">
        <f t="array" ref="B850">IFERROR(IF(INDEX(Transactions!$F$8:$F$3006,MATCH(0,COUNTIF($B$11:B849,Transactions!$F$8:$F$3006),0))="","",INDEX(Transactions!$F$8:$F$3006,MATCH(0,COUNTIF($B$11:B849,Transactions!$F$8:$F$3006),0))),"")</f>
        <v/>
      </c>
      <c r="C850" s="42" t="str">
        <f>IF(B850="","",SUMIF(Transactions!$F$8:$F$3006,B850,Transactions!$H$8:$H$3006))</f>
        <v/>
      </c>
      <c r="D850" s="43" t="str">
        <f>IF(B850="","",SUMIF(Transactions!$F$8:$F$3006,B850,Transactions!$N$8:$N$3006))</f>
        <v/>
      </c>
      <c r="E850" s="44" t="str">
        <f>IF(B850="","",SUMIF(Transactions!$F$8:$F$3006,B850,Transactions!$O$8:$O$3006))</f>
        <v/>
      </c>
      <c r="F850" s="45" t="str">
        <f>IF(B850="","",SUMIF(Transactions!$F$8:$F$3006,B850,Transactions!$R$8:$R$3006))</f>
        <v/>
      </c>
      <c r="G850" s="46" t="str">
        <f>IF(B850="","",(C850+F850)-(D850+E850+SUMIF(Transactions!$F$8:$F$3006,B850,Transactions!$Q$8:$Q$3006)))</f>
        <v/>
      </c>
      <c r="H850" s="47" t="str">
        <f>IF(B850="","",IF(G850&gt;0,"OUTSTANDING",IF(G850=0,"SETTLED",IF(SUMIF(Transactions!$F$8:$F$3006,B850,Transactions!$Q$8:$Q$3006)&gt;SUMIF(Transactions!$F$8:$F$3006,B850,Transactions!$R$8:$R$3006),"OWES","OVERPAID"))))</f>
        <v/>
      </c>
      <c r="I850" s="1"/>
    </row>
    <row r="851" spans="1:9" ht="18" customHeight="1" x14ac:dyDescent="0.25">
      <c r="A851" s="48">
        <v>836</v>
      </c>
      <c r="B851" s="49" t="str">
        <f t="array" ref="B851">IFERROR(IF(INDEX(Transactions!$F$8:$F$3006,MATCH(0,COUNTIF($B$11:B850,Transactions!$F$8:$F$3006),0))="","",INDEX(Transactions!$F$8:$F$3006,MATCH(0,COUNTIF($B$11:B850,Transactions!$F$8:$F$3006),0))),"")</f>
        <v/>
      </c>
      <c r="C851" s="50" t="str">
        <f>IF(B851="","",SUMIF(Transactions!$F$8:$F$3006,B851,Transactions!$H$8:$H$3006))</f>
        <v/>
      </c>
      <c r="D851" s="51" t="str">
        <f>IF(B851="","",SUMIF(Transactions!$F$8:$F$3006,B851,Transactions!$N$8:$N$3006))</f>
        <v/>
      </c>
      <c r="E851" s="52" t="str">
        <f>IF(B851="","",SUMIF(Transactions!$F$8:$F$3006,B851,Transactions!$O$8:$O$3006))</f>
        <v/>
      </c>
      <c r="F851" s="53" t="str">
        <f>IF(B851="","",SUMIF(Transactions!$F$8:$F$3006,B851,Transactions!$R$8:$R$3006))</f>
        <v/>
      </c>
      <c r="G851" s="54" t="str">
        <f>IF(B851="","",(C851+F851)-(D851+E851+SUMIF(Transactions!$F$8:$F$3006,B851,Transactions!$Q$8:$Q$3006)))</f>
        <v/>
      </c>
      <c r="H851" s="55" t="str">
        <f>IF(B851="","",IF(G851&gt;0,"OUTSTANDING",IF(G851=0,"SETTLED",IF(SUMIF(Transactions!$F$8:$F$3006,B851,Transactions!$Q$8:$Q$3006)&gt;SUMIF(Transactions!$F$8:$F$3006,B851,Transactions!$R$8:$R$3006),"OWES","OVERPAID"))))</f>
        <v/>
      </c>
      <c r="I851" s="1"/>
    </row>
    <row r="852" spans="1:9" ht="18" customHeight="1" x14ac:dyDescent="0.25">
      <c r="A852" s="40">
        <v>837</v>
      </c>
      <c r="B852" s="41" t="str">
        <f t="array" ref="B852">IFERROR(IF(INDEX(Transactions!$F$8:$F$3006,MATCH(0,COUNTIF($B$11:B851,Transactions!$F$8:$F$3006),0))="","",INDEX(Transactions!$F$8:$F$3006,MATCH(0,COUNTIF($B$11:B851,Transactions!$F$8:$F$3006),0))),"")</f>
        <v/>
      </c>
      <c r="C852" s="42" t="str">
        <f>IF(B852="","",SUMIF(Transactions!$F$8:$F$3006,B852,Transactions!$H$8:$H$3006))</f>
        <v/>
      </c>
      <c r="D852" s="43" t="str">
        <f>IF(B852="","",SUMIF(Transactions!$F$8:$F$3006,B852,Transactions!$N$8:$N$3006))</f>
        <v/>
      </c>
      <c r="E852" s="44" t="str">
        <f>IF(B852="","",SUMIF(Transactions!$F$8:$F$3006,B852,Transactions!$O$8:$O$3006))</f>
        <v/>
      </c>
      <c r="F852" s="45" t="str">
        <f>IF(B852="","",SUMIF(Transactions!$F$8:$F$3006,B852,Transactions!$R$8:$R$3006))</f>
        <v/>
      </c>
      <c r="G852" s="46" t="str">
        <f>IF(B852="","",(C852+F852)-(D852+E852+SUMIF(Transactions!$F$8:$F$3006,B852,Transactions!$Q$8:$Q$3006)))</f>
        <v/>
      </c>
      <c r="H852" s="47" t="str">
        <f>IF(B852="","",IF(G852&gt;0,"OUTSTANDING",IF(G852=0,"SETTLED",IF(SUMIF(Transactions!$F$8:$F$3006,B852,Transactions!$Q$8:$Q$3006)&gt;SUMIF(Transactions!$F$8:$F$3006,B852,Transactions!$R$8:$R$3006),"OWES","OVERPAID"))))</f>
        <v/>
      </c>
      <c r="I852" s="1"/>
    </row>
    <row r="853" spans="1:9" ht="18" customHeight="1" x14ac:dyDescent="0.25">
      <c r="A853" s="48">
        <v>838</v>
      </c>
      <c r="B853" s="49" t="str">
        <f t="array" ref="B853">IFERROR(IF(INDEX(Transactions!$F$8:$F$3006,MATCH(0,COUNTIF($B$11:B852,Transactions!$F$8:$F$3006),0))="","",INDEX(Transactions!$F$8:$F$3006,MATCH(0,COUNTIF($B$11:B852,Transactions!$F$8:$F$3006),0))),"")</f>
        <v/>
      </c>
      <c r="C853" s="50" t="str">
        <f>IF(B853="","",SUMIF(Transactions!$F$8:$F$3006,B853,Transactions!$H$8:$H$3006))</f>
        <v/>
      </c>
      <c r="D853" s="51" t="str">
        <f>IF(B853="","",SUMIF(Transactions!$F$8:$F$3006,B853,Transactions!$N$8:$N$3006))</f>
        <v/>
      </c>
      <c r="E853" s="52" t="str">
        <f>IF(B853="","",SUMIF(Transactions!$F$8:$F$3006,B853,Transactions!$O$8:$O$3006))</f>
        <v/>
      </c>
      <c r="F853" s="53" t="str">
        <f>IF(B853="","",SUMIF(Transactions!$F$8:$F$3006,B853,Transactions!$R$8:$R$3006))</f>
        <v/>
      </c>
      <c r="G853" s="54" t="str">
        <f>IF(B853="","",(C853+F853)-(D853+E853+SUMIF(Transactions!$F$8:$F$3006,B853,Transactions!$Q$8:$Q$3006)))</f>
        <v/>
      </c>
      <c r="H853" s="55" t="str">
        <f>IF(B853="","",IF(G853&gt;0,"OUTSTANDING",IF(G853=0,"SETTLED",IF(SUMIF(Transactions!$F$8:$F$3006,B853,Transactions!$Q$8:$Q$3006)&gt;SUMIF(Transactions!$F$8:$F$3006,B853,Transactions!$R$8:$R$3006),"OWES","OVERPAID"))))</f>
        <v/>
      </c>
      <c r="I853" s="1"/>
    </row>
    <row r="854" spans="1:9" ht="18" customHeight="1" x14ac:dyDescent="0.25">
      <c r="A854" s="40">
        <v>839</v>
      </c>
      <c r="B854" s="41" t="str">
        <f t="array" ref="B854">IFERROR(IF(INDEX(Transactions!$F$8:$F$3006,MATCH(0,COUNTIF($B$11:B853,Transactions!$F$8:$F$3006),0))="","",INDEX(Transactions!$F$8:$F$3006,MATCH(0,COUNTIF($B$11:B853,Transactions!$F$8:$F$3006),0))),"")</f>
        <v/>
      </c>
      <c r="C854" s="42" t="str">
        <f>IF(B854="","",SUMIF(Transactions!$F$8:$F$3006,B854,Transactions!$H$8:$H$3006))</f>
        <v/>
      </c>
      <c r="D854" s="43" t="str">
        <f>IF(B854="","",SUMIF(Transactions!$F$8:$F$3006,B854,Transactions!$N$8:$N$3006))</f>
        <v/>
      </c>
      <c r="E854" s="44" t="str">
        <f>IF(B854="","",SUMIF(Transactions!$F$8:$F$3006,B854,Transactions!$O$8:$O$3006))</f>
        <v/>
      </c>
      <c r="F854" s="45" t="str">
        <f>IF(B854="","",SUMIF(Transactions!$F$8:$F$3006,B854,Transactions!$R$8:$R$3006))</f>
        <v/>
      </c>
      <c r="G854" s="46" t="str">
        <f>IF(B854="","",(C854+F854)-(D854+E854+SUMIF(Transactions!$F$8:$F$3006,B854,Transactions!$Q$8:$Q$3006)))</f>
        <v/>
      </c>
      <c r="H854" s="47" t="str">
        <f>IF(B854="","",IF(G854&gt;0,"OUTSTANDING",IF(G854=0,"SETTLED",IF(SUMIF(Transactions!$F$8:$F$3006,B854,Transactions!$Q$8:$Q$3006)&gt;SUMIF(Transactions!$F$8:$F$3006,B854,Transactions!$R$8:$R$3006),"OWES","OVERPAID"))))</f>
        <v/>
      </c>
      <c r="I854" s="1"/>
    </row>
    <row r="855" spans="1:9" ht="18" customHeight="1" x14ac:dyDescent="0.25">
      <c r="A855" s="48">
        <v>840</v>
      </c>
      <c r="B855" s="49" t="str">
        <f t="array" ref="B855">IFERROR(IF(INDEX(Transactions!$F$8:$F$3006,MATCH(0,COUNTIF($B$11:B854,Transactions!$F$8:$F$3006),0))="","",INDEX(Transactions!$F$8:$F$3006,MATCH(0,COUNTIF($B$11:B854,Transactions!$F$8:$F$3006),0))),"")</f>
        <v/>
      </c>
      <c r="C855" s="50" t="str">
        <f>IF(B855="","",SUMIF(Transactions!$F$8:$F$3006,B855,Transactions!$H$8:$H$3006))</f>
        <v/>
      </c>
      <c r="D855" s="51" t="str">
        <f>IF(B855="","",SUMIF(Transactions!$F$8:$F$3006,B855,Transactions!$N$8:$N$3006))</f>
        <v/>
      </c>
      <c r="E855" s="52" t="str">
        <f>IF(B855="","",SUMIF(Transactions!$F$8:$F$3006,B855,Transactions!$O$8:$O$3006))</f>
        <v/>
      </c>
      <c r="F855" s="53" t="str">
        <f>IF(B855="","",SUMIF(Transactions!$F$8:$F$3006,B855,Transactions!$R$8:$R$3006))</f>
        <v/>
      </c>
      <c r="G855" s="54" t="str">
        <f>IF(B855="","",(C855+F855)-(D855+E855+SUMIF(Transactions!$F$8:$F$3006,B855,Transactions!$Q$8:$Q$3006)))</f>
        <v/>
      </c>
      <c r="H855" s="55" t="str">
        <f>IF(B855="","",IF(G855&gt;0,"OUTSTANDING",IF(G855=0,"SETTLED",IF(SUMIF(Transactions!$F$8:$F$3006,B855,Transactions!$Q$8:$Q$3006)&gt;SUMIF(Transactions!$F$8:$F$3006,B855,Transactions!$R$8:$R$3006),"OWES","OVERPAID"))))</f>
        <v/>
      </c>
      <c r="I855" s="1"/>
    </row>
    <row r="856" spans="1:9" ht="18" customHeight="1" x14ac:dyDescent="0.25">
      <c r="A856" s="40">
        <v>841</v>
      </c>
      <c r="B856" s="41" t="str">
        <f t="array" ref="B856">IFERROR(IF(INDEX(Transactions!$F$8:$F$3006,MATCH(0,COUNTIF($B$11:B855,Transactions!$F$8:$F$3006),0))="","",INDEX(Transactions!$F$8:$F$3006,MATCH(0,COUNTIF($B$11:B855,Transactions!$F$8:$F$3006),0))),"")</f>
        <v/>
      </c>
      <c r="C856" s="42" t="str">
        <f>IF(B856="","",SUMIF(Transactions!$F$8:$F$3006,B856,Transactions!$H$8:$H$3006))</f>
        <v/>
      </c>
      <c r="D856" s="43" t="str">
        <f>IF(B856="","",SUMIF(Transactions!$F$8:$F$3006,B856,Transactions!$N$8:$N$3006))</f>
        <v/>
      </c>
      <c r="E856" s="44" t="str">
        <f>IF(B856="","",SUMIF(Transactions!$F$8:$F$3006,B856,Transactions!$O$8:$O$3006))</f>
        <v/>
      </c>
      <c r="F856" s="45" t="str">
        <f>IF(B856="","",SUMIF(Transactions!$F$8:$F$3006,B856,Transactions!$R$8:$R$3006))</f>
        <v/>
      </c>
      <c r="G856" s="46" t="str">
        <f>IF(B856="","",(C856+F856)-(D856+E856+SUMIF(Transactions!$F$8:$F$3006,B856,Transactions!$Q$8:$Q$3006)))</f>
        <v/>
      </c>
      <c r="H856" s="47" t="str">
        <f>IF(B856="","",IF(G856&gt;0,"OUTSTANDING",IF(G856=0,"SETTLED",IF(SUMIF(Transactions!$F$8:$F$3006,B856,Transactions!$Q$8:$Q$3006)&gt;SUMIF(Transactions!$F$8:$F$3006,B856,Transactions!$R$8:$R$3006),"OWES","OVERPAID"))))</f>
        <v/>
      </c>
      <c r="I856" s="1"/>
    </row>
    <row r="857" spans="1:9" ht="18" customHeight="1" x14ac:dyDescent="0.25">
      <c r="A857" s="48">
        <v>842</v>
      </c>
      <c r="B857" s="49" t="str">
        <f t="array" ref="B857">IFERROR(IF(INDEX(Transactions!$F$8:$F$3006,MATCH(0,COUNTIF($B$11:B856,Transactions!$F$8:$F$3006),0))="","",INDEX(Transactions!$F$8:$F$3006,MATCH(0,COUNTIF($B$11:B856,Transactions!$F$8:$F$3006),0))),"")</f>
        <v/>
      </c>
      <c r="C857" s="50" t="str">
        <f>IF(B857="","",SUMIF(Transactions!$F$8:$F$3006,B857,Transactions!$H$8:$H$3006))</f>
        <v/>
      </c>
      <c r="D857" s="51" t="str">
        <f>IF(B857="","",SUMIF(Transactions!$F$8:$F$3006,B857,Transactions!$N$8:$N$3006))</f>
        <v/>
      </c>
      <c r="E857" s="52" t="str">
        <f>IF(B857="","",SUMIF(Transactions!$F$8:$F$3006,B857,Transactions!$O$8:$O$3006))</f>
        <v/>
      </c>
      <c r="F857" s="53" t="str">
        <f>IF(B857="","",SUMIF(Transactions!$F$8:$F$3006,B857,Transactions!$R$8:$R$3006))</f>
        <v/>
      </c>
      <c r="G857" s="54" t="str">
        <f>IF(B857="","",(C857+F857)-(D857+E857+SUMIF(Transactions!$F$8:$F$3006,B857,Transactions!$Q$8:$Q$3006)))</f>
        <v/>
      </c>
      <c r="H857" s="55" t="str">
        <f>IF(B857="","",IF(G857&gt;0,"OUTSTANDING",IF(G857=0,"SETTLED",IF(SUMIF(Transactions!$F$8:$F$3006,B857,Transactions!$Q$8:$Q$3006)&gt;SUMIF(Transactions!$F$8:$F$3006,B857,Transactions!$R$8:$R$3006),"OWES","OVERPAID"))))</f>
        <v/>
      </c>
      <c r="I857" s="1"/>
    </row>
    <row r="858" spans="1:9" ht="18" customHeight="1" x14ac:dyDescent="0.25">
      <c r="A858" s="40">
        <v>843</v>
      </c>
      <c r="B858" s="41" t="str">
        <f t="array" ref="B858">IFERROR(IF(INDEX(Transactions!$F$8:$F$3006,MATCH(0,COUNTIF($B$11:B857,Transactions!$F$8:$F$3006),0))="","",INDEX(Transactions!$F$8:$F$3006,MATCH(0,COUNTIF($B$11:B857,Transactions!$F$8:$F$3006),0))),"")</f>
        <v/>
      </c>
      <c r="C858" s="42" t="str">
        <f>IF(B858="","",SUMIF(Transactions!$F$8:$F$3006,B858,Transactions!$H$8:$H$3006))</f>
        <v/>
      </c>
      <c r="D858" s="43" t="str">
        <f>IF(B858="","",SUMIF(Transactions!$F$8:$F$3006,B858,Transactions!$N$8:$N$3006))</f>
        <v/>
      </c>
      <c r="E858" s="44" t="str">
        <f>IF(B858="","",SUMIF(Transactions!$F$8:$F$3006,B858,Transactions!$O$8:$O$3006))</f>
        <v/>
      </c>
      <c r="F858" s="45" t="str">
        <f>IF(B858="","",SUMIF(Transactions!$F$8:$F$3006,B858,Transactions!$R$8:$R$3006))</f>
        <v/>
      </c>
      <c r="G858" s="46" t="str">
        <f>IF(B858="","",(C858+F858)-(D858+E858+SUMIF(Transactions!$F$8:$F$3006,B858,Transactions!$Q$8:$Q$3006)))</f>
        <v/>
      </c>
      <c r="H858" s="47" t="str">
        <f>IF(B858="","",IF(G858&gt;0,"OUTSTANDING",IF(G858=0,"SETTLED",IF(SUMIF(Transactions!$F$8:$F$3006,B858,Transactions!$Q$8:$Q$3006)&gt;SUMIF(Transactions!$F$8:$F$3006,B858,Transactions!$R$8:$R$3006),"OWES","OVERPAID"))))</f>
        <v/>
      </c>
      <c r="I858" s="1"/>
    </row>
    <row r="859" spans="1:9" ht="18" customHeight="1" x14ac:dyDescent="0.25">
      <c r="A859" s="48">
        <v>844</v>
      </c>
      <c r="B859" s="49" t="str">
        <f t="array" ref="B859">IFERROR(IF(INDEX(Transactions!$F$8:$F$3006,MATCH(0,COUNTIF($B$11:B858,Transactions!$F$8:$F$3006),0))="","",INDEX(Transactions!$F$8:$F$3006,MATCH(0,COUNTIF($B$11:B858,Transactions!$F$8:$F$3006),0))),"")</f>
        <v/>
      </c>
      <c r="C859" s="50" t="str">
        <f>IF(B859="","",SUMIF(Transactions!$F$8:$F$3006,B859,Transactions!$H$8:$H$3006))</f>
        <v/>
      </c>
      <c r="D859" s="51" t="str">
        <f>IF(B859="","",SUMIF(Transactions!$F$8:$F$3006,B859,Transactions!$N$8:$N$3006))</f>
        <v/>
      </c>
      <c r="E859" s="52" t="str">
        <f>IF(B859="","",SUMIF(Transactions!$F$8:$F$3006,B859,Transactions!$O$8:$O$3006))</f>
        <v/>
      </c>
      <c r="F859" s="53" t="str">
        <f>IF(B859="","",SUMIF(Transactions!$F$8:$F$3006,B859,Transactions!$R$8:$R$3006))</f>
        <v/>
      </c>
      <c r="G859" s="54" t="str">
        <f>IF(B859="","",(C859+F859)-(D859+E859+SUMIF(Transactions!$F$8:$F$3006,B859,Transactions!$Q$8:$Q$3006)))</f>
        <v/>
      </c>
      <c r="H859" s="55" t="str">
        <f>IF(B859="","",IF(G859&gt;0,"OUTSTANDING",IF(G859=0,"SETTLED",IF(SUMIF(Transactions!$F$8:$F$3006,B859,Transactions!$Q$8:$Q$3006)&gt;SUMIF(Transactions!$F$8:$F$3006,B859,Transactions!$R$8:$R$3006),"OWES","OVERPAID"))))</f>
        <v/>
      </c>
      <c r="I859" s="1"/>
    </row>
    <row r="860" spans="1:9" ht="18" customHeight="1" x14ac:dyDescent="0.25">
      <c r="A860" s="40">
        <v>845</v>
      </c>
      <c r="B860" s="41" t="str">
        <f t="array" ref="B860">IFERROR(IF(INDEX(Transactions!$F$8:$F$3006,MATCH(0,COUNTIF($B$11:B859,Transactions!$F$8:$F$3006),0))="","",INDEX(Transactions!$F$8:$F$3006,MATCH(0,COUNTIF($B$11:B859,Transactions!$F$8:$F$3006),0))),"")</f>
        <v/>
      </c>
      <c r="C860" s="42" t="str">
        <f>IF(B860="","",SUMIF(Transactions!$F$8:$F$3006,B860,Transactions!$H$8:$H$3006))</f>
        <v/>
      </c>
      <c r="D860" s="43" t="str">
        <f>IF(B860="","",SUMIF(Transactions!$F$8:$F$3006,B860,Transactions!$N$8:$N$3006))</f>
        <v/>
      </c>
      <c r="E860" s="44" t="str">
        <f>IF(B860="","",SUMIF(Transactions!$F$8:$F$3006,B860,Transactions!$O$8:$O$3006))</f>
        <v/>
      </c>
      <c r="F860" s="45" t="str">
        <f>IF(B860="","",SUMIF(Transactions!$F$8:$F$3006,B860,Transactions!$R$8:$R$3006))</f>
        <v/>
      </c>
      <c r="G860" s="46" t="str">
        <f>IF(B860="","",(C860+F860)-(D860+E860+SUMIF(Transactions!$F$8:$F$3006,B860,Transactions!$Q$8:$Q$3006)))</f>
        <v/>
      </c>
      <c r="H860" s="47" t="str">
        <f>IF(B860="","",IF(G860&gt;0,"OUTSTANDING",IF(G860=0,"SETTLED",IF(SUMIF(Transactions!$F$8:$F$3006,B860,Transactions!$Q$8:$Q$3006)&gt;SUMIF(Transactions!$F$8:$F$3006,B860,Transactions!$R$8:$R$3006),"OWES","OVERPAID"))))</f>
        <v/>
      </c>
      <c r="I860" s="1"/>
    </row>
    <row r="861" spans="1:9" ht="18" customHeight="1" x14ac:dyDescent="0.25">
      <c r="A861" s="48">
        <v>846</v>
      </c>
      <c r="B861" s="49" t="str">
        <f t="array" ref="B861">IFERROR(IF(INDEX(Transactions!$F$8:$F$3006,MATCH(0,COUNTIF($B$11:B860,Transactions!$F$8:$F$3006),0))="","",INDEX(Transactions!$F$8:$F$3006,MATCH(0,COUNTIF($B$11:B860,Transactions!$F$8:$F$3006),0))),"")</f>
        <v/>
      </c>
      <c r="C861" s="50" t="str">
        <f>IF(B861="","",SUMIF(Transactions!$F$8:$F$3006,B861,Transactions!$H$8:$H$3006))</f>
        <v/>
      </c>
      <c r="D861" s="51" t="str">
        <f>IF(B861="","",SUMIF(Transactions!$F$8:$F$3006,B861,Transactions!$N$8:$N$3006))</f>
        <v/>
      </c>
      <c r="E861" s="52" t="str">
        <f>IF(B861="","",SUMIF(Transactions!$F$8:$F$3006,B861,Transactions!$O$8:$O$3006))</f>
        <v/>
      </c>
      <c r="F861" s="53" t="str">
        <f>IF(B861="","",SUMIF(Transactions!$F$8:$F$3006,B861,Transactions!$R$8:$R$3006))</f>
        <v/>
      </c>
      <c r="G861" s="54" t="str">
        <f>IF(B861="","",(C861+F861)-(D861+E861+SUMIF(Transactions!$F$8:$F$3006,B861,Transactions!$Q$8:$Q$3006)))</f>
        <v/>
      </c>
      <c r="H861" s="55" t="str">
        <f>IF(B861="","",IF(G861&gt;0,"OUTSTANDING",IF(G861=0,"SETTLED",IF(SUMIF(Transactions!$F$8:$F$3006,B861,Transactions!$Q$8:$Q$3006)&gt;SUMIF(Transactions!$F$8:$F$3006,B861,Transactions!$R$8:$R$3006),"OWES","OVERPAID"))))</f>
        <v/>
      </c>
      <c r="I861" s="1"/>
    </row>
    <row r="862" spans="1:9" ht="18" customHeight="1" x14ac:dyDescent="0.25">
      <c r="A862" s="40">
        <v>847</v>
      </c>
      <c r="B862" s="41" t="str">
        <f t="array" ref="B862">IFERROR(IF(INDEX(Transactions!$F$8:$F$3006,MATCH(0,COUNTIF($B$11:B861,Transactions!$F$8:$F$3006),0))="","",INDEX(Transactions!$F$8:$F$3006,MATCH(0,COUNTIF($B$11:B861,Transactions!$F$8:$F$3006),0))),"")</f>
        <v/>
      </c>
      <c r="C862" s="42" t="str">
        <f>IF(B862="","",SUMIF(Transactions!$F$8:$F$3006,B862,Transactions!$H$8:$H$3006))</f>
        <v/>
      </c>
      <c r="D862" s="43" t="str">
        <f>IF(B862="","",SUMIF(Transactions!$F$8:$F$3006,B862,Transactions!$N$8:$N$3006))</f>
        <v/>
      </c>
      <c r="E862" s="44" t="str">
        <f>IF(B862="","",SUMIF(Transactions!$F$8:$F$3006,B862,Transactions!$O$8:$O$3006))</f>
        <v/>
      </c>
      <c r="F862" s="45" t="str">
        <f>IF(B862="","",SUMIF(Transactions!$F$8:$F$3006,B862,Transactions!$R$8:$R$3006))</f>
        <v/>
      </c>
      <c r="G862" s="46" t="str">
        <f>IF(B862="","",(C862+F862)-(D862+E862+SUMIF(Transactions!$F$8:$F$3006,B862,Transactions!$Q$8:$Q$3006)))</f>
        <v/>
      </c>
      <c r="H862" s="47" t="str">
        <f>IF(B862="","",IF(G862&gt;0,"OUTSTANDING",IF(G862=0,"SETTLED",IF(SUMIF(Transactions!$F$8:$F$3006,B862,Transactions!$Q$8:$Q$3006)&gt;SUMIF(Transactions!$F$8:$F$3006,B862,Transactions!$R$8:$R$3006),"OWES","OVERPAID"))))</f>
        <v/>
      </c>
      <c r="I862" s="1"/>
    </row>
    <row r="863" spans="1:9" ht="18" customHeight="1" x14ac:dyDescent="0.25">
      <c r="A863" s="48">
        <v>848</v>
      </c>
      <c r="B863" s="49" t="str">
        <f t="array" ref="B863">IFERROR(IF(INDEX(Transactions!$F$8:$F$3006,MATCH(0,COUNTIF($B$11:B862,Transactions!$F$8:$F$3006),0))="","",INDEX(Transactions!$F$8:$F$3006,MATCH(0,COUNTIF($B$11:B862,Transactions!$F$8:$F$3006),0))),"")</f>
        <v/>
      </c>
      <c r="C863" s="50" t="str">
        <f>IF(B863="","",SUMIF(Transactions!$F$8:$F$3006,B863,Transactions!$H$8:$H$3006))</f>
        <v/>
      </c>
      <c r="D863" s="51" t="str">
        <f>IF(B863="","",SUMIF(Transactions!$F$8:$F$3006,B863,Transactions!$N$8:$N$3006))</f>
        <v/>
      </c>
      <c r="E863" s="52" t="str">
        <f>IF(B863="","",SUMIF(Transactions!$F$8:$F$3006,B863,Transactions!$O$8:$O$3006))</f>
        <v/>
      </c>
      <c r="F863" s="53" t="str">
        <f>IF(B863="","",SUMIF(Transactions!$F$8:$F$3006,B863,Transactions!$R$8:$R$3006))</f>
        <v/>
      </c>
      <c r="G863" s="54" t="str">
        <f>IF(B863="","",(C863+F863)-(D863+E863+SUMIF(Transactions!$F$8:$F$3006,B863,Transactions!$Q$8:$Q$3006)))</f>
        <v/>
      </c>
      <c r="H863" s="55" t="str">
        <f>IF(B863="","",IF(G863&gt;0,"OUTSTANDING",IF(G863=0,"SETTLED",IF(SUMIF(Transactions!$F$8:$F$3006,B863,Transactions!$Q$8:$Q$3006)&gt;SUMIF(Transactions!$F$8:$F$3006,B863,Transactions!$R$8:$R$3006),"OWES","OVERPAID"))))</f>
        <v/>
      </c>
      <c r="I863" s="1"/>
    </row>
    <row r="864" spans="1:9" ht="18" customHeight="1" x14ac:dyDescent="0.25">
      <c r="A864" s="40">
        <v>849</v>
      </c>
      <c r="B864" s="41" t="str">
        <f t="array" ref="B864">IFERROR(IF(INDEX(Transactions!$F$8:$F$3006,MATCH(0,COUNTIF($B$11:B863,Transactions!$F$8:$F$3006),0))="","",INDEX(Transactions!$F$8:$F$3006,MATCH(0,COUNTIF($B$11:B863,Transactions!$F$8:$F$3006),0))),"")</f>
        <v/>
      </c>
      <c r="C864" s="42" t="str">
        <f>IF(B864="","",SUMIF(Transactions!$F$8:$F$3006,B864,Transactions!$H$8:$H$3006))</f>
        <v/>
      </c>
      <c r="D864" s="43" t="str">
        <f>IF(B864="","",SUMIF(Transactions!$F$8:$F$3006,B864,Transactions!$N$8:$N$3006))</f>
        <v/>
      </c>
      <c r="E864" s="44" t="str">
        <f>IF(B864="","",SUMIF(Transactions!$F$8:$F$3006,B864,Transactions!$O$8:$O$3006))</f>
        <v/>
      </c>
      <c r="F864" s="45" t="str">
        <f>IF(B864="","",SUMIF(Transactions!$F$8:$F$3006,B864,Transactions!$R$8:$R$3006))</f>
        <v/>
      </c>
      <c r="G864" s="46" t="str">
        <f>IF(B864="","",(C864+F864)-(D864+E864+SUMIF(Transactions!$F$8:$F$3006,B864,Transactions!$Q$8:$Q$3006)))</f>
        <v/>
      </c>
      <c r="H864" s="47" t="str">
        <f>IF(B864="","",IF(G864&gt;0,"OUTSTANDING",IF(G864=0,"SETTLED",IF(SUMIF(Transactions!$F$8:$F$3006,B864,Transactions!$Q$8:$Q$3006)&gt;SUMIF(Transactions!$F$8:$F$3006,B864,Transactions!$R$8:$R$3006),"OWES","OVERPAID"))))</f>
        <v/>
      </c>
      <c r="I864" s="1"/>
    </row>
    <row r="865" spans="1:9" ht="18" customHeight="1" x14ac:dyDescent="0.25">
      <c r="A865" s="48">
        <v>850</v>
      </c>
      <c r="B865" s="49" t="str">
        <f t="array" ref="B865">IFERROR(IF(INDEX(Transactions!$F$8:$F$3006,MATCH(0,COUNTIF($B$11:B864,Transactions!$F$8:$F$3006),0))="","",INDEX(Transactions!$F$8:$F$3006,MATCH(0,COUNTIF($B$11:B864,Transactions!$F$8:$F$3006),0))),"")</f>
        <v/>
      </c>
      <c r="C865" s="50" t="str">
        <f>IF(B865="","",SUMIF(Transactions!$F$8:$F$3006,B865,Transactions!$H$8:$H$3006))</f>
        <v/>
      </c>
      <c r="D865" s="51" t="str">
        <f>IF(B865="","",SUMIF(Transactions!$F$8:$F$3006,B865,Transactions!$N$8:$N$3006))</f>
        <v/>
      </c>
      <c r="E865" s="52" t="str">
        <f>IF(B865="","",SUMIF(Transactions!$F$8:$F$3006,B865,Transactions!$O$8:$O$3006))</f>
        <v/>
      </c>
      <c r="F865" s="53" t="str">
        <f>IF(B865="","",SUMIF(Transactions!$F$8:$F$3006,B865,Transactions!$R$8:$R$3006))</f>
        <v/>
      </c>
      <c r="G865" s="54" t="str">
        <f>IF(B865="","",(C865+F865)-(D865+E865+SUMIF(Transactions!$F$8:$F$3006,B865,Transactions!$Q$8:$Q$3006)))</f>
        <v/>
      </c>
      <c r="H865" s="55" t="str">
        <f>IF(B865="","",IF(G865&gt;0,"OUTSTANDING",IF(G865=0,"SETTLED",IF(SUMIF(Transactions!$F$8:$F$3006,B865,Transactions!$Q$8:$Q$3006)&gt;SUMIF(Transactions!$F$8:$F$3006,B865,Transactions!$R$8:$R$3006),"OWES","OVERPAID"))))</f>
        <v/>
      </c>
      <c r="I865" s="1"/>
    </row>
    <row r="866" spans="1:9" ht="18" customHeight="1" x14ac:dyDescent="0.25">
      <c r="A866" s="40">
        <v>851</v>
      </c>
      <c r="B866" s="41" t="str">
        <f t="array" ref="B866">IFERROR(IF(INDEX(Transactions!$F$8:$F$3006,MATCH(0,COUNTIF($B$11:B865,Transactions!$F$8:$F$3006),0))="","",INDEX(Transactions!$F$8:$F$3006,MATCH(0,COUNTIF($B$11:B865,Transactions!$F$8:$F$3006),0))),"")</f>
        <v/>
      </c>
      <c r="C866" s="42" t="str">
        <f>IF(B866="","",SUMIF(Transactions!$F$8:$F$3006,B866,Transactions!$H$8:$H$3006))</f>
        <v/>
      </c>
      <c r="D866" s="43" t="str">
        <f>IF(B866="","",SUMIF(Transactions!$F$8:$F$3006,B866,Transactions!$N$8:$N$3006))</f>
        <v/>
      </c>
      <c r="E866" s="44" t="str">
        <f>IF(B866="","",SUMIF(Transactions!$F$8:$F$3006,B866,Transactions!$O$8:$O$3006))</f>
        <v/>
      </c>
      <c r="F866" s="45" t="str">
        <f>IF(B866="","",SUMIF(Transactions!$F$8:$F$3006,B866,Transactions!$R$8:$R$3006))</f>
        <v/>
      </c>
      <c r="G866" s="46" t="str">
        <f>IF(B866="","",(C866+F866)-(D866+E866+SUMIF(Transactions!$F$8:$F$3006,B866,Transactions!$Q$8:$Q$3006)))</f>
        <v/>
      </c>
      <c r="H866" s="47" t="str">
        <f>IF(B866="","",IF(G866&gt;0,"OUTSTANDING",IF(G866=0,"SETTLED",IF(SUMIF(Transactions!$F$8:$F$3006,B866,Transactions!$Q$8:$Q$3006)&gt;SUMIF(Transactions!$F$8:$F$3006,B866,Transactions!$R$8:$R$3006),"OWES","OVERPAID"))))</f>
        <v/>
      </c>
      <c r="I866" s="1"/>
    </row>
    <row r="867" spans="1:9" ht="18" customHeight="1" x14ac:dyDescent="0.25">
      <c r="A867" s="48">
        <v>852</v>
      </c>
      <c r="B867" s="49" t="str">
        <f t="array" ref="B867">IFERROR(IF(INDEX(Transactions!$F$8:$F$3006,MATCH(0,COUNTIF($B$11:B866,Transactions!$F$8:$F$3006),0))="","",INDEX(Transactions!$F$8:$F$3006,MATCH(0,COUNTIF($B$11:B866,Transactions!$F$8:$F$3006),0))),"")</f>
        <v/>
      </c>
      <c r="C867" s="50" t="str">
        <f>IF(B867="","",SUMIF(Transactions!$F$8:$F$3006,B867,Transactions!$H$8:$H$3006))</f>
        <v/>
      </c>
      <c r="D867" s="51" t="str">
        <f>IF(B867="","",SUMIF(Transactions!$F$8:$F$3006,B867,Transactions!$N$8:$N$3006))</f>
        <v/>
      </c>
      <c r="E867" s="52" t="str">
        <f>IF(B867="","",SUMIF(Transactions!$F$8:$F$3006,B867,Transactions!$O$8:$O$3006))</f>
        <v/>
      </c>
      <c r="F867" s="53" t="str">
        <f>IF(B867="","",SUMIF(Transactions!$F$8:$F$3006,B867,Transactions!$R$8:$R$3006))</f>
        <v/>
      </c>
      <c r="G867" s="54" t="str">
        <f>IF(B867="","",(C867+F867)-(D867+E867+SUMIF(Transactions!$F$8:$F$3006,B867,Transactions!$Q$8:$Q$3006)))</f>
        <v/>
      </c>
      <c r="H867" s="55" t="str">
        <f>IF(B867="","",IF(G867&gt;0,"OUTSTANDING",IF(G867=0,"SETTLED",IF(SUMIF(Transactions!$F$8:$F$3006,B867,Transactions!$Q$8:$Q$3006)&gt;SUMIF(Transactions!$F$8:$F$3006,B867,Transactions!$R$8:$R$3006),"OWES","OVERPAID"))))</f>
        <v/>
      </c>
      <c r="I867" s="1"/>
    </row>
    <row r="868" spans="1:9" ht="18" customHeight="1" x14ac:dyDescent="0.25">
      <c r="A868" s="40">
        <v>853</v>
      </c>
      <c r="B868" s="41" t="str">
        <f t="array" ref="B868">IFERROR(IF(INDEX(Transactions!$F$8:$F$3006,MATCH(0,COUNTIF($B$11:B867,Transactions!$F$8:$F$3006),0))="","",INDEX(Transactions!$F$8:$F$3006,MATCH(0,COUNTIF($B$11:B867,Transactions!$F$8:$F$3006),0))),"")</f>
        <v/>
      </c>
      <c r="C868" s="42" t="str">
        <f>IF(B868="","",SUMIF(Transactions!$F$8:$F$3006,B868,Transactions!$H$8:$H$3006))</f>
        <v/>
      </c>
      <c r="D868" s="43" t="str">
        <f>IF(B868="","",SUMIF(Transactions!$F$8:$F$3006,B868,Transactions!$N$8:$N$3006))</f>
        <v/>
      </c>
      <c r="E868" s="44" t="str">
        <f>IF(B868="","",SUMIF(Transactions!$F$8:$F$3006,B868,Transactions!$O$8:$O$3006))</f>
        <v/>
      </c>
      <c r="F868" s="45" t="str">
        <f>IF(B868="","",SUMIF(Transactions!$F$8:$F$3006,B868,Transactions!$R$8:$R$3006))</f>
        <v/>
      </c>
      <c r="G868" s="46" t="str">
        <f>IF(B868="","",(C868+F868)-(D868+E868+SUMIF(Transactions!$F$8:$F$3006,B868,Transactions!$Q$8:$Q$3006)))</f>
        <v/>
      </c>
      <c r="H868" s="47" t="str">
        <f>IF(B868="","",IF(G868&gt;0,"OUTSTANDING",IF(G868=0,"SETTLED",IF(SUMIF(Transactions!$F$8:$F$3006,B868,Transactions!$Q$8:$Q$3006)&gt;SUMIF(Transactions!$F$8:$F$3006,B868,Transactions!$R$8:$R$3006),"OWES","OVERPAID"))))</f>
        <v/>
      </c>
      <c r="I868" s="1"/>
    </row>
    <row r="869" spans="1:9" ht="18" customHeight="1" x14ac:dyDescent="0.25">
      <c r="A869" s="48">
        <v>854</v>
      </c>
      <c r="B869" s="49" t="str">
        <f t="array" ref="B869">IFERROR(IF(INDEX(Transactions!$F$8:$F$3006,MATCH(0,COUNTIF($B$11:B868,Transactions!$F$8:$F$3006),0))="","",INDEX(Transactions!$F$8:$F$3006,MATCH(0,COUNTIF($B$11:B868,Transactions!$F$8:$F$3006),0))),"")</f>
        <v/>
      </c>
      <c r="C869" s="50" t="str">
        <f>IF(B869="","",SUMIF(Transactions!$F$8:$F$3006,B869,Transactions!$H$8:$H$3006))</f>
        <v/>
      </c>
      <c r="D869" s="51" t="str">
        <f>IF(B869="","",SUMIF(Transactions!$F$8:$F$3006,B869,Transactions!$N$8:$N$3006))</f>
        <v/>
      </c>
      <c r="E869" s="52" t="str">
        <f>IF(B869="","",SUMIF(Transactions!$F$8:$F$3006,B869,Transactions!$O$8:$O$3006))</f>
        <v/>
      </c>
      <c r="F869" s="53" t="str">
        <f>IF(B869="","",SUMIF(Transactions!$F$8:$F$3006,B869,Transactions!$R$8:$R$3006))</f>
        <v/>
      </c>
      <c r="G869" s="54" t="str">
        <f>IF(B869="","",(C869+F869)-(D869+E869+SUMIF(Transactions!$F$8:$F$3006,B869,Transactions!$Q$8:$Q$3006)))</f>
        <v/>
      </c>
      <c r="H869" s="55" t="str">
        <f>IF(B869="","",IF(G869&gt;0,"OUTSTANDING",IF(G869=0,"SETTLED",IF(SUMIF(Transactions!$F$8:$F$3006,B869,Transactions!$Q$8:$Q$3006)&gt;SUMIF(Transactions!$F$8:$F$3006,B869,Transactions!$R$8:$R$3006),"OWES","OVERPAID"))))</f>
        <v/>
      </c>
      <c r="I869" s="1"/>
    </row>
    <row r="870" spans="1:9" ht="18" customHeight="1" x14ac:dyDescent="0.25">
      <c r="A870" s="40">
        <v>855</v>
      </c>
      <c r="B870" s="41" t="str">
        <f t="array" ref="B870">IFERROR(IF(INDEX(Transactions!$F$8:$F$3006,MATCH(0,COUNTIF($B$11:B869,Transactions!$F$8:$F$3006),0))="","",INDEX(Transactions!$F$8:$F$3006,MATCH(0,COUNTIF($B$11:B869,Transactions!$F$8:$F$3006),0))),"")</f>
        <v/>
      </c>
      <c r="C870" s="42" t="str">
        <f>IF(B870="","",SUMIF(Transactions!$F$8:$F$3006,B870,Transactions!$H$8:$H$3006))</f>
        <v/>
      </c>
      <c r="D870" s="43" t="str">
        <f>IF(B870="","",SUMIF(Transactions!$F$8:$F$3006,B870,Transactions!$N$8:$N$3006))</f>
        <v/>
      </c>
      <c r="E870" s="44" t="str">
        <f>IF(B870="","",SUMIF(Transactions!$F$8:$F$3006,B870,Transactions!$O$8:$O$3006))</f>
        <v/>
      </c>
      <c r="F870" s="45" t="str">
        <f>IF(B870="","",SUMIF(Transactions!$F$8:$F$3006,B870,Transactions!$R$8:$R$3006))</f>
        <v/>
      </c>
      <c r="G870" s="46" t="str">
        <f>IF(B870="","",(C870+F870)-(D870+E870+SUMIF(Transactions!$F$8:$F$3006,B870,Transactions!$Q$8:$Q$3006)))</f>
        <v/>
      </c>
      <c r="H870" s="47" t="str">
        <f>IF(B870="","",IF(G870&gt;0,"OUTSTANDING",IF(G870=0,"SETTLED",IF(SUMIF(Transactions!$F$8:$F$3006,B870,Transactions!$Q$8:$Q$3006)&gt;SUMIF(Transactions!$F$8:$F$3006,B870,Transactions!$R$8:$R$3006),"OWES","OVERPAID"))))</f>
        <v/>
      </c>
      <c r="I870" s="1"/>
    </row>
    <row r="871" spans="1:9" ht="18" customHeight="1" x14ac:dyDescent="0.25">
      <c r="A871" s="48">
        <v>856</v>
      </c>
      <c r="B871" s="49" t="str">
        <f t="array" ref="B871">IFERROR(IF(INDEX(Transactions!$F$8:$F$3006,MATCH(0,COUNTIF($B$11:B870,Transactions!$F$8:$F$3006),0))="","",INDEX(Transactions!$F$8:$F$3006,MATCH(0,COUNTIF($B$11:B870,Transactions!$F$8:$F$3006),0))),"")</f>
        <v/>
      </c>
      <c r="C871" s="50" t="str">
        <f>IF(B871="","",SUMIF(Transactions!$F$8:$F$3006,B871,Transactions!$H$8:$H$3006))</f>
        <v/>
      </c>
      <c r="D871" s="51" t="str">
        <f>IF(B871="","",SUMIF(Transactions!$F$8:$F$3006,B871,Transactions!$N$8:$N$3006))</f>
        <v/>
      </c>
      <c r="E871" s="52" t="str">
        <f>IF(B871="","",SUMIF(Transactions!$F$8:$F$3006,B871,Transactions!$O$8:$O$3006))</f>
        <v/>
      </c>
      <c r="F871" s="53" t="str">
        <f>IF(B871="","",SUMIF(Transactions!$F$8:$F$3006,B871,Transactions!$R$8:$R$3006))</f>
        <v/>
      </c>
      <c r="G871" s="54" t="str">
        <f>IF(B871="","",(C871+F871)-(D871+E871+SUMIF(Transactions!$F$8:$F$3006,B871,Transactions!$Q$8:$Q$3006)))</f>
        <v/>
      </c>
      <c r="H871" s="55" t="str">
        <f>IF(B871="","",IF(G871&gt;0,"OUTSTANDING",IF(G871=0,"SETTLED",IF(SUMIF(Transactions!$F$8:$F$3006,B871,Transactions!$Q$8:$Q$3006)&gt;SUMIF(Transactions!$F$8:$F$3006,B871,Transactions!$R$8:$R$3006),"OWES","OVERPAID"))))</f>
        <v/>
      </c>
      <c r="I871" s="1"/>
    </row>
    <row r="872" spans="1:9" ht="18" customHeight="1" x14ac:dyDescent="0.25">
      <c r="A872" s="40">
        <v>857</v>
      </c>
      <c r="B872" s="41" t="str">
        <f t="array" ref="B872">IFERROR(IF(INDEX(Transactions!$F$8:$F$3006,MATCH(0,COUNTIF($B$11:B871,Transactions!$F$8:$F$3006),0))="","",INDEX(Transactions!$F$8:$F$3006,MATCH(0,COUNTIF($B$11:B871,Transactions!$F$8:$F$3006),0))),"")</f>
        <v/>
      </c>
      <c r="C872" s="42" t="str">
        <f>IF(B872="","",SUMIF(Transactions!$F$8:$F$3006,B872,Transactions!$H$8:$H$3006))</f>
        <v/>
      </c>
      <c r="D872" s="43" t="str">
        <f>IF(B872="","",SUMIF(Transactions!$F$8:$F$3006,B872,Transactions!$N$8:$N$3006))</f>
        <v/>
      </c>
      <c r="E872" s="44" t="str">
        <f>IF(B872="","",SUMIF(Transactions!$F$8:$F$3006,B872,Transactions!$O$8:$O$3006))</f>
        <v/>
      </c>
      <c r="F872" s="45" t="str">
        <f>IF(B872="","",SUMIF(Transactions!$F$8:$F$3006,B872,Transactions!$R$8:$R$3006))</f>
        <v/>
      </c>
      <c r="G872" s="46" t="str">
        <f>IF(B872="","",(C872+F872)-(D872+E872+SUMIF(Transactions!$F$8:$F$3006,B872,Transactions!$Q$8:$Q$3006)))</f>
        <v/>
      </c>
      <c r="H872" s="47" t="str">
        <f>IF(B872="","",IF(G872&gt;0,"OUTSTANDING",IF(G872=0,"SETTLED",IF(SUMIF(Transactions!$F$8:$F$3006,B872,Transactions!$Q$8:$Q$3006)&gt;SUMIF(Transactions!$F$8:$F$3006,B872,Transactions!$R$8:$R$3006),"OWES","OVERPAID"))))</f>
        <v/>
      </c>
      <c r="I872" s="1"/>
    </row>
    <row r="873" spans="1:9" ht="18" customHeight="1" x14ac:dyDescent="0.25">
      <c r="A873" s="48">
        <v>858</v>
      </c>
      <c r="B873" s="49" t="str">
        <f t="array" ref="B873">IFERROR(IF(INDEX(Transactions!$F$8:$F$3006,MATCH(0,COUNTIF($B$11:B872,Transactions!$F$8:$F$3006),0))="","",INDEX(Transactions!$F$8:$F$3006,MATCH(0,COUNTIF($B$11:B872,Transactions!$F$8:$F$3006),0))),"")</f>
        <v/>
      </c>
      <c r="C873" s="50" t="str">
        <f>IF(B873="","",SUMIF(Transactions!$F$8:$F$3006,B873,Transactions!$H$8:$H$3006))</f>
        <v/>
      </c>
      <c r="D873" s="51" t="str">
        <f>IF(B873="","",SUMIF(Transactions!$F$8:$F$3006,B873,Transactions!$N$8:$N$3006))</f>
        <v/>
      </c>
      <c r="E873" s="52" t="str">
        <f>IF(B873="","",SUMIF(Transactions!$F$8:$F$3006,B873,Transactions!$O$8:$O$3006))</f>
        <v/>
      </c>
      <c r="F873" s="53" t="str">
        <f>IF(B873="","",SUMIF(Transactions!$F$8:$F$3006,B873,Transactions!$R$8:$R$3006))</f>
        <v/>
      </c>
      <c r="G873" s="54" t="str">
        <f>IF(B873="","",(C873+F873)-(D873+E873+SUMIF(Transactions!$F$8:$F$3006,B873,Transactions!$Q$8:$Q$3006)))</f>
        <v/>
      </c>
      <c r="H873" s="55" t="str">
        <f>IF(B873="","",IF(G873&gt;0,"OUTSTANDING",IF(G873=0,"SETTLED",IF(SUMIF(Transactions!$F$8:$F$3006,B873,Transactions!$Q$8:$Q$3006)&gt;SUMIF(Transactions!$F$8:$F$3006,B873,Transactions!$R$8:$R$3006),"OWES","OVERPAID"))))</f>
        <v/>
      </c>
      <c r="I873" s="1"/>
    </row>
    <row r="874" spans="1:9" ht="18" customHeight="1" x14ac:dyDescent="0.25">
      <c r="A874" s="40">
        <v>859</v>
      </c>
      <c r="B874" s="41" t="str">
        <f t="array" ref="B874">IFERROR(IF(INDEX(Transactions!$F$8:$F$3006,MATCH(0,COUNTIF($B$11:B873,Transactions!$F$8:$F$3006),0))="","",INDEX(Transactions!$F$8:$F$3006,MATCH(0,COUNTIF($B$11:B873,Transactions!$F$8:$F$3006),0))),"")</f>
        <v/>
      </c>
      <c r="C874" s="42" t="str">
        <f>IF(B874="","",SUMIF(Transactions!$F$8:$F$3006,B874,Transactions!$H$8:$H$3006))</f>
        <v/>
      </c>
      <c r="D874" s="43" t="str">
        <f>IF(B874="","",SUMIF(Transactions!$F$8:$F$3006,B874,Transactions!$N$8:$N$3006))</f>
        <v/>
      </c>
      <c r="E874" s="44" t="str">
        <f>IF(B874="","",SUMIF(Transactions!$F$8:$F$3006,B874,Transactions!$O$8:$O$3006))</f>
        <v/>
      </c>
      <c r="F874" s="45" t="str">
        <f>IF(B874="","",SUMIF(Transactions!$F$8:$F$3006,B874,Transactions!$R$8:$R$3006))</f>
        <v/>
      </c>
      <c r="G874" s="46" t="str">
        <f>IF(B874="","",(C874+F874)-(D874+E874+SUMIF(Transactions!$F$8:$F$3006,B874,Transactions!$Q$8:$Q$3006)))</f>
        <v/>
      </c>
      <c r="H874" s="47" t="str">
        <f>IF(B874="","",IF(G874&gt;0,"OUTSTANDING",IF(G874=0,"SETTLED",IF(SUMIF(Transactions!$F$8:$F$3006,B874,Transactions!$Q$8:$Q$3006)&gt;SUMIF(Transactions!$F$8:$F$3006,B874,Transactions!$R$8:$R$3006),"OWES","OVERPAID"))))</f>
        <v/>
      </c>
      <c r="I874" s="1"/>
    </row>
    <row r="875" spans="1:9" ht="18" customHeight="1" x14ac:dyDescent="0.25">
      <c r="A875" s="48">
        <v>860</v>
      </c>
      <c r="B875" s="49" t="str">
        <f t="array" ref="B875">IFERROR(IF(INDEX(Transactions!$F$8:$F$3006,MATCH(0,COUNTIF($B$11:B874,Transactions!$F$8:$F$3006),0))="","",INDEX(Transactions!$F$8:$F$3006,MATCH(0,COUNTIF($B$11:B874,Transactions!$F$8:$F$3006),0))),"")</f>
        <v/>
      </c>
      <c r="C875" s="50" t="str">
        <f>IF(B875="","",SUMIF(Transactions!$F$8:$F$3006,B875,Transactions!$H$8:$H$3006))</f>
        <v/>
      </c>
      <c r="D875" s="51" t="str">
        <f>IF(B875="","",SUMIF(Transactions!$F$8:$F$3006,B875,Transactions!$N$8:$N$3006))</f>
        <v/>
      </c>
      <c r="E875" s="52" t="str">
        <f>IF(B875="","",SUMIF(Transactions!$F$8:$F$3006,B875,Transactions!$O$8:$O$3006))</f>
        <v/>
      </c>
      <c r="F875" s="53" t="str">
        <f>IF(B875="","",SUMIF(Transactions!$F$8:$F$3006,B875,Transactions!$R$8:$R$3006))</f>
        <v/>
      </c>
      <c r="G875" s="54" t="str">
        <f>IF(B875="","",(C875+F875)-(D875+E875+SUMIF(Transactions!$F$8:$F$3006,B875,Transactions!$Q$8:$Q$3006)))</f>
        <v/>
      </c>
      <c r="H875" s="55" t="str">
        <f>IF(B875="","",IF(G875&gt;0,"OUTSTANDING",IF(G875=0,"SETTLED",IF(SUMIF(Transactions!$F$8:$F$3006,B875,Transactions!$Q$8:$Q$3006)&gt;SUMIF(Transactions!$F$8:$F$3006,B875,Transactions!$R$8:$R$3006),"OWES","OVERPAID"))))</f>
        <v/>
      </c>
      <c r="I875" s="1"/>
    </row>
    <row r="876" spans="1:9" ht="18" customHeight="1" x14ac:dyDescent="0.25">
      <c r="A876" s="40">
        <v>861</v>
      </c>
      <c r="B876" s="41" t="str">
        <f t="array" ref="B876">IFERROR(IF(INDEX(Transactions!$F$8:$F$3006,MATCH(0,COUNTIF($B$11:B875,Transactions!$F$8:$F$3006),0))="","",INDEX(Transactions!$F$8:$F$3006,MATCH(0,COUNTIF($B$11:B875,Transactions!$F$8:$F$3006),0))),"")</f>
        <v/>
      </c>
      <c r="C876" s="42" t="str">
        <f>IF(B876="","",SUMIF(Transactions!$F$8:$F$3006,B876,Transactions!$H$8:$H$3006))</f>
        <v/>
      </c>
      <c r="D876" s="43" t="str">
        <f>IF(B876="","",SUMIF(Transactions!$F$8:$F$3006,B876,Transactions!$N$8:$N$3006))</f>
        <v/>
      </c>
      <c r="E876" s="44" t="str">
        <f>IF(B876="","",SUMIF(Transactions!$F$8:$F$3006,B876,Transactions!$O$8:$O$3006))</f>
        <v/>
      </c>
      <c r="F876" s="45" t="str">
        <f>IF(B876="","",SUMIF(Transactions!$F$8:$F$3006,B876,Transactions!$R$8:$R$3006))</f>
        <v/>
      </c>
      <c r="G876" s="46" t="str">
        <f>IF(B876="","",(C876+F876)-(D876+E876+SUMIF(Transactions!$F$8:$F$3006,B876,Transactions!$Q$8:$Q$3006)))</f>
        <v/>
      </c>
      <c r="H876" s="47" t="str">
        <f>IF(B876="","",IF(G876&gt;0,"OUTSTANDING",IF(G876=0,"SETTLED",IF(SUMIF(Transactions!$F$8:$F$3006,B876,Transactions!$Q$8:$Q$3006)&gt;SUMIF(Transactions!$F$8:$F$3006,B876,Transactions!$R$8:$R$3006),"OWES","OVERPAID"))))</f>
        <v/>
      </c>
      <c r="I876" s="1"/>
    </row>
    <row r="877" spans="1:9" ht="18" customHeight="1" x14ac:dyDescent="0.25">
      <c r="A877" s="48">
        <v>862</v>
      </c>
      <c r="B877" s="49" t="str">
        <f t="array" ref="B877">IFERROR(IF(INDEX(Transactions!$F$8:$F$3006,MATCH(0,COUNTIF($B$11:B876,Transactions!$F$8:$F$3006),0))="","",INDEX(Transactions!$F$8:$F$3006,MATCH(0,COUNTIF($B$11:B876,Transactions!$F$8:$F$3006),0))),"")</f>
        <v/>
      </c>
      <c r="C877" s="50" t="str">
        <f>IF(B877="","",SUMIF(Transactions!$F$8:$F$3006,B877,Transactions!$H$8:$H$3006))</f>
        <v/>
      </c>
      <c r="D877" s="51" t="str">
        <f>IF(B877="","",SUMIF(Transactions!$F$8:$F$3006,B877,Transactions!$N$8:$N$3006))</f>
        <v/>
      </c>
      <c r="E877" s="52" t="str">
        <f>IF(B877="","",SUMIF(Transactions!$F$8:$F$3006,B877,Transactions!$O$8:$O$3006))</f>
        <v/>
      </c>
      <c r="F877" s="53" t="str">
        <f>IF(B877="","",SUMIF(Transactions!$F$8:$F$3006,B877,Transactions!$R$8:$R$3006))</f>
        <v/>
      </c>
      <c r="G877" s="54" t="str">
        <f>IF(B877="","",(C877+F877)-(D877+E877+SUMIF(Transactions!$F$8:$F$3006,B877,Transactions!$Q$8:$Q$3006)))</f>
        <v/>
      </c>
      <c r="H877" s="55" t="str">
        <f>IF(B877="","",IF(G877&gt;0,"OUTSTANDING",IF(G877=0,"SETTLED",IF(SUMIF(Transactions!$F$8:$F$3006,B877,Transactions!$Q$8:$Q$3006)&gt;SUMIF(Transactions!$F$8:$F$3006,B877,Transactions!$R$8:$R$3006),"OWES","OVERPAID"))))</f>
        <v/>
      </c>
      <c r="I877" s="1"/>
    </row>
    <row r="878" spans="1:9" ht="18" customHeight="1" x14ac:dyDescent="0.25">
      <c r="A878" s="40">
        <v>863</v>
      </c>
      <c r="B878" s="41" t="str">
        <f t="array" ref="B878">IFERROR(IF(INDEX(Transactions!$F$8:$F$3006,MATCH(0,COUNTIF($B$11:B877,Transactions!$F$8:$F$3006),0))="","",INDEX(Transactions!$F$8:$F$3006,MATCH(0,COUNTIF($B$11:B877,Transactions!$F$8:$F$3006),0))),"")</f>
        <v/>
      </c>
      <c r="C878" s="42" t="str">
        <f>IF(B878="","",SUMIF(Transactions!$F$8:$F$3006,B878,Transactions!$H$8:$H$3006))</f>
        <v/>
      </c>
      <c r="D878" s="43" t="str">
        <f>IF(B878="","",SUMIF(Transactions!$F$8:$F$3006,B878,Transactions!$N$8:$N$3006))</f>
        <v/>
      </c>
      <c r="E878" s="44" t="str">
        <f>IF(B878="","",SUMIF(Transactions!$F$8:$F$3006,B878,Transactions!$O$8:$O$3006))</f>
        <v/>
      </c>
      <c r="F878" s="45" t="str">
        <f>IF(B878="","",SUMIF(Transactions!$F$8:$F$3006,B878,Transactions!$R$8:$R$3006))</f>
        <v/>
      </c>
      <c r="G878" s="46" t="str">
        <f>IF(B878="","",(C878+F878)-(D878+E878+SUMIF(Transactions!$F$8:$F$3006,B878,Transactions!$Q$8:$Q$3006)))</f>
        <v/>
      </c>
      <c r="H878" s="47" t="str">
        <f>IF(B878="","",IF(G878&gt;0,"OUTSTANDING",IF(G878=0,"SETTLED",IF(SUMIF(Transactions!$F$8:$F$3006,B878,Transactions!$Q$8:$Q$3006)&gt;SUMIF(Transactions!$F$8:$F$3006,B878,Transactions!$R$8:$R$3006),"OWES","OVERPAID"))))</f>
        <v/>
      </c>
      <c r="I878" s="1"/>
    </row>
    <row r="879" spans="1:9" ht="18" customHeight="1" x14ac:dyDescent="0.25">
      <c r="A879" s="48">
        <v>864</v>
      </c>
      <c r="B879" s="49" t="str">
        <f t="array" ref="B879">IFERROR(IF(INDEX(Transactions!$F$8:$F$3006,MATCH(0,COUNTIF($B$11:B878,Transactions!$F$8:$F$3006),0))="","",INDEX(Transactions!$F$8:$F$3006,MATCH(0,COUNTIF($B$11:B878,Transactions!$F$8:$F$3006),0))),"")</f>
        <v/>
      </c>
      <c r="C879" s="50" t="str">
        <f>IF(B879="","",SUMIF(Transactions!$F$8:$F$3006,B879,Transactions!$H$8:$H$3006))</f>
        <v/>
      </c>
      <c r="D879" s="51" t="str">
        <f>IF(B879="","",SUMIF(Transactions!$F$8:$F$3006,B879,Transactions!$N$8:$N$3006))</f>
        <v/>
      </c>
      <c r="E879" s="52" t="str">
        <f>IF(B879="","",SUMIF(Transactions!$F$8:$F$3006,B879,Transactions!$O$8:$O$3006))</f>
        <v/>
      </c>
      <c r="F879" s="53" t="str">
        <f>IF(B879="","",SUMIF(Transactions!$F$8:$F$3006,B879,Transactions!$R$8:$R$3006))</f>
        <v/>
      </c>
      <c r="G879" s="54" t="str">
        <f>IF(B879="","",(C879+F879)-(D879+E879+SUMIF(Transactions!$F$8:$F$3006,B879,Transactions!$Q$8:$Q$3006)))</f>
        <v/>
      </c>
      <c r="H879" s="55" t="str">
        <f>IF(B879="","",IF(G879&gt;0,"OUTSTANDING",IF(G879=0,"SETTLED",IF(SUMIF(Transactions!$F$8:$F$3006,B879,Transactions!$Q$8:$Q$3006)&gt;SUMIF(Transactions!$F$8:$F$3006,B879,Transactions!$R$8:$R$3006),"OWES","OVERPAID"))))</f>
        <v/>
      </c>
      <c r="I879" s="1"/>
    </row>
    <row r="880" spans="1:9" ht="18" customHeight="1" x14ac:dyDescent="0.25">
      <c r="A880" s="40">
        <v>865</v>
      </c>
      <c r="B880" s="41" t="str">
        <f t="array" ref="B880">IFERROR(IF(INDEX(Transactions!$F$8:$F$3006,MATCH(0,COUNTIF($B$11:B879,Transactions!$F$8:$F$3006),0))="","",INDEX(Transactions!$F$8:$F$3006,MATCH(0,COUNTIF($B$11:B879,Transactions!$F$8:$F$3006),0))),"")</f>
        <v/>
      </c>
      <c r="C880" s="42" t="str">
        <f>IF(B880="","",SUMIF(Transactions!$F$8:$F$3006,B880,Transactions!$H$8:$H$3006))</f>
        <v/>
      </c>
      <c r="D880" s="43" t="str">
        <f>IF(B880="","",SUMIF(Transactions!$F$8:$F$3006,B880,Transactions!$N$8:$N$3006))</f>
        <v/>
      </c>
      <c r="E880" s="44" t="str">
        <f>IF(B880="","",SUMIF(Transactions!$F$8:$F$3006,B880,Transactions!$O$8:$O$3006))</f>
        <v/>
      </c>
      <c r="F880" s="45" t="str">
        <f>IF(B880="","",SUMIF(Transactions!$F$8:$F$3006,B880,Transactions!$R$8:$R$3006))</f>
        <v/>
      </c>
      <c r="G880" s="46" t="str">
        <f>IF(B880="","",(C880+F880)-(D880+E880+SUMIF(Transactions!$F$8:$F$3006,B880,Transactions!$Q$8:$Q$3006)))</f>
        <v/>
      </c>
      <c r="H880" s="47" t="str">
        <f>IF(B880="","",IF(G880&gt;0,"OUTSTANDING",IF(G880=0,"SETTLED",IF(SUMIF(Transactions!$F$8:$F$3006,B880,Transactions!$Q$8:$Q$3006)&gt;SUMIF(Transactions!$F$8:$F$3006,B880,Transactions!$R$8:$R$3006),"OWES","OVERPAID"))))</f>
        <v/>
      </c>
      <c r="I880" s="1"/>
    </row>
    <row r="881" spans="1:9" ht="18" customHeight="1" x14ac:dyDescent="0.25">
      <c r="A881" s="48">
        <v>866</v>
      </c>
      <c r="B881" s="49" t="str">
        <f t="array" ref="B881">IFERROR(IF(INDEX(Transactions!$F$8:$F$3006,MATCH(0,COUNTIF($B$11:B880,Transactions!$F$8:$F$3006),0))="","",INDEX(Transactions!$F$8:$F$3006,MATCH(0,COUNTIF($B$11:B880,Transactions!$F$8:$F$3006),0))),"")</f>
        <v/>
      </c>
      <c r="C881" s="50" t="str">
        <f>IF(B881="","",SUMIF(Transactions!$F$8:$F$3006,B881,Transactions!$H$8:$H$3006))</f>
        <v/>
      </c>
      <c r="D881" s="51" t="str">
        <f>IF(B881="","",SUMIF(Transactions!$F$8:$F$3006,B881,Transactions!$N$8:$N$3006))</f>
        <v/>
      </c>
      <c r="E881" s="52" t="str">
        <f>IF(B881="","",SUMIF(Transactions!$F$8:$F$3006,B881,Transactions!$O$8:$O$3006))</f>
        <v/>
      </c>
      <c r="F881" s="53" t="str">
        <f>IF(B881="","",SUMIF(Transactions!$F$8:$F$3006,B881,Transactions!$R$8:$R$3006))</f>
        <v/>
      </c>
      <c r="G881" s="54" t="str">
        <f>IF(B881="","",(C881+F881)-(D881+E881+SUMIF(Transactions!$F$8:$F$3006,B881,Transactions!$Q$8:$Q$3006)))</f>
        <v/>
      </c>
      <c r="H881" s="55" t="str">
        <f>IF(B881="","",IF(G881&gt;0,"OUTSTANDING",IF(G881=0,"SETTLED",IF(SUMIF(Transactions!$F$8:$F$3006,B881,Transactions!$Q$8:$Q$3006)&gt;SUMIF(Transactions!$F$8:$F$3006,B881,Transactions!$R$8:$R$3006),"OWES","OVERPAID"))))</f>
        <v/>
      </c>
      <c r="I881" s="1"/>
    </row>
    <row r="882" spans="1:9" ht="18" customHeight="1" x14ac:dyDescent="0.25">
      <c r="A882" s="40">
        <v>867</v>
      </c>
      <c r="B882" s="41" t="str">
        <f t="array" ref="B882">IFERROR(IF(INDEX(Transactions!$F$8:$F$3006,MATCH(0,COUNTIF($B$11:B881,Transactions!$F$8:$F$3006),0))="","",INDEX(Transactions!$F$8:$F$3006,MATCH(0,COUNTIF($B$11:B881,Transactions!$F$8:$F$3006),0))),"")</f>
        <v/>
      </c>
      <c r="C882" s="42" t="str">
        <f>IF(B882="","",SUMIF(Transactions!$F$8:$F$3006,B882,Transactions!$H$8:$H$3006))</f>
        <v/>
      </c>
      <c r="D882" s="43" t="str">
        <f>IF(B882="","",SUMIF(Transactions!$F$8:$F$3006,B882,Transactions!$N$8:$N$3006))</f>
        <v/>
      </c>
      <c r="E882" s="44" t="str">
        <f>IF(B882="","",SUMIF(Transactions!$F$8:$F$3006,B882,Transactions!$O$8:$O$3006))</f>
        <v/>
      </c>
      <c r="F882" s="45" t="str">
        <f>IF(B882="","",SUMIF(Transactions!$F$8:$F$3006,B882,Transactions!$R$8:$R$3006))</f>
        <v/>
      </c>
      <c r="G882" s="46" t="str">
        <f>IF(B882="","",(C882+F882)-(D882+E882+SUMIF(Transactions!$F$8:$F$3006,B882,Transactions!$Q$8:$Q$3006)))</f>
        <v/>
      </c>
      <c r="H882" s="47" t="str">
        <f>IF(B882="","",IF(G882&gt;0,"OUTSTANDING",IF(G882=0,"SETTLED",IF(SUMIF(Transactions!$F$8:$F$3006,B882,Transactions!$Q$8:$Q$3006)&gt;SUMIF(Transactions!$F$8:$F$3006,B882,Transactions!$R$8:$R$3006),"OWES","OVERPAID"))))</f>
        <v/>
      </c>
      <c r="I882" s="1"/>
    </row>
    <row r="883" spans="1:9" ht="18" customHeight="1" x14ac:dyDescent="0.25">
      <c r="A883" s="48">
        <v>868</v>
      </c>
      <c r="B883" s="49" t="str">
        <f t="array" ref="B883">IFERROR(IF(INDEX(Transactions!$F$8:$F$3006,MATCH(0,COUNTIF($B$11:B882,Transactions!$F$8:$F$3006),0))="","",INDEX(Transactions!$F$8:$F$3006,MATCH(0,COUNTIF($B$11:B882,Transactions!$F$8:$F$3006),0))),"")</f>
        <v/>
      </c>
      <c r="C883" s="50" t="str">
        <f>IF(B883="","",SUMIF(Transactions!$F$8:$F$3006,B883,Transactions!$H$8:$H$3006))</f>
        <v/>
      </c>
      <c r="D883" s="51" t="str">
        <f>IF(B883="","",SUMIF(Transactions!$F$8:$F$3006,B883,Transactions!$N$8:$N$3006))</f>
        <v/>
      </c>
      <c r="E883" s="52" t="str">
        <f>IF(B883="","",SUMIF(Transactions!$F$8:$F$3006,B883,Transactions!$O$8:$O$3006))</f>
        <v/>
      </c>
      <c r="F883" s="53" t="str">
        <f>IF(B883="","",SUMIF(Transactions!$F$8:$F$3006,B883,Transactions!$R$8:$R$3006))</f>
        <v/>
      </c>
      <c r="G883" s="54" t="str">
        <f>IF(B883="","",(C883+F883)-(D883+E883+SUMIF(Transactions!$F$8:$F$3006,B883,Transactions!$Q$8:$Q$3006)))</f>
        <v/>
      </c>
      <c r="H883" s="55" t="str">
        <f>IF(B883="","",IF(G883&gt;0,"OUTSTANDING",IF(G883=0,"SETTLED",IF(SUMIF(Transactions!$F$8:$F$3006,B883,Transactions!$Q$8:$Q$3006)&gt;SUMIF(Transactions!$F$8:$F$3006,B883,Transactions!$R$8:$R$3006),"OWES","OVERPAID"))))</f>
        <v/>
      </c>
      <c r="I883" s="1"/>
    </row>
    <row r="884" spans="1:9" ht="18" customHeight="1" x14ac:dyDescent="0.25">
      <c r="A884" s="40">
        <v>869</v>
      </c>
      <c r="B884" s="41" t="str">
        <f t="array" ref="B884">IFERROR(IF(INDEX(Transactions!$F$8:$F$3006,MATCH(0,COUNTIF($B$11:B883,Transactions!$F$8:$F$3006),0))="","",INDEX(Transactions!$F$8:$F$3006,MATCH(0,COUNTIF($B$11:B883,Transactions!$F$8:$F$3006),0))),"")</f>
        <v/>
      </c>
      <c r="C884" s="42" t="str">
        <f>IF(B884="","",SUMIF(Transactions!$F$8:$F$3006,B884,Transactions!$H$8:$H$3006))</f>
        <v/>
      </c>
      <c r="D884" s="43" t="str">
        <f>IF(B884="","",SUMIF(Transactions!$F$8:$F$3006,B884,Transactions!$N$8:$N$3006))</f>
        <v/>
      </c>
      <c r="E884" s="44" t="str">
        <f>IF(B884="","",SUMIF(Transactions!$F$8:$F$3006,B884,Transactions!$O$8:$O$3006))</f>
        <v/>
      </c>
      <c r="F884" s="45" t="str">
        <f>IF(B884="","",SUMIF(Transactions!$F$8:$F$3006,B884,Transactions!$R$8:$R$3006))</f>
        <v/>
      </c>
      <c r="G884" s="46" t="str">
        <f>IF(B884="","",(C884+F884)-(D884+E884+SUMIF(Transactions!$F$8:$F$3006,B884,Transactions!$Q$8:$Q$3006)))</f>
        <v/>
      </c>
      <c r="H884" s="47" t="str">
        <f>IF(B884="","",IF(G884&gt;0,"OUTSTANDING",IF(G884=0,"SETTLED",IF(SUMIF(Transactions!$F$8:$F$3006,B884,Transactions!$Q$8:$Q$3006)&gt;SUMIF(Transactions!$F$8:$F$3006,B884,Transactions!$R$8:$R$3006),"OWES","OVERPAID"))))</f>
        <v/>
      </c>
      <c r="I884" s="1"/>
    </row>
    <row r="885" spans="1:9" ht="18" customHeight="1" x14ac:dyDescent="0.25">
      <c r="A885" s="48">
        <v>870</v>
      </c>
      <c r="B885" s="49" t="str">
        <f t="array" ref="B885">IFERROR(IF(INDEX(Transactions!$F$8:$F$3006,MATCH(0,COUNTIF($B$11:B884,Transactions!$F$8:$F$3006),0))="","",INDEX(Transactions!$F$8:$F$3006,MATCH(0,COUNTIF($B$11:B884,Transactions!$F$8:$F$3006),0))),"")</f>
        <v/>
      </c>
      <c r="C885" s="50" t="str">
        <f>IF(B885="","",SUMIF(Transactions!$F$8:$F$3006,B885,Transactions!$H$8:$H$3006))</f>
        <v/>
      </c>
      <c r="D885" s="51" t="str">
        <f>IF(B885="","",SUMIF(Transactions!$F$8:$F$3006,B885,Transactions!$N$8:$N$3006))</f>
        <v/>
      </c>
      <c r="E885" s="52" t="str">
        <f>IF(B885="","",SUMIF(Transactions!$F$8:$F$3006,B885,Transactions!$O$8:$O$3006))</f>
        <v/>
      </c>
      <c r="F885" s="53" t="str">
        <f>IF(B885="","",SUMIF(Transactions!$F$8:$F$3006,B885,Transactions!$R$8:$R$3006))</f>
        <v/>
      </c>
      <c r="G885" s="54" t="str">
        <f>IF(B885="","",(C885+F885)-(D885+E885+SUMIF(Transactions!$F$8:$F$3006,B885,Transactions!$Q$8:$Q$3006)))</f>
        <v/>
      </c>
      <c r="H885" s="55" t="str">
        <f>IF(B885="","",IF(G885&gt;0,"OUTSTANDING",IF(G885=0,"SETTLED",IF(SUMIF(Transactions!$F$8:$F$3006,B885,Transactions!$Q$8:$Q$3006)&gt;SUMIF(Transactions!$F$8:$F$3006,B885,Transactions!$R$8:$R$3006),"OWES","OVERPAID"))))</f>
        <v/>
      </c>
      <c r="I885" s="1"/>
    </row>
    <row r="886" spans="1:9" ht="18" customHeight="1" x14ac:dyDescent="0.25">
      <c r="A886" s="40">
        <v>871</v>
      </c>
      <c r="B886" s="41" t="str">
        <f t="array" ref="B886">IFERROR(IF(INDEX(Transactions!$F$8:$F$3006,MATCH(0,COUNTIF($B$11:B885,Transactions!$F$8:$F$3006),0))="","",INDEX(Transactions!$F$8:$F$3006,MATCH(0,COUNTIF($B$11:B885,Transactions!$F$8:$F$3006),0))),"")</f>
        <v/>
      </c>
      <c r="C886" s="42" t="str">
        <f>IF(B886="","",SUMIF(Transactions!$F$8:$F$3006,B886,Transactions!$H$8:$H$3006))</f>
        <v/>
      </c>
      <c r="D886" s="43" t="str">
        <f>IF(B886="","",SUMIF(Transactions!$F$8:$F$3006,B886,Transactions!$N$8:$N$3006))</f>
        <v/>
      </c>
      <c r="E886" s="44" t="str">
        <f>IF(B886="","",SUMIF(Transactions!$F$8:$F$3006,B886,Transactions!$O$8:$O$3006))</f>
        <v/>
      </c>
      <c r="F886" s="45" t="str">
        <f>IF(B886="","",SUMIF(Transactions!$F$8:$F$3006,B886,Transactions!$R$8:$R$3006))</f>
        <v/>
      </c>
      <c r="G886" s="46" t="str">
        <f>IF(B886="","",(C886+F886)-(D886+E886+SUMIF(Transactions!$F$8:$F$3006,B886,Transactions!$Q$8:$Q$3006)))</f>
        <v/>
      </c>
      <c r="H886" s="47" t="str">
        <f>IF(B886="","",IF(G886&gt;0,"OUTSTANDING",IF(G886=0,"SETTLED",IF(SUMIF(Transactions!$F$8:$F$3006,B886,Transactions!$Q$8:$Q$3006)&gt;SUMIF(Transactions!$F$8:$F$3006,B886,Transactions!$R$8:$R$3006),"OWES","OVERPAID"))))</f>
        <v/>
      </c>
      <c r="I886" s="1"/>
    </row>
    <row r="887" spans="1:9" ht="18" customHeight="1" x14ac:dyDescent="0.25">
      <c r="A887" s="48">
        <v>872</v>
      </c>
      <c r="B887" s="49" t="str">
        <f t="array" ref="B887">IFERROR(IF(INDEX(Transactions!$F$8:$F$3006,MATCH(0,COUNTIF($B$11:B886,Transactions!$F$8:$F$3006),0))="","",INDEX(Transactions!$F$8:$F$3006,MATCH(0,COUNTIF($B$11:B886,Transactions!$F$8:$F$3006),0))),"")</f>
        <v/>
      </c>
      <c r="C887" s="50" t="str">
        <f>IF(B887="","",SUMIF(Transactions!$F$8:$F$3006,B887,Transactions!$H$8:$H$3006))</f>
        <v/>
      </c>
      <c r="D887" s="51" t="str">
        <f>IF(B887="","",SUMIF(Transactions!$F$8:$F$3006,B887,Transactions!$N$8:$N$3006))</f>
        <v/>
      </c>
      <c r="E887" s="52" t="str">
        <f>IF(B887="","",SUMIF(Transactions!$F$8:$F$3006,B887,Transactions!$O$8:$O$3006))</f>
        <v/>
      </c>
      <c r="F887" s="53" t="str">
        <f>IF(B887="","",SUMIF(Transactions!$F$8:$F$3006,B887,Transactions!$R$8:$R$3006))</f>
        <v/>
      </c>
      <c r="G887" s="54" t="str">
        <f>IF(B887="","",(C887+F887)-(D887+E887+SUMIF(Transactions!$F$8:$F$3006,B887,Transactions!$Q$8:$Q$3006)))</f>
        <v/>
      </c>
      <c r="H887" s="55" t="str">
        <f>IF(B887="","",IF(G887&gt;0,"OUTSTANDING",IF(G887=0,"SETTLED",IF(SUMIF(Transactions!$F$8:$F$3006,B887,Transactions!$Q$8:$Q$3006)&gt;SUMIF(Transactions!$F$8:$F$3006,B887,Transactions!$R$8:$R$3006),"OWES","OVERPAID"))))</f>
        <v/>
      </c>
      <c r="I887" s="1"/>
    </row>
    <row r="888" spans="1:9" ht="18" customHeight="1" x14ac:dyDescent="0.25">
      <c r="A888" s="40">
        <v>873</v>
      </c>
      <c r="B888" s="41" t="str">
        <f t="array" ref="B888">IFERROR(IF(INDEX(Transactions!$F$8:$F$3006,MATCH(0,COUNTIF($B$11:B887,Transactions!$F$8:$F$3006),0))="","",INDEX(Transactions!$F$8:$F$3006,MATCH(0,COUNTIF($B$11:B887,Transactions!$F$8:$F$3006),0))),"")</f>
        <v/>
      </c>
      <c r="C888" s="42" t="str">
        <f>IF(B888="","",SUMIF(Transactions!$F$8:$F$3006,B888,Transactions!$H$8:$H$3006))</f>
        <v/>
      </c>
      <c r="D888" s="43" t="str">
        <f>IF(B888="","",SUMIF(Transactions!$F$8:$F$3006,B888,Transactions!$N$8:$N$3006))</f>
        <v/>
      </c>
      <c r="E888" s="44" t="str">
        <f>IF(B888="","",SUMIF(Transactions!$F$8:$F$3006,B888,Transactions!$O$8:$O$3006))</f>
        <v/>
      </c>
      <c r="F888" s="45" t="str">
        <f>IF(B888="","",SUMIF(Transactions!$F$8:$F$3006,B888,Transactions!$R$8:$R$3006))</f>
        <v/>
      </c>
      <c r="G888" s="46" t="str">
        <f>IF(B888="","",(C888+F888)-(D888+E888+SUMIF(Transactions!$F$8:$F$3006,B888,Transactions!$Q$8:$Q$3006)))</f>
        <v/>
      </c>
      <c r="H888" s="47" t="str">
        <f>IF(B888="","",IF(G888&gt;0,"OUTSTANDING",IF(G888=0,"SETTLED",IF(SUMIF(Transactions!$F$8:$F$3006,B888,Transactions!$Q$8:$Q$3006)&gt;SUMIF(Transactions!$F$8:$F$3006,B888,Transactions!$R$8:$R$3006),"OWES","OVERPAID"))))</f>
        <v/>
      </c>
      <c r="I888" s="1"/>
    </row>
    <row r="889" spans="1:9" ht="18" customHeight="1" x14ac:dyDescent="0.25">
      <c r="A889" s="48">
        <v>874</v>
      </c>
      <c r="B889" s="49" t="str">
        <f t="array" ref="B889">IFERROR(IF(INDEX(Transactions!$F$8:$F$3006,MATCH(0,COUNTIF($B$11:B888,Transactions!$F$8:$F$3006),0))="","",INDEX(Transactions!$F$8:$F$3006,MATCH(0,COUNTIF($B$11:B888,Transactions!$F$8:$F$3006),0))),"")</f>
        <v/>
      </c>
      <c r="C889" s="50" t="str">
        <f>IF(B889="","",SUMIF(Transactions!$F$8:$F$3006,B889,Transactions!$H$8:$H$3006))</f>
        <v/>
      </c>
      <c r="D889" s="51" t="str">
        <f>IF(B889="","",SUMIF(Transactions!$F$8:$F$3006,B889,Transactions!$N$8:$N$3006))</f>
        <v/>
      </c>
      <c r="E889" s="52" t="str">
        <f>IF(B889="","",SUMIF(Transactions!$F$8:$F$3006,B889,Transactions!$O$8:$O$3006))</f>
        <v/>
      </c>
      <c r="F889" s="53" t="str">
        <f>IF(B889="","",SUMIF(Transactions!$F$8:$F$3006,B889,Transactions!$R$8:$R$3006))</f>
        <v/>
      </c>
      <c r="G889" s="54" t="str">
        <f>IF(B889="","",(C889+F889)-(D889+E889+SUMIF(Transactions!$F$8:$F$3006,B889,Transactions!$Q$8:$Q$3006)))</f>
        <v/>
      </c>
      <c r="H889" s="55" t="str">
        <f>IF(B889="","",IF(G889&gt;0,"OUTSTANDING",IF(G889=0,"SETTLED",IF(SUMIF(Transactions!$F$8:$F$3006,B889,Transactions!$Q$8:$Q$3006)&gt;SUMIF(Transactions!$F$8:$F$3006,B889,Transactions!$R$8:$R$3006),"OWES","OVERPAID"))))</f>
        <v/>
      </c>
      <c r="I889" s="1"/>
    </row>
    <row r="890" spans="1:9" ht="18" customHeight="1" x14ac:dyDescent="0.25">
      <c r="A890" s="40">
        <v>875</v>
      </c>
      <c r="B890" s="41" t="str">
        <f t="array" ref="B890">IFERROR(IF(INDEX(Transactions!$F$8:$F$3006,MATCH(0,COUNTIF($B$11:B889,Transactions!$F$8:$F$3006),0))="","",INDEX(Transactions!$F$8:$F$3006,MATCH(0,COUNTIF($B$11:B889,Transactions!$F$8:$F$3006),0))),"")</f>
        <v/>
      </c>
      <c r="C890" s="42" t="str">
        <f>IF(B890="","",SUMIF(Transactions!$F$8:$F$3006,B890,Transactions!$H$8:$H$3006))</f>
        <v/>
      </c>
      <c r="D890" s="43" t="str">
        <f>IF(B890="","",SUMIF(Transactions!$F$8:$F$3006,B890,Transactions!$N$8:$N$3006))</f>
        <v/>
      </c>
      <c r="E890" s="44" t="str">
        <f>IF(B890="","",SUMIF(Transactions!$F$8:$F$3006,B890,Transactions!$O$8:$O$3006))</f>
        <v/>
      </c>
      <c r="F890" s="45" t="str">
        <f>IF(B890="","",SUMIF(Transactions!$F$8:$F$3006,B890,Transactions!$R$8:$R$3006))</f>
        <v/>
      </c>
      <c r="G890" s="46" t="str">
        <f>IF(B890="","",(C890+F890)-(D890+E890+SUMIF(Transactions!$F$8:$F$3006,B890,Transactions!$Q$8:$Q$3006)))</f>
        <v/>
      </c>
      <c r="H890" s="47" t="str">
        <f>IF(B890="","",IF(G890&gt;0,"OUTSTANDING",IF(G890=0,"SETTLED",IF(SUMIF(Transactions!$F$8:$F$3006,B890,Transactions!$Q$8:$Q$3006)&gt;SUMIF(Transactions!$F$8:$F$3006,B890,Transactions!$R$8:$R$3006),"OWES","OVERPAID"))))</f>
        <v/>
      </c>
      <c r="I890" s="1"/>
    </row>
    <row r="891" spans="1:9" ht="18" customHeight="1" x14ac:dyDescent="0.25">
      <c r="A891" s="48">
        <v>876</v>
      </c>
      <c r="B891" s="49" t="str">
        <f t="array" ref="B891">IFERROR(IF(INDEX(Transactions!$F$8:$F$3006,MATCH(0,COUNTIF($B$11:B890,Transactions!$F$8:$F$3006),0))="","",INDEX(Transactions!$F$8:$F$3006,MATCH(0,COUNTIF($B$11:B890,Transactions!$F$8:$F$3006),0))),"")</f>
        <v/>
      </c>
      <c r="C891" s="50" t="str">
        <f>IF(B891="","",SUMIF(Transactions!$F$8:$F$3006,B891,Transactions!$H$8:$H$3006))</f>
        <v/>
      </c>
      <c r="D891" s="51" t="str">
        <f>IF(B891="","",SUMIF(Transactions!$F$8:$F$3006,B891,Transactions!$N$8:$N$3006))</f>
        <v/>
      </c>
      <c r="E891" s="52" t="str">
        <f>IF(B891="","",SUMIF(Transactions!$F$8:$F$3006,B891,Transactions!$O$8:$O$3006))</f>
        <v/>
      </c>
      <c r="F891" s="53" t="str">
        <f>IF(B891="","",SUMIF(Transactions!$F$8:$F$3006,B891,Transactions!$R$8:$R$3006))</f>
        <v/>
      </c>
      <c r="G891" s="54" t="str">
        <f>IF(B891="","",(C891+F891)-(D891+E891+SUMIF(Transactions!$F$8:$F$3006,B891,Transactions!$Q$8:$Q$3006)))</f>
        <v/>
      </c>
      <c r="H891" s="55" t="str">
        <f>IF(B891="","",IF(G891&gt;0,"OUTSTANDING",IF(G891=0,"SETTLED",IF(SUMIF(Transactions!$F$8:$F$3006,B891,Transactions!$Q$8:$Q$3006)&gt;SUMIF(Transactions!$F$8:$F$3006,B891,Transactions!$R$8:$R$3006),"OWES","OVERPAID"))))</f>
        <v/>
      </c>
      <c r="I891" s="1"/>
    </row>
    <row r="892" spans="1:9" ht="18" customHeight="1" x14ac:dyDescent="0.25">
      <c r="A892" s="40">
        <v>877</v>
      </c>
      <c r="B892" s="41" t="str">
        <f t="array" ref="B892">IFERROR(IF(INDEX(Transactions!$F$8:$F$3006,MATCH(0,COUNTIF($B$11:B891,Transactions!$F$8:$F$3006),0))="","",INDEX(Transactions!$F$8:$F$3006,MATCH(0,COUNTIF($B$11:B891,Transactions!$F$8:$F$3006),0))),"")</f>
        <v/>
      </c>
      <c r="C892" s="42" t="str">
        <f>IF(B892="","",SUMIF(Transactions!$F$8:$F$3006,B892,Transactions!$H$8:$H$3006))</f>
        <v/>
      </c>
      <c r="D892" s="43" t="str">
        <f>IF(B892="","",SUMIF(Transactions!$F$8:$F$3006,B892,Transactions!$N$8:$N$3006))</f>
        <v/>
      </c>
      <c r="E892" s="44" t="str">
        <f>IF(B892="","",SUMIF(Transactions!$F$8:$F$3006,B892,Transactions!$O$8:$O$3006))</f>
        <v/>
      </c>
      <c r="F892" s="45" t="str">
        <f>IF(B892="","",SUMIF(Transactions!$F$8:$F$3006,B892,Transactions!$R$8:$R$3006))</f>
        <v/>
      </c>
      <c r="G892" s="46" t="str">
        <f>IF(B892="","",(C892+F892)-(D892+E892+SUMIF(Transactions!$F$8:$F$3006,B892,Transactions!$Q$8:$Q$3006)))</f>
        <v/>
      </c>
      <c r="H892" s="47" t="str">
        <f>IF(B892="","",IF(G892&gt;0,"OUTSTANDING",IF(G892=0,"SETTLED",IF(SUMIF(Transactions!$F$8:$F$3006,B892,Transactions!$Q$8:$Q$3006)&gt;SUMIF(Transactions!$F$8:$F$3006,B892,Transactions!$R$8:$R$3006),"OWES","OVERPAID"))))</f>
        <v/>
      </c>
      <c r="I892" s="1"/>
    </row>
    <row r="893" spans="1:9" ht="18" customHeight="1" x14ac:dyDescent="0.25">
      <c r="A893" s="48">
        <v>878</v>
      </c>
      <c r="B893" s="49" t="str">
        <f t="array" ref="B893">IFERROR(IF(INDEX(Transactions!$F$8:$F$3006,MATCH(0,COUNTIF($B$11:B892,Transactions!$F$8:$F$3006),0))="","",INDEX(Transactions!$F$8:$F$3006,MATCH(0,COUNTIF($B$11:B892,Transactions!$F$8:$F$3006),0))),"")</f>
        <v/>
      </c>
      <c r="C893" s="50" t="str">
        <f>IF(B893="","",SUMIF(Transactions!$F$8:$F$3006,B893,Transactions!$H$8:$H$3006))</f>
        <v/>
      </c>
      <c r="D893" s="51" t="str">
        <f>IF(B893="","",SUMIF(Transactions!$F$8:$F$3006,B893,Transactions!$N$8:$N$3006))</f>
        <v/>
      </c>
      <c r="E893" s="52" t="str">
        <f>IF(B893="","",SUMIF(Transactions!$F$8:$F$3006,B893,Transactions!$O$8:$O$3006))</f>
        <v/>
      </c>
      <c r="F893" s="53" t="str">
        <f>IF(B893="","",SUMIF(Transactions!$F$8:$F$3006,B893,Transactions!$R$8:$R$3006))</f>
        <v/>
      </c>
      <c r="G893" s="54" t="str">
        <f>IF(B893="","",(C893+F893)-(D893+E893+SUMIF(Transactions!$F$8:$F$3006,B893,Transactions!$Q$8:$Q$3006)))</f>
        <v/>
      </c>
      <c r="H893" s="55" t="str">
        <f>IF(B893="","",IF(G893&gt;0,"OUTSTANDING",IF(G893=0,"SETTLED",IF(SUMIF(Transactions!$F$8:$F$3006,B893,Transactions!$Q$8:$Q$3006)&gt;SUMIF(Transactions!$F$8:$F$3006,B893,Transactions!$R$8:$R$3006),"OWES","OVERPAID"))))</f>
        <v/>
      </c>
      <c r="I893" s="1"/>
    </row>
    <row r="894" spans="1:9" ht="18" customHeight="1" x14ac:dyDescent="0.25">
      <c r="A894" s="40">
        <v>879</v>
      </c>
      <c r="B894" s="41" t="str">
        <f t="array" ref="B894">IFERROR(IF(INDEX(Transactions!$F$8:$F$3006,MATCH(0,COUNTIF($B$11:B893,Transactions!$F$8:$F$3006),0))="","",INDEX(Transactions!$F$8:$F$3006,MATCH(0,COUNTIF($B$11:B893,Transactions!$F$8:$F$3006),0))),"")</f>
        <v/>
      </c>
      <c r="C894" s="42" t="str">
        <f>IF(B894="","",SUMIF(Transactions!$F$8:$F$3006,B894,Transactions!$H$8:$H$3006))</f>
        <v/>
      </c>
      <c r="D894" s="43" t="str">
        <f>IF(B894="","",SUMIF(Transactions!$F$8:$F$3006,B894,Transactions!$N$8:$N$3006))</f>
        <v/>
      </c>
      <c r="E894" s="44" t="str">
        <f>IF(B894="","",SUMIF(Transactions!$F$8:$F$3006,B894,Transactions!$O$8:$O$3006))</f>
        <v/>
      </c>
      <c r="F894" s="45" t="str">
        <f>IF(B894="","",SUMIF(Transactions!$F$8:$F$3006,B894,Transactions!$R$8:$R$3006))</f>
        <v/>
      </c>
      <c r="G894" s="46" t="str">
        <f>IF(B894="","",(C894+F894)-(D894+E894+SUMIF(Transactions!$F$8:$F$3006,B894,Transactions!$Q$8:$Q$3006)))</f>
        <v/>
      </c>
      <c r="H894" s="47" t="str">
        <f>IF(B894="","",IF(G894&gt;0,"OUTSTANDING",IF(G894=0,"SETTLED",IF(SUMIF(Transactions!$F$8:$F$3006,B894,Transactions!$Q$8:$Q$3006)&gt;SUMIF(Transactions!$F$8:$F$3006,B894,Transactions!$R$8:$R$3006),"OWES","OVERPAID"))))</f>
        <v/>
      </c>
      <c r="I894" s="1"/>
    </row>
    <row r="895" spans="1:9" ht="18" customHeight="1" x14ac:dyDescent="0.25">
      <c r="A895" s="48">
        <v>880</v>
      </c>
      <c r="B895" s="49" t="str">
        <f t="array" ref="B895">IFERROR(IF(INDEX(Transactions!$F$8:$F$3006,MATCH(0,COUNTIF($B$11:B894,Transactions!$F$8:$F$3006),0))="","",INDEX(Transactions!$F$8:$F$3006,MATCH(0,COUNTIF($B$11:B894,Transactions!$F$8:$F$3006),0))),"")</f>
        <v/>
      </c>
      <c r="C895" s="50" t="str">
        <f>IF(B895="","",SUMIF(Transactions!$F$8:$F$3006,B895,Transactions!$H$8:$H$3006))</f>
        <v/>
      </c>
      <c r="D895" s="51" t="str">
        <f>IF(B895="","",SUMIF(Transactions!$F$8:$F$3006,B895,Transactions!$N$8:$N$3006))</f>
        <v/>
      </c>
      <c r="E895" s="52" t="str">
        <f>IF(B895="","",SUMIF(Transactions!$F$8:$F$3006,B895,Transactions!$O$8:$O$3006))</f>
        <v/>
      </c>
      <c r="F895" s="53" t="str">
        <f>IF(B895="","",SUMIF(Transactions!$F$8:$F$3006,B895,Transactions!$R$8:$R$3006))</f>
        <v/>
      </c>
      <c r="G895" s="54" t="str">
        <f>IF(B895="","",(C895+F895)-(D895+E895+SUMIF(Transactions!$F$8:$F$3006,B895,Transactions!$Q$8:$Q$3006)))</f>
        <v/>
      </c>
      <c r="H895" s="55" t="str">
        <f>IF(B895="","",IF(G895&gt;0,"OUTSTANDING",IF(G895=0,"SETTLED",IF(SUMIF(Transactions!$F$8:$F$3006,B895,Transactions!$Q$8:$Q$3006)&gt;SUMIF(Transactions!$F$8:$F$3006,B895,Transactions!$R$8:$R$3006),"OWES","OVERPAID"))))</f>
        <v/>
      </c>
      <c r="I895" s="1"/>
    </row>
    <row r="896" spans="1:9" ht="18" customHeight="1" x14ac:dyDescent="0.25">
      <c r="A896" s="40">
        <v>881</v>
      </c>
      <c r="B896" s="41" t="str">
        <f t="array" ref="B896">IFERROR(IF(INDEX(Transactions!$F$8:$F$3006,MATCH(0,COUNTIF($B$11:B895,Transactions!$F$8:$F$3006),0))="","",INDEX(Transactions!$F$8:$F$3006,MATCH(0,COUNTIF($B$11:B895,Transactions!$F$8:$F$3006),0))),"")</f>
        <v/>
      </c>
      <c r="C896" s="42" t="str">
        <f>IF(B896="","",SUMIF(Transactions!$F$8:$F$3006,B896,Transactions!$H$8:$H$3006))</f>
        <v/>
      </c>
      <c r="D896" s="43" t="str">
        <f>IF(B896="","",SUMIF(Transactions!$F$8:$F$3006,B896,Transactions!$N$8:$N$3006))</f>
        <v/>
      </c>
      <c r="E896" s="44" t="str">
        <f>IF(B896="","",SUMIF(Transactions!$F$8:$F$3006,B896,Transactions!$O$8:$O$3006))</f>
        <v/>
      </c>
      <c r="F896" s="45" t="str">
        <f>IF(B896="","",SUMIF(Transactions!$F$8:$F$3006,B896,Transactions!$R$8:$R$3006))</f>
        <v/>
      </c>
      <c r="G896" s="46" t="str">
        <f>IF(B896="","",(C896+F896)-(D896+E896+SUMIF(Transactions!$F$8:$F$3006,B896,Transactions!$Q$8:$Q$3006)))</f>
        <v/>
      </c>
      <c r="H896" s="47" t="str">
        <f>IF(B896="","",IF(G896&gt;0,"OUTSTANDING",IF(G896=0,"SETTLED",IF(SUMIF(Transactions!$F$8:$F$3006,B896,Transactions!$Q$8:$Q$3006)&gt;SUMIF(Transactions!$F$8:$F$3006,B896,Transactions!$R$8:$R$3006),"OWES","OVERPAID"))))</f>
        <v/>
      </c>
      <c r="I896" s="1"/>
    </row>
    <row r="897" spans="1:9" ht="18" customHeight="1" x14ac:dyDescent="0.25">
      <c r="A897" s="48">
        <v>882</v>
      </c>
      <c r="B897" s="49" t="str">
        <f t="array" ref="B897">IFERROR(IF(INDEX(Transactions!$F$8:$F$3006,MATCH(0,COUNTIF($B$11:B896,Transactions!$F$8:$F$3006),0))="","",INDEX(Transactions!$F$8:$F$3006,MATCH(0,COUNTIF($B$11:B896,Transactions!$F$8:$F$3006),0))),"")</f>
        <v/>
      </c>
      <c r="C897" s="50" t="str">
        <f>IF(B897="","",SUMIF(Transactions!$F$8:$F$3006,B897,Transactions!$H$8:$H$3006))</f>
        <v/>
      </c>
      <c r="D897" s="51" t="str">
        <f>IF(B897="","",SUMIF(Transactions!$F$8:$F$3006,B897,Transactions!$N$8:$N$3006))</f>
        <v/>
      </c>
      <c r="E897" s="52" t="str">
        <f>IF(B897="","",SUMIF(Transactions!$F$8:$F$3006,B897,Transactions!$O$8:$O$3006))</f>
        <v/>
      </c>
      <c r="F897" s="53" t="str">
        <f>IF(B897="","",SUMIF(Transactions!$F$8:$F$3006,B897,Transactions!$R$8:$R$3006))</f>
        <v/>
      </c>
      <c r="G897" s="54" t="str">
        <f>IF(B897="","",(C897+F897)-(D897+E897+SUMIF(Transactions!$F$8:$F$3006,B897,Transactions!$Q$8:$Q$3006)))</f>
        <v/>
      </c>
      <c r="H897" s="55" t="str">
        <f>IF(B897="","",IF(G897&gt;0,"OUTSTANDING",IF(G897=0,"SETTLED",IF(SUMIF(Transactions!$F$8:$F$3006,B897,Transactions!$Q$8:$Q$3006)&gt;SUMIF(Transactions!$F$8:$F$3006,B897,Transactions!$R$8:$R$3006),"OWES","OVERPAID"))))</f>
        <v/>
      </c>
      <c r="I897" s="1"/>
    </row>
    <row r="898" spans="1:9" ht="18" customHeight="1" x14ac:dyDescent="0.25">
      <c r="A898" s="40">
        <v>883</v>
      </c>
      <c r="B898" s="41" t="str">
        <f t="array" ref="B898">IFERROR(IF(INDEX(Transactions!$F$8:$F$3006,MATCH(0,COUNTIF($B$11:B897,Transactions!$F$8:$F$3006),0))="","",INDEX(Transactions!$F$8:$F$3006,MATCH(0,COUNTIF($B$11:B897,Transactions!$F$8:$F$3006),0))),"")</f>
        <v/>
      </c>
      <c r="C898" s="42" t="str">
        <f>IF(B898="","",SUMIF(Transactions!$F$8:$F$3006,B898,Transactions!$H$8:$H$3006))</f>
        <v/>
      </c>
      <c r="D898" s="43" t="str">
        <f>IF(B898="","",SUMIF(Transactions!$F$8:$F$3006,B898,Transactions!$N$8:$N$3006))</f>
        <v/>
      </c>
      <c r="E898" s="44" t="str">
        <f>IF(B898="","",SUMIF(Transactions!$F$8:$F$3006,B898,Transactions!$O$8:$O$3006))</f>
        <v/>
      </c>
      <c r="F898" s="45" t="str">
        <f>IF(B898="","",SUMIF(Transactions!$F$8:$F$3006,B898,Transactions!$R$8:$R$3006))</f>
        <v/>
      </c>
      <c r="G898" s="46" t="str">
        <f>IF(B898="","",(C898+F898)-(D898+E898+SUMIF(Transactions!$F$8:$F$3006,B898,Transactions!$Q$8:$Q$3006)))</f>
        <v/>
      </c>
      <c r="H898" s="47" t="str">
        <f>IF(B898="","",IF(G898&gt;0,"OUTSTANDING",IF(G898=0,"SETTLED",IF(SUMIF(Transactions!$F$8:$F$3006,B898,Transactions!$Q$8:$Q$3006)&gt;SUMIF(Transactions!$F$8:$F$3006,B898,Transactions!$R$8:$R$3006),"OWES","OVERPAID"))))</f>
        <v/>
      </c>
      <c r="I898" s="1"/>
    </row>
    <row r="899" spans="1:9" ht="18" customHeight="1" x14ac:dyDescent="0.25">
      <c r="A899" s="48">
        <v>884</v>
      </c>
      <c r="B899" s="49" t="str">
        <f t="array" ref="B899">IFERROR(IF(INDEX(Transactions!$F$8:$F$3006,MATCH(0,COUNTIF($B$11:B898,Transactions!$F$8:$F$3006),0))="","",INDEX(Transactions!$F$8:$F$3006,MATCH(0,COUNTIF($B$11:B898,Transactions!$F$8:$F$3006),0))),"")</f>
        <v/>
      </c>
      <c r="C899" s="50" t="str">
        <f>IF(B899="","",SUMIF(Transactions!$F$8:$F$3006,B899,Transactions!$H$8:$H$3006))</f>
        <v/>
      </c>
      <c r="D899" s="51" t="str">
        <f>IF(B899="","",SUMIF(Transactions!$F$8:$F$3006,B899,Transactions!$N$8:$N$3006))</f>
        <v/>
      </c>
      <c r="E899" s="52" t="str">
        <f>IF(B899="","",SUMIF(Transactions!$F$8:$F$3006,B899,Transactions!$O$8:$O$3006))</f>
        <v/>
      </c>
      <c r="F899" s="53" t="str">
        <f>IF(B899="","",SUMIF(Transactions!$F$8:$F$3006,B899,Transactions!$R$8:$R$3006))</f>
        <v/>
      </c>
      <c r="G899" s="54" t="str">
        <f>IF(B899="","",(C899+F899)-(D899+E899+SUMIF(Transactions!$F$8:$F$3006,B899,Transactions!$Q$8:$Q$3006)))</f>
        <v/>
      </c>
      <c r="H899" s="55" t="str">
        <f>IF(B899="","",IF(G899&gt;0,"OUTSTANDING",IF(G899=0,"SETTLED",IF(SUMIF(Transactions!$F$8:$F$3006,B899,Transactions!$Q$8:$Q$3006)&gt;SUMIF(Transactions!$F$8:$F$3006,B899,Transactions!$R$8:$R$3006),"OWES","OVERPAID"))))</f>
        <v/>
      </c>
      <c r="I899" s="1"/>
    </row>
    <row r="900" spans="1:9" ht="18" customHeight="1" x14ac:dyDescent="0.25">
      <c r="A900" s="40">
        <v>885</v>
      </c>
      <c r="B900" s="41" t="str">
        <f t="array" ref="B900">IFERROR(IF(INDEX(Transactions!$F$8:$F$3006,MATCH(0,COUNTIF($B$11:B899,Transactions!$F$8:$F$3006),0))="","",INDEX(Transactions!$F$8:$F$3006,MATCH(0,COUNTIF($B$11:B899,Transactions!$F$8:$F$3006),0))),"")</f>
        <v/>
      </c>
      <c r="C900" s="42" t="str">
        <f>IF(B900="","",SUMIF(Transactions!$F$8:$F$3006,B900,Transactions!$H$8:$H$3006))</f>
        <v/>
      </c>
      <c r="D900" s="43" t="str">
        <f>IF(B900="","",SUMIF(Transactions!$F$8:$F$3006,B900,Transactions!$N$8:$N$3006))</f>
        <v/>
      </c>
      <c r="E900" s="44" t="str">
        <f>IF(B900="","",SUMIF(Transactions!$F$8:$F$3006,B900,Transactions!$O$8:$O$3006))</f>
        <v/>
      </c>
      <c r="F900" s="45" t="str">
        <f>IF(B900="","",SUMIF(Transactions!$F$8:$F$3006,B900,Transactions!$R$8:$R$3006))</f>
        <v/>
      </c>
      <c r="G900" s="46" t="str">
        <f>IF(B900="","",(C900+F900)-(D900+E900+SUMIF(Transactions!$F$8:$F$3006,B900,Transactions!$Q$8:$Q$3006)))</f>
        <v/>
      </c>
      <c r="H900" s="47" t="str">
        <f>IF(B900="","",IF(G900&gt;0,"OUTSTANDING",IF(G900=0,"SETTLED",IF(SUMIF(Transactions!$F$8:$F$3006,B900,Transactions!$Q$8:$Q$3006)&gt;SUMIF(Transactions!$F$8:$F$3006,B900,Transactions!$R$8:$R$3006),"OWES","OVERPAID"))))</f>
        <v/>
      </c>
      <c r="I900" s="1"/>
    </row>
    <row r="901" spans="1:9" ht="18" customHeight="1" x14ac:dyDescent="0.25">
      <c r="A901" s="48">
        <v>886</v>
      </c>
      <c r="B901" s="49" t="str">
        <f t="array" ref="B901">IFERROR(IF(INDEX(Transactions!$F$8:$F$3006,MATCH(0,COUNTIF($B$11:B900,Transactions!$F$8:$F$3006),0))="","",INDEX(Transactions!$F$8:$F$3006,MATCH(0,COUNTIF($B$11:B900,Transactions!$F$8:$F$3006),0))),"")</f>
        <v/>
      </c>
      <c r="C901" s="50" t="str">
        <f>IF(B901="","",SUMIF(Transactions!$F$8:$F$3006,B901,Transactions!$H$8:$H$3006))</f>
        <v/>
      </c>
      <c r="D901" s="51" t="str">
        <f>IF(B901="","",SUMIF(Transactions!$F$8:$F$3006,B901,Transactions!$N$8:$N$3006))</f>
        <v/>
      </c>
      <c r="E901" s="52" t="str">
        <f>IF(B901="","",SUMIF(Transactions!$F$8:$F$3006,B901,Transactions!$O$8:$O$3006))</f>
        <v/>
      </c>
      <c r="F901" s="53" t="str">
        <f>IF(B901="","",SUMIF(Transactions!$F$8:$F$3006,B901,Transactions!$R$8:$R$3006))</f>
        <v/>
      </c>
      <c r="G901" s="54" t="str">
        <f>IF(B901="","",(C901+F901)-(D901+E901+SUMIF(Transactions!$F$8:$F$3006,B901,Transactions!$Q$8:$Q$3006)))</f>
        <v/>
      </c>
      <c r="H901" s="55" t="str">
        <f>IF(B901="","",IF(G901&gt;0,"OUTSTANDING",IF(G901=0,"SETTLED",IF(SUMIF(Transactions!$F$8:$F$3006,B901,Transactions!$Q$8:$Q$3006)&gt;SUMIF(Transactions!$F$8:$F$3006,B901,Transactions!$R$8:$R$3006),"OWES","OVERPAID"))))</f>
        <v/>
      </c>
      <c r="I901" s="1"/>
    </row>
    <row r="902" spans="1:9" ht="18" customHeight="1" x14ac:dyDescent="0.25">
      <c r="A902" s="40">
        <v>887</v>
      </c>
      <c r="B902" s="41" t="str">
        <f t="array" ref="B902">IFERROR(IF(INDEX(Transactions!$F$8:$F$3006,MATCH(0,COUNTIF($B$11:B901,Transactions!$F$8:$F$3006),0))="","",INDEX(Transactions!$F$8:$F$3006,MATCH(0,COUNTIF($B$11:B901,Transactions!$F$8:$F$3006),0))),"")</f>
        <v/>
      </c>
      <c r="C902" s="42" t="str">
        <f>IF(B902="","",SUMIF(Transactions!$F$8:$F$3006,B902,Transactions!$H$8:$H$3006))</f>
        <v/>
      </c>
      <c r="D902" s="43" t="str">
        <f>IF(B902="","",SUMIF(Transactions!$F$8:$F$3006,B902,Transactions!$N$8:$N$3006))</f>
        <v/>
      </c>
      <c r="E902" s="44" t="str">
        <f>IF(B902="","",SUMIF(Transactions!$F$8:$F$3006,B902,Transactions!$O$8:$O$3006))</f>
        <v/>
      </c>
      <c r="F902" s="45" t="str">
        <f>IF(B902="","",SUMIF(Transactions!$F$8:$F$3006,B902,Transactions!$R$8:$R$3006))</f>
        <v/>
      </c>
      <c r="G902" s="46" t="str">
        <f>IF(B902="","",(C902+F902)-(D902+E902+SUMIF(Transactions!$F$8:$F$3006,B902,Transactions!$Q$8:$Q$3006)))</f>
        <v/>
      </c>
      <c r="H902" s="47" t="str">
        <f>IF(B902="","",IF(G902&gt;0,"OUTSTANDING",IF(G902=0,"SETTLED",IF(SUMIF(Transactions!$F$8:$F$3006,B902,Transactions!$Q$8:$Q$3006)&gt;SUMIF(Transactions!$F$8:$F$3006,B902,Transactions!$R$8:$R$3006),"OWES","OVERPAID"))))</f>
        <v/>
      </c>
      <c r="I902" s="1"/>
    </row>
    <row r="903" spans="1:9" ht="18" customHeight="1" x14ac:dyDescent="0.25">
      <c r="A903" s="48">
        <v>888</v>
      </c>
      <c r="B903" s="49" t="str">
        <f t="array" ref="B903">IFERROR(IF(INDEX(Transactions!$F$8:$F$3006,MATCH(0,COUNTIF($B$11:B902,Transactions!$F$8:$F$3006),0))="","",INDEX(Transactions!$F$8:$F$3006,MATCH(0,COUNTIF($B$11:B902,Transactions!$F$8:$F$3006),0))),"")</f>
        <v/>
      </c>
      <c r="C903" s="50" t="str">
        <f>IF(B903="","",SUMIF(Transactions!$F$8:$F$3006,B903,Transactions!$H$8:$H$3006))</f>
        <v/>
      </c>
      <c r="D903" s="51" t="str">
        <f>IF(B903="","",SUMIF(Transactions!$F$8:$F$3006,B903,Transactions!$N$8:$N$3006))</f>
        <v/>
      </c>
      <c r="E903" s="52" t="str">
        <f>IF(B903="","",SUMIF(Transactions!$F$8:$F$3006,B903,Transactions!$O$8:$O$3006))</f>
        <v/>
      </c>
      <c r="F903" s="53" t="str">
        <f>IF(B903="","",SUMIF(Transactions!$F$8:$F$3006,B903,Transactions!$R$8:$R$3006))</f>
        <v/>
      </c>
      <c r="G903" s="54" t="str">
        <f>IF(B903="","",(C903+F903)-(D903+E903+SUMIF(Transactions!$F$8:$F$3006,B903,Transactions!$Q$8:$Q$3006)))</f>
        <v/>
      </c>
      <c r="H903" s="55" t="str">
        <f>IF(B903="","",IF(G903&gt;0,"OUTSTANDING",IF(G903=0,"SETTLED",IF(SUMIF(Transactions!$F$8:$F$3006,B903,Transactions!$Q$8:$Q$3006)&gt;SUMIF(Transactions!$F$8:$F$3006,B903,Transactions!$R$8:$R$3006),"OWES","OVERPAID"))))</f>
        <v/>
      </c>
      <c r="I903" s="1"/>
    </row>
    <row r="904" spans="1:9" ht="18" customHeight="1" x14ac:dyDescent="0.25">
      <c r="A904" s="40">
        <v>889</v>
      </c>
      <c r="B904" s="41" t="str">
        <f t="array" ref="B904">IFERROR(IF(INDEX(Transactions!$F$8:$F$3006,MATCH(0,COUNTIF($B$11:B903,Transactions!$F$8:$F$3006),0))="","",INDEX(Transactions!$F$8:$F$3006,MATCH(0,COUNTIF($B$11:B903,Transactions!$F$8:$F$3006),0))),"")</f>
        <v/>
      </c>
      <c r="C904" s="42" t="str">
        <f>IF(B904="","",SUMIF(Transactions!$F$8:$F$3006,B904,Transactions!$H$8:$H$3006))</f>
        <v/>
      </c>
      <c r="D904" s="43" t="str">
        <f>IF(B904="","",SUMIF(Transactions!$F$8:$F$3006,B904,Transactions!$N$8:$N$3006))</f>
        <v/>
      </c>
      <c r="E904" s="44" t="str">
        <f>IF(B904="","",SUMIF(Transactions!$F$8:$F$3006,B904,Transactions!$O$8:$O$3006))</f>
        <v/>
      </c>
      <c r="F904" s="45" t="str">
        <f>IF(B904="","",SUMIF(Transactions!$F$8:$F$3006,B904,Transactions!$R$8:$R$3006))</f>
        <v/>
      </c>
      <c r="G904" s="46" t="str">
        <f>IF(B904="","",(C904+F904)-(D904+E904+SUMIF(Transactions!$F$8:$F$3006,B904,Transactions!$Q$8:$Q$3006)))</f>
        <v/>
      </c>
      <c r="H904" s="47" t="str">
        <f>IF(B904="","",IF(G904&gt;0,"OUTSTANDING",IF(G904=0,"SETTLED",IF(SUMIF(Transactions!$F$8:$F$3006,B904,Transactions!$Q$8:$Q$3006)&gt;SUMIF(Transactions!$F$8:$F$3006,B904,Transactions!$R$8:$R$3006),"OWES","OVERPAID"))))</f>
        <v/>
      </c>
      <c r="I904" s="1"/>
    </row>
    <row r="905" spans="1:9" ht="18" customHeight="1" x14ac:dyDescent="0.25">
      <c r="A905" s="48">
        <v>890</v>
      </c>
      <c r="B905" s="49" t="str">
        <f t="array" ref="B905">IFERROR(IF(INDEX(Transactions!$F$8:$F$3006,MATCH(0,COUNTIF($B$11:B904,Transactions!$F$8:$F$3006),0))="","",INDEX(Transactions!$F$8:$F$3006,MATCH(0,COUNTIF($B$11:B904,Transactions!$F$8:$F$3006),0))),"")</f>
        <v/>
      </c>
      <c r="C905" s="50" t="str">
        <f>IF(B905="","",SUMIF(Transactions!$F$8:$F$3006,B905,Transactions!$H$8:$H$3006))</f>
        <v/>
      </c>
      <c r="D905" s="51" t="str">
        <f>IF(B905="","",SUMIF(Transactions!$F$8:$F$3006,B905,Transactions!$N$8:$N$3006))</f>
        <v/>
      </c>
      <c r="E905" s="52" t="str">
        <f>IF(B905="","",SUMIF(Transactions!$F$8:$F$3006,B905,Transactions!$O$8:$O$3006))</f>
        <v/>
      </c>
      <c r="F905" s="53" t="str">
        <f>IF(B905="","",SUMIF(Transactions!$F$8:$F$3006,B905,Transactions!$R$8:$R$3006))</f>
        <v/>
      </c>
      <c r="G905" s="54" t="str">
        <f>IF(B905="","",(C905+F905)-(D905+E905+SUMIF(Transactions!$F$8:$F$3006,B905,Transactions!$Q$8:$Q$3006)))</f>
        <v/>
      </c>
      <c r="H905" s="55" t="str">
        <f>IF(B905="","",IF(G905&gt;0,"OUTSTANDING",IF(G905=0,"SETTLED",IF(SUMIF(Transactions!$F$8:$F$3006,B905,Transactions!$Q$8:$Q$3006)&gt;SUMIF(Transactions!$F$8:$F$3006,B905,Transactions!$R$8:$R$3006),"OWES","OVERPAID"))))</f>
        <v/>
      </c>
      <c r="I905" s="1"/>
    </row>
    <row r="906" spans="1:9" ht="18" customHeight="1" x14ac:dyDescent="0.25">
      <c r="A906" s="40">
        <v>891</v>
      </c>
      <c r="B906" s="41" t="str">
        <f t="array" ref="B906">IFERROR(IF(INDEX(Transactions!$F$8:$F$3006,MATCH(0,COUNTIF($B$11:B905,Transactions!$F$8:$F$3006),0))="","",INDEX(Transactions!$F$8:$F$3006,MATCH(0,COUNTIF($B$11:B905,Transactions!$F$8:$F$3006),0))),"")</f>
        <v/>
      </c>
      <c r="C906" s="42" t="str">
        <f>IF(B906="","",SUMIF(Transactions!$F$8:$F$3006,B906,Transactions!$H$8:$H$3006))</f>
        <v/>
      </c>
      <c r="D906" s="43" t="str">
        <f>IF(B906="","",SUMIF(Transactions!$F$8:$F$3006,B906,Transactions!$N$8:$N$3006))</f>
        <v/>
      </c>
      <c r="E906" s="44" t="str">
        <f>IF(B906="","",SUMIF(Transactions!$F$8:$F$3006,B906,Transactions!$O$8:$O$3006))</f>
        <v/>
      </c>
      <c r="F906" s="45" t="str">
        <f>IF(B906="","",SUMIF(Transactions!$F$8:$F$3006,B906,Transactions!$R$8:$R$3006))</f>
        <v/>
      </c>
      <c r="G906" s="46" t="str">
        <f>IF(B906="","",(C906+F906)-(D906+E906+SUMIF(Transactions!$F$8:$F$3006,B906,Transactions!$Q$8:$Q$3006)))</f>
        <v/>
      </c>
      <c r="H906" s="47" t="str">
        <f>IF(B906="","",IF(G906&gt;0,"OUTSTANDING",IF(G906=0,"SETTLED",IF(SUMIF(Transactions!$F$8:$F$3006,B906,Transactions!$Q$8:$Q$3006)&gt;SUMIF(Transactions!$F$8:$F$3006,B906,Transactions!$R$8:$R$3006),"OWES","OVERPAID"))))</f>
        <v/>
      </c>
      <c r="I906" s="1"/>
    </row>
    <row r="907" spans="1:9" ht="18" customHeight="1" x14ac:dyDescent="0.25">
      <c r="A907" s="48">
        <v>892</v>
      </c>
      <c r="B907" s="49" t="str">
        <f t="array" ref="B907">IFERROR(IF(INDEX(Transactions!$F$8:$F$3006,MATCH(0,COUNTIF($B$11:B906,Transactions!$F$8:$F$3006),0))="","",INDEX(Transactions!$F$8:$F$3006,MATCH(0,COUNTIF($B$11:B906,Transactions!$F$8:$F$3006),0))),"")</f>
        <v/>
      </c>
      <c r="C907" s="50" t="str">
        <f>IF(B907="","",SUMIF(Transactions!$F$8:$F$3006,B907,Transactions!$H$8:$H$3006))</f>
        <v/>
      </c>
      <c r="D907" s="51" t="str">
        <f>IF(B907="","",SUMIF(Transactions!$F$8:$F$3006,B907,Transactions!$N$8:$N$3006))</f>
        <v/>
      </c>
      <c r="E907" s="52" t="str">
        <f>IF(B907="","",SUMIF(Transactions!$F$8:$F$3006,B907,Transactions!$O$8:$O$3006))</f>
        <v/>
      </c>
      <c r="F907" s="53" t="str">
        <f>IF(B907="","",SUMIF(Transactions!$F$8:$F$3006,B907,Transactions!$R$8:$R$3006))</f>
        <v/>
      </c>
      <c r="G907" s="54" t="str">
        <f>IF(B907="","",(C907+F907)-(D907+E907+SUMIF(Transactions!$F$8:$F$3006,B907,Transactions!$Q$8:$Q$3006)))</f>
        <v/>
      </c>
      <c r="H907" s="55" t="str">
        <f>IF(B907="","",IF(G907&gt;0,"OUTSTANDING",IF(G907=0,"SETTLED",IF(SUMIF(Transactions!$F$8:$F$3006,B907,Transactions!$Q$8:$Q$3006)&gt;SUMIF(Transactions!$F$8:$F$3006,B907,Transactions!$R$8:$R$3006),"OWES","OVERPAID"))))</f>
        <v/>
      </c>
      <c r="I907" s="1"/>
    </row>
    <row r="908" spans="1:9" ht="18" customHeight="1" x14ac:dyDescent="0.25">
      <c r="A908" s="40">
        <v>893</v>
      </c>
      <c r="B908" s="41" t="str">
        <f t="array" ref="B908">IFERROR(IF(INDEX(Transactions!$F$8:$F$3006,MATCH(0,COUNTIF($B$11:B907,Transactions!$F$8:$F$3006),0))="","",INDEX(Transactions!$F$8:$F$3006,MATCH(0,COUNTIF($B$11:B907,Transactions!$F$8:$F$3006),0))),"")</f>
        <v/>
      </c>
      <c r="C908" s="42" t="str">
        <f>IF(B908="","",SUMIF(Transactions!$F$8:$F$3006,B908,Transactions!$H$8:$H$3006))</f>
        <v/>
      </c>
      <c r="D908" s="43" t="str">
        <f>IF(B908="","",SUMIF(Transactions!$F$8:$F$3006,B908,Transactions!$N$8:$N$3006))</f>
        <v/>
      </c>
      <c r="E908" s="44" t="str">
        <f>IF(B908="","",SUMIF(Transactions!$F$8:$F$3006,B908,Transactions!$O$8:$O$3006))</f>
        <v/>
      </c>
      <c r="F908" s="45" t="str">
        <f>IF(B908="","",SUMIF(Transactions!$F$8:$F$3006,B908,Transactions!$R$8:$R$3006))</f>
        <v/>
      </c>
      <c r="G908" s="46" t="str">
        <f>IF(B908="","",(C908+F908)-(D908+E908+SUMIF(Transactions!$F$8:$F$3006,B908,Transactions!$Q$8:$Q$3006)))</f>
        <v/>
      </c>
      <c r="H908" s="47" t="str">
        <f>IF(B908="","",IF(G908&gt;0,"OUTSTANDING",IF(G908=0,"SETTLED",IF(SUMIF(Transactions!$F$8:$F$3006,B908,Transactions!$Q$8:$Q$3006)&gt;SUMIF(Transactions!$F$8:$F$3006,B908,Transactions!$R$8:$R$3006),"OWES","OVERPAID"))))</f>
        <v/>
      </c>
      <c r="I908" s="1"/>
    </row>
    <row r="909" spans="1:9" ht="18" customHeight="1" x14ac:dyDescent="0.25">
      <c r="A909" s="48">
        <v>894</v>
      </c>
      <c r="B909" s="49" t="str">
        <f t="array" ref="B909">IFERROR(IF(INDEX(Transactions!$F$8:$F$3006,MATCH(0,COUNTIF($B$11:B908,Transactions!$F$8:$F$3006),0))="","",INDEX(Transactions!$F$8:$F$3006,MATCH(0,COUNTIF($B$11:B908,Transactions!$F$8:$F$3006),0))),"")</f>
        <v/>
      </c>
      <c r="C909" s="50" t="str">
        <f>IF(B909="","",SUMIF(Transactions!$F$8:$F$3006,B909,Transactions!$H$8:$H$3006))</f>
        <v/>
      </c>
      <c r="D909" s="51" t="str">
        <f>IF(B909="","",SUMIF(Transactions!$F$8:$F$3006,B909,Transactions!$N$8:$N$3006))</f>
        <v/>
      </c>
      <c r="E909" s="52" t="str">
        <f>IF(B909="","",SUMIF(Transactions!$F$8:$F$3006,B909,Transactions!$O$8:$O$3006))</f>
        <v/>
      </c>
      <c r="F909" s="53" t="str">
        <f>IF(B909="","",SUMIF(Transactions!$F$8:$F$3006,B909,Transactions!$R$8:$R$3006))</f>
        <v/>
      </c>
      <c r="G909" s="54" t="str">
        <f>IF(B909="","",(C909+F909)-(D909+E909+SUMIF(Transactions!$F$8:$F$3006,B909,Transactions!$Q$8:$Q$3006)))</f>
        <v/>
      </c>
      <c r="H909" s="55" t="str">
        <f>IF(B909="","",IF(G909&gt;0,"OUTSTANDING",IF(G909=0,"SETTLED",IF(SUMIF(Transactions!$F$8:$F$3006,B909,Transactions!$Q$8:$Q$3006)&gt;SUMIF(Transactions!$F$8:$F$3006,B909,Transactions!$R$8:$R$3006),"OWES","OVERPAID"))))</f>
        <v/>
      </c>
      <c r="I909" s="1"/>
    </row>
    <row r="910" spans="1:9" ht="18" customHeight="1" x14ac:dyDescent="0.25">
      <c r="A910" s="40">
        <v>895</v>
      </c>
      <c r="B910" s="41" t="str">
        <f t="array" ref="B910">IFERROR(IF(INDEX(Transactions!$F$8:$F$3006,MATCH(0,COUNTIF($B$11:B909,Transactions!$F$8:$F$3006),0))="","",INDEX(Transactions!$F$8:$F$3006,MATCH(0,COUNTIF($B$11:B909,Transactions!$F$8:$F$3006),0))),"")</f>
        <v/>
      </c>
      <c r="C910" s="42" t="str">
        <f>IF(B910="","",SUMIF(Transactions!$F$8:$F$3006,B910,Transactions!$H$8:$H$3006))</f>
        <v/>
      </c>
      <c r="D910" s="43" t="str">
        <f>IF(B910="","",SUMIF(Transactions!$F$8:$F$3006,B910,Transactions!$N$8:$N$3006))</f>
        <v/>
      </c>
      <c r="E910" s="44" t="str">
        <f>IF(B910="","",SUMIF(Transactions!$F$8:$F$3006,B910,Transactions!$O$8:$O$3006))</f>
        <v/>
      </c>
      <c r="F910" s="45" t="str">
        <f>IF(B910="","",SUMIF(Transactions!$F$8:$F$3006,B910,Transactions!$R$8:$R$3006))</f>
        <v/>
      </c>
      <c r="G910" s="46" t="str">
        <f>IF(B910="","",(C910+F910)-(D910+E910+SUMIF(Transactions!$F$8:$F$3006,B910,Transactions!$Q$8:$Q$3006)))</f>
        <v/>
      </c>
      <c r="H910" s="47" t="str">
        <f>IF(B910="","",IF(G910&gt;0,"OUTSTANDING",IF(G910=0,"SETTLED",IF(SUMIF(Transactions!$F$8:$F$3006,B910,Transactions!$Q$8:$Q$3006)&gt;SUMIF(Transactions!$F$8:$F$3006,B910,Transactions!$R$8:$R$3006),"OWES","OVERPAID"))))</f>
        <v/>
      </c>
      <c r="I910" s="1"/>
    </row>
    <row r="911" spans="1:9" ht="18" customHeight="1" x14ac:dyDescent="0.25">
      <c r="A911" s="48">
        <v>896</v>
      </c>
      <c r="B911" s="49" t="str">
        <f t="array" ref="B911">IFERROR(IF(INDEX(Transactions!$F$8:$F$3006,MATCH(0,COUNTIF($B$11:B910,Transactions!$F$8:$F$3006),0))="","",INDEX(Transactions!$F$8:$F$3006,MATCH(0,COUNTIF($B$11:B910,Transactions!$F$8:$F$3006),0))),"")</f>
        <v/>
      </c>
      <c r="C911" s="50" t="str">
        <f>IF(B911="","",SUMIF(Transactions!$F$8:$F$3006,B911,Transactions!$H$8:$H$3006))</f>
        <v/>
      </c>
      <c r="D911" s="51" t="str">
        <f>IF(B911="","",SUMIF(Transactions!$F$8:$F$3006,B911,Transactions!$N$8:$N$3006))</f>
        <v/>
      </c>
      <c r="E911" s="52" t="str">
        <f>IF(B911="","",SUMIF(Transactions!$F$8:$F$3006,B911,Transactions!$O$8:$O$3006))</f>
        <v/>
      </c>
      <c r="F911" s="53" t="str">
        <f>IF(B911="","",SUMIF(Transactions!$F$8:$F$3006,B911,Transactions!$R$8:$R$3006))</f>
        <v/>
      </c>
      <c r="G911" s="54" t="str">
        <f>IF(B911="","",(C911+F911)-(D911+E911+SUMIF(Transactions!$F$8:$F$3006,B911,Transactions!$Q$8:$Q$3006)))</f>
        <v/>
      </c>
      <c r="H911" s="55" t="str">
        <f>IF(B911="","",IF(G911&gt;0,"OUTSTANDING",IF(G911=0,"SETTLED",IF(SUMIF(Transactions!$F$8:$F$3006,B911,Transactions!$Q$8:$Q$3006)&gt;SUMIF(Transactions!$F$8:$F$3006,B911,Transactions!$R$8:$R$3006),"OWES","OVERPAID"))))</f>
        <v/>
      </c>
      <c r="I911" s="1"/>
    </row>
    <row r="912" spans="1:9" ht="18" customHeight="1" x14ac:dyDescent="0.25">
      <c r="A912" s="40">
        <v>897</v>
      </c>
      <c r="B912" s="41" t="str">
        <f t="array" ref="B912">IFERROR(IF(INDEX(Transactions!$F$8:$F$3006,MATCH(0,COUNTIF($B$11:B911,Transactions!$F$8:$F$3006),0))="","",INDEX(Transactions!$F$8:$F$3006,MATCH(0,COUNTIF($B$11:B911,Transactions!$F$8:$F$3006),0))),"")</f>
        <v/>
      </c>
      <c r="C912" s="42" t="str">
        <f>IF(B912="","",SUMIF(Transactions!$F$8:$F$3006,B912,Transactions!$H$8:$H$3006))</f>
        <v/>
      </c>
      <c r="D912" s="43" t="str">
        <f>IF(B912="","",SUMIF(Transactions!$F$8:$F$3006,B912,Transactions!$N$8:$N$3006))</f>
        <v/>
      </c>
      <c r="E912" s="44" t="str">
        <f>IF(B912="","",SUMIF(Transactions!$F$8:$F$3006,B912,Transactions!$O$8:$O$3006))</f>
        <v/>
      </c>
      <c r="F912" s="45" t="str">
        <f>IF(B912="","",SUMIF(Transactions!$F$8:$F$3006,B912,Transactions!$R$8:$R$3006))</f>
        <v/>
      </c>
      <c r="G912" s="46" t="str">
        <f>IF(B912="","",(C912+F912)-(D912+E912+SUMIF(Transactions!$F$8:$F$3006,B912,Transactions!$Q$8:$Q$3006)))</f>
        <v/>
      </c>
      <c r="H912" s="47" t="str">
        <f>IF(B912="","",IF(G912&gt;0,"OUTSTANDING",IF(G912=0,"SETTLED",IF(SUMIF(Transactions!$F$8:$F$3006,B912,Transactions!$Q$8:$Q$3006)&gt;SUMIF(Transactions!$F$8:$F$3006,B912,Transactions!$R$8:$R$3006),"OWES","OVERPAID"))))</f>
        <v/>
      </c>
      <c r="I912" s="1"/>
    </row>
    <row r="913" spans="1:9" ht="18" customHeight="1" x14ac:dyDescent="0.25">
      <c r="A913" s="48">
        <v>898</v>
      </c>
      <c r="B913" s="49" t="str">
        <f t="array" ref="B913">IFERROR(IF(INDEX(Transactions!$F$8:$F$3006,MATCH(0,COUNTIF($B$11:B912,Transactions!$F$8:$F$3006),0))="","",INDEX(Transactions!$F$8:$F$3006,MATCH(0,COUNTIF($B$11:B912,Transactions!$F$8:$F$3006),0))),"")</f>
        <v/>
      </c>
      <c r="C913" s="50" t="str">
        <f>IF(B913="","",SUMIF(Transactions!$F$8:$F$3006,B913,Transactions!$H$8:$H$3006))</f>
        <v/>
      </c>
      <c r="D913" s="51" t="str">
        <f>IF(B913="","",SUMIF(Transactions!$F$8:$F$3006,B913,Transactions!$N$8:$N$3006))</f>
        <v/>
      </c>
      <c r="E913" s="52" t="str">
        <f>IF(B913="","",SUMIF(Transactions!$F$8:$F$3006,B913,Transactions!$O$8:$O$3006))</f>
        <v/>
      </c>
      <c r="F913" s="53" t="str">
        <f>IF(B913="","",SUMIF(Transactions!$F$8:$F$3006,B913,Transactions!$R$8:$R$3006))</f>
        <v/>
      </c>
      <c r="G913" s="54" t="str">
        <f>IF(B913="","",(C913+F913)-(D913+E913+SUMIF(Transactions!$F$8:$F$3006,B913,Transactions!$Q$8:$Q$3006)))</f>
        <v/>
      </c>
      <c r="H913" s="55" t="str">
        <f>IF(B913="","",IF(G913&gt;0,"OUTSTANDING",IF(G913=0,"SETTLED",IF(SUMIF(Transactions!$F$8:$F$3006,B913,Transactions!$Q$8:$Q$3006)&gt;SUMIF(Transactions!$F$8:$F$3006,B913,Transactions!$R$8:$R$3006),"OWES","OVERPAID"))))</f>
        <v/>
      </c>
      <c r="I913" s="1"/>
    </row>
    <row r="914" spans="1:9" ht="18" customHeight="1" x14ac:dyDescent="0.25">
      <c r="A914" s="40">
        <v>899</v>
      </c>
      <c r="B914" s="41" t="str">
        <f t="array" ref="B914">IFERROR(IF(INDEX(Transactions!$F$8:$F$3006,MATCH(0,COUNTIF($B$11:B913,Transactions!$F$8:$F$3006),0))="","",INDEX(Transactions!$F$8:$F$3006,MATCH(0,COUNTIF($B$11:B913,Transactions!$F$8:$F$3006),0))),"")</f>
        <v/>
      </c>
      <c r="C914" s="42" t="str">
        <f>IF(B914="","",SUMIF(Transactions!$F$8:$F$3006,B914,Transactions!$H$8:$H$3006))</f>
        <v/>
      </c>
      <c r="D914" s="43" t="str">
        <f>IF(B914="","",SUMIF(Transactions!$F$8:$F$3006,B914,Transactions!$N$8:$N$3006))</f>
        <v/>
      </c>
      <c r="E914" s="44" t="str">
        <f>IF(B914="","",SUMIF(Transactions!$F$8:$F$3006,B914,Transactions!$O$8:$O$3006))</f>
        <v/>
      </c>
      <c r="F914" s="45" t="str">
        <f>IF(B914="","",SUMIF(Transactions!$F$8:$F$3006,B914,Transactions!$R$8:$R$3006))</f>
        <v/>
      </c>
      <c r="G914" s="46" t="str">
        <f>IF(B914="","",(C914+F914)-(D914+E914+SUMIF(Transactions!$F$8:$F$3006,B914,Transactions!$Q$8:$Q$3006)))</f>
        <v/>
      </c>
      <c r="H914" s="47" t="str">
        <f>IF(B914="","",IF(G914&gt;0,"OUTSTANDING",IF(G914=0,"SETTLED",IF(SUMIF(Transactions!$F$8:$F$3006,B914,Transactions!$Q$8:$Q$3006)&gt;SUMIF(Transactions!$F$8:$F$3006,B914,Transactions!$R$8:$R$3006),"OWES","OVERPAID"))))</f>
        <v/>
      </c>
      <c r="I914" s="1"/>
    </row>
    <row r="915" spans="1:9" ht="18" customHeight="1" x14ac:dyDescent="0.25">
      <c r="A915" s="48">
        <v>900</v>
      </c>
      <c r="B915" s="49" t="str">
        <f t="array" ref="B915">IFERROR(IF(INDEX(Transactions!$F$8:$F$3006,MATCH(0,COUNTIF($B$11:B914,Transactions!$F$8:$F$3006),0))="","",INDEX(Transactions!$F$8:$F$3006,MATCH(0,COUNTIF($B$11:B914,Transactions!$F$8:$F$3006),0))),"")</f>
        <v/>
      </c>
      <c r="C915" s="50" t="str">
        <f>IF(B915="","",SUMIF(Transactions!$F$8:$F$3006,B915,Transactions!$H$8:$H$3006))</f>
        <v/>
      </c>
      <c r="D915" s="51" t="str">
        <f>IF(B915="","",SUMIF(Transactions!$F$8:$F$3006,B915,Transactions!$N$8:$N$3006))</f>
        <v/>
      </c>
      <c r="E915" s="52" t="str">
        <f>IF(B915="","",SUMIF(Transactions!$F$8:$F$3006,B915,Transactions!$O$8:$O$3006))</f>
        <v/>
      </c>
      <c r="F915" s="53" t="str">
        <f>IF(B915="","",SUMIF(Transactions!$F$8:$F$3006,B915,Transactions!$R$8:$R$3006))</f>
        <v/>
      </c>
      <c r="G915" s="54" t="str">
        <f>IF(B915="","",(C915+F915)-(D915+E915+SUMIF(Transactions!$F$8:$F$3006,B915,Transactions!$Q$8:$Q$3006)))</f>
        <v/>
      </c>
      <c r="H915" s="55" t="str">
        <f>IF(B915="","",IF(G915&gt;0,"OUTSTANDING",IF(G915=0,"SETTLED",IF(SUMIF(Transactions!$F$8:$F$3006,B915,Transactions!$Q$8:$Q$3006)&gt;SUMIF(Transactions!$F$8:$F$3006,B915,Transactions!$R$8:$R$3006),"OWES","OVERPAID"))))</f>
        <v/>
      </c>
      <c r="I915" s="1"/>
    </row>
    <row r="916" spans="1:9" ht="18" customHeight="1" x14ac:dyDescent="0.25">
      <c r="A916" s="40">
        <v>901</v>
      </c>
      <c r="B916" s="41" t="str">
        <f t="array" ref="B916">IFERROR(IF(INDEX(Transactions!$F$8:$F$3006,MATCH(0,COUNTIF($B$11:B915,Transactions!$F$8:$F$3006),0))="","",INDEX(Transactions!$F$8:$F$3006,MATCH(0,COUNTIF($B$11:B915,Transactions!$F$8:$F$3006),0))),"")</f>
        <v/>
      </c>
      <c r="C916" s="42" t="str">
        <f>IF(B916="","",SUMIF(Transactions!$F$8:$F$3006,B916,Transactions!$H$8:$H$3006))</f>
        <v/>
      </c>
      <c r="D916" s="43" t="str">
        <f>IF(B916="","",SUMIF(Transactions!$F$8:$F$3006,B916,Transactions!$N$8:$N$3006))</f>
        <v/>
      </c>
      <c r="E916" s="44" t="str">
        <f>IF(B916="","",SUMIF(Transactions!$F$8:$F$3006,B916,Transactions!$O$8:$O$3006))</f>
        <v/>
      </c>
      <c r="F916" s="45" t="str">
        <f>IF(B916="","",SUMIF(Transactions!$F$8:$F$3006,B916,Transactions!$R$8:$R$3006))</f>
        <v/>
      </c>
      <c r="G916" s="46" t="str">
        <f>IF(B916="","",(C916+F916)-(D916+E916+SUMIF(Transactions!$F$8:$F$3006,B916,Transactions!$Q$8:$Q$3006)))</f>
        <v/>
      </c>
      <c r="H916" s="47" t="str">
        <f>IF(B916="","",IF(G916&gt;0,"OUTSTANDING",IF(G916=0,"SETTLED",IF(SUMIF(Transactions!$F$8:$F$3006,B916,Transactions!$Q$8:$Q$3006)&gt;SUMIF(Transactions!$F$8:$F$3006,B916,Transactions!$R$8:$R$3006),"OWES","OVERPAID"))))</f>
        <v/>
      </c>
      <c r="I916" s="1"/>
    </row>
    <row r="917" spans="1:9" ht="18" customHeight="1" x14ac:dyDescent="0.25">
      <c r="A917" s="48">
        <v>902</v>
      </c>
      <c r="B917" s="49" t="str">
        <f t="array" ref="B917">IFERROR(IF(INDEX(Transactions!$F$8:$F$3006,MATCH(0,COUNTIF($B$11:B916,Transactions!$F$8:$F$3006),0))="","",INDEX(Transactions!$F$8:$F$3006,MATCH(0,COUNTIF($B$11:B916,Transactions!$F$8:$F$3006),0))),"")</f>
        <v/>
      </c>
      <c r="C917" s="50" t="str">
        <f>IF(B917="","",SUMIF(Transactions!$F$8:$F$3006,B917,Transactions!$H$8:$H$3006))</f>
        <v/>
      </c>
      <c r="D917" s="51" t="str">
        <f>IF(B917="","",SUMIF(Transactions!$F$8:$F$3006,B917,Transactions!$N$8:$N$3006))</f>
        <v/>
      </c>
      <c r="E917" s="52" t="str">
        <f>IF(B917="","",SUMIF(Transactions!$F$8:$F$3006,B917,Transactions!$O$8:$O$3006))</f>
        <v/>
      </c>
      <c r="F917" s="53" t="str">
        <f>IF(B917="","",SUMIF(Transactions!$F$8:$F$3006,B917,Transactions!$R$8:$R$3006))</f>
        <v/>
      </c>
      <c r="G917" s="54" t="str">
        <f>IF(B917="","",(C917+F917)-(D917+E917+SUMIF(Transactions!$F$8:$F$3006,B917,Transactions!$Q$8:$Q$3006)))</f>
        <v/>
      </c>
      <c r="H917" s="55" t="str">
        <f>IF(B917="","",IF(G917&gt;0,"OUTSTANDING",IF(G917=0,"SETTLED",IF(SUMIF(Transactions!$F$8:$F$3006,B917,Transactions!$Q$8:$Q$3006)&gt;SUMIF(Transactions!$F$8:$F$3006,B917,Transactions!$R$8:$R$3006),"OWES","OVERPAID"))))</f>
        <v/>
      </c>
      <c r="I917" s="1"/>
    </row>
    <row r="918" spans="1:9" ht="18" customHeight="1" x14ac:dyDescent="0.25">
      <c r="A918" s="40">
        <v>903</v>
      </c>
      <c r="B918" s="41" t="str">
        <f t="array" ref="B918">IFERROR(IF(INDEX(Transactions!$F$8:$F$3006,MATCH(0,COUNTIF($B$11:B917,Transactions!$F$8:$F$3006),0))="","",INDEX(Transactions!$F$8:$F$3006,MATCH(0,COUNTIF($B$11:B917,Transactions!$F$8:$F$3006),0))),"")</f>
        <v/>
      </c>
      <c r="C918" s="42" t="str">
        <f>IF(B918="","",SUMIF(Transactions!$F$8:$F$3006,B918,Transactions!$H$8:$H$3006))</f>
        <v/>
      </c>
      <c r="D918" s="43" t="str">
        <f>IF(B918="","",SUMIF(Transactions!$F$8:$F$3006,B918,Transactions!$N$8:$N$3006))</f>
        <v/>
      </c>
      <c r="E918" s="44" t="str">
        <f>IF(B918="","",SUMIF(Transactions!$F$8:$F$3006,B918,Transactions!$O$8:$O$3006))</f>
        <v/>
      </c>
      <c r="F918" s="45" t="str">
        <f>IF(B918="","",SUMIF(Transactions!$F$8:$F$3006,B918,Transactions!$R$8:$R$3006))</f>
        <v/>
      </c>
      <c r="G918" s="46" t="str">
        <f>IF(B918="","",(C918+F918)-(D918+E918+SUMIF(Transactions!$F$8:$F$3006,B918,Transactions!$Q$8:$Q$3006)))</f>
        <v/>
      </c>
      <c r="H918" s="47" t="str">
        <f>IF(B918="","",IF(G918&gt;0,"OUTSTANDING",IF(G918=0,"SETTLED",IF(SUMIF(Transactions!$F$8:$F$3006,B918,Transactions!$Q$8:$Q$3006)&gt;SUMIF(Transactions!$F$8:$F$3006,B918,Transactions!$R$8:$R$3006),"OWES","OVERPAID"))))</f>
        <v/>
      </c>
      <c r="I918" s="1"/>
    </row>
    <row r="919" spans="1:9" ht="18" customHeight="1" x14ac:dyDescent="0.25">
      <c r="A919" s="48">
        <v>904</v>
      </c>
      <c r="B919" s="49" t="str">
        <f t="array" ref="B919">IFERROR(IF(INDEX(Transactions!$F$8:$F$3006,MATCH(0,COUNTIF($B$11:B918,Transactions!$F$8:$F$3006),0))="","",INDEX(Transactions!$F$8:$F$3006,MATCH(0,COUNTIF($B$11:B918,Transactions!$F$8:$F$3006),0))),"")</f>
        <v/>
      </c>
      <c r="C919" s="50" t="str">
        <f>IF(B919="","",SUMIF(Transactions!$F$8:$F$3006,B919,Transactions!$H$8:$H$3006))</f>
        <v/>
      </c>
      <c r="D919" s="51" t="str">
        <f>IF(B919="","",SUMIF(Transactions!$F$8:$F$3006,B919,Transactions!$N$8:$N$3006))</f>
        <v/>
      </c>
      <c r="E919" s="52" t="str">
        <f>IF(B919="","",SUMIF(Transactions!$F$8:$F$3006,B919,Transactions!$O$8:$O$3006))</f>
        <v/>
      </c>
      <c r="F919" s="53" t="str">
        <f>IF(B919="","",SUMIF(Transactions!$F$8:$F$3006,B919,Transactions!$R$8:$R$3006))</f>
        <v/>
      </c>
      <c r="G919" s="54" t="str">
        <f>IF(B919="","",(C919+F919)-(D919+E919+SUMIF(Transactions!$F$8:$F$3006,B919,Transactions!$Q$8:$Q$3006)))</f>
        <v/>
      </c>
      <c r="H919" s="55" t="str">
        <f>IF(B919="","",IF(G919&gt;0,"OUTSTANDING",IF(G919=0,"SETTLED",IF(SUMIF(Transactions!$F$8:$F$3006,B919,Transactions!$Q$8:$Q$3006)&gt;SUMIF(Transactions!$F$8:$F$3006,B919,Transactions!$R$8:$R$3006),"OWES","OVERPAID"))))</f>
        <v/>
      </c>
      <c r="I919" s="1"/>
    </row>
    <row r="920" spans="1:9" ht="18" customHeight="1" x14ac:dyDescent="0.25">
      <c r="A920" s="40">
        <v>905</v>
      </c>
      <c r="B920" s="41" t="str">
        <f t="array" ref="B920">IFERROR(IF(INDEX(Transactions!$F$8:$F$3006,MATCH(0,COUNTIF($B$11:B919,Transactions!$F$8:$F$3006),0))="","",INDEX(Transactions!$F$8:$F$3006,MATCH(0,COUNTIF($B$11:B919,Transactions!$F$8:$F$3006),0))),"")</f>
        <v/>
      </c>
      <c r="C920" s="42" t="str">
        <f>IF(B920="","",SUMIF(Transactions!$F$8:$F$3006,B920,Transactions!$H$8:$H$3006))</f>
        <v/>
      </c>
      <c r="D920" s="43" t="str">
        <f>IF(B920="","",SUMIF(Transactions!$F$8:$F$3006,B920,Transactions!$N$8:$N$3006))</f>
        <v/>
      </c>
      <c r="E920" s="44" t="str">
        <f>IF(B920="","",SUMIF(Transactions!$F$8:$F$3006,B920,Transactions!$O$8:$O$3006))</f>
        <v/>
      </c>
      <c r="F920" s="45" t="str">
        <f>IF(B920="","",SUMIF(Transactions!$F$8:$F$3006,B920,Transactions!$R$8:$R$3006))</f>
        <v/>
      </c>
      <c r="G920" s="46" t="str">
        <f>IF(B920="","",(C920+F920)-(D920+E920+SUMIF(Transactions!$F$8:$F$3006,B920,Transactions!$Q$8:$Q$3006)))</f>
        <v/>
      </c>
      <c r="H920" s="47" t="str">
        <f>IF(B920="","",IF(G920&gt;0,"OUTSTANDING",IF(G920=0,"SETTLED",IF(SUMIF(Transactions!$F$8:$F$3006,B920,Transactions!$Q$8:$Q$3006)&gt;SUMIF(Transactions!$F$8:$F$3006,B920,Transactions!$R$8:$R$3006),"OWES","OVERPAID"))))</f>
        <v/>
      </c>
      <c r="I920" s="1"/>
    </row>
    <row r="921" spans="1:9" ht="18" customHeight="1" x14ac:dyDescent="0.25">
      <c r="A921" s="48">
        <v>906</v>
      </c>
      <c r="B921" s="49" t="str">
        <f t="array" ref="B921">IFERROR(IF(INDEX(Transactions!$F$8:$F$3006,MATCH(0,COUNTIF($B$11:B920,Transactions!$F$8:$F$3006),0))="","",INDEX(Transactions!$F$8:$F$3006,MATCH(0,COUNTIF($B$11:B920,Transactions!$F$8:$F$3006),0))),"")</f>
        <v/>
      </c>
      <c r="C921" s="50" t="str">
        <f>IF(B921="","",SUMIF(Transactions!$F$8:$F$3006,B921,Transactions!$H$8:$H$3006))</f>
        <v/>
      </c>
      <c r="D921" s="51" t="str">
        <f>IF(B921="","",SUMIF(Transactions!$F$8:$F$3006,B921,Transactions!$N$8:$N$3006))</f>
        <v/>
      </c>
      <c r="E921" s="52" t="str">
        <f>IF(B921="","",SUMIF(Transactions!$F$8:$F$3006,B921,Transactions!$O$8:$O$3006))</f>
        <v/>
      </c>
      <c r="F921" s="53" t="str">
        <f>IF(B921="","",SUMIF(Transactions!$F$8:$F$3006,B921,Transactions!$R$8:$R$3006))</f>
        <v/>
      </c>
      <c r="G921" s="54" t="str">
        <f>IF(B921="","",(C921+F921)-(D921+E921+SUMIF(Transactions!$F$8:$F$3006,B921,Transactions!$Q$8:$Q$3006)))</f>
        <v/>
      </c>
      <c r="H921" s="55" t="str">
        <f>IF(B921="","",IF(G921&gt;0,"OUTSTANDING",IF(G921=0,"SETTLED",IF(SUMIF(Transactions!$F$8:$F$3006,B921,Transactions!$Q$8:$Q$3006)&gt;SUMIF(Transactions!$F$8:$F$3006,B921,Transactions!$R$8:$R$3006),"OWES","OVERPAID"))))</f>
        <v/>
      </c>
      <c r="I921" s="1"/>
    </row>
    <row r="922" spans="1:9" ht="18" customHeight="1" x14ac:dyDescent="0.25">
      <c r="A922" s="40">
        <v>907</v>
      </c>
      <c r="B922" s="41" t="str">
        <f t="array" ref="B922">IFERROR(IF(INDEX(Transactions!$F$8:$F$3006,MATCH(0,COUNTIF($B$11:B921,Transactions!$F$8:$F$3006),0))="","",INDEX(Transactions!$F$8:$F$3006,MATCH(0,COUNTIF($B$11:B921,Transactions!$F$8:$F$3006),0))),"")</f>
        <v/>
      </c>
      <c r="C922" s="42" t="str">
        <f>IF(B922="","",SUMIF(Transactions!$F$8:$F$3006,B922,Transactions!$H$8:$H$3006))</f>
        <v/>
      </c>
      <c r="D922" s="43" t="str">
        <f>IF(B922="","",SUMIF(Transactions!$F$8:$F$3006,B922,Transactions!$N$8:$N$3006))</f>
        <v/>
      </c>
      <c r="E922" s="44" t="str">
        <f>IF(B922="","",SUMIF(Transactions!$F$8:$F$3006,B922,Transactions!$O$8:$O$3006))</f>
        <v/>
      </c>
      <c r="F922" s="45" t="str">
        <f>IF(B922="","",SUMIF(Transactions!$F$8:$F$3006,B922,Transactions!$R$8:$R$3006))</f>
        <v/>
      </c>
      <c r="G922" s="46" t="str">
        <f>IF(B922="","",(C922+F922)-(D922+E922+SUMIF(Transactions!$F$8:$F$3006,B922,Transactions!$Q$8:$Q$3006)))</f>
        <v/>
      </c>
      <c r="H922" s="47" t="str">
        <f>IF(B922="","",IF(G922&gt;0,"OUTSTANDING",IF(G922=0,"SETTLED",IF(SUMIF(Transactions!$F$8:$F$3006,B922,Transactions!$Q$8:$Q$3006)&gt;SUMIF(Transactions!$F$8:$F$3006,B922,Transactions!$R$8:$R$3006),"OWES","OVERPAID"))))</f>
        <v/>
      </c>
      <c r="I922" s="1"/>
    </row>
    <row r="923" spans="1:9" ht="18" customHeight="1" x14ac:dyDescent="0.25">
      <c r="A923" s="48">
        <v>908</v>
      </c>
      <c r="B923" s="49" t="str">
        <f t="array" ref="B923">IFERROR(IF(INDEX(Transactions!$F$8:$F$3006,MATCH(0,COUNTIF($B$11:B922,Transactions!$F$8:$F$3006),0))="","",INDEX(Transactions!$F$8:$F$3006,MATCH(0,COUNTIF($B$11:B922,Transactions!$F$8:$F$3006),0))),"")</f>
        <v/>
      </c>
      <c r="C923" s="50" t="str">
        <f>IF(B923="","",SUMIF(Transactions!$F$8:$F$3006,B923,Transactions!$H$8:$H$3006))</f>
        <v/>
      </c>
      <c r="D923" s="51" t="str">
        <f>IF(B923="","",SUMIF(Transactions!$F$8:$F$3006,B923,Transactions!$N$8:$N$3006))</f>
        <v/>
      </c>
      <c r="E923" s="52" t="str">
        <f>IF(B923="","",SUMIF(Transactions!$F$8:$F$3006,B923,Transactions!$O$8:$O$3006))</f>
        <v/>
      </c>
      <c r="F923" s="53" t="str">
        <f>IF(B923="","",SUMIF(Transactions!$F$8:$F$3006,B923,Transactions!$R$8:$R$3006))</f>
        <v/>
      </c>
      <c r="G923" s="54" t="str">
        <f>IF(B923="","",(C923+F923)-(D923+E923+SUMIF(Transactions!$F$8:$F$3006,B923,Transactions!$Q$8:$Q$3006)))</f>
        <v/>
      </c>
      <c r="H923" s="55" t="str">
        <f>IF(B923="","",IF(G923&gt;0,"OUTSTANDING",IF(G923=0,"SETTLED",IF(SUMIF(Transactions!$F$8:$F$3006,B923,Transactions!$Q$8:$Q$3006)&gt;SUMIF(Transactions!$F$8:$F$3006,B923,Transactions!$R$8:$R$3006),"OWES","OVERPAID"))))</f>
        <v/>
      </c>
      <c r="I923" s="1"/>
    </row>
    <row r="924" spans="1:9" ht="18" customHeight="1" x14ac:dyDescent="0.25">
      <c r="A924" s="40">
        <v>909</v>
      </c>
      <c r="B924" s="41" t="str">
        <f t="array" ref="B924">IFERROR(IF(INDEX(Transactions!$F$8:$F$3006,MATCH(0,COUNTIF($B$11:B923,Transactions!$F$8:$F$3006),0))="","",INDEX(Transactions!$F$8:$F$3006,MATCH(0,COUNTIF($B$11:B923,Transactions!$F$8:$F$3006),0))),"")</f>
        <v/>
      </c>
      <c r="C924" s="42" t="str">
        <f>IF(B924="","",SUMIF(Transactions!$F$8:$F$3006,B924,Transactions!$H$8:$H$3006))</f>
        <v/>
      </c>
      <c r="D924" s="43" t="str">
        <f>IF(B924="","",SUMIF(Transactions!$F$8:$F$3006,B924,Transactions!$N$8:$N$3006))</f>
        <v/>
      </c>
      <c r="E924" s="44" t="str">
        <f>IF(B924="","",SUMIF(Transactions!$F$8:$F$3006,B924,Transactions!$O$8:$O$3006))</f>
        <v/>
      </c>
      <c r="F924" s="45" t="str">
        <f>IF(B924="","",SUMIF(Transactions!$F$8:$F$3006,B924,Transactions!$R$8:$R$3006))</f>
        <v/>
      </c>
      <c r="G924" s="46" t="str">
        <f>IF(B924="","",(C924+F924)-(D924+E924+SUMIF(Transactions!$F$8:$F$3006,B924,Transactions!$Q$8:$Q$3006)))</f>
        <v/>
      </c>
      <c r="H924" s="47" t="str">
        <f>IF(B924="","",IF(G924&gt;0,"OUTSTANDING",IF(G924=0,"SETTLED",IF(SUMIF(Transactions!$F$8:$F$3006,B924,Transactions!$Q$8:$Q$3006)&gt;SUMIF(Transactions!$F$8:$F$3006,B924,Transactions!$R$8:$R$3006),"OWES","OVERPAID"))))</f>
        <v/>
      </c>
      <c r="I924" s="1"/>
    </row>
    <row r="925" spans="1:9" ht="18" customHeight="1" x14ac:dyDescent="0.25">
      <c r="A925" s="48">
        <v>910</v>
      </c>
      <c r="B925" s="49" t="str">
        <f t="array" ref="B925">IFERROR(IF(INDEX(Transactions!$F$8:$F$3006,MATCH(0,COUNTIF($B$11:B924,Transactions!$F$8:$F$3006),0))="","",INDEX(Transactions!$F$8:$F$3006,MATCH(0,COUNTIF($B$11:B924,Transactions!$F$8:$F$3006),0))),"")</f>
        <v/>
      </c>
      <c r="C925" s="50" t="str">
        <f>IF(B925="","",SUMIF(Transactions!$F$8:$F$3006,B925,Transactions!$H$8:$H$3006))</f>
        <v/>
      </c>
      <c r="D925" s="51" t="str">
        <f>IF(B925="","",SUMIF(Transactions!$F$8:$F$3006,B925,Transactions!$N$8:$N$3006))</f>
        <v/>
      </c>
      <c r="E925" s="52" t="str">
        <f>IF(B925="","",SUMIF(Transactions!$F$8:$F$3006,B925,Transactions!$O$8:$O$3006))</f>
        <v/>
      </c>
      <c r="F925" s="53" t="str">
        <f>IF(B925="","",SUMIF(Transactions!$F$8:$F$3006,B925,Transactions!$R$8:$R$3006))</f>
        <v/>
      </c>
      <c r="G925" s="54" t="str">
        <f>IF(B925="","",(C925+F925)-(D925+E925+SUMIF(Transactions!$F$8:$F$3006,B925,Transactions!$Q$8:$Q$3006)))</f>
        <v/>
      </c>
      <c r="H925" s="55" t="str">
        <f>IF(B925="","",IF(G925&gt;0,"OUTSTANDING",IF(G925=0,"SETTLED",IF(SUMIF(Transactions!$F$8:$F$3006,B925,Transactions!$Q$8:$Q$3006)&gt;SUMIF(Transactions!$F$8:$F$3006,B925,Transactions!$R$8:$R$3006),"OWES","OVERPAID"))))</f>
        <v/>
      </c>
      <c r="I925" s="1"/>
    </row>
    <row r="926" spans="1:9" ht="18" customHeight="1" x14ac:dyDescent="0.25">
      <c r="A926" s="40">
        <v>911</v>
      </c>
      <c r="B926" s="41" t="str">
        <f t="array" ref="B926">IFERROR(IF(INDEX(Transactions!$F$8:$F$3006,MATCH(0,COUNTIF($B$11:B925,Transactions!$F$8:$F$3006),0))="","",INDEX(Transactions!$F$8:$F$3006,MATCH(0,COUNTIF($B$11:B925,Transactions!$F$8:$F$3006),0))),"")</f>
        <v/>
      </c>
      <c r="C926" s="42" t="str">
        <f>IF(B926="","",SUMIF(Transactions!$F$8:$F$3006,B926,Transactions!$H$8:$H$3006))</f>
        <v/>
      </c>
      <c r="D926" s="43" t="str">
        <f>IF(B926="","",SUMIF(Transactions!$F$8:$F$3006,B926,Transactions!$N$8:$N$3006))</f>
        <v/>
      </c>
      <c r="E926" s="44" t="str">
        <f>IF(B926="","",SUMIF(Transactions!$F$8:$F$3006,B926,Transactions!$O$8:$O$3006))</f>
        <v/>
      </c>
      <c r="F926" s="45" t="str">
        <f>IF(B926="","",SUMIF(Transactions!$F$8:$F$3006,B926,Transactions!$R$8:$R$3006))</f>
        <v/>
      </c>
      <c r="G926" s="46" t="str">
        <f>IF(B926="","",(C926+F926)-(D926+E926+SUMIF(Transactions!$F$8:$F$3006,B926,Transactions!$Q$8:$Q$3006)))</f>
        <v/>
      </c>
      <c r="H926" s="47" t="str">
        <f>IF(B926="","",IF(G926&gt;0,"OUTSTANDING",IF(G926=0,"SETTLED",IF(SUMIF(Transactions!$F$8:$F$3006,B926,Transactions!$Q$8:$Q$3006)&gt;SUMIF(Transactions!$F$8:$F$3006,B926,Transactions!$R$8:$R$3006),"OWES","OVERPAID"))))</f>
        <v/>
      </c>
      <c r="I926" s="1"/>
    </row>
    <row r="927" spans="1:9" ht="18" customHeight="1" x14ac:dyDescent="0.25">
      <c r="A927" s="48">
        <v>912</v>
      </c>
      <c r="B927" s="49" t="str">
        <f t="array" ref="B927">IFERROR(IF(INDEX(Transactions!$F$8:$F$3006,MATCH(0,COUNTIF($B$11:B926,Transactions!$F$8:$F$3006),0))="","",INDEX(Transactions!$F$8:$F$3006,MATCH(0,COUNTIF($B$11:B926,Transactions!$F$8:$F$3006),0))),"")</f>
        <v/>
      </c>
      <c r="C927" s="50" t="str">
        <f>IF(B927="","",SUMIF(Transactions!$F$8:$F$3006,B927,Transactions!$H$8:$H$3006))</f>
        <v/>
      </c>
      <c r="D927" s="51" t="str">
        <f>IF(B927="","",SUMIF(Transactions!$F$8:$F$3006,B927,Transactions!$N$8:$N$3006))</f>
        <v/>
      </c>
      <c r="E927" s="52" t="str">
        <f>IF(B927="","",SUMIF(Transactions!$F$8:$F$3006,B927,Transactions!$O$8:$O$3006))</f>
        <v/>
      </c>
      <c r="F927" s="53" t="str">
        <f>IF(B927="","",SUMIF(Transactions!$F$8:$F$3006,B927,Transactions!$R$8:$R$3006))</f>
        <v/>
      </c>
      <c r="G927" s="54" t="str">
        <f>IF(B927="","",(C927+F927)-(D927+E927+SUMIF(Transactions!$F$8:$F$3006,B927,Transactions!$Q$8:$Q$3006)))</f>
        <v/>
      </c>
      <c r="H927" s="55" t="str">
        <f>IF(B927="","",IF(G927&gt;0,"OUTSTANDING",IF(G927=0,"SETTLED",IF(SUMIF(Transactions!$F$8:$F$3006,B927,Transactions!$Q$8:$Q$3006)&gt;SUMIF(Transactions!$F$8:$F$3006,B927,Transactions!$R$8:$R$3006),"OWES","OVERPAID"))))</f>
        <v/>
      </c>
      <c r="I927" s="1"/>
    </row>
    <row r="928" spans="1:9" ht="18" customHeight="1" x14ac:dyDescent="0.25">
      <c r="A928" s="40">
        <v>913</v>
      </c>
      <c r="B928" s="41" t="str">
        <f t="array" ref="B928">IFERROR(IF(INDEX(Transactions!$F$8:$F$3006,MATCH(0,COUNTIF($B$11:B927,Transactions!$F$8:$F$3006),0))="","",INDEX(Transactions!$F$8:$F$3006,MATCH(0,COUNTIF($B$11:B927,Transactions!$F$8:$F$3006),0))),"")</f>
        <v/>
      </c>
      <c r="C928" s="42" t="str">
        <f>IF(B928="","",SUMIF(Transactions!$F$8:$F$3006,B928,Transactions!$H$8:$H$3006))</f>
        <v/>
      </c>
      <c r="D928" s="43" t="str">
        <f>IF(B928="","",SUMIF(Transactions!$F$8:$F$3006,B928,Transactions!$N$8:$N$3006))</f>
        <v/>
      </c>
      <c r="E928" s="44" t="str">
        <f>IF(B928="","",SUMIF(Transactions!$F$8:$F$3006,B928,Transactions!$O$8:$O$3006))</f>
        <v/>
      </c>
      <c r="F928" s="45" t="str">
        <f>IF(B928="","",SUMIF(Transactions!$F$8:$F$3006,B928,Transactions!$R$8:$R$3006))</f>
        <v/>
      </c>
      <c r="G928" s="46" t="str">
        <f>IF(B928="","",(C928+F928)-(D928+E928+SUMIF(Transactions!$F$8:$F$3006,B928,Transactions!$Q$8:$Q$3006)))</f>
        <v/>
      </c>
      <c r="H928" s="47" t="str">
        <f>IF(B928="","",IF(G928&gt;0,"OUTSTANDING",IF(G928=0,"SETTLED",IF(SUMIF(Transactions!$F$8:$F$3006,B928,Transactions!$Q$8:$Q$3006)&gt;SUMIF(Transactions!$F$8:$F$3006,B928,Transactions!$R$8:$R$3006),"OWES","OVERPAID"))))</f>
        <v/>
      </c>
      <c r="I928" s="1"/>
    </row>
    <row r="929" spans="1:9" ht="18" customHeight="1" x14ac:dyDescent="0.25">
      <c r="A929" s="48">
        <v>914</v>
      </c>
      <c r="B929" s="49" t="str">
        <f t="array" ref="B929">IFERROR(IF(INDEX(Transactions!$F$8:$F$3006,MATCH(0,COUNTIF($B$11:B928,Transactions!$F$8:$F$3006),0))="","",INDEX(Transactions!$F$8:$F$3006,MATCH(0,COUNTIF($B$11:B928,Transactions!$F$8:$F$3006),0))),"")</f>
        <v/>
      </c>
      <c r="C929" s="50" t="str">
        <f>IF(B929="","",SUMIF(Transactions!$F$8:$F$3006,B929,Transactions!$H$8:$H$3006))</f>
        <v/>
      </c>
      <c r="D929" s="51" t="str">
        <f>IF(B929="","",SUMIF(Transactions!$F$8:$F$3006,B929,Transactions!$N$8:$N$3006))</f>
        <v/>
      </c>
      <c r="E929" s="52" t="str">
        <f>IF(B929="","",SUMIF(Transactions!$F$8:$F$3006,B929,Transactions!$O$8:$O$3006))</f>
        <v/>
      </c>
      <c r="F929" s="53" t="str">
        <f>IF(B929="","",SUMIF(Transactions!$F$8:$F$3006,B929,Transactions!$R$8:$R$3006))</f>
        <v/>
      </c>
      <c r="G929" s="54" t="str">
        <f>IF(B929="","",(C929+F929)-(D929+E929+SUMIF(Transactions!$F$8:$F$3006,B929,Transactions!$Q$8:$Q$3006)))</f>
        <v/>
      </c>
      <c r="H929" s="55" t="str">
        <f>IF(B929="","",IF(G929&gt;0,"OUTSTANDING",IF(G929=0,"SETTLED",IF(SUMIF(Transactions!$F$8:$F$3006,B929,Transactions!$Q$8:$Q$3006)&gt;SUMIF(Transactions!$F$8:$F$3006,B929,Transactions!$R$8:$R$3006),"OWES","OVERPAID"))))</f>
        <v/>
      </c>
      <c r="I929" s="1"/>
    </row>
    <row r="930" spans="1:9" ht="18" customHeight="1" x14ac:dyDescent="0.25">
      <c r="A930" s="40">
        <v>915</v>
      </c>
      <c r="B930" s="41" t="str">
        <f t="array" ref="B930">IFERROR(IF(INDEX(Transactions!$F$8:$F$3006,MATCH(0,COUNTIF($B$11:B929,Transactions!$F$8:$F$3006),0))="","",INDEX(Transactions!$F$8:$F$3006,MATCH(0,COUNTIF($B$11:B929,Transactions!$F$8:$F$3006),0))),"")</f>
        <v/>
      </c>
      <c r="C930" s="42" t="str">
        <f>IF(B930="","",SUMIF(Transactions!$F$8:$F$3006,B930,Transactions!$H$8:$H$3006))</f>
        <v/>
      </c>
      <c r="D930" s="43" t="str">
        <f>IF(B930="","",SUMIF(Transactions!$F$8:$F$3006,B930,Transactions!$N$8:$N$3006))</f>
        <v/>
      </c>
      <c r="E930" s="44" t="str">
        <f>IF(B930="","",SUMIF(Transactions!$F$8:$F$3006,B930,Transactions!$O$8:$O$3006))</f>
        <v/>
      </c>
      <c r="F930" s="45" t="str">
        <f>IF(B930="","",SUMIF(Transactions!$F$8:$F$3006,B930,Transactions!$R$8:$R$3006))</f>
        <v/>
      </c>
      <c r="G930" s="46" t="str">
        <f>IF(B930="","",(C930+F930)-(D930+E930+SUMIF(Transactions!$F$8:$F$3006,B930,Transactions!$Q$8:$Q$3006)))</f>
        <v/>
      </c>
      <c r="H930" s="47" t="str">
        <f>IF(B930="","",IF(G930&gt;0,"OUTSTANDING",IF(G930=0,"SETTLED",IF(SUMIF(Transactions!$F$8:$F$3006,B930,Transactions!$Q$8:$Q$3006)&gt;SUMIF(Transactions!$F$8:$F$3006,B930,Transactions!$R$8:$R$3006),"OWES","OVERPAID"))))</f>
        <v/>
      </c>
      <c r="I930" s="1"/>
    </row>
    <row r="931" spans="1:9" ht="18" customHeight="1" x14ac:dyDescent="0.25">
      <c r="A931" s="48">
        <v>916</v>
      </c>
      <c r="B931" s="49" t="str">
        <f t="array" ref="B931">IFERROR(IF(INDEX(Transactions!$F$8:$F$3006,MATCH(0,COUNTIF($B$11:B930,Transactions!$F$8:$F$3006),0))="","",INDEX(Transactions!$F$8:$F$3006,MATCH(0,COUNTIF($B$11:B930,Transactions!$F$8:$F$3006),0))),"")</f>
        <v/>
      </c>
      <c r="C931" s="50" t="str">
        <f>IF(B931="","",SUMIF(Transactions!$F$8:$F$3006,B931,Transactions!$H$8:$H$3006))</f>
        <v/>
      </c>
      <c r="D931" s="51" t="str">
        <f>IF(B931="","",SUMIF(Transactions!$F$8:$F$3006,B931,Transactions!$N$8:$N$3006))</f>
        <v/>
      </c>
      <c r="E931" s="52" t="str">
        <f>IF(B931="","",SUMIF(Transactions!$F$8:$F$3006,B931,Transactions!$O$8:$O$3006))</f>
        <v/>
      </c>
      <c r="F931" s="53" t="str">
        <f>IF(B931="","",SUMIF(Transactions!$F$8:$F$3006,B931,Transactions!$R$8:$R$3006))</f>
        <v/>
      </c>
      <c r="G931" s="54" t="str">
        <f>IF(B931="","",(C931+F931)-(D931+E931+SUMIF(Transactions!$F$8:$F$3006,B931,Transactions!$Q$8:$Q$3006)))</f>
        <v/>
      </c>
      <c r="H931" s="55" t="str">
        <f>IF(B931="","",IF(G931&gt;0,"OUTSTANDING",IF(G931=0,"SETTLED",IF(SUMIF(Transactions!$F$8:$F$3006,B931,Transactions!$Q$8:$Q$3006)&gt;SUMIF(Transactions!$F$8:$F$3006,B931,Transactions!$R$8:$R$3006),"OWES","OVERPAID"))))</f>
        <v/>
      </c>
      <c r="I931" s="1"/>
    </row>
    <row r="932" spans="1:9" ht="18" customHeight="1" x14ac:dyDescent="0.25">
      <c r="A932" s="40">
        <v>917</v>
      </c>
      <c r="B932" s="41" t="str">
        <f t="array" ref="B932">IFERROR(IF(INDEX(Transactions!$F$8:$F$3006,MATCH(0,COUNTIF($B$11:B931,Transactions!$F$8:$F$3006),0))="","",INDEX(Transactions!$F$8:$F$3006,MATCH(0,COUNTIF($B$11:B931,Transactions!$F$8:$F$3006),0))),"")</f>
        <v/>
      </c>
      <c r="C932" s="42" t="str">
        <f>IF(B932="","",SUMIF(Transactions!$F$8:$F$3006,B932,Transactions!$H$8:$H$3006))</f>
        <v/>
      </c>
      <c r="D932" s="43" t="str">
        <f>IF(B932="","",SUMIF(Transactions!$F$8:$F$3006,B932,Transactions!$N$8:$N$3006))</f>
        <v/>
      </c>
      <c r="E932" s="44" t="str">
        <f>IF(B932="","",SUMIF(Transactions!$F$8:$F$3006,B932,Transactions!$O$8:$O$3006))</f>
        <v/>
      </c>
      <c r="F932" s="45" t="str">
        <f>IF(B932="","",SUMIF(Transactions!$F$8:$F$3006,B932,Transactions!$R$8:$R$3006))</f>
        <v/>
      </c>
      <c r="G932" s="46" t="str">
        <f>IF(B932="","",(C932+F932)-(D932+E932+SUMIF(Transactions!$F$8:$F$3006,B932,Transactions!$Q$8:$Q$3006)))</f>
        <v/>
      </c>
      <c r="H932" s="47" t="str">
        <f>IF(B932="","",IF(G932&gt;0,"OUTSTANDING",IF(G932=0,"SETTLED",IF(SUMIF(Transactions!$F$8:$F$3006,B932,Transactions!$Q$8:$Q$3006)&gt;SUMIF(Transactions!$F$8:$F$3006,B932,Transactions!$R$8:$R$3006),"OWES","OVERPAID"))))</f>
        <v/>
      </c>
      <c r="I932" s="1"/>
    </row>
    <row r="933" spans="1:9" ht="18" customHeight="1" x14ac:dyDescent="0.25">
      <c r="A933" s="48">
        <v>918</v>
      </c>
      <c r="B933" s="49" t="str">
        <f t="array" ref="B933">IFERROR(IF(INDEX(Transactions!$F$8:$F$3006,MATCH(0,COUNTIF($B$11:B932,Transactions!$F$8:$F$3006),0))="","",INDEX(Transactions!$F$8:$F$3006,MATCH(0,COUNTIF($B$11:B932,Transactions!$F$8:$F$3006),0))),"")</f>
        <v/>
      </c>
      <c r="C933" s="50" t="str">
        <f>IF(B933="","",SUMIF(Transactions!$F$8:$F$3006,B933,Transactions!$H$8:$H$3006))</f>
        <v/>
      </c>
      <c r="D933" s="51" t="str">
        <f>IF(B933="","",SUMIF(Transactions!$F$8:$F$3006,B933,Transactions!$N$8:$N$3006))</f>
        <v/>
      </c>
      <c r="E933" s="52" t="str">
        <f>IF(B933="","",SUMIF(Transactions!$F$8:$F$3006,B933,Transactions!$O$8:$O$3006))</f>
        <v/>
      </c>
      <c r="F933" s="53" t="str">
        <f>IF(B933="","",SUMIF(Transactions!$F$8:$F$3006,B933,Transactions!$R$8:$R$3006))</f>
        <v/>
      </c>
      <c r="G933" s="54" t="str">
        <f>IF(B933="","",(C933+F933)-(D933+E933+SUMIF(Transactions!$F$8:$F$3006,B933,Transactions!$Q$8:$Q$3006)))</f>
        <v/>
      </c>
      <c r="H933" s="55" t="str">
        <f>IF(B933="","",IF(G933&gt;0,"OUTSTANDING",IF(G933=0,"SETTLED",IF(SUMIF(Transactions!$F$8:$F$3006,B933,Transactions!$Q$8:$Q$3006)&gt;SUMIF(Transactions!$F$8:$F$3006,B933,Transactions!$R$8:$R$3006),"OWES","OVERPAID"))))</f>
        <v/>
      </c>
      <c r="I933" s="1"/>
    </row>
    <row r="934" spans="1:9" ht="18" customHeight="1" x14ac:dyDescent="0.25">
      <c r="A934" s="40">
        <v>919</v>
      </c>
      <c r="B934" s="41" t="str">
        <f t="array" ref="B934">IFERROR(IF(INDEX(Transactions!$F$8:$F$3006,MATCH(0,COUNTIF($B$11:B933,Transactions!$F$8:$F$3006),0))="","",INDEX(Transactions!$F$8:$F$3006,MATCH(0,COUNTIF($B$11:B933,Transactions!$F$8:$F$3006),0))),"")</f>
        <v/>
      </c>
      <c r="C934" s="42" t="str">
        <f>IF(B934="","",SUMIF(Transactions!$F$8:$F$3006,B934,Transactions!$H$8:$H$3006))</f>
        <v/>
      </c>
      <c r="D934" s="43" t="str">
        <f>IF(B934="","",SUMIF(Transactions!$F$8:$F$3006,B934,Transactions!$N$8:$N$3006))</f>
        <v/>
      </c>
      <c r="E934" s="44" t="str">
        <f>IF(B934="","",SUMIF(Transactions!$F$8:$F$3006,B934,Transactions!$O$8:$O$3006))</f>
        <v/>
      </c>
      <c r="F934" s="45" t="str">
        <f>IF(B934="","",SUMIF(Transactions!$F$8:$F$3006,B934,Transactions!$R$8:$R$3006))</f>
        <v/>
      </c>
      <c r="G934" s="46" t="str">
        <f>IF(B934="","",(C934+F934)-(D934+E934+SUMIF(Transactions!$F$8:$F$3006,B934,Transactions!$Q$8:$Q$3006)))</f>
        <v/>
      </c>
      <c r="H934" s="47" t="str">
        <f>IF(B934="","",IF(G934&gt;0,"OUTSTANDING",IF(G934=0,"SETTLED",IF(SUMIF(Transactions!$F$8:$F$3006,B934,Transactions!$Q$8:$Q$3006)&gt;SUMIF(Transactions!$F$8:$F$3006,B934,Transactions!$R$8:$R$3006),"OWES","OVERPAID"))))</f>
        <v/>
      </c>
      <c r="I934" s="1"/>
    </row>
    <row r="935" spans="1:9" ht="18" customHeight="1" x14ac:dyDescent="0.25">
      <c r="A935" s="48">
        <v>920</v>
      </c>
      <c r="B935" s="49" t="str">
        <f t="array" ref="B935">IFERROR(IF(INDEX(Transactions!$F$8:$F$3006,MATCH(0,COUNTIF($B$11:B934,Transactions!$F$8:$F$3006),0))="","",INDEX(Transactions!$F$8:$F$3006,MATCH(0,COUNTIF($B$11:B934,Transactions!$F$8:$F$3006),0))),"")</f>
        <v/>
      </c>
      <c r="C935" s="50" t="str">
        <f>IF(B935="","",SUMIF(Transactions!$F$8:$F$3006,B935,Transactions!$H$8:$H$3006))</f>
        <v/>
      </c>
      <c r="D935" s="51" t="str">
        <f>IF(B935="","",SUMIF(Transactions!$F$8:$F$3006,B935,Transactions!$N$8:$N$3006))</f>
        <v/>
      </c>
      <c r="E935" s="52" t="str">
        <f>IF(B935="","",SUMIF(Transactions!$F$8:$F$3006,B935,Transactions!$O$8:$O$3006))</f>
        <v/>
      </c>
      <c r="F935" s="53" t="str">
        <f>IF(B935="","",SUMIF(Transactions!$F$8:$F$3006,B935,Transactions!$R$8:$R$3006))</f>
        <v/>
      </c>
      <c r="G935" s="54" t="str">
        <f>IF(B935="","",(C935+F935)-(D935+E935+SUMIF(Transactions!$F$8:$F$3006,B935,Transactions!$Q$8:$Q$3006)))</f>
        <v/>
      </c>
      <c r="H935" s="55" t="str">
        <f>IF(B935="","",IF(G935&gt;0,"OUTSTANDING",IF(G935=0,"SETTLED",IF(SUMIF(Transactions!$F$8:$F$3006,B935,Transactions!$Q$8:$Q$3006)&gt;SUMIF(Transactions!$F$8:$F$3006,B935,Transactions!$R$8:$R$3006),"OWES","OVERPAID"))))</f>
        <v/>
      </c>
      <c r="I935" s="1"/>
    </row>
    <row r="936" spans="1:9" ht="18" customHeight="1" x14ac:dyDescent="0.25">
      <c r="A936" s="40">
        <v>921</v>
      </c>
      <c r="B936" s="41" t="str">
        <f t="array" ref="B936">IFERROR(IF(INDEX(Transactions!$F$8:$F$3006,MATCH(0,COUNTIF($B$11:B935,Transactions!$F$8:$F$3006),0))="","",INDEX(Transactions!$F$8:$F$3006,MATCH(0,COUNTIF($B$11:B935,Transactions!$F$8:$F$3006),0))),"")</f>
        <v/>
      </c>
      <c r="C936" s="42" t="str">
        <f>IF(B936="","",SUMIF(Transactions!$F$8:$F$3006,B936,Transactions!$H$8:$H$3006))</f>
        <v/>
      </c>
      <c r="D936" s="43" t="str">
        <f>IF(B936="","",SUMIF(Transactions!$F$8:$F$3006,B936,Transactions!$N$8:$N$3006))</f>
        <v/>
      </c>
      <c r="E936" s="44" t="str">
        <f>IF(B936="","",SUMIF(Transactions!$F$8:$F$3006,B936,Transactions!$O$8:$O$3006))</f>
        <v/>
      </c>
      <c r="F936" s="45" t="str">
        <f>IF(B936="","",SUMIF(Transactions!$F$8:$F$3006,B936,Transactions!$R$8:$R$3006))</f>
        <v/>
      </c>
      <c r="G936" s="46" t="str">
        <f>IF(B936="","",(C936+F936)-(D936+E936+SUMIF(Transactions!$F$8:$F$3006,B936,Transactions!$Q$8:$Q$3006)))</f>
        <v/>
      </c>
      <c r="H936" s="47" t="str">
        <f>IF(B936="","",IF(G936&gt;0,"OUTSTANDING",IF(G936=0,"SETTLED",IF(SUMIF(Transactions!$F$8:$F$3006,B936,Transactions!$Q$8:$Q$3006)&gt;SUMIF(Transactions!$F$8:$F$3006,B936,Transactions!$R$8:$R$3006),"OWES","OVERPAID"))))</f>
        <v/>
      </c>
      <c r="I936" s="1"/>
    </row>
    <row r="937" spans="1:9" ht="18" customHeight="1" x14ac:dyDescent="0.25">
      <c r="A937" s="48">
        <v>922</v>
      </c>
      <c r="B937" s="49" t="str">
        <f t="array" ref="B937">IFERROR(IF(INDEX(Transactions!$F$8:$F$3006,MATCH(0,COUNTIF($B$11:B936,Transactions!$F$8:$F$3006),0))="","",INDEX(Transactions!$F$8:$F$3006,MATCH(0,COUNTIF($B$11:B936,Transactions!$F$8:$F$3006),0))),"")</f>
        <v/>
      </c>
      <c r="C937" s="50" t="str">
        <f>IF(B937="","",SUMIF(Transactions!$F$8:$F$3006,B937,Transactions!$H$8:$H$3006))</f>
        <v/>
      </c>
      <c r="D937" s="51" t="str">
        <f>IF(B937="","",SUMIF(Transactions!$F$8:$F$3006,B937,Transactions!$N$8:$N$3006))</f>
        <v/>
      </c>
      <c r="E937" s="52" t="str">
        <f>IF(B937="","",SUMIF(Transactions!$F$8:$F$3006,B937,Transactions!$O$8:$O$3006))</f>
        <v/>
      </c>
      <c r="F937" s="53" t="str">
        <f>IF(B937="","",SUMIF(Transactions!$F$8:$F$3006,B937,Transactions!$R$8:$R$3006))</f>
        <v/>
      </c>
      <c r="G937" s="54" t="str">
        <f>IF(B937="","",(C937+F937)-(D937+E937+SUMIF(Transactions!$F$8:$F$3006,B937,Transactions!$Q$8:$Q$3006)))</f>
        <v/>
      </c>
      <c r="H937" s="55" t="str">
        <f>IF(B937="","",IF(G937&gt;0,"OUTSTANDING",IF(G937=0,"SETTLED",IF(SUMIF(Transactions!$F$8:$F$3006,B937,Transactions!$Q$8:$Q$3006)&gt;SUMIF(Transactions!$F$8:$F$3006,B937,Transactions!$R$8:$R$3006),"OWES","OVERPAID"))))</f>
        <v/>
      </c>
      <c r="I937" s="1"/>
    </row>
    <row r="938" spans="1:9" ht="18" customHeight="1" x14ac:dyDescent="0.25">
      <c r="A938" s="40">
        <v>923</v>
      </c>
      <c r="B938" s="41" t="str">
        <f t="array" ref="B938">IFERROR(IF(INDEX(Transactions!$F$8:$F$3006,MATCH(0,COUNTIF($B$11:B937,Transactions!$F$8:$F$3006),0))="","",INDEX(Transactions!$F$8:$F$3006,MATCH(0,COUNTIF($B$11:B937,Transactions!$F$8:$F$3006),0))),"")</f>
        <v/>
      </c>
      <c r="C938" s="42" t="str">
        <f>IF(B938="","",SUMIF(Transactions!$F$8:$F$3006,B938,Transactions!$H$8:$H$3006))</f>
        <v/>
      </c>
      <c r="D938" s="43" t="str">
        <f>IF(B938="","",SUMIF(Transactions!$F$8:$F$3006,B938,Transactions!$N$8:$N$3006))</f>
        <v/>
      </c>
      <c r="E938" s="44" t="str">
        <f>IF(B938="","",SUMIF(Transactions!$F$8:$F$3006,B938,Transactions!$O$8:$O$3006))</f>
        <v/>
      </c>
      <c r="F938" s="45" t="str">
        <f>IF(B938="","",SUMIF(Transactions!$F$8:$F$3006,B938,Transactions!$R$8:$R$3006))</f>
        <v/>
      </c>
      <c r="G938" s="46" t="str">
        <f>IF(B938="","",(C938+F938)-(D938+E938+SUMIF(Transactions!$F$8:$F$3006,B938,Transactions!$Q$8:$Q$3006)))</f>
        <v/>
      </c>
      <c r="H938" s="47" t="str">
        <f>IF(B938="","",IF(G938&gt;0,"OUTSTANDING",IF(G938=0,"SETTLED",IF(SUMIF(Transactions!$F$8:$F$3006,B938,Transactions!$Q$8:$Q$3006)&gt;SUMIF(Transactions!$F$8:$F$3006,B938,Transactions!$R$8:$R$3006),"OWES","OVERPAID"))))</f>
        <v/>
      </c>
      <c r="I938" s="1"/>
    </row>
    <row r="939" spans="1:9" ht="18" customHeight="1" x14ac:dyDescent="0.25">
      <c r="A939" s="48">
        <v>924</v>
      </c>
      <c r="B939" s="49" t="str">
        <f t="array" ref="B939">IFERROR(IF(INDEX(Transactions!$F$8:$F$3006,MATCH(0,COUNTIF($B$11:B938,Transactions!$F$8:$F$3006),0))="","",INDEX(Transactions!$F$8:$F$3006,MATCH(0,COUNTIF($B$11:B938,Transactions!$F$8:$F$3006),0))),"")</f>
        <v/>
      </c>
      <c r="C939" s="50" t="str">
        <f>IF(B939="","",SUMIF(Transactions!$F$8:$F$3006,B939,Transactions!$H$8:$H$3006))</f>
        <v/>
      </c>
      <c r="D939" s="51" t="str">
        <f>IF(B939="","",SUMIF(Transactions!$F$8:$F$3006,B939,Transactions!$N$8:$N$3006))</f>
        <v/>
      </c>
      <c r="E939" s="52" t="str">
        <f>IF(B939="","",SUMIF(Transactions!$F$8:$F$3006,B939,Transactions!$O$8:$O$3006))</f>
        <v/>
      </c>
      <c r="F939" s="53" t="str">
        <f>IF(B939="","",SUMIF(Transactions!$F$8:$F$3006,B939,Transactions!$R$8:$R$3006))</f>
        <v/>
      </c>
      <c r="G939" s="54" t="str">
        <f>IF(B939="","",(C939+F939)-(D939+E939+SUMIF(Transactions!$F$8:$F$3006,B939,Transactions!$Q$8:$Q$3006)))</f>
        <v/>
      </c>
      <c r="H939" s="55" t="str">
        <f>IF(B939="","",IF(G939&gt;0,"OUTSTANDING",IF(G939=0,"SETTLED",IF(SUMIF(Transactions!$F$8:$F$3006,B939,Transactions!$Q$8:$Q$3006)&gt;SUMIF(Transactions!$F$8:$F$3006,B939,Transactions!$R$8:$R$3006),"OWES","OVERPAID"))))</f>
        <v/>
      </c>
      <c r="I939" s="1"/>
    </row>
    <row r="940" spans="1:9" ht="18" customHeight="1" x14ac:dyDescent="0.25">
      <c r="A940" s="40">
        <v>925</v>
      </c>
      <c r="B940" s="41" t="str">
        <f t="array" ref="B940">IFERROR(IF(INDEX(Transactions!$F$8:$F$3006,MATCH(0,COUNTIF($B$11:B939,Transactions!$F$8:$F$3006),0))="","",INDEX(Transactions!$F$8:$F$3006,MATCH(0,COUNTIF($B$11:B939,Transactions!$F$8:$F$3006),0))),"")</f>
        <v/>
      </c>
      <c r="C940" s="42" t="str">
        <f>IF(B940="","",SUMIF(Transactions!$F$8:$F$3006,B940,Transactions!$H$8:$H$3006))</f>
        <v/>
      </c>
      <c r="D940" s="43" t="str">
        <f>IF(B940="","",SUMIF(Transactions!$F$8:$F$3006,B940,Transactions!$N$8:$N$3006))</f>
        <v/>
      </c>
      <c r="E940" s="44" t="str">
        <f>IF(B940="","",SUMIF(Transactions!$F$8:$F$3006,B940,Transactions!$O$8:$O$3006))</f>
        <v/>
      </c>
      <c r="F940" s="45" t="str">
        <f>IF(B940="","",SUMIF(Transactions!$F$8:$F$3006,B940,Transactions!$R$8:$R$3006))</f>
        <v/>
      </c>
      <c r="G940" s="46" t="str">
        <f>IF(B940="","",(C940+F940)-(D940+E940+SUMIF(Transactions!$F$8:$F$3006,B940,Transactions!$Q$8:$Q$3006)))</f>
        <v/>
      </c>
      <c r="H940" s="47" t="str">
        <f>IF(B940="","",IF(G940&gt;0,"OUTSTANDING",IF(G940=0,"SETTLED",IF(SUMIF(Transactions!$F$8:$F$3006,B940,Transactions!$Q$8:$Q$3006)&gt;SUMIF(Transactions!$F$8:$F$3006,B940,Transactions!$R$8:$R$3006),"OWES","OVERPAID"))))</f>
        <v/>
      </c>
      <c r="I940" s="1"/>
    </row>
    <row r="941" spans="1:9" ht="18" customHeight="1" x14ac:dyDescent="0.25">
      <c r="A941" s="48">
        <v>926</v>
      </c>
      <c r="B941" s="49" t="str">
        <f t="array" ref="B941">IFERROR(IF(INDEX(Transactions!$F$8:$F$3006,MATCH(0,COUNTIF($B$11:B940,Transactions!$F$8:$F$3006),0))="","",INDEX(Transactions!$F$8:$F$3006,MATCH(0,COUNTIF($B$11:B940,Transactions!$F$8:$F$3006),0))),"")</f>
        <v/>
      </c>
      <c r="C941" s="50" t="str">
        <f>IF(B941="","",SUMIF(Transactions!$F$8:$F$3006,B941,Transactions!$H$8:$H$3006))</f>
        <v/>
      </c>
      <c r="D941" s="51" t="str">
        <f>IF(B941="","",SUMIF(Transactions!$F$8:$F$3006,B941,Transactions!$N$8:$N$3006))</f>
        <v/>
      </c>
      <c r="E941" s="52" t="str">
        <f>IF(B941="","",SUMIF(Transactions!$F$8:$F$3006,B941,Transactions!$O$8:$O$3006))</f>
        <v/>
      </c>
      <c r="F941" s="53" t="str">
        <f>IF(B941="","",SUMIF(Transactions!$F$8:$F$3006,B941,Transactions!$R$8:$R$3006))</f>
        <v/>
      </c>
      <c r="G941" s="54" t="str">
        <f>IF(B941="","",(C941+F941)-(D941+E941+SUMIF(Transactions!$F$8:$F$3006,B941,Transactions!$Q$8:$Q$3006)))</f>
        <v/>
      </c>
      <c r="H941" s="55" t="str">
        <f>IF(B941="","",IF(G941&gt;0,"OUTSTANDING",IF(G941=0,"SETTLED",IF(SUMIF(Transactions!$F$8:$F$3006,B941,Transactions!$Q$8:$Q$3006)&gt;SUMIF(Transactions!$F$8:$F$3006,B941,Transactions!$R$8:$R$3006),"OWES","OVERPAID"))))</f>
        <v/>
      </c>
      <c r="I941" s="1"/>
    </row>
    <row r="942" spans="1:9" ht="18" customHeight="1" x14ac:dyDescent="0.25">
      <c r="A942" s="40">
        <v>927</v>
      </c>
      <c r="B942" s="41" t="str">
        <f t="array" ref="B942">IFERROR(IF(INDEX(Transactions!$F$8:$F$3006,MATCH(0,COUNTIF($B$11:B941,Transactions!$F$8:$F$3006),0))="","",INDEX(Transactions!$F$8:$F$3006,MATCH(0,COUNTIF($B$11:B941,Transactions!$F$8:$F$3006),0))),"")</f>
        <v/>
      </c>
      <c r="C942" s="42" t="str">
        <f>IF(B942="","",SUMIF(Transactions!$F$8:$F$3006,B942,Transactions!$H$8:$H$3006))</f>
        <v/>
      </c>
      <c r="D942" s="43" t="str">
        <f>IF(B942="","",SUMIF(Transactions!$F$8:$F$3006,B942,Transactions!$N$8:$N$3006))</f>
        <v/>
      </c>
      <c r="E942" s="44" t="str">
        <f>IF(B942="","",SUMIF(Transactions!$F$8:$F$3006,B942,Transactions!$O$8:$O$3006))</f>
        <v/>
      </c>
      <c r="F942" s="45" t="str">
        <f>IF(B942="","",SUMIF(Transactions!$F$8:$F$3006,B942,Transactions!$R$8:$R$3006))</f>
        <v/>
      </c>
      <c r="G942" s="46" t="str">
        <f>IF(B942="","",(C942+F942)-(D942+E942+SUMIF(Transactions!$F$8:$F$3006,B942,Transactions!$Q$8:$Q$3006)))</f>
        <v/>
      </c>
      <c r="H942" s="47" t="str">
        <f>IF(B942="","",IF(G942&gt;0,"OUTSTANDING",IF(G942=0,"SETTLED",IF(SUMIF(Transactions!$F$8:$F$3006,B942,Transactions!$Q$8:$Q$3006)&gt;SUMIF(Transactions!$F$8:$F$3006,B942,Transactions!$R$8:$R$3006),"OWES","OVERPAID"))))</f>
        <v/>
      </c>
      <c r="I942" s="1"/>
    </row>
    <row r="943" spans="1:9" ht="18" customHeight="1" x14ac:dyDescent="0.25">
      <c r="A943" s="48">
        <v>928</v>
      </c>
      <c r="B943" s="49" t="str">
        <f t="array" ref="B943">IFERROR(IF(INDEX(Transactions!$F$8:$F$3006,MATCH(0,COUNTIF($B$11:B942,Transactions!$F$8:$F$3006),0))="","",INDEX(Transactions!$F$8:$F$3006,MATCH(0,COUNTIF($B$11:B942,Transactions!$F$8:$F$3006),0))),"")</f>
        <v/>
      </c>
      <c r="C943" s="50" t="str">
        <f>IF(B943="","",SUMIF(Transactions!$F$8:$F$3006,B943,Transactions!$H$8:$H$3006))</f>
        <v/>
      </c>
      <c r="D943" s="51" t="str">
        <f>IF(B943="","",SUMIF(Transactions!$F$8:$F$3006,B943,Transactions!$N$8:$N$3006))</f>
        <v/>
      </c>
      <c r="E943" s="52" t="str">
        <f>IF(B943="","",SUMIF(Transactions!$F$8:$F$3006,B943,Transactions!$O$8:$O$3006))</f>
        <v/>
      </c>
      <c r="F943" s="53" t="str">
        <f>IF(B943="","",SUMIF(Transactions!$F$8:$F$3006,B943,Transactions!$R$8:$R$3006))</f>
        <v/>
      </c>
      <c r="G943" s="54" t="str">
        <f>IF(B943="","",(C943+F943)-(D943+E943+SUMIF(Transactions!$F$8:$F$3006,B943,Transactions!$Q$8:$Q$3006)))</f>
        <v/>
      </c>
      <c r="H943" s="55" t="str">
        <f>IF(B943="","",IF(G943&gt;0,"OUTSTANDING",IF(G943=0,"SETTLED",IF(SUMIF(Transactions!$F$8:$F$3006,B943,Transactions!$Q$8:$Q$3006)&gt;SUMIF(Transactions!$F$8:$F$3006,B943,Transactions!$R$8:$R$3006),"OWES","OVERPAID"))))</f>
        <v/>
      </c>
      <c r="I943" s="1"/>
    </row>
    <row r="944" spans="1:9" ht="18" customHeight="1" x14ac:dyDescent="0.25">
      <c r="A944" s="40">
        <v>929</v>
      </c>
      <c r="B944" s="41" t="str">
        <f t="array" ref="B944">IFERROR(IF(INDEX(Transactions!$F$8:$F$3006,MATCH(0,COUNTIF($B$11:B943,Transactions!$F$8:$F$3006),0))="","",INDEX(Transactions!$F$8:$F$3006,MATCH(0,COUNTIF($B$11:B943,Transactions!$F$8:$F$3006),0))),"")</f>
        <v/>
      </c>
      <c r="C944" s="42" t="str">
        <f>IF(B944="","",SUMIF(Transactions!$F$8:$F$3006,B944,Transactions!$H$8:$H$3006))</f>
        <v/>
      </c>
      <c r="D944" s="43" t="str">
        <f>IF(B944="","",SUMIF(Transactions!$F$8:$F$3006,B944,Transactions!$N$8:$N$3006))</f>
        <v/>
      </c>
      <c r="E944" s="44" t="str">
        <f>IF(B944="","",SUMIF(Transactions!$F$8:$F$3006,B944,Transactions!$O$8:$O$3006))</f>
        <v/>
      </c>
      <c r="F944" s="45" t="str">
        <f>IF(B944="","",SUMIF(Transactions!$F$8:$F$3006,B944,Transactions!$R$8:$R$3006))</f>
        <v/>
      </c>
      <c r="G944" s="46" t="str">
        <f>IF(B944="","",(C944+F944)-(D944+E944+SUMIF(Transactions!$F$8:$F$3006,B944,Transactions!$Q$8:$Q$3006)))</f>
        <v/>
      </c>
      <c r="H944" s="47" t="str">
        <f>IF(B944="","",IF(G944&gt;0,"OUTSTANDING",IF(G944=0,"SETTLED",IF(SUMIF(Transactions!$F$8:$F$3006,B944,Transactions!$Q$8:$Q$3006)&gt;SUMIF(Transactions!$F$8:$F$3006,B944,Transactions!$R$8:$R$3006),"OWES","OVERPAID"))))</f>
        <v/>
      </c>
      <c r="I944" s="1"/>
    </row>
    <row r="945" spans="1:9" ht="18" customHeight="1" x14ac:dyDescent="0.25">
      <c r="A945" s="48">
        <v>930</v>
      </c>
      <c r="B945" s="49" t="str">
        <f t="array" ref="B945">IFERROR(IF(INDEX(Transactions!$F$8:$F$3006,MATCH(0,COUNTIF($B$11:B944,Transactions!$F$8:$F$3006),0))="","",INDEX(Transactions!$F$8:$F$3006,MATCH(0,COUNTIF($B$11:B944,Transactions!$F$8:$F$3006),0))),"")</f>
        <v/>
      </c>
      <c r="C945" s="50" t="str">
        <f>IF(B945="","",SUMIF(Transactions!$F$8:$F$3006,B945,Transactions!$H$8:$H$3006))</f>
        <v/>
      </c>
      <c r="D945" s="51" t="str">
        <f>IF(B945="","",SUMIF(Transactions!$F$8:$F$3006,B945,Transactions!$N$8:$N$3006))</f>
        <v/>
      </c>
      <c r="E945" s="52" t="str">
        <f>IF(B945="","",SUMIF(Transactions!$F$8:$F$3006,B945,Transactions!$O$8:$O$3006))</f>
        <v/>
      </c>
      <c r="F945" s="53" t="str">
        <f>IF(B945="","",SUMIF(Transactions!$F$8:$F$3006,B945,Transactions!$R$8:$R$3006))</f>
        <v/>
      </c>
      <c r="G945" s="54" t="str">
        <f>IF(B945="","",(C945+F945)-(D945+E945+SUMIF(Transactions!$F$8:$F$3006,B945,Transactions!$Q$8:$Q$3006)))</f>
        <v/>
      </c>
      <c r="H945" s="55" t="str">
        <f>IF(B945="","",IF(G945&gt;0,"OUTSTANDING",IF(G945=0,"SETTLED",IF(SUMIF(Transactions!$F$8:$F$3006,B945,Transactions!$Q$8:$Q$3006)&gt;SUMIF(Transactions!$F$8:$F$3006,B945,Transactions!$R$8:$R$3006),"OWES","OVERPAID"))))</f>
        <v/>
      </c>
      <c r="I945" s="1"/>
    </row>
    <row r="946" spans="1:9" ht="18" customHeight="1" x14ac:dyDescent="0.25">
      <c r="A946" s="40">
        <v>931</v>
      </c>
      <c r="B946" s="41" t="str">
        <f t="array" ref="B946">IFERROR(IF(INDEX(Transactions!$F$8:$F$3006,MATCH(0,COUNTIF($B$11:B945,Transactions!$F$8:$F$3006),0))="","",INDEX(Transactions!$F$8:$F$3006,MATCH(0,COUNTIF($B$11:B945,Transactions!$F$8:$F$3006),0))),"")</f>
        <v/>
      </c>
      <c r="C946" s="42" t="str">
        <f>IF(B946="","",SUMIF(Transactions!$F$8:$F$3006,B946,Transactions!$H$8:$H$3006))</f>
        <v/>
      </c>
      <c r="D946" s="43" t="str">
        <f>IF(B946="","",SUMIF(Transactions!$F$8:$F$3006,B946,Transactions!$N$8:$N$3006))</f>
        <v/>
      </c>
      <c r="E946" s="44" t="str">
        <f>IF(B946="","",SUMIF(Transactions!$F$8:$F$3006,B946,Transactions!$O$8:$O$3006))</f>
        <v/>
      </c>
      <c r="F946" s="45" t="str">
        <f>IF(B946="","",SUMIF(Transactions!$F$8:$F$3006,B946,Transactions!$R$8:$R$3006))</f>
        <v/>
      </c>
      <c r="G946" s="46" t="str">
        <f>IF(B946="","",(C946+F946)-(D946+E946+SUMIF(Transactions!$F$8:$F$3006,B946,Transactions!$Q$8:$Q$3006)))</f>
        <v/>
      </c>
      <c r="H946" s="47" t="str">
        <f>IF(B946="","",IF(G946&gt;0,"OUTSTANDING",IF(G946=0,"SETTLED",IF(SUMIF(Transactions!$F$8:$F$3006,B946,Transactions!$Q$8:$Q$3006)&gt;SUMIF(Transactions!$F$8:$F$3006,B946,Transactions!$R$8:$R$3006),"OWES","OVERPAID"))))</f>
        <v/>
      </c>
      <c r="I946" s="1"/>
    </row>
    <row r="947" spans="1:9" ht="18" customHeight="1" x14ac:dyDescent="0.25">
      <c r="A947" s="48">
        <v>932</v>
      </c>
      <c r="B947" s="49" t="str">
        <f t="array" ref="B947">IFERROR(IF(INDEX(Transactions!$F$8:$F$3006,MATCH(0,COUNTIF($B$11:B946,Transactions!$F$8:$F$3006),0))="","",INDEX(Transactions!$F$8:$F$3006,MATCH(0,COUNTIF($B$11:B946,Transactions!$F$8:$F$3006),0))),"")</f>
        <v/>
      </c>
      <c r="C947" s="50" t="str">
        <f>IF(B947="","",SUMIF(Transactions!$F$8:$F$3006,B947,Transactions!$H$8:$H$3006))</f>
        <v/>
      </c>
      <c r="D947" s="51" t="str">
        <f>IF(B947="","",SUMIF(Transactions!$F$8:$F$3006,B947,Transactions!$N$8:$N$3006))</f>
        <v/>
      </c>
      <c r="E947" s="52" t="str">
        <f>IF(B947="","",SUMIF(Transactions!$F$8:$F$3006,B947,Transactions!$O$8:$O$3006))</f>
        <v/>
      </c>
      <c r="F947" s="53" t="str">
        <f>IF(B947="","",SUMIF(Transactions!$F$8:$F$3006,B947,Transactions!$R$8:$R$3006))</f>
        <v/>
      </c>
      <c r="G947" s="54" t="str">
        <f>IF(B947="","",(C947+F947)-(D947+E947+SUMIF(Transactions!$F$8:$F$3006,B947,Transactions!$Q$8:$Q$3006)))</f>
        <v/>
      </c>
      <c r="H947" s="55" t="str">
        <f>IF(B947="","",IF(G947&gt;0,"OUTSTANDING",IF(G947=0,"SETTLED",IF(SUMIF(Transactions!$F$8:$F$3006,B947,Transactions!$Q$8:$Q$3006)&gt;SUMIF(Transactions!$F$8:$F$3006,B947,Transactions!$R$8:$R$3006),"OWES","OVERPAID"))))</f>
        <v/>
      </c>
      <c r="I947" s="1"/>
    </row>
    <row r="948" spans="1:9" ht="18" customHeight="1" x14ac:dyDescent="0.25">
      <c r="A948" s="40">
        <v>933</v>
      </c>
      <c r="B948" s="41" t="str">
        <f t="array" ref="B948">IFERROR(IF(INDEX(Transactions!$F$8:$F$3006,MATCH(0,COUNTIF($B$11:B947,Transactions!$F$8:$F$3006),0))="","",INDEX(Transactions!$F$8:$F$3006,MATCH(0,COUNTIF($B$11:B947,Transactions!$F$8:$F$3006),0))),"")</f>
        <v/>
      </c>
      <c r="C948" s="42" t="str">
        <f>IF(B948="","",SUMIF(Transactions!$F$8:$F$3006,B948,Transactions!$H$8:$H$3006))</f>
        <v/>
      </c>
      <c r="D948" s="43" t="str">
        <f>IF(B948="","",SUMIF(Transactions!$F$8:$F$3006,B948,Transactions!$N$8:$N$3006))</f>
        <v/>
      </c>
      <c r="E948" s="44" t="str">
        <f>IF(B948="","",SUMIF(Transactions!$F$8:$F$3006,B948,Transactions!$O$8:$O$3006))</f>
        <v/>
      </c>
      <c r="F948" s="45" t="str">
        <f>IF(B948="","",SUMIF(Transactions!$F$8:$F$3006,B948,Transactions!$R$8:$R$3006))</f>
        <v/>
      </c>
      <c r="G948" s="46" t="str">
        <f>IF(B948="","",(C948+F948)-(D948+E948+SUMIF(Transactions!$F$8:$F$3006,B948,Transactions!$Q$8:$Q$3006)))</f>
        <v/>
      </c>
      <c r="H948" s="47" t="str">
        <f>IF(B948="","",IF(G948&gt;0,"OUTSTANDING",IF(G948=0,"SETTLED",IF(SUMIF(Transactions!$F$8:$F$3006,B948,Transactions!$Q$8:$Q$3006)&gt;SUMIF(Transactions!$F$8:$F$3006,B948,Transactions!$R$8:$R$3006),"OWES","OVERPAID"))))</f>
        <v/>
      </c>
      <c r="I948" s="1"/>
    </row>
    <row r="949" spans="1:9" ht="18" customHeight="1" x14ac:dyDescent="0.25">
      <c r="A949" s="48">
        <v>934</v>
      </c>
      <c r="B949" s="49" t="str">
        <f t="array" ref="B949">IFERROR(IF(INDEX(Transactions!$F$8:$F$3006,MATCH(0,COUNTIF($B$11:B948,Transactions!$F$8:$F$3006),0))="","",INDEX(Transactions!$F$8:$F$3006,MATCH(0,COUNTIF($B$11:B948,Transactions!$F$8:$F$3006),0))),"")</f>
        <v/>
      </c>
      <c r="C949" s="50" t="str">
        <f>IF(B949="","",SUMIF(Transactions!$F$8:$F$3006,B949,Transactions!$H$8:$H$3006))</f>
        <v/>
      </c>
      <c r="D949" s="51" t="str">
        <f>IF(B949="","",SUMIF(Transactions!$F$8:$F$3006,B949,Transactions!$N$8:$N$3006))</f>
        <v/>
      </c>
      <c r="E949" s="52" t="str">
        <f>IF(B949="","",SUMIF(Transactions!$F$8:$F$3006,B949,Transactions!$O$8:$O$3006))</f>
        <v/>
      </c>
      <c r="F949" s="53" t="str">
        <f>IF(B949="","",SUMIF(Transactions!$F$8:$F$3006,B949,Transactions!$R$8:$R$3006))</f>
        <v/>
      </c>
      <c r="G949" s="54" t="str">
        <f>IF(B949="","",(C949+F949)-(D949+E949+SUMIF(Transactions!$F$8:$F$3006,B949,Transactions!$Q$8:$Q$3006)))</f>
        <v/>
      </c>
      <c r="H949" s="55" t="str">
        <f>IF(B949="","",IF(G949&gt;0,"OUTSTANDING",IF(G949=0,"SETTLED",IF(SUMIF(Transactions!$F$8:$F$3006,B949,Transactions!$Q$8:$Q$3006)&gt;SUMIF(Transactions!$F$8:$F$3006,B949,Transactions!$R$8:$R$3006),"OWES","OVERPAID"))))</f>
        <v/>
      </c>
      <c r="I949" s="1"/>
    </row>
    <row r="950" spans="1:9" ht="18" customHeight="1" x14ac:dyDescent="0.25">
      <c r="A950" s="40">
        <v>935</v>
      </c>
      <c r="B950" s="41" t="str">
        <f t="array" ref="B950">IFERROR(IF(INDEX(Transactions!$F$8:$F$3006,MATCH(0,COUNTIF($B$11:B949,Transactions!$F$8:$F$3006),0))="","",INDEX(Transactions!$F$8:$F$3006,MATCH(0,COUNTIF($B$11:B949,Transactions!$F$8:$F$3006),0))),"")</f>
        <v/>
      </c>
      <c r="C950" s="42" t="str">
        <f>IF(B950="","",SUMIF(Transactions!$F$8:$F$3006,B950,Transactions!$H$8:$H$3006))</f>
        <v/>
      </c>
      <c r="D950" s="43" t="str">
        <f>IF(B950="","",SUMIF(Transactions!$F$8:$F$3006,B950,Transactions!$N$8:$N$3006))</f>
        <v/>
      </c>
      <c r="E950" s="44" t="str">
        <f>IF(B950="","",SUMIF(Transactions!$F$8:$F$3006,B950,Transactions!$O$8:$O$3006))</f>
        <v/>
      </c>
      <c r="F950" s="45" t="str">
        <f>IF(B950="","",SUMIF(Transactions!$F$8:$F$3006,B950,Transactions!$R$8:$R$3006))</f>
        <v/>
      </c>
      <c r="G950" s="46" t="str">
        <f>IF(B950="","",(C950+F950)-(D950+E950+SUMIF(Transactions!$F$8:$F$3006,B950,Transactions!$Q$8:$Q$3006)))</f>
        <v/>
      </c>
      <c r="H950" s="47" t="str">
        <f>IF(B950="","",IF(G950&gt;0,"OUTSTANDING",IF(G950=0,"SETTLED",IF(SUMIF(Transactions!$F$8:$F$3006,B950,Transactions!$Q$8:$Q$3006)&gt;SUMIF(Transactions!$F$8:$F$3006,B950,Transactions!$R$8:$R$3006),"OWES","OVERPAID"))))</f>
        <v/>
      </c>
      <c r="I950" s="1"/>
    </row>
    <row r="951" spans="1:9" ht="18" customHeight="1" x14ac:dyDescent="0.25">
      <c r="A951" s="48">
        <v>936</v>
      </c>
      <c r="B951" s="49" t="str">
        <f t="array" ref="B951">IFERROR(IF(INDEX(Transactions!$F$8:$F$3006,MATCH(0,COUNTIF($B$11:B950,Transactions!$F$8:$F$3006),0))="","",INDEX(Transactions!$F$8:$F$3006,MATCH(0,COUNTIF($B$11:B950,Transactions!$F$8:$F$3006),0))),"")</f>
        <v/>
      </c>
      <c r="C951" s="50" t="str">
        <f>IF(B951="","",SUMIF(Transactions!$F$8:$F$3006,B951,Transactions!$H$8:$H$3006))</f>
        <v/>
      </c>
      <c r="D951" s="51" t="str">
        <f>IF(B951="","",SUMIF(Transactions!$F$8:$F$3006,B951,Transactions!$N$8:$N$3006))</f>
        <v/>
      </c>
      <c r="E951" s="52" t="str">
        <f>IF(B951="","",SUMIF(Transactions!$F$8:$F$3006,B951,Transactions!$O$8:$O$3006))</f>
        <v/>
      </c>
      <c r="F951" s="53" t="str">
        <f>IF(B951="","",SUMIF(Transactions!$F$8:$F$3006,B951,Transactions!$R$8:$R$3006))</f>
        <v/>
      </c>
      <c r="G951" s="54" t="str">
        <f>IF(B951="","",(C951+F951)-(D951+E951+SUMIF(Transactions!$F$8:$F$3006,B951,Transactions!$Q$8:$Q$3006)))</f>
        <v/>
      </c>
      <c r="H951" s="55" t="str">
        <f>IF(B951="","",IF(G951&gt;0,"OUTSTANDING",IF(G951=0,"SETTLED",IF(SUMIF(Transactions!$F$8:$F$3006,B951,Transactions!$Q$8:$Q$3006)&gt;SUMIF(Transactions!$F$8:$F$3006,B951,Transactions!$R$8:$R$3006),"OWES","OVERPAID"))))</f>
        <v/>
      </c>
      <c r="I951" s="1"/>
    </row>
    <row r="952" spans="1:9" ht="18" customHeight="1" x14ac:dyDescent="0.25">
      <c r="A952" s="40">
        <v>937</v>
      </c>
      <c r="B952" s="41" t="str">
        <f t="array" ref="B952">IFERROR(IF(INDEX(Transactions!$F$8:$F$3006,MATCH(0,COUNTIF($B$11:B951,Transactions!$F$8:$F$3006),0))="","",INDEX(Transactions!$F$8:$F$3006,MATCH(0,COUNTIF($B$11:B951,Transactions!$F$8:$F$3006),0))),"")</f>
        <v/>
      </c>
      <c r="C952" s="42" t="str">
        <f>IF(B952="","",SUMIF(Transactions!$F$8:$F$3006,B952,Transactions!$H$8:$H$3006))</f>
        <v/>
      </c>
      <c r="D952" s="43" t="str">
        <f>IF(B952="","",SUMIF(Transactions!$F$8:$F$3006,B952,Transactions!$N$8:$N$3006))</f>
        <v/>
      </c>
      <c r="E952" s="44" t="str">
        <f>IF(B952="","",SUMIF(Transactions!$F$8:$F$3006,B952,Transactions!$O$8:$O$3006))</f>
        <v/>
      </c>
      <c r="F952" s="45" t="str">
        <f>IF(B952="","",SUMIF(Transactions!$F$8:$F$3006,B952,Transactions!$R$8:$R$3006))</f>
        <v/>
      </c>
      <c r="G952" s="46" t="str">
        <f>IF(B952="","",(C952+F952)-(D952+E952+SUMIF(Transactions!$F$8:$F$3006,B952,Transactions!$Q$8:$Q$3006)))</f>
        <v/>
      </c>
      <c r="H952" s="47" t="str">
        <f>IF(B952="","",IF(G952&gt;0,"OUTSTANDING",IF(G952=0,"SETTLED",IF(SUMIF(Transactions!$F$8:$F$3006,B952,Transactions!$Q$8:$Q$3006)&gt;SUMIF(Transactions!$F$8:$F$3006,B952,Transactions!$R$8:$R$3006),"OWES","OVERPAID"))))</f>
        <v/>
      </c>
      <c r="I952" s="1"/>
    </row>
    <row r="953" spans="1:9" ht="18" customHeight="1" x14ac:dyDescent="0.25">
      <c r="A953" s="48">
        <v>938</v>
      </c>
      <c r="B953" s="49" t="str">
        <f t="array" ref="B953">IFERROR(IF(INDEX(Transactions!$F$8:$F$3006,MATCH(0,COUNTIF($B$11:B952,Transactions!$F$8:$F$3006),0))="","",INDEX(Transactions!$F$8:$F$3006,MATCH(0,COUNTIF($B$11:B952,Transactions!$F$8:$F$3006),0))),"")</f>
        <v/>
      </c>
      <c r="C953" s="50" t="str">
        <f>IF(B953="","",SUMIF(Transactions!$F$8:$F$3006,B953,Transactions!$H$8:$H$3006))</f>
        <v/>
      </c>
      <c r="D953" s="51" t="str">
        <f>IF(B953="","",SUMIF(Transactions!$F$8:$F$3006,B953,Transactions!$N$8:$N$3006))</f>
        <v/>
      </c>
      <c r="E953" s="52" t="str">
        <f>IF(B953="","",SUMIF(Transactions!$F$8:$F$3006,B953,Transactions!$O$8:$O$3006))</f>
        <v/>
      </c>
      <c r="F953" s="53" t="str">
        <f>IF(B953="","",SUMIF(Transactions!$F$8:$F$3006,B953,Transactions!$R$8:$R$3006))</f>
        <v/>
      </c>
      <c r="G953" s="54" t="str">
        <f>IF(B953="","",(C953+F953)-(D953+E953+SUMIF(Transactions!$F$8:$F$3006,B953,Transactions!$Q$8:$Q$3006)))</f>
        <v/>
      </c>
      <c r="H953" s="55" t="str">
        <f>IF(B953="","",IF(G953&gt;0,"OUTSTANDING",IF(G953=0,"SETTLED",IF(SUMIF(Transactions!$F$8:$F$3006,B953,Transactions!$Q$8:$Q$3006)&gt;SUMIF(Transactions!$F$8:$F$3006,B953,Transactions!$R$8:$R$3006),"OWES","OVERPAID"))))</f>
        <v/>
      </c>
      <c r="I953" s="1"/>
    </row>
    <row r="954" spans="1:9" ht="18" customHeight="1" x14ac:dyDescent="0.25">
      <c r="A954" s="40">
        <v>939</v>
      </c>
      <c r="B954" s="41" t="str">
        <f t="array" ref="B954">IFERROR(IF(INDEX(Transactions!$F$8:$F$3006,MATCH(0,COUNTIF($B$11:B953,Transactions!$F$8:$F$3006),0))="","",INDEX(Transactions!$F$8:$F$3006,MATCH(0,COUNTIF($B$11:B953,Transactions!$F$8:$F$3006),0))),"")</f>
        <v/>
      </c>
      <c r="C954" s="42" t="str">
        <f>IF(B954="","",SUMIF(Transactions!$F$8:$F$3006,B954,Transactions!$H$8:$H$3006))</f>
        <v/>
      </c>
      <c r="D954" s="43" t="str">
        <f>IF(B954="","",SUMIF(Transactions!$F$8:$F$3006,B954,Transactions!$N$8:$N$3006))</f>
        <v/>
      </c>
      <c r="E954" s="44" t="str">
        <f>IF(B954="","",SUMIF(Transactions!$F$8:$F$3006,B954,Transactions!$O$8:$O$3006))</f>
        <v/>
      </c>
      <c r="F954" s="45" t="str">
        <f>IF(B954="","",SUMIF(Transactions!$F$8:$F$3006,B954,Transactions!$R$8:$R$3006))</f>
        <v/>
      </c>
      <c r="G954" s="46" t="str">
        <f>IF(B954="","",(C954+F954)-(D954+E954+SUMIF(Transactions!$F$8:$F$3006,B954,Transactions!$Q$8:$Q$3006)))</f>
        <v/>
      </c>
      <c r="H954" s="47" t="str">
        <f>IF(B954="","",IF(G954&gt;0,"OUTSTANDING",IF(G954=0,"SETTLED",IF(SUMIF(Transactions!$F$8:$F$3006,B954,Transactions!$Q$8:$Q$3006)&gt;SUMIF(Transactions!$F$8:$F$3006,B954,Transactions!$R$8:$R$3006),"OWES","OVERPAID"))))</f>
        <v/>
      </c>
      <c r="I954" s="1"/>
    </row>
    <row r="955" spans="1:9" ht="18" customHeight="1" x14ac:dyDescent="0.25">
      <c r="A955" s="48">
        <v>940</v>
      </c>
      <c r="B955" s="49" t="str">
        <f t="array" ref="B955">IFERROR(IF(INDEX(Transactions!$F$8:$F$3006,MATCH(0,COUNTIF($B$11:B954,Transactions!$F$8:$F$3006),0))="","",INDEX(Transactions!$F$8:$F$3006,MATCH(0,COUNTIF($B$11:B954,Transactions!$F$8:$F$3006),0))),"")</f>
        <v/>
      </c>
      <c r="C955" s="50" t="str">
        <f>IF(B955="","",SUMIF(Transactions!$F$8:$F$3006,B955,Transactions!$H$8:$H$3006))</f>
        <v/>
      </c>
      <c r="D955" s="51" t="str">
        <f>IF(B955="","",SUMIF(Transactions!$F$8:$F$3006,B955,Transactions!$N$8:$N$3006))</f>
        <v/>
      </c>
      <c r="E955" s="52" t="str">
        <f>IF(B955="","",SUMIF(Transactions!$F$8:$F$3006,B955,Transactions!$O$8:$O$3006))</f>
        <v/>
      </c>
      <c r="F955" s="53" t="str">
        <f>IF(B955="","",SUMIF(Transactions!$F$8:$F$3006,B955,Transactions!$R$8:$R$3006))</f>
        <v/>
      </c>
      <c r="G955" s="54" t="str">
        <f>IF(B955="","",(C955+F955)-(D955+E955+SUMIF(Transactions!$F$8:$F$3006,B955,Transactions!$Q$8:$Q$3006)))</f>
        <v/>
      </c>
      <c r="H955" s="55" t="str">
        <f>IF(B955="","",IF(G955&gt;0,"OUTSTANDING",IF(G955=0,"SETTLED",IF(SUMIF(Transactions!$F$8:$F$3006,B955,Transactions!$Q$8:$Q$3006)&gt;SUMIF(Transactions!$F$8:$F$3006,B955,Transactions!$R$8:$R$3006),"OWES","OVERPAID"))))</f>
        <v/>
      </c>
      <c r="I955" s="1"/>
    </row>
    <row r="956" spans="1:9" ht="18" customHeight="1" x14ac:dyDescent="0.25">
      <c r="A956" s="40">
        <v>941</v>
      </c>
      <c r="B956" s="41" t="str">
        <f t="array" ref="B956">IFERROR(IF(INDEX(Transactions!$F$8:$F$3006,MATCH(0,COUNTIF($B$11:B955,Transactions!$F$8:$F$3006),0))="","",INDEX(Transactions!$F$8:$F$3006,MATCH(0,COUNTIF($B$11:B955,Transactions!$F$8:$F$3006),0))),"")</f>
        <v/>
      </c>
      <c r="C956" s="42" t="str">
        <f>IF(B956="","",SUMIF(Transactions!$F$8:$F$3006,B956,Transactions!$H$8:$H$3006))</f>
        <v/>
      </c>
      <c r="D956" s="43" t="str">
        <f>IF(B956="","",SUMIF(Transactions!$F$8:$F$3006,B956,Transactions!$N$8:$N$3006))</f>
        <v/>
      </c>
      <c r="E956" s="44" t="str">
        <f>IF(B956="","",SUMIF(Transactions!$F$8:$F$3006,B956,Transactions!$O$8:$O$3006))</f>
        <v/>
      </c>
      <c r="F956" s="45" t="str">
        <f>IF(B956="","",SUMIF(Transactions!$F$8:$F$3006,B956,Transactions!$R$8:$R$3006))</f>
        <v/>
      </c>
      <c r="G956" s="46" t="str">
        <f>IF(B956="","",(C956+F956)-(D956+E956+SUMIF(Transactions!$F$8:$F$3006,B956,Transactions!$Q$8:$Q$3006)))</f>
        <v/>
      </c>
      <c r="H956" s="47" t="str">
        <f>IF(B956="","",IF(G956&gt;0,"OUTSTANDING",IF(G956=0,"SETTLED",IF(SUMIF(Transactions!$F$8:$F$3006,B956,Transactions!$Q$8:$Q$3006)&gt;SUMIF(Transactions!$F$8:$F$3006,B956,Transactions!$R$8:$R$3006),"OWES","OVERPAID"))))</f>
        <v/>
      </c>
      <c r="I956" s="1"/>
    </row>
    <row r="957" spans="1:9" ht="18" customHeight="1" x14ac:dyDescent="0.25">
      <c r="A957" s="48">
        <v>942</v>
      </c>
      <c r="B957" s="49" t="str">
        <f t="array" ref="B957">IFERROR(IF(INDEX(Transactions!$F$8:$F$3006,MATCH(0,COUNTIF($B$11:B956,Transactions!$F$8:$F$3006),0))="","",INDEX(Transactions!$F$8:$F$3006,MATCH(0,COUNTIF($B$11:B956,Transactions!$F$8:$F$3006),0))),"")</f>
        <v/>
      </c>
      <c r="C957" s="50" t="str">
        <f>IF(B957="","",SUMIF(Transactions!$F$8:$F$3006,B957,Transactions!$H$8:$H$3006))</f>
        <v/>
      </c>
      <c r="D957" s="51" t="str">
        <f>IF(B957="","",SUMIF(Transactions!$F$8:$F$3006,B957,Transactions!$N$8:$N$3006))</f>
        <v/>
      </c>
      <c r="E957" s="52" t="str">
        <f>IF(B957="","",SUMIF(Transactions!$F$8:$F$3006,B957,Transactions!$O$8:$O$3006))</f>
        <v/>
      </c>
      <c r="F957" s="53" t="str">
        <f>IF(B957="","",SUMIF(Transactions!$F$8:$F$3006,B957,Transactions!$R$8:$R$3006))</f>
        <v/>
      </c>
      <c r="G957" s="54" t="str">
        <f>IF(B957="","",(C957+F957)-(D957+E957+SUMIF(Transactions!$F$8:$F$3006,B957,Transactions!$Q$8:$Q$3006)))</f>
        <v/>
      </c>
      <c r="H957" s="55" t="str">
        <f>IF(B957="","",IF(G957&gt;0,"OUTSTANDING",IF(G957=0,"SETTLED",IF(SUMIF(Transactions!$F$8:$F$3006,B957,Transactions!$Q$8:$Q$3006)&gt;SUMIF(Transactions!$F$8:$F$3006,B957,Transactions!$R$8:$R$3006),"OWES","OVERPAID"))))</f>
        <v/>
      </c>
      <c r="I957" s="1"/>
    </row>
    <row r="958" spans="1:9" ht="18" customHeight="1" x14ac:dyDescent="0.25">
      <c r="A958" s="40">
        <v>943</v>
      </c>
      <c r="B958" s="41" t="str">
        <f t="array" ref="B958">IFERROR(IF(INDEX(Transactions!$F$8:$F$3006,MATCH(0,COUNTIF($B$11:B957,Transactions!$F$8:$F$3006),0))="","",INDEX(Transactions!$F$8:$F$3006,MATCH(0,COUNTIF($B$11:B957,Transactions!$F$8:$F$3006),0))),"")</f>
        <v/>
      </c>
      <c r="C958" s="42" t="str">
        <f>IF(B958="","",SUMIF(Transactions!$F$8:$F$3006,B958,Transactions!$H$8:$H$3006))</f>
        <v/>
      </c>
      <c r="D958" s="43" t="str">
        <f>IF(B958="","",SUMIF(Transactions!$F$8:$F$3006,B958,Transactions!$N$8:$N$3006))</f>
        <v/>
      </c>
      <c r="E958" s="44" t="str">
        <f>IF(B958="","",SUMIF(Transactions!$F$8:$F$3006,B958,Transactions!$O$8:$O$3006))</f>
        <v/>
      </c>
      <c r="F958" s="45" t="str">
        <f>IF(B958="","",SUMIF(Transactions!$F$8:$F$3006,B958,Transactions!$R$8:$R$3006))</f>
        <v/>
      </c>
      <c r="G958" s="46" t="str">
        <f>IF(B958="","",(C958+F958)-(D958+E958+SUMIF(Transactions!$F$8:$F$3006,B958,Transactions!$Q$8:$Q$3006)))</f>
        <v/>
      </c>
      <c r="H958" s="47" t="str">
        <f>IF(B958="","",IF(G958&gt;0,"OUTSTANDING",IF(G958=0,"SETTLED",IF(SUMIF(Transactions!$F$8:$F$3006,B958,Transactions!$Q$8:$Q$3006)&gt;SUMIF(Transactions!$F$8:$F$3006,B958,Transactions!$R$8:$R$3006),"OWES","OVERPAID"))))</f>
        <v/>
      </c>
      <c r="I958" s="1"/>
    </row>
    <row r="959" spans="1:9" ht="18" customHeight="1" x14ac:dyDescent="0.25">
      <c r="A959" s="48">
        <v>944</v>
      </c>
      <c r="B959" s="49" t="str">
        <f t="array" ref="B959">IFERROR(IF(INDEX(Transactions!$F$8:$F$3006,MATCH(0,COUNTIF($B$11:B958,Transactions!$F$8:$F$3006),0))="","",INDEX(Transactions!$F$8:$F$3006,MATCH(0,COUNTIF($B$11:B958,Transactions!$F$8:$F$3006),0))),"")</f>
        <v/>
      </c>
      <c r="C959" s="50" t="str">
        <f>IF(B959="","",SUMIF(Transactions!$F$8:$F$3006,B959,Transactions!$H$8:$H$3006))</f>
        <v/>
      </c>
      <c r="D959" s="51" t="str">
        <f>IF(B959="","",SUMIF(Transactions!$F$8:$F$3006,B959,Transactions!$N$8:$N$3006))</f>
        <v/>
      </c>
      <c r="E959" s="52" t="str">
        <f>IF(B959="","",SUMIF(Transactions!$F$8:$F$3006,B959,Transactions!$O$8:$O$3006))</f>
        <v/>
      </c>
      <c r="F959" s="53" t="str">
        <f>IF(B959="","",SUMIF(Transactions!$F$8:$F$3006,B959,Transactions!$R$8:$R$3006))</f>
        <v/>
      </c>
      <c r="G959" s="54" t="str">
        <f>IF(B959="","",(C959+F959)-(D959+E959+SUMIF(Transactions!$F$8:$F$3006,B959,Transactions!$Q$8:$Q$3006)))</f>
        <v/>
      </c>
      <c r="H959" s="55" t="str">
        <f>IF(B959="","",IF(G959&gt;0,"OUTSTANDING",IF(G959=0,"SETTLED",IF(SUMIF(Transactions!$F$8:$F$3006,B959,Transactions!$Q$8:$Q$3006)&gt;SUMIF(Transactions!$F$8:$F$3006,B959,Transactions!$R$8:$R$3006),"OWES","OVERPAID"))))</f>
        <v/>
      </c>
      <c r="I959" s="1"/>
    </row>
    <row r="960" spans="1:9" ht="18" customHeight="1" x14ac:dyDescent="0.25">
      <c r="A960" s="40">
        <v>945</v>
      </c>
      <c r="B960" s="41" t="str">
        <f t="array" ref="B960">IFERROR(IF(INDEX(Transactions!$F$8:$F$3006,MATCH(0,COUNTIF($B$11:B959,Transactions!$F$8:$F$3006),0))="","",INDEX(Transactions!$F$8:$F$3006,MATCH(0,COUNTIF($B$11:B959,Transactions!$F$8:$F$3006),0))),"")</f>
        <v/>
      </c>
      <c r="C960" s="42" t="str">
        <f>IF(B960="","",SUMIF(Transactions!$F$8:$F$3006,B960,Transactions!$H$8:$H$3006))</f>
        <v/>
      </c>
      <c r="D960" s="43" t="str">
        <f>IF(B960="","",SUMIF(Transactions!$F$8:$F$3006,B960,Transactions!$N$8:$N$3006))</f>
        <v/>
      </c>
      <c r="E960" s="44" t="str">
        <f>IF(B960="","",SUMIF(Transactions!$F$8:$F$3006,B960,Transactions!$O$8:$O$3006))</f>
        <v/>
      </c>
      <c r="F960" s="45" t="str">
        <f>IF(B960="","",SUMIF(Transactions!$F$8:$F$3006,B960,Transactions!$R$8:$R$3006))</f>
        <v/>
      </c>
      <c r="G960" s="46" t="str">
        <f>IF(B960="","",(C960+F960)-(D960+E960+SUMIF(Transactions!$F$8:$F$3006,B960,Transactions!$Q$8:$Q$3006)))</f>
        <v/>
      </c>
      <c r="H960" s="47" t="str">
        <f>IF(B960="","",IF(G960&gt;0,"OUTSTANDING",IF(G960=0,"SETTLED",IF(SUMIF(Transactions!$F$8:$F$3006,B960,Transactions!$Q$8:$Q$3006)&gt;SUMIF(Transactions!$F$8:$F$3006,B960,Transactions!$R$8:$R$3006),"OWES","OVERPAID"))))</f>
        <v/>
      </c>
      <c r="I960" s="1"/>
    </row>
    <row r="961" spans="1:9" ht="18" customHeight="1" x14ac:dyDescent="0.25">
      <c r="A961" s="48">
        <v>946</v>
      </c>
      <c r="B961" s="49" t="str">
        <f t="array" ref="B961">IFERROR(IF(INDEX(Transactions!$F$8:$F$3006,MATCH(0,COUNTIF($B$11:B960,Transactions!$F$8:$F$3006),0))="","",INDEX(Transactions!$F$8:$F$3006,MATCH(0,COUNTIF($B$11:B960,Transactions!$F$8:$F$3006),0))),"")</f>
        <v/>
      </c>
      <c r="C961" s="50" t="str">
        <f>IF(B961="","",SUMIF(Transactions!$F$8:$F$3006,B961,Transactions!$H$8:$H$3006))</f>
        <v/>
      </c>
      <c r="D961" s="51" t="str">
        <f>IF(B961="","",SUMIF(Transactions!$F$8:$F$3006,B961,Transactions!$N$8:$N$3006))</f>
        <v/>
      </c>
      <c r="E961" s="52" t="str">
        <f>IF(B961="","",SUMIF(Transactions!$F$8:$F$3006,B961,Transactions!$O$8:$O$3006))</f>
        <v/>
      </c>
      <c r="F961" s="53" t="str">
        <f>IF(B961="","",SUMIF(Transactions!$F$8:$F$3006,B961,Transactions!$R$8:$R$3006))</f>
        <v/>
      </c>
      <c r="G961" s="54" t="str">
        <f>IF(B961="","",(C961+F961)-(D961+E961+SUMIF(Transactions!$F$8:$F$3006,B961,Transactions!$Q$8:$Q$3006)))</f>
        <v/>
      </c>
      <c r="H961" s="55" t="str">
        <f>IF(B961="","",IF(G961&gt;0,"OUTSTANDING",IF(G961=0,"SETTLED",IF(SUMIF(Transactions!$F$8:$F$3006,B961,Transactions!$Q$8:$Q$3006)&gt;SUMIF(Transactions!$F$8:$F$3006,B961,Transactions!$R$8:$R$3006),"OWES","OVERPAID"))))</f>
        <v/>
      </c>
      <c r="I961" s="1"/>
    </row>
    <row r="962" spans="1:9" ht="18" customHeight="1" x14ac:dyDescent="0.25">
      <c r="A962" s="40">
        <v>947</v>
      </c>
      <c r="B962" s="41" t="str">
        <f t="array" ref="B962">IFERROR(IF(INDEX(Transactions!$F$8:$F$3006,MATCH(0,COUNTIF($B$11:B961,Transactions!$F$8:$F$3006),0))="","",INDEX(Transactions!$F$8:$F$3006,MATCH(0,COUNTIF($B$11:B961,Transactions!$F$8:$F$3006),0))),"")</f>
        <v/>
      </c>
      <c r="C962" s="42" t="str">
        <f>IF(B962="","",SUMIF(Transactions!$F$8:$F$3006,B962,Transactions!$H$8:$H$3006))</f>
        <v/>
      </c>
      <c r="D962" s="43" t="str">
        <f>IF(B962="","",SUMIF(Transactions!$F$8:$F$3006,B962,Transactions!$N$8:$N$3006))</f>
        <v/>
      </c>
      <c r="E962" s="44" t="str">
        <f>IF(B962="","",SUMIF(Transactions!$F$8:$F$3006,B962,Transactions!$O$8:$O$3006))</f>
        <v/>
      </c>
      <c r="F962" s="45" t="str">
        <f>IF(B962="","",SUMIF(Transactions!$F$8:$F$3006,B962,Transactions!$R$8:$R$3006))</f>
        <v/>
      </c>
      <c r="G962" s="46" t="str">
        <f>IF(B962="","",(C962+F962)-(D962+E962+SUMIF(Transactions!$F$8:$F$3006,B962,Transactions!$Q$8:$Q$3006)))</f>
        <v/>
      </c>
      <c r="H962" s="47" t="str">
        <f>IF(B962="","",IF(G962&gt;0,"OUTSTANDING",IF(G962=0,"SETTLED",IF(SUMIF(Transactions!$F$8:$F$3006,B962,Transactions!$Q$8:$Q$3006)&gt;SUMIF(Transactions!$F$8:$F$3006,B962,Transactions!$R$8:$R$3006),"OWES","OVERPAID"))))</f>
        <v/>
      </c>
      <c r="I962" s="1"/>
    </row>
    <row r="963" spans="1:9" ht="18" customHeight="1" x14ac:dyDescent="0.25">
      <c r="A963" s="48">
        <v>948</v>
      </c>
      <c r="B963" s="49" t="str">
        <f t="array" ref="B963">IFERROR(IF(INDEX(Transactions!$F$8:$F$3006,MATCH(0,COUNTIF($B$11:B962,Transactions!$F$8:$F$3006),0))="","",INDEX(Transactions!$F$8:$F$3006,MATCH(0,COUNTIF($B$11:B962,Transactions!$F$8:$F$3006),0))),"")</f>
        <v/>
      </c>
      <c r="C963" s="50" t="str">
        <f>IF(B963="","",SUMIF(Transactions!$F$8:$F$3006,B963,Transactions!$H$8:$H$3006))</f>
        <v/>
      </c>
      <c r="D963" s="51" t="str">
        <f>IF(B963="","",SUMIF(Transactions!$F$8:$F$3006,B963,Transactions!$N$8:$N$3006))</f>
        <v/>
      </c>
      <c r="E963" s="52" t="str">
        <f>IF(B963="","",SUMIF(Transactions!$F$8:$F$3006,B963,Transactions!$O$8:$O$3006))</f>
        <v/>
      </c>
      <c r="F963" s="53" t="str">
        <f>IF(B963="","",SUMIF(Transactions!$F$8:$F$3006,B963,Transactions!$R$8:$R$3006))</f>
        <v/>
      </c>
      <c r="G963" s="54" t="str">
        <f>IF(B963="","",(C963+F963)-(D963+E963+SUMIF(Transactions!$F$8:$F$3006,B963,Transactions!$Q$8:$Q$3006)))</f>
        <v/>
      </c>
      <c r="H963" s="55" t="str">
        <f>IF(B963="","",IF(G963&gt;0,"OUTSTANDING",IF(G963=0,"SETTLED",IF(SUMIF(Transactions!$F$8:$F$3006,B963,Transactions!$Q$8:$Q$3006)&gt;SUMIF(Transactions!$F$8:$F$3006,B963,Transactions!$R$8:$R$3006),"OWES","OVERPAID"))))</f>
        <v/>
      </c>
      <c r="I963" s="1"/>
    </row>
    <row r="964" spans="1:9" ht="18" customHeight="1" x14ac:dyDescent="0.25">
      <c r="A964" s="40">
        <v>949</v>
      </c>
      <c r="B964" s="41" t="str">
        <f t="array" ref="B964">IFERROR(IF(INDEX(Transactions!$F$8:$F$3006,MATCH(0,COUNTIF($B$11:B963,Transactions!$F$8:$F$3006),0))="","",INDEX(Transactions!$F$8:$F$3006,MATCH(0,COUNTIF($B$11:B963,Transactions!$F$8:$F$3006),0))),"")</f>
        <v/>
      </c>
      <c r="C964" s="42" t="str">
        <f>IF(B964="","",SUMIF(Transactions!$F$8:$F$3006,B964,Transactions!$H$8:$H$3006))</f>
        <v/>
      </c>
      <c r="D964" s="43" t="str">
        <f>IF(B964="","",SUMIF(Transactions!$F$8:$F$3006,B964,Transactions!$N$8:$N$3006))</f>
        <v/>
      </c>
      <c r="E964" s="44" t="str">
        <f>IF(B964="","",SUMIF(Transactions!$F$8:$F$3006,B964,Transactions!$O$8:$O$3006))</f>
        <v/>
      </c>
      <c r="F964" s="45" t="str">
        <f>IF(B964="","",SUMIF(Transactions!$F$8:$F$3006,B964,Transactions!$R$8:$R$3006))</f>
        <v/>
      </c>
      <c r="G964" s="46" t="str">
        <f>IF(B964="","",(C964+F964)-(D964+E964+SUMIF(Transactions!$F$8:$F$3006,B964,Transactions!$Q$8:$Q$3006)))</f>
        <v/>
      </c>
      <c r="H964" s="47" t="str">
        <f>IF(B964="","",IF(G964&gt;0,"OUTSTANDING",IF(G964=0,"SETTLED",IF(SUMIF(Transactions!$F$8:$F$3006,B964,Transactions!$Q$8:$Q$3006)&gt;SUMIF(Transactions!$F$8:$F$3006,B964,Transactions!$R$8:$R$3006),"OWES","OVERPAID"))))</f>
        <v/>
      </c>
      <c r="I964" s="1"/>
    </row>
    <row r="965" spans="1:9" ht="18" customHeight="1" x14ac:dyDescent="0.25">
      <c r="A965" s="48">
        <v>950</v>
      </c>
      <c r="B965" s="49" t="str">
        <f t="array" ref="B965">IFERROR(IF(INDEX(Transactions!$F$8:$F$3006,MATCH(0,COUNTIF($B$11:B964,Transactions!$F$8:$F$3006),0))="","",INDEX(Transactions!$F$8:$F$3006,MATCH(0,COUNTIF($B$11:B964,Transactions!$F$8:$F$3006),0))),"")</f>
        <v/>
      </c>
      <c r="C965" s="50" t="str">
        <f>IF(B965="","",SUMIF(Transactions!$F$8:$F$3006,B965,Transactions!$H$8:$H$3006))</f>
        <v/>
      </c>
      <c r="D965" s="51" t="str">
        <f>IF(B965="","",SUMIF(Transactions!$F$8:$F$3006,B965,Transactions!$N$8:$N$3006))</f>
        <v/>
      </c>
      <c r="E965" s="52" t="str">
        <f>IF(B965="","",SUMIF(Transactions!$F$8:$F$3006,B965,Transactions!$O$8:$O$3006))</f>
        <v/>
      </c>
      <c r="F965" s="53" t="str">
        <f>IF(B965="","",SUMIF(Transactions!$F$8:$F$3006,B965,Transactions!$R$8:$R$3006))</f>
        <v/>
      </c>
      <c r="G965" s="54" t="str">
        <f>IF(B965="","",(C965+F965)-(D965+E965+SUMIF(Transactions!$F$8:$F$3006,B965,Transactions!$Q$8:$Q$3006)))</f>
        <v/>
      </c>
      <c r="H965" s="55" t="str">
        <f>IF(B965="","",IF(G965&gt;0,"OUTSTANDING",IF(G965=0,"SETTLED",IF(SUMIF(Transactions!$F$8:$F$3006,B965,Transactions!$Q$8:$Q$3006)&gt;SUMIF(Transactions!$F$8:$F$3006,B965,Transactions!$R$8:$R$3006),"OWES","OVERPAID"))))</f>
        <v/>
      </c>
      <c r="I965" s="1"/>
    </row>
    <row r="966" spans="1:9" ht="18" customHeight="1" x14ac:dyDescent="0.25">
      <c r="A966" s="40">
        <v>951</v>
      </c>
      <c r="B966" s="41" t="str">
        <f t="array" ref="B966">IFERROR(IF(INDEX(Transactions!$F$8:$F$3006,MATCH(0,COUNTIF($B$11:B965,Transactions!$F$8:$F$3006),0))="","",INDEX(Transactions!$F$8:$F$3006,MATCH(0,COUNTIF($B$11:B965,Transactions!$F$8:$F$3006),0))),"")</f>
        <v/>
      </c>
      <c r="C966" s="42" t="str">
        <f>IF(B966="","",SUMIF(Transactions!$F$8:$F$3006,B966,Transactions!$H$8:$H$3006))</f>
        <v/>
      </c>
      <c r="D966" s="43" t="str">
        <f>IF(B966="","",SUMIF(Transactions!$F$8:$F$3006,B966,Transactions!$N$8:$N$3006))</f>
        <v/>
      </c>
      <c r="E966" s="44" t="str">
        <f>IF(B966="","",SUMIF(Transactions!$F$8:$F$3006,B966,Transactions!$O$8:$O$3006))</f>
        <v/>
      </c>
      <c r="F966" s="45" t="str">
        <f>IF(B966="","",SUMIF(Transactions!$F$8:$F$3006,B966,Transactions!$R$8:$R$3006))</f>
        <v/>
      </c>
      <c r="G966" s="46" t="str">
        <f>IF(B966="","",(C966+F966)-(D966+E966+SUMIF(Transactions!$F$8:$F$3006,B966,Transactions!$Q$8:$Q$3006)))</f>
        <v/>
      </c>
      <c r="H966" s="47" t="str">
        <f>IF(B966="","",IF(G966&gt;0,"OUTSTANDING",IF(G966=0,"SETTLED",IF(SUMIF(Transactions!$F$8:$F$3006,B966,Transactions!$Q$8:$Q$3006)&gt;SUMIF(Transactions!$F$8:$F$3006,B966,Transactions!$R$8:$R$3006),"OWES","OVERPAID"))))</f>
        <v/>
      </c>
      <c r="I966" s="1"/>
    </row>
    <row r="967" spans="1:9" ht="18" customHeight="1" x14ac:dyDescent="0.25">
      <c r="A967" s="48">
        <v>952</v>
      </c>
      <c r="B967" s="49" t="str">
        <f t="array" ref="B967">IFERROR(IF(INDEX(Transactions!$F$8:$F$3006,MATCH(0,COUNTIF($B$11:B966,Transactions!$F$8:$F$3006),0))="","",INDEX(Transactions!$F$8:$F$3006,MATCH(0,COUNTIF($B$11:B966,Transactions!$F$8:$F$3006),0))),"")</f>
        <v/>
      </c>
      <c r="C967" s="50" t="str">
        <f>IF(B967="","",SUMIF(Transactions!$F$8:$F$3006,B967,Transactions!$H$8:$H$3006))</f>
        <v/>
      </c>
      <c r="D967" s="51" t="str">
        <f>IF(B967="","",SUMIF(Transactions!$F$8:$F$3006,B967,Transactions!$N$8:$N$3006))</f>
        <v/>
      </c>
      <c r="E967" s="52" t="str">
        <f>IF(B967="","",SUMIF(Transactions!$F$8:$F$3006,B967,Transactions!$O$8:$O$3006))</f>
        <v/>
      </c>
      <c r="F967" s="53" t="str">
        <f>IF(B967="","",SUMIF(Transactions!$F$8:$F$3006,B967,Transactions!$R$8:$R$3006))</f>
        <v/>
      </c>
      <c r="G967" s="54" t="str">
        <f>IF(B967="","",(C967+F967)-(D967+E967+SUMIF(Transactions!$F$8:$F$3006,B967,Transactions!$Q$8:$Q$3006)))</f>
        <v/>
      </c>
      <c r="H967" s="55" t="str">
        <f>IF(B967="","",IF(G967&gt;0,"OUTSTANDING",IF(G967=0,"SETTLED",IF(SUMIF(Transactions!$F$8:$F$3006,B967,Transactions!$Q$8:$Q$3006)&gt;SUMIF(Transactions!$F$8:$F$3006,B967,Transactions!$R$8:$R$3006),"OWES","OVERPAID"))))</f>
        <v/>
      </c>
      <c r="I967" s="1"/>
    </row>
    <row r="968" spans="1:9" ht="18" customHeight="1" x14ac:dyDescent="0.25">
      <c r="A968" s="40">
        <v>953</v>
      </c>
      <c r="B968" s="41" t="str">
        <f t="array" ref="B968">IFERROR(IF(INDEX(Transactions!$F$8:$F$3006,MATCH(0,COUNTIF($B$11:B967,Transactions!$F$8:$F$3006),0))="","",INDEX(Transactions!$F$8:$F$3006,MATCH(0,COUNTIF($B$11:B967,Transactions!$F$8:$F$3006),0))),"")</f>
        <v/>
      </c>
      <c r="C968" s="42" t="str">
        <f>IF(B968="","",SUMIF(Transactions!$F$8:$F$3006,B968,Transactions!$H$8:$H$3006))</f>
        <v/>
      </c>
      <c r="D968" s="43" t="str">
        <f>IF(B968="","",SUMIF(Transactions!$F$8:$F$3006,B968,Transactions!$N$8:$N$3006))</f>
        <v/>
      </c>
      <c r="E968" s="44" t="str">
        <f>IF(B968="","",SUMIF(Transactions!$F$8:$F$3006,B968,Transactions!$O$8:$O$3006))</f>
        <v/>
      </c>
      <c r="F968" s="45" t="str">
        <f>IF(B968="","",SUMIF(Transactions!$F$8:$F$3006,B968,Transactions!$R$8:$R$3006))</f>
        <v/>
      </c>
      <c r="G968" s="46" t="str">
        <f>IF(B968="","",(C968+F968)-(D968+E968+SUMIF(Transactions!$F$8:$F$3006,B968,Transactions!$Q$8:$Q$3006)))</f>
        <v/>
      </c>
      <c r="H968" s="47" t="str">
        <f>IF(B968="","",IF(G968&gt;0,"OUTSTANDING",IF(G968=0,"SETTLED",IF(SUMIF(Transactions!$F$8:$F$3006,B968,Transactions!$Q$8:$Q$3006)&gt;SUMIF(Transactions!$F$8:$F$3006,B968,Transactions!$R$8:$R$3006),"OWES","OVERPAID"))))</f>
        <v/>
      </c>
      <c r="I968" s="1"/>
    </row>
    <row r="969" spans="1:9" ht="18" customHeight="1" x14ac:dyDescent="0.25">
      <c r="A969" s="48">
        <v>954</v>
      </c>
      <c r="B969" s="49" t="str">
        <f t="array" ref="B969">IFERROR(IF(INDEX(Transactions!$F$8:$F$3006,MATCH(0,COUNTIF($B$11:B968,Transactions!$F$8:$F$3006),0))="","",INDEX(Transactions!$F$8:$F$3006,MATCH(0,COUNTIF($B$11:B968,Transactions!$F$8:$F$3006),0))),"")</f>
        <v/>
      </c>
      <c r="C969" s="50" t="str">
        <f>IF(B969="","",SUMIF(Transactions!$F$8:$F$3006,B969,Transactions!$H$8:$H$3006))</f>
        <v/>
      </c>
      <c r="D969" s="51" t="str">
        <f>IF(B969="","",SUMIF(Transactions!$F$8:$F$3006,B969,Transactions!$N$8:$N$3006))</f>
        <v/>
      </c>
      <c r="E969" s="52" t="str">
        <f>IF(B969="","",SUMIF(Transactions!$F$8:$F$3006,B969,Transactions!$O$8:$O$3006))</f>
        <v/>
      </c>
      <c r="F969" s="53" t="str">
        <f>IF(B969="","",SUMIF(Transactions!$F$8:$F$3006,B969,Transactions!$R$8:$R$3006))</f>
        <v/>
      </c>
      <c r="G969" s="54" t="str">
        <f>IF(B969="","",(C969+F969)-(D969+E969+SUMIF(Transactions!$F$8:$F$3006,B969,Transactions!$Q$8:$Q$3006)))</f>
        <v/>
      </c>
      <c r="H969" s="55" t="str">
        <f>IF(B969="","",IF(G969&gt;0,"OUTSTANDING",IF(G969=0,"SETTLED",IF(SUMIF(Transactions!$F$8:$F$3006,B969,Transactions!$Q$8:$Q$3006)&gt;SUMIF(Transactions!$F$8:$F$3006,B969,Transactions!$R$8:$R$3006),"OWES","OVERPAID"))))</f>
        <v/>
      </c>
      <c r="I969" s="1"/>
    </row>
    <row r="970" spans="1:9" ht="18" customHeight="1" x14ac:dyDescent="0.25">
      <c r="A970" s="40">
        <v>955</v>
      </c>
      <c r="B970" s="41" t="str">
        <f t="array" ref="B970">IFERROR(IF(INDEX(Transactions!$F$8:$F$3006,MATCH(0,COUNTIF($B$11:B969,Transactions!$F$8:$F$3006),0))="","",INDEX(Transactions!$F$8:$F$3006,MATCH(0,COUNTIF($B$11:B969,Transactions!$F$8:$F$3006),0))),"")</f>
        <v/>
      </c>
      <c r="C970" s="42" t="str">
        <f>IF(B970="","",SUMIF(Transactions!$F$8:$F$3006,B970,Transactions!$H$8:$H$3006))</f>
        <v/>
      </c>
      <c r="D970" s="43" t="str">
        <f>IF(B970="","",SUMIF(Transactions!$F$8:$F$3006,B970,Transactions!$N$8:$N$3006))</f>
        <v/>
      </c>
      <c r="E970" s="44" t="str">
        <f>IF(B970="","",SUMIF(Transactions!$F$8:$F$3006,B970,Transactions!$O$8:$O$3006))</f>
        <v/>
      </c>
      <c r="F970" s="45" t="str">
        <f>IF(B970="","",SUMIF(Transactions!$F$8:$F$3006,B970,Transactions!$R$8:$R$3006))</f>
        <v/>
      </c>
      <c r="G970" s="46" t="str">
        <f>IF(B970="","",(C970+F970)-(D970+E970+SUMIF(Transactions!$F$8:$F$3006,B970,Transactions!$Q$8:$Q$3006)))</f>
        <v/>
      </c>
      <c r="H970" s="47" t="str">
        <f>IF(B970="","",IF(G970&gt;0,"OUTSTANDING",IF(G970=0,"SETTLED",IF(SUMIF(Transactions!$F$8:$F$3006,B970,Transactions!$Q$8:$Q$3006)&gt;SUMIF(Transactions!$F$8:$F$3006,B970,Transactions!$R$8:$R$3006),"OWES","OVERPAID"))))</f>
        <v/>
      </c>
      <c r="I970" s="1"/>
    </row>
    <row r="971" spans="1:9" ht="18" customHeight="1" x14ac:dyDescent="0.25">
      <c r="A971" s="48">
        <v>956</v>
      </c>
      <c r="B971" s="49" t="str">
        <f t="array" ref="B971">IFERROR(IF(INDEX(Transactions!$F$8:$F$3006,MATCH(0,COUNTIF($B$11:B970,Transactions!$F$8:$F$3006),0))="","",INDEX(Transactions!$F$8:$F$3006,MATCH(0,COUNTIF($B$11:B970,Transactions!$F$8:$F$3006),0))),"")</f>
        <v/>
      </c>
      <c r="C971" s="50" t="str">
        <f>IF(B971="","",SUMIF(Transactions!$F$8:$F$3006,B971,Transactions!$H$8:$H$3006))</f>
        <v/>
      </c>
      <c r="D971" s="51" t="str">
        <f>IF(B971="","",SUMIF(Transactions!$F$8:$F$3006,B971,Transactions!$N$8:$N$3006))</f>
        <v/>
      </c>
      <c r="E971" s="52" t="str">
        <f>IF(B971="","",SUMIF(Transactions!$F$8:$F$3006,B971,Transactions!$O$8:$O$3006))</f>
        <v/>
      </c>
      <c r="F971" s="53" t="str">
        <f>IF(B971="","",SUMIF(Transactions!$F$8:$F$3006,B971,Transactions!$R$8:$R$3006))</f>
        <v/>
      </c>
      <c r="G971" s="54" t="str">
        <f>IF(B971="","",(C971+F971)-(D971+E971+SUMIF(Transactions!$F$8:$F$3006,B971,Transactions!$Q$8:$Q$3006)))</f>
        <v/>
      </c>
      <c r="H971" s="55" t="str">
        <f>IF(B971="","",IF(G971&gt;0,"OUTSTANDING",IF(G971=0,"SETTLED",IF(SUMIF(Transactions!$F$8:$F$3006,B971,Transactions!$Q$8:$Q$3006)&gt;SUMIF(Transactions!$F$8:$F$3006,B971,Transactions!$R$8:$R$3006),"OWES","OVERPAID"))))</f>
        <v/>
      </c>
      <c r="I971" s="1"/>
    </row>
    <row r="972" spans="1:9" ht="18" customHeight="1" x14ac:dyDescent="0.25">
      <c r="A972" s="40">
        <v>957</v>
      </c>
      <c r="B972" s="41" t="str">
        <f t="array" ref="B972">IFERROR(IF(INDEX(Transactions!$F$8:$F$3006,MATCH(0,COUNTIF($B$11:B971,Transactions!$F$8:$F$3006),0))="","",INDEX(Transactions!$F$8:$F$3006,MATCH(0,COUNTIF($B$11:B971,Transactions!$F$8:$F$3006),0))),"")</f>
        <v/>
      </c>
      <c r="C972" s="42" t="str">
        <f>IF(B972="","",SUMIF(Transactions!$F$8:$F$3006,B972,Transactions!$H$8:$H$3006))</f>
        <v/>
      </c>
      <c r="D972" s="43" t="str">
        <f>IF(B972="","",SUMIF(Transactions!$F$8:$F$3006,B972,Transactions!$N$8:$N$3006))</f>
        <v/>
      </c>
      <c r="E972" s="44" t="str">
        <f>IF(B972="","",SUMIF(Transactions!$F$8:$F$3006,B972,Transactions!$O$8:$O$3006))</f>
        <v/>
      </c>
      <c r="F972" s="45" t="str">
        <f>IF(B972="","",SUMIF(Transactions!$F$8:$F$3006,B972,Transactions!$R$8:$R$3006))</f>
        <v/>
      </c>
      <c r="G972" s="46" t="str">
        <f>IF(B972="","",(C972+F972)-(D972+E972+SUMIF(Transactions!$F$8:$F$3006,B972,Transactions!$Q$8:$Q$3006)))</f>
        <v/>
      </c>
      <c r="H972" s="47" t="str">
        <f>IF(B972="","",IF(G972&gt;0,"OUTSTANDING",IF(G972=0,"SETTLED",IF(SUMIF(Transactions!$F$8:$F$3006,B972,Transactions!$Q$8:$Q$3006)&gt;SUMIF(Transactions!$F$8:$F$3006,B972,Transactions!$R$8:$R$3006),"OWES","OVERPAID"))))</f>
        <v/>
      </c>
      <c r="I972" s="1"/>
    </row>
    <row r="973" spans="1:9" ht="18" customHeight="1" x14ac:dyDescent="0.25">
      <c r="A973" s="48">
        <v>958</v>
      </c>
      <c r="B973" s="49" t="str">
        <f t="array" ref="B973">IFERROR(IF(INDEX(Transactions!$F$8:$F$3006,MATCH(0,COUNTIF($B$11:B972,Transactions!$F$8:$F$3006),0))="","",INDEX(Transactions!$F$8:$F$3006,MATCH(0,COUNTIF($B$11:B972,Transactions!$F$8:$F$3006),0))),"")</f>
        <v/>
      </c>
      <c r="C973" s="50" t="str">
        <f>IF(B973="","",SUMIF(Transactions!$F$8:$F$3006,B973,Transactions!$H$8:$H$3006))</f>
        <v/>
      </c>
      <c r="D973" s="51" t="str">
        <f>IF(B973="","",SUMIF(Transactions!$F$8:$F$3006,B973,Transactions!$N$8:$N$3006))</f>
        <v/>
      </c>
      <c r="E973" s="52" t="str">
        <f>IF(B973="","",SUMIF(Transactions!$F$8:$F$3006,B973,Transactions!$O$8:$O$3006))</f>
        <v/>
      </c>
      <c r="F973" s="53" t="str">
        <f>IF(B973="","",SUMIF(Transactions!$F$8:$F$3006,B973,Transactions!$R$8:$R$3006))</f>
        <v/>
      </c>
      <c r="G973" s="54" t="str">
        <f>IF(B973="","",(C973+F973)-(D973+E973+SUMIF(Transactions!$F$8:$F$3006,B973,Transactions!$Q$8:$Q$3006)))</f>
        <v/>
      </c>
      <c r="H973" s="55" t="str">
        <f>IF(B973="","",IF(G973&gt;0,"OUTSTANDING",IF(G973=0,"SETTLED",IF(SUMIF(Transactions!$F$8:$F$3006,B973,Transactions!$Q$8:$Q$3006)&gt;SUMIF(Transactions!$F$8:$F$3006,B973,Transactions!$R$8:$R$3006),"OWES","OVERPAID"))))</f>
        <v/>
      </c>
      <c r="I973" s="1"/>
    </row>
    <row r="974" spans="1:9" ht="18" customHeight="1" x14ac:dyDescent="0.25">
      <c r="A974" s="40">
        <v>959</v>
      </c>
      <c r="B974" s="41" t="str">
        <f t="array" ref="B974">IFERROR(IF(INDEX(Transactions!$F$8:$F$3006,MATCH(0,COUNTIF($B$11:B973,Transactions!$F$8:$F$3006),0))="","",INDEX(Transactions!$F$8:$F$3006,MATCH(0,COUNTIF($B$11:B973,Transactions!$F$8:$F$3006),0))),"")</f>
        <v/>
      </c>
      <c r="C974" s="42" t="str">
        <f>IF(B974="","",SUMIF(Transactions!$F$8:$F$3006,B974,Transactions!$H$8:$H$3006))</f>
        <v/>
      </c>
      <c r="D974" s="43" t="str">
        <f>IF(B974="","",SUMIF(Transactions!$F$8:$F$3006,B974,Transactions!$N$8:$N$3006))</f>
        <v/>
      </c>
      <c r="E974" s="44" t="str">
        <f>IF(B974="","",SUMIF(Transactions!$F$8:$F$3006,B974,Transactions!$O$8:$O$3006))</f>
        <v/>
      </c>
      <c r="F974" s="45" t="str">
        <f>IF(B974="","",SUMIF(Transactions!$F$8:$F$3006,B974,Transactions!$R$8:$R$3006))</f>
        <v/>
      </c>
      <c r="G974" s="46" t="str">
        <f>IF(B974="","",(C974+F974)-(D974+E974+SUMIF(Transactions!$F$8:$F$3006,B974,Transactions!$Q$8:$Q$3006)))</f>
        <v/>
      </c>
      <c r="H974" s="47" t="str">
        <f>IF(B974="","",IF(G974&gt;0,"OUTSTANDING",IF(G974=0,"SETTLED",IF(SUMIF(Transactions!$F$8:$F$3006,B974,Transactions!$Q$8:$Q$3006)&gt;SUMIF(Transactions!$F$8:$F$3006,B974,Transactions!$R$8:$R$3006),"OWES","OVERPAID"))))</f>
        <v/>
      </c>
      <c r="I974" s="1"/>
    </row>
    <row r="975" spans="1:9" ht="18" customHeight="1" x14ac:dyDescent="0.25">
      <c r="A975" s="48">
        <v>960</v>
      </c>
      <c r="B975" s="49" t="str">
        <f t="array" ref="B975">IFERROR(IF(INDEX(Transactions!$F$8:$F$3006,MATCH(0,COUNTIF($B$11:B974,Transactions!$F$8:$F$3006),0))="","",INDEX(Transactions!$F$8:$F$3006,MATCH(0,COUNTIF($B$11:B974,Transactions!$F$8:$F$3006),0))),"")</f>
        <v/>
      </c>
      <c r="C975" s="50" t="str">
        <f>IF(B975="","",SUMIF(Transactions!$F$8:$F$3006,B975,Transactions!$H$8:$H$3006))</f>
        <v/>
      </c>
      <c r="D975" s="51" t="str">
        <f>IF(B975="","",SUMIF(Transactions!$F$8:$F$3006,B975,Transactions!$N$8:$N$3006))</f>
        <v/>
      </c>
      <c r="E975" s="52" t="str">
        <f>IF(B975="","",SUMIF(Transactions!$F$8:$F$3006,B975,Transactions!$O$8:$O$3006))</f>
        <v/>
      </c>
      <c r="F975" s="53" t="str">
        <f>IF(B975="","",SUMIF(Transactions!$F$8:$F$3006,B975,Transactions!$R$8:$R$3006))</f>
        <v/>
      </c>
      <c r="G975" s="54" t="str">
        <f>IF(B975="","",(C975+F975)-(D975+E975+SUMIF(Transactions!$F$8:$F$3006,B975,Transactions!$Q$8:$Q$3006)))</f>
        <v/>
      </c>
      <c r="H975" s="55" t="str">
        <f>IF(B975="","",IF(G975&gt;0,"OUTSTANDING",IF(G975=0,"SETTLED",IF(SUMIF(Transactions!$F$8:$F$3006,B975,Transactions!$Q$8:$Q$3006)&gt;SUMIF(Transactions!$F$8:$F$3006,B975,Transactions!$R$8:$R$3006),"OWES","OVERPAID"))))</f>
        <v/>
      </c>
      <c r="I975" s="1"/>
    </row>
    <row r="976" spans="1:9" ht="18" customHeight="1" x14ac:dyDescent="0.25">
      <c r="A976" s="40">
        <v>961</v>
      </c>
      <c r="B976" s="41" t="str">
        <f t="array" ref="B976">IFERROR(IF(INDEX(Transactions!$F$8:$F$3006,MATCH(0,COUNTIF($B$11:B975,Transactions!$F$8:$F$3006),0))="","",INDEX(Transactions!$F$8:$F$3006,MATCH(0,COUNTIF($B$11:B975,Transactions!$F$8:$F$3006),0))),"")</f>
        <v/>
      </c>
      <c r="C976" s="42" t="str">
        <f>IF(B976="","",SUMIF(Transactions!$F$8:$F$3006,B976,Transactions!$H$8:$H$3006))</f>
        <v/>
      </c>
      <c r="D976" s="43" t="str">
        <f>IF(B976="","",SUMIF(Transactions!$F$8:$F$3006,B976,Transactions!$N$8:$N$3006))</f>
        <v/>
      </c>
      <c r="E976" s="44" t="str">
        <f>IF(B976="","",SUMIF(Transactions!$F$8:$F$3006,B976,Transactions!$O$8:$O$3006))</f>
        <v/>
      </c>
      <c r="F976" s="45" t="str">
        <f>IF(B976="","",SUMIF(Transactions!$F$8:$F$3006,B976,Transactions!$R$8:$R$3006))</f>
        <v/>
      </c>
      <c r="G976" s="46" t="str">
        <f>IF(B976="","",(C976+F976)-(D976+E976+SUMIF(Transactions!$F$8:$F$3006,B976,Transactions!$Q$8:$Q$3006)))</f>
        <v/>
      </c>
      <c r="H976" s="47" t="str">
        <f>IF(B976="","",IF(G976&gt;0,"OUTSTANDING",IF(G976=0,"SETTLED",IF(SUMIF(Transactions!$F$8:$F$3006,B976,Transactions!$Q$8:$Q$3006)&gt;SUMIF(Transactions!$F$8:$F$3006,B976,Transactions!$R$8:$R$3006),"OWES","OVERPAID"))))</f>
        <v/>
      </c>
      <c r="I976" s="1"/>
    </row>
    <row r="977" spans="1:9" ht="18" customHeight="1" x14ac:dyDescent="0.25">
      <c r="A977" s="48">
        <v>962</v>
      </c>
      <c r="B977" s="49" t="str">
        <f t="array" ref="B977">IFERROR(IF(INDEX(Transactions!$F$8:$F$3006,MATCH(0,COUNTIF($B$11:B976,Transactions!$F$8:$F$3006),0))="","",INDEX(Transactions!$F$8:$F$3006,MATCH(0,COUNTIF($B$11:B976,Transactions!$F$8:$F$3006),0))),"")</f>
        <v/>
      </c>
      <c r="C977" s="50" t="str">
        <f>IF(B977="","",SUMIF(Transactions!$F$8:$F$3006,B977,Transactions!$H$8:$H$3006))</f>
        <v/>
      </c>
      <c r="D977" s="51" t="str">
        <f>IF(B977="","",SUMIF(Transactions!$F$8:$F$3006,B977,Transactions!$N$8:$N$3006))</f>
        <v/>
      </c>
      <c r="E977" s="52" t="str">
        <f>IF(B977="","",SUMIF(Transactions!$F$8:$F$3006,B977,Transactions!$O$8:$O$3006))</f>
        <v/>
      </c>
      <c r="F977" s="53" t="str">
        <f>IF(B977="","",SUMIF(Transactions!$F$8:$F$3006,B977,Transactions!$R$8:$R$3006))</f>
        <v/>
      </c>
      <c r="G977" s="54" t="str">
        <f>IF(B977="","",(C977+F977)-(D977+E977+SUMIF(Transactions!$F$8:$F$3006,B977,Transactions!$Q$8:$Q$3006)))</f>
        <v/>
      </c>
      <c r="H977" s="55" t="str">
        <f>IF(B977="","",IF(G977&gt;0,"OUTSTANDING",IF(G977=0,"SETTLED",IF(SUMIF(Transactions!$F$8:$F$3006,B977,Transactions!$Q$8:$Q$3006)&gt;SUMIF(Transactions!$F$8:$F$3006,B977,Transactions!$R$8:$R$3006),"OWES","OVERPAID"))))</f>
        <v/>
      </c>
      <c r="I977" s="1"/>
    </row>
    <row r="978" spans="1:9" ht="18" customHeight="1" x14ac:dyDescent="0.25">
      <c r="A978" s="40">
        <v>963</v>
      </c>
      <c r="B978" s="41" t="str">
        <f t="array" ref="B978">IFERROR(IF(INDEX(Transactions!$F$8:$F$3006,MATCH(0,COUNTIF($B$11:B977,Transactions!$F$8:$F$3006),0))="","",INDEX(Transactions!$F$8:$F$3006,MATCH(0,COUNTIF($B$11:B977,Transactions!$F$8:$F$3006),0))),"")</f>
        <v/>
      </c>
      <c r="C978" s="42" t="str">
        <f>IF(B978="","",SUMIF(Transactions!$F$8:$F$3006,B978,Transactions!$H$8:$H$3006))</f>
        <v/>
      </c>
      <c r="D978" s="43" t="str">
        <f>IF(B978="","",SUMIF(Transactions!$F$8:$F$3006,B978,Transactions!$N$8:$N$3006))</f>
        <v/>
      </c>
      <c r="E978" s="44" t="str">
        <f>IF(B978="","",SUMIF(Transactions!$F$8:$F$3006,B978,Transactions!$O$8:$O$3006))</f>
        <v/>
      </c>
      <c r="F978" s="45" t="str">
        <f>IF(B978="","",SUMIF(Transactions!$F$8:$F$3006,B978,Transactions!$R$8:$R$3006))</f>
        <v/>
      </c>
      <c r="G978" s="46" t="str">
        <f>IF(B978="","",(C978+F978)-(D978+E978+SUMIF(Transactions!$F$8:$F$3006,B978,Transactions!$Q$8:$Q$3006)))</f>
        <v/>
      </c>
      <c r="H978" s="47" t="str">
        <f>IF(B978="","",IF(G978&gt;0,"OUTSTANDING",IF(G978=0,"SETTLED",IF(SUMIF(Transactions!$F$8:$F$3006,B978,Transactions!$Q$8:$Q$3006)&gt;SUMIF(Transactions!$F$8:$F$3006,B978,Transactions!$R$8:$R$3006),"OWES","OVERPAID"))))</f>
        <v/>
      </c>
      <c r="I978" s="1"/>
    </row>
    <row r="979" spans="1:9" ht="18" customHeight="1" x14ac:dyDescent="0.25">
      <c r="A979" s="48">
        <v>964</v>
      </c>
      <c r="B979" s="49" t="str">
        <f t="array" ref="B979">IFERROR(IF(INDEX(Transactions!$F$8:$F$3006,MATCH(0,COUNTIF($B$11:B978,Transactions!$F$8:$F$3006),0))="","",INDEX(Transactions!$F$8:$F$3006,MATCH(0,COUNTIF($B$11:B978,Transactions!$F$8:$F$3006),0))),"")</f>
        <v/>
      </c>
      <c r="C979" s="50" t="str">
        <f>IF(B979="","",SUMIF(Transactions!$F$8:$F$3006,B979,Transactions!$H$8:$H$3006))</f>
        <v/>
      </c>
      <c r="D979" s="51" t="str">
        <f>IF(B979="","",SUMIF(Transactions!$F$8:$F$3006,B979,Transactions!$N$8:$N$3006))</f>
        <v/>
      </c>
      <c r="E979" s="52" t="str">
        <f>IF(B979="","",SUMIF(Transactions!$F$8:$F$3006,B979,Transactions!$O$8:$O$3006))</f>
        <v/>
      </c>
      <c r="F979" s="53" t="str">
        <f>IF(B979="","",SUMIF(Transactions!$F$8:$F$3006,B979,Transactions!$R$8:$R$3006))</f>
        <v/>
      </c>
      <c r="G979" s="54" t="str">
        <f>IF(B979="","",(C979+F979)-(D979+E979+SUMIF(Transactions!$F$8:$F$3006,B979,Transactions!$Q$8:$Q$3006)))</f>
        <v/>
      </c>
      <c r="H979" s="55" t="str">
        <f>IF(B979="","",IF(G979&gt;0,"OUTSTANDING",IF(G979=0,"SETTLED",IF(SUMIF(Transactions!$F$8:$F$3006,B979,Transactions!$Q$8:$Q$3006)&gt;SUMIF(Transactions!$F$8:$F$3006,B979,Transactions!$R$8:$R$3006),"OWES","OVERPAID"))))</f>
        <v/>
      </c>
      <c r="I979" s="1"/>
    </row>
    <row r="980" spans="1:9" ht="18" customHeight="1" x14ac:dyDescent="0.25">
      <c r="A980" s="40">
        <v>965</v>
      </c>
      <c r="B980" s="41" t="str">
        <f t="array" ref="B980">IFERROR(IF(INDEX(Transactions!$F$8:$F$3006,MATCH(0,COUNTIF($B$11:B979,Transactions!$F$8:$F$3006),0))="","",INDEX(Transactions!$F$8:$F$3006,MATCH(0,COUNTIF($B$11:B979,Transactions!$F$8:$F$3006),0))),"")</f>
        <v/>
      </c>
      <c r="C980" s="42" t="str">
        <f>IF(B980="","",SUMIF(Transactions!$F$8:$F$3006,B980,Transactions!$H$8:$H$3006))</f>
        <v/>
      </c>
      <c r="D980" s="43" t="str">
        <f>IF(B980="","",SUMIF(Transactions!$F$8:$F$3006,B980,Transactions!$N$8:$N$3006))</f>
        <v/>
      </c>
      <c r="E980" s="44" t="str">
        <f>IF(B980="","",SUMIF(Transactions!$F$8:$F$3006,B980,Transactions!$O$8:$O$3006))</f>
        <v/>
      </c>
      <c r="F980" s="45" t="str">
        <f>IF(B980="","",SUMIF(Transactions!$F$8:$F$3006,B980,Transactions!$R$8:$R$3006))</f>
        <v/>
      </c>
      <c r="G980" s="46" t="str">
        <f>IF(B980="","",(C980+F980)-(D980+E980+SUMIF(Transactions!$F$8:$F$3006,B980,Transactions!$Q$8:$Q$3006)))</f>
        <v/>
      </c>
      <c r="H980" s="47" t="str">
        <f>IF(B980="","",IF(G980&gt;0,"OUTSTANDING",IF(G980=0,"SETTLED",IF(SUMIF(Transactions!$F$8:$F$3006,B980,Transactions!$Q$8:$Q$3006)&gt;SUMIF(Transactions!$F$8:$F$3006,B980,Transactions!$R$8:$R$3006),"OWES","OVERPAID"))))</f>
        <v/>
      </c>
      <c r="I980" s="1"/>
    </row>
    <row r="981" spans="1:9" ht="18" customHeight="1" x14ac:dyDescent="0.25">
      <c r="A981" s="48">
        <v>966</v>
      </c>
      <c r="B981" s="49" t="str">
        <f t="array" ref="B981">IFERROR(IF(INDEX(Transactions!$F$8:$F$3006,MATCH(0,COUNTIF($B$11:B980,Transactions!$F$8:$F$3006),0))="","",INDEX(Transactions!$F$8:$F$3006,MATCH(0,COUNTIF($B$11:B980,Transactions!$F$8:$F$3006),0))),"")</f>
        <v/>
      </c>
      <c r="C981" s="50" t="str">
        <f>IF(B981="","",SUMIF(Transactions!$F$8:$F$3006,B981,Transactions!$H$8:$H$3006))</f>
        <v/>
      </c>
      <c r="D981" s="51" t="str">
        <f>IF(B981="","",SUMIF(Transactions!$F$8:$F$3006,B981,Transactions!$N$8:$N$3006))</f>
        <v/>
      </c>
      <c r="E981" s="52" t="str">
        <f>IF(B981="","",SUMIF(Transactions!$F$8:$F$3006,B981,Transactions!$O$8:$O$3006))</f>
        <v/>
      </c>
      <c r="F981" s="53" t="str">
        <f>IF(B981="","",SUMIF(Transactions!$F$8:$F$3006,B981,Transactions!$R$8:$R$3006))</f>
        <v/>
      </c>
      <c r="G981" s="54" t="str">
        <f>IF(B981="","",(C981+F981)-(D981+E981+SUMIF(Transactions!$F$8:$F$3006,B981,Transactions!$Q$8:$Q$3006)))</f>
        <v/>
      </c>
      <c r="H981" s="55" t="str">
        <f>IF(B981="","",IF(G981&gt;0,"OUTSTANDING",IF(G981=0,"SETTLED",IF(SUMIF(Transactions!$F$8:$F$3006,B981,Transactions!$Q$8:$Q$3006)&gt;SUMIF(Transactions!$F$8:$F$3006,B981,Transactions!$R$8:$R$3006),"OWES","OVERPAID"))))</f>
        <v/>
      </c>
      <c r="I981" s="1"/>
    </row>
    <row r="982" spans="1:9" ht="18" customHeight="1" x14ac:dyDescent="0.25">
      <c r="A982" s="40">
        <v>967</v>
      </c>
      <c r="B982" s="41" t="str">
        <f t="array" ref="B982">IFERROR(IF(INDEX(Transactions!$F$8:$F$3006,MATCH(0,COUNTIF($B$11:B981,Transactions!$F$8:$F$3006),0))="","",INDEX(Transactions!$F$8:$F$3006,MATCH(0,COUNTIF($B$11:B981,Transactions!$F$8:$F$3006),0))),"")</f>
        <v/>
      </c>
      <c r="C982" s="42" t="str">
        <f>IF(B982="","",SUMIF(Transactions!$F$8:$F$3006,B982,Transactions!$H$8:$H$3006))</f>
        <v/>
      </c>
      <c r="D982" s="43" t="str">
        <f>IF(B982="","",SUMIF(Transactions!$F$8:$F$3006,B982,Transactions!$N$8:$N$3006))</f>
        <v/>
      </c>
      <c r="E982" s="44" t="str">
        <f>IF(B982="","",SUMIF(Transactions!$F$8:$F$3006,B982,Transactions!$O$8:$O$3006))</f>
        <v/>
      </c>
      <c r="F982" s="45" t="str">
        <f>IF(B982="","",SUMIF(Transactions!$F$8:$F$3006,B982,Transactions!$R$8:$R$3006))</f>
        <v/>
      </c>
      <c r="G982" s="46" t="str">
        <f>IF(B982="","",(C982+F982)-(D982+E982+SUMIF(Transactions!$F$8:$F$3006,B982,Transactions!$Q$8:$Q$3006)))</f>
        <v/>
      </c>
      <c r="H982" s="47" t="str">
        <f>IF(B982="","",IF(G982&gt;0,"OUTSTANDING",IF(G982=0,"SETTLED",IF(SUMIF(Transactions!$F$8:$F$3006,B982,Transactions!$Q$8:$Q$3006)&gt;SUMIF(Transactions!$F$8:$F$3006,B982,Transactions!$R$8:$R$3006),"OWES","OVERPAID"))))</f>
        <v/>
      </c>
      <c r="I982" s="1"/>
    </row>
    <row r="983" spans="1:9" ht="18" customHeight="1" x14ac:dyDescent="0.25">
      <c r="A983" s="48">
        <v>968</v>
      </c>
      <c r="B983" s="49" t="str">
        <f t="array" ref="B983">IFERROR(IF(INDEX(Transactions!$F$8:$F$3006,MATCH(0,COUNTIF($B$11:B982,Transactions!$F$8:$F$3006),0))="","",INDEX(Transactions!$F$8:$F$3006,MATCH(0,COUNTIF($B$11:B982,Transactions!$F$8:$F$3006),0))),"")</f>
        <v/>
      </c>
      <c r="C983" s="50" t="str">
        <f>IF(B983="","",SUMIF(Transactions!$F$8:$F$3006,B983,Transactions!$H$8:$H$3006))</f>
        <v/>
      </c>
      <c r="D983" s="51" t="str">
        <f>IF(B983="","",SUMIF(Transactions!$F$8:$F$3006,B983,Transactions!$N$8:$N$3006))</f>
        <v/>
      </c>
      <c r="E983" s="52" t="str">
        <f>IF(B983="","",SUMIF(Transactions!$F$8:$F$3006,B983,Transactions!$O$8:$O$3006))</f>
        <v/>
      </c>
      <c r="F983" s="53" t="str">
        <f>IF(B983="","",SUMIF(Transactions!$F$8:$F$3006,B983,Transactions!$R$8:$R$3006))</f>
        <v/>
      </c>
      <c r="G983" s="54" t="str">
        <f>IF(B983="","",(C983+F983)-(D983+E983+SUMIF(Transactions!$F$8:$F$3006,B983,Transactions!$Q$8:$Q$3006)))</f>
        <v/>
      </c>
      <c r="H983" s="55" t="str">
        <f>IF(B983="","",IF(G983&gt;0,"OUTSTANDING",IF(G983=0,"SETTLED",IF(SUMIF(Transactions!$F$8:$F$3006,B983,Transactions!$Q$8:$Q$3006)&gt;SUMIF(Transactions!$F$8:$F$3006,B983,Transactions!$R$8:$R$3006),"OWES","OVERPAID"))))</f>
        <v/>
      </c>
      <c r="I983" s="1"/>
    </row>
    <row r="984" spans="1:9" ht="18" customHeight="1" x14ac:dyDescent="0.25">
      <c r="A984" s="40">
        <v>969</v>
      </c>
      <c r="B984" s="41" t="str">
        <f t="array" ref="B984">IFERROR(IF(INDEX(Transactions!$F$8:$F$3006,MATCH(0,COUNTIF($B$11:B983,Transactions!$F$8:$F$3006),0))="","",INDEX(Transactions!$F$8:$F$3006,MATCH(0,COUNTIF($B$11:B983,Transactions!$F$8:$F$3006),0))),"")</f>
        <v/>
      </c>
      <c r="C984" s="42" t="str">
        <f>IF(B984="","",SUMIF(Transactions!$F$8:$F$3006,B984,Transactions!$H$8:$H$3006))</f>
        <v/>
      </c>
      <c r="D984" s="43" t="str">
        <f>IF(B984="","",SUMIF(Transactions!$F$8:$F$3006,B984,Transactions!$N$8:$N$3006))</f>
        <v/>
      </c>
      <c r="E984" s="44" t="str">
        <f>IF(B984="","",SUMIF(Transactions!$F$8:$F$3006,B984,Transactions!$O$8:$O$3006))</f>
        <v/>
      </c>
      <c r="F984" s="45" t="str">
        <f>IF(B984="","",SUMIF(Transactions!$F$8:$F$3006,B984,Transactions!$R$8:$R$3006))</f>
        <v/>
      </c>
      <c r="G984" s="46" t="str">
        <f>IF(B984="","",(C984+F984)-(D984+E984+SUMIF(Transactions!$F$8:$F$3006,B984,Transactions!$Q$8:$Q$3006)))</f>
        <v/>
      </c>
      <c r="H984" s="47" t="str">
        <f>IF(B984="","",IF(G984&gt;0,"OUTSTANDING",IF(G984=0,"SETTLED",IF(SUMIF(Transactions!$F$8:$F$3006,B984,Transactions!$Q$8:$Q$3006)&gt;SUMIF(Transactions!$F$8:$F$3006,B984,Transactions!$R$8:$R$3006),"OWES","OVERPAID"))))</f>
        <v/>
      </c>
      <c r="I984" s="1"/>
    </row>
    <row r="985" spans="1:9" ht="18" customHeight="1" x14ac:dyDescent="0.25">
      <c r="A985" s="48">
        <v>970</v>
      </c>
      <c r="B985" s="49" t="str">
        <f t="array" ref="B985">IFERROR(IF(INDEX(Transactions!$F$8:$F$3006,MATCH(0,COUNTIF($B$11:B984,Transactions!$F$8:$F$3006),0))="","",INDEX(Transactions!$F$8:$F$3006,MATCH(0,COUNTIF($B$11:B984,Transactions!$F$8:$F$3006),0))),"")</f>
        <v/>
      </c>
      <c r="C985" s="50" t="str">
        <f>IF(B985="","",SUMIF(Transactions!$F$8:$F$3006,B985,Transactions!$H$8:$H$3006))</f>
        <v/>
      </c>
      <c r="D985" s="51" t="str">
        <f>IF(B985="","",SUMIF(Transactions!$F$8:$F$3006,B985,Transactions!$N$8:$N$3006))</f>
        <v/>
      </c>
      <c r="E985" s="52" t="str">
        <f>IF(B985="","",SUMIF(Transactions!$F$8:$F$3006,B985,Transactions!$O$8:$O$3006))</f>
        <v/>
      </c>
      <c r="F985" s="53" t="str">
        <f>IF(B985="","",SUMIF(Transactions!$F$8:$F$3006,B985,Transactions!$R$8:$R$3006))</f>
        <v/>
      </c>
      <c r="G985" s="54" t="str">
        <f>IF(B985="","",(C985+F985)-(D985+E985+SUMIF(Transactions!$F$8:$F$3006,B985,Transactions!$Q$8:$Q$3006)))</f>
        <v/>
      </c>
      <c r="H985" s="55" t="str">
        <f>IF(B985="","",IF(G985&gt;0,"OUTSTANDING",IF(G985=0,"SETTLED",IF(SUMIF(Transactions!$F$8:$F$3006,B985,Transactions!$Q$8:$Q$3006)&gt;SUMIF(Transactions!$F$8:$F$3006,B985,Transactions!$R$8:$R$3006),"OWES","OVERPAID"))))</f>
        <v/>
      </c>
      <c r="I985" s="1"/>
    </row>
    <row r="986" spans="1:9" ht="18" customHeight="1" x14ac:dyDescent="0.25">
      <c r="A986" s="40">
        <v>971</v>
      </c>
      <c r="B986" s="41" t="str">
        <f t="array" ref="B986">IFERROR(IF(INDEX(Transactions!$F$8:$F$3006,MATCH(0,COUNTIF($B$11:B985,Transactions!$F$8:$F$3006),0))="","",INDEX(Transactions!$F$8:$F$3006,MATCH(0,COUNTIF($B$11:B985,Transactions!$F$8:$F$3006),0))),"")</f>
        <v/>
      </c>
      <c r="C986" s="42" t="str">
        <f>IF(B986="","",SUMIF(Transactions!$F$8:$F$3006,B986,Transactions!$H$8:$H$3006))</f>
        <v/>
      </c>
      <c r="D986" s="43" t="str">
        <f>IF(B986="","",SUMIF(Transactions!$F$8:$F$3006,B986,Transactions!$N$8:$N$3006))</f>
        <v/>
      </c>
      <c r="E986" s="44" t="str">
        <f>IF(B986="","",SUMIF(Transactions!$F$8:$F$3006,B986,Transactions!$O$8:$O$3006))</f>
        <v/>
      </c>
      <c r="F986" s="45" t="str">
        <f>IF(B986="","",SUMIF(Transactions!$F$8:$F$3006,B986,Transactions!$R$8:$R$3006))</f>
        <v/>
      </c>
      <c r="G986" s="46" t="str">
        <f>IF(B986="","",(C986+F986)-(D986+E986+SUMIF(Transactions!$F$8:$F$3006,B986,Transactions!$Q$8:$Q$3006)))</f>
        <v/>
      </c>
      <c r="H986" s="47" t="str">
        <f>IF(B986="","",IF(G986&gt;0,"OUTSTANDING",IF(G986=0,"SETTLED",IF(SUMIF(Transactions!$F$8:$F$3006,B986,Transactions!$Q$8:$Q$3006)&gt;SUMIF(Transactions!$F$8:$F$3006,B986,Transactions!$R$8:$R$3006),"OWES","OVERPAID"))))</f>
        <v/>
      </c>
      <c r="I986" s="1"/>
    </row>
    <row r="987" spans="1:9" ht="18" customHeight="1" x14ac:dyDescent="0.25">
      <c r="A987" s="48">
        <v>972</v>
      </c>
      <c r="B987" s="49" t="str">
        <f t="array" ref="B987">IFERROR(IF(INDEX(Transactions!$F$8:$F$3006,MATCH(0,COUNTIF($B$11:B986,Transactions!$F$8:$F$3006),0))="","",INDEX(Transactions!$F$8:$F$3006,MATCH(0,COUNTIF($B$11:B986,Transactions!$F$8:$F$3006),0))),"")</f>
        <v/>
      </c>
      <c r="C987" s="50" t="str">
        <f>IF(B987="","",SUMIF(Transactions!$F$8:$F$3006,B987,Transactions!$H$8:$H$3006))</f>
        <v/>
      </c>
      <c r="D987" s="51" t="str">
        <f>IF(B987="","",SUMIF(Transactions!$F$8:$F$3006,B987,Transactions!$N$8:$N$3006))</f>
        <v/>
      </c>
      <c r="E987" s="52" t="str">
        <f>IF(B987="","",SUMIF(Transactions!$F$8:$F$3006,B987,Transactions!$O$8:$O$3006))</f>
        <v/>
      </c>
      <c r="F987" s="53" t="str">
        <f>IF(B987="","",SUMIF(Transactions!$F$8:$F$3006,B987,Transactions!$R$8:$R$3006))</f>
        <v/>
      </c>
      <c r="G987" s="54" t="str">
        <f>IF(B987="","",(C987+F987)-(D987+E987+SUMIF(Transactions!$F$8:$F$3006,B987,Transactions!$Q$8:$Q$3006)))</f>
        <v/>
      </c>
      <c r="H987" s="55" t="str">
        <f>IF(B987="","",IF(G987&gt;0,"OUTSTANDING",IF(G987=0,"SETTLED",IF(SUMIF(Transactions!$F$8:$F$3006,B987,Transactions!$Q$8:$Q$3006)&gt;SUMIF(Transactions!$F$8:$F$3006,B987,Transactions!$R$8:$R$3006),"OWES","OVERPAID"))))</f>
        <v/>
      </c>
      <c r="I987" s="1"/>
    </row>
    <row r="988" spans="1:9" ht="18" customHeight="1" x14ac:dyDescent="0.25">
      <c r="A988" s="40">
        <v>973</v>
      </c>
      <c r="B988" s="41" t="str">
        <f t="array" ref="B988">IFERROR(IF(INDEX(Transactions!$F$8:$F$3006,MATCH(0,COUNTIF($B$11:B987,Transactions!$F$8:$F$3006),0))="","",INDEX(Transactions!$F$8:$F$3006,MATCH(0,COUNTIF($B$11:B987,Transactions!$F$8:$F$3006),0))),"")</f>
        <v/>
      </c>
      <c r="C988" s="42" t="str">
        <f>IF(B988="","",SUMIF(Transactions!$F$8:$F$3006,B988,Transactions!$H$8:$H$3006))</f>
        <v/>
      </c>
      <c r="D988" s="43" t="str">
        <f>IF(B988="","",SUMIF(Transactions!$F$8:$F$3006,B988,Transactions!$N$8:$N$3006))</f>
        <v/>
      </c>
      <c r="E988" s="44" t="str">
        <f>IF(B988="","",SUMIF(Transactions!$F$8:$F$3006,B988,Transactions!$O$8:$O$3006))</f>
        <v/>
      </c>
      <c r="F988" s="45" t="str">
        <f>IF(B988="","",SUMIF(Transactions!$F$8:$F$3006,B988,Transactions!$R$8:$R$3006))</f>
        <v/>
      </c>
      <c r="G988" s="46" t="str">
        <f>IF(B988="","",(C988+F988)-(D988+E988+SUMIF(Transactions!$F$8:$F$3006,B988,Transactions!$Q$8:$Q$3006)))</f>
        <v/>
      </c>
      <c r="H988" s="47" t="str">
        <f>IF(B988="","",IF(G988&gt;0,"OUTSTANDING",IF(G988=0,"SETTLED",IF(SUMIF(Transactions!$F$8:$F$3006,B988,Transactions!$Q$8:$Q$3006)&gt;SUMIF(Transactions!$F$8:$F$3006,B988,Transactions!$R$8:$R$3006),"OWES","OVERPAID"))))</f>
        <v/>
      </c>
      <c r="I988" s="1"/>
    </row>
    <row r="989" spans="1:9" ht="18" customHeight="1" x14ac:dyDescent="0.25">
      <c r="A989" s="48">
        <v>974</v>
      </c>
      <c r="B989" s="49" t="str">
        <f t="array" ref="B989">IFERROR(IF(INDEX(Transactions!$F$8:$F$3006,MATCH(0,COUNTIF($B$11:B988,Transactions!$F$8:$F$3006),0))="","",INDEX(Transactions!$F$8:$F$3006,MATCH(0,COUNTIF($B$11:B988,Transactions!$F$8:$F$3006),0))),"")</f>
        <v/>
      </c>
      <c r="C989" s="50" t="str">
        <f>IF(B989="","",SUMIF(Transactions!$F$8:$F$3006,B989,Transactions!$H$8:$H$3006))</f>
        <v/>
      </c>
      <c r="D989" s="51" t="str">
        <f>IF(B989="","",SUMIF(Transactions!$F$8:$F$3006,B989,Transactions!$N$8:$N$3006))</f>
        <v/>
      </c>
      <c r="E989" s="52" t="str">
        <f>IF(B989="","",SUMIF(Transactions!$F$8:$F$3006,B989,Transactions!$O$8:$O$3006))</f>
        <v/>
      </c>
      <c r="F989" s="53" t="str">
        <f>IF(B989="","",SUMIF(Transactions!$F$8:$F$3006,B989,Transactions!$R$8:$R$3006))</f>
        <v/>
      </c>
      <c r="G989" s="54" t="str">
        <f>IF(B989="","",(C989+F989)-(D989+E989+SUMIF(Transactions!$F$8:$F$3006,B989,Transactions!$Q$8:$Q$3006)))</f>
        <v/>
      </c>
      <c r="H989" s="55" t="str">
        <f>IF(B989="","",IF(G989&gt;0,"OUTSTANDING",IF(G989=0,"SETTLED",IF(SUMIF(Transactions!$F$8:$F$3006,B989,Transactions!$Q$8:$Q$3006)&gt;SUMIF(Transactions!$F$8:$F$3006,B989,Transactions!$R$8:$R$3006),"OWES","OVERPAID"))))</f>
        <v/>
      </c>
      <c r="I989" s="1"/>
    </row>
    <row r="990" spans="1:9" ht="18" customHeight="1" x14ac:dyDescent="0.25">
      <c r="A990" s="40">
        <v>975</v>
      </c>
      <c r="B990" s="41" t="str">
        <f t="array" ref="B990">IFERROR(IF(INDEX(Transactions!$F$8:$F$3006,MATCH(0,COUNTIF($B$11:B989,Transactions!$F$8:$F$3006),0))="","",INDEX(Transactions!$F$8:$F$3006,MATCH(0,COUNTIF($B$11:B989,Transactions!$F$8:$F$3006),0))),"")</f>
        <v/>
      </c>
      <c r="C990" s="42" t="str">
        <f>IF(B990="","",SUMIF(Transactions!$F$8:$F$3006,B990,Transactions!$H$8:$H$3006))</f>
        <v/>
      </c>
      <c r="D990" s="43" t="str">
        <f>IF(B990="","",SUMIF(Transactions!$F$8:$F$3006,B990,Transactions!$N$8:$N$3006))</f>
        <v/>
      </c>
      <c r="E990" s="44" t="str">
        <f>IF(B990="","",SUMIF(Transactions!$F$8:$F$3006,B990,Transactions!$O$8:$O$3006))</f>
        <v/>
      </c>
      <c r="F990" s="45" t="str">
        <f>IF(B990="","",SUMIF(Transactions!$F$8:$F$3006,B990,Transactions!$R$8:$R$3006))</f>
        <v/>
      </c>
      <c r="G990" s="46" t="str">
        <f>IF(B990="","",(C990+F990)-(D990+E990+SUMIF(Transactions!$F$8:$F$3006,B990,Transactions!$Q$8:$Q$3006)))</f>
        <v/>
      </c>
      <c r="H990" s="47" t="str">
        <f>IF(B990="","",IF(G990&gt;0,"OUTSTANDING",IF(G990=0,"SETTLED",IF(SUMIF(Transactions!$F$8:$F$3006,B990,Transactions!$Q$8:$Q$3006)&gt;SUMIF(Transactions!$F$8:$F$3006,B990,Transactions!$R$8:$R$3006),"OWES","OVERPAID"))))</f>
        <v/>
      </c>
      <c r="I990" s="1"/>
    </row>
    <row r="991" spans="1:9" ht="18" customHeight="1" x14ac:dyDescent="0.25">
      <c r="A991" s="48">
        <v>976</v>
      </c>
      <c r="B991" s="49" t="str">
        <f t="array" ref="B991">IFERROR(IF(INDEX(Transactions!$F$8:$F$3006,MATCH(0,COUNTIF($B$11:B990,Transactions!$F$8:$F$3006),0))="","",INDEX(Transactions!$F$8:$F$3006,MATCH(0,COUNTIF($B$11:B990,Transactions!$F$8:$F$3006),0))),"")</f>
        <v/>
      </c>
      <c r="C991" s="50" t="str">
        <f>IF(B991="","",SUMIF(Transactions!$F$8:$F$3006,B991,Transactions!$H$8:$H$3006))</f>
        <v/>
      </c>
      <c r="D991" s="51" t="str">
        <f>IF(B991="","",SUMIF(Transactions!$F$8:$F$3006,B991,Transactions!$N$8:$N$3006))</f>
        <v/>
      </c>
      <c r="E991" s="52" t="str">
        <f>IF(B991="","",SUMIF(Transactions!$F$8:$F$3006,B991,Transactions!$O$8:$O$3006))</f>
        <v/>
      </c>
      <c r="F991" s="53" t="str">
        <f>IF(B991="","",SUMIF(Transactions!$F$8:$F$3006,B991,Transactions!$R$8:$R$3006))</f>
        <v/>
      </c>
      <c r="G991" s="54" t="str">
        <f>IF(B991="","",(C991+F991)-(D991+E991+SUMIF(Transactions!$F$8:$F$3006,B991,Transactions!$Q$8:$Q$3006)))</f>
        <v/>
      </c>
      <c r="H991" s="55" t="str">
        <f>IF(B991="","",IF(G991&gt;0,"OUTSTANDING",IF(G991=0,"SETTLED",IF(SUMIF(Transactions!$F$8:$F$3006,B991,Transactions!$Q$8:$Q$3006)&gt;SUMIF(Transactions!$F$8:$F$3006,B991,Transactions!$R$8:$R$3006),"OWES","OVERPAID"))))</f>
        <v/>
      </c>
      <c r="I991" s="1"/>
    </row>
    <row r="992" spans="1:9" ht="18" customHeight="1" x14ac:dyDescent="0.25">
      <c r="A992" s="40">
        <v>977</v>
      </c>
      <c r="B992" s="41" t="str">
        <f t="array" ref="B992">IFERROR(IF(INDEX(Transactions!$F$8:$F$3006,MATCH(0,COUNTIF($B$11:B991,Transactions!$F$8:$F$3006),0))="","",INDEX(Transactions!$F$8:$F$3006,MATCH(0,COUNTIF($B$11:B991,Transactions!$F$8:$F$3006),0))),"")</f>
        <v/>
      </c>
      <c r="C992" s="42" t="str">
        <f>IF(B992="","",SUMIF(Transactions!$F$8:$F$3006,B992,Transactions!$H$8:$H$3006))</f>
        <v/>
      </c>
      <c r="D992" s="43" t="str">
        <f>IF(B992="","",SUMIF(Transactions!$F$8:$F$3006,B992,Transactions!$N$8:$N$3006))</f>
        <v/>
      </c>
      <c r="E992" s="44" t="str">
        <f>IF(B992="","",SUMIF(Transactions!$F$8:$F$3006,B992,Transactions!$O$8:$O$3006))</f>
        <v/>
      </c>
      <c r="F992" s="45" t="str">
        <f>IF(B992="","",SUMIF(Transactions!$F$8:$F$3006,B992,Transactions!$R$8:$R$3006))</f>
        <v/>
      </c>
      <c r="G992" s="46" t="str">
        <f>IF(B992="","",(C992+F992)-(D992+E992+SUMIF(Transactions!$F$8:$F$3006,B992,Transactions!$Q$8:$Q$3006)))</f>
        <v/>
      </c>
      <c r="H992" s="47" t="str">
        <f>IF(B992="","",IF(G992&gt;0,"OUTSTANDING",IF(G992=0,"SETTLED",IF(SUMIF(Transactions!$F$8:$F$3006,B992,Transactions!$Q$8:$Q$3006)&gt;SUMIF(Transactions!$F$8:$F$3006,B992,Transactions!$R$8:$R$3006),"OWES","OVERPAID"))))</f>
        <v/>
      </c>
      <c r="I992" s="1"/>
    </row>
    <row r="993" spans="1:9" ht="18" customHeight="1" x14ac:dyDescent="0.25">
      <c r="A993" s="48">
        <v>978</v>
      </c>
      <c r="B993" s="49" t="str">
        <f t="array" ref="B993">IFERROR(IF(INDEX(Transactions!$F$8:$F$3006,MATCH(0,COUNTIF($B$11:B992,Transactions!$F$8:$F$3006),0))="","",INDEX(Transactions!$F$8:$F$3006,MATCH(0,COUNTIF($B$11:B992,Transactions!$F$8:$F$3006),0))),"")</f>
        <v/>
      </c>
      <c r="C993" s="50" t="str">
        <f>IF(B993="","",SUMIF(Transactions!$F$8:$F$3006,B993,Transactions!$H$8:$H$3006))</f>
        <v/>
      </c>
      <c r="D993" s="51" t="str">
        <f>IF(B993="","",SUMIF(Transactions!$F$8:$F$3006,B993,Transactions!$N$8:$N$3006))</f>
        <v/>
      </c>
      <c r="E993" s="52" t="str">
        <f>IF(B993="","",SUMIF(Transactions!$F$8:$F$3006,B993,Transactions!$O$8:$O$3006))</f>
        <v/>
      </c>
      <c r="F993" s="53" t="str">
        <f>IF(B993="","",SUMIF(Transactions!$F$8:$F$3006,B993,Transactions!$R$8:$R$3006))</f>
        <v/>
      </c>
      <c r="G993" s="54" t="str">
        <f>IF(B993="","",(C993+F993)-(D993+E993+SUMIF(Transactions!$F$8:$F$3006,B993,Transactions!$Q$8:$Q$3006)))</f>
        <v/>
      </c>
      <c r="H993" s="55" t="str">
        <f>IF(B993="","",IF(G993&gt;0,"OUTSTANDING",IF(G993=0,"SETTLED",IF(SUMIF(Transactions!$F$8:$F$3006,B993,Transactions!$Q$8:$Q$3006)&gt;SUMIF(Transactions!$F$8:$F$3006,B993,Transactions!$R$8:$R$3006),"OWES","OVERPAID"))))</f>
        <v/>
      </c>
      <c r="I993" s="1"/>
    </row>
    <row r="994" spans="1:9" ht="18" customHeight="1" x14ac:dyDescent="0.25">
      <c r="A994" s="40">
        <v>979</v>
      </c>
      <c r="B994" s="41" t="str">
        <f t="array" ref="B994">IFERROR(IF(INDEX(Transactions!$F$8:$F$3006,MATCH(0,COUNTIF($B$11:B993,Transactions!$F$8:$F$3006),0))="","",INDEX(Transactions!$F$8:$F$3006,MATCH(0,COUNTIF($B$11:B993,Transactions!$F$8:$F$3006),0))),"")</f>
        <v/>
      </c>
      <c r="C994" s="42" t="str">
        <f>IF(B994="","",SUMIF(Transactions!$F$8:$F$3006,B994,Transactions!$H$8:$H$3006))</f>
        <v/>
      </c>
      <c r="D994" s="43" t="str">
        <f>IF(B994="","",SUMIF(Transactions!$F$8:$F$3006,B994,Transactions!$N$8:$N$3006))</f>
        <v/>
      </c>
      <c r="E994" s="44" t="str">
        <f>IF(B994="","",SUMIF(Transactions!$F$8:$F$3006,B994,Transactions!$O$8:$O$3006))</f>
        <v/>
      </c>
      <c r="F994" s="45" t="str">
        <f>IF(B994="","",SUMIF(Transactions!$F$8:$F$3006,B994,Transactions!$R$8:$R$3006))</f>
        <v/>
      </c>
      <c r="G994" s="46" t="str">
        <f>IF(B994="","",(C994+F994)-(D994+E994+SUMIF(Transactions!$F$8:$F$3006,B994,Transactions!$Q$8:$Q$3006)))</f>
        <v/>
      </c>
      <c r="H994" s="47" t="str">
        <f>IF(B994="","",IF(G994&gt;0,"OUTSTANDING",IF(G994=0,"SETTLED",IF(SUMIF(Transactions!$F$8:$F$3006,B994,Transactions!$Q$8:$Q$3006)&gt;SUMIF(Transactions!$F$8:$F$3006,B994,Transactions!$R$8:$R$3006),"OWES","OVERPAID"))))</f>
        <v/>
      </c>
      <c r="I994" s="1"/>
    </row>
    <row r="995" spans="1:9" ht="18" customHeight="1" x14ac:dyDescent="0.25">
      <c r="A995" s="48">
        <v>980</v>
      </c>
      <c r="B995" s="49" t="str">
        <f t="array" ref="B995">IFERROR(IF(INDEX(Transactions!$F$8:$F$3006,MATCH(0,COUNTIF($B$11:B994,Transactions!$F$8:$F$3006),0))="","",INDEX(Transactions!$F$8:$F$3006,MATCH(0,COUNTIF($B$11:B994,Transactions!$F$8:$F$3006),0))),"")</f>
        <v/>
      </c>
      <c r="C995" s="50" t="str">
        <f>IF(B995="","",SUMIF(Transactions!$F$8:$F$3006,B995,Transactions!$H$8:$H$3006))</f>
        <v/>
      </c>
      <c r="D995" s="51" t="str">
        <f>IF(B995="","",SUMIF(Transactions!$F$8:$F$3006,B995,Transactions!$N$8:$N$3006))</f>
        <v/>
      </c>
      <c r="E995" s="52" t="str">
        <f>IF(B995="","",SUMIF(Transactions!$F$8:$F$3006,B995,Transactions!$O$8:$O$3006))</f>
        <v/>
      </c>
      <c r="F995" s="53" t="str">
        <f>IF(B995="","",SUMIF(Transactions!$F$8:$F$3006,B995,Transactions!$R$8:$R$3006))</f>
        <v/>
      </c>
      <c r="G995" s="54" t="str">
        <f>IF(B995="","",(C995+F995)-(D995+E995+SUMIF(Transactions!$F$8:$F$3006,B995,Transactions!$Q$8:$Q$3006)))</f>
        <v/>
      </c>
      <c r="H995" s="55" t="str">
        <f>IF(B995="","",IF(G995&gt;0,"OUTSTANDING",IF(G995=0,"SETTLED",IF(SUMIF(Transactions!$F$8:$F$3006,B995,Transactions!$Q$8:$Q$3006)&gt;SUMIF(Transactions!$F$8:$F$3006,B995,Transactions!$R$8:$R$3006),"OWES","OVERPAID"))))</f>
        <v/>
      </c>
      <c r="I995" s="1"/>
    </row>
    <row r="996" spans="1:9" ht="18" customHeight="1" x14ac:dyDescent="0.25">
      <c r="A996" s="40">
        <v>981</v>
      </c>
      <c r="B996" s="41" t="str">
        <f t="array" ref="B996">IFERROR(IF(INDEX(Transactions!$F$8:$F$3006,MATCH(0,COUNTIF($B$11:B995,Transactions!$F$8:$F$3006),0))="","",INDEX(Transactions!$F$8:$F$3006,MATCH(0,COUNTIF($B$11:B995,Transactions!$F$8:$F$3006),0))),"")</f>
        <v/>
      </c>
      <c r="C996" s="42" t="str">
        <f>IF(B996="","",SUMIF(Transactions!$F$8:$F$3006,B996,Transactions!$H$8:$H$3006))</f>
        <v/>
      </c>
      <c r="D996" s="43" t="str">
        <f>IF(B996="","",SUMIF(Transactions!$F$8:$F$3006,B996,Transactions!$N$8:$N$3006))</f>
        <v/>
      </c>
      <c r="E996" s="44" t="str">
        <f>IF(B996="","",SUMIF(Transactions!$F$8:$F$3006,B996,Transactions!$O$8:$O$3006))</f>
        <v/>
      </c>
      <c r="F996" s="45" t="str">
        <f>IF(B996="","",SUMIF(Transactions!$F$8:$F$3006,B996,Transactions!$R$8:$R$3006))</f>
        <v/>
      </c>
      <c r="G996" s="46" t="str">
        <f>IF(B996="","",(C996+F996)-(D996+E996+SUMIF(Transactions!$F$8:$F$3006,B996,Transactions!$Q$8:$Q$3006)))</f>
        <v/>
      </c>
      <c r="H996" s="47" t="str">
        <f>IF(B996="","",IF(G996&gt;0,"OUTSTANDING",IF(G996=0,"SETTLED",IF(SUMIF(Transactions!$F$8:$F$3006,B996,Transactions!$Q$8:$Q$3006)&gt;SUMIF(Transactions!$F$8:$F$3006,B996,Transactions!$R$8:$R$3006),"OWES","OVERPAID"))))</f>
        <v/>
      </c>
      <c r="I996" s="1"/>
    </row>
    <row r="997" spans="1:9" ht="18" customHeight="1" x14ac:dyDescent="0.25">
      <c r="A997" s="48">
        <v>982</v>
      </c>
      <c r="B997" s="49" t="str">
        <f t="array" ref="B997">IFERROR(IF(INDEX(Transactions!$F$8:$F$3006,MATCH(0,COUNTIF($B$11:B996,Transactions!$F$8:$F$3006),0))="","",INDEX(Transactions!$F$8:$F$3006,MATCH(0,COUNTIF($B$11:B996,Transactions!$F$8:$F$3006),0))),"")</f>
        <v/>
      </c>
      <c r="C997" s="50" t="str">
        <f>IF(B997="","",SUMIF(Transactions!$F$8:$F$3006,B997,Transactions!$H$8:$H$3006))</f>
        <v/>
      </c>
      <c r="D997" s="51" t="str">
        <f>IF(B997="","",SUMIF(Transactions!$F$8:$F$3006,B997,Transactions!$N$8:$N$3006))</f>
        <v/>
      </c>
      <c r="E997" s="52" t="str">
        <f>IF(B997="","",SUMIF(Transactions!$F$8:$F$3006,B997,Transactions!$O$8:$O$3006))</f>
        <v/>
      </c>
      <c r="F997" s="53" t="str">
        <f>IF(B997="","",SUMIF(Transactions!$F$8:$F$3006,B997,Transactions!$R$8:$R$3006))</f>
        <v/>
      </c>
      <c r="G997" s="54" t="str">
        <f>IF(B997="","",(C997+F997)-(D997+E997+SUMIF(Transactions!$F$8:$F$3006,B997,Transactions!$Q$8:$Q$3006)))</f>
        <v/>
      </c>
      <c r="H997" s="55" t="str">
        <f>IF(B997="","",IF(G997&gt;0,"OUTSTANDING",IF(G997=0,"SETTLED",IF(SUMIF(Transactions!$F$8:$F$3006,B997,Transactions!$Q$8:$Q$3006)&gt;SUMIF(Transactions!$F$8:$F$3006,B997,Transactions!$R$8:$R$3006),"OWES","OVERPAID"))))</f>
        <v/>
      </c>
      <c r="I997" s="1"/>
    </row>
    <row r="998" spans="1:9" ht="18" customHeight="1" x14ac:dyDescent="0.25">
      <c r="A998" s="40">
        <v>983</v>
      </c>
      <c r="B998" s="41" t="str">
        <f t="array" ref="B998">IFERROR(IF(INDEX(Transactions!$F$8:$F$3006,MATCH(0,COUNTIF($B$11:B997,Transactions!$F$8:$F$3006),0))="","",INDEX(Transactions!$F$8:$F$3006,MATCH(0,COUNTIF($B$11:B997,Transactions!$F$8:$F$3006),0))),"")</f>
        <v/>
      </c>
      <c r="C998" s="42" t="str">
        <f>IF(B998="","",SUMIF(Transactions!$F$8:$F$3006,B998,Transactions!$H$8:$H$3006))</f>
        <v/>
      </c>
      <c r="D998" s="43" t="str">
        <f>IF(B998="","",SUMIF(Transactions!$F$8:$F$3006,B998,Transactions!$N$8:$N$3006))</f>
        <v/>
      </c>
      <c r="E998" s="44" t="str">
        <f>IF(B998="","",SUMIF(Transactions!$F$8:$F$3006,B998,Transactions!$O$8:$O$3006))</f>
        <v/>
      </c>
      <c r="F998" s="45" t="str">
        <f>IF(B998="","",SUMIF(Transactions!$F$8:$F$3006,B998,Transactions!$R$8:$R$3006))</f>
        <v/>
      </c>
      <c r="G998" s="46" t="str">
        <f>IF(B998="","",(C998+F998)-(D998+E998+SUMIF(Transactions!$F$8:$F$3006,B998,Transactions!$Q$8:$Q$3006)))</f>
        <v/>
      </c>
      <c r="H998" s="47" t="str">
        <f>IF(B998="","",IF(G998&gt;0,"OUTSTANDING",IF(G998=0,"SETTLED",IF(SUMIF(Transactions!$F$8:$F$3006,B998,Transactions!$Q$8:$Q$3006)&gt;SUMIF(Transactions!$F$8:$F$3006,B998,Transactions!$R$8:$R$3006),"OWES","OVERPAID"))))</f>
        <v/>
      </c>
      <c r="I998" s="1"/>
    </row>
    <row r="999" spans="1:9" ht="18" customHeight="1" x14ac:dyDescent="0.25">
      <c r="A999" s="48">
        <v>984</v>
      </c>
      <c r="B999" s="49" t="str">
        <f t="array" ref="B999">IFERROR(IF(INDEX(Transactions!$F$8:$F$3006,MATCH(0,COUNTIF($B$11:B998,Transactions!$F$8:$F$3006),0))="","",INDEX(Transactions!$F$8:$F$3006,MATCH(0,COUNTIF($B$11:B998,Transactions!$F$8:$F$3006),0))),"")</f>
        <v/>
      </c>
      <c r="C999" s="50" t="str">
        <f>IF(B999="","",SUMIF(Transactions!$F$8:$F$3006,B999,Transactions!$H$8:$H$3006))</f>
        <v/>
      </c>
      <c r="D999" s="51" t="str">
        <f>IF(B999="","",SUMIF(Transactions!$F$8:$F$3006,B999,Transactions!$N$8:$N$3006))</f>
        <v/>
      </c>
      <c r="E999" s="52" t="str">
        <f>IF(B999="","",SUMIF(Transactions!$F$8:$F$3006,B999,Transactions!$O$8:$O$3006))</f>
        <v/>
      </c>
      <c r="F999" s="53" t="str">
        <f>IF(B999="","",SUMIF(Transactions!$F$8:$F$3006,B999,Transactions!$R$8:$R$3006))</f>
        <v/>
      </c>
      <c r="G999" s="54" t="str">
        <f>IF(B999="","",(C999+F999)-(D999+E999+SUMIF(Transactions!$F$8:$F$3006,B999,Transactions!$Q$8:$Q$3006)))</f>
        <v/>
      </c>
      <c r="H999" s="55" t="str">
        <f>IF(B999="","",IF(G999&gt;0,"OUTSTANDING",IF(G999=0,"SETTLED",IF(SUMIF(Transactions!$F$8:$F$3006,B999,Transactions!$Q$8:$Q$3006)&gt;SUMIF(Transactions!$F$8:$F$3006,B999,Transactions!$R$8:$R$3006),"OWES","OVERPAID"))))</f>
        <v/>
      </c>
      <c r="I999" s="1"/>
    </row>
    <row r="1000" spans="1:9" ht="18" customHeight="1" x14ac:dyDescent="0.25">
      <c r="A1000" s="40">
        <v>985</v>
      </c>
      <c r="B1000" s="41" t="str">
        <f t="array" ref="B1000">IFERROR(IF(INDEX(Transactions!$F$8:$F$3006,MATCH(0,COUNTIF($B$11:B999,Transactions!$F$8:$F$3006),0))="","",INDEX(Transactions!$F$8:$F$3006,MATCH(0,COUNTIF($B$11:B999,Transactions!$F$8:$F$3006),0))),"")</f>
        <v/>
      </c>
      <c r="C1000" s="42" t="str">
        <f>IF(B1000="","",SUMIF(Transactions!$F$8:$F$3006,B1000,Transactions!$H$8:$H$3006))</f>
        <v/>
      </c>
      <c r="D1000" s="43" t="str">
        <f>IF(B1000="","",SUMIF(Transactions!$F$8:$F$3006,B1000,Transactions!$N$8:$N$3006))</f>
        <v/>
      </c>
      <c r="E1000" s="44" t="str">
        <f>IF(B1000="","",SUMIF(Transactions!$F$8:$F$3006,B1000,Transactions!$O$8:$O$3006))</f>
        <v/>
      </c>
      <c r="F1000" s="45" t="str">
        <f>IF(B1000="","",SUMIF(Transactions!$F$8:$F$3006,B1000,Transactions!$R$8:$R$3006))</f>
        <v/>
      </c>
      <c r="G1000" s="46" t="str">
        <f>IF(B1000="","",(C1000+F1000)-(D1000+E1000+SUMIF(Transactions!$F$8:$F$3006,B1000,Transactions!$Q$8:$Q$3006)))</f>
        <v/>
      </c>
      <c r="H1000" s="47" t="str">
        <f>IF(B1000="","",IF(G1000&gt;0,"OUTSTANDING",IF(G1000=0,"SETTLED",IF(SUMIF(Transactions!$F$8:$F$3006,B1000,Transactions!$Q$8:$Q$3006)&gt;SUMIF(Transactions!$F$8:$F$3006,B1000,Transactions!$R$8:$R$3006),"OWES","OVERPAID"))))</f>
        <v/>
      </c>
      <c r="I1000" s="1"/>
    </row>
    <row r="1001" spans="1:9" ht="18" customHeight="1" x14ac:dyDescent="0.25">
      <c r="A1001" s="48">
        <v>986</v>
      </c>
      <c r="B1001" s="49" t="str">
        <f t="array" ref="B1001">IFERROR(IF(INDEX(Transactions!$F$8:$F$3006,MATCH(0,COUNTIF($B$11:B1000,Transactions!$F$8:$F$3006),0))="","",INDEX(Transactions!$F$8:$F$3006,MATCH(0,COUNTIF($B$11:B1000,Transactions!$F$8:$F$3006),0))),"")</f>
        <v/>
      </c>
      <c r="C1001" s="50" t="str">
        <f>IF(B1001="","",SUMIF(Transactions!$F$8:$F$3006,B1001,Transactions!$H$8:$H$3006))</f>
        <v/>
      </c>
      <c r="D1001" s="51" t="str">
        <f>IF(B1001="","",SUMIF(Transactions!$F$8:$F$3006,B1001,Transactions!$N$8:$N$3006))</f>
        <v/>
      </c>
      <c r="E1001" s="52" t="str">
        <f>IF(B1001="","",SUMIF(Transactions!$F$8:$F$3006,B1001,Transactions!$O$8:$O$3006))</f>
        <v/>
      </c>
      <c r="F1001" s="53" t="str">
        <f>IF(B1001="","",SUMIF(Transactions!$F$8:$F$3006,B1001,Transactions!$R$8:$R$3006))</f>
        <v/>
      </c>
      <c r="G1001" s="54" t="str">
        <f>IF(B1001="","",(C1001+F1001)-(D1001+E1001+SUMIF(Transactions!$F$8:$F$3006,B1001,Transactions!$Q$8:$Q$3006)))</f>
        <v/>
      </c>
      <c r="H1001" s="55" t="str">
        <f>IF(B1001="","",IF(G1001&gt;0,"OUTSTANDING",IF(G1001=0,"SETTLED",IF(SUMIF(Transactions!$F$8:$F$3006,B1001,Transactions!$Q$8:$Q$3006)&gt;SUMIF(Transactions!$F$8:$F$3006,B1001,Transactions!$R$8:$R$3006),"OWES","OVERPAID"))))</f>
        <v/>
      </c>
      <c r="I1001" s="1"/>
    </row>
    <row r="1002" spans="1:9" ht="18" customHeight="1" x14ac:dyDescent="0.25">
      <c r="A1002" s="40">
        <v>987</v>
      </c>
      <c r="B1002" s="41" t="str">
        <f t="array" ref="B1002">IFERROR(IF(INDEX(Transactions!$F$8:$F$3006,MATCH(0,COUNTIF($B$11:B1001,Transactions!$F$8:$F$3006),0))="","",INDEX(Transactions!$F$8:$F$3006,MATCH(0,COUNTIF($B$11:B1001,Transactions!$F$8:$F$3006),0))),"")</f>
        <v/>
      </c>
      <c r="C1002" s="42" t="str">
        <f>IF(B1002="","",SUMIF(Transactions!$F$8:$F$3006,B1002,Transactions!$H$8:$H$3006))</f>
        <v/>
      </c>
      <c r="D1002" s="43" t="str">
        <f>IF(B1002="","",SUMIF(Transactions!$F$8:$F$3006,B1002,Transactions!$N$8:$N$3006))</f>
        <v/>
      </c>
      <c r="E1002" s="44" t="str">
        <f>IF(B1002="","",SUMIF(Transactions!$F$8:$F$3006,B1002,Transactions!$O$8:$O$3006))</f>
        <v/>
      </c>
      <c r="F1002" s="45" t="str">
        <f>IF(B1002="","",SUMIF(Transactions!$F$8:$F$3006,B1002,Transactions!$R$8:$R$3006))</f>
        <v/>
      </c>
      <c r="G1002" s="46" t="str">
        <f>IF(B1002="","",(C1002+F1002)-(D1002+E1002+SUMIF(Transactions!$F$8:$F$3006,B1002,Transactions!$Q$8:$Q$3006)))</f>
        <v/>
      </c>
      <c r="H1002" s="47" t="str">
        <f>IF(B1002="","",IF(G1002&gt;0,"OUTSTANDING",IF(G1002=0,"SETTLED",IF(SUMIF(Transactions!$F$8:$F$3006,B1002,Transactions!$Q$8:$Q$3006)&gt;SUMIF(Transactions!$F$8:$F$3006,B1002,Transactions!$R$8:$R$3006),"OWES","OVERPAID"))))</f>
        <v/>
      </c>
      <c r="I1002" s="1"/>
    </row>
    <row r="1003" spans="1:9" ht="18" customHeight="1" x14ac:dyDescent="0.25">
      <c r="A1003" s="48">
        <v>988</v>
      </c>
      <c r="B1003" s="49" t="str">
        <f t="array" ref="B1003">IFERROR(IF(INDEX(Transactions!$F$8:$F$3006,MATCH(0,COUNTIF($B$11:B1002,Transactions!$F$8:$F$3006),0))="","",INDEX(Transactions!$F$8:$F$3006,MATCH(0,COUNTIF($B$11:B1002,Transactions!$F$8:$F$3006),0))),"")</f>
        <v/>
      </c>
      <c r="C1003" s="50" t="str">
        <f>IF(B1003="","",SUMIF(Transactions!$F$8:$F$3006,B1003,Transactions!$H$8:$H$3006))</f>
        <v/>
      </c>
      <c r="D1003" s="51" t="str">
        <f>IF(B1003="","",SUMIF(Transactions!$F$8:$F$3006,B1003,Transactions!$N$8:$N$3006))</f>
        <v/>
      </c>
      <c r="E1003" s="52" t="str">
        <f>IF(B1003="","",SUMIF(Transactions!$F$8:$F$3006,B1003,Transactions!$O$8:$O$3006))</f>
        <v/>
      </c>
      <c r="F1003" s="53" t="str">
        <f>IF(B1003="","",SUMIF(Transactions!$F$8:$F$3006,B1003,Transactions!$R$8:$R$3006))</f>
        <v/>
      </c>
      <c r="G1003" s="54" t="str">
        <f>IF(B1003="","",(C1003+F1003)-(D1003+E1003+SUMIF(Transactions!$F$8:$F$3006,B1003,Transactions!$Q$8:$Q$3006)))</f>
        <v/>
      </c>
      <c r="H1003" s="55" t="str">
        <f>IF(B1003="","",IF(G1003&gt;0,"OUTSTANDING",IF(G1003=0,"SETTLED",IF(SUMIF(Transactions!$F$8:$F$3006,B1003,Transactions!$Q$8:$Q$3006)&gt;SUMIF(Transactions!$F$8:$F$3006,B1003,Transactions!$R$8:$R$3006),"OWES","OVERPAID"))))</f>
        <v/>
      </c>
      <c r="I1003" s="1"/>
    </row>
    <row r="1004" spans="1:9" ht="18" customHeight="1" x14ac:dyDescent="0.25">
      <c r="A1004" s="40">
        <v>989</v>
      </c>
      <c r="B1004" s="41" t="str">
        <f t="array" ref="B1004">IFERROR(IF(INDEX(Transactions!$F$8:$F$3006,MATCH(0,COUNTIF($B$11:B1003,Transactions!$F$8:$F$3006),0))="","",INDEX(Transactions!$F$8:$F$3006,MATCH(0,COUNTIF($B$11:B1003,Transactions!$F$8:$F$3006),0))),"")</f>
        <v/>
      </c>
      <c r="C1004" s="42" t="str">
        <f>IF(B1004="","",SUMIF(Transactions!$F$8:$F$3006,B1004,Transactions!$H$8:$H$3006))</f>
        <v/>
      </c>
      <c r="D1004" s="43" t="str">
        <f>IF(B1004="","",SUMIF(Transactions!$F$8:$F$3006,B1004,Transactions!$N$8:$N$3006))</f>
        <v/>
      </c>
      <c r="E1004" s="44" t="str">
        <f>IF(B1004="","",SUMIF(Transactions!$F$8:$F$3006,B1004,Transactions!$O$8:$O$3006))</f>
        <v/>
      </c>
      <c r="F1004" s="45" t="str">
        <f>IF(B1004="","",SUMIF(Transactions!$F$8:$F$3006,B1004,Transactions!$R$8:$R$3006))</f>
        <v/>
      </c>
      <c r="G1004" s="46" t="str">
        <f>IF(B1004="","",(C1004+F1004)-(D1004+E1004+SUMIF(Transactions!$F$8:$F$3006,B1004,Transactions!$Q$8:$Q$3006)))</f>
        <v/>
      </c>
      <c r="H1004" s="47" t="str">
        <f>IF(B1004="","",IF(G1004&gt;0,"OUTSTANDING",IF(G1004=0,"SETTLED",IF(SUMIF(Transactions!$F$8:$F$3006,B1004,Transactions!$Q$8:$Q$3006)&gt;SUMIF(Transactions!$F$8:$F$3006,B1004,Transactions!$R$8:$R$3006),"OWES","OVERPAID"))))</f>
        <v/>
      </c>
      <c r="I1004" s="1"/>
    </row>
    <row r="1005" spans="1:9" ht="18" customHeight="1" x14ac:dyDescent="0.25">
      <c r="A1005" s="48">
        <v>990</v>
      </c>
      <c r="B1005" s="49" t="str">
        <f t="array" ref="B1005">IFERROR(IF(INDEX(Transactions!$F$8:$F$3006,MATCH(0,COUNTIF($B$11:B1004,Transactions!$F$8:$F$3006),0))="","",INDEX(Transactions!$F$8:$F$3006,MATCH(0,COUNTIF($B$11:B1004,Transactions!$F$8:$F$3006),0))),"")</f>
        <v/>
      </c>
      <c r="C1005" s="50" t="str">
        <f>IF(B1005="","",SUMIF(Transactions!$F$8:$F$3006,B1005,Transactions!$H$8:$H$3006))</f>
        <v/>
      </c>
      <c r="D1005" s="51" t="str">
        <f>IF(B1005="","",SUMIF(Transactions!$F$8:$F$3006,B1005,Transactions!$N$8:$N$3006))</f>
        <v/>
      </c>
      <c r="E1005" s="52" t="str">
        <f>IF(B1005="","",SUMIF(Transactions!$F$8:$F$3006,B1005,Transactions!$O$8:$O$3006))</f>
        <v/>
      </c>
      <c r="F1005" s="53" t="str">
        <f>IF(B1005="","",SUMIF(Transactions!$F$8:$F$3006,B1005,Transactions!$R$8:$R$3006))</f>
        <v/>
      </c>
      <c r="G1005" s="54" t="str">
        <f>IF(B1005="","",(C1005+F1005)-(D1005+E1005+SUMIF(Transactions!$F$8:$F$3006,B1005,Transactions!$Q$8:$Q$3006)))</f>
        <v/>
      </c>
      <c r="H1005" s="55" t="str">
        <f>IF(B1005="","",IF(G1005&gt;0,"OUTSTANDING",IF(G1005=0,"SETTLED",IF(SUMIF(Transactions!$F$8:$F$3006,B1005,Transactions!$Q$8:$Q$3006)&gt;SUMIF(Transactions!$F$8:$F$3006,B1005,Transactions!$R$8:$R$3006),"OWES","OVERPAID"))))</f>
        <v/>
      </c>
      <c r="I1005" s="1"/>
    </row>
    <row r="1006" spans="1:9" ht="18" customHeight="1" x14ac:dyDescent="0.25">
      <c r="A1006" s="40">
        <v>991</v>
      </c>
      <c r="B1006" s="41" t="str">
        <f t="array" ref="B1006">IFERROR(IF(INDEX(Transactions!$F$8:$F$3006,MATCH(0,COUNTIF($B$11:B1005,Transactions!$F$8:$F$3006),0))="","",INDEX(Transactions!$F$8:$F$3006,MATCH(0,COUNTIF($B$11:B1005,Transactions!$F$8:$F$3006),0))),"")</f>
        <v/>
      </c>
      <c r="C1006" s="42" t="str">
        <f>IF(B1006="","",SUMIF(Transactions!$F$8:$F$3006,B1006,Transactions!$H$8:$H$3006))</f>
        <v/>
      </c>
      <c r="D1006" s="43" t="str">
        <f>IF(B1006="","",SUMIF(Transactions!$F$8:$F$3006,B1006,Transactions!$N$8:$N$3006))</f>
        <v/>
      </c>
      <c r="E1006" s="44" t="str">
        <f>IF(B1006="","",SUMIF(Transactions!$F$8:$F$3006,B1006,Transactions!$O$8:$O$3006))</f>
        <v/>
      </c>
      <c r="F1006" s="45" t="str">
        <f>IF(B1006="","",SUMIF(Transactions!$F$8:$F$3006,B1006,Transactions!$R$8:$R$3006))</f>
        <v/>
      </c>
      <c r="G1006" s="46" t="str">
        <f>IF(B1006="","",(C1006+F1006)-(D1006+E1006+SUMIF(Transactions!$F$8:$F$3006,B1006,Transactions!$Q$8:$Q$3006)))</f>
        <v/>
      </c>
      <c r="H1006" s="47" t="str">
        <f>IF(B1006="","",IF(G1006&gt;0,"OUTSTANDING",IF(G1006=0,"SETTLED",IF(SUMIF(Transactions!$F$8:$F$3006,B1006,Transactions!$Q$8:$Q$3006)&gt;SUMIF(Transactions!$F$8:$F$3006,B1006,Transactions!$R$8:$R$3006),"OWES","OVERPAID"))))</f>
        <v/>
      </c>
      <c r="I1006" s="1"/>
    </row>
    <row r="1007" spans="1:9" ht="18" customHeight="1" x14ac:dyDescent="0.25">
      <c r="A1007" s="48">
        <v>992</v>
      </c>
      <c r="B1007" s="49" t="str">
        <f t="array" ref="B1007">IFERROR(IF(INDEX(Transactions!$F$8:$F$3006,MATCH(0,COUNTIF($B$11:B1006,Transactions!$F$8:$F$3006),0))="","",INDEX(Transactions!$F$8:$F$3006,MATCH(0,COUNTIF($B$11:B1006,Transactions!$F$8:$F$3006),0))),"")</f>
        <v/>
      </c>
      <c r="C1007" s="50" t="str">
        <f>IF(B1007="","",SUMIF(Transactions!$F$8:$F$3006,B1007,Transactions!$H$8:$H$3006))</f>
        <v/>
      </c>
      <c r="D1007" s="51" t="str">
        <f>IF(B1007="","",SUMIF(Transactions!$F$8:$F$3006,B1007,Transactions!$N$8:$N$3006))</f>
        <v/>
      </c>
      <c r="E1007" s="52" t="str">
        <f>IF(B1007="","",SUMIF(Transactions!$F$8:$F$3006,B1007,Transactions!$O$8:$O$3006))</f>
        <v/>
      </c>
      <c r="F1007" s="53" t="str">
        <f>IF(B1007="","",SUMIF(Transactions!$F$8:$F$3006,B1007,Transactions!$R$8:$R$3006))</f>
        <v/>
      </c>
      <c r="G1007" s="54" t="str">
        <f>IF(B1007="","",(C1007+F1007)-(D1007+E1007+SUMIF(Transactions!$F$8:$F$3006,B1007,Transactions!$Q$8:$Q$3006)))</f>
        <v/>
      </c>
      <c r="H1007" s="55" t="str">
        <f>IF(B1007="","",IF(G1007&gt;0,"OUTSTANDING",IF(G1007=0,"SETTLED",IF(SUMIF(Transactions!$F$8:$F$3006,B1007,Transactions!$Q$8:$Q$3006)&gt;SUMIF(Transactions!$F$8:$F$3006,B1007,Transactions!$R$8:$R$3006),"OWES","OVERPAID"))))</f>
        <v/>
      </c>
      <c r="I1007" s="1"/>
    </row>
    <row r="1008" spans="1:9" ht="18" customHeight="1" x14ac:dyDescent="0.25">
      <c r="A1008" s="40">
        <v>993</v>
      </c>
      <c r="B1008" s="41" t="str">
        <f t="array" ref="B1008">IFERROR(IF(INDEX(Transactions!$F$8:$F$3006,MATCH(0,COUNTIF($B$11:B1007,Transactions!$F$8:$F$3006),0))="","",INDEX(Transactions!$F$8:$F$3006,MATCH(0,COUNTIF($B$11:B1007,Transactions!$F$8:$F$3006),0))),"")</f>
        <v/>
      </c>
      <c r="C1008" s="42" t="str">
        <f>IF(B1008="","",SUMIF(Transactions!$F$8:$F$3006,B1008,Transactions!$H$8:$H$3006))</f>
        <v/>
      </c>
      <c r="D1008" s="43" t="str">
        <f>IF(B1008="","",SUMIF(Transactions!$F$8:$F$3006,B1008,Transactions!$N$8:$N$3006))</f>
        <v/>
      </c>
      <c r="E1008" s="44" t="str">
        <f>IF(B1008="","",SUMIF(Transactions!$F$8:$F$3006,B1008,Transactions!$O$8:$O$3006))</f>
        <v/>
      </c>
      <c r="F1008" s="45" t="str">
        <f>IF(B1008="","",SUMIF(Transactions!$F$8:$F$3006,B1008,Transactions!$R$8:$R$3006))</f>
        <v/>
      </c>
      <c r="G1008" s="46" t="str">
        <f>IF(B1008="","",(C1008+F1008)-(D1008+E1008+SUMIF(Transactions!$F$8:$F$3006,B1008,Transactions!$Q$8:$Q$3006)))</f>
        <v/>
      </c>
      <c r="H1008" s="47" t="str">
        <f>IF(B1008="","",IF(G1008&gt;0,"OUTSTANDING",IF(G1008=0,"SETTLED",IF(SUMIF(Transactions!$F$8:$F$3006,B1008,Transactions!$Q$8:$Q$3006)&gt;SUMIF(Transactions!$F$8:$F$3006,B1008,Transactions!$R$8:$R$3006),"OWES","OVERPAID"))))</f>
        <v/>
      </c>
      <c r="I1008" s="1"/>
    </row>
    <row r="1009" spans="1:9" ht="18" customHeight="1" x14ac:dyDescent="0.25">
      <c r="A1009" s="48">
        <v>994</v>
      </c>
      <c r="B1009" s="49" t="str">
        <f t="array" ref="B1009">IFERROR(IF(INDEX(Transactions!$F$8:$F$3006,MATCH(0,COUNTIF($B$11:B1008,Transactions!$F$8:$F$3006),0))="","",INDEX(Transactions!$F$8:$F$3006,MATCH(0,COUNTIF($B$11:B1008,Transactions!$F$8:$F$3006),0))),"")</f>
        <v/>
      </c>
      <c r="C1009" s="50" t="str">
        <f>IF(B1009="","",SUMIF(Transactions!$F$8:$F$3006,B1009,Transactions!$H$8:$H$3006))</f>
        <v/>
      </c>
      <c r="D1009" s="51" t="str">
        <f>IF(B1009="","",SUMIF(Transactions!$F$8:$F$3006,B1009,Transactions!$N$8:$N$3006))</f>
        <v/>
      </c>
      <c r="E1009" s="52" t="str">
        <f>IF(B1009="","",SUMIF(Transactions!$F$8:$F$3006,B1009,Transactions!$O$8:$O$3006))</f>
        <v/>
      </c>
      <c r="F1009" s="53" t="str">
        <f>IF(B1009="","",SUMIF(Transactions!$F$8:$F$3006,B1009,Transactions!$R$8:$R$3006))</f>
        <v/>
      </c>
      <c r="G1009" s="54" t="str">
        <f>IF(B1009="","",(C1009+F1009)-(D1009+E1009+SUMIF(Transactions!$F$8:$F$3006,B1009,Transactions!$Q$8:$Q$3006)))</f>
        <v/>
      </c>
      <c r="H1009" s="55" t="str">
        <f>IF(B1009="","",IF(G1009&gt;0,"OUTSTANDING",IF(G1009=0,"SETTLED",IF(SUMIF(Transactions!$F$8:$F$3006,B1009,Transactions!$Q$8:$Q$3006)&gt;SUMIF(Transactions!$F$8:$F$3006,B1009,Transactions!$R$8:$R$3006),"OWES","OVERPAID"))))</f>
        <v/>
      </c>
      <c r="I1009" s="1"/>
    </row>
    <row r="1010" spans="1:9" ht="18" customHeight="1" x14ac:dyDescent="0.25">
      <c r="A1010" s="40">
        <v>995</v>
      </c>
      <c r="B1010" s="41" t="str">
        <f t="array" ref="B1010">IFERROR(IF(INDEX(Transactions!$F$8:$F$3006,MATCH(0,COUNTIF($B$11:B1009,Transactions!$F$8:$F$3006),0))="","",INDEX(Transactions!$F$8:$F$3006,MATCH(0,COUNTIF($B$11:B1009,Transactions!$F$8:$F$3006),0))),"")</f>
        <v/>
      </c>
      <c r="C1010" s="42" t="str">
        <f>IF(B1010="","",SUMIF(Transactions!$F$8:$F$3006,B1010,Transactions!$H$8:$H$3006))</f>
        <v/>
      </c>
      <c r="D1010" s="43" t="str">
        <f>IF(B1010="","",SUMIF(Transactions!$F$8:$F$3006,B1010,Transactions!$N$8:$N$3006))</f>
        <v/>
      </c>
      <c r="E1010" s="44" t="str">
        <f>IF(B1010="","",SUMIF(Transactions!$F$8:$F$3006,B1010,Transactions!$O$8:$O$3006))</f>
        <v/>
      </c>
      <c r="F1010" s="45" t="str">
        <f>IF(B1010="","",SUMIF(Transactions!$F$8:$F$3006,B1010,Transactions!$R$8:$R$3006))</f>
        <v/>
      </c>
      <c r="G1010" s="46" t="str">
        <f>IF(B1010="","",(C1010+F1010)-(D1010+E1010+SUMIF(Transactions!$F$8:$F$3006,B1010,Transactions!$Q$8:$Q$3006)))</f>
        <v/>
      </c>
      <c r="H1010" s="47" t="str">
        <f>IF(B1010="","",IF(G1010&gt;0,"OUTSTANDING",IF(G1010=0,"SETTLED",IF(SUMIF(Transactions!$F$8:$F$3006,B1010,Transactions!$Q$8:$Q$3006)&gt;SUMIF(Transactions!$F$8:$F$3006,B1010,Transactions!$R$8:$R$3006),"OWES","OVERPAID"))))</f>
        <v/>
      </c>
      <c r="I1010" s="1"/>
    </row>
    <row r="1011" spans="1:9" ht="18" customHeight="1" x14ac:dyDescent="0.25">
      <c r="A1011" s="48">
        <v>996</v>
      </c>
      <c r="B1011" s="49" t="str">
        <f t="array" ref="B1011">IFERROR(IF(INDEX(Transactions!$F$8:$F$3006,MATCH(0,COUNTIF($B$11:B1010,Transactions!$F$8:$F$3006),0))="","",INDEX(Transactions!$F$8:$F$3006,MATCH(0,COUNTIF($B$11:B1010,Transactions!$F$8:$F$3006),0))),"")</f>
        <v/>
      </c>
      <c r="C1011" s="50" t="str">
        <f>IF(B1011="","",SUMIF(Transactions!$F$8:$F$3006,B1011,Transactions!$H$8:$H$3006))</f>
        <v/>
      </c>
      <c r="D1011" s="51" t="str">
        <f>IF(B1011="","",SUMIF(Transactions!$F$8:$F$3006,B1011,Transactions!$N$8:$N$3006))</f>
        <v/>
      </c>
      <c r="E1011" s="52" t="str">
        <f>IF(B1011="","",SUMIF(Transactions!$F$8:$F$3006,B1011,Transactions!$O$8:$O$3006))</f>
        <v/>
      </c>
      <c r="F1011" s="53" t="str">
        <f>IF(B1011="","",SUMIF(Transactions!$F$8:$F$3006,B1011,Transactions!$R$8:$R$3006))</f>
        <v/>
      </c>
      <c r="G1011" s="54" t="str">
        <f>IF(B1011="","",(C1011+F1011)-(D1011+E1011+SUMIF(Transactions!$F$8:$F$3006,B1011,Transactions!$Q$8:$Q$3006)))</f>
        <v/>
      </c>
      <c r="H1011" s="55" t="str">
        <f>IF(B1011="","",IF(G1011&gt;0,"OUTSTANDING",IF(G1011=0,"SETTLED",IF(SUMIF(Transactions!$F$8:$F$3006,B1011,Transactions!$Q$8:$Q$3006)&gt;SUMIF(Transactions!$F$8:$F$3006,B1011,Transactions!$R$8:$R$3006),"OWES","OVERPAID"))))</f>
        <v/>
      </c>
      <c r="I1011" s="1"/>
    </row>
    <row r="1012" spans="1:9" ht="18" customHeight="1" x14ac:dyDescent="0.25">
      <c r="A1012" s="40">
        <v>997</v>
      </c>
      <c r="B1012" s="41" t="str">
        <f t="array" ref="B1012">IFERROR(IF(INDEX(Transactions!$F$8:$F$3006,MATCH(0,COUNTIF($B$11:B1011,Transactions!$F$8:$F$3006),0))="","",INDEX(Transactions!$F$8:$F$3006,MATCH(0,COUNTIF($B$11:B1011,Transactions!$F$8:$F$3006),0))),"")</f>
        <v/>
      </c>
      <c r="C1012" s="42" t="str">
        <f>IF(B1012="","",SUMIF(Transactions!$F$8:$F$3006,B1012,Transactions!$H$8:$H$3006))</f>
        <v/>
      </c>
      <c r="D1012" s="43" t="str">
        <f>IF(B1012="","",SUMIF(Transactions!$F$8:$F$3006,B1012,Transactions!$N$8:$N$3006))</f>
        <v/>
      </c>
      <c r="E1012" s="44" t="str">
        <f>IF(B1012="","",SUMIF(Transactions!$F$8:$F$3006,B1012,Transactions!$O$8:$O$3006))</f>
        <v/>
      </c>
      <c r="F1012" s="45" t="str">
        <f>IF(B1012="","",SUMIF(Transactions!$F$8:$F$3006,B1012,Transactions!$R$8:$R$3006))</f>
        <v/>
      </c>
      <c r="G1012" s="46" t="str">
        <f>IF(B1012="","",(C1012+F1012)-(D1012+E1012+SUMIF(Transactions!$F$8:$F$3006,B1012,Transactions!$Q$8:$Q$3006)))</f>
        <v/>
      </c>
      <c r="H1012" s="47" t="str">
        <f>IF(B1012="","",IF(G1012&gt;0,"OUTSTANDING",IF(G1012=0,"SETTLED",IF(SUMIF(Transactions!$F$8:$F$3006,B1012,Transactions!$Q$8:$Q$3006)&gt;SUMIF(Transactions!$F$8:$F$3006,B1012,Transactions!$R$8:$R$3006),"OWES","OVERPAID"))))</f>
        <v/>
      </c>
      <c r="I1012" s="1"/>
    </row>
    <row r="1013" spans="1:9" ht="18" customHeight="1" x14ac:dyDescent="0.25">
      <c r="A1013" s="48">
        <v>998</v>
      </c>
      <c r="B1013" s="49" t="str">
        <f t="array" ref="B1013">IFERROR(IF(INDEX(Transactions!$F$8:$F$3006,MATCH(0,COUNTIF($B$11:B1012,Transactions!$F$8:$F$3006),0))="","",INDEX(Transactions!$F$8:$F$3006,MATCH(0,COUNTIF($B$11:B1012,Transactions!$F$8:$F$3006),0))),"")</f>
        <v/>
      </c>
      <c r="C1013" s="50" t="str">
        <f>IF(B1013="","",SUMIF(Transactions!$F$8:$F$3006,B1013,Transactions!$H$8:$H$3006))</f>
        <v/>
      </c>
      <c r="D1013" s="51" t="str">
        <f>IF(B1013="","",SUMIF(Transactions!$F$8:$F$3006,B1013,Transactions!$N$8:$N$3006))</f>
        <v/>
      </c>
      <c r="E1013" s="52" t="str">
        <f>IF(B1013="","",SUMIF(Transactions!$F$8:$F$3006,B1013,Transactions!$O$8:$O$3006))</f>
        <v/>
      </c>
      <c r="F1013" s="53" t="str">
        <f>IF(B1013="","",SUMIF(Transactions!$F$8:$F$3006,B1013,Transactions!$R$8:$R$3006))</f>
        <v/>
      </c>
      <c r="G1013" s="54" t="str">
        <f>IF(B1013="","",(C1013+F1013)-(D1013+E1013+SUMIF(Transactions!$F$8:$F$3006,B1013,Transactions!$Q$8:$Q$3006)))</f>
        <v/>
      </c>
      <c r="H1013" s="55" t="str">
        <f>IF(B1013="","",IF(G1013&gt;0,"OUTSTANDING",IF(G1013=0,"SETTLED",IF(SUMIF(Transactions!$F$8:$F$3006,B1013,Transactions!$Q$8:$Q$3006)&gt;SUMIF(Transactions!$F$8:$F$3006,B1013,Transactions!$R$8:$R$3006),"OWES","OVERPAID"))))</f>
        <v/>
      </c>
      <c r="I1013" s="1"/>
    </row>
    <row r="1014" spans="1:9" ht="18" customHeight="1" x14ac:dyDescent="0.25">
      <c r="A1014" s="40">
        <v>999</v>
      </c>
      <c r="B1014" s="41" t="str">
        <f t="array" ref="B1014">IFERROR(IF(INDEX(Transactions!$F$8:$F$3006,MATCH(0,COUNTIF($B$11:B1013,Transactions!$F$8:$F$3006),0))="","",INDEX(Transactions!$F$8:$F$3006,MATCH(0,COUNTIF($B$11:B1013,Transactions!$F$8:$F$3006),0))),"")</f>
        <v/>
      </c>
      <c r="C1014" s="42" t="str">
        <f>IF(B1014="","",SUMIF(Transactions!$F$8:$F$3006,B1014,Transactions!$H$8:$H$3006))</f>
        <v/>
      </c>
      <c r="D1014" s="43" t="str">
        <f>IF(B1014="","",SUMIF(Transactions!$F$8:$F$3006,B1014,Transactions!$N$8:$N$3006))</f>
        <v/>
      </c>
      <c r="E1014" s="44" t="str">
        <f>IF(B1014="","",SUMIF(Transactions!$F$8:$F$3006,B1014,Transactions!$O$8:$O$3006))</f>
        <v/>
      </c>
      <c r="F1014" s="45" t="str">
        <f>IF(B1014="","",SUMIF(Transactions!$F$8:$F$3006,B1014,Transactions!$R$8:$R$3006))</f>
        <v/>
      </c>
      <c r="G1014" s="46" t="str">
        <f>IF(B1014="","",(C1014+F1014)-(D1014+E1014+SUMIF(Transactions!$F$8:$F$3006,B1014,Transactions!$Q$8:$Q$3006)))</f>
        <v/>
      </c>
      <c r="H1014" s="47" t="str">
        <f>IF(B1014="","",IF(G1014&gt;0,"OUTSTANDING",IF(G1014=0,"SETTLED",IF(SUMIF(Transactions!$F$8:$F$3006,B1014,Transactions!$Q$8:$Q$3006)&gt;SUMIF(Transactions!$F$8:$F$3006,B1014,Transactions!$R$8:$R$3006),"OWES","OVERPAID"))))</f>
        <v/>
      </c>
      <c r="I1014" s="1"/>
    </row>
    <row r="1015" spans="1:9" ht="18" customHeight="1" x14ac:dyDescent="0.25">
      <c r="A1015" s="48">
        <v>1000</v>
      </c>
      <c r="B1015" s="49" t="str">
        <f t="array" ref="B1015">IFERROR(IF(INDEX(Transactions!$F$8:$F$3006,MATCH(0,COUNTIF($B$11:B1014,Transactions!$F$8:$F$3006),0))="","",INDEX(Transactions!$F$8:$F$3006,MATCH(0,COUNTIF($B$11:B1014,Transactions!$F$8:$F$3006),0))),"")</f>
        <v/>
      </c>
      <c r="C1015" s="50" t="str">
        <f>IF(B1015="","",SUMIF(Transactions!$F$8:$F$3006,B1015,Transactions!$H$8:$H$3006))</f>
        <v/>
      </c>
      <c r="D1015" s="51" t="str">
        <f>IF(B1015="","",SUMIF(Transactions!$F$8:$F$3006,B1015,Transactions!$N$8:$N$3006))</f>
        <v/>
      </c>
      <c r="E1015" s="52" t="str">
        <f>IF(B1015="","",SUMIF(Transactions!$F$8:$F$3006,B1015,Transactions!$O$8:$O$3006))</f>
        <v/>
      </c>
      <c r="F1015" s="53" t="str">
        <f>IF(B1015="","",SUMIF(Transactions!$F$8:$F$3006,B1015,Transactions!$R$8:$R$3006))</f>
        <v/>
      </c>
      <c r="G1015" s="54" t="str">
        <f>IF(B1015="","",(C1015+F1015)-(D1015+E1015+SUMIF(Transactions!$F$8:$F$3006,B1015,Transactions!$Q$8:$Q$3006)))</f>
        <v/>
      </c>
      <c r="H1015" s="55" t="str">
        <f>IF(B1015="","",IF(G1015&gt;0,"OUTSTANDING",IF(G1015=0,"SETTLED",IF(SUMIF(Transactions!$F$8:$F$3006,B1015,Transactions!$Q$8:$Q$3006)&gt;SUMIF(Transactions!$F$8:$F$3006,B1015,Transactions!$R$8:$R$3006),"OWES","OVERPAID"))))</f>
        <v/>
      </c>
      <c r="I1015" s="1"/>
    </row>
    <row r="1016" spans="1:9" ht="18" customHeight="1" x14ac:dyDescent="0.25">
      <c r="A1016" s="40">
        <v>1001</v>
      </c>
      <c r="B1016" s="41" t="str">
        <f t="array" ref="B1016">IFERROR(IF(INDEX(Transactions!$F$8:$F$3006,MATCH(0,COUNTIF($B$11:B1015,Transactions!$F$8:$F$3006),0))="","",INDEX(Transactions!$F$8:$F$3006,MATCH(0,COUNTIF($B$11:B1015,Transactions!$F$8:$F$3006),0))),"")</f>
        <v/>
      </c>
      <c r="C1016" s="42" t="str">
        <f>IF(B1016="","",SUMIF(Transactions!$F$8:$F$3006,B1016,Transactions!$H$8:$H$3006))</f>
        <v/>
      </c>
      <c r="D1016" s="43" t="str">
        <f>IF(B1016="","",SUMIF(Transactions!$F$8:$F$3006,B1016,Transactions!$N$8:$N$3006))</f>
        <v/>
      </c>
      <c r="E1016" s="44" t="str">
        <f>IF(B1016="","",SUMIF(Transactions!$F$8:$F$3006,B1016,Transactions!$O$8:$O$3006))</f>
        <v/>
      </c>
      <c r="F1016" s="45" t="str">
        <f>IF(B1016="","",SUMIF(Transactions!$F$8:$F$3006,B1016,Transactions!$R$8:$R$3006))</f>
        <v/>
      </c>
      <c r="G1016" s="46" t="str">
        <f>IF(B1016="","",(C1016+F1016)-(D1016+E1016+SUMIF(Transactions!$F$8:$F$3006,B1016,Transactions!$Q$8:$Q$3006)))</f>
        <v/>
      </c>
      <c r="H1016" s="47" t="str">
        <f>IF(B1016="","",IF(G1016&gt;0,"OUTSTANDING",IF(G1016=0,"SETTLED",IF(SUMIF(Transactions!$F$8:$F$3006,B1016,Transactions!$Q$8:$Q$3006)&gt;SUMIF(Transactions!$F$8:$F$3006,B1016,Transactions!$R$8:$R$3006),"OWES","OVERPAID"))))</f>
        <v/>
      </c>
      <c r="I1016" s="1"/>
    </row>
    <row r="1017" spans="1:9" ht="18" customHeight="1" x14ac:dyDescent="0.25">
      <c r="A1017" s="48">
        <v>1002</v>
      </c>
      <c r="B1017" s="49" t="str">
        <f t="array" ref="B1017">IFERROR(IF(INDEX(Transactions!$F$8:$F$3006,MATCH(0,COUNTIF($B$11:B1016,Transactions!$F$8:$F$3006),0))="","",INDEX(Transactions!$F$8:$F$3006,MATCH(0,COUNTIF($B$11:B1016,Transactions!$F$8:$F$3006),0))),"")</f>
        <v/>
      </c>
      <c r="C1017" s="50" t="str">
        <f>IF(B1017="","",SUMIF(Transactions!$F$8:$F$3006,B1017,Transactions!$H$8:$H$3006))</f>
        <v/>
      </c>
      <c r="D1017" s="51" t="str">
        <f>IF(B1017="","",SUMIF(Transactions!$F$8:$F$3006,B1017,Transactions!$N$8:$N$3006))</f>
        <v/>
      </c>
      <c r="E1017" s="52" t="str">
        <f>IF(B1017="","",SUMIF(Transactions!$F$8:$F$3006,B1017,Transactions!$O$8:$O$3006))</f>
        <v/>
      </c>
      <c r="F1017" s="53" t="str">
        <f>IF(B1017="","",SUMIF(Transactions!$F$8:$F$3006,B1017,Transactions!$R$8:$R$3006))</f>
        <v/>
      </c>
      <c r="G1017" s="54" t="str">
        <f>IF(B1017="","",(C1017+F1017)-(D1017+E1017+SUMIF(Transactions!$F$8:$F$3006,B1017,Transactions!$Q$8:$Q$3006)))</f>
        <v/>
      </c>
      <c r="H1017" s="55" t="str">
        <f>IF(B1017="","",IF(G1017&gt;0,"OUTSTANDING",IF(G1017=0,"SETTLED",IF(SUMIF(Transactions!$F$8:$F$3006,B1017,Transactions!$Q$8:$Q$3006)&gt;SUMIF(Transactions!$F$8:$F$3006,B1017,Transactions!$R$8:$R$3006),"OWES","OVERPAID"))))</f>
        <v/>
      </c>
      <c r="I1017" s="1"/>
    </row>
    <row r="1018" spans="1:9" ht="18" customHeight="1" x14ac:dyDescent="0.25">
      <c r="A1018" s="40">
        <v>1003</v>
      </c>
      <c r="B1018" s="41" t="str">
        <f t="array" ref="B1018">IFERROR(IF(INDEX(Transactions!$F$8:$F$3006,MATCH(0,COUNTIF($B$11:B1017,Transactions!$F$8:$F$3006),0))="","",INDEX(Transactions!$F$8:$F$3006,MATCH(0,COUNTIF($B$11:B1017,Transactions!$F$8:$F$3006),0))),"")</f>
        <v/>
      </c>
      <c r="C1018" s="42" t="str">
        <f>IF(B1018="","",SUMIF(Transactions!$F$8:$F$3006,B1018,Transactions!$H$8:$H$3006))</f>
        <v/>
      </c>
      <c r="D1018" s="43" t="str">
        <f>IF(B1018="","",SUMIF(Transactions!$F$8:$F$3006,B1018,Transactions!$N$8:$N$3006))</f>
        <v/>
      </c>
      <c r="E1018" s="44" t="str">
        <f>IF(B1018="","",SUMIF(Transactions!$F$8:$F$3006,B1018,Transactions!$O$8:$O$3006))</f>
        <v/>
      </c>
      <c r="F1018" s="45" t="str">
        <f>IF(B1018="","",SUMIF(Transactions!$F$8:$F$3006,B1018,Transactions!$R$8:$R$3006))</f>
        <v/>
      </c>
      <c r="G1018" s="46" t="str">
        <f>IF(B1018="","",(C1018+F1018)-(D1018+E1018+SUMIF(Transactions!$F$8:$F$3006,B1018,Transactions!$Q$8:$Q$3006)))</f>
        <v/>
      </c>
      <c r="H1018" s="47" t="str">
        <f>IF(B1018="","",IF(G1018&gt;0,"OUTSTANDING",IF(G1018=0,"SETTLED",IF(SUMIF(Transactions!$F$8:$F$3006,B1018,Transactions!$Q$8:$Q$3006)&gt;SUMIF(Transactions!$F$8:$F$3006,B1018,Transactions!$R$8:$R$3006),"OWES","OVERPAID"))))</f>
        <v/>
      </c>
      <c r="I1018" s="1"/>
    </row>
    <row r="1019" spans="1:9" ht="18" customHeight="1" x14ac:dyDescent="0.25">
      <c r="A1019" s="48">
        <v>1004</v>
      </c>
      <c r="B1019" s="49" t="str">
        <f t="array" ref="B1019">IFERROR(IF(INDEX(Transactions!$F$8:$F$3006,MATCH(0,COUNTIF($B$11:B1018,Transactions!$F$8:$F$3006),0))="","",INDEX(Transactions!$F$8:$F$3006,MATCH(0,COUNTIF($B$11:B1018,Transactions!$F$8:$F$3006),0))),"")</f>
        <v/>
      </c>
      <c r="C1019" s="50" t="str">
        <f>IF(B1019="","",SUMIF(Transactions!$F$8:$F$3006,B1019,Transactions!$H$8:$H$3006))</f>
        <v/>
      </c>
      <c r="D1019" s="51" t="str">
        <f>IF(B1019="","",SUMIF(Transactions!$F$8:$F$3006,B1019,Transactions!$N$8:$N$3006))</f>
        <v/>
      </c>
      <c r="E1019" s="52" t="str">
        <f>IF(B1019="","",SUMIF(Transactions!$F$8:$F$3006,B1019,Transactions!$O$8:$O$3006))</f>
        <v/>
      </c>
      <c r="F1019" s="53" t="str">
        <f>IF(B1019="","",SUMIF(Transactions!$F$8:$F$3006,B1019,Transactions!$R$8:$R$3006))</f>
        <v/>
      </c>
      <c r="G1019" s="54" t="str">
        <f>IF(B1019="","",(C1019+F1019)-(D1019+E1019+SUMIF(Transactions!$F$8:$F$3006,B1019,Transactions!$Q$8:$Q$3006)))</f>
        <v/>
      </c>
      <c r="H1019" s="55" t="str">
        <f>IF(B1019="","",IF(G1019&gt;0,"OUTSTANDING",IF(G1019=0,"SETTLED",IF(SUMIF(Transactions!$F$8:$F$3006,B1019,Transactions!$Q$8:$Q$3006)&gt;SUMIF(Transactions!$F$8:$F$3006,B1019,Transactions!$R$8:$R$3006),"OWES","OVERPAID"))))</f>
        <v/>
      </c>
      <c r="I1019" s="1"/>
    </row>
    <row r="1020" spans="1:9" ht="18" customHeight="1" x14ac:dyDescent="0.25">
      <c r="A1020" s="40">
        <v>1005</v>
      </c>
      <c r="B1020" s="41" t="str">
        <f t="array" ref="B1020">IFERROR(IF(INDEX(Transactions!$F$8:$F$3006,MATCH(0,COUNTIF($B$11:B1019,Transactions!$F$8:$F$3006),0))="","",INDEX(Transactions!$F$8:$F$3006,MATCH(0,COUNTIF($B$11:B1019,Transactions!$F$8:$F$3006),0))),"")</f>
        <v/>
      </c>
      <c r="C1020" s="42" t="str">
        <f>IF(B1020="","",SUMIF(Transactions!$F$8:$F$3006,B1020,Transactions!$H$8:$H$3006))</f>
        <v/>
      </c>
      <c r="D1020" s="43" t="str">
        <f>IF(B1020="","",SUMIF(Transactions!$F$8:$F$3006,B1020,Transactions!$N$8:$N$3006))</f>
        <v/>
      </c>
      <c r="E1020" s="44" t="str">
        <f>IF(B1020="","",SUMIF(Transactions!$F$8:$F$3006,B1020,Transactions!$O$8:$O$3006))</f>
        <v/>
      </c>
      <c r="F1020" s="45" t="str">
        <f>IF(B1020="","",SUMIF(Transactions!$F$8:$F$3006,B1020,Transactions!$R$8:$R$3006))</f>
        <v/>
      </c>
      <c r="G1020" s="46" t="str">
        <f>IF(B1020="","",(C1020+F1020)-(D1020+E1020+SUMIF(Transactions!$F$8:$F$3006,B1020,Transactions!$Q$8:$Q$3006)))</f>
        <v/>
      </c>
      <c r="H1020" s="47" t="str">
        <f>IF(B1020="","",IF(G1020&gt;0,"OUTSTANDING",IF(G1020=0,"SETTLED",IF(SUMIF(Transactions!$F$8:$F$3006,B1020,Transactions!$Q$8:$Q$3006)&gt;SUMIF(Transactions!$F$8:$F$3006,B1020,Transactions!$R$8:$R$3006),"OWES","OVERPAID"))))</f>
        <v/>
      </c>
      <c r="I1020" s="1"/>
    </row>
    <row r="1021" spans="1:9" ht="18" customHeight="1" x14ac:dyDescent="0.25">
      <c r="A1021" s="48">
        <v>1006</v>
      </c>
      <c r="B1021" s="49" t="str">
        <f t="array" ref="B1021">IFERROR(IF(INDEX(Transactions!$F$8:$F$3006,MATCH(0,COUNTIF($B$11:B1020,Transactions!$F$8:$F$3006),0))="","",INDEX(Transactions!$F$8:$F$3006,MATCH(0,COUNTIF($B$11:B1020,Transactions!$F$8:$F$3006),0))),"")</f>
        <v/>
      </c>
      <c r="C1021" s="50" t="str">
        <f>IF(B1021="","",SUMIF(Transactions!$F$8:$F$3006,B1021,Transactions!$H$8:$H$3006))</f>
        <v/>
      </c>
      <c r="D1021" s="51" t="str">
        <f>IF(B1021="","",SUMIF(Transactions!$F$8:$F$3006,B1021,Transactions!$N$8:$N$3006))</f>
        <v/>
      </c>
      <c r="E1021" s="52" t="str">
        <f>IF(B1021="","",SUMIF(Transactions!$F$8:$F$3006,B1021,Transactions!$O$8:$O$3006))</f>
        <v/>
      </c>
      <c r="F1021" s="53" t="str">
        <f>IF(B1021="","",SUMIF(Transactions!$F$8:$F$3006,B1021,Transactions!$R$8:$R$3006))</f>
        <v/>
      </c>
      <c r="G1021" s="54" t="str">
        <f>IF(B1021="","",(C1021+F1021)-(D1021+E1021+SUMIF(Transactions!$F$8:$F$3006,B1021,Transactions!$Q$8:$Q$3006)))</f>
        <v/>
      </c>
      <c r="H1021" s="55" t="str">
        <f>IF(B1021="","",IF(G1021&gt;0,"OUTSTANDING",IF(G1021=0,"SETTLED",IF(SUMIF(Transactions!$F$8:$F$3006,B1021,Transactions!$Q$8:$Q$3006)&gt;SUMIF(Transactions!$F$8:$F$3006,B1021,Transactions!$R$8:$R$3006),"OWES","OVERPAID"))))</f>
        <v/>
      </c>
      <c r="I1021" s="1"/>
    </row>
    <row r="1022" spans="1:9" ht="18" customHeight="1" x14ac:dyDescent="0.25">
      <c r="A1022" s="40">
        <v>1007</v>
      </c>
      <c r="B1022" s="41" t="str">
        <f t="array" ref="B1022">IFERROR(IF(INDEX(Transactions!$F$8:$F$3006,MATCH(0,COUNTIF($B$11:B1021,Transactions!$F$8:$F$3006),0))="","",INDEX(Transactions!$F$8:$F$3006,MATCH(0,COUNTIF($B$11:B1021,Transactions!$F$8:$F$3006),0))),"")</f>
        <v/>
      </c>
      <c r="C1022" s="42" t="str">
        <f>IF(B1022="","",SUMIF(Transactions!$F$8:$F$3006,B1022,Transactions!$H$8:$H$3006))</f>
        <v/>
      </c>
      <c r="D1022" s="43" t="str">
        <f>IF(B1022="","",SUMIF(Transactions!$F$8:$F$3006,B1022,Transactions!$N$8:$N$3006))</f>
        <v/>
      </c>
      <c r="E1022" s="44" t="str">
        <f>IF(B1022="","",SUMIF(Transactions!$F$8:$F$3006,B1022,Transactions!$O$8:$O$3006))</f>
        <v/>
      </c>
      <c r="F1022" s="45" t="str">
        <f>IF(B1022="","",SUMIF(Transactions!$F$8:$F$3006,B1022,Transactions!$R$8:$R$3006))</f>
        <v/>
      </c>
      <c r="G1022" s="46" t="str">
        <f>IF(B1022="","",(C1022+F1022)-(D1022+E1022+SUMIF(Transactions!$F$8:$F$3006,B1022,Transactions!$Q$8:$Q$3006)))</f>
        <v/>
      </c>
      <c r="H1022" s="47" t="str">
        <f>IF(B1022="","",IF(G1022&gt;0,"OUTSTANDING",IF(G1022=0,"SETTLED",IF(SUMIF(Transactions!$F$8:$F$3006,B1022,Transactions!$Q$8:$Q$3006)&gt;SUMIF(Transactions!$F$8:$F$3006,B1022,Transactions!$R$8:$R$3006),"OWES","OVERPAID"))))</f>
        <v/>
      </c>
      <c r="I1022" s="1"/>
    </row>
    <row r="1023" spans="1:9" ht="18" customHeight="1" x14ac:dyDescent="0.25">
      <c r="A1023" s="48">
        <v>1008</v>
      </c>
      <c r="B1023" s="49" t="str">
        <f t="array" ref="B1023">IFERROR(IF(INDEX(Transactions!$F$8:$F$3006,MATCH(0,COUNTIF($B$11:B1022,Transactions!$F$8:$F$3006),0))="","",INDEX(Transactions!$F$8:$F$3006,MATCH(0,COUNTIF($B$11:B1022,Transactions!$F$8:$F$3006),0))),"")</f>
        <v/>
      </c>
      <c r="C1023" s="50" t="str">
        <f>IF(B1023="","",SUMIF(Transactions!$F$8:$F$3006,B1023,Transactions!$H$8:$H$3006))</f>
        <v/>
      </c>
      <c r="D1023" s="51" t="str">
        <f>IF(B1023="","",SUMIF(Transactions!$F$8:$F$3006,B1023,Transactions!$N$8:$N$3006))</f>
        <v/>
      </c>
      <c r="E1023" s="52" t="str">
        <f>IF(B1023="","",SUMIF(Transactions!$F$8:$F$3006,B1023,Transactions!$O$8:$O$3006))</f>
        <v/>
      </c>
      <c r="F1023" s="53" t="str">
        <f>IF(B1023="","",SUMIF(Transactions!$F$8:$F$3006,B1023,Transactions!$R$8:$R$3006))</f>
        <v/>
      </c>
      <c r="G1023" s="54" t="str">
        <f>IF(B1023="","",(C1023+F1023)-(D1023+E1023+SUMIF(Transactions!$F$8:$F$3006,B1023,Transactions!$Q$8:$Q$3006)))</f>
        <v/>
      </c>
      <c r="H1023" s="55" t="str">
        <f>IF(B1023="","",IF(G1023&gt;0,"OUTSTANDING",IF(G1023=0,"SETTLED",IF(SUMIF(Transactions!$F$8:$F$3006,B1023,Transactions!$Q$8:$Q$3006)&gt;SUMIF(Transactions!$F$8:$F$3006,B1023,Transactions!$R$8:$R$3006),"OWES","OVERPAID"))))</f>
        <v/>
      </c>
      <c r="I1023" s="1"/>
    </row>
    <row r="1024" spans="1:9" ht="18" customHeight="1" x14ac:dyDescent="0.25">
      <c r="A1024" s="40">
        <v>1009</v>
      </c>
      <c r="B1024" s="41" t="str">
        <f t="array" ref="B1024">IFERROR(IF(INDEX(Transactions!$F$8:$F$3006,MATCH(0,COUNTIF($B$11:B1023,Transactions!$F$8:$F$3006),0))="","",INDEX(Transactions!$F$8:$F$3006,MATCH(0,COUNTIF($B$11:B1023,Transactions!$F$8:$F$3006),0))),"")</f>
        <v/>
      </c>
      <c r="C1024" s="42" t="str">
        <f>IF(B1024="","",SUMIF(Transactions!$F$8:$F$3006,B1024,Transactions!$H$8:$H$3006))</f>
        <v/>
      </c>
      <c r="D1024" s="43" t="str">
        <f>IF(B1024="","",SUMIF(Transactions!$F$8:$F$3006,B1024,Transactions!$N$8:$N$3006))</f>
        <v/>
      </c>
      <c r="E1024" s="44" t="str">
        <f>IF(B1024="","",SUMIF(Transactions!$F$8:$F$3006,B1024,Transactions!$O$8:$O$3006))</f>
        <v/>
      </c>
      <c r="F1024" s="45" t="str">
        <f>IF(B1024="","",SUMIF(Transactions!$F$8:$F$3006,B1024,Transactions!$R$8:$R$3006))</f>
        <v/>
      </c>
      <c r="G1024" s="46" t="str">
        <f>IF(B1024="","",(C1024+F1024)-(D1024+E1024+SUMIF(Transactions!$F$8:$F$3006,B1024,Transactions!$Q$8:$Q$3006)))</f>
        <v/>
      </c>
      <c r="H1024" s="47" t="str">
        <f>IF(B1024="","",IF(G1024&gt;0,"OUTSTANDING",IF(G1024=0,"SETTLED",IF(SUMIF(Transactions!$F$8:$F$3006,B1024,Transactions!$Q$8:$Q$3006)&gt;SUMIF(Transactions!$F$8:$F$3006,B1024,Transactions!$R$8:$R$3006),"OWES","OVERPAID"))))</f>
        <v/>
      </c>
      <c r="I1024" s="1"/>
    </row>
    <row r="1025" spans="1:9" ht="18" customHeight="1" x14ac:dyDescent="0.25">
      <c r="A1025" s="48">
        <v>1010</v>
      </c>
      <c r="B1025" s="49" t="str">
        <f t="array" ref="B1025">IFERROR(IF(INDEX(Transactions!$F$8:$F$3006,MATCH(0,COUNTIF($B$11:B1024,Transactions!$F$8:$F$3006),0))="","",INDEX(Transactions!$F$8:$F$3006,MATCH(0,COUNTIF($B$11:B1024,Transactions!$F$8:$F$3006),0))),"")</f>
        <v/>
      </c>
      <c r="C1025" s="50" t="str">
        <f>IF(B1025="","",SUMIF(Transactions!$F$8:$F$3006,B1025,Transactions!$H$8:$H$3006))</f>
        <v/>
      </c>
      <c r="D1025" s="51" t="str">
        <f>IF(B1025="","",SUMIF(Transactions!$F$8:$F$3006,B1025,Transactions!$N$8:$N$3006))</f>
        <v/>
      </c>
      <c r="E1025" s="52" t="str">
        <f>IF(B1025="","",SUMIF(Transactions!$F$8:$F$3006,B1025,Transactions!$O$8:$O$3006))</f>
        <v/>
      </c>
      <c r="F1025" s="53" t="str">
        <f>IF(B1025="","",SUMIF(Transactions!$F$8:$F$3006,B1025,Transactions!$R$8:$R$3006))</f>
        <v/>
      </c>
      <c r="G1025" s="54" t="str">
        <f>IF(B1025="","",(C1025+F1025)-(D1025+E1025+SUMIF(Transactions!$F$8:$F$3006,B1025,Transactions!$Q$8:$Q$3006)))</f>
        <v/>
      </c>
      <c r="H1025" s="55" t="str">
        <f>IF(B1025="","",IF(G1025&gt;0,"OUTSTANDING",IF(G1025=0,"SETTLED",IF(SUMIF(Transactions!$F$8:$F$3006,B1025,Transactions!$Q$8:$Q$3006)&gt;SUMIF(Transactions!$F$8:$F$3006,B1025,Transactions!$R$8:$R$3006),"OWES","OVERPAID"))))</f>
        <v/>
      </c>
      <c r="I1025" s="1"/>
    </row>
    <row r="1026" spans="1:9" ht="18" customHeight="1" x14ac:dyDescent="0.25">
      <c r="A1026" s="40">
        <v>1011</v>
      </c>
      <c r="B1026" s="41" t="str">
        <f t="array" ref="B1026">IFERROR(IF(INDEX(Transactions!$F$8:$F$3006,MATCH(0,COUNTIF($B$11:B1025,Transactions!$F$8:$F$3006),0))="","",INDEX(Transactions!$F$8:$F$3006,MATCH(0,COUNTIF($B$11:B1025,Transactions!$F$8:$F$3006),0))),"")</f>
        <v/>
      </c>
      <c r="C1026" s="42" t="str">
        <f>IF(B1026="","",SUMIF(Transactions!$F$8:$F$3006,B1026,Transactions!$H$8:$H$3006))</f>
        <v/>
      </c>
      <c r="D1026" s="43" t="str">
        <f>IF(B1026="","",SUMIF(Transactions!$F$8:$F$3006,B1026,Transactions!$N$8:$N$3006))</f>
        <v/>
      </c>
      <c r="E1026" s="44" t="str">
        <f>IF(B1026="","",SUMIF(Transactions!$F$8:$F$3006,B1026,Transactions!$O$8:$O$3006))</f>
        <v/>
      </c>
      <c r="F1026" s="45" t="str">
        <f>IF(B1026="","",SUMIF(Transactions!$F$8:$F$3006,B1026,Transactions!$R$8:$R$3006))</f>
        <v/>
      </c>
      <c r="G1026" s="46" t="str">
        <f>IF(B1026="","",(C1026+F1026)-(D1026+E1026+SUMIF(Transactions!$F$8:$F$3006,B1026,Transactions!$Q$8:$Q$3006)))</f>
        <v/>
      </c>
      <c r="H1026" s="47" t="str">
        <f>IF(B1026="","",IF(G1026&gt;0,"OUTSTANDING",IF(G1026=0,"SETTLED",IF(SUMIF(Transactions!$F$8:$F$3006,B1026,Transactions!$Q$8:$Q$3006)&gt;SUMIF(Transactions!$F$8:$F$3006,B1026,Transactions!$R$8:$R$3006),"OWES","OVERPAID"))))</f>
        <v/>
      </c>
      <c r="I1026" s="1"/>
    </row>
    <row r="1027" spans="1:9" ht="18" customHeight="1" x14ac:dyDescent="0.25">
      <c r="A1027" s="48">
        <v>1012</v>
      </c>
      <c r="B1027" s="49" t="str">
        <f t="array" ref="B1027">IFERROR(IF(INDEX(Transactions!$F$8:$F$3006,MATCH(0,COUNTIF($B$11:B1026,Transactions!$F$8:$F$3006),0))="","",INDEX(Transactions!$F$8:$F$3006,MATCH(0,COUNTIF($B$11:B1026,Transactions!$F$8:$F$3006),0))),"")</f>
        <v/>
      </c>
      <c r="C1027" s="50" t="str">
        <f>IF(B1027="","",SUMIF(Transactions!$F$8:$F$3006,B1027,Transactions!$H$8:$H$3006))</f>
        <v/>
      </c>
      <c r="D1027" s="51" t="str">
        <f>IF(B1027="","",SUMIF(Transactions!$F$8:$F$3006,B1027,Transactions!$N$8:$N$3006))</f>
        <v/>
      </c>
      <c r="E1027" s="52" t="str">
        <f>IF(B1027="","",SUMIF(Transactions!$F$8:$F$3006,B1027,Transactions!$O$8:$O$3006))</f>
        <v/>
      </c>
      <c r="F1027" s="53" t="str">
        <f>IF(B1027="","",SUMIF(Transactions!$F$8:$F$3006,B1027,Transactions!$R$8:$R$3006))</f>
        <v/>
      </c>
      <c r="G1027" s="54" t="str">
        <f>IF(B1027="","",(C1027+F1027)-(D1027+E1027+SUMIF(Transactions!$F$8:$F$3006,B1027,Transactions!$Q$8:$Q$3006)))</f>
        <v/>
      </c>
      <c r="H1027" s="55" t="str">
        <f>IF(B1027="","",IF(G1027&gt;0,"OUTSTANDING",IF(G1027=0,"SETTLED",IF(SUMIF(Transactions!$F$8:$F$3006,B1027,Transactions!$Q$8:$Q$3006)&gt;SUMIF(Transactions!$F$8:$F$3006,B1027,Transactions!$R$8:$R$3006),"OWES","OVERPAID"))))</f>
        <v/>
      </c>
      <c r="I1027" s="1"/>
    </row>
    <row r="1028" spans="1:9" ht="18" customHeight="1" x14ac:dyDescent="0.25">
      <c r="A1028" s="40">
        <v>1013</v>
      </c>
      <c r="B1028" s="41" t="str">
        <f t="array" ref="B1028">IFERROR(IF(INDEX(Transactions!$F$8:$F$3006,MATCH(0,COUNTIF($B$11:B1027,Transactions!$F$8:$F$3006),0))="","",INDEX(Transactions!$F$8:$F$3006,MATCH(0,COUNTIF($B$11:B1027,Transactions!$F$8:$F$3006),0))),"")</f>
        <v/>
      </c>
      <c r="C1028" s="42" t="str">
        <f>IF(B1028="","",SUMIF(Transactions!$F$8:$F$3006,B1028,Transactions!$H$8:$H$3006))</f>
        <v/>
      </c>
      <c r="D1028" s="43" t="str">
        <f>IF(B1028="","",SUMIF(Transactions!$F$8:$F$3006,B1028,Transactions!$N$8:$N$3006))</f>
        <v/>
      </c>
      <c r="E1028" s="44" t="str">
        <f>IF(B1028="","",SUMIF(Transactions!$F$8:$F$3006,B1028,Transactions!$O$8:$O$3006))</f>
        <v/>
      </c>
      <c r="F1028" s="45" t="str">
        <f>IF(B1028="","",SUMIF(Transactions!$F$8:$F$3006,B1028,Transactions!$R$8:$R$3006))</f>
        <v/>
      </c>
      <c r="G1028" s="46" t="str">
        <f>IF(B1028="","",(C1028+F1028)-(D1028+E1028+SUMIF(Transactions!$F$8:$F$3006,B1028,Transactions!$Q$8:$Q$3006)))</f>
        <v/>
      </c>
      <c r="H1028" s="47" t="str">
        <f>IF(B1028="","",IF(G1028&gt;0,"OUTSTANDING",IF(G1028=0,"SETTLED",IF(SUMIF(Transactions!$F$8:$F$3006,B1028,Transactions!$Q$8:$Q$3006)&gt;SUMIF(Transactions!$F$8:$F$3006,B1028,Transactions!$R$8:$R$3006),"OWES","OVERPAID"))))</f>
        <v/>
      </c>
      <c r="I1028" s="1"/>
    </row>
    <row r="1029" spans="1:9" ht="18" customHeight="1" x14ac:dyDescent="0.25">
      <c r="A1029" s="48">
        <v>1014</v>
      </c>
      <c r="B1029" s="49" t="str">
        <f t="array" ref="B1029">IFERROR(IF(INDEX(Transactions!$F$8:$F$3006,MATCH(0,COUNTIF($B$11:B1028,Transactions!$F$8:$F$3006),0))="","",INDEX(Transactions!$F$8:$F$3006,MATCH(0,COUNTIF($B$11:B1028,Transactions!$F$8:$F$3006),0))),"")</f>
        <v/>
      </c>
      <c r="C1029" s="50" t="str">
        <f>IF(B1029="","",SUMIF(Transactions!$F$8:$F$3006,B1029,Transactions!$H$8:$H$3006))</f>
        <v/>
      </c>
      <c r="D1029" s="51" t="str">
        <f>IF(B1029="","",SUMIF(Transactions!$F$8:$F$3006,B1029,Transactions!$N$8:$N$3006))</f>
        <v/>
      </c>
      <c r="E1029" s="52" t="str">
        <f>IF(B1029="","",SUMIF(Transactions!$F$8:$F$3006,B1029,Transactions!$O$8:$O$3006))</f>
        <v/>
      </c>
      <c r="F1029" s="53" t="str">
        <f>IF(B1029="","",SUMIF(Transactions!$F$8:$F$3006,B1029,Transactions!$R$8:$R$3006))</f>
        <v/>
      </c>
      <c r="G1029" s="54" t="str">
        <f>IF(B1029="","",(C1029+F1029)-(D1029+E1029+SUMIF(Transactions!$F$8:$F$3006,B1029,Transactions!$Q$8:$Q$3006)))</f>
        <v/>
      </c>
      <c r="H1029" s="55" t="str">
        <f>IF(B1029="","",IF(G1029&gt;0,"OUTSTANDING",IF(G1029=0,"SETTLED",IF(SUMIF(Transactions!$F$8:$F$3006,B1029,Transactions!$Q$8:$Q$3006)&gt;SUMIF(Transactions!$F$8:$F$3006,B1029,Transactions!$R$8:$R$3006),"OWES","OVERPAID"))))</f>
        <v/>
      </c>
      <c r="I1029" s="1"/>
    </row>
    <row r="1030" spans="1:9" ht="18" customHeight="1" x14ac:dyDescent="0.25">
      <c r="A1030" s="40">
        <v>1015</v>
      </c>
      <c r="B1030" s="41" t="str">
        <f t="array" ref="B1030">IFERROR(IF(INDEX(Transactions!$F$8:$F$3006,MATCH(0,COUNTIF($B$11:B1029,Transactions!$F$8:$F$3006),0))="","",INDEX(Transactions!$F$8:$F$3006,MATCH(0,COUNTIF($B$11:B1029,Transactions!$F$8:$F$3006),0))),"")</f>
        <v/>
      </c>
      <c r="C1030" s="42" t="str">
        <f>IF(B1030="","",SUMIF(Transactions!$F$8:$F$3006,B1030,Transactions!$H$8:$H$3006))</f>
        <v/>
      </c>
      <c r="D1030" s="43" t="str">
        <f>IF(B1030="","",SUMIF(Transactions!$F$8:$F$3006,B1030,Transactions!$N$8:$N$3006))</f>
        <v/>
      </c>
      <c r="E1030" s="44" t="str">
        <f>IF(B1030="","",SUMIF(Transactions!$F$8:$F$3006,B1030,Transactions!$O$8:$O$3006))</f>
        <v/>
      </c>
      <c r="F1030" s="45" t="str">
        <f>IF(B1030="","",SUMIF(Transactions!$F$8:$F$3006,B1030,Transactions!$R$8:$R$3006))</f>
        <v/>
      </c>
      <c r="G1030" s="46" t="str">
        <f>IF(B1030="","",(C1030+F1030)-(D1030+E1030+SUMIF(Transactions!$F$8:$F$3006,B1030,Transactions!$Q$8:$Q$3006)))</f>
        <v/>
      </c>
      <c r="H1030" s="47" t="str">
        <f>IF(B1030="","",IF(G1030&gt;0,"OUTSTANDING",IF(G1030=0,"SETTLED",IF(SUMIF(Transactions!$F$8:$F$3006,B1030,Transactions!$Q$8:$Q$3006)&gt;SUMIF(Transactions!$F$8:$F$3006,B1030,Transactions!$R$8:$R$3006),"OWES","OVERPAID"))))</f>
        <v/>
      </c>
      <c r="I1030" s="1"/>
    </row>
    <row r="1031" spans="1:9" ht="18" customHeight="1" x14ac:dyDescent="0.25">
      <c r="A1031" s="48">
        <v>1016</v>
      </c>
      <c r="B1031" s="49" t="str">
        <f t="array" ref="B1031">IFERROR(IF(INDEX(Transactions!$F$8:$F$3006,MATCH(0,COUNTIF($B$11:B1030,Transactions!$F$8:$F$3006),0))="","",INDEX(Transactions!$F$8:$F$3006,MATCH(0,COUNTIF($B$11:B1030,Transactions!$F$8:$F$3006),0))),"")</f>
        <v/>
      </c>
      <c r="C1031" s="50" t="str">
        <f>IF(B1031="","",SUMIF(Transactions!$F$8:$F$3006,B1031,Transactions!$H$8:$H$3006))</f>
        <v/>
      </c>
      <c r="D1031" s="51" t="str">
        <f>IF(B1031="","",SUMIF(Transactions!$F$8:$F$3006,B1031,Transactions!$N$8:$N$3006))</f>
        <v/>
      </c>
      <c r="E1031" s="52" t="str">
        <f>IF(B1031="","",SUMIF(Transactions!$F$8:$F$3006,B1031,Transactions!$O$8:$O$3006))</f>
        <v/>
      </c>
      <c r="F1031" s="53" t="str">
        <f>IF(B1031="","",SUMIF(Transactions!$F$8:$F$3006,B1031,Transactions!$R$8:$R$3006))</f>
        <v/>
      </c>
      <c r="G1031" s="54" t="str">
        <f>IF(B1031="","",(C1031+F1031)-(D1031+E1031+SUMIF(Transactions!$F$8:$F$3006,B1031,Transactions!$Q$8:$Q$3006)))</f>
        <v/>
      </c>
      <c r="H1031" s="55" t="str">
        <f>IF(B1031="","",IF(G1031&gt;0,"OUTSTANDING",IF(G1031=0,"SETTLED",IF(SUMIF(Transactions!$F$8:$F$3006,B1031,Transactions!$Q$8:$Q$3006)&gt;SUMIF(Transactions!$F$8:$F$3006,B1031,Transactions!$R$8:$R$3006),"OWES","OVERPAID"))))</f>
        <v/>
      </c>
      <c r="I1031" s="1"/>
    </row>
    <row r="1032" spans="1:9" ht="18" customHeight="1" x14ac:dyDescent="0.25">
      <c r="A1032" s="40">
        <v>1017</v>
      </c>
      <c r="B1032" s="41" t="str">
        <f t="array" ref="B1032">IFERROR(IF(INDEX(Transactions!$F$8:$F$3006,MATCH(0,COUNTIF($B$11:B1031,Transactions!$F$8:$F$3006),0))="","",INDEX(Transactions!$F$8:$F$3006,MATCH(0,COUNTIF($B$11:B1031,Transactions!$F$8:$F$3006),0))),"")</f>
        <v/>
      </c>
      <c r="C1032" s="42" t="str">
        <f>IF(B1032="","",SUMIF(Transactions!$F$8:$F$3006,B1032,Transactions!$H$8:$H$3006))</f>
        <v/>
      </c>
      <c r="D1032" s="43" t="str">
        <f>IF(B1032="","",SUMIF(Transactions!$F$8:$F$3006,B1032,Transactions!$N$8:$N$3006))</f>
        <v/>
      </c>
      <c r="E1032" s="44" t="str">
        <f>IF(B1032="","",SUMIF(Transactions!$F$8:$F$3006,B1032,Transactions!$O$8:$O$3006))</f>
        <v/>
      </c>
      <c r="F1032" s="45" t="str">
        <f>IF(B1032="","",SUMIF(Transactions!$F$8:$F$3006,B1032,Transactions!$R$8:$R$3006))</f>
        <v/>
      </c>
      <c r="G1032" s="46" t="str">
        <f>IF(B1032="","",(C1032+F1032)-(D1032+E1032+SUMIF(Transactions!$F$8:$F$3006,B1032,Transactions!$Q$8:$Q$3006)))</f>
        <v/>
      </c>
      <c r="H1032" s="47" t="str">
        <f>IF(B1032="","",IF(G1032&gt;0,"OUTSTANDING",IF(G1032=0,"SETTLED",IF(SUMIF(Transactions!$F$8:$F$3006,B1032,Transactions!$Q$8:$Q$3006)&gt;SUMIF(Transactions!$F$8:$F$3006,B1032,Transactions!$R$8:$R$3006),"OWES","OVERPAID"))))</f>
        <v/>
      </c>
      <c r="I1032" s="1"/>
    </row>
    <row r="1033" spans="1:9" ht="18" customHeight="1" x14ac:dyDescent="0.25">
      <c r="A1033" s="48">
        <v>1018</v>
      </c>
      <c r="B1033" s="49" t="str">
        <f t="array" ref="B1033">IFERROR(IF(INDEX(Transactions!$F$8:$F$3006,MATCH(0,COUNTIF($B$11:B1032,Transactions!$F$8:$F$3006),0))="","",INDEX(Transactions!$F$8:$F$3006,MATCH(0,COUNTIF($B$11:B1032,Transactions!$F$8:$F$3006),0))),"")</f>
        <v/>
      </c>
      <c r="C1033" s="50" t="str">
        <f>IF(B1033="","",SUMIF(Transactions!$F$8:$F$3006,B1033,Transactions!$H$8:$H$3006))</f>
        <v/>
      </c>
      <c r="D1033" s="51" t="str">
        <f>IF(B1033="","",SUMIF(Transactions!$F$8:$F$3006,B1033,Transactions!$N$8:$N$3006))</f>
        <v/>
      </c>
      <c r="E1033" s="52" t="str">
        <f>IF(B1033="","",SUMIF(Transactions!$F$8:$F$3006,B1033,Transactions!$O$8:$O$3006))</f>
        <v/>
      </c>
      <c r="F1033" s="53" t="str">
        <f>IF(B1033="","",SUMIF(Transactions!$F$8:$F$3006,B1033,Transactions!$R$8:$R$3006))</f>
        <v/>
      </c>
      <c r="G1033" s="54" t="str">
        <f>IF(B1033="","",(C1033+F1033)-(D1033+E1033+SUMIF(Transactions!$F$8:$F$3006,B1033,Transactions!$Q$8:$Q$3006)))</f>
        <v/>
      </c>
      <c r="H1033" s="55" t="str">
        <f>IF(B1033="","",IF(G1033&gt;0,"OUTSTANDING",IF(G1033=0,"SETTLED",IF(SUMIF(Transactions!$F$8:$F$3006,B1033,Transactions!$Q$8:$Q$3006)&gt;SUMIF(Transactions!$F$8:$F$3006,B1033,Transactions!$R$8:$R$3006),"OWES","OVERPAID"))))</f>
        <v/>
      </c>
      <c r="I1033" s="1"/>
    </row>
    <row r="1034" spans="1:9" ht="18" customHeight="1" x14ac:dyDescent="0.25">
      <c r="A1034" s="40">
        <v>1019</v>
      </c>
      <c r="B1034" s="41" t="str">
        <f t="array" ref="B1034">IFERROR(IF(INDEX(Transactions!$F$8:$F$3006,MATCH(0,COUNTIF($B$11:B1033,Transactions!$F$8:$F$3006),0))="","",INDEX(Transactions!$F$8:$F$3006,MATCH(0,COUNTIF($B$11:B1033,Transactions!$F$8:$F$3006),0))),"")</f>
        <v/>
      </c>
      <c r="C1034" s="42" t="str">
        <f>IF(B1034="","",SUMIF(Transactions!$F$8:$F$3006,B1034,Transactions!$H$8:$H$3006))</f>
        <v/>
      </c>
      <c r="D1034" s="43" t="str">
        <f>IF(B1034="","",SUMIF(Transactions!$F$8:$F$3006,B1034,Transactions!$N$8:$N$3006))</f>
        <v/>
      </c>
      <c r="E1034" s="44" t="str">
        <f>IF(B1034="","",SUMIF(Transactions!$F$8:$F$3006,B1034,Transactions!$O$8:$O$3006))</f>
        <v/>
      </c>
      <c r="F1034" s="45" t="str">
        <f>IF(B1034="","",SUMIF(Transactions!$F$8:$F$3006,B1034,Transactions!$R$8:$R$3006))</f>
        <v/>
      </c>
      <c r="G1034" s="46" t="str">
        <f>IF(B1034="","",(C1034+F1034)-(D1034+E1034+SUMIF(Transactions!$F$8:$F$3006,B1034,Transactions!$Q$8:$Q$3006)))</f>
        <v/>
      </c>
      <c r="H1034" s="47" t="str">
        <f>IF(B1034="","",IF(G1034&gt;0,"OUTSTANDING",IF(G1034=0,"SETTLED",IF(SUMIF(Transactions!$F$8:$F$3006,B1034,Transactions!$Q$8:$Q$3006)&gt;SUMIF(Transactions!$F$8:$F$3006,B1034,Transactions!$R$8:$R$3006),"OWES","OVERPAID"))))</f>
        <v/>
      </c>
      <c r="I1034" s="1"/>
    </row>
    <row r="1035" spans="1:9" ht="18" customHeight="1" x14ac:dyDescent="0.25">
      <c r="A1035" s="48">
        <v>1020</v>
      </c>
      <c r="B1035" s="49" t="str">
        <f t="array" ref="B1035">IFERROR(IF(INDEX(Transactions!$F$8:$F$3006,MATCH(0,COUNTIF($B$11:B1034,Transactions!$F$8:$F$3006),0))="","",INDEX(Transactions!$F$8:$F$3006,MATCH(0,COUNTIF($B$11:B1034,Transactions!$F$8:$F$3006),0))),"")</f>
        <v/>
      </c>
      <c r="C1035" s="50" t="str">
        <f>IF(B1035="","",SUMIF(Transactions!$F$8:$F$3006,B1035,Transactions!$H$8:$H$3006))</f>
        <v/>
      </c>
      <c r="D1035" s="51" t="str">
        <f>IF(B1035="","",SUMIF(Transactions!$F$8:$F$3006,B1035,Transactions!$N$8:$N$3006))</f>
        <v/>
      </c>
      <c r="E1035" s="52" t="str">
        <f>IF(B1035="","",SUMIF(Transactions!$F$8:$F$3006,B1035,Transactions!$O$8:$O$3006))</f>
        <v/>
      </c>
      <c r="F1035" s="53" t="str">
        <f>IF(B1035="","",SUMIF(Transactions!$F$8:$F$3006,B1035,Transactions!$R$8:$R$3006))</f>
        <v/>
      </c>
      <c r="G1035" s="54" t="str">
        <f>IF(B1035="","",(C1035+F1035)-(D1035+E1035+SUMIF(Transactions!$F$8:$F$3006,B1035,Transactions!$Q$8:$Q$3006)))</f>
        <v/>
      </c>
      <c r="H1035" s="55" t="str">
        <f>IF(B1035="","",IF(G1035&gt;0,"OUTSTANDING",IF(G1035=0,"SETTLED",IF(SUMIF(Transactions!$F$8:$F$3006,B1035,Transactions!$Q$8:$Q$3006)&gt;SUMIF(Transactions!$F$8:$F$3006,B1035,Transactions!$R$8:$R$3006),"OWES","OVERPAID"))))</f>
        <v/>
      </c>
      <c r="I1035" s="1"/>
    </row>
    <row r="1036" spans="1:9" ht="18" customHeight="1" x14ac:dyDescent="0.25">
      <c r="A1036" s="40">
        <v>1021</v>
      </c>
      <c r="B1036" s="41" t="str">
        <f t="array" ref="B1036">IFERROR(IF(INDEX(Transactions!$F$8:$F$3006,MATCH(0,COUNTIF($B$11:B1035,Transactions!$F$8:$F$3006),0))="","",INDEX(Transactions!$F$8:$F$3006,MATCH(0,COUNTIF($B$11:B1035,Transactions!$F$8:$F$3006),0))),"")</f>
        <v/>
      </c>
      <c r="C1036" s="42" t="str">
        <f>IF(B1036="","",SUMIF(Transactions!$F$8:$F$3006,B1036,Transactions!$H$8:$H$3006))</f>
        <v/>
      </c>
      <c r="D1036" s="43" t="str">
        <f>IF(B1036="","",SUMIF(Transactions!$F$8:$F$3006,B1036,Transactions!$N$8:$N$3006))</f>
        <v/>
      </c>
      <c r="E1036" s="44" t="str">
        <f>IF(B1036="","",SUMIF(Transactions!$F$8:$F$3006,B1036,Transactions!$O$8:$O$3006))</f>
        <v/>
      </c>
      <c r="F1036" s="45" t="str">
        <f>IF(B1036="","",SUMIF(Transactions!$F$8:$F$3006,B1036,Transactions!$R$8:$R$3006))</f>
        <v/>
      </c>
      <c r="G1036" s="46" t="str">
        <f>IF(B1036="","",(C1036+F1036)-(D1036+E1036+SUMIF(Transactions!$F$8:$F$3006,B1036,Transactions!$Q$8:$Q$3006)))</f>
        <v/>
      </c>
      <c r="H1036" s="47" t="str">
        <f>IF(B1036="","",IF(G1036&gt;0,"OUTSTANDING",IF(G1036=0,"SETTLED",IF(SUMIF(Transactions!$F$8:$F$3006,B1036,Transactions!$Q$8:$Q$3006)&gt;SUMIF(Transactions!$F$8:$F$3006,B1036,Transactions!$R$8:$R$3006),"OWES","OVERPAID"))))</f>
        <v/>
      </c>
      <c r="I1036" s="1"/>
    </row>
    <row r="1037" spans="1:9" ht="18" customHeight="1" x14ac:dyDescent="0.25">
      <c r="A1037" s="48">
        <v>1022</v>
      </c>
      <c r="B1037" s="49" t="str">
        <f t="array" ref="B1037">IFERROR(IF(INDEX(Transactions!$F$8:$F$3006,MATCH(0,COUNTIF($B$11:B1036,Transactions!$F$8:$F$3006),0))="","",INDEX(Transactions!$F$8:$F$3006,MATCH(0,COUNTIF($B$11:B1036,Transactions!$F$8:$F$3006),0))),"")</f>
        <v/>
      </c>
      <c r="C1037" s="50" t="str">
        <f>IF(B1037="","",SUMIF(Transactions!$F$8:$F$3006,B1037,Transactions!$H$8:$H$3006))</f>
        <v/>
      </c>
      <c r="D1037" s="51" t="str">
        <f>IF(B1037="","",SUMIF(Transactions!$F$8:$F$3006,B1037,Transactions!$N$8:$N$3006))</f>
        <v/>
      </c>
      <c r="E1037" s="52" t="str">
        <f>IF(B1037="","",SUMIF(Transactions!$F$8:$F$3006,B1037,Transactions!$O$8:$O$3006))</f>
        <v/>
      </c>
      <c r="F1037" s="53" t="str">
        <f>IF(B1037="","",SUMIF(Transactions!$F$8:$F$3006,B1037,Transactions!$R$8:$R$3006))</f>
        <v/>
      </c>
      <c r="G1037" s="54" t="str">
        <f>IF(B1037="","",(C1037+F1037)-(D1037+E1037+SUMIF(Transactions!$F$8:$F$3006,B1037,Transactions!$Q$8:$Q$3006)))</f>
        <v/>
      </c>
      <c r="H1037" s="55" t="str">
        <f>IF(B1037="","",IF(G1037&gt;0,"OUTSTANDING",IF(G1037=0,"SETTLED",IF(SUMIF(Transactions!$F$8:$F$3006,B1037,Transactions!$Q$8:$Q$3006)&gt;SUMIF(Transactions!$F$8:$F$3006,B1037,Transactions!$R$8:$R$3006),"OWES","OVERPAID"))))</f>
        <v/>
      </c>
      <c r="I1037" s="1"/>
    </row>
    <row r="1038" spans="1:9" ht="18" customHeight="1" x14ac:dyDescent="0.25">
      <c r="A1038" s="40">
        <v>1023</v>
      </c>
      <c r="B1038" s="41" t="str">
        <f t="array" ref="B1038">IFERROR(IF(INDEX(Transactions!$F$8:$F$3006,MATCH(0,COUNTIF($B$11:B1037,Transactions!$F$8:$F$3006),0))="","",INDEX(Transactions!$F$8:$F$3006,MATCH(0,COUNTIF($B$11:B1037,Transactions!$F$8:$F$3006),0))),"")</f>
        <v/>
      </c>
      <c r="C1038" s="42" t="str">
        <f>IF(B1038="","",SUMIF(Transactions!$F$8:$F$3006,B1038,Transactions!$H$8:$H$3006))</f>
        <v/>
      </c>
      <c r="D1038" s="43" t="str">
        <f>IF(B1038="","",SUMIF(Transactions!$F$8:$F$3006,B1038,Transactions!$N$8:$N$3006))</f>
        <v/>
      </c>
      <c r="E1038" s="44" t="str">
        <f>IF(B1038="","",SUMIF(Transactions!$F$8:$F$3006,B1038,Transactions!$O$8:$O$3006))</f>
        <v/>
      </c>
      <c r="F1038" s="45" t="str">
        <f>IF(B1038="","",SUMIF(Transactions!$F$8:$F$3006,B1038,Transactions!$R$8:$R$3006))</f>
        <v/>
      </c>
      <c r="G1038" s="46" t="str">
        <f>IF(B1038="","",(C1038+F1038)-(D1038+E1038+SUMIF(Transactions!$F$8:$F$3006,B1038,Transactions!$Q$8:$Q$3006)))</f>
        <v/>
      </c>
      <c r="H1038" s="47" t="str">
        <f>IF(B1038="","",IF(G1038&gt;0,"OUTSTANDING",IF(G1038=0,"SETTLED",IF(SUMIF(Transactions!$F$8:$F$3006,B1038,Transactions!$Q$8:$Q$3006)&gt;SUMIF(Transactions!$F$8:$F$3006,B1038,Transactions!$R$8:$R$3006),"OWES","OVERPAID"))))</f>
        <v/>
      </c>
      <c r="I1038" s="1"/>
    </row>
    <row r="1039" spans="1:9" ht="18" customHeight="1" x14ac:dyDescent="0.25">
      <c r="A1039" s="48">
        <v>1024</v>
      </c>
      <c r="B1039" s="49" t="str">
        <f t="array" ref="B1039">IFERROR(IF(INDEX(Transactions!$F$8:$F$3006,MATCH(0,COUNTIF($B$11:B1038,Transactions!$F$8:$F$3006),0))="","",INDEX(Transactions!$F$8:$F$3006,MATCH(0,COUNTIF($B$11:B1038,Transactions!$F$8:$F$3006),0))),"")</f>
        <v/>
      </c>
      <c r="C1039" s="50" t="str">
        <f>IF(B1039="","",SUMIF(Transactions!$F$8:$F$3006,B1039,Transactions!$H$8:$H$3006))</f>
        <v/>
      </c>
      <c r="D1039" s="51" t="str">
        <f>IF(B1039="","",SUMIF(Transactions!$F$8:$F$3006,B1039,Transactions!$N$8:$N$3006))</f>
        <v/>
      </c>
      <c r="E1039" s="52" t="str">
        <f>IF(B1039="","",SUMIF(Transactions!$F$8:$F$3006,B1039,Transactions!$O$8:$O$3006))</f>
        <v/>
      </c>
      <c r="F1039" s="53" t="str">
        <f>IF(B1039="","",SUMIF(Transactions!$F$8:$F$3006,B1039,Transactions!$R$8:$R$3006))</f>
        <v/>
      </c>
      <c r="G1039" s="54" t="str">
        <f>IF(B1039="","",(C1039+F1039)-(D1039+E1039+SUMIF(Transactions!$F$8:$F$3006,B1039,Transactions!$Q$8:$Q$3006)))</f>
        <v/>
      </c>
      <c r="H1039" s="55" t="str">
        <f>IF(B1039="","",IF(G1039&gt;0,"OUTSTANDING",IF(G1039=0,"SETTLED",IF(SUMIF(Transactions!$F$8:$F$3006,B1039,Transactions!$Q$8:$Q$3006)&gt;SUMIF(Transactions!$F$8:$F$3006,B1039,Transactions!$R$8:$R$3006),"OWES","OVERPAID"))))</f>
        <v/>
      </c>
      <c r="I1039" s="1"/>
    </row>
    <row r="1040" spans="1:9" ht="18" customHeight="1" x14ac:dyDescent="0.25">
      <c r="A1040" s="40">
        <v>1025</v>
      </c>
      <c r="B1040" s="41" t="str">
        <f t="array" ref="B1040">IFERROR(IF(INDEX(Transactions!$F$8:$F$3006,MATCH(0,COUNTIF($B$11:B1039,Transactions!$F$8:$F$3006),0))="","",INDEX(Transactions!$F$8:$F$3006,MATCH(0,COUNTIF($B$11:B1039,Transactions!$F$8:$F$3006),0))),"")</f>
        <v/>
      </c>
      <c r="C1040" s="42" t="str">
        <f>IF(B1040="","",SUMIF(Transactions!$F$8:$F$3006,B1040,Transactions!$H$8:$H$3006))</f>
        <v/>
      </c>
      <c r="D1040" s="43" t="str">
        <f>IF(B1040="","",SUMIF(Transactions!$F$8:$F$3006,B1040,Transactions!$N$8:$N$3006))</f>
        <v/>
      </c>
      <c r="E1040" s="44" t="str">
        <f>IF(B1040="","",SUMIF(Transactions!$F$8:$F$3006,B1040,Transactions!$O$8:$O$3006))</f>
        <v/>
      </c>
      <c r="F1040" s="45" t="str">
        <f>IF(B1040="","",SUMIF(Transactions!$F$8:$F$3006,B1040,Transactions!$R$8:$R$3006))</f>
        <v/>
      </c>
      <c r="G1040" s="46" t="str">
        <f>IF(B1040="","",(C1040+F1040)-(D1040+E1040+SUMIF(Transactions!$F$8:$F$3006,B1040,Transactions!$Q$8:$Q$3006)))</f>
        <v/>
      </c>
      <c r="H1040" s="47" t="str">
        <f>IF(B1040="","",IF(G1040&gt;0,"OUTSTANDING",IF(G1040=0,"SETTLED",IF(SUMIF(Transactions!$F$8:$F$3006,B1040,Transactions!$Q$8:$Q$3006)&gt;SUMIF(Transactions!$F$8:$F$3006,B1040,Transactions!$R$8:$R$3006),"OWES","OVERPAID"))))</f>
        <v/>
      </c>
      <c r="I1040" s="1"/>
    </row>
    <row r="1041" spans="1:9" ht="18" customHeight="1" x14ac:dyDescent="0.25">
      <c r="A1041" s="48">
        <v>1026</v>
      </c>
      <c r="B1041" s="49" t="str">
        <f t="array" ref="B1041">IFERROR(IF(INDEX(Transactions!$F$8:$F$3006,MATCH(0,COUNTIF($B$11:B1040,Transactions!$F$8:$F$3006),0))="","",INDEX(Transactions!$F$8:$F$3006,MATCH(0,COUNTIF($B$11:B1040,Transactions!$F$8:$F$3006),0))),"")</f>
        <v/>
      </c>
      <c r="C1041" s="50" t="str">
        <f>IF(B1041="","",SUMIF(Transactions!$F$8:$F$3006,B1041,Transactions!$H$8:$H$3006))</f>
        <v/>
      </c>
      <c r="D1041" s="51" t="str">
        <f>IF(B1041="","",SUMIF(Transactions!$F$8:$F$3006,B1041,Transactions!$N$8:$N$3006))</f>
        <v/>
      </c>
      <c r="E1041" s="52" t="str">
        <f>IF(B1041="","",SUMIF(Transactions!$F$8:$F$3006,B1041,Transactions!$O$8:$O$3006))</f>
        <v/>
      </c>
      <c r="F1041" s="53" t="str">
        <f>IF(B1041="","",SUMIF(Transactions!$F$8:$F$3006,B1041,Transactions!$R$8:$R$3006))</f>
        <v/>
      </c>
      <c r="G1041" s="54" t="str">
        <f>IF(B1041="","",(C1041+F1041)-(D1041+E1041+SUMIF(Transactions!$F$8:$F$3006,B1041,Transactions!$Q$8:$Q$3006)))</f>
        <v/>
      </c>
      <c r="H1041" s="55" t="str">
        <f>IF(B1041="","",IF(G1041&gt;0,"OUTSTANDING",IF(G1041=0,"SETTLED",IF(SUMIF(Transactions!$F$8:$F$3006,B1041,Transactions!$Q$8:$Q$3006)&gt;SUMIF(Transactions!$F$8:$F$3006,B1041,Transactions!$R$8:$R$3006),"OWES","OVERPAID"))))</f>
        <v/>
      </c>
      <c r="I1041" s="1"/>
    </row>
    <row r="1042" spans="1:9" ht="18" customHeight="1" x14ac:dyDescent="0.25">
      <c r="A1042" s="40">
        <v>1027</v>
      </c>
      <c r="B1042" s="41" t="str">
        <f t="array" ref="B1042">IFERROR(IF(INDEX(Transactions!$F$8:$F$3006,MATCH(0,COUNTIF($B$11:B1041,Transactions!$F$8:$F$3006),0))="","",INDEX(Transactions!$F$8:$F$3006,MATCH(0,COUNTIF($B$11:B1041,Transactions!$F$8:$F$3006),0))),"")</f>
        <v/>
      </c>
      <c r="C1042" s="42" t="str">
        <f>IF(B1042="","",SUMIF(Transactions!$F$8:$F$3006,B1042,Transactions!$H$8:$H$3006))</f>
        <v/>
      </c>
      <c r="D1042" s="43" t="str">
        <f>IF(B1042="","",SUMIF(Transactions!$F$8:$F$3006,B1042,Transactions!$N$8:$N$3006))</f>
        <v/>
      </c>
      <c r="E1042" s="44" t="str">
        <f>IF(B1042="","",SUMIF(Transactions!$F$8:$F$3006,B1042,Transactions!$O$8:$O$3006))</f>
        <v/>
      </c>
      <c r="F1042" s="45" t="str">
        <f>IF(B1042="","",SUMIF(Transactions!$F$8:$F$3006,B1042,Transactions!$R$8:$R$3006))</f>
        <v/>
      </c>
      <c r="G1042" s="46" t="str">
        <f>IF(B1042="","",(C1042+F1042)-(D1042+E1042+SUMIF(Transactions!$F$8:$F$3006,B1042,Transactions!$Q$8:$Q$3006)))</f>
        <v/>
      </c>
      <c r="H1042" s="47" t="str">
        <f>IF(B1042="","",IF(G1042&gt;0,"OUTSTANDING",IF(G1042=0,"SETTLED",IF(SUMIF(Transactions!$F$8:$F$3006,B1042,Transactions!$Q$8:$Q$3006)&gt;SUMIF(Transactions!$F$8:$F$3006,B1042,Transactions!$R$8:$R$3006),"OWES","OVERPAID"))))</f>
        <v/>
      </c>
      <c r="I1042" s="1"/>
    </row>
    <row r="1043" spans="1:9" ht="18" customHeight="1" x14ac:dyDescent="0.25">
      <c r="A1043" s="48">
        <v>1028</v>
      </c>
      <c r="B1043" s="49" t="str">
        <f t="array" ref="B1043">IFERROR(IF(INDEX(Transactions!$F$8:$F$3006,MATCH(0,COUNTIF($B$11:B1042,Transactions!$F$8:$F$3006),0))="","",INDEX(Transactions!$F$8:$F$3006,MATCH(0,COUNTIF($B$11:B1042,Transactions!$F$8:$F$3006),0))),"")</f>
        <v/>
      </c>
      <c r="C1043" s="50" t="str">
        <f>IF(B1043="","",SUMIF(Transactions!$F$8:$F$3006,B1043,Transactions!$H$8:$H$3006))</f>
        <v/>
      </c>
      <c r="D1043" s="51" t="str">
        <f>IF(B1043="","",SUMIF(Transactions!$F$8:$F$3006,B1043,Transactions!$N$8:$N$3006))</f>
        <v/>
      </c>
      <c r="E1043" s="52" t="str">
        <f>IF(B1043="","",SUMIF(Transactions!$F$8:$F$3006,B1043,Transactions!$O$8:$O$3006))</f>
        <v/>
      </c>
      <c r="F1043" s="53" t="str">
        <f>IF(B1043="","",SUMIF(Transactions!$F$8:$F$3006,B1043,Transactions!$R$8:$R$3006))</f>
        <v/>
      </c>
      <c r="G1043" s="54" t="str">
        <f>IF(B1043="","",(C1043+F1043)-(D1043+E1043+SUMIF(Transactions!$F$8:$F$3006,B1043,Transactions!$Q$8:$Q$3006)))</f>
        <v/>
      </c>
      <c r="H1043" s="55" t="str">
        <f>IF(B1043="","",IF(G1043&gt;0,"OUTSTANDING",IF(G1043=0,"SETTLED",IF(SUMIF(Transactions!$F$8:$F$3006,B1043,Transactions!$Q$8:$Q$3006)&gt;SUMIF(Transactions!$F$8:$F$3006,B1043,Transactions!$R$8:$R$3006),"OWES","OVERPAID"))))</f>
        <v/>
      </c>
      <c r="I1043" s="1"/>
    </row>
    <row r="1044" spans="1:9" ht="18" customHeight="1" x14ac:dyDescent="0.25">
      <c r="A1044" s="40">
        <v>1029</v>
      </c>
      <c r="B1044" s="41" t="str">
        <f t="array" ref="B1044">IFERROR(IF(INDEX(Transactions!$F$8:$F$3006,MATCH(0,COUNTIF($B$11:B1043,Transactions!$F$8:$F$3006),0))="","",INDEX(Transactions!$F$8:$F$3006,MATCH(0,COUNTIF($B$11:B1043,Transactions!$F$8:$F$3006),0))),"")</f>
        <v/>
      </c>
      <c r="C1044" s="42" t="str">
        <f>IF(B1044="","",SUMIF(Transactions!$F$8:$F$3006,B1044,Transactions!$H$8:$H$3006))</f>
        <v/>
      </c>
      <c r="D1044" s="43" t="str">
        <f>IF(B1044="","",SUMIF(Transactions!$F$8:$F$3006,B1044,Transactions!$N$8:$N$3006))</f>
        <v/>
      </c>
      <c r="E1044" s="44" t="str">
        <f>IF(B1044="","",SUMIF(Transactions!$F$8:$F$3006,B1044,Transactions!$O$8:$O$3006))</f>
        <v/>
      </c>
      <c r="F1044" s="45" t="str">
        <f>IF(B1044="","",SUMIF(Transactions!$F$8:$F$3006,B1044,Transactions!$R$8:$R$3006))</f>
        <v/>
      </c>
      <c r="G1044" s="46" t="str">
        <f>IF(B1044="","",(C1044+F1044)-(D1044+E1044+SUMIF(Transactions!$F$8:$F$3006,B1044,Transactions!$Q$8:$Q$3006)))</f>
        <v/>
      </c>
      <c r="H1044" s="47" t="str">
        <f>IF(B1044="","",IF(G1044&gt;0,"OUTSTANDING",IF(G1044=0,"SETTLED",IF(SUMIF(Transactions!$F$8:$F$3006,B1044,Transactions!$Q$8:$Q$3006)&gt;SUMIF(Transactions!$F$8:$F$3006,B1044,Transactions!$R$8:$R$3006),"OWES","OVERPAID"))))</f>
        <v/>
      </c>
      <c r="I1044" s="1"/>
    </row>
    <row r="1045" spans="1:9" ht="18" customHeight="1" x14ac:dyDescent="0.25">
      <c r="A1045" s="48">
        <v>1030</v>
      </c>
      <c r="B1045" s="49" t="str">
        <f t="array" ref="B1045">IFERROR(IF(INDEX(Transactions!$F$8:$F$3006,MATCH(0,COUNTIF($B$11:B1044,Transactions!$F$8:$F$3006),0))="","",INDEX(Transactions!$F$8:$F$3006,MATCH(0,COUNTIF($B$11:B1044,Transactions!$F$8:$F$3006),0))),"")</f>
        <v/>
      </c>
      <c r="C1045" s="50" t="str">
        <f>IF(B1045="","",SUMIF(Transactions!$F$8:$F$3006,B1045,Transactions!$H$8:$H$3006))</f>
        <v/>
      </c>
      <c r="D1045" s="51" t="str">
        <f>IF(B1045="","",SUMIF(Transactions!$F$8:$F$3006,B1045,Transactions!$N$8:$N$3006))</f>
        <v/>
      </c>
      <c r="E1045" s="52" t="str">
        <f>IF(B1045="","",SUMIF(Transactions!$F$8:$F$3006,B1045,Transactions!$O$8:$O$3006))</f>
        <v/>
      </c>
      <c r="F1045" s="53" t="str">
        <f>IF(B1045="","",SUMIF(Transactions!$F$8:$F$3006,B1045,Transactions!$R$8:$R$3006))</f>
        <v/>
      </c>
      <c r="G1045" s="54" t="str">
        <f>IF(B1045="","",(C1045+F1045)-(D1045+E1045+SUMIF(Transactions!$F$8:$F$3006,B1045,Transactions!$Q$8:$Q$3006)))</f>
        <v/>
      </c>
      <c r="H1045" s="55" t="str">
        <f>IF(B1045="","",IF(G1045&gt;0,"OUTSTANDING",IF(G1045=0,"SETTLED",IF(SUMIF(Transactions!$F$8:$F$3006,B1045,Transactions!$Q$8:$Q$3006)&gt;SUMIF(Transactions!$F$8:$F$3006,B1045,Transactions!$R$8:$R$3006),"OWES","OVERPAID"))))</f>
        <v/>
      </c>
      <c r="I1045" s="1"/>
    </row>
    <row r="1046" spans="1:9" ht="18" customHeight="1" x14ac:dyDescent="0.25">
      <c r="A1046" s="40">
        <v>1031</v>
      </c>
      <c r="B1046" s="41" t="str">
        <f t="array" ref="B1046">IFERROR(IF(INDEX(Transactions!$F$8:$F$3006,MATCH(0,COUNTIF($B$11:B1045,Transactions!$F$8:$F$3006),0))="","",INDEX(Transactions!$F$8:$F$3006,MATCH(0,COUNTIF($B$11:B1045,Transactions!$F$8:$F$3006),0))),"")</f>
        <v/>
      </c>
      <c r="C1046" s="42" t="str">
        <f>IF(B1046="","",SUMIF(Transactions!$F$8:$F$3006,B1046,Transactions!$H$8:$H$3006))</f>
        <v/>
      </c>
      <c r="D1046" s="43" t="str">
        <f>IF(B1046="","",SUMIF(Transactions!$F$8:$F$3006,B1046,Transactions!$N$8:$N$3006))</f>
        <v/>
      </c>
      <c r="E1046" s="44" t="str">
        <f>IF(B1046="","",SUMIF(Transactions!$F$8:$F$3006,B1046,Transactions!$O$8:$O$3006))</f>
        <v/>
      </c>
      <c r="F1046" s="45" t="str">
        <f>IF(B1046="","",SUMIF(Transactions!$F$8:$F$3006,B1046,Transactions!$R$8:$R$3006))</f>
        <v/>
      </c>
      <c r="G1046" s="46" t="str">
        <f>IF(B1046="","",(C1046+F1046)-(D1046+E1046+SUMIF(Transactions!$F$8:$F$3006,B1046,Transactions!$Q$8:$Q$3006)))</f>
        <v/>
      </c>
      <c r="H1046" s="47" t="str">
        <f>IF(B1046="","",IF(G1046&gt;0,"OUTSTANDING",IF(G1046=0,"SETTLED",IF(SUMIF(Transactions!$F$8:$F$3006,B1046,Transactions!$Q$8:$Q$3006)&gt;SUMIF(Transactions!$F$8:$F$3006,B1046,Transactions!$R$8:$R$3006),"OWES","OVERPAID"))))</f>
        <v/>
      </c>
      <c r="I1046" s="1"/>
    </row>
    <row r="1047" spans="1:9" ht="18" customHeight="1" x14ac:dyDescent="0.25">
      <c r="A1047" s="48">
        <v>1032</v>
      </c>
      <c r="B1047" s="49" t="str">
        <f t="array" ref="B1047">IFERROR(IF(INDEX(Transactions!$F$8:$F$3006,MATCH(0,COUNTIF($B$11:B1046,Transactions!$F$8:$F$3006),0))="","",INDEX(Transactions!$F$8:$F$3006,MATCH(0,COUNTIF($B$11:B1046,Transactions!$F$8:$F$3006),0))),"")</f>
        <v/>
      </c>
      <c r="C1047" s="50" t="str">
        <f>IF(B1047="","",SUMIF(Transactions!$F$8:$F$3006,B1047,Transactions!$H$8:$H$3006))</f>
        <v/>
      </c>
      <c r="D1047" s="51" t="str">
        <f>IF(B1047="","",SUMIF(Transactions!$F$8:$F$3006,B1047,Transactions!$N$8:$N$3006))</f>
        <v/>
      </c>
      <c r="E1047" s="52" t="str">
        <f>IF(B1047="","",SUMIF(Transactions!$F$8:$F$3006,B1047,Transactions!$O$8:$O$3006))</f>
        <v/>
      </c>
      <c r="F1047" s="53" t="str">
        <f>IF(B1047="","",SUMIF(Transactions!$F$8:$F$3006,B1047,Transactions!$R$8:$R$3006))</f>
        <v/>
      </c>
      <c r="G1047" s="54" t="str">
        <f>IF(B1047="","",(C1047+F1047)-(D1047+E1047+SUMIF(Transactions!$F$8:$F$3006,B1047,Transactions!$Q$8:$Q$3006)))</f>
        <v/>
      </c>
      <c r="H1047" s="55" t="str">
        <f>IF(B1047="","",IF(G1047&gt;0,"OUTSTANDING",IF(G1047=0,"SETTLED",IF(SUMIF(Transactions!$F$8:$F$3006,B1047,Transactions!$Q$8:$Q$3006)&gt;SUMIF(Transactions!$F$8:$F$3006,B1047,Transactions!$R$8:$R$3006),"OWES","OVERPAID"))))</f>
        <v/>
      </c>
      <c r="I1047" s="1"/>
    </row>
    <row r="1048" spans="1:9" ht="18" customHeight="1" x14ac:dyDescent="0.25">
      <c r="A1048" s="40">
        <v>1033</v>
      </c>
      <c r="B1048" s="41" t="str">
        <f t="array" ref="B1048">IFERROR(IF(INDEX(Transactions!$F$8:$F$3006,MATCH(0,COUNTIF($B$11:B1047,Transactions!$F$8:$F$3006),0))="","",INDEX(Transactions!$F$8:$F$3006,MATCH(0,COUNTIF($B$11:B1047,Transactions!$F$8:$F$3006),0))),"")</f>
        <v/>
      </c>
      <c r="C1048" s="42" t="str">
        <f>IF(B1048="","",SUMIF(Transactions!$F$8:$F$3006,B1048,Transactions!$H$8:$H$3006))</f>
        <v/>
      </c>
      <c r="D1048" s="43" t="str">
        <f>IF(B1048="","",SUMIF(Transactions!$F$8:$F$3006,B1048,Transactions!$N$8:$N$3006))</f>
        <v/>
      </c>
      <c r="E1048" s="44" t="str">
        <f>IF(B1048="","",SUMIF(Transactions!$F$8:$F$3006,B1048,Transactions!$O$8:$O$3006))</f>
        <v/>
      </c>
      <c r="F1048" s="45" t="str">
        <f>IF(B1048="","",SUMIF(Transactions!$F$8:$F$3006,B1048,Transactions!$R$8:$R$3006))</f>
        <v/>
      </c>
      <c r="G1048" s="46" t="str">
        <f>IF(B1048="","",(C1048+F1048)-(D1048+E1048+SUMIF(Transactions!$F$8:$F$3006,B1048,Transactions!$Q$8:$Q$3006)))</f>
        <v/>
      </c>
      <c r="H1048" s="47" t="str">
        <f>IF(B1048="","",IF(G1048&gt;0,"OUTSTANDING",IF(G1048=0,"SETTLED",IF(SUMIF(Transactions!$F$8:$F$3006,B1048,Transactions!$Q$8:$Q$3006)&gt;SUMIF(Transactions!$F$8:$F$3006,B1048,Transactions!$R$8:$R$3006),"OWES","OVERPAID"))))</f>
        <v/>
      </c>
      <c r="I1048" s="1"/>
    </row>
    <row r="1049" spans="1:9" ht="18" customHeight="1" x14ac:dyDescent="0.25">
      <c r="A1049" s="48">
        <v>1034</v>
      </c>
      <c r="B1049" s="49" t="str">
        <f t="array" ref="B1049">IFERROR(IF(INDEX(Transactions!$F$8:$F$3006,MATCH(0,COUNTIF($B$11:B1048,Transactions!$F$8:$F$3006),0))="","",INDEX(Transactions!$F$8:$F$3006,MATCH(0,COUNTIF($B$11:B1048,Transactions!$F$8:$F$3006),0))),"")</f>
        <v/>
      </c>
      <c r="C1049" s="50" t="str">
        <f>IF(B1049="","",SUMIF(Transactions!$F$8:$F$3006,B1049,Transactions!$H$8:$H$3006))</f>
        <v/>
      </c>
      <c r="D1049" s="51" t="str">
        <f>IF(B1049="","",SUMIF(Transactions!$F$8:$F$3006,B1049,Transactions!$N$8:$N$3006))</f>
        <v/>
      </c>
      <c r="E1049" s="52" t="str">
        <f>IF(B1049="","",SUMIF(Transactions!$F$8:$F$3006,B1049,Transactions!$O$8:$O$3006))</f>
        <v/>
      </c>
      <c r="F1049" s="53" t="str">
        <f>IF(B1049="","",SUMIF(Transactions!$F$8:$F$3006,B1049,Transactions!$R$8:$R$3006))</f>
        <v/>
      </c>
      <c r="G1049" s="54" t="str">
        <f>IF(B1049="","",(C1049+F1049)-(D1049+E1049+SUMIF(Transactions!$F$8:$F$3006,B1049,Transactions!$Q$8:$Q$3006)))</f>
        <v/>
      </c>
      <c r="H1049" s="55" t="str">
        <f>IF(B1049="","",IF(G1049&gt;0,"OUTSTANDING",IF(G1049=0,"SETTLED",IF(SUMIF(Transactions!$F$8:$F$3006,B1049,Transactions!$Q$8:$Q$3006)&gt;SUMIF(Transactions!$F$8:$F$3006,B1049,Transactions!$R$8:$R$3006),"OWES","OVERPAID"))))</f>
        <v/>
      </c>
      <c r="I1049" s="1"/>
    </row>
    <row r="1050" spans="1:9" ht="18" customHeight="1" x14ac:dyDescent="0.25">
      <c r="A1050" s="40">
        <v>1035</v>
      </c>
      <c r="B1050" s="41" t="str">
        <f t="array" ref="B1050">IFERROR(IF(INDEX(Transactions!$F$8:$F$3006,MATCH(0,COUNTIF($B$11:B1049,Transactions!$F$8:$F$3006),0))="","",INDEX(Transactions!$F$8:$F$3006,MATCH(0,COUNTIF($B$11:B1049,Transactions!$F$8:$F$3006),0))),"")</f>
        <v/>
      </c>
      <c r="C1050" s="42" t="str">
        <f>IF(B1050="","",SUMIF(Transactions!$F$8:$F$3006,B1050,Transactions!$H$8:$H$3006))</f>
        <v/>
      </c>
      <c r="D1050" s="43" t="str">
        <f>IF(B1050="","",SUMIF(Transactions!$F$8:$F$3006,B1050,Transactions!$N$8:$N$3006))</f>
        <v/>
      </c>
      <c r="E1050" s="44" t="str">
        <f>IF(B1050="","",SUMIF(Transactions!$F$8:$F$3006,B1050,Transactions!$O$8:$O$3006))</f>
        <v/>
      </c>
      <c r="F1050" s="45" t="str">
        <f>IF(B1050="","",SUMIF(Transactions!$F$8:$F$3006,B1050,Transactions!$R$8:$R$3006))</f>
        <v/>
      </c>
      <c r="G1050" s="46" t="str">
        <f>IF(B1050="","",(C1050+F1050)-(D1050+E1050+SUMIF(Transactions!$F$8:$F$3006,B1050,Transactions!$Q$8:$Q$3006)))</f>
        <v/>
      </c>
      <c r="H1050" s="47" t="str">
        <f>IF(B1050="","",IF(G1050&gt;0,"OUTSTANDING",IF(G1050=0,"SETTLED",IF(SUMIF(Transactions!$F$8:$F$3006,B1050,Transactions!$Q$8:$Q$3006)&gt;SUMIF(Transactions!$F$8:$F$3006,B1050,Transactions!$R$8:$R$3006),"OWES","OVERPAID"))))</f>
        <v/>
      </c>
      <c r="I1050" s="1"/>
    </row>
    <row r="1051" spans="1:9" ht="18" customHeight="1" x14ac:dyDescent="0.25">
      <c r="A1051" s="48">
        <v>1036</v>
      </c>
      <c r="B1051" s="49" t="str">
        <f t="array" ref="B1051">IFERROR(IF(INDEX(Transactions!$F$8:$F$3006,MATCH(0,COUNTIF($B$11:B1050,Transactions!$F$8:$F$3006),0))="","",INDEX(Transactions!$F$8:$F$3006,MATCH(0,COUNTIF($B$11:B1050,Transactions!$F$8:$F$3006),0))),"")</f>
        <v/>
      </c>
      <c r="C1051" s="50" t="str">
        <f>IF(B1051="","",SUMIF(Transactions!$F$8:$F$3006,B1051,Transactions!$H$8:$H$3006))</f>
        <v/>
      </c>
      <c r="D1051" s="51" t="str">
        <f>IF(B1051="","",SUMIF(Transactions!$F$8:$F$3006,B1051,Transactions!$N$8:$N$3006))</f>
        <v/>
      </c>
      <c r="E1051" s="52" t="str">
        <f>IF(B1051="","",SUMIF(Transactions!$F$8:$F$3006,B1051,Transactions!$O$8:$O$3006))</f>
        <v/>
      </c>
      <c r="F1051" s="53" t="str">
        <f>IF(B1051="","",SUMIF(Transactions!$F$8:$F$3006,B1051,Transactions!$R$8:$R$3006))</f>
        <v/>
      </c>
      <c r="G1051" s="54" t="str">
        <f>IF(B1051="","",(C1051+F1051)-(D1051+E1051+SUMIF(Transactions!$F$8:$F$3006,B1051,Transactions!$Q$8:$Q$3006)))</f>
        <v/>
      </c>
      <c r="H1051" s="55" t="str">
        <f>IF(B1051="","",IF(G1051&gt;0,"OUTSTANDING",IF(G1051=0,"SETTLED",IF(SUMIF(Transactions!$F$8:$F$3006,B1051,Transactions!$Q$8:$Q$3006)&gt;SUMIF(Transactions!$F$8:$F$3006,B1051,Transactions!$R$8:$R$3006),"OWES","OVERPAID"))))</f>
        <v/>
      </c>
      <c r="I1051" s="1"/>
    </row>
    <row r="1052" spans="1:9" ht="18" customHeight="1" x14ac:dyDescent="0.25">
      <c r="A1052" s="40">
        <v>1037</v>
      </c>
      <c r="B1052" s="41" t="str">
        <f t="array" ref="B1052">IFERROR(IF(INDEX(Transactions!$F$8:$F$3006,MATCH(0,COUNTIF($B$11:B1051,Transactions!$F$8:$F$3006),0))="","",INDEX(Transactions!$F$8:$F$3006,MATCH(0,COUNTIF($B$11:B1051,Transactions!$F$8:$F$3006),0))),"")</f>
        <v/>
      </c>
      <c r="C1052" s="42" t="str">
        <f>IF(B1052="","",SUMIF(Transactions!$F$8:$F$3006,B1052,Transactions!$H$8:$H$3006))</f>
        <v/>
      </c>
      <c r="D1052" s="43" t="str">
        <f>IF(B1052="","",SUMIF(Transactions!$F$8:$F$3006,B1052,Transactions!$N$8:$N$3006))</f>
        <v/>
      </c>
      <c r="E1052" s="44" t="str">
        <f>IF(B1052="","",SUMIF(Transactions!$F$8:$F$3006,B1052,Transactions!$O$8:$O$3006))</f>
        <v/>
      </c>
      <c r="F1052" s="45" t="str">
        <f>IF(B1052="","",SUMIF(Transactions!$F$8:$F$3006,B1052,Transactions!$R$8:$R$3006))</f>
        <v/>
      </c>
      <c r="G1052" s="46" t="str">
        <f>IF(B1052="","",(C1052+F1052)-(D1052+E1052+SUMIF(Transactions!$F$8:$F$3006,B1052,Transactions!$Q$8:$Q$3006)))</f>
        <v/>
      </c>
      <c r="H1052" s="47" t="str">
        <f>IF(B1052="","",IF(G1052&gt;0,"OUTSTANDING",IF(G1052=0,"SETTLED",IF(SUMIF(Transactions!$F$8:$F$3006,B1052,Transactions!$Q$8:$Q$3006)&gt;SUMIF(Transactions!$F$8:$F$3006,B1052,Transactions!$R$8:$R$3006),"OWES","OVERPAID"))))</f>
        <v/>
      </c>
      <c r="I1052" s="1"/>
    </row>
    <row r="1053" spans="1:9" ht="18" customHeight="1" x14ac:dyDescent="0.25">
      <c r="A1053" s="48">
        <v>1038</v>
      </c>
      <c r="B1053" s="49" t="str">
        <f t="array" ref="B1053">IFERROR(IF(INDEX(Transactions!$F$8:$F$3006,MATCH(0,COUNTIF($B$11:B1052,Transactions!$F$8:$F$3006),0))="","",INDEX(Transactions!$F$8:$F$3006,MATCH(0,COUNTIF($B$11:B1052,Transactions!$F$8:$F$3006),0))),"")</f>
        <v/>
      </c>
      <c r="C1053" s="50" t="str">
        <f>IF(B1053="","",SUMIF(Transactions!$F$8:$F$3006,B1053,Transactions!$H$8:$H$3006))</f>
        <v/>
      </c>
      <c r="D1053" s="51" t="str">
        <f>IF(B1053="","",SUMIF(Transactions!$F$8:$F$3006,B1053,Transactions!$N$8:$N$3006))</f>
        <v/>
      </c>
      <c r="E1053" s="52" t="str">
        <f>IF(B1053="","",SUMIF(Transactions!$F$8:$F$3006,B1053,Transactions!$O$8:$O$3006))</f>
        <v/>
      </c>
      <c r="F1053" s="53" t="str">
        <f>IF(B1053="","",SUMIF(Transactions!$F$8:$F$3006,B1053,Transactions!$R$8:$R$3006))</f>
        <v/>
      </c>
      <c r="G1053" s="54" t="str">
        <f>IF(B1053="","",(C1053+F1053)-(D1053+E1053+SUMIF(Transactions!$F$8:$F$3006,B1053,Transactions!$Q$8:$Q$3006)))</f>
        <v/>
      </c>
      <c r="H1053" s="55" t="str">
        <f>IF(B1053="","",IF(G1053&gt;0,"OUTSTANDING",IF(G1053=0,"SETTLED",IF(SUMIF(Transactions!$F$8:$F$3006,B1053,Transactions!$Q$8:$Q$3006)&gt;SUMIF(Transactions!$F$8:$F$3006,B1053,Transactions!$R$8:$R$3006),"OWES","OVERPAID"))))</f>
        <v/>
      </c>
      <c r="I1053" s="1"/>
    </row>
    <row r="1054" spans="1:9" ht="18" customHeight="1" x14ac:dyDescent="0.25">
      <c r="A1054" s="40">
        <v>1039</v>
      </c>
      <c r="B1054" s="41" t="str">
        <f t="array" ref="B1054">IFERROR(IF(INDEX(Transactions!$F$8:$F$3006,MATCH(0,COUNTIF($B$11:B1053,Transactions!$F$8:$F$3006),0))="","",INDEX(Transactions!$F$8:$F$3006,MATCH(0,COUNTIF($B$11:B1053,Transactions!$F$8:$F$3006),0))),"")</f>
        <v/>
      </c>
      <c r="C1054" s="42" t="str">
        <f>IF(B1054="","",SUMIF(Transactions!$F$8:$F$3006,B1054,Transactions!$H$8:$H$3006))</f>
        <v/>
      </c>
      <c r="D1054" s="43" t="str">
        <f>IF(B1054="","",SUMIF(Transactions!$F$8:$F$3006,B1054,Transactions!$N$8:$N$3006))</f>
        <v/>
      </c>
      <c r="E1054" s="44" t="str">
        <f>IF(B1054="","",SUMIF(Transactions!$F$8:$F$3006,B1054,Transactions!$O$8:$O$3006))</f>
        <v/>
      </c>
      <c r="F1054" s="45" t="str">
        <f>IF(B1054="","",SUMIF(Transactions!$F$8:$F$3006,B1054,Transactions!$R$8:$R$3006))</f>
        <v/>
      </c>
      <c r="G1054" s="46" t="str">
        <f>IF(B1054="","",(C1054+F1054)-(D1054+E1054+SUMIF(Transactions!$F$8:$F$3006,B1054,Transactions!$Q$8:$Q$3006)))</f>
        <v/>
      </c>
      <c r="H1054" s="47" t="str">
        <f>IF(B1054="","",IF(G1054&gt;0,"OUTSTANDING",IF(G1054=0,"SETTLED",IF(SUMIF(Transactions!$F$8:$F$3006,B1054,Transactions!$Q$8:$Q$3006)&gt;SUMIF(Transactions!$F$8:$F$3006,B1054,Transactions!$R$8:$R$3006),"OWES","OVERPAID"))))</f>
        <v/>
      </c>
      <c r="I1054" s="1"/>
    </row>
    <row r="1055" spans="1:9" ht="18" customHeight="1" x14ac:dyDescent="0.25">
      <c r="A1055" s="48">
        <v>1040</v>
      </c>
      <c r="B1055" s="49" t="str">
        <f t="array" ref="B1055">IFERROR(IF(INDEX(Transactions!$F$8:$F$3006,MATCH(0,COUNTIF($B$11:B1054,Transactions!$F$8:$F$3006),0))="","",INDEX(Transactions!$F$8:$F$3006,MATCH(0,COUNTIF($B$11:B1054,Transactions!$F$8:$F$3006),0))),"")</f>
        <v/>
      </c>
      <c r="C1055" s="50" t="str">
        <f>IF(B1055="","",SUMIF(Transactions!$F$8:$F$3006,B1055,Transactions!$H$8:$H$3006))</f>
        <v/>
      </c>
      <c r="D1055" s="51" t="str">
        <f>IF(B1055="","",SUMIF(Transactions!$F$8:$F$3006,B1055,Transactions!$N$8:$N$3006))</f>
        <v/>
      </c>
      <c r="E1055" s="52" t="str">
        <f>IF(B1055="","",SUMIF(Transactions!$F$8:$F$3006,B1055,Transactions!$O$8:$O$3006))</f>
        <v/>
      </c>
      <c r="F1055" s="53" t="str">
        <f>IF(B1055="","",SUMIF(Transactions!$F$8:$F$3006,B1055,Transactions!$R$8:$R$3006))</f>
        <v/>
      </c>
      <c r="G1055" s="54" t="str">
        <f>IF(B1055="","",(C1055+F1055)-(D1055+E1055+SUMIF(Transactions!$F$8:$F$3006,B1055,Transactions!$Q$8:$Q$3006)))</f>
        <v/>
      </c>
      <c r="H1055" s="55" t="str">
        <f>IF(B1055="","",IF(G1055&gt;0,"OUTSTANDING",IF(G1055=0,"SETTLED",IF(SUMIF(Transactions!$F$8:$F$3006,B1055,Transactions!$Q$8:$Q$3006)&gt;SUMIF(Transactions!$F$8:$F$3006,B1055,Transactions!$R$8:$R$3006),"OWES","OVERPAID"))))</f>
        <v/>
      </c>
      <c r="I1055" s="1"/>
    </row>
    <row r="1056" spans="1:9" ht="18" customHeight="1" x14ac:dyDescent="0.25">
      <c r="A1056" s="40">
        <v>1041</v>
      </c>
      <c r="B1056" s="41" t="str">
        <f t="array" ref="B1056">IFERROR(IF(INDEX(Transactions!$F$8:$F$3006,MATCH(0,COUNTIF($B$11:B1055,Transactions!$F$8:$F$3006),0))="","",INDEX(Transactions!$F$8:$F$3006,MATCH(0,COUNTIF($B$11:B1055,Transactions!$F$8:$F$3006),0))),"")</f>
        <v/>
      </c>
      <c r="C1056" s="42" t="str">
        <f>IF(B1056="","",SUMIF(Transactions!$F$8:$F$3006,B1056,Transactions!$H$8:$H$3006))</f>
        <v/>
      </c>
      <c r="D1056" s="43" t="str">
        <f>IF(B1056="","",SUMIF(Transactions!$F$8:$F$3006,B1056,Transactions!$N$8:$N$3006))</f>
        <v/>
      </c>
      <c r="E1056" s="44" t="str">
        <f>IF(B1056="","",SUMIF(Transactions!$F$8:$F$3006,B1056,Transactions!$O$8:$O$3006))</f>
        <v/>
      </c>
      <c r="F1056" s="45" t="str">
        <f>IF(B1056="","",SUMIF(Transactions!$F$8:$F$3006,B1056,Transactions!$R$8:$R$3006))</f>
        <v/>
      </c>
      <c r="G1056" s="46" t="str">
        <f>IF(B1056="","",(C1056+F1056)-(D1056+E1056+SUMIF(Transactions!$F$8:$F$3006,B1056,Transactions!$Q$8:$Q$3006)))</f>
        <v/>
      </c>
      <c r="H1056" s="47" t="str">
        <f>IF(B1056="","",IF(G1056&gt;0,"OUTSTANDING",IF(G1056=0,"SETTLED",IF(SUMIF(Transactions!$F$8:$F$3006,B1056,Transactions!$Q$8:$Q$3006)&gt;SUMIF(Transactions!$F$8:$F$3006,B1056,Transactions!$R$8:$R$3006),"OWES","OVERPAID"))))</f>
        <v/>
      </c>
      <c r="I1056" s="1"/>
    </row>
    <row r="1057" spans="1:9" ht="18" customHeight="1" x14ac:dyDescent="0.25">
      <c r="A1057" s="48">
        <v>1042</v>
      </c>
      <c r="B1057" s="49" t="str">
        <f t="array" ref="B1057">IFERROR(IF(INDEX(Transactions!$F$8:$F$3006,MATCH(0,COUNTIF($B$11:B1056,Transactions!$F$8:$F$3006),0))="","",INDEX(Transactions!$F$8:$F$3006,MATCH(0,COUNTIF($B$11:B1056,Transactions!$F$8:$F$3006),0))),"")</f>
        <v/>
      </c>
      <c r="C1057" s="50" t="str">
        <f>IF(B1057="","",SUMIF(Transactions!$F$8:$F$3006,B1057,Transactions!$H$8:$H$3006))</f>
        <v/>
      </c>
      <c r="D1057" s="51" t="str">
        <f>IF(B1057="","",SUMIF(Transactions!$F$8:$F$3006,B1057,Transactions!$N$8:$N$3006))</f>
        <v/>
      </c>
      <c r="E1057" s="52" t="str">
        <f>IF(B1057="","",SUMIF(Transactions!$F$8:$F$3006,B1057,Transactions!$O$8:$O$3006))</f>
        <v/>
      </c>
      <c r="F1057" s="53" t="str">
        <f>IF(B1057="","",SUMIF(Transactions!$F$8:$F$3006,B1057,Transactions!$R$8:$R$3006))</f>
        <v/>
      </c>
      <c r="G1057" s="54" t="str">
        <f>IF(B1057="","",(C1057+F1057)-(D1057+E1057+SUMIF(Transactions!$F$8:$F$3006,B1057,Transactions!$Q$8:$Q$3006)))</f>
        <v/>
      </c>
      <c r="H1057" s="55" t="str">
        <f>IF(B1057="","",IF(G1057&gt;0,"OUTSTANDING",IF(G1057=0,"SETTLED",IF(SUMIF(Transactions!$F$8:$F$3006,B1057,Transactions!$Q$8:$Q$3006)&gt;SUMIF(Transactions!$F$8:$F$3006,B1057,Transactions!$R$8:$R$3006),"OWES","OVERPAID"))))</f>
        <v/>
      </c>
      <c r="I1057" s="1"/>
    </row>
    <row r="1058" spans="1:9" ht="18" customHeight="1" x14ac:dyDescent="0.25">
      <c r="A1058" s="40">
        <v>1043</v>
      </c>
      <c r="B1058" s="41" t="str">
        <f t="array" ref="B1058">IFERROR(IF(INDEX(Transactions!$F$8:$F$3006,MATCH(0,COUNTIF($B$11:B1057,Transactions!$F$8:$F$3006),0))="","",INDEX(Transactions!$F$8:$F$3006,MATCH(0,COUNTIF($B$11:B1057,Transactions!$F$8:$F$3006),0))),"")</f>
        <v/>
      </c>
      <c r="C1058" s="42" t="str">
        <f>IF(B1058="","",SUMIF(Transactions!$F$8:$F$3006,B1058,Transactions!$H$8:$H$3006))</f>
        <v/>
      </c>
      <c r="D1058" s="43" t="str">
        <f>IF(B1058="","",SUMIF(Transactions!$F$8:$F$3006,B1058,Transactions!$N$8:$N$3006))</f>
        <v/>
      </c>
      <c r="E1058" s="44" t="str">
        <f>IF(B1058="","",SUMIF(Transactions!$F$8:$F$3006,B1058,Transactions!$O$8:$O$3006))</f>
        <v/>
      </c>
      <c r="F1058" s="45" t="str">
        <f>IF(B1058="","",SUMIF(Transactions!$F$8:$F$3006,B1058,Transactions!$R$8:$R$3006))</f>
        <v/>
      </c>
      <c r="G1058" s="46" t="str">
        <f>IF(B1058="","",(C1058+F1058)-(D1058+E1058+SUMIF(Transactions!$F$8:$F$3006,B1058,Transactions!$Q$8:$Q$3006)))</f>
        <v/>
      </c>
      <c r="H1058" s="47" t="str">
        <f>IF(B1058="","",IF(G1058&gt;0,"OUTSTANDING",IF(G1058=0,"SETTLED",IF(SUMIF(Transactions!$F$8:$F$3006,B1058,Transactions!$Q$8:$Q$3006)&gt;SUMIF(Transactions!$F$8:$F$3006,B1058,Transactions!$R$8:$R$3006),"OWES","OVERPAID"))))</f>
        <v/>
      </c>
      <c r="I1058" s="1"/>
    </row>
    <row r="1059" spans="1:9" ht="18" customHeight="1" x14ac:dyDescent="0.25">
      <c r="A1059" s="48">
        <v>1044</v>
      </c>
      <c r="B1059" s="49" t="str">
        <f t="array" ref="B1059">IFERROR(IF(INDEX(Transactions!$F$8:$F$3006,MATCH(0,COUNTIF($B$11:B1058,Transactions!$F$8:$F$3006),0))="","",INDEX(Transactions!$F$8:$F$3006,MATCH(0,COUNTIF($B$11:B1058,Transactions!$F$8:$F$3006),0))),"")</f>
        <v/>
      </c>
      <c r="C1059" s="50" t="str">
        <f>IF(B1059="","",SUMIF(Transactions!$F$8:$F$3006,B1059,Transactions!$H$8:$H$3006))</f>
        <v/>
      </c>
      <c r="D1059" s="51" t="str">
        <f>IF(B1059="","",SUMIF(Transactions!$F$8:$F$3006,B1059,Transactions!$N$8:$N$3006))</f>
        <v/>
      </c>
      <c r="E1059" s="52" t="str">
        <f>IF(B1059="","",SUMIF(Transactions!$F$8:$F$3006,B1059,Transactions!$O$8:$O$3006))</f>
        <v/>
      </c>
      <c r="F1059" s="53" t="str">
        <f>IF(B1059="","",SUMIF(Transactions!$F$8:$F$3006,B1059,Transactions!$R$8:$R$3006))</f>
        <v/>
      </c>
      <c r="G1059" s="54" t="str">
        <f>IF(B1059="","",(C1059+F1059)-(D1059+E1059+SUMIF(Transactions!$F$8:$F$3006,B1059,Transactions!$Q$8:$Q$3006)))</f>
        <v/>
      </c>
      <c r="H1059" s="55" t="str">
        <f>IF(B1059="","",IF(G1059&gt;0,"OUTSTANDING",IF(G1059=0,"SETTLED",IF(SUMIF(Transactions!$F$8:$F$3006,B1059,Transactions!$Q$8:$Q$3006)&gt;SUMIF(Transactions!$F$8:$F$3006,B1059,Transactions!$R$8:$R$3006),"OWES","OVERPAID"))))</f>
        <v/>
      </c>
      <c r="I1059" s="1"/>
    </row>
    <row r="1060" spans="1:9" ht="18" customHeight="1" x14ac:dyDescent="0.25">
      <c r="A1060" s="40">
        <v>1045</v>
      </c>
      <c r="B1060" s="41" t="str">
        <f t="array" ref="B1060">IFERROR(IF(INDEX(Transactions!$F$8:$F$3006,MATCH(0,COUNTIF($B$11:B1059,Transactions!$F$8:$F$3006),0))="","",INDEX(Transactions!$F$8:$F$3006,MATCH(0,COUNTIF($B$11:B1059,Transactions!$F$8:$F$3006),0))),"")</f>
        <v/>
      </c>
      <c r="C1060" s="42" t="str">
        <f>IF(B1060="","",SUMIF(Transactions!$F$8:$F$3006,B1060,Transactions!$H$8:$H$3006))</f>
        <v/>
      </c>
      <c r="D1060" s="43" t="str">
        <f>IF(B1060="","",SUMIF(Transactions!$F$8:$F$3006,B1060,Transactions!$N$8:$N$3006))</f>
        <v/>
      </c>
      <c r="E1060" s="44" t="str">
        <f>IF(B1060="","",SUMIF(Transactions!$F$8:$F$3006,B1060,Transactions!$O$8:$O$3006))</f>
        <v/>
      </c>
      <c r="F1060" s="45" t="str">
        <f>IF(B1060="","",SUMIF(Transactions!$F$8:$F$3006,B1060,Transactions!$R$8:$R$3006))</f>
        <v/>
      </c>
      <c r="G1060" s="46" t="str">
        <f>IF(B1060="","",(C1060+F1060)-(D1060+E1060+SUMIF(Transactions!$F$8:$F$3006,B1060,Transactions!$Q$8:$Q$3006)))</f>
        <v/>
      </c>
      <c r="H1060" s="47" t="str">
        <f>IF(B1060="","",IF(G1060&gt;0,"OUTSTANDING",IF(G1060=0,"SETTLED",IF(SUMIF(Transactions!$F$8:$F$3006,B1060,Transactions!$Q$8:$Q$3006)&gt;SUMIF(Transactions!$F$8:$F$3006,B1060,Transactions!$R$8:$R$3006),"OWES","OVERPAID"))))</f>
        <v/>
      </c>
      <c r="I1060" s="1"/>
    </row>
    <row r="1061" spans="1:9" ht="18" customHeight="1" x14ac:dyDescent="0.25">
      <c r="A1061" s="48">
        <v>1046</v>
      </c>
      <c r="B1061" s="49" t="str">
        <f t="array" ref="B1061">IFERROR(IF(INDEX(Transactions!$F$8:$F$3006,MATCH(0,COUNTIF($B$11:B1060,Transactions!$F$8:$F$3006),0))="","",INDEX(Transactions!$F$8:$F$3006,MATCH(0,COUNTIF($B$11:B1060,Transactions!$F$8:$F$3006),0))),"")</f>
        <v/>
      </c>
      <c r="C1061" s="50" t="str">
        <f>IF(B1061="","",SUMIF(Transactions!$F$8:$F$3006,B1061,Transactions!$H$8:$H$3006))</f>
        <v/>
      </c>
      <c r="D1061" s="51" t="str">
        <f>IF(B1061="","",SUMIF(Transactions!$F$8:$F$3006,B1061,Transactions!$N$8:$N$3006))</f>
        <v/>
      </c>
      <c r="E1061" s="52" t="str">
        <f>IF(B1061="","",SUMIF(Transactions!$F$8:$F$3006,B1061,Transactions!$O$8:$O$3006))</f>
        <v/>
      </c>
      <c r="F1061" s="53" t="str">
        <f>IF(B1061="","",SUMIF(Transactions!$F$8:$F$3006,B1061,Transactions!$R$8:$R$3006))</f>
        <v/>
      </c>
      <c r="G1061" s="54" t="str">
        <f>IF(B1061="","",(C1061+F1061)-(D1061+E1061+SUMIF(Transactions!$F$8:$F$3006,B1061,Transactions!$Q$8:$Q$3006)))</f>
        <v/>
      </c>
      <c r="H1061" s="55" t="str">
        <f>IF(B1061="","",IF(G1061&gt;0,"OUTSTANDING",IF(G1061=0,"SETTLED",IF(SUMIF(Transactions!$F$8:$F$3006,B1061,Transactions!$Q$8:$Q$3006)&gt;SUMIF(Transactions!$F$8:$F$3006,B1061,Transactions!$R$8:$R$3006),"OWES","OVERPAID"))))</f>
        <v/>
      </c>
      <c r="I1061" s="1"/>
    </row>
    <row r="1062" spans="1:9" ht="18" customHeight="1" x14ac:dyDescent="0.25">
      <c r="A1062" s="40">
        <v>1047</v>
      </c>
      <c r="B1062" s="41" t="str">
        <f t="array" ref="B1062">IFERROR(IF(INDEX(Transactions!$F$8:$F$3006,MATCH(0,COUNTIF($B$11:B1061,Transactions!$F$8:$F$3006),0))="","",INDEX(Transactions!$F$8:$F$3006,MATCH(0,COUNTIF($B$11:B1061,Transactions!$F$8:$F$3006),0))),"")</f>
        <v/>
      </c>
      <c r="C1062" s="42" t="str">
        <f>IF(B1062="","",SUMIF(Transactions!$F$8:$F$3006,B1062,Transactions!$H$8:$H$3006))</f>
        <v/>
      </c>
      <c r="D1062" s="43" t="str">
        <f>IF(B1062="","",SUMIF(Transactions!$F$8:$F$3006,B1062,Transactions!$N$8:$N$3006))</f>
        <v/>
      </c>
      <c r="E1062" s="44" t="str">
        <f>IF(B1062="","",SUMIF(Transactions!$F$8:$F$3006,B1062,Transactions!$O$8:$O$3006))</f>
        <v/>
      </c>
      <c r="F1062" s="45" t="str">
        <f>IF(B1062="","",SUMIF(Transactions!$F$8:$F$3006,B1062,Transactions!$R$8:$R$3006))</f>
        <v/>
      </c>
      <c r="G1062" s="46" t="str">
        <f>IF(B1062="","",(C1062+F1062)-(D1062+E1062+SUMIF(Transactions!$F$8:$F$3006,B1062,Transactions!$Q$8:$Q$3006)))</f>
        <v/>
      </c>
      <c r="H1062" s="47" t="str">
        <f>IF(B1062="","",IF(G1062&gt;0,"OUTSTANDING",IF(G1062=0,"SETTLED",IF(SUMIF(Transactions!$F$8:$F$3006,B1062,Transactions!$Q$8:$Q$3006)&gt;SUMIF(Transactions!$F$8:$F$3006,B1062,Transactions!$R$8:$R$3006),"OWES","OVERPAID"))))</f>
        <v/>
      </c>
      <c r="I1062" s="1"/>
    </row>
    <row r="1063" spans="1:9" ht="18" customHeight="1" x14ac:dyDescent="0.25">
      <c r="A1063" s="48">
        <v>1048</v>
      </c>
      <c r="B1063" s="49" t="str">
        <f t="array" ref="B1063">IFERROR(IF(INDEX(Transactions!$F$8:$F$3006,MATCH(0,COUNTIF($B$11:B1062,Transactions!$F$8:$F$3006),0))="","",INDEX(Transactions!$F$8:$F$3006,MATCH(0,COUNTIF($B$11:B1062,Transactions!$F$8:$F$3006),0))),"")</f>
        <v/>
      </c>
      <c r="C1063" s="50" t="str">
        <f>IF(B1063="","",SUMIF(Transactions!$F$8:$F$3006,B1063,Transactions!$H$8:$H$3006))</f>
        <v/>
      </c>
      <c r="D1063" s="51" t="str">
        <f>IF(B1063="","",SUMIF(Transactions!$F$8:$F$3006,B1063,Transactions!$N$8:$N$3006))</f>
        <v/>
      </c>
      <c r="E1063" s="52" t="str">
        <f>IF(B1063="","",SUMIF(Transactions!$F$8:$F$3006,B1063,Transactions!$O$8:$O$3006))</f>
        <v/>
      </c>
      <c r="F1063" s="53" t="str">
        <f>IF(B1063="","",SUMIF(Transactions!$F$8:$F$3006,B1063,Transactions!$R$8:$R$3006))</f>
        <v/>
      </c>
      <c r="G1063" s="54" t="str">
        <f>IF(B1063="","",(C1063+F1063)-(D1063+E1063+SUMIF(Transactions!$F$8:$F$3006,B1063,Transactions!$Q$8:$Q$3006)))</f>
        <v/>
      </c>
      <c r="H1063" s="55" t="str">
        <f>IF(B1063="","",IF(G1063&gt;0,"OUTSTANDING",IF(G1063=0,"SETTLED",IF(SUMIF(Transactions!$F$8:$F$3006,B1063,Transactions!$Q$8:$Q$3006)&gt;SUMIF(Transactions!$F$8:$F$3006,B1063,Transactions!$R$8:$R$3006),"OWES","OVERPAID"))))</f>
        <v/>
      </c>
      <c r="I1063" s="1"/>
    </row>
    <row r="1064" spans="1:9" ht="18" customHeight="1" x14ac:dyDescent="0.25">
      <c r="A1064" s="40">
        <v>1049</v>
      </c>
      <c r="B1064" s="41" t="str">
        <f t="array" ref="B1064">IFERROR(IF(INDEX(Transactions!$F$8:$F$3006,MATCH(0,COUNTIF($B$11:B1063,Transactions!$F$8:$F$3006),0))="","",INDEX(Transactions!$F$8:$F$3006,MATCH(0,COUNTIF($B$11:B1063,Transactions!$F$8:$F$3006),0))),"")</f>
        <v/>
      </c>
      <c r="C1064" s="42" t="str">
        <f>IF(B1064="","",SUMIF(Transactions!$F$8:$F$3006,B1064,Transactions!$H$8:$H$3006))</f>
        <v/>
      </c>
      <c r="D1064" s="43" t="str">
        <f>IF(B1064="","",SUMIF(Transactions!$F$8:$F$3006,B1064,Transactions!$N$8:$N$3006))</f>
        <v/>
      </c>
      <c r="E1064" s="44" t="str">
        <f>IF(B1064="","",SUMIF(Transactions!$F$8:$F$3006,B1064,Transactions!$O$8:$O$3006))</f>
        <v/>
      </c>
      <c r="F1064" s="45" t="str">
        <f>IF(B1064="","",SUMIF(Transactions!$F$8:$F$3006,B1064,Transactions!$R$8:$R$3006))</f>
        <v/>
      </c>
      <c r="G1064" s="46" t="str">
        <f>IF(B1064="","",(C1064+F1064)-(D1064+E1064+SUMIF(Transactions!$F$8:$F$3006,B1064,Transactions!$Q$8:$Q$3006)))</f>
        <v/>
      </c>
      <c r="H1064" s="47" t="str">
        <f>IF(B1064="","",IF(G1064&gt;0,"OUTSTANDING",IF(G1064=0,"SETTLED",IF(SUMIF(Transactions!$F$8:$F$3006,B1064,Transactions!$Q$8:$Q$3006)&gt;SUMIF(Transactions!$F$8:$F$3006,B1064,Transactions!$R$8:$R$3006),"OWES","OVERPAID"))))</f>
        <v/>
      </c>
      <c r="I1064" s="1"/>
    </row>
    <row r="1065" spans="1:9" ht="18" customHeight="1" x14ac:dyDescent="0.25">
      <c r="A1065" s="48">
        <v>1050</v>
      </c>
      <c r="B1065" s="49" t="str">
        <f t="array" ref="B1065">IFERROR(IF(INDEX(Transactions!$F$8:$F$3006,MATCH(0,COUNTIF($B$11:B1064,Transactions!$F$8:$F$3006),0))="","",INDEX(Transactions!$F$8:$F$3006,MATCH(0,COUNTIF($B$11:B1064,Transactions!$F$8:$F$3006),0))),"")</f>
        <v/>
      </c>
      <c r="C1065" s="50" t="str">
        <f>IF(B1065="","",SUMIF(Transactions!$F$8:$F$3006,B1065,Transactions!$H$8:$H$3006))</f>
        <v/>
      </c>
      <c r="D1065" s="51" t="str">
        <f>IF(B1065="","",SUMIF(Transactions!$F$8:$F$3006,B1065,Transactions!$N$8:$N$3006))</f>
        <v/>
      </c>
      <c r="E1065" s="52" t="str">
        <f>IF(B1065="","",SUMIF(Transactions!$F$8:$F$3006,B1065,Transactions!$O$8:$O$3006))</f>
        <v/>
      </c>
      <c r="F1065" s="53" t="str">
        <f>IF(B1065="","",SUMIF(Transactions!$F$8:$F$3006,B1065,Transactions!$R$8:$R$3006))</f>
        <v/>
      </c>
      <c r="G1065" s="54" t="str">
        <f>IF(B1065="","",(C1065+F1065)-(D1065+E1065+SUMIF(Transactions!$F$8:$F$3006,B1065,Transactions!$Q$8:$Q$3006)))</f>
        <v/>
      </c>
      <c r="H1065" s="55" t="str">
        <f>IF(B1065="","",IF(G1065&gt;0,"OUTSTANDING",IF(G1065=0,"SETTLED",IF(SUMIF(Transactions!$F$8:$F$3006,B1065,Transactions!$Q$8:$Q$3006)&gt;SUMIF(Transactions!$F$8:$F$3006,B1065,Transactions!$R$8:$R$3006),"OWES","OVERPAID"))))</f>
        <v/>
      </c>
      <c r="I1065" s="1"/>
    </row>
    <row r="1066" spans="1:9" ht="18" customHeight="1" x14ac:dyDescent="0.25">
      <c r="A1066" s="40">
        <v>1051</v>
      </c>
      <c r="B1066" s="41" t="str">
        <f t="array" ref="B1066">IFERROR(IF(INDEX(Transactions!$F$8:$F$3006,MATCH(0,COUNTIF($B$11:B1065,Transactions!$F$8:$F$3006),0))="","",INDEX(Transactions!$F$8:$F$3006,MATCH(0,COUNTIF($B$11:B1065,Transactions!$F$8:$F$3006),0))),"")</f>
        <v/>
      </c>
      <c r="C1066" s="42" t="str">
        <f>IF(B1066="","",SUMIF(Transactions!$F$8:$F$3006,B1066,Transactions!$H$8:$H$3006))</f>
        <v/>
      </c>
      <c r="D1066" s="43" t="str">
        <f>IF(B1066="","",SUMIF(Transactions!$F$8:$F$3006,B1066,Transactions!$N$8:$N$3006))</f>
        <v/>
      </c>
      <c r="E1066" s="44" t="str">
        <f>IF(B1066="","",SUMIF(Transactions!$F$8:$F$3006,B1066,Transactions!$O$8:$O$3006))</f>
        <v/>
      </c>
      <c r="F1066" s="45" t="str">
        <f>IF(B1066="","",SUMIF(Transactions!$F$8:$F$3006,B1066,Transactions!$R$8:$R$3006))</f>
        <v/>
      </c>
      <c r="G1066" s="46" t="str">
        <f>IF(B1066="","",(C1066+F1066)-(D1066+E1066+SUMIF(Transactions!$F$8:$F$3006,B1066,Transactions!$Q$8:$Q$3006)))</f>
        <v/>
      </c>
      <c r="H1066" s="47" t="str">
        <f>IF(B1066="","",IF(G1066&gt;0,"OUTSTANDING",IF(G1066=0,"SETTLED",IF(SUMIF(Transactions!$F$8:$F$3006,B1066,Transactions!$Q$8:$Q$3006)&gt;SUMIF(Transactions!$F$8:$F$3006,B1066,Transactions!$R$8:$R$3006),"OWES","OVERPAID"))))</f>
        <v/>
      </c>
      <c r="I1066" s="1"/>
    </row>
    <row r="1067" spans="1:9" ht="18" customHeight="1" x14ac:dyDescent="0.25">
      <c r="A1067" s="48">
        <v>1052</v>
      </c>
      <c r="B1067" s="49" t="str">
        <f t="array" ref="B1067">IFERROR(IF(INDEX(Transactions!$F$8:$F$3006,MATCH(0,COUNTIF($B$11:B1066,Transactions!$F$8:$F$3006),0))="","",INDEX(Transactions!$F$8:$F$3006,MATCH(0,COUNTIF($B$11:B1066,Transactions!$F$8:$F$3006),0))),"")</f>
        <v/>
      </c>
      <c r="C1067" s="50" t="str">
        <f>IF(B1067="","",SUMIF(Transactions!$F$8:$F$3006,B1067,Transactions!$H$8:$H$3006))</f>
        <v/>
      </c>
      <c r="D1067" s="51" t="str">
        <f>IF(B1067="","",SUMIF(Transactions!$F$8:$F$3006,B1067,Transactions!$N$8:$N$3006))</f>
        <v/>
      </c>
      <c r="E1067" s="52" t="str">
        <f>IF(B1067="","",SUMIF(Transactions!$F$8:$F$3006,B1067,Transactions!$O$8:$O$3006))</f>
        <v/>
      </c>
      <c r="F1067" s="53" t="str">
        <f>IF(B1067="","",SUMIF(Transactions!$F$8:$F$3006,B1067,Transactions!$R$8:$R$3006))</f>
        <v/>
      </c>
      <c r="G1067" s="54" t="str">
        <f>IF(B1067="","",(C1067+F1067)-(D1067+E1067+SUMIF(Transactions!$F$8:$F$3006,B1067,Transactions!$Q$8:$Q$3006)))</f>
        <v/>
      </c>
      <c r="H1067" s="55" t="str">
        <f>IF(B1067="","",IF(G1067&gt;0,"OUTSTANDING",IF(G1067=0,"SETTLED",IF(SUMIF(Transactions!$F$8:$F$3006,B1067,Transactions!$Q$8:$Q$3006)&gt;SUMIF(Transactions!$F$8:$F$3006,B1067,Transactions!$R$8:$R$3006),"OWES","OVERPAID"))))</f>
        <v/>
      </c>
      <c r="I1067" s="1"/>
    </row>
    <row r="1068" spans="1:9" ht="18" customHeight="1" x14ac:dyDescent="0.25">
      <c r="A1068" s="40">
        <v>1053</v>
      </c>
      <c r="B1068" s="41" t="str">
        <f t="array" ref="B1068">IFERROR(IF(INDEX(Transactions!$F$8:$F$3006,MATCH(0,COUNTIF($B$11:B1067,Transactions!$F$8:$F$3006),0))="","",INDEX(Transactions!$F$8:$F$3006,MATCH(0,COUNTIF($B$11:B1067,Transactions!$F$8:$F$3006),0))),"")</f>
        <v/>
      </c>
      <c r="C1068" s="42" t="str">
        <f>IF(B1068="","",SUMIF(Transactions!$F$8:$F$3006,B1068,Transactions!$H$8:$H$3006))</f>
        <v/>
      </c>
      <c r="D1068" s="43" t="str">
        <f>IF(B1068="","",SUMIF(Transactions!$F$8:$F$3006,B1068,Transactions!$N$8:$N$3006))</f>
        <v/>
      </c>
      <c r="E1068" s="44" t="str">
        <f>IF(B1068="","",SUMIF(Transactions!$F$8:$F$3006,B1068,Transactions!$O$8:$O$3006))</f>
        <v/>
      </c>
      <c r="F1068" s="45" t="str">
        <f>IF(B1068="","",SUMIF(Transactions!$F$8:$F$3006,B1068,Transactions!$R$8:$R$3006))</f>
        <v/>
      </c>
      <c r="G1068" s="46" t="str">
        <f>IF(B1068="","",(C1068+F1068)-(D1068+E1068+SUMIF(Transactions!$F$8:$F$3006,B1068,Transactions!$Q$8:$Q$3006)))</f>
        <v/>
      </c>
      <c r="H1068" s="47" t="str">
        <f>IF(B1068="","",IF(G1068&gt;0,"OUTSTANDING",IF(G1068=0,"SETTLED",IF(SUMIF(Transactions!$F$8:$F$3006,B1068,Transactions!$Q$8:$Q$3006)&gt;SUMIF(Transactions!$F$8:$F$3006,B1068,Transactions!$R$8:$R$3006),"OWES","OVERPAID"))))</f>
        <v/>
      </c>
      <c r="I1068" s="1"/>
    </row>
    <row r="1069" spans="1:9" ht="18" customHeight="1" x14ac:dyDescent="0.25">
      <c r="A1069" s="48">
        <v>1054</v>
      </c>
      <c r="B1069" s="49" t="str">
        <f t="array" ref="B1069">IFERROR(IF(INDEX(Transactions!$F$8:$F$3006,MATCH(0,COUNTIF($B$11:B1068,Transactions!$F$8:$F$3006),0))="","",INDEX(Transactions!$F$8:$F$3006,MATCH(0,COUNTIF($B$11:B1068,Transactions!$F$8:$F$3006),0))),"")</f>
        <v/>
      </c>
      <c r="C1069" s="50" t="str">
        <f>IF(B1069="","",SUMIF(Transactions!$F$8:$F$3006,B1069,Transactions!$H$8:$H$3006))</f>
        <v/>
      </c>
      <c r="D1069" s="51" t="str">
        <f>IF(B1069="","",SUMIF(Transactions!$F$8:$F$3006,B1069,Transactions!$N$8:$N$3006))</f>
        <v/>
      </c>
      <c r="E1069" s="52" t="str">
        <f>IF(B1069="","",SUMIF(Transactions!$F$8:$F$3006,B1069,Transactions!$O$8:$O$3006))</f>
        <v/>
      </c>
      <c r="F1069" s="53" t="str">
        <f>IF(B1069="","",SUMIF(Transactions!$F$8:$F$3006,B1069,Transactions!$R$8:$R$3006))</f>
        <v/>
      </c>
      <c r="G1069" s="54" t="str">
        <f>IF(B1069="","",(C1069+F1069)-(D1069+E1069+SUMIF(Transactions!$F$8:$F$3006,B1069,Transactions!$Q$8:$Q$3006)))</f>
        <v/>
      </c>
      <c r="H1069" s="55" t="str">
        <f>IF(B1069="","",IF(G1069&gt;0,"OUTSTANDING",IF(G1069=0,"SETTLED",IF(SUMIF(Transactions!$F$8:$F$3006,B1069,Transactions!$Q$8:$Q$3006)&gt;SUMIF(Transactions!$F$8:$F$3006,B1069,Transactions!$R$8:$R$3006),"OWES","OVERPAID"))))</f>
        <v/>
      </c>
      <c r="I1069" s="1"/>
    </row>
    <row r="1070" spans="1:9" ht="18" customHeight="1" x14ac:dyDescent="0.25">
      <c r="A1070" s="40">
        <v>1055</v>
      </c>
      <c r="B1070" s="41" t="str">
        <f t="array" ref="B1070">IFERROR(IF(INDEX(Transactions!$F$8:$F$3006,MATCH(0,COUNTIF($B$11:B1069,Transactions!$F$8:$F$3006),0))="","",INDEX(Transactions!$F$8:$F$3006,MATCH(0,COUNTIF($B$11:B1069,Transactions!$F$8:$F$3006),0))),"")</f>
        <v/>
      </c>
      <c r="C1070" s="42" t="str">
        <f>IF(B1070="","",SUMIF(Transactions!$F$8:$F$3006,B1070,Transactions!$H$8:$H$3006))</f>
        <v/>
      </c>
      <c r="D1070" s="43" t="str">
        <f>IF(B1070="","",SUMIF(Transactions!$F$8:$F$3006,B1070,Transactions!$N$8:$N$3006))</f>
        <v/>
      </c>
      <c r="E1070" s="44" t="str">
        <f>IF(B1070="","",SUMIF(Transactions!$F$8:$F$3006,B1070,Transactions!$O$8:$O$3006))</f>
        <v/>
      </c>
      <c r="F1070" s="45" t="str">
        <f>IF(B1070="","",SUMIF(Transactions!$F$8:$F$3006,B1070,Transactions!$R$8:$R$3006))</f>
        <v/>
      </c>
      <c r="G1070" s="46" t="str">
        <f>IF(B1070="","",(C1070+F1070)-(D1070+E1070+SUMIF(Transactions!$F$8:$F$3006,B1070,Transactions!$Q$8:$Q$3006)))</f>
        <v/>
      </c>
      <c r="H1070" s="47" t="str">
        <f>IF(B1070="","",IF(G1070&gt;0,"OUTSTANDING",IF(G1070=0,"SETTLED",IF(SUMIF(Transactions!$F$8:$F$3006,B1070,Transactions!$Q$8:$Q$3006)&gt;SUMIF(Transactions!$F$8:$F$3006,B1070,Transactions!$R$8:$R$3006),"OWES","OVERPAID"))))</f>
        <v/>
      </c>
      <c r="I1070" s="1"/>
    </row>
    <row r="1071" spans="1:9" ht="18" customHeight="1" x14ac:dyDescent="0.25">
      <c r="A1071" s="48">
        <v>1056</v>
      </c>
      <c r="B1071" s="49" t="str">
        <f t="array" ref="B1071">IFERROR(IF(INDEX(Transactions!$F$8:$F$3006,MATCH(0,COUNTIF($B$11:B1070,Transactions!$F$8:$F$3006),0))="","",INDEX(Transactions!$F$8:$F$3006,MATCH(0,COUNTIF($B$11:B1070,Transactions!$F$8:$F$3006),0))),"")</f>
        <v/>
      </c>
      <c r="C1071" s="50" t="str">
        <f>IF(B1071="","",SUMIF(Transactions!$F$8:$F$3006,B1071,Transactions!$H$8:$H$3006))</f>
        <v/>
      </c>
      <c r="D1071" s="51" t="str">
        <f>IF(B1071="","",SUMIF(Transactions!$F$8:$F$3006,B1071,Transactions!$N$8:$N$3006))</f>
        <v/>
      </c>
      <c r="E1071" s="52" t="str">
        <f>IF(B1071="","",SUMIF(Transactions!$F$8:$F$3006,B1071,Transactions!$O$8:$O$3006))</f>
        <v/>
      </c>
      <c r="F1071" s="53" t="str">
        <f>IF(B1071="","",SUMIF(Transactions!$F$8:$F$3006,B1071,Transactions!$R$8:$R$3006))</f>
        <v/>
      </c>
      <c r="G1071" s="54" t="str">
        <f>IF(B1071="","",(C1071+F1071)-(D1071+E1071+SUMIF(Transactions!$F$8:$F$3006,B1071,Transactions!$Q$8:$Q$3006)))</f>
        <v/>
      </c>
      <c r="H1071" s="55" t="str">
        <f>IF(B1071="","",IF(G1071&gt;0,"OUTSTANDING",IF(G1071=0,"SETTLED",IF(SUMIF(Transactions!$F$8:$F$3006,B1071,Transactions!$Q$8:$Q$3006)&gt;SUMIF(Transactions!$F$8:$F$3006,B1071,Transactions!$R$8:$R$3006),"OWES","OVERPAID"))))</f>
        <v/>
      </c>
      <c r="I1071" s="1"/>
    </row>
    <row r="1072" spans="1:9" ht="18" customHeight="1" x14ac:dyDescent="0.25">
      <c r="A1072" s="40">
        <v>1057</v>
      </c>
      <c r="B1072" s="41" t="str">
        <f t="array" ref="B1072">IFERROR(IF(INDEX(Transactions!$F$8:$F$3006,MATCH(0,COUNTIF($B$11:B1071,Transactions!$F$8:$F$3006),0))="","",INDEX(Transactions!$F$8:$F$3006,MATCH(0,COUNTIF($B$11:B1071,Transactions!$F$8:$F$3006),0))),"")</f>
        <v/>
      </c>
      <c r="C1072" s="42" t="str">
        <f>IF(B1072="","",SUMIF(Transactions!$F$8:$F$3006,B1072,Transactions!$H$8:$H$3006))</f>
        <v/>
      </c>
      <c r="D1072" s="43" t="str">
        <f>IF(B1072="","",SUMIF(Transactions!$F$8:$F$3006,B1072,Transactions!$N$8:$N$3006))</f>
        <v/>
      </c>
      <c r="E1072" s="44" t="str">
        <f>IF(B1072="","",SUMIF(Transactions!$F$8:$F$3006,B1072,Transactions!$O$8:$O$3006))</f>
        <v/>
      </c>
      <c r="F1072" s="45" t="str">
        <f>IF(B1072="","",SUMIF(Transactions!$F$8:$F$3006,B1072,Transactions!$R$8:$R$3006))</f>
        <v/>
      </c>
      <c r="G1072" s="46" t="str">
        <f>IF(B1072="","",(C1072+F1072)-(D1072+E1072+SUMIF(Transactions!$F$8:$F$3006,B1072,Transactions!$Q$8:$Q$3006)))</f>
        <v/>
      </c>
      <c r="H1072" s="47" t="str">
        <f>IF(B1072="","",IF(G1072&gt;0,"OUTSTANDING",IF(G1072=0,"SETTLED",IF(SUMIF(Transactions!$F$8:$F$3006,B1072,Transactions!$Q$8:$Q$3006)&gt;SUMIF(Transactions!$F$8:$F$3006,B1072,Transactions!$R$8:$R$3006),"OWES","OVERPAID"))))</f>
        <v/>
      </c>
      <c r="I1072" s="1"/>
    </row>
    <row r="1073" spans="1:9" ht="18" customHeight="1" x14ac:dyDescent="0.25">
      <c r="A1073" s="48">
        <v>1058</v>
      </c>
      <c r="B1073" s="49" t="str">
        <f t="array" ref="B1073">IFERROR(IF(INDEX(Transactions!$F$8:$F$3006,MATCH(0,COUNTIF($B$11:B1072,Transactions!$F$8:$F$3006),0))="","",INDEX(Transactions!$F$8:$F$3006,MATCH(0,COUNTIF($B$11:B1072,Transactions!$F$8:$F$3006),0))),"")</f>
        <v/>
      </c>
      <c r="C1073" s="50" t="str">
        <f>IF(B1073="","",SUMIF(Transactions!$F$8:$F$3006,B1073,Transactions!$H$8:$H$3006))</f>
        <v/>
      </c>
      <c r="D1073" s="51" t="str">
        <f>IF(B1073="","",SUMIF(Transactions!$F$8:$F$3006,B1073,Transactions!$N$8:$N$3006))</f>
        <v/>
      </c>
      <c r="E1073" s="52" t="str">
        <f>IF(B1073="","",SUMIF(Transactions!$F$8:$F$3006,B1073,Transactions!$O$8:$O$3006))</f>
        <v/>
      </c>
      <c r="F1073" s="53" t="str">
        <f>IF(B1073="","",SUMIF(Transactions!$F$8:$F$3006,B1073,Transactions!$R$8:$R$3006))</f>
        <v/>
      </c>
      <c r="G1073" s="54" t="str">
        <f>IF(B1073="","",(C1073+F1073)-(D1073+E1073+SUMIF(Transactions!$F$8:$F$3006,B1073,Transactions!$Q$8:$Q$3006)))</f>
        <v/>
      </c>
      <c r="H1073" s="55" t="str">
        <f>IF(B1073="","",IF(G1073&gt;0,"OUTSTANDING",IF(G1073=0,"SETTLED",IF(SUMIF(Transactions!$F$8:$F$3006,B1073,Transactions!$Q$8:$Q$3006)&gt;SUMIF(Transactions!$F$8:$F$3006,B1073,Transactions!$R$8:$R$3006),"OWES","OVERPAID"))))</f>
        <v/>
      </c>
      <c r="I1073" s="1"/>
    </row>
    <row r="1074" spans="1:9" ht="18" customHeight="1" x14ac:dyDescent="0.25">
      <c r="A1074" s="40">
        <v>1059</v>
      </c>
      <c r="B1074" s="41" t="str">
        <f t="array" ref="B1074">IFERROR(IF(INDEX(Transactions!$F$8:$F$3006,MATCH(0,COUNTIF($B$11:B1073,Transactions!$F$8:$F$3006),0))="","",INDEX(Transactions!$F$8:$F$3006,MATCH(0,COUNTIF($B$11:B1073,Transactions!$F$8:$F$3006),0))),"")</f>
        <v/>
      </c>
      <c r="C1074" s="42" t="str">
        <f>IF(B1074="","",SUMIF(Transactions!$F$8:$F$3006,B1074,Transactions!$H$8:$H$3006))</f>
        <v/>
      </c>
      <c r="D1074" s="43" t="str">
        <f>IF(B1074="","",SUMIF(Transactions!$F$8:$F$3006,B1074,Transactions!$N$8:$N$3006))</f>
        <v/>
      </c>
      <c r="E1074" s="44" t="str">
        <f>IF(B1074="","",SUMIF(Transactions!$F$8:$F$3006,B1074,Transactions!$O$8:$O$3006))</f>
        <v/>
      </c>
      <c r="F1074" s="45" t="str">
        <f>IF(B1074="","",SUMIF(Transactions!$F$8:$F$3006,B1074,Transactions!$R$8:$R$3006))</f>
        <v/>
      </c>
      <c r="G1074" s="46" t="str">
        <f>IF(B1074="","",(C1074+F1074)-(D1074+E1074+SUMIF(Transactions!$F$8:$F$3006,B1074,Transactions!$Q$8:$Q$3006)))</f>
        <v/>
      </c>
      <c r="H1074" s="47" t="str">
        <f>IF(B1074="","",IF(G1074&gt;0,"OUTSTANDING",IF(G1074=0,"SETTLED",IF(SUMIF(Transactions!$F$8:$F$3006,B1074,Transactions!$Q$8:$Q$3006)&gt;SUMIF(Transactions!$F$8:$F$3006,B1074,Transactions!$R$8:$R$3006),"OWES","OVERPAID"))))</f>
        <v/>
      </c>
      <c r="I1074" s="1"/>
    </row>
    <row r="1075" spans="1:9" ht="18" customHeight="1" x14ac:dyDescent="0.25">
      <c r="A1075" s="48">
        <v>1060</v>
      </c>
      <c r="B1075" s="49" t="str">
        <f t="array" ref="B1075">IFERROR(IF(INDEX(Transactions!$F$8:$F$3006,MATCH(0,COUNTIF($B$11:B1074,Transactions!$F$8:$F$3006),0))="","",INDEX(Transactions!$F$8:$F$3006,MATCH(0,COUNTIF($B$11:B1074,Transactions!$F$8:$F$3006),0))),"")</f>
        <v/>
      </c>
      <c r="C1075" s="50" t="str">
        <f>IF(B1075="","",SUMIF(Transactions!$F$8:$F$3006,B1075,Transactions!$H$8:$H$3006))</f>
        <v/>
      </c>
      <c r="D1075" s="51" t="str">
        <f>IF(B1075="","",SUMIF(Transactions!$F$8:$F$3006,B1075,Transactions!$N$8:$N$3006))</f>
        <v/>
      </c>
      <c r="E1075" s="52" t="str">
        <f>IF(B1075="","",SUMIF(Transactions!$F$8:$F$3006,B1075,Transactions!$O$8:$O$3006))</f>
        <v/>
      </c>
      <c r="F1075" s="53" t="str">
        <f>IF(B1075="","",SUMIF(Transactions!$F$8:$F$3006,B1075,Transactions!$R$8:$R$3006))</f>
        <v/>
      </c>
      <c r="G1075" s="54" t="str">
        <f>IF(B1075="","",(C1075+F1075)-(D1075+E1075+SUMIF(Transactions!$F$8:$F$3006,B1075,Transactions!$Q$8:$Q$3006)))</f>
        <v/>
      </c>
      <c r="H1075" s="55" t="str">
        <f>IF(B1075="","",IF(G1075&gt;0,"OUTSTANDING",IF(G1075=0,"SETTLED",IF(SUMIF(Transactions!$F$8:$F$3006,B1075,Transactions!$Q$8:$Q$3006)&gt;SUMIF(Transactions!$F$8:$F$3006,B1075,Transactions!$R$8:$R$3006),"OWES","OVERPAID"))))</f>
        <v/>
      </c>
      <c r="I1075" s="1"/>
    </row>
    <row r="1076" spans="1:9" ht="18" customHeight="1" x14ac:dyDescent="0.25">
      <c r="A1076" s="40">
        <v>1061</v>
      </c>
      <c r="B1076" s="41" t="str">
        <f t="array" ref="B1076">IFERROR(IF(INDEX(Transactions!$F$8:$F$3006,MATCH(0,COUNTIF($B$11:B1075,Transactions!$F$8:$F$3006),0))="","",INDEX(Transactions!$F$8:$F$3006,MATCH(0,COUNTIF($B$11:B1075,Transactions!$F$8:$F$3006),0))),"")</f>
        <v/>
      </c>
      <c r="C1076" s="42" t="str">
        <f>IF(B1076="","",SUMIF(Transactions!$F$8:$F$3006,B1076,Transactions!$H$8:$H$3006))</f>
        <v/>
      </c>
      <c r="D1076" s="43" t="str">
        <f>IF(B1076="","",SUMIF(Transactions!$F$8:$F$3006,B1076,Transactions!$N$8:$N$3006))</f>
        <v/>
      </c>
      <c r="E1076" s="44" t="str">
        <f>IF(B1076="","",SUMIF(Transactions!$F$8:$F$3006,B1076,Transactions!$O$8:$O$3006))</f>
        <v/>
      </c>
      <c r="F1076" s="45" t="str">
        <f>IF(B1076="","",SUMIF(Transactions!$F$8:$F$3006,B1076,Transactions!$R$8:$R$3006))</f>
        <v/>
      </c>
      <c r="G1076" s="46" t="str">
        <f>IF(B1076="","",(C1076+F1076)-(D1076+E1076+SUMIF(Transactions!$F$8:$F$3006,B1076,Transactions!$Q$8:$Q$3006)))</f>
        <v/>
      </c>
      <c r="H1076" s="47" t="str">
        <f>IF(B1076="","",IF(G1076&gt;0,"OUTSTANDING",IF(G1076=0,"SETTLED",IF(SUMIF(Transactions!$F$8:$F$3006,B1076,Transactions!$Q$8:$Q$3006)&gt;SUMIF(Transactions!$F$8:$F$3006,B1076,Transactions!$R$8:$R$3006),"OWES","OVERPAID"))))</f>
        <v/>
      </c>
      <c r="I1076" s="1"/>
    </row>
    <row r="1077" spans="1:9" ht="18" customHeight="1" x14ac:dyDescent="0.25">
      <c r="A1077" s="48">
        <v>1062</v>
      </c>
      <c r="B1077" s="49" t="str">
        <f t="array" ref="B1077">IFERROR(IF(INDEX(Transactions!$F$8:$F$3006,MATCH(0,COUNTIF($B$11:B1076,Transactions!$F$8:$F$3006),0))="","",INDEX(Transactions!$F$8:$F$3006,MATCH(0,COUNTIF($B$11:B1076,Transactions!$F$8:$F$3006),0))),"")</f>
        <v/>
      </c>
      <c r="C1077" s="50" t="str">
        <f>IF(B1077="","",SUMIF(Transactions!$F$8:$F$3006,B1077,Transactions!$H$8:$H$3006))</f>
        <v/>
      </c>
      <c r="D1077" s="51" t="str">
        <f>IF(B1077="","",SUMIF(Transactions!$F$8:$F$3006,B1077,Transactions!$N$8:$N$3006))</f>
        <v/>
      </c>
      <c r="E1077" s="52" t="str">
        <f>IF(B1077="","",SUMIF(Transactions!$F$8:$F$3006,B1077,Transactions!$O$8:$O$3006))</f>
        <v/>
      </c>
      <c r="F1077" s="53" t="str">
        <f>IF(B1077="","",SUMIF(Transactions!$F$8:$F$3006,B1077,Transactions!$R$8:$R$3006))</f>
        <v/>
      </c>
      <c r="G1077" s="54" t="str">
        <f>IF(B1077="","",(C1077+F1077)-(D1077+E1077+SUMIF(Transactions!$F$8:$F$3006,B1077,Transactions!$Q$8:$Q$3006)))</f>
        <v/>
      </c>
      <c r="H1077" s="55" t="str">
        <f>IF(B1077="","",IF(G1077&gt;0,"OUTSTANDING",IF(G1077=0,"SETTLED",IF(SUMIF(Transactions!$F$8:$F$3006,B1077,Transactions!$Q$8:$Q$3006)&gt;SUMIF(Transactions!$F$8:$F$3006,B1077,Transactions!$R$8:$R$3006),"OWES","OVERPAID"))))</f>
        <v/>
      </c>
      <c r="I1077" s="1"/>
    </row>
    <row r="1078" spans="1:9" ht="18" customHeight="1" x14ac:dyDescent="0.25">
      <c r="A1078" s="40">
        <v>1063</v>
      </c>
      <c r="B1078" s="41" t="str">
        <f t="array" ref="B1078">IFERROR(IF(INDEX(Transactions!$F$8:$F$3006,MATCH(0,COUNTIF($B$11:B1077,Transactions!$F$8:$F$3006),0))="","",INDEX(Transactions!$F$8:$F$3006,MATCH(0,COUNTIF($B$11:B1077,Transactions!$F$8:$F$3006),0))),"")</f>
        <v/>
      </c>
      <c r="C1078" s="42" t="str">
        <f>IF(B1078="","",SUMIF(Transactions!$F$8:$F$3006,B1078,Transactions!$H$8:$H$3006))</f>
        <v/>
      </c>
      <c r="D1078" s="43" t="str">
        <f>IF(B1078="","",SUMIF(Transactions!$F$8:$F$3006,B1078,Transactions!$N$8:$N$3006))</f>
        <v/>
      </c>
      <c r="E1078" s="44" t="str">
        <f>IF(B1078="","",SUMIF(Transactions!$F$8:$F$3006,B1078,Transactions!$O$8:$O$3006))</f>
        <v/>
      </c>
      <c r="F1078" s="45" t="str">
        <f>IF(B1078="","",SUMIF(Transactions!$F$8:$F$3006,B1078,Transactions!$R$8:$R$3006))</f>
        <v/>
      </c>
      <c r="G1078" s="46" t="str">
        <f>IF(B1078="","",(C1078+F1078)-(D1078+E1078+SUMIF(Transactions!$F$8:$F$3006,B1078,Transactions!$Q$8:$Q$3006)))</f>
        <v/>
      </c>
      <c r="H1078" s="47" t="str">
        <f>IF(B1078="","",IF(G1078&gt;0,"OUTSTANDING",IF(G1078=0,"SETTLED",IF(SUMIF(Transactions!$F$8:$F$3006,B1078,Transactions!$Q$8:$Q$3006)&gt;SUMIF(Transactions!$F$8:$F$3006,B1078,Transactions!$R$8:$R$3006),"OWES","OVERPAID"))))</f>
        <v/>
      </c>
      <c r="I1078" s="1"/>
    </row>
    <row r="1079" spans="1:9" ht="18" customHeight="1" x14ac:dyDescent="0.25">
      <c r="A1079" s="48">
        <v>1064</v>
      </c>
      <c r="B1079" s="49" t="str">
        <f t="array" ref="B1079">IFERROR(IF(INDEX(Transactions!$F$8:$F$3006,MATCH(0,COUNTIF($B$11:B1078,Transactions!$F$8:$F$3006),0))="","",INDEX(Transactions!$F$8:$F$3006,MATCH(0,COUNTIF($B$11:B1078,Transactions!$F$8:$F$3006),0))),"")</f>
        <v/>
      </c>
      <c r="C1079" s="50" t="str">
        <f>IF(B1079="","",SUMIF(Transactions!$F$8:$F$3006,B1079,Transactions!$H$8:$H$3006))</f>
        <v/>
      </c>
      <c r="D1079" s="51" t="str">
        <f>IF(B1079="","",SUMIF(Transactions!$F$8:$F$3006,B1079,Transactions!$N$8:$N$3006))</f>
        <v/>
      </c>
      <c r="E1079" s="52" t="str">
        <f>IF(B1079="","",SUMIF(Transactions!$F$8:$F$3006,B1079,Transactions!$O$8:$O$3006))</f>
        <v/>
      </c>
      <c r="F1079" s="53" t="str">
        <f>IF(B1079="","",SUMIF(Transactions!$F$8:$F$3006,B1079,Transactions!$R$8:$R$3006))</f>
        <v/>
      </c>
      <c r="G1079" s="54" t="str">
        <f>IF(B1079="","",(C1079+F1079)-(D1079+E1079+SUMIF(Transactions!$F$8:$F$3006,B1079,Transactions!$Q$8:$Q$3006)))</f>
        <v/>
      </c>
      <c r="H1079" s="55" t="str">
        <f>IF(B1079="","",IF(G1079&gt;0,"OUTSTANDING",IF(G1079=0,"SETTLED",IF(SUMIF(Transactions!$F$8:$F$3006,B1079,Transactions!$Q$8:$Q$3006)&gt;SUMIF(Transactions!$F$8:$F$3006,B1079,Transactions!$R$8:$R$3006),"OWES","OVERPAID"))))</f>
        <v/>
      </c>
      <c r="I1079" s="1"/>
    </row>
    <row r="1080" spans="1:9" ht="18" customHeight="1" x14ac:dyDescent="0.25">
      <c r="A1080" s="40">
        <v>1065</v>
      </c>
      <c r="B1080" s="41" t="str">
        <f t="array" ref="B1080">IFERROR(IF(INDEX(Transactions!$F$8:$F$3006,MATCH(0,COUNTIF($B$11:B1079,Transactions!$F$8:$F$3006),0))="","",INDEX(Transactions!$F$8:$F$3006,MATCH(0,COUNTIF($B$11:B1079,Transactions!$F$8:$F$3006),0))),"")</f>
        <v/>
      </c>
      <c r="C1080" s="42" t="str">
        <f>IF(B1080="","",SUMIF(Transactions!$F$8:$F$3006,B1080,Transactions!$H$8:$H$3006))</f>
        <v/>
      </c>
      <c r="D1080" s="43" t="str">
        <f>IF(B1080="","",SUMIF(Transactions!$F$8:$F$3006,B1080,Transactions!$N$8:$N$3006))</f>
        <v/>
      </c>
      <c r="E1080" s="44" t="str">
        <f>IF(B1080="","",SUMIF(Transactions!$F$8:$F$3006,B1080,Transactions!$O$8:$O$3006))</f>
        <v/>
      </c>
      <c r="F1080" s="45" t="str">
        <f>IF(B1080="","",SUMIF(Transactions!$F$8:$F$3006,B1080,Transactions!$R$8:$R$3006))</f>
        <v/>
      </c>
      <c r="G1080" s="46" t="str">
        <f>IF(B1080="","",(C1080+F1080)-(D1080+E1080+SUMIF(Transactions!$F$8:$F$3006,B1080,Transactions!$Q$8:$Q$3006)))</f>
        <v/>
      </c>
      <c r="H1080" s="47" t="str">
        <f>IF(B1080="","",IF(G1080&gt;0,"OUTSTANDING",IF(G1080=0,"SETTLED",IF(SUMIF(Transactions!$F$8:$F$3006,B1080,Transactions!$Q$8:$Q$3006)&gt;SUMIF(Transactions!$F$8:$F$3006,B1080,Transactions!$R$8:$R$3006),"OWES","OVERPAID"))))</f>
        <v/>
      </c>
      <c r="I1080" s="1"/>
    </row>
    <row r="1081" spans="1:9" ht="18" customHeight="1" x14ac:dyDescent="0.25">
      <c r="A1081" s="48">
        <v>1066</v>
      </c>
      <c r="B1081" s="49" t="str">
        <f t="array" ref="B1081">IFERROR(IF(INDEX(Transactions!$F$8:$F$3006,MATCH(0,COUNTIF($B$11:B1080,Transactions!$F$8:$F$3006),0))="","",INDEX(Transactions!$F$8:$F$3006,MATCH(0,COUNTIF($B$11:B1080,Transactions!$F$8:$F$3006),0))),"")</f>
        <v/>
      </c>
      <c r="C1081" s="50" t="str">
        <f>IF(B1081="","",SUMIF(Transactions!$F$8:$F$3006,B1081,Transactions!$H$8:$H$3006))</f>
        <v/>
      </c>
      <c r="D1081" s="51" t="str">
        <f>IF(B1081="","",SUMIF(Transactions!$F$8:$F$3006,B1081,Transactions!$N$8:$N$3006))</f>
        <v/>
      </c>
      <c r="E1081" s="52" t="str">
        <f>IF(B1081="","",SUMIF(Transactions!$F$8:$F$3006,B1081,Transactions!$O$8:$O$3006))</f>
        <v/>
      </c>
      <c r="F1081" s="53" t="str">
        <f>IF(B1081="","",SUMIF(Transactions!$F$8:$F$3006,B1081,Transactions!$R$8:$R$3006))</f>
        <v/>
      </c>
      <c r="G1081" s="54" t="str">
        <f>IF(B1081="","",(C1081+F1081)-(D1081+E1081+SUMIF(Transactions!$F$8:$F$3006,B1081,Transactions!$Q$8:$Q$3006)))</f>
        <v/>
      </c>
      <c r="H1081" s="55" t="str">
        <f>IF(B1081="","",IF(G1081&gt;0,"OUTSTANDING",IF(G1081=0,"SETTLED",IF(SUMIF(Transactions!$F$8:$F$3006,B1081,Transactions!$Q$8:$Q$3006)&gt;SUMIF(Transactions!$F$8:$F$3006,B1081,Transactions!$R$8:$R$3006),"OWES","OVERPAID"))))</f>
        <v/>
      </c>
      <c r="I1081" s="1"/>
    </row>
    <row r="1082" spans="1:9" ht="18" customHeight="1" x14ac:dyDescent="0.25">
      <c r="A1082" s="40">
        <v>1067</v>
      </c>
      <c r="B1082" s="41" t="str">
        <f t="array" ref="B1082">IFERROR(IF(INDEX(Transactions!$F$8:$F$3006,MATCH(0,COUNTIF($B$11:B1081,Transactions!$F$8:$F$3006),0))="","",INDEX(Transactions!$F$8:$F$3006,MATCH(0,COUNTIF($B$11:B1081,Transactions!$F$8:$F$3006),0))),"")</f>
        <v/>
      </c>
      <c r="C1082" s="42" t="str">
        <f>IF(B1082="","",SUMIF(Transactions!$F$8:$F$3006,B1082,Transactions!$H$8:$H$3006))</f>
        <v/>
      </c>
      <c r="D1082" s="43" t="str">
        <f>IF(B1082="","",SUMIF(Transactions!$F$8:$F$3006,B1082,Transactions!$N$8:$N$3006))</f>
        <v/>
      </c>
      <c r="E1082" s="44" t="str">
        <f>IF(B1082="","",SUMIF(Transactions!$F$8:$F$3006,B1082,Transactions!$O$8:$O$3006))</f>
        <v/>
      </c>
      <c r="F1082" s="45" t="str">
        <f>IF(B1082="","",SUMIF(Transactions!$F$8:$F$3006,B1082,Transactions!$R$8:$R$3006))</f>
        <v/>
      </c>
      <c r="G1082" s="46" t="str">
        <f>IF(B1082="","",(C1082+F1082)-(D1082+E1082+SUMIF(Transactions!$F$8:$F$3006,B1082,Transactions!$Q$8:$Q$3006)))</f>
        <v/>
      </c>
      <c r="H1082" s="47" t="str">
        <f>IF(B1082="","",IF(G1082&gt;0,"OUTSTANDING",IF(G1082=0,"SETTLED",IF(SUMIF(Transactions!$F$8:$F$3006,B1082,Transactions!$Q$8:$Q$3006)&gt;SUMIF(Transactions!$F$8:$F$3006,B1082,Transactions!$R$8:$R$3006),"OWES","OVERPAID"))))</f>
        <v/>
      </c>
      <c r="I1082" s="1"/>
    </row>
    <row r="1083" spans="1:9" ht="18" customHeight="1" x14ac:dyDescent="0.25">
      <c r="A1083" s="48">
        <v>1068</v>
      </c>
      <c r="B1083" s="49" t="str">
        <f t="array" ref="B1083">IFERROR(IF(INDEX(Transactions!$F$8:$F$3006,MATCH(0,COUNTIF($B$11:B1082,Transactions!$F$8:$F$3006),0))="","",INDEX(Transactions!$F$8:$F$3006,MATCH(0,COUNTIF($B$11:B1082,Transactions!$F$8:$F$3006),0))),"")</f>
        <v/>
      </c>
      <c r="C1083" s="50" t="str">
        <f>IF(B1083="","",SUMIF(Transactions!$F$8:$F$3006,B1083,Transactions!$H$8:$H$3006))</f>
        <v/>
      </c>
      <c r="D1083" s="51" t="str">
        <f>IF(B1083="","",SUMIF(Transactions!$F$8:$F$3006,B1083,Transactions!$N$8:$N$3006))</f>
        <v/>
      </c>
      <c r="E1083" s="52" t="str">
        <f>IF(B1083="","",SUMIF(Transactions!$F$8:$F$3006,B1083,Transactions!$O$8:$O$3006))</f>
        <v/>
      </c>
      <c r="F1083" s="53" t="str">
        <f>IF(B1083="","",SUMIF(Transactions!$F$8:$F$3006,B1083,Transactions!$R$8:$R$3006))</f>
        <v/>
      </c>
      <c r="G1083" s="54" t="str">
        <f>IF(B1083="","",(C1083+F1083)-(D1083+E1083+SUMIF(Transactions!$F$8:$F$3006,B1083,Transactions!$Q$8:$Q$3006)))</f>
        <v/>
      </c>
      <c r="H1083" s="55" t="str">
        <f>IF(B1083="","",IF(G1083&gt;0,"OUTSTANDING",IF(G1083=0,"SETTLED",IF(SUMIF(Transactions!$F$8:$F$3006,B1083,Transactions!$Q$8:$Q$3006)&gt;SUMIF(Transactions!$F$8:$F$3006,B1083,Transactions!$R$8:$R$3006),"OWES","OVERPAID"))))</f>
        <v/>
      </c>
      <c r="I1083" s="1"/>
    </row>
    <row r="1084" spans="1:9" ht="18" customHeight="1" x14ac:dyDescent="0.25">
      <c r="A1084" s="40">
        <v>1069</v>
      </c>
      <c r="B1084" s="41" t="str">
        <f t="array" ref="B1084">IFERROR(IF(INDEX(Transactions!$F$8:$F$3006,MATCH(0,COUNTIF($B$11:B1083,Transactions!$F$8:$F$3006),0))="","",INDEX(Transactions!$F$8:$F$3006,MATCH(0,COUNTIF($B$11:B1083,Transactions!$F$8:$F$3006),0))),"")</f>
        <v/>
      </c>
      <c r="C1084" s="42" t="str">
        <f>IF(B1084="","",SUMIF(Transactions!$F$8:$F$3006,B1084,Transactions!$H$8:$H$3006))</f>
        <v/>
      </c>
      <c r="D1084" s="43" t="str">
        <f>IF(B1084="","",SUMIF(Transactions!$F$8:$F$3006,B1084,Transactions!$N$8:$N$3006))</f>
        <v/>
      </c>
      <c r="E1084" s="44" t="str">
        <f>IF(B1084="","",SUMIF(Transactions!$F$8:$F$3006,B1084,Transactions!$O$8:$O$3006))</f>
        <v/>
      </c>
      <c r="F1084" s="45" t="str">
        <f>IF(B1084="","",SUMIF(Transactions!$F$8:$F$3006,B1084,Transactions!$R$8:$R$3006))</f>
        <v/>
      </c>
      <c r="G1084" s="46" t="str">
        <f>IF(B1084="","",(C1084+F1084)-(D1084+E1084+SUMIF(Transactions!$F$8:$F$3006,B1084,Transactions!$Q$8:$Q$3006)))</f>
        <v/>
      </c>
      <c r="H1084" s="47" t="str">
        <f>IF(B1084="","",IF(G1084&gt;0,"OUTSTANDING",IF(G1084=0,"SETTLED",IF(SUMIF(Transactions!$F$8:$F$3006,B1084,Transactions!$Q$8:$Q$3006)&gt;SUMIF(Transactions!$F$8:$F$3006,B1084,Transactions!$R$8:$R$3006),"OWES","OVERPAID"))))</f>
        <v/>
      </c>
      <c r="I1084" s="1"/>
    </row>
    <row r="1085" spans="1:9" ht="18" customHeight="1" x14ac:dyDescent="0.25">
      <c r="A1085" s="48">
        <v>1070</v>
      </c>
      <c r="B1085" s="49" t="str">
        <f t="array" ref="B1085">IFERROR(IF(INDEX(Transactions!$F$8:$F$3006,MATCH(0,COUNTIF($B$11:B1084,Transactions!$F$8:$F$3006),0))="","",INDEX(Transactions!$F$8:$F$3006,MATCH(0,COUNTIF($B$11:B1084,Transactions!$F$8:$F$3006),0))),"")</f>
        <v/>
      </c>
      <c r="C1085" s="50" t="str">
        <f>IF(B1085="","",SUMIF(Transactions!$F$8:$F$3006,B1085,Transactions!$H$8:$H$3006))</f>
        <v/>
      </c>
      <c r="D1085" s="51" t="str">
        <f>IF(B1085="","",SUMIF(Transactions!$F$8:$F$3006,B1085,Transactions!$N$8:$N$3006))</f>
        <v/>
      </c>
      <c r="E1085" s="52" t="str">
        <f>IF(B1085="","",SUMIF(Transactions!$F$8:$F$3006,B1085,Transactions!$O$8:$O$3006))</f>
        <v/>
      </c>
      <c r="F1085" s="53" t="str">
        <f>IF(B1085="","",SUMIF(Transactions!$F$8:$F$3006,B1085,Transactions!$R$8:$R$3006))</f>
        <v/>
      </c>
      <c r="G1085" s="54" t="str">
        <f>IF(B1085="","",(C1085+F1085)-(D1085+E1085+SUMIF(Transactions!$F$8:$F$3006,B1085,Transactions!$Q$8:$Q$3006)))</f>
        <v/>
      </c>
      <c r="H1085" s="55" t="str">
        <f>IF(B1085="","",IF(G1085&gt;0,"OUTSTANDING",IF(G1085=0,"SETTLED",IF(SUMIF(Transactions!$F$8:$F$3006,B1085,Transactions!$Q$8:$Q$3006)&gt;SUMIF(Transactions!$F$8:$F$3006,B1085,Transactions!$R$8:$R$3006),"OWES","OVERPAID"))))</f>
        <v/>
      </c>
      <c r="I1085" s="1"/>
    </row>
    <row r="1086" spans="1:9" ht="18" customHeight="1" x14ac:dyDescent="0.25">
      <c r="A1086" s="40">
        <v>1071</v>
      </c>
      <c r="B1086" s="41" t="str">
        <f t="array" ref="B1086">IFERROR(IF(INDEX(Transactions!$F$8:$F$3006,MATCH(0,COUNTIF($B$11:B1085,Transactions!$F$8:$F$3006),0))="","",INDEX(Transactions!$F$8:$F$3006,MATCH(0,COUNTIF($B$11:B1085,Transactions!$F$8:$F$3006),0))),"")</f>
        <v/>
      </c>
      <c r="C1086" s="42" t="str">
        <f>IF(B1086="","",SUMIF(Transactions!$F$8:$F$3006,B1086,Transactions!$H$8:$H$3006))</f>
        <v/>
      </c>
      <c r="D1086" s="43" t="str">
        <f>IF(B1086="","",SUMIF(Transactions!$F$8:$F$3006,B1086,Transactions!$N$8:$N$3006))</f>
        <v/>
      </c>
      <c r="E1086" s="44" t="str">
        <f>IF(B1086="","",SUMIF(Transactions!$F$8:$F$3006,B1086,Transactions!$O$8:$O$3006))</f>
        <v/>
      </c>
      <c r="F1086" s="45" t="str">
        <f>IF(B1086="","",SUMIF(Transactions!$F$8:$F$3006,B1086,Transactions!$R$8:$R$3006))</f>
        <v/>
      </c>
      <c r="G1086" s="46" t="str">
        <f>IF(B1086="","",(C1086+F1086)-(D1086+E1086+SUMIF(Transactions!$F$8:$F$3006,B1086,Transactions!$Q$8:$Q$3006)))</f>
        <v/>
      </c>
      <c r="H1086" s="47" t="str">
        <f>IF(B1086="","",IF(G1086&gt;0,"OUTSTANDING",IF(G1086=0,"SETTLED",IF(SUMIF(Transactions!$F$8:$F$3006,B1086,Transactions!$Q$8:$Q$3006)&gt;SUMIF(Transactions!$F$8:$F$3006,B1086,Transactions!$R$8:$R$3006),"OWES","OVERPAID"))))</f>
        <v/>
      </c>
      <c r="I1086" s="1"/>
    </row>
    <row r="1087" spans="1:9" ht="18" customHeight="1" x14ac:dyDescent="0.25">
      <c r="A1087" s="48">
        <v>1072</v>
      </c>
      <c r="B1087" s="49" t="str">
        <f t="array" ref="B1087">IFERROR(IF(INDEX(Transactions!$F$8:$F$3006,MATCH(0,COUNTIF($B$11:B1086,Transactions!$F$8:$F$3006),0))="","",INDEX(Transactions!$F$8:$F$3006,MATCH(0,COUNTIF($B$11:B1086,Transactions!$F$8:$F$3006),0))),"")</f>
        <v/>
      </c>
      <c r="C1087" s="50" t="str">
        <f>IF(B1087="","",SUMIF(Transactions!$F$8:$F$3006,B1087,Transactions!$H$8:$H$3006))</f>
        <v/>
      </c>
      <c r="D1087" s="51" t="str">
        <f>IF(B1087="","",SUMIF(Transactions!$F$8:$F$3006,B1087,Transactions!$N$8:$N$3006))</f>
        <v/>
      </c>
      <c r="E1087" s="52" t="str">
        <f>IF(B1087="","",SUMIF(Transactions!$F$8:$F$3006,B1087,Transactions!$O$8:$O$3006))</f>
        <v/>
      </c>
      <c r="F1087" s="53" t="str">
        <f>IF(B1087="","",SUMIF(Transactions!$F$8:$F$3006,B1087,Transactions!$R$8:$R$3006))</f>
        <v/>
      </c>
      <c r="G1087" s="54" t="str">
        <f>IF(B1087="","",(C1087+F1087)-(D1087+E1087+SUMIF(Transactions!$F$8:$F$3006,B1087,Transactions!$Q$8:$Q$3006)))</f>
        <v/>
      </c>
      <c r="H1087" s="55" t="str">
        <f>IF(B1087="","",IF(G1087&gt;0,"OUTSTANDING",IF(G1087=0,"SETTLED",IF(SUMIF(Transactions!$F$8:$F$3006,B1087,Transactions!$Q$8:$Q$3006)&gt;SUMIF(Transactions!$F$8:$F$3006,B1087,Transactions!$R$8:$R$3006),"OWES","OVERPAID"))))</f>
        <v/>
      </c>
      <c r="I1087" s="1"/>
    </row>
    <row r="1088" spans="1:9" ht="18" customHeight="1" x14ac:dyDescent="0.25">
      <c r="A1088" s="40">
        <v>1073</v>
      </c>
      <c r="B1088" s="41" t="str">
        <f t="array" ref="B1088">IFERROR(IF(INDEX(Transactions!$F$8:$F$3006,MATCH(0,COUNTIF($B$11:B1087,Transactions!$F$8:$F$3006),0))="","",INDEX(Transactions!$F$8:$F$3006,MATCH(0,COUNTIF($B$11:B1087,Transactions!$F$8:$F$3006),0))),"")</f>
        <v/>
      </c>
      <c r="C1088" s="42" t="str">
        <f>IF(B1088="","",SUMIF(Transactions!$F$8:$F$3006,B1088,Transactions!$H$8:$H$3006))</f>
        <v/>
      </c>
      <c r="D1088" s="43" t="str">
        <f>IF(B1088="","",SUMIF(Transactions!$F$8:$F$3006,B1088,Transactions!$N$8:$N$3006))</f>
        <v/>
      </c>
      <c r="E1088" s="44" t="str">
        <f>IF(B1088="","",SUMIF(Transactions!$F$8:$F$3006,B1088,Transactions!$O$8:$O$3006))</f>
        <v/>
      </c>
      <c r="F1088" s="45" t="str">
        <f>IF(B1088="","",SUMIF(Transactions!$F$8:$F$3006,B1088,Transactions!$R$8:$R$3006))</f>
        <v/>
      </c>
      <c r="G1088" s="46" t="str">
        <f>IF(B1088="","",(C1088+F1088)-(D1088+E1088+SUMIF(Transactions!$F$8:$F$3006,B1088,Transactions!$Q$8:$Q$3006)))</f>
        <v/>
      </c>
      <c r="H1088" s="47" t="str">
        <f>IF(B1088="","",IF(G1088&gt;0,"OUTSTANDING",IF(G1088=0,"SETTLED",IF(SUMIF(Transactions!$F$8:$F$3006,B1088,Transactions!$Q$8:$Q$3006)&gt;SUMIF(Transactions!$F$8:$F$3006,B1088,Transactions!$R$8:$R$3006),"OWES","OVERPAID"))))</f>
        <v/>
      </c>
      <c r="I1088" s="1"/>
    </row>
    <row r="1089" spans="1:9" ht="18" customHeight="1" x14ac:dyDescent="0.25">
      <c r="A1089" s="48">
        <v>1074</v>
      </c>
      <c r="B1089" s="49" t="str">
        <f t="array" ref="B1089">IFERROR(IF(INDEX(Transactions!$F$8:$F$3006,MATCH(0,COUNTIF($B$11:B1088,Transactions!$F$8:$F$3006),0))="","",INDEX(Transactions!$F$8:$F$3006,MATCH(0,COUNTIF($B$11:B1088,Transactions!$F$8:$F$3006),0))),"")</f>
        <v/>
      </c>
      <c r="C1089" s="50" t="str">
        <f>IF(B1089="","",SUMIF(Transactions!$F$8:$F$3006,B1089,Transactions!$H$8:$H$3006))</f>
        <v/>
      </c>
      <c r="D1089" s="51" t="str">
        <f>IF(B1089="","",SUMIF(Transactions!$F$8:$F$3006,B1089,Transactions!$N$8:$N$3006))</f>
        <v/>
      </c>
      <c r="E1089" s="52" t="str">
        <f>IF(B1089="","",SUMIF(Transactions!$F$8:$F$3006,B1089,Transactions!$O$8:$O$3006))</f>
        <v/>
      </c>
      <c r="F1089" s="53" t="str">
        <f>IF(B1089="","",SUMIF(Transactions!$F$8:$F$3006,B1089,Transactions!$R$8:$R$3006))</f>
        <v/>
      </c>
      <c r="G1089" s="54" t="str">
        <f>IF(B1089="","",(C1089+F1089)-(D1089+E1089+SUMIF(Transactions!$F$8:$F$3006,B1089,Transactions!$Q$8:$Q$3006)))</f>
        <v/>
      </c>
      <c r="H1089" s="55" t="str">
        <f>IF(B1089="","",IF(G1089&gt;0,"OUTSTANDING",IF(G1089=0,"SETTLED",IF(SUMIF(Transactions!$F$8:$F$3006,B1089,Transactions!$Q$8:$Q$3006)&gt;SUMIF(Transactions!$F$8:$F$3006,B1089,Transactions!$R$8:$R$3006),"OWES","OVERPAID"))))</f>
        <v/>
      </c>
      <c r="I1089" s="1"/>
    </row>
    <row r="1090" spans="1:9" ht="18" customHeight="1" x14ac:dyDescent="0.25">
      <c r="A1090" s="40">
        <v>1075</v>
      </c>
      <c r="B1090" s="41" t="str">
        <f t="array" ref="B1090">IFERROR(IF(INDEX(Transactions!$F$8:$F$3006,MATCH(0,COUNTIF($B$11:B1089,Transactions!$F$8:$F$3006),0))="","",INDEX(Transactions!$F$8:$F$3006,MATCH(0,COUNTIF($B$11:B1089,Transactions!$F$8:$F$3006),0))),"")</f>
        <v/>
      </c>
      <c r="C1090" s="42" t="str">
        <f>IF(B1090="","",SUMIF(Transactions!$F$8:$F$3006,B1090,Transactions!$H$8:$H$3006))</f>
        <v/>
      </c>
      <c r="D1090" s="43" t="str">
        <f>IF(B1090="","",SUMIF(Transactions!$F$8:$F$3006,B1090,Transactions!$N$8:$N$3006))</f>
        <v/>
      </c>
      <c r="E1090" s="44" t="str">
        <f>IF(B1090="","",SUMIF(Transactions!$F$8:$F$3006,B1090,Transactions!$O$8:$O$3006))</f>
        <v/>
      </c>
      <c r="F1090" s="45" t="str">
        <f>IF(B1090="","",SUMIF(Transactions!$F$8:$F$3006,B1090,Transactions!$R$8:$R$3006))</f>
        <v/>
      </c>
      <c r="G1090" s="46" t="str">
        <f>IF(B1090="","",(C1090+F1090)-(D1090+E1090+SUMIF(Transactions!$F$8:$F$3006,B1090,Transactions!$Q$8:$Q$3006)))</f>
        <v/>
      </c>
      <c r="H1090" s="47" t="str">
        <f>IF(B1090="","",IF(G1090&gt;0,"OUTSTANDING",IF(G1090=0,"SETTLED",IF(SUMIF(Transactions!$F$8:$F$3006,B1090,Transactions!$Q$8:$Q$3006)&gt;SUMIF(Transactions!$F$8:$F$3006,B1090,Transactions!$R$8:$R$3006),"OWES","OVERPAID"))))</f>
        <v/>
      </c>
      <c r="I1090" s="1"/>
    </row>
    <row r="1091" spans="1:9" ht="18" customHeight="1" x14ac:dyDescent="0.25">
      <c r="A1091" s="48">
        <v>1076</v>
      </c>
      <c r="B1091" s="49" t="str">
        <f t="array" ref="B1091">IFERROR(IF(INDEX(Transactions!$F$8:$F$3006,MATCH(0,COUNTIF($B$11:B1090,Transactions!$F$8:$F$3006),0))="","",INDEX(Transactions!$F$8:$F$3006,MATCH(0,COUNTIF($B$11:B1090,Transactions!$F$8:$F$3006),0))),"")</f>
        <v/>
      </c>
      <c r="C1091" s="50" t="str">
        <f>IF(B1091="","",SUMIF(Transactions!$F$8:$F$3006,B1091,Transactions!$H$8:$H$3006))</f>
        <v/>
      </c>
      <c r="D1091" s="51" t="str">
        <f>IF(B1091="","",SUMIF(Transactions!$F$8:$F$3006,B1091,Transactions!$N$8:$N$3006))</f>
        <v/>
      </c>
      <c r="E1091" s="52" t="str">
        <f>IF(B1091="","",SUMIF(Transactions!$F$8:$F$3006,B1091,Transactions!$O$8:$O$3006))</f>
        <v/>
      </c>
      <c r="F1091" s="53" t="str">
        <f>IF(B1091="","",SUMIF(Transactions!$F$8:$F$3006,B1091,Transactions!$R$8:$R$3006))</f>
        <v/>
      </c>
      <c r="G1091" s="54" t="str">
        <f>IF(B1091="","",(C1091+F1091)-(D1091+E1091+SUMIF(Transactions!$F$8:$F$3006,B1091,Transactions!$Q$8:$Q$3006)))</f>
        <v/>
      </c>
      <c r="H1091" s="55" t="str">
        <f>IF(B1091="","",IF(G1091&gt;0,"OUTSTANDING",IF(G1091=0,"SETTLED",IF(SUMIF(Transactions!$F$8:$F$3006,B1091,Transactions!$Q$8:$Q$3006)&gt;SUMIF(Transactions!$F$8:$F$3006,B1091,Transactions!$R$8:$R$3006),"OWES","OVERPAID"))))</f>
        <v/>
      </c>
      <c r="I1091" s="1"/>
    </row>
    <row r="1092" spans="1:9" ht="18" customHeight="1" x14ac:dyDescent="0.25">
      <c r="A1092" s="40">
        <v>1077</v>
      </c>
      <c r="B1092" s="41" t="str">
        <f t="array" ref="B1092">IFERROR(IF(INDEX(Transactions!$F$8:$F$3006,MATCH(0,COUNTIF($B$11:B1091,Transactions!$F$8:$F$3006),0))="","",INDEX(Transactions!$F$8:$F$3006,MATCH(0,COUNTIF($B$11:B1091,Transactions!$F$8:$F$3006),0))),"")</f>
        <v/>
      </c>
      <c r="C1092" s="42" t="str">
        <f>IF(B1092="","",SUMIF(Transactions!$F$8:$F$3006,B1092,Transactions!$H$8:$H$3006))</f>
        <v/>
      </c>
      <c r="D1092" s="43" t="str">
        <f>IF(B1092="","",SUMIF(Transactions!$F$8:$F$3006,B1092,Transactions!$N$8:$N$3006))</f>
        <v/>
      </c>
      <c r="E1092" s="44" t="str">
        <f>IF(B1092="","",SUMIF(Transactions!$F$8:$F$3006,B1092,Transactions!$O$8:$O$3006))</f>
        <v/>
      </c>
      <c r="F1092" s="45" t="str">
        <f>IF(B1092="","",SUMIF(Transactions!$F$8:$F$3006,B1092,Transactions!$R$8:$R$3006))</f>
        <v/>
      </c>
      <c r="G1092" s="46" t="str">
        <f>IF(B1092="","",(C1092+F1092)-(D1092+E1092+SUMIF(Transactions!$F$8:$F$3006,B1092,Transactions!$Q$8:$Q$3006)))</f>
        <v/>
      </c>
      <c r="H1092" s="47" t="str">
        <f>IF(B1092="","",IF(G1092&gt;0,"OUTSTANDING",IF(G1092=0,"SETTLED",IF(SUMIF(Transactions!$F$8:$F$3006,B1092,Transactions!$Q$8:$Q$3006)&gt;SUMIF(Transactions!$F$8:$F$3006,B1092,Transactions!$R$8:$R$3006),"OWES","OVERPAID"))))</f>
        <v/>
      </c>
      <c r="I1092" s="1"/>
    </row>
    <row r="1093" spans="1:9" ht="18" customHeight="1" x14ac:dyDescent="0.25">
      <c r="A1093" s="48">
        <v>1078</v>
      </c>
      <c r="B1093" s="49" t="str">
        <f t="array" ref="B1093">IFERROR(IF(INDEX(Transactions!$F$8:$F$3006,MATCH(0,COUNTIF($B$11:B1092,Transactions!$F$8:$F$3006),0))="","",INDEX(Transactions!$F$8:$F$3006,MATCH(0,COUNTIF($B$11:B1092,Transactions!$F$8:$F$3006),0))),"")</f>
        <v/>
      </c>
      <c r="C1093" s="50" t="str">
        <f>IF(B1093="","",SUMIF(Transactions!$F$8:$F$3006,B1093,Transactions!$H$8:$H$3006))</f>
        <v/>
      </c>
      <c r="D1093" s="51" t="str">
        <f>IF(B1093="","",SUMIF(Transactions!$F$8:$F$3006,B1093,Transactions!$N$8:$N$3006))</f>
        <v/>
      </c>
      <c r="E1093" s="52" t="str">
        <f>IF(B1093="","",SUMIF(Transactions!$F$8:$F$3006,B1093,Transactions!$O$8:$O$3006))</f>
        <v/>
      </c>
      <c r="F1093" s="53" t="str">
        <f>IF(B1093="","",SUMIF(Transactions!$F$8:$F$3006,B1093,Transactions!$R$8:$R$3006))</f>
        <v/>
      </c>
      <c r="G1093" s="54" t="str">
        <f>IF(B1093="","",(C1093+F1093)-(D1093+E1093+SUMIF(Transactions!$F$8:$F$3006,B1093,Transactions!$Q$8:$Q$3006)))</f>
        <v/>
      </c>
      <c r="H1093" s="55" t="str">
        <f>IF(B1093="","",IF(G1093&gt;0,"OUTSTANDING",IF(G1093=0,"SETTLED",IF(SUMIF(Transactions!$F$8:$F$3006,B1093,Transactions!$Q$8:$Q$3006)&gt;SUMIF(Transactions!$F$8:$F$3006,B1093,Transactions!$R$8:$R$3006),"OWES","OVERPAID"))))</f>
        <v/>
      </c>
      <c r="I1093" s="1"/>
    </row>
    <row r="1094" spans="1:9" ht="18" customHeight="1" x14ac:dyDescent="0.25">
      <c r="A1094" s="40">
        <v>1079</v>
      </c>
      <c r="B1094" s="41" t="str">
        <f t="array" ref="B1094">IFERROR(IF(INDEX(Transactions!$F$8:$F$3006,MATCH(0,COUNTIF($B$11:B1093,Transactions!$F$8:$F$3006),0))="","",INDEX(Transactions!$F$8:$F$3006,MATCH(0,COUNTIF($B$11:B1093,Transactions!$F$8:$F$3006),0))),"")</f>
        <v/>
      </c>
      <c r="C1094" s="42" t="str">
        <f>IF(B1094="","",SUMIF(Transactions!$F$8:$F$3006,B1094,Transactions!$H$8:$H$3006))</f>
        <v/>
      </c>
      <c r="D1094" s="43" t="str">
        <f>IF(B1094="","",SUMIF(Transactions!$F$8:$F$3006,B1094,Transactions!$N$8:$N$3006))</f>
        <v/>
      </c>
      <c r="E1094" s="44" t="str">
        <f>IF(B1094="","",SUMIF(Transactions!$F$8:$F$3006,B1094,Transactions!$O$8:$O$3006))</f>
        <v/>
      </c>
      <c r="F1094" s="45" t="str">
        <f>IF(B1094="","",SUMIF(Transactions!$F$8:$F$3006,B1094,Transactions!$R$8:$R$3006))</f>
        <v/>
      </c>
      <c r="G1094" s="46" t="str">
        <f>IF(B1094="","",(C1094+F1094)-(D1094+E1094+SUMIF(Transactions!$F$8:$F$3006,B1094,Transactions!$Q$8:$Q$3006)))</f>
        <v/>
      </c>
      <c r="H1094" s="47" t="str">
        <f>IF(B1094="","",IF(G1094&gt;0,"OUTSTANDING",IF(G1094=0,"SETTLED",IF(SUMIF(Transactions!$F$8:$F$3006,B1094,Transactions!$Q$8:$Q$3006)&gt;SUMIF(Transactions!$F$8:$F$3006,B1094,Transactions!$R$8:$R$3006),"OWES","OVERPAID"))))</f>
        <v/>
      </c>
      <c r="I1094" s="1"/>
    </row>
    <row r="1095" spans="1:9" ht="18" customHeight="1" x14ac:dyDescent="0.25">
      <c r="A1095" s="48">
        <v>1080</v>
      </c>
      <c r="B1095" s="49" t="str">
        <f t="array" ref="B1095">IFERROR(IF(INDEX(Transactions!$F$8:$F$3006,MATCH(0,COUNTIF($B$11:B1094,Transactions!$F$8:$F$3006),0))="","",INDEX(Transactions!$F$8:$F$3006,MATCH(0,COUNTIF($B$11:B1094,Transactions!$F$8:$F$3006),0))),"")</f>
        <v/>
      </c>
      <c r="C1095" s="50" t="str">
        <f>IF(B1095="","",SUMIF(Transactions!$F$8:$F$3006,B1095,Transactions!$H$8:$H$3006))</f>
        <v/>
      </c>
      <c r="D1095" s="51" t="str">
        <f>IF(B1095="","",SUMIF(Transactions!$F$8:$F$3006,B1095,Transactions!$N$8:$N$3006))</f>
        <v/>
      </c>
      <c r="E1095" s="52" t="str">
        <f>IF(B1095="","",SUMIF(Transactions!$F$8:$F$3006,B1095,Transactions!$O$8:$O$3006))</f>
        <v/>
      </c>
      <c r="F1095" s="53" t="str">
        <f>IF(B1095="","",SUMIF(Transactions!$F$8:$F$3006,B1095,Transactions!$R$8:$R$3006))</f>
        <v/>
      </c>
      <c r="G1095" s="54" t="str">
        <f>IF(B1095="","",(C1095+F1095)-(D1095+E1095+SUMIF(Transactions!$F$8:$F$3006,B1095,Transactions!$Q$8:$Q$3006)))</f>
        <v/>
      </c>
      <c r="H1095" s="55" t="str">
        <f>IF(B1095="","",IF(G1095&gt;0,"OUTSTANDING",IF(G1095=0,"SETTLED",IF(SUMIF(Transactions!$F$8:$F$3006,B1095,Transactions!$Q$8:$Q$3006)&gt;SUMIF(Transactions!$F$8:$F$3006,B1095,Transactions!$R$8:$R$3006),"OWES","OVERPAID"))))</f>
        <v/>
      </c>
      <c r="I1095" s="1"/>
    </row>
    <row r="1096" spans="1:9" ht="18" customHeight="1" x14ac:dyDescent="0.25">
      <c r="A1096" s="40">
        <v>1081</v>
      </c>
      <c r="B1096" s="41" t="str">
        <f t="array" ref="B1096">IFERROR(IF(INDEX(Transactions!$F$8:$F$3006,MATCH(0,COUNTIF($B$11:B1095,Transactions!$F$8:$F$3006),0))="","",INDEX(Transactions!$F$8:$F$3006,MATCH(0,COUNTIF($B$11:B1095,Transactions!$F$8:$F$3006),0))),"")</f>
        <v/>
      </c>
      <c r="C1096" s="42" t="str">
        <f>IF(B1096="","",SUMIF(Transactions!$F$8:$F$3006,B1096,Transactions!$H$8:$H$3006))</f>
        <v/>
      </c>
      <c r="D1096" s="43" t="str">
        <f>IF(B1096="","",SUMIF(Transactions!$F$8:$F$3006,B1096,Transactions!$N$8:$N$3006))</f>
        <v/>
      </c>
      <c r="E1096" s="44" t="str">
        <f>IF(B1096="","",SUMIF(Transactions!$F$8:$F$3006,B1096,Transactions!$O$8:$O$3006))</f>
        <v/>
      </c>
      <c r="F1096" s="45" t="str">
        <f>IF(B1096="","",SUMIF(Transactions!$F$8:$F$3006,B1096,Transactions!$R$8:$R$3006))</f>
        <v/>
      </c>
      <c r="G1096" s="46" t="str">
        <f>IF(B1096="","",(C1096+F1096)-(D1096+E1096+SUMIF(Transactions!$F$8:$F$3006,B1096,Transactions!$Q$8:$Q$3006)))</f>
        <v/>
      </c>
      <c r="H1096" s="47" t="str">
        <f>IF(B1096="","",IF(G1096&gt;0,"OUTSTANDING",IF(G1096=0,"SETTLED",IF(SUMIF(Transactions!$F$8:$F$3006,B1096,Transactions!$Q$8:$Q$3006)&gt;SUMIF(Transactions!$F$8:$F$3006,B1096,Transactions!$R$8:$R$3006),"OWES","OVERPAID"))))</f>
        <v/>
      </c>
      <c r="I1096" s="1"/>
    </row>
    <row r="1097" spans="1:9" ht="18" customHeight="1" x14ac:dyDescent="0.25">
      <c r="A1097" s="48">
        <v>1082</v>
      </c>
      <c r="B1097" s="49" t="str">
        <f t="array" ref="B1097">IFERROR(IF(INDEX(Transactions!$F$8:$F$3006,MATCH(0,COUNTIF($B$11:B1096,Transactions!$F$8:$F$3006),0))="","",INDEX(Transactions!$F$8:$F$3006,MATCH(0,COUNTIF($B$11:B1096,Transactions!$F$8:$F$3006),0))),"")</f>
        <v/>
      </c>
      <c r="C1097" s="50" t="str">
        <f>IF(B1097="","",SUMIF(Transactions!$F$8:$F$3006,B1097,Transactions!$H$8:$H$3006))</f>
        <v/>
      </c>
      <c r="D1097" s="51" t="str">
        <f>IF(B1097="","",SUMIF(Transactions!$F$8:$F$3006,B1097,Transactions!$N$8:$N$3006))</f>
        <v/>
      </c>
      <c r="E1097" s="52" t="str">
        <f>IF(B1097="","",SUMIF(Transactions!$F$8:$F$3006,B1097,Transactions!$O$8:$O$3006))</f>
        <v/>
      </c>
      <c r="F1097" s="53" t="str">
        <f>IF(B1097="","",SUMIF(Transactions!$F$8:$F$3006,B1097,Transactions!$R$8:$R$3006))</f>
        <v/>
      </c>
      <c r="G1097" s="54" t="str">
        <f>IF(B1097="","",(C1097+F1097)-(D1097+E1097+SUMIF(Transactions!$F$8:$F$3006,B1097,Transactions!$Q$8:$Q$3006)))</f>
        <v/>
      </c>
      <c r="H1097" s="55" t="str">
        <f>IF(B1097="","",IF(G1097&gt;0,"OUTSTANDING",IF(G1097=0,"SETTLED",IF(SUMIF(Transactions!$F$8:$F$3006,B1097,Transactions!$Q$8:$Q$3006)&gt;SUMIF(Transactions!$F$8:$F$3006,B1097,Transactions!$R$8:$R$3006),"OWES","OVERPAID"))))</f>
        <v/>
      </c>
      <c r="I1097" s="1"/>
    </row>
    <row r="1098" spans="1:9" ht="18" customHeight="1" x14ac:dyDescent="0.25">
      <c r="A1098" s="40">
        <v>1083</v>
      </c>
      <c r="B1098" s="41" t="str">
        <f t="array" ref="B1098">IFERROR(IF(INDEX(Transactions!$F$8:$F$3006,MATCH(0,COUNTIF($B$11:B1097,Transactions!$F$8:$F$3006),0))="","",INDEX(Transactions!$F$8:$F$3006,MATCH(0,COUNTIF($B$11:B1097,Transactions!$F$8:$F$3006),0))),"")</f>
        <v/>
      </c>
      <c r="C1098" s="42" t="str">
        <f>IF(B1098="","",SUMIF(Transactions!$F$8:$F$3006,B1098,Transactions!$H$8:$H$3006))</f>
        <v/>
      </c>
      <c r="D1098" s="43" t="str">
        <f>IF(B1098="","",SUMIF(Transactions!$F$8:$F$3006,B1098,Transactions!$N$8:$N$3006))</f>
        <v/>
      </c>
      <c r="E1098" s="44" t="str">
        <f>IF(B1098="","",SUMIF(Transactions!$F$8:$F$3006,B1098,Transactions!$O$8:$O$3006))</f>
        <v/>
      </c>
      <c r="F1098" s="45" t="str">
        <f>IF(B1098="","",SUMIF(Transactions!$F$8:$F$3006,B1098,Transactions!$R$8:$R$3006))</f>
        <v/>
      </c>
      <c r="G1098" s="46" t="str">
        <f>IF(B1098="","",(C1098+F1098)-(D1098+E1098+SUMIF(Transactions!$F$8:$F$3006,B1098,Transactions!$Q$8:$Q$3006)))</f>
        <v/>
      </c>
      <c r="H1098" s="47" t="str">
        <f>IF(B1098="","",IF(G1098&gt;0,"OUTSTANDING",IF(G1098=0,"SETTLED",IF(SUMIF(Transactions!$F$8:$F$3006,B1098,Transactions!$Q$8:$Q$3006)&gt;SUMIF(Transactions!$F$8:$F$3006,B1098,Transactions!$R$8:$R$3006),"OWES","OVERPAID"))))</f>
        <v/>
      </c>
      <c r="I1098" s="1"/>
    </row>
    <row r="1099" spans="1:9" ht="18" customHeight="1" x14ac:dyDescent="0.25">
      <c r="A1099" s="48">
        <v>1084</v>
      </c>
      <c r="B1099" s="49" t="str">
        <f t="array" ref="B1099">IFERROR(IF(INDEX(Transactions!$F$8:$F$3006,MATCH(0,COUNTIF($B$11:B1098,Transactions!$F$8:$F$3006),0))="","",INDEX(Transactions!$F$8:$F$3006,MATCH(0,COUNTIF($B$11:B1098,Transactions!$F$8:$F$3006),0))),"")</f>
        <v/>
      </c>
      <c r="C1099" s="50" t="str">
        <f>IF(B1099="","",SUMIF(Transactions!$F$8:$F$3006,B1099,Transactions!$H$8:$H$3006))</f>
        <v/>
      </c>
      <c r="D1099" s="51" t="str">
        <f>IF(B1099="","",SUMIF(Transactions!$F$8:$F$3006,B1099,Transactions!$N$8:$N$3006))</f>
        <v/>
      </c>
      <c r="E1099" s="52" t="str">
        <f>IF(B1099="","",SUMIF(Transactions!$F$8:$F$3006,B1099,Transactions!$O$8:$O$3006))</f>
        <v/>
      </c>
      <c r="F1099" s="53" t="str">
        <f>IF(B1099="","",SUMIF(Transactions!$F$8:$F$3006,B1099,Transactions!$R$8:$R$3006))</f>
        <v/>
      </c>
      <c r="G1099" s="54" t="str">
        <f>IF(B1099="","",(C1099+F1099)-(D1099+E1099+SUMIF(Transactions!$F$8:$F$3006,B1099,Transactions!$Q$8:$Q$3006)))</f>
        <v/>
      </c>
      <c r="H1099" s="55" t="str">
        <f>IF(B1099="","",IF(G1099&gt;0,"OUTSTANDING",IF(G1099=0,"SETTLED",IF(SUMIF(Transactions!$F$8:$F$3006,B1099,Transactions!$Q$8:$Q$3006)&gt;SUMIF(Transactions!$F$8:$F$3006,B1099,Transactions!$R$8:$R$3006),"OWES","OVERPAID"))))</f>
        <v/>
      </c>
      <c r="I1099" s="1"/>
    </row>
    <row r="1100" spans="1:9" ht="18" customHeight="1" x14ac:dyDescent="0.25">
      <c r="A1100" s="40">
        <v>1085</v>
      </c>
      <c r="B1100" s="41" t="str">
        <f t="array" ref="B1100">IFERROR(IF(INDEX(Transactions!$F$8:$F$3006,MATCH(0,COUNTIF($B$11:B1099,Transactions!$F$8:$F$3006),0))="","",INDEX(Transactions!$F$8:$F$3006,MATCH(0,COUNTIF($B$11:B1099,Transactions!$F$8:$F$3006),0))),"")</f>
        <v/>
      </c>
      <c r="C1100" s="42" t="str">
        <f>IF(B1100="","",SUMIF(Transactions!$F$8:$F$3006,B1100,Transactions!$H$8:$H$3006))</f>
        <v/>
      </c>
      <c r="D1100" s="43" t="str">
        <f>IF(B1100="","",SUMIF(Transactions!$F$8:$F$3006,B1100,Transactions!$N$8:$N$3006))</f>
        <v/>
      </c>
      <c r="E1100" s="44" t="str">
        <f>IF(B1100="","",SUMIF(Transactions!$F$8:$F$3006,B1100,Transactions!$O$8:$O$3006))</f>
        <v/>
      </c>
      <c r="F1100" s="45" t="str">
        <f>IF(B1100="","",SUMIF(Transactions!$F$8:$F$3006,B1100,Transactions!$R$8:$R$3006))</f>
        <v/>
      </c>
      <c r="G1100" s="46" t="str">
        <f>IF(B1100="","",(C1100+F1100)-(D1100+E1100+SUMIF(Transactions!$F$8:$F$3006,B1100,Transactions!$Q$8:$Q$3006)))</f>
        <v/>
      </c>
      <c r="H1100" s="47" t="str">
        <f>IF(B1100="","",IF(G1100&gt;0,"OUTSTANDING",IF(G1100=0,"SETTLED",IF(SUMIF(Transactions!$F$8:$F$3006,B1100,Transactions!$Q$8:$Q$3006)&gt;SUMIF(Transactions!$F$8:$F$3006,B1100,Transactions!$R$8:$R$3006),"OWES","OVERPAID"))))</f>
        <v/>
      </c>
      <c r="I1100" s="1"/>
    </row>
    <row r="1101" spans="1:9" ht="18" customHeight="1" x14ac:dyDescent="0.25">
      <c r="A1101" s="48">
        <v>1086</v>
      </c>
      <c r="B1101" s="49" t="str">
        <f t="array" ref="B1101">IFERROR(IF(INDEX(Transactions!$F$8:$F$3006,MATCH(0,COUNTIF($B$11:B1100,Transactions!$F$8:$F$3006),0))="","",INDEX(Transactions!$F$8:$F$3006,MATCH(0,COUNTIF($B$11:B1100,Transactions!$F$8:$F$3006),0))),"")</f>
        <v/>
      </c>
      <c r="C1101" s="50" t="str">
        <f>IF(B1101="","",SUMIF(Transactions!$F$8:$F$3006,B1101,Transactions!$H$8:$H$3006))</f>
        <v/>
      </c>
      <c r="D1101" s="51" t="str">
        <f>IF(B1101="","",SUMIF(Transactions!$F$8:$F$3006,B1101,Transactions!$N$8:$N$3006))</f>
        <v/>
      </c>
      <c r="E1101" s="52" t="str">
        <f>IF(B1101="","",SUMIF(Transactions!$F$8:$F$3006,B1101,Transactions!$O$8:$O$3006))</f>
        <v/>
      </c>
      <c r="F1101" s="53" t="str">
        <f>IF(B1101="","",SUMIF(Transactions!$F$8:$F$3006,B1101,Transactions!$R$8:$R$3006))</f>
        <v/>
      </c>
      <c r="G1101" s="54" t="str">
        <f>IF(B1101="","",(C1101+F1101)-(D1101+E1101+SUMIF(Transactions!$F$8:$F$3006,B1101,Transactions!$Q$8:$Q$3006)))</f>
        <v/>
      </c>
      <c r="H1101" s="55" t="str">
        <f>IF(B1101="","",IF(G1101&gt;0,"OUTSTANDING",IF(G1101=0,"SETTLED",IF(SUMIF(Transactions!$F$8:$F$3006,B1101,Transactions!$Q$8:$Q$3006)&gt;SUMIF(Transactions!$F$8:$F$3006,B1101,Transactions!$R$8:$R$3006),"OWES","OVERPAID"))))</f>
        <v/>
      </c>
      <c r="I1101" s="1"/>
    </row>
    <row r="1102" spans="1:9" ht="18" customHeight="1" x14ac:dyDescent="0.25">
      <c r="A1102" s="40">
        <v>1087</v>
      </c>
      <c r="B1102" s="41" t="str">
        <f t="array" ref="B1102">IFERROR(IF(INDEX(Transactions!$F$8:$F$3006,MATCH(0,COUNTIF($B$11:B1101,Transactions!$F$8:$F$3006),0))="","",INDEX(Transactions!$F$8:$F$3006,MATCH(0,COUNTIF($B$11:B1101,Transactions!$F$8:$F$3006),0))),"")</f>
        <v/>
      </c>
      <c r="C1102" s="42" t="str">
        <f>IF(B1102="","",SUMIF(Transactions!$F$8:$F$3006,B1102,Transactions!$H$8:$H$3006))</f>
        <v/>
      </c>
      <c r="D1102" s="43" t="str">
        <f>IF(B1102="","",SUMIF(Transactions!$F$8:$F$3006,B1102,Transactions!$N$8:$N$3006))</f>
        <v/>
      </c>
      <c r="E1102" s="44" t="str">
        <f>IF(B1102="","",SUMIF(Transactions!$F$8:$F$3006,B1102,Transactions!$O$8:$O$3006))</f>
        <v/>
      </c>
      <c r="F1102" s="45" t="str">
        <f>IF(B1102="","",SUMIF(Transactions!$F$8:$F$3006,B1102,Transactions!$R$8:$R$3006))</f>
        <v/>
      </c>
      <c r="G1102" s="46" t="str">
        <f>IF(B1102="","",(C1102+F1102)-(D1102+E1102+SUMIF(Transactions!$F$8:$F$3006,B1102,Transactions!$Q$8:$Q$3006)))</f>
        <v/>
      </c>
      <c r="H1102" s="47" t="str">
        <f>IF(B1102="","",IF(G1102&gt;0,"OUTSTANDING",IF(G1102=0,"SETTLED",IF(SUMIF(Transactions!$F$8:$F$3006,B1102,Transactions!$Q$8:$Q$3006)&gt;SUMIF(Transactions!$F$8:$F$3006,B1102,Transactions!$R$8:$R$3006),"OWES","OVERPAID"))))</f>
        <v/>
      </c>
      <c r="I1102" s="1"/>
    </row>
    <row r="1103" spans="1:9" ht="18" customHeight="1" x14ac:dyDescent="0.25">
      <c r="A1103" s="48">
        <v>1088</v>
      </c>
      <c r="B1103" s="49" t="str">
        <f t="array" ref="B1103">IFERROR(IF(INDEX(Transactions!$F$8:$F$3006,MATCH(0,COUNTIF($B$11:B1102,Transactions!$F$8:$F$3006),0))="","",INDEX(Transactions!$F$8:$F$3006,MATCH(0,COUNTIF($B$11:B1102,Transactions!$F$8:$F$3006),0))),"")</f>
        <v/>
      </c>
      <c r="C1103" s="50" t="str">
        <f>IF(B1103="","",SUMIF(Transactions!$F$8:$F$3006,B1103,Transactions!$H$8:$H$3006))</f>
        <v/>
      </c>
      <c r="D1103" s="51" t="str">
        <f>IF(B1103="","",SUMIF(Transactions!$F$8:$F$3006,B1103,Transactions!$N$8:$N$3006))</f>
        <v/>
      </c>
      <c r="E1103" s="52" t="str">
        <f>IF(B1103="","",SUMIF(Transactions!$F$8:$F$3006,B1103,Transactions!$O$8:$O$3006))</f>
        <v/>
      </c>
      <c r="F1103" s="53" t="str">
        <f>IF(B1103="","",SUMIF(Transactions!$F$8:$F$3006,B1103,Transactions!$R$8:$R$3006))</f>
        <v/>
      </c>
      <c r="G1103" s="54" t="str">
        <f>IF(B1103="","",(C1103+F1103)-(D1103+E1103+SUMIF(Transactions!$F$8:$F$3006,B1103,Transactions!$Q$8:$Q$3006)))</f>
        <v/>
      </c>
      <c r="H1103" s="55" t="str">
        <f>IF(B1103="","",IF(G1103&gt;0,"OUTSTANDING",IF(G1103=0,"SETTLED",IF(SUMIF(Transactions!$F$8:$F$3006,B1103,Transactions!$Q$8:$Q$3006)&gt;SUMIF(Transactions!$F$8:$F$3006,B1103,Transactions!$R$8:$R$3006),"OWES","OVERPAID"))))</f>
        <v/>
      </c>
      <c r="I1103" s="1"/>
    </row>
    <row r="1104" spans="1:9" ht="18" customHeight="1" x14ac:dyDescent="0.25">
      <c r="A1104" s="40">
        <v>1089</v>
      </c>
      <c r="B1104" s="41" t="str">
        <f t="array" ref="B1104">IFERROR(IF(INDEX(Transactions!$F$8:$F$3006,MATCH(0,COUNTIF($B$11:B1103,Transactions!$F$8:$F$3006),0))="","",INDEX(Transactions!$F$8:$F$3006,MATCH(0,COUNTIF($B$11:B1103,Transactions!$F$8:$F$3006),0))),"")</f>
        <v/>
      </c>
      <c r="C1104" s="42" t="str">
        <f>IF(B1104="","",SUMIF(Transactions!$F$8:$F$3006,B1104,Transactions!$H$8:$H$3006))</f>
        <v/>
      </c>
      <c r="D1104" s="43" t="str">
        <f>IF(B1104="","",SUMIF(Transactions!$F$8:$F$3006,B1104,Transactions!$N$8:$N$3006))</f>
        <v/>
      </c>
      <c r="E1104" s="44" t="str">
        <f>IF(B1104="","",SUMIF(Transactions!$F$8:$F$3006,B1104,Transactions!$O$8:$O$3006))</f>
        <v/>
      </c>
      <c r="F1104" s="45" t="str">
        <f>IF(B1104="","",SUMIF(Transactions!$F$8:$F$3006,B1104,Transactions!$R$8:$R$3006))</f>
        <v/>
      </c>
      <c r="G1104" s="46" t="str">
        <f>IF(B1104="","",(C1104+F1104)-(D1104+E1104+SUMIF(Transactions!$F$8:$F$3006,B1104,Transactions!$Q$8:$Q$3006)))</f>
        <v/>
      </c>
      <c r="H1104" s="47" t="str">
        <f>IF(B1104="","",IF(G1104&gt;0,"OUTSTANDING",IF(G1104=0,"SETTLED",IF(SUMIF(Transactions!$F$8:$F$3006,B1104,Transactions!$Q$8:$Q$3006)&gt;SUMIF(Transactions!$F$8:$F$3006,B1104,Transactions!$R$8:$R$3006),"OWES","OVERPAID"))))</f>
        <v/>
      </c>
      <c r="I1104" s="1"/>
    </row>
    <row r="1105" spans="1:9" ht="18" customHeight="1" x14ac:dyDescent="0.25">
      <c r="A1105" s="48">
        <v>1090</v>
      </c>
      <c r="B1105" s="49" t="str">
        <f t="array" ref="B1105">IFERROR(IF(INDEX(Transactions!$F$8:$F$3006,MATCH(0,COUNTIF($B$11:B1104,Transactions!$F$8:$F$3006),0))="","",INDEX(Transactions!$F$8:$F$3006,MATCH(0,COUNTIF($B$11:B1104,Transactions!$F$8:$F$3006),0))),"")</f>
        <v/>
      </c>
      <c r="C1105" s="50" t="str">
        <f>IF(B1105="","",SUMIF(Transactions!$F$8:$F$3006,B1105,Transactions!$H$8:$H$3006))</f>
        <v/>
      </c>
      <c r="D1105" s="51" t="str">
        <f>IF(B1105="","",SUMIF(Transactions!$F$8:$F$3006,B1105,Transactions!$N$8:$N$3006))</f>
        <v/>
      </c>
      <c r="E1105" s="52" t="str">
        <f>IF(B1105="","",SUMIF(Transactions!$F$8:$F$3006,B1105,Transactions!$O$8:$O$3006))</f>
        <v/>
      </c>
      <c r="F1105" s="53" t="str">
        <f>IF(B1105="","",SUMIF(Transactions!$F$8:$F$3006,B1105,Transactions!$R$8:$R$3006))</f>
        <v/>
      </c>
      <c r="G1105" s="54" t="str">
        <f>IF(B1105="","",(C1105+F1105)-(D1105+E1105+SUMIF(Transactions!$F$8:$F$3006,B1105,Transactions!$Q$8:$Q$3006)))</f>
        <v/>
      </c>
      <c r="H1105" s="55" t="str">
        <f>IF(B1105="","",IF(G1105&gt;0,"OUTSTANDING",IF(G1105=0,"SETTLED",IF(SUMIF(Transactions!$F$8:$F$3006,B1105,Transactions!$Q$8:$Q$3006)&gt;SUMIF(Transactions!$F$8:$F$3006,B1105,Transactions!$R$8:$R$3006),"OWES","OVERPAID"))))</f>
        <v/>
      </c>
      <c r="I1105" s="1"/>
    </row>
    <row r="1106" spans="1:9" ht="18" customHeight="1" x14ac:dyDescent="0.25">
      <c r="A1106" s="40">
        <v>1091</v>
      </c>
      <c r="B1106" s="41" t="str">
        <f t="array" ref="B1106">IFERROR(IF(INDEX(Transactions!$F$8:$F$3006,MATCH(0,COUNTIF($B$11:B1105,Transactions!$F$8:$F$3006),0))="","",INDEX(Transactions!$F$8:$F$3006,MATCH(0,COUNTIF($B$11:B1105,Transactions!$F$8:$F$3006),0))),"")</f>
        <v/>
      </c>
      <c r="C1106" s="42" t="str">
        <f>IF(B1106="","",SUMIF(Transactions!$F$8:$F$3006,B1106,Transactions!$H$8:$H$3006))</f>
        <v/>
      </c>
      <c r="D1106" s="43" t="str">
        <f>IF(B1106="","",SUMIF(Transactions!$F$8:$F$3006,B1106,Transactions!$N$8:$N$3006))</f>
        <v/>
      </c>
      <c r="E1106" s="44" t="str">
        <f>IF(B1106="","",SUMIF(Transactions!$F$8:$F$3006,B1106,Transactions!$O$8:$O$3006))</f>
        <v/>
      </c>
      <c r="F1106" s="45" t="str">
        <f>IF(B1106="","",SUMIF(Transactions!$F$8:$F$3006,B1106,Transactions!$R$8:$R$3006))</f>
        <v/>
      </c>
      <c r="G1106" s="46" t="str">
        <f>IF(B1106="","",(C1106+F1106)-(D1106+E1106+SUMIF(Transactions!$F$8:$F$3006,B1106,Transactions!$Q$8:$Q$3006)))</f>
        <v/>
      </c>
      <c r="H1106" s="47" t="str">
        <f>IF(B1106="","",IF(G1106&gt;0,"OUTSTANDING",IF(G1106=0,"SETTLED",IF(SUMIF(Transactions!$F$8:$F$3006,B1106,Transactions!$Q$8:$Q$3006)&gt;SUMIF(Transactions!$F$8:$F$3006,B1106,Transactions!$R$8:$R$3006),"OWES","OVERPAID"))))</f>
        <v/>
      </c>
      <c r="I1106" s="1"/>
    </row>
    <row r="1107" spans="1:9" ht="18" customHeight="1" x14ac:dyDescent="0.25">
      <c r="A1107" s="48">
        <v>1092</v>
      </c>
      <c r="B1107" s="49" t="str">
        <f t="array" ref="B1107">IFERROR(IF(INDEX(Transactions!$F$8:$F$3006,MATCH(0,COUNTIF($B$11:B1106,Transactions!$F$8:$F$3006),0))="","",INDEX(Transactions!$F$8:$F$3006,MATCH(0,COUNTIF($B$11:B1106,Transactions!$F$8:$F$3006),0))),"")</f>
        <v/>
      </c>
      <c r="C1107" s="50" t="str">
        <f>IF(B1107="","",SUMIF(Transactions!$F$8:$F$3006,B1107,Transactions!$H$8:$H$3006))</f>
        <v/>
      </c>
      <c r="D1107" s="51" t="str">
        <f>IF(B1107="","",SUMIF(Transactions!$F$8:$F$3006,B1107,Transactions!$N$8:$N$3006))</f>
        <v/>
      </c>
      <c r="E1107" s="52" t="str">
        <f>IF(B1107="","",SUMIF(Transactions!$F$8:$F$3006,B1107,Transactions!$O$8:$O$3006))</f>
        <v/>
      </c>
      <c r="F1107" s="53" t="str">
        <f>IF(B1107="","",SUMIF(Transactions!$F$8:$F$3006,B1107,Transactions!$R$8:$R$3006))</f>
        <v/>
      </c>
      <c r="G1107" s="54" t="str">
        <f>IF(B1107="","",(C1107+F1107)-(D1107+E1107+SUMIF(Transactions!$F$8:$F$3006,B1107,Transactions!$Q$8:$Q$3006)))</f>
        <v/>
      </c>
      <c r="H1107" s="55" t="str">
        <f>IF(B1107="","",IF(G1107&gt;0,"OUTSTANDING",IF(G1107=0,"SETTLED",IF(SUMIF(Transactions!$F$8:$F$3006,B1107,Transactions!$Q$8:$Q$3006)&gt;SUMIF(Transactions!$F$8:$F$3006,B1107,Transactions!$R$8:$R$3006),"OWES","OVERPAID"))))</f>
        <v/>
      </c>
      <c r="I1107" s="1"/>
    </row>
    <row r="1108" spans="1:9" ht="18" customHeight="1" x14ac:dyDescent="0.25">
      <c r="A1108" s="40">
        <v>1093</v>
      </c>
      <c r="B1108" s="41" t="str">
        <f t="array" ref="B1108">IFERROR(IF(INDEX(Transactions!$F$8:$F$3006,MATCH(0,COUNTIF($B$11:B1107,Transactions!$F$8:$F$3006),0))="","",INDEX(Transactions!$F$8:$F$3006,MATCH(0,COUNTIF($B$11:B1107,Transactions!$F$8:$F$3006),0))),"")</f>
        <v/>
      </c>
      <c r="C1108" s="42" t="str">
        <f>IF(B1108="","",SUMIF(Transactions!$F$8:$F$3006,B1108,Transactions!$H$8:$H$3006))</f>
        <v/>
      </c>
      <c r="D1108" s="43" t="str">
        <f>IF(B1108="","",SUMIF(Transactions!$F$8:$F$3006,B1108,Transactions!$N$8:$N$3006))</f>
        <v/>
      </c>
      <c r="E1108" s="44" t="str">
        <f>IF(B1108="","",SUMIF(Transactions!$F$8:$F$3006,B1108,Transactions!$O$8:$O$3006))</f>
        <v/>
      </c>
      <c r="F1108" s="45" t="str">
        <f>IF(B1108="","",SUMIF(Transactions!$F$8:$F$3006,B1108,Transactions!$R$8:$R$3006))</f>
        <v/>
      </c>
      <c r="G1108" s="46" t="str">
        <f>IF(B1108="","",(C1108+F1108)-(D1108+E1108+SUMIF(Transactions!$F$8:$F$3006,B1108,Transactions!$Q$8:$Q$3006)))</f>
        <v/>
      </c>
      <c r="H1108" s="47" t="str">
        <f>IF(B1108="","",IF(G1108&gt;0,"OUTSTANDING",IF(G1108=0,"SETTLED",IF(SUMIF(Transactions!$F$8:$F$3006,B1108,Transactions!$Q$8:$Q$3006)&gt;SUMIF(Transactions!$F$8:$F$3006,B1108,Transactions!$R$8:$R$3006),"OWES","OVERPAID"))))</f>
        <v/>
      </c>
      <c r="I1108" s="1"/>
    </row>
    <row r="1109" spans="1:9" ht="18" customHeight="1" x14ac:dyDescent="0.25">
      <c r="A1109" s="48">
        <v>1094</v>
      </c>
      <c r="B1109" s="49" t="str">
        <f t="array" ref="B1109">IFERROR(IF(INDEX(Transactions!$F$8:$F$3006,MATCH(0,COUNTIF($B$11:B1108,Transactions!$F$8:$F$3006),0))="","",INDEX(Transactions!$F$8:$F$3006,MATCH(0,COUNTIF($B$11:B1108,Transactions!$F$8:$F$3006),0))),"")</f>
        <v/>
      </c>
      <c r="C1109" s="50" t="str">
        <f>IF(B1109="","",SUMIF(Transactions!$F$8:$F$3006,B1109,Transactions!$H$8:$H$3006))</f>
        <v/>
      </c>
      <c r="D1109" s="51" t="str">
        <f>IF(B1109="","",SUMIF(Transactions!$F$8:$F$3006,B1109,Transactions!$N$8:$N$3006))</f>
        <v/>
      </c>
      <c r="E1109" s="52" t="str">
        <f>IF(B1109="","",SUMIF(Transactions!$F$8:$F$3006,B1109,Transactions!$O$8:$O$3006))</f>
        <v/>
      </c>
      <c r="F1109" s="53" t="str">
        <f>IF(B1109="","",SUMIF(Transactions!$F$8:$F$3006,B1109,Transactions!$R$8:$R$3006))</f>
        <v/>
      </c>
      <c r="G1109" s="54" t="str">
        <f>IF(B1109="","",(C1109+F1109)-(D1109+E1109+SUMIF(Transactions!$F$8:$F$3006,B1109,Transactions!$Q$8:$Q$3006)))</f>
        <v/>
      </c>
      <c r="H1109" s="55" t="str">
        <f>IF(B1109="","",IF(G1109&gt;0,"OUTSTANDING",IF(G1109=0,"SETTLED",IF(SUMIF(Transactions!$F$8:$F$3006,B1109,Transactions!$Q$8:$Q$3006)&gt;SUMIF(Transactions!$F$8:$F$3006,B1109,Transactions!$R$8:$R$3006),"OWES","OVERPAID"))))</f>
        <v/>
      </c>
      <c r="I1109" s="1"/>
    </row>
    <row r="1110" spans="1:9" ht="18" customHeight="1" x14ac:dyDescent="0.25">
      <c r="A1110" s="40">
        <v>1095</v>
      </c>
      <c r="B1110" s="41" t="str">
        <f t="array" ref="B1110">IFERROR(IF(INDEX(Transactions!$F$8:$F$3006,MATCH(0,COUNTIF($B$11:B1109,Transactions!$F$8:$F$3006),0))="","",INDEX(Transactions!$F$8:$F$3006,MATCH(0,COUNTIF($B$11:B1109,Transactions!$F$8:$F$3006),0))),"")</f>
        <v/>
      </c>
      <c r="C1110" s="42" t="str">
        <f>IF(B1110="","",SUMIF(Transactions!$F$8:$F$3006,B1110,Transactions!$H$8:$H$3006))</f>
        <v/>
      </c>
      <c r="D1110" s="43" t="str">
        <f>IF(B1110="","",SUMIF(Transactions!$F$8:$F$3006,B1110,Transactions!$N$8:$N$3006))</f>
        <v/>
      </c>
      <c r="E1110" s="44" t="str">
        <f>IF(B1110="","",SUMIF(Transactions!$F$8:$F$3006,B1110,Transactions!$O$8:$O$3006))</f>
        <v/>
      </c>
      <c r="F1110" s="45" t="str">
        <f>IF(B1110="","",SUMIF(Transactions!$F$8:$F$3006,B1110,Transactions!$R$8:$R$3006))</f>
        <v/>
      </c>
      <c r="G1110" s="46" t="str">
        <f>IF(B1110="","",(C1110+F1110)-(D1110+E1110+SUMIF(Transactions!$F$8:$F$3006,B1110,Transactions!$Q$8:$Q$3006)))</f>
        <v/>
      </c>
      <c r="H1110" s="47" t="str">
        <f>IF(B1110="","",IF(G1110&gt;0,"OUTSTANDING",IF(G1110=0,"SETTLED",IF(SUMIF(Transactions!$F$8:$F$3006,B1110,Transactions!$Q$8:$Q$3006)&gt;SUMIF(Transactions!$F$8:$F$3006,B1110,Transactions!$R$8:$R$3006),"OWES","OVERPAID"))))</f>
        <v/>
      </c>
      <c r="I1110" s="1"/>
    </row>
    <row r="1111" spans="1:9" ht="18" customHeight="1" x14ac:dyDescent="0.25">
      <c r="A1111" s="48">
        <v>1096</v>
      </c>
      <c r="B1111" s="49" t="str">
        <f t="array" ref="B1111">IFERROR(IF(INDEX(Transactions!$F$8:$F$3006,MATCH(0,COUNTIF($B$11:B1110,Transactions!$F$8:$F$3006),0))="","",INDEX(Transactions!$F$8:$F$3006,MATCH(0,COUNTIF($B$11:B1110,Transactions!$F$8:$F$3006),0))),"")</f>
        <v/>
      </c>
      <c r="C1111" s="50" t="str">
        <f>IF(B1111="","",SUMIF(Transactions!$F$8:$F$3006,B1111,Transactions!$H$8:$H$3006))</f>
        <v/>
      </c>
      <c r="D1111" s="51" t="str">
        <f>IF(B1111="","",SUMIF(Transactions!$F$8:$F$3006,B1111,Transactions!$N$8:$N$3006))</f>
        <v/>
      </c>
      <c r="E1111" s="52" t="str">
        <f>IF(B1111="","",SUMIF(Transactions!$F$8:$F$3006,B1111,Transactions!$O$8:$O$3006))</f>
        <v/>
      </c>
      <c r="F1111" s="53" t="str">
        <f>IF(B1111="","",SUMIF(Transactions!$F$8:$F$3006,B1111,Transactions!$R$8:$R$3006))</f>
        <v/>
      </c>
      <c r="G1111" s="54" t="str">
        <f>IF(B1111="","",(C1111+F1111)-(D1111+E1111+SUMIF(Transactions!$F$8:$F$3006,B1111,Transactions!$Q$8:$Q$3006)))</f>
        <v/>
      </c>
      <c r="H1111" s="55" t="str">
        <f>IF(B1111="","",IF(G1111&gt;0,"OUTSTANDING",IF(G1111=0,"SETTLED",IF(SUMIF(Transactions!$F$8:$F$3006,B1111,Transactions!$Q$8:$Q$3006)&gt;SUMIF(Transactions!$F$8:$F$3006,B1111,Transactions!$R$8:$R$3006),"OWES","OVERPAID"))))</f>
        <v/>
      </c>
      <c r="I1111" s="1"/>
    </row>
    <row r="1112" spans="1:9" ht="18" customHeight="1" x14ac:dyDescent="0.25">
      <c r="A1112" s="40">
        <v>1097</v>
      </c>
      <c r="B1112" s="41" t="str">
        <f t="array" ref="B1112">IFERROR(IF(INDEX(Transactions!$F$8:$F$3006,MATCH(0,COUNTIF($B$11:B1111,Transactions!$F$8:$F$3006),0))="","",INDEX(Transactions!$F$8:$F$3006,MATCH(0,COUNTIF($B$11:B1111,Transactions!$F$8:$F$3006),0))),"")</f>
        <v/>
      </c>
      <c r="C1112" s="42" t="str">
        <f>IF(B1112="","",SUMIF(Transactions!$F$8:$F$3006,B1112,Transactions!$H$8:$H$3006))</f>
        <v/>
      </c>
      <c r="D1112" s="43" t="str">
        <f>IF(B1112="","",SUMIF(Transactions!$F$8:$F$3006,B1112,Transactions!$N$8:$N$3006))</f>
        <v/>
      </c>
      <c r="E1112" s="44" t="str">
        <f>IF(B1112="","",SUMIF(Transactions!$F$8:$F$3006,B1112,Transactions!$O$8:$O$3006))</f>
        <v/>
      </c>
      <c r="F1112" s="45" t="str">
        <f>IF(B1112="","",SUMIF(Transactions!$F$8:$F$3006,B1112,Transactions!$R$8:$R$3006))</f>
        <v/>
      </c>
      <c r="G1112" s="46" t="str">
        <f>IF(B1112="","",(C1112+F1112)-(D1112+E1112+SUMIF(Transactions!$F$8:$F$3006,B1112,Transactions!$Q$8:$Q$3006)))</f>
        <v/>
      </c>
      <c r="H1112" s="47" t="str">
        <f>IF(B1112="","",IF(G1112&gt;0,"OUTSTANDING",IF(G1112=0,"SETTLED",IF(SUMIF(Transactions!$F$8:$F$3006,B1112,Transactions!$Q$8:$Q$3006)&gt;SUMIF(Transactions!$F$8:$F$3006,B1112,Transactions!$R$8:$R$3006),"OWES","OVERPAID"))))</f>
        <v/>
      </c>
      <c r="I1112" s="1"/>
    </row>
    <row r="1113" spans="1:9" ht="18" customHeight="1" x14ac:dyDescent="0.25">
      <c r="A1113" s="48">
        <v>1098</v>
      </c>
      <c r="B1113" s="49" t="str">
        <f t="array" ref="B1113">IFERROR(IF(INDEX(Transactions!$F$8:$F$3006,MATCH(0,COUNTIF($B$11:B1112,Transactions!$F$8:$F$3006),0))="","",INDEX(Transactions!$F$8:$F$3006,MATCH(0,COUNTIF($B$11:B1112,Transactions!$F$8:$F$3006),0))),"")</f>
        <v/>
      </c>
      <c r="C1113" s="50" t="str">
        <f>IF(B1113="","",SUMIF(Transactions!$F$8:$F$3006,B1113,Transactions!$H$8:$H$3006))</f>
        <v/>
      </c>
      <c r="D1113" s="51" t="str">
        <f>IF(B1113="","",SUMIF(Transactions!$F$8:$F$3006,B1113,Transactions!$N$8:$N$3006))</f>
        <v/>
      </c>
      <c r="E1113" s="52" t="str">
        <f>IF(B1113="","",SUMIF(Transactions!$F$8:$F$3006,B1113,Transactions!$O$8:$O$3006))</f>
        <v/>
      </c>
      <c r="F1113" s="53" t="str">
        <f>IF(B1113="","",SUMIF(Transactions!$F$8:$F$3006,B1113,Transactions!$R$8:$R$3006))</f>
        <v/>
      </c>
      <c r="G1113" s="54" t="str">
        <f>IF(B1113="","",(C1113+F1113)-(D1113+E1113+SUMIF(Transactions!$F$8:$F$3006,B1113,Transactions!$Q$8:$Q$3006)))</f>
        <v/>
      </c>
      <c r="H1113" s="55" t="str">
        <f>IF(B1113="","",IF(G1113&gt;0,"OUTSTANDING",IF(G1113=0,"SETTLED",IF(SUMIF(Transactions!$F$8:$F$3006,B1113,Transactions!$Q$8:$Q$3006)&gt;SUMIF(Transactions!$F$8:$F$3006,B1113,Transactions!$R$8:$R$3006),"OWES","OVERPAID"))))</f>
        <v/>
      </c>
      <c r="I1113" s="1"/>
    </row>
    <row r="1114" spans="1:9" ht="18" customHeight="1" x14ac:dyDescent="0.25">
      <c r="A1114" s="40">
        <v>1099</v>
      </c>
      <c r="B1114" s="41" t="str">
        <f t="array" ref="B1114">IFERROR(IF(INDEX(Transactions!$F$8:$F$3006,MATCH(0,COUNTIF($B$11:B1113,Transactions!$F$8:$F$3006),0))="","",INDEX(Transactions!$F$8:$F$3006,MATCH(0,COUNTIF($B$11:B1113,Transactions!$F$8:$F$3006),0))),"")</f>
        <v/>
      </c>
      <c r="C1114" s="42" t="str">
        <f>IF(B1114="","",SUMIF(Transactions!$F$8:$F$3006,B1114,Transactions!$H$8:$H$3006))</f>
        <v/>
      </c>
      <c r="D1114" s="43" t="str">
        <f>IF(B1114="","",SUMIF(Transactions!$F$8:$F$3006,B1114,Transactions!$N$8:$N$3006))</f>
        <v/>
      </c>
      <c r="E1114" s="44" t="str">
        <f>IF(B1114="","",SUMIF(Transactions!$F$8:$F$3006,B1114,Transactions!$O$8:$O$3006))</f>
        <v/>
      </c>
      <c r="F1114" s="45" t="str">
        <f>IF(B1114="","",SUMIF(Transactions!$F$8:$F$3006,B1114,Transactions!$R$8:$R$3006))</f>
        <v/>
      </c>
      <c r="G1114" s="46" t="str">
        <f>IF(B1114="","",(C1114+F1114)-(D1114+E1114+SUMIF(Transactions!$F$8:$F$3006,B1114,Transactions!$Q$8:$Q$3006)))</f>
        <v/>
      </c>
      <c r="H1114" s="47" t="str">
        <f>IF(B1114="","",IF(G1114&gt;0,"OUTSTANDING",IF(G1114=0,"SETTLED",IF(SUMIF(Transactions!$F$8:$F$3006,B1114,Transactions!$Q$8:$Q$3006)&gt;SUMIF(Transactions!$F$8:$F$3006,B1114,Transactions!$R$8:$R$3006),"OWES","OVERPAID"))))</f>
        <v/>
      </c>
      <c r="I1114" s="1"/>
    </row>
    <row r="1115" spans="1:9" ht="18" customHeight="1" x14ac:dyDescent="0.25">
      <c r="A1115" s="48">
        <v>1100</v>
      </c>
      <c r="B1115" s="49" t="str">
        <f t="array" ref="B1115">IFERROR(IF(INDEX(Transactions!$F$8:$F$3006,MATCH(0,COUNTIF($B$11:B1114,Transactions!$F$8:$F$3006),0))="","",INDEX(Transactions!$F$8:$F$3006,MATCH(0,COUNTIF($B$11:B1114,Transactions!$F$8:$F$3006),0))),"")</f>
        <v/>
      </c>
      <c r="C1115" s="50" t="str">
        <f>IF(B1115="","",SUMIF(Transactions!$F$8:$F$3006,B1115,Transactions!$H$8:$H$3006))</f>
        <v/>
      </c>
      <c r="D1115" s="51" t="str">
        <f>IF(B1115="","",SUMIF(Transactions!$F$8:$F$3006,B1115,Transactions!$N$8:$N$3006))</f>
        <v/>
      </c>
      <c r="E1115" s="52" t="str">
        <f>IF(B1115="","",SUMIF(Transactions!$F$8:$F$3006,B1115,Transactions!$O$8:$O$3006))</f>
        <v/>
      </c>
      <c r="F1115" s="53" t="str">
        <f>IF(B1115="","",SUMIF(Transactions!$F$8:$F$3006,B1115,Transactions!$R$8:$R$3006))</f>
        <v/>
      </c>
      <c r="G1115" s="54" t="str">
        <f>IF(B1115="","",(C1115+F1115)-(D1115+E1115+SUMIF(Transactions!$F$8:$F$3006,B1115,Transactions!$Q$8:$Q$3006)))</f>
        <v/>
      </c>
      <c r="H1115" s="55" t="str">
        <f>IF(B1115="","",IF(G1115&gt;0,"OUTSTANDING",IF(G1115=0,"SETTLED",IF(SUMIF(Transactions!$F$8:$F$3006,B1115,Transactions!$Q$8:$Q$3006)&gt;SUMIF(Transactions!$F$8:$F$3006,B1115,Transactions!$R$8:$R$3006),"OWES","OVERPAID"))))</f>
        <v/>
      </c>
      <c r="I1115" s="1"/>
    </row>
    <row r="1116" spans="1:9" ht="18" customHeight="1" x14ac:dyDescent="0.25">
      <c r="A1116" s="40">
        <v>1101</v>
      </c>
      <c r="B1116" s="41" t="str">
        <f t="array" ref="B1116">IFERROR(IF(INDEX(Transactions!$F$8:$F$3006,MATCH(0,COUNTIF($B$11:B1115,Transactions!$F$8:$F$3006),0))="","",INDEX(Transactions!$F$8:$F$3006,MATCH(0,COUNTIF($B$11:B1115,Transactions!$F$8:$F$3006),0))),"")</f>
        <v/>
      </c>
      <c r="C1116" s="42" t="str">
        <f>IF(B1116="","",SUMIF(Transactions!$F$8:$F$3006,B1116,Transactions!$H$8:$H$3006))</f>
        <v/>
      </c>
      <c r="D1116" s="43" t="str">
        <f>IF(B1116="","",SUMIF(Transactions!$F$8:$F$3006,B1116,Transactions!$N$8:$N$3006))</f>
        <v/>
      </c>
      <c r="E1116" s="44" t="str">
        <f>IF(B1116="","",SUMIF(Transactions!$F$8:$F$3006,B1116,Transactions!$O$8:$O$3006))</f>
        <v/>
      </c>
      <c r="F1116" s="45" t="str">
        <f>IF(B1116="","",SUMIF(Transactions!$F$8:$F$3006,B1116,Transactions!$R$8:$R$3006))</f>
        <v/>
      </c>
      <c r="G1116" s="46" t="str">
        <f>IF(B1116="","",(C1116+F1116)-(D1116+E1116+SUMIF(Transactions!$F$8:$F$3006,B1116,Transactions!$Q$8:$Q$3006)))</f>
        <v/>
      </c>
      <c r="H1116" s="47" t="str">
        <f>IF(B1116="","",IF(G1116&gt;0,"OUTSTANDING",IF(G1116=0,"SETTLED",IF(SUMIF(Transactions!$F$8:$F$3006,B1116,Transactions!$Q$8:$Q$3006)&gt;SUMIF(Transactions!$F$8:$F$3006,B1116,Transactions!$R$8:$R$3006),"OWES","OVERPAID"))))</f>
        <v/>
      </c>
      <c r="I1116" s="1"/>
    </row>
    <row r="1117" spans="1:9" ht="18" customHeight="1" x14ac:dyDescent="0.25">
      <c r="A1117" s="48">
        <v>1102</v>
      </c>
      <c r="B1117" s="49" t="str">
        <f t="array" ref="B1117">IFERROR(IF(INDEX(Transactions!$F$8:$F$3006,MATCH(0,COUNTIF($B$11:B1116,Transactions!$F$8:$F$3006),0))="","",INDEX(Transactions!$F$8:$F$3006,MATCH(0,COUNTIF($B$11:B1116,Transactions!$F$8:$F$3006),0))),"")</f>
        <v/>
      </c>
      <c r="C1117" s="50" t="str">
        <f>IF(B1117="","",SUMIF(Transactions!$F$8:$F$3006,B1117,Transactions!$H$8:$H$3006))</f>
        <v/>
      </c>
      <c r="D1117" s="51" t="str">
        <f>IF(B1117="","",SUMIF(Transactions!$F$8:$F$3006,B1117,Transactions!$N$8:$N$3006))</f>
        <v/>
      </c>
      <c r="E1117" s="52" t="str">
        <f>IF(B1117="","",SUMIF(Transactions!$F$8:$F$3006,B1117,Transactions!$O$8:$O$3006))</f>
        <v/>
      </c>
      <c r="F1117" s="53" t="str">
        <f>IF(B1117="","",SUMIF(Transactions!$F$8:$F$3006,B1117,Transactions!$R$8:$R$3006))</f>
        <v/>
      </c>
      <c r="G1117" s="54" t="str">
        <f>IF(B1117="","",(C1117+F1117)-(D1117+E1117+SUMIF(Transactions!$F$8:$F$3006,B1117,Transactions!$Q$8:$Q$3006)))</f>
        <v/>
      </c>
      <c r="H1117" s="55" t="str">
        <f>IF(B1117="","",IF(G1117&gt;0,"OUTSTANDING",IF(G1117=0,"SETTLED",IF(SUMIF(Transactions!$F$8:$F$3006,B1117,Transactions!$Q$8:$Q$3006)&gt;SUMIF(Transactions!$F$8:$F$3006,B1117,Transactions!$R$8:$R$3006),"OWES","OVERPAID"))))</f>
        <v/>
      </c>
      <c r="I1117" s="1"/>
    </row>
    <row r="1118" spans="1:9" ht="18" customHeight="1" x14ac:dyDescent="0.25">
      <c r="A1118" s="40">
        <v>1103</v>
      </c>
      <c r="B1118" s="41" t="str">
        <f t="array" ref="B1118">IFERROR(IF(INDEX(Transactions!$F$8:$F$3006,MATCH(0,COUNTIF($B$11:B1117,Transactions!$F$8:$F$3006),0))="","",INDEX(Transactions!$F$8:$F$3006,MATCH(0,COUNTIF($B$11:B1117,Transactions!$F$8:$F$3006),0))),"")</f>
        <v/>
      </c>
      <c r="C1118" s="42" t="str">
        <f>IF(B1118="","",SUMIF(Transactions!$F$8:$F$3006,B1118,Transactions!$H$8:$H$3006))</f>
        <v/>
      </c>
      <c r="D1118" s="43" t="str">
        <f>IF(B1118="","",SUMIF(Transactions!$F$8:$F$3006,B1118,Transactions!$N$8:$N$3006))</f>
        <v/>
      </c>
      <c r="E1118" s="44" t="str">
        <f>IF(B1118="","",SUMIF(Transactions!$F$8:$F$3006,B1118,Transactions!$O$8:$O$3006))</f>
        <v/>
      </c>
      <c r="F1118" s="45" t="str">
        <f>IF(B1118="","",SUMIF(Transactions!$F$8:$F$3006,B1118,Transactions!$R$8:$R$3006))</f>
        <v/>
      </c>
      <c r="G1118" s="46" t="str">
        <f>IF(B1118="","",(C1118+F1118)-(D1118+E1118+SUMIF(Transactions!$F$8:$F$3006,B1118,Transactions!$Q$8:$Q$3006)))</f>
        <v/>
      </c>
      <c r="H1118" s="47" t="str">
        <f>IF(B1118="","",IF(G1118&gt;0,"OUTSTANDING",IF(G1118=0,"SETTLED",IF(SUMIF(Transactions!$F$8:$F$3006,B1118,Transactions!$Q$8:$Q$3006)&gt;SUMIF(Transactions!$F$8:$F$3006,B1118,Transactions!$R$8:$R$3006),"OWES","OVERPAID"))))</f>
        <v/>
      </c>
      <c r="I1118" s="1"/>
    </row>
    <row r="1119" spans="1:9" ht="18" customHeight="1" x14ac:dyDescent="0.25">
      <c r="A1119" s="48">
        <v>1104</v>
      </c>
      <c r="B1119" s="49" t="str">
        <f t="array" ref="B1119">IFERROR(IF(INDEX(Transactions!$F$8:$F$3006,MATCH(0,COUNTIF($B$11:B1118,Transactions!$F$8:$F$3006),0))="","",INDEX(Transactions!$F$8:$F$3006,MATCH(0,COUNTIF($B$11:B1118,Transactions!$F$8:$F$3006),0))),"")</f>
        <v/>
      </c>
      <c r="C1119" s="50" t="str">
        <f>IF(B1119="","",SUMIF(Transactions!$F$8:$F$3006,B1119,Transactions!$H$8:$H$3006))</f>
        <v/>
      </c>
      <c r="D1119" s="51" t="str">
        <f>IF(B1119="","",SUMIF(Transactions!$F$8:$F$3006,B1119,Transactions!$N$8:$N$3006))</f>
        <v/>
      </c>
      <c r="E1119" s="52" t="str">
        <f>IF(B1119="","",SUMIF(Transactions!$F$8:$F$3006,B1119,Transactions!$O$8:$O$3006))</f>
        <v/>
      </c>
      <c r="F1119" s="53" t="str">
        <f>IF(B1119="","",SUMIF(Transactions!$F$8:$F$3006,B1119,Transactions!$R$8:$R$3006))</f>
        <v/>
      </c>
      <c r="G1119" s="54" t="str">
        <f>IF(B1119="","",(C1119+F1119)-(D1119+E1119+SUMIF(Transactions!$F$8:$F$3006,B1119,Transactions!$Q$8:$Q$3006)))</f>
        <v/>
      </c>
      <c r="H1119" s="55" t="str">
        <f>IF(B1119="","",IF(G1119&gt;0,"OUTSTANDING",IF(G1119=0,"SETTLED",IF(SUMIF(Transactions!$F$8:$F$3006,B1119,Transactions!$Q$8:$Q$3006)&gt;SUMIF(Transactions!$F$8:$F$3006,B1119,Transactions!$R$8:$R$3006),"OWES","OVERPAID"))))</f>
        <v/>
      </c>
      <c r="I1119" s="1"/>
    </row>
    <row r="1120" spans="1:9" ht="18" customHeight="1" x14ac:dyDescent="0.25">
      <c r="A1120" s="40">
        <v>1105</v>
      </c>
      <c r="B1120" s="41" t="str">
        <f t="array" ref="B1120">IFERROR(IF(INDEX(Transactions!$F$8:$F$3006,MATCH(0,COUNTIF($B$11:B1119,Transactions!$F$8:$F$3006),0))="","",INDEX(Transactions!$F$8:$F$3006,MATCH(0,COUNTIF($B$11:B1119,Transactions!$F$8:$F$3006),0))),"")</f>
        <v/>
      </c>
      <c r="C1120" s="42" t="str">
        <f>IF(B1120="","",SUMIF(Transactions!$F$8:$F$3006,B1120,Transactions!$H$8:$H$3006))</f>
        <v/>
      </c>
      <c r="D1120" s="43" t="str">
        <f>IF(B1120="","",SUMIF(Transactions!$F$8:$F$3006,B1120,Transactions!$N$8:$N$3006))</f>
        <v/>
      </c>
      <c r="E1120" s="44" t="str">
        <f>IF(B1120="","",SUMIF(Transactions!$F$8:$F$3006,B1120,Transactions!$O$8:$O$3006))</f>
        <v/>
      </c>
      <c r="F1120" s="45" t="str">
        <f>IF(B1120="","",SUMIF(Transactions!$F$8:$F$3006,B1120,Transactions!$R$8:$R$3006))</f>
        <v/>
      </c>
      <c r="G1120" s="46" t="str">
        <f>IF(B1120="","",(C1120+F1120)-(D1120+E1120+SUMIF(Transactions!$F$8:$F$3006,B1120,Transactions!$Q$8:$Q$3006)))</f>
        <v/>
      </c>
      <c r="H1120" s="47" t="str">
        <f>IF(B1120="","",IF(G1120&gt;0,"OUTSTANDING",IF(G1120=0,"SETTLED",IF(SUMIF(Transactions!$F$8:$F$3006,B1120,Transactions!$Q$8:$Q$3006)&gt;SUMIF(Transactions!$F$8:$F$3006,B1120,Transactions!$R$8:$R$3006),"OWES","OVERPAID"))))</f>
        <v/>
      </c>
      <c r="I1120" s="1"/>
    </row>
    <row r="1121" spans="1:9" ht="18" customHeight="1" x14ac:dyDescent="0.25">
      <c r="A1121" s="48">
        <v>1106</v>
      </c>
      <c r="B1121" s="49" t="str">
        <f t="array" ref="B1121">IFERROR(IF(INDEX(Transactions!$F$8:$F$3006,MATCH(0,COUNTIF($B$11:B1120,Transactions!$F$8:$F$3006),0))="","",INDEX(Transactions!$F$8:$F$3006,MATCH(0,COUNTIF($B$11:B1120,Transactions!$F$8:$F$3006),0))),"")</f>
        <v/>
      </c>
      <c r="C1121" s="50" t="str">
        <f>IF(B1121="","",SUMIF(Transactions!$F$8:$F$3006,B1121,Transactions!$H$8:$H$3006))</f>
        <v/>
      </c>
      <c r="D1121" s="51" t="str">
        <f>IF(B1121="","",SUMIF(Transactions!$F$8:$F$3006,B1121,Transactions!$N$8:$N$3006))</f>
        <v/>
      </c>
      <c r="E1121" s="52" t="str">
        <f>IF(B1121="","",SUMIF(Transactions!$F$8:$F$3006,B1121,Transactions!$O$8:$O$3006))</f>
        <v/>
      </c>
      <c r="F1121" s="53" t="str">
        <f>IF(B1121="","",SUMIF(Transactions!$F$8:$F$3006,B1121,Transactions!$R$8:$R$3006))</f>
        <v/>
      </c>
      <c r="G1121" s="54" t="str">
        <f>IF(B1121="","",(C1121+F1121)-(D1121+E1121+SUMIF(Transactions!$F$8:$F$3006,B1121,Transactions!$Q$8:$Q$3006)))</f>
        <v/>
      </c>
      <c r="H1121" s="55" t="str">
        <f>IF(B1121="","",IF(G1121&gt;0,"OUTSTANDING",IF(G1121=0,"SETTLED",IF(SUMIF(Transactions!$F$8:$F$3006,B1121,Transactions!$Q$8:$Q$3006)&gt;SUMIF(Transactions!$F$8:$F$3006,B1121,Transactions!$R$8:$R$3006),"OWES","OVERPAID"))))</f>
        <v/>
      </c>
      <c r="I1121" s="1"/>
    </row>
    <row r="1122" spans="1:9" ht="18" customHeight="1" x14ac:dyDescent="0.25">
      <c r="A1122" s="40">
        <v>1107</v>
      </c>
      <c r="B1122" s="41" t="str">
        <f t="array" ref="B1122">IFERROR(IF(INDEX(Transactions!$F$8:$F$3006,MATCH(0,COUNTIF($B$11:B1121,Transactions!$F$8:$F$3006),0))="","",INDEX(Transactions!$F$8:$F$3006,MATCH(0,COUNTIF($B$11:B1121,Transactions!$F$8:$F$3006),0))),"")</f>
        <v/>
      </c>
      <c r="C1122" s="42" t="str">
        <f>IF(B1122="","",SUMIF(Transactions!$F$8:$F$3006,B1122,Transactions!$H$8:$H$3006))</f>
        <v/>
      </c>
      <c r="D1122" s="43" t="str">
        <f>IF(B1122="","",SUMIF(Transactions!$F$8:$F$3006,B1122,Transactions!$N$8:$N$3006))</f>
        <v/>
      </c>
      <c r="E1122" s="44" t="str">
        <f>IF(B1122="","",SUMIF(Transactions!$F$8:$F$3006,B1122,Transactions!$O$8:$O$3006))</f>
        <v/>
      </c>
      <c r="F1122" s="45" t="str">
        <f>IF(B1122="","",SUMIF(Transactions!$F$8:$F$3006,B1122,Transactions!$R$8:$R$3006))</f>
        <v/>
      </c>
      <c r="G1122" s="46" t="str">
        <f>IF(B1122="","",(C1122+F1122)-(D1122+E1122+SUMIF(Transactions!$F$8:$F$3006,B1122,Transactions!$Q$8:$Q$3006)))</f>
        <v/>
      </c>
      <c r="H1122" s="47" t="str">
        <f>IF(B1122="","",IF(G1122&gt;0,"OUTSTANDING",IF(G1122=0,"SETTLED",IF(SUMIF(Transactions!$F$8:$F$3006,B1122,Transactions!$Q$8:$Q$3006)&gt;SUMIF(Transactions!$F$8:$F$3006,B1122,Transactions!$R$8:$R$3006),"OWES","OVERPAID"))))</f>
        <v/>
      </c>
      <c r="I1122" s="1"/>
    </row>
    <row r="1123" spans="1:9" ht="18" customHeight="1" x14ac:dyDescent="0.25">
      <c r="A1123" s="48">
        <v>1108</v>
      </c>
      <c r="B1123" s="49" t="str">
        <f t="array" ref="B1123">IFERROR(IF(INDEX(Transactions!$F$8:$F$3006,MATCH(0,COUNTIF($B$11:B1122,Transactions!$F$8:$F$3006),0))="","",INDEX(Transactions!$F$8:$F$3006,MATCH(0,COUNTIF($B$11:B1122,Transactions!$F$8:$F$3006),0))),"")</f>
        <v/>
      </c>
      <c r="C1123" s="50" t="str">
        <f>IF(B1123="","",SUMIF(Transactions!$F$8:$F$3006,B1123,Transactions!$H$8:$H$3006))</f>
        <v/>
      </c>
      <c r="D1123" s="51" t="str">
        <f>IF(B1123="","",SUMIF(Transactions!$F$8:$F$3006,B1123,Transactions!$N$8:$N$3006))</f>
        <v/>
      </c>
      <c r="E1123" s="52" t="str">
        <f>IF(B1123="","",SUMIF(Transactions!$F$8:$F$3006,B1123,Transactions!$O$8:$O$3006))</f>
        <v/>
      </c>
      <c r="F1123" s="53" t="str">
        <f>IF(B1123="","",SUMIF(Transactions!$F$8:$F$3006,B1123,Transactions!$R$8:$R$3006))</f>
        <v/>
      </c>
      <c r="G1123" s="54" t="str">
        <f>IF(B1123="","",(C1123+F1123)-(D1123+E1123+SUMIF(Transactions!$F$8:$F$3006,B1123,Transactions!$Q$8:$Q$3006)))</f>
        <v/>
      </c>
      <c r="H1123" s="55" t="str">
        <f>IF(B1123="","",IF(G1123&gt;0,"OUTSTANDING",IF(G1123=0,"SETTLED",IF(SUMIF(Transactions!$F$8:$F$3006,B1123,Transactions!$Q$8:$Q$3006)&gt;SUMIF(Transactions!$F$8:$F$3006,B1123,Transactions!$R$8:$R$3006),"OWES","OVERPAID"))))</f>
        <v/>
      </c>
      <c r="I1123" s="1"/>
    </row>
    <row r="1124" spans="1:9" ht="18" customHeight="1" x14ac:dyDescent="0.25">
      <c r="A1124" s="40">
        <v>1109</v>
      </c>
      <c r="B1124" s="41" t="str">
        <f t="array" ref="B1124">IFERROR(IF(INDEX(Transactions!$F$8:$F$3006,MATCH(0,COUNTIF($B$11:B1123,Transactions!$F$8:$F$3006),0))="","",INDEX(Transactions!$F$8:$F$3006,MATCH(0,COUNTIF($B$11:B1123,Transactions!$F$8:$F$3006),0))),"")</f>
        <v/>
      </c>
      <c r="C1124" s="42" t="str">
        <f>IF(B1124="","",SUMIF(Transactions!$F$8:$F$3006,B1124,Transactions!$H$8:$H$3006))</f>
        <v/>
      </c>
      <c r="D1124" s="43" t="str">
        <f>IF(B1124="","",SUMIF(Transactions!$F$8:$F$3006,B1124,Transactions!$N$8:$N$3006))</f>
        <v/>
      </c>
      <c r="E1124" s="44" t="str">
        <f>IF(B1124="","",SUMIF(Transactions!$F$8:$F$3006,B1124,Transactions!$O$8:$O$3006))</f>
        <v/>
      </c>
      <c r="F1124" s="45" t="str">
        <f>IF(B1124="","",SUMIF(Transactions!$F$8:$F$3006,B1124,Transactions!$R$8:$R$3006))</f>
        <v/>
      </c>
      <c r="G1124" s="46" t="str">
        <f>IF(B1124="","",(C1124+F1124)-(D1124+E1124+SUMIF(Transactions!$F$8:$F$3006,B1124,Transactions!$Q$8:$Q$3006)))</f>
        <v/>
      </c>
      <c r="H1124" s="47" t="str">
        <f>IF(B1124="","",IF(G1124&gt;0,"OUTSTANDING",IF(G1124=0,"SETTLED",IF(SUMIF(Transactions!$F$8:$F$3006,B1124,Transactions!$Q$8:$Q$3006)&gt;SUMIF(Transactions!$F$8:$F$3006,B1124,Transactions!$R$8:$R$3006),"OWES","OVERPAID"))))</f>
        <v/>
      </c>
      <c r="I1124" s="1"/>
    </row>
    <row r="1125" spans="1:9" ht="18" customHeight="1" x14ac:dyDescent="0.25">
      <c r="A1125" s="48">
        <v>1110</v>
      </c>
      <c r="B1125" s="49" t="str">
        <f t="array" ref="B1125">IFERROR(IF(INDEX(Transactions!$F$8:$F$3006,MATCH(0,COUNTIF($B$11:B1124,Transactions!$F$8:$F$3006),0))="","",INDEX(Transactions!$F$8:$F$3006,MATCH(0,COUNTIF($B$11:B1124,Transactions!$F$8:$F$3006),0))),"")</f>
        <v/>
      </c>
      <c r="C1125" s="50" t="str">
        <f>IF(B1125="","",SUMIF(Transactions!$F$8:$F$3006,B1125,Transactions!$H$8:$H$3006))</f>
        <v/>
      </c>
      <c r="D1125" s="51" t="str">
        <f>IF(B1125="","",SUMIF(Transactions!$F$8:$F$3006,B1125,Transactions!$N$8:$N$3006))</f>
        <v/>
      </c>
      <c r="E1125" s="52" t="str">
        <f>IF(B1125="","",SUMIF(Transactions!$F$8:$F$3006,B1125,Transactions!$O$8:$O$3006))</f>
        <v/>
      </c>
      <c r="F1125" s="53" t="str">
        <f>IF(B1125="","",SUMIF(Transactions!$F$8:$F$3006,B1125,Transactions!$R$8:$R$3006))</f>
        <v/>
      </c>
      <c r="G1125" s="54" t="str">
        <f>IF(B1125="","",(C1125+F1125)-(D1125+E1125+SUMIF(Transactions!$F$8:$F$3006,B1125,Transactions!$Q$8:$Q$3006)))</f>
        <v/>
      </c>
      <c r="H1125" s="55" t="str">
        <f>IF(B1125="","",IF(G1125&gt;0,"OUTSTANDING",IF(G1125=0,"SETTLED",IF(SUMIF(Transactions!$F$8:$F$3006,B1125,Transactions!$Q$8:$Q$3006)&gt;SUMIF(Transactions!$F$8:$F$3006,B1125,Transactions!$R$8:$R$3006),"OWES","OVERPAID"))))</f>
        <v/>
      </c>
      <c r="I1125" s="1"/>
    </row>
    <row r="1126" spans="1:9" ht="18" customHeight="1" x14ac:dyDescent="0.25">
      <c r="A1126" s="40">
        <v>1111</v>
      </c>
      <c r="B1126" s="41" t="str">
        <f t="array" ref="B1126">IFERROR(IF(INDEX(Transactions!$F$8:$F$3006,MATCH(0,COUNTIF($B$11:B1125,Transactions!$F$8:$F$3006),0))="","",INDEX(Transactions!$F$8:$F$3006,MATCH(0,COUNTIF($B$11:B1125,Transactions!$F$8:$F$3006),0))),"")</f>
        <v/>
      </c>
      <c r="C1126" s="42" t="str">
        <f>IF(B1126="","",SUMIF(Transactions!$F$8:$F$3006,B1126,Transactions!$H$8:$H$3006))</f>
        <v/>
      </c>
      <c r="D1126" s="43" t="str">
        <f>IF(B1126="","",SUMIF(Transactions!$F$8:$F$3006,B1126,Transactions!$N$8:$N$3006))</f>
        <v/>
      </c>
      <c r="E1126" s="44" t="str">
        <f>IF(B1126="","",SUMIF(Transactions!$F$8:$F$3006,B1126,Transactions!$O$8:$O$3006))</f>
        <v/>
      </c>
      <c r="F1126" s="45" t="str">
        <f>IF(B1126="","",SUMIF(Transactions!$F$8:$F$3006,B1126,Transactions!$R$8:$R$3006))</f>
        <v/>
      </c>
      <c r="G1126" s="46" t="str">
        <f>IF(B1126="","",(C1126+F1126)-(D1126+E1126+SUMIF(Transactions!$F$8:$F$3006,B1126,Transactions!$Q$8:$Q$3006)))</f>
        <v/>
      </c>
      <c r="H1126" s="47" t="str">
        <f>IF(B1126="","",IF(G1126&gt;0,"OUTSTANDING",IF(G1126=0,"SETTLED",IF(SUMIF(Transactions!$F$8:$F$3006,B1126,Transactions!$Q$8:$Q$3006)&gt;SUMIF(Transactions!$F$8:$F$3006,B1126,Transactions!$R$8:$R$3006),"OWES","OVERPAID"))))</f>
        <v/>
      </c>
      <c r="I1126" s="1"/>
    </row>
    <row r="1127" spans="1:9" ht="18" customHeight="1" x14ac:dyDescent="0.25">
      <c r="A1127" s="48">
        <v>1112</v>
      </c>
      <c r="B1127" s="49" t="str">
        <f t="array" ref="B1127">IFERROR(IF(INDEX(Transactions!$F$8:$F$3006,MATCH(0,COUNTIF($B$11:B1126,Transactions!$F$8:$F$3006),0))="","",INDEX(Transactions!$F$8:$F$3006,MATCH(0,COUNTIF($B$11:B1126,Transactions!$F$8:$F$3006),0))),"")</f>
        <v/>
      </c>
      <c r="C1127" s="50" t="str">
        <f>IF(B1127="","",SUMIF(Transactions!$F$8:$F$3006,B1127,Transactions!$H$8:$H$3006))</f>
        <v/>
      </c>
      <c r="D1127" s="51" t="str">
        <f>IF(B1127="","",SUMIF(Transactions!$F$8:$F$3006,B1127,Transactions!$N$8:$N$3006))</f>
        <v/>
      </c>
      <c r="E1127" s="52" t="str">
        <f>IF(B1127="","",SUMIF(Transactions!$F$8:$F$3006,B1127,Transactions!$O$8:$O$3006))</f>
        <v/>
      </c>
      <c r="F1127" s="53" t="str">
        <f>IF(B1127="","",SUMIF(Transactions!$F$8:$F$3006,B1127,Transactions!$R$8:$R$3006))</f>
        <v/>
      </c>
      <c r="G1127" s="54" t="str">
        <f>IF(B1127="","",(C1127+F1127)-(D1127+E1127+SUMIF(Transactions!$F$8:$F$3006,B1127,Transactions!$Q$8:$Q$3006)))</f>
        <v/>
      </c>
      <c r="H1127" s="55" t="str">
        <f>IF(B1127="","",IF(G1127&gt;0,"OUTSTANDING",IF(G1127=0,"SETTLED",IF(SUMIF(Transactions!$F$8:$F$3006,B1127,Transactions!$Q$8:$Q$3006)&gt;SUMIF(Transactions!$F$8:$F$3006,B1127,Transactions!$R$8:$R$3006),"OWES","OVERPAID"))))</f>
        <v/>
      </c>
      <c r="I1127" s="1"/>
    </row>
    <row r="1128" spans="1:9" ht="18" customHeight="1" x14ac:dyDescent="0.25">
      <c r="A1128" s="40">
        <v>1113</v>
      </c>
      <c r="B1128" s="41" t="str">
        <f t="array" ref="B1128">IFERROR(IF(INDEX(Transactions!$F$8:$F$3006,MATCH(0,COUNTIF($B$11:B1127,Transactions!$F$8:$F$3006),0))="","",INDEX(Transactions!$F$8:$F$3006,MATCH(0,COUNTIF($B$11:B1127,Transactions!$F$8:$F$3006),0))),"")</f>
        <v/>
      </c>
      <c r="C1128" s="42" t="str">
        <f>IF(B1128="","",SUMIF(Transactions!$F$8:$F$3006,B1128,Transactions!$H$8:$H$3006))</f>
        <v/>
      </c>
      <c r="D1128" s="43" t="str">
        <f>IF(B1128="","",SUMIF(Transactions!$F$8:$F$3006,B1128,Transactions!$N$8:$N$3006))</f>
        <v/>
      </c>
      <c r="E1128" s="44" t="str">
        <f>IF(B1128="","",SUMIF(Transactions!$F$8:$F$3006,B1128,Transactions!$O$8:$O$3006))</f>
        <v/>
      </c>
      <c r="F1128" s="45" t="str">
        <f>IF(B1128="","",SUMIF(Transactions!$F$8:$F$3006,B1128,Transactions!$R$8:$R$3006))</f>
        <v/>
      </c>
      <c r="G1128" s="46" t="str">
        <f>IF(B1128="","",(C1128+F1128)-(D1128+E1128+SUMIF(Transactions!$F$8:$F$3006,B1128,Transactions!$Q$8:$Q$3006)))</f>
        <v/>
      </c>
      <c r="H1128" s="47" t="str">
        <f>IF(B1128="","",IF(G1128&gt;0,"OUTSTANDING",IF(G1128=0,"SETTLED",IF(SUMIF(Transactions!$F$8:$F$3006,B1128,Transactions!$Q$8:$Q$3006)&gt;SUMIF(Transactions!$F$8:$F$3006,B1128,Transactions!$R$8:$R$3006),"OWES","OVERPAID"))))</f>
        <v/>
      </c>
      <c r="I1128" s="1"/>
    </row>
    <row r="1129" spans="1:9" ht="18" customHeight="1" x14ac:dyDescent="0.25">
      <c r="A1129" s="48">
        <v>1114</v>
      </c>
      <c r="B1129" s="49" t="str">
        <f t="array" ref="B1129">IFERROR(IF(INDEX(Transactions!$F$8:$F$3006,MATCH(0,COUNTIF($B$11:B1128,Transactions!$F$8:$F$3006),0))="","",INDEX(Transactions!$F$8:$F$3006,MATCH(0,COUNTIF($B$11:B1128,Transactions!$F$8:$F$3006),0))),"")</f>
        <v/>
      </c>
      <c r="C1129" s="50" t="str">
        <f>IF(B1129="","",SUMIF(Transactions!$F$8:$F$3006,B1129,Transactions!$H$8:$H$3006))</f>
        <v/>
      </c>
      <c r="D1129" s="51" t="str">
        <f>IF(B1129="","",SUMIF(Transactions!$F$8:$F$3006,B1129,Transactions!$N$8:$N$3006))</f>
        <v/>
      </c>
      <c r="E1129" s="52" t="str">
        <f>IF(B1129="","",SUMIF(Transactions!$F$8:$F$3006,B1129,Transactions!$O$8:$O$3006))</f>
        <v/>
      </c>
      <c r="F1129" s="53" t="str">
        <f>IF(B1129="","",SUMIF(Transactions!$F$8:$F$3006,B1129,Transactions!$R$8:$R$3006))</f>
        <v/>
      </c>
      <c r="G1129" s="54" t="str">
        <f>IF(B1129="","",(C1129+F1129)-(D1129+E1129+SUMIF(Transactions!$F$8:$F$3006,B1129,Transactions!$Q$8:$Q$3006)))</f>
        <v/>
      </c>
      <c r="H1129" s="55" t="str">
        <f>IF(B1129="","",IF(G1129&gt;0,"OUTSTANDING",IF(G1129=0,"SETTLED",IF(SUMIF(Transactions!$F$8:$F$3006,B1129,Transactions!$Q$8:$Q$3006)&gt;SUMIF(Transactions!$F$8:$F$3006,B1129,Transactions!$R$8:$R$3006),"OWES","OVERPAID"))))</f>
        <v/>
      </c>
      <c r="I1129" s="1"/>
    </row>
    <row r="1130" spans="1:9" ht="18" customHeight="1" x14ac:dyDescent="0.25">
      <c r="A1130" s="40">
        <v>1115</v>
      </c>
      <c r="B1130" s="41" t="str">
        <f t="array" ref="B1130">IFERROR(IF(INDEX(Transactions!$F$8:$F$3006,MATCH(0,COUNTIF($B$11:B1129,Transactions!$F$8:$F$3006),0))="","",INDEX(Transactions!$F$8:$F$3006,MATCH(0,COUNTIF($B$11:B1129,Transactions!$F$8:$F$3006),0))),"")</f>
        <v/>
      </c>
      <c r="C1130" s="42" t="str">
        <f>IF(B1130="","",SUMIF(Transactions!$F$8:$F$3006,B1130,Transactions!$H$8:$H$3006))</f>
        <v/>
      </c>
      <c r="D1130" s="43" t="str">
        <f>IF(B1130="","",SUMIF(Transactions!$F$8:$F$3006,B1130,Transactions!$N$8:$N$3006))</f>
        <v/>
      </c>
      <c r="E1130" s="44" t="str">
        <f>IF(B1130="","",SUMIF(Transactions!$F$8:$F$3006,B1130,Transactions!$O$8:$O$3006))</f>
        <v/>
      </c>
      <c r="F1130" s="45" t="str">
        <f>IF(B1130="","",SUMIF(Transactions!$F$8:$F$3006,B1130,Transactions!$R$8:$R$3006))</f>
        <v/>
      </c>
      <c r="G1130" s="46" t="str">
        <f>IF(B1130="","",(C1130+F1130)-(D1130+E1130+SUMIF(Transactions!$F$8:$F$3006,B1130,Transactions!$Q$8:$Q$3006)))</f>
        <v/>
      </c>
      <c r="H1130" s="47" t="str">
        <f>IF(B1130="","",IF(G1130&gt;0,"OUTSTANDING",IF(G1130=0,"SETTLED",IF(SUMIF(Transactions!$F$8:$F$3006,B1130,Transactions!$Q$8:$Q$3006)&gt;SUMIF(Transactions!$F$8:$F$3006,B1130,Transactions!$R$8:$R$3006),"OWES","OVERPAID"))))</f>
        <v/>
      </c>
      <c r="I1130" s="1"/>
    </row>
    <row r="1131" spans="1:9" ht="18" customHeight="1" x14ac:dyDescent="0.25">
      <c r="A1131" s="48">
        <v>1116</v>
      </c>
      <c r="B1131" s="49" t="str">
        <f t="array" ref="B1131">IFERROR(IF(INDEX(Transactions!$F$8:$F$3006,MATCH(0,COUNTIF($B$11:B1130,Transactions!$F$8:$F$3006),0))="","",INDEX(Transactions!$F$8:$F$3006,MATCH(0,COUNTIF($B$11:B1130,Transactions!$F$8:$F$3006),0))),"")</f>
        <v/>
      </c>
      <c r="C1131" s="50" t="str">
        <f>IF(B1131="","",SUMIF(Transactions!$F$8:$F$3006,B1131,Transactions!$H$8:$H$3006))</f>
        <v/>
      </c>
      <c r="D1131" s="51" t="str">
        <f>IF(B1131="","",SUMIF(Transactions!$F$8:$F$3006,B1131,Transactions!$N$8:$N$3006))</f>
        <v/>
      </c>
      <c r="E1131" s="52" t="str">
        <f>IF(B1131="","",SUMIF(Transactions!$F$8:$F$3006,B1131,Transactions!$O$8:$O$3006))</f>
        <v/>
      </c>
      <c r="F1131" s="53" t="str">
        <f>IF(B1131="","",SUMIF(Transactions!$F$8:$F$3006,B1131,Transactions!$R$8:$R$3006))</f>
        <v/>
      </c>
      <c r="G1131" s="54" t="str">
        <f>IF(B1131="","",(C1131+F1131)-(D1131+E1131+SUMIF(Transactions!$F$8:$F$3006,B1131,Transactions!$Q$8:$Q$3006)))</f>
        <v/>
      </c>
      <c r="H1131" s="55" t="str">
        <f>IF(B1131="","",IF(G1131&gt;0,"OUTSTANDING",IF(G1131=0,"SETTLED",IF(SUMIF(Transactions!$F$8:$F$3006,B1131,Transactions!$Q$8:$Q$3006)&gt;SUMIF(Transactions!$F$8:$F$3006,B1131,Transactions!$R$8:$R$3006),"OWES","OVERPAID"))))</f>
        <v/>
      </c>
      <c r="I1131" s="1"/>
    </row>
    <row r="1132" spans="1:9" ht="18" customHeight="1" x14ac:dyDescent="0.25">
      <c r="A1132" s="40">
        <v>1117</v>
      </c>
      <c r="B1132" s="41" t="str">
        <f t="array" ref="B1132">IFERROR(IF(INDEX(Transactions!$F$8:$F$3006,MATCH(0,COUNTIF($B$11:B1131,Transactions!$F$8:$F$3006),0))="","",INDEX(Transactions!$F$8:$F$3006,MATCH(0,COUNTIF($B$11:B1131,Transactions!$F$8:$F$3006),0))),"")</f>
        <v/>
      </c>
      <c r="C1132" s="42" t="str">
        <f>IF(B1132="","",SUMIF(Transactions!$F$8:$F$3006,B1132,Transactions!$H$8:$H$3006))</f>
        <v/>
      </c>
      <c r="D1132" s="43" t="str">
        <f>IF(B1132="","",SUMIF(Transactions!$F$8:$F$3006,B1132,Transactions!$N$8:$N$3006))</f>
        <v/>
      </c>
      <c r="E1132" s="44" t="str">
        <f>IF(B1132="","",SUMIF(Transactions!$F$8:$F$3006,B1132,Transactions!$O$8:$O$3006))</f>
        <v/>
      </c>
      <c r="F1132" s="45" t="str">
        <f>IF(B1132="","",SUMIF(Transactions!$F$8:$F$3006,B1132,Transactions!$R$8:$R$3006))</f>
        <v/>
      </c>
      <c r="G1132" s="46" t="str">
        <f>IF(B1132="","",(C1132+F1132)-(D1132+E1132+SUMIF(Transactions!$F$8:$F$3006,B1132,Transactions!$Q$8:$Q$3006)))</f>
        <v/>
      </c>
      <c r="H1132" s="47" t="str">
        <f>IF(B1132="","",IF(G1132&gt;0,"OUTSTANDING",IF(G1132=0,"SETTLED",IF(SUMIF(Transactions!$F$8:$F$3006,B1132,Transactions!$Q$8:$Q$3006)&gt;SUMIF(Transactions!$F$8:$F$3006,B1132,Transactions!$R$8:$R$3006),"OWES","OVERPAID"))))</f>
        <v/>
      </c>
      <c r="I1132" s="1"/>
    </row>
    <row r="1133" spans="1:9" ht="18" customHeight="1" x14ac:dyDescent="0.25">
      <c r="A1133" s="48">
        <v>1118</v>
      </c>
      <c r="B1133" s="49" t="str">
        <f t="array" ref="B1133">IFERROR(IF(INDEX(Transactions!$F$8:$F$3006,MATCH(0,COUNTIF($B$11:B1132,Transactions!$F$8:$F$3006),0))="","",INDEX(Transactions!$F$8:$F$3006,MATCH(0,COUNTIF($B$11:B1132,Transactions!$F$8:$F$3006),0))),"")</f>
        <v/>
      </c>
      <c r="C1133" s="50" t="str">
        <f>IF(B1133="","",SUMIF(Transactions!$F$8:$F$3006,B1133,Transactions!$H$8:$H$3006))</f>
        <v/>
      </c>
      <c r="D1133" s="51" t="str">
        <f>IF(B1133="","",SUMIF(Transactions!$F$8:$F$3006,B1133,Transactions!$N$8:$N$3006))</f>
        <v/>
      </c>
      <c r="E1133" s="52" t="str">
        <f>IF(B1133="","",SUMIF(Transactions!$F$8:$F$3006,B1133,Transactions!$O$8:$O$3006))</f>
        <v/>
      </c>
      <c r="F1133" s="53" t="str">
        <f>IF(B1133="","",SUMIF(Transactions!$F$8:$F$3006,B1133,Transactions!$R$8:$R$3006))</f>
        <v/>
      </c>
      <c r="G1133" s="54" t="str">
        <f>IF(B1133="","",(C1133+F1133)-(D1133+E1133+SUMIF(Transactions!$F$8:$F$3006,B1133,Transactions!$Q$8:$Q$3006)))</f>
        <v/>
      </c>
      <c r="H1133" s="55" t="str">
        <f>IF(B1133="","",IF(G1133&gt;0,"OUTSTANDING",IF(G1133=0,"SETTLED",IF(SUMIF(Transactions!$F$8:$F$3006,B1133,Transactions!$Q$8:$Q$3006)&gt;SUMIF(Transactions!$F$8:$F$3006,B1133,Transactions!$R$8:$R$3006),"OWES","OVERPAID"))))</f>
        <v/>
      </c>
      <c r="I1133" s="1"/>
    </row>
    <row r="1134" spans="1:9" ht="18" customHeight="1" x14ac:dyDescent="0.25">
      <c r="A1134" s="40">
        <v>1119</v>
      </c>
      <c r="B1134" s="41" t="str">
        <f t="array" ref="B1134">IFERROR(IF(INDEX(Transactions!$F$8:$F$3006,MATCH(0,COUNTIF($B$11:B1133,Transactions!$F$8:$F$3006),0))="","",INDEX(Transactions!$F$8:$F$3006,MATCH(0,COUNTIF($B$11:B1133,Transactions!$F$8:$F$3006),0))),"")</f>
        <v/>
      </c>
      <c r="C1134" s="42" t="str">
        <f>IF(B1134="","",SUMIF(Transactions!$F$8:$F$3006,B1134,Transactions!$H$8:$H$3006))</f>
        <v/>
      </c>
      <c r="D1134" s="43" t="str">
        <f>IF(B1134="","",SUMIF(Transactions!$F$8:$F$3006,B1134,Transactions!$N$8:$N$3006))</f>
        <v/>
      </c>
      <c r="E1134" s="44" t="str">
        <f>IF(B1134="","",SUMIF(Transactions!$F$8:$F$3006,B1134,Transactions!$O$8:$O$3006))</f>
        <v/>
      </c>
      <c r="F1134" s="45" t="str">
        <f>IF(B1134="","",SUMIF(Transactions!$F$8:$F$3006,B1134,Transactions!$R$8:$R$3006))</f>
        <v/>
      </c>
      <c r="G1134" s="46" t="str">
        <f>IF(B1134="","",(C1134+F1134)-(D1134+E1134+SUMIF(Transactions!$F$8:$F$3006,B1134,Transactions!$Q$8:$Q$3006)))</f>
        <v/>
      </c>
      <c r="H1134" s="47" t="str">
        <f>IF(B1134="","",IF(G1134&gt;0,"OUTSTANDING",IF(G1134=0,"SETTLED",IF(SUMIF(Transactions!$F$8:$F$3006,B1134,Transactions!$Q$8:$Q$3006)&gt;SUMIF(Transactions!$F$8:$F$3006,B1134,Transactions!$R$8:$R$3006),"OWES","OVERPAID"))))</f>
        <v/>
      </c>
      <c r="I1134" s="1"/>
    </row>
    <row r="1135" spans="1:9" ht="18" customHeight="1" x14ac:dyDescent="0.25">
      <c r="A1135" s="48">
        <v>1120</v>
      </c>
      <c r="B1135" s="49" t="str">
        <f t="array" ref="B1135">IFERROR(IF(INDEX(Transactions!$F$8:$F$3006,MATCH(0,COUNTIF($B$11:B1134,Transactions!$F$8:$F$3006),0))="","",INDEX(Transactions!$F$8:$F$3006,MATCH(0,COUNTIF($B$11:B1134,Transactions!$F$8:$F$3006),0))),"")</f>
        <v/>
      </c>
      <c r="C1135" s="50" t="str">
        <f>IF(B1135="","",SUMIF(Transactions!$F$8:$F$3006,B1135,Transactions!$H$8:$H$3006))</f>
        <v/>
      </c>
      <c r="D1135" s="51" t="str">
        <f>IF(B1135="","",SUMIF(Transactions!$F$8:$F$3006,B1135,Transactions!$N$8:$N$3006))</f>
        <v/>
      </c>
      <c r="E1135" s="52" t="str">
        <f>IF(B1135="","",SUMIF(Transactions!$F$8:$F$3006,B1135,Transactions!$O$8:$O$3006))</f>
        <v/>
      </c>
      <c r="F1135" s="53" t="str">
        <f>IF(B1135="","",SUMIF(Transactions!$F$8:$F$3006,B1135,Transactions!$R$8:$R$3006))</f>
        <v/>
      </c>
      <c r="G1135" s="54" t="str">
        <f>IF(B1135="","",(C1135+F1135)-(D1135+E1135+SUMIF(Transactions!$F$8:$F$3006,B1135,Transactions!$Q$8:$Q$3006)))</f>
        <v/>
      </c>
      <c r="H1135" s="55" t="str">
        <f>IF(B1135="","",IF(G1135&gt;0,"OUTSTANDING",IF(G1135=0,"SETTLED",IF(SUMIF(Transactions!$F$8:$F$3006,B1135,Transactions!$Q$8:$Q$3006)&gt;SUMIF(Transactions!$F$8:$F$3006,B1135,Transactions!$R$8:$R$3006),"OWES","OVERPAID"))))</f>
        <v/>
      </c>
      <c r="I1135" s="1"/>
    </row>
    <row r="1136" spans="1:9" ht="18" customHeight="1" x14ac:dyDescent="0.25">
      <c r="A1136" s="40">
        <v>1121</v>
      </c>
      <c r="B1136" s="41" t="str">
        <f t="array" ref="B1136">IFERROR(IF(INDEX(Transactions!$F$8:$F$3006,MATCH(0,COUNTIF($B$11:B1135,Transactions!$F$8:$F$3006),0))="","",INDEX(Transactions!$F$8:$F$3006,MATCH(0,COUNTIF($B$11:B1135,Transactions!$F$8:$F$3006),0))),"")</f>
        <v/>
      </c>
      <c r="C1136" s="42" t="str">
        <f>IF(B1136="","",SUMIF(Transactions!$F$8:$F$3006,B1136,Transactions!$H$8:$H$3006))</f>
        <v/>
      </c>
      <c r="D1136" s="43" t="str">
        <f>IF(B1136="","",SUMIF(Transactions!$F$8:$F$3006,B1136,Transactions!$N$8:$N$3006))</f>
        <v/>
      </c>
      <c r="E1136" s="44" t="str">
        <f>IF(B1136="","",SUMIF(Transactions!$F$8:$F$3006,B1136,Transactions!$O$8:$O$3006))</f>
        <v/>
      </c>
      <c r="F1136" s="45" t="str">
        <f>IF(B1136="","",SUMIF(Transactions!$F$8:$F$3006,B1136,Transactions!$R$8:$R$3006))</f>
        <v/>
      </c>
      <c r="G1136" s="46" t="str">
        <f>IF(B1136="","",(C1136+F1136)-(D1136+E1136+SUMIF(Transactions!$F$8:$F$3006,B1136,Transactions!$Q$8:$Q$3006)))</f>
        <v/>
      </c>
      <c r="H1136" s="47" t="str">
        <f>IF(B1136="","",IF(G1136&gt;0,"OUTSTANDING",IF(G1136=0,"SETTLED",IF(SUMIF(Transactions!$F$8:$F$3006,B1136,Transactions!$Q$8:$Q$3006)&gt;SUMIF(Transactions!$F$8:$F$3006,B1136,Transactions!$R$8:$R$3006),"OWES","OVERPAID"))))</f>
        <v/>
      </c>
      <c r="I1136" s="1"/>
    </row>
    <row r="1137" spans="1:9" ht="18" customHeight="1" x14ac:dyDescent="0.25">
      <c r="A1137" s="48">
        <v>1122</v>
      </c>
      <c r="B1137" s="49" t="str">
        <f t="array" ref="B1137">IFERROR(IF(INDEX(Transactions!$F$8:$F$3006,MATCH(0,COUNTIF($B$11:B1136,Transactions!$F$8:$F$3006),0))="","",INDEX(Transactions!$F$8:$F$3006,MATCH(0,COUNTIF($B$11:B1136,Transactions!$F$8:$F$3006),0))),"")</f>
        <v/>
      </c>
      <c r="C1137" s="50" t="str">
        <f>IF(B1137="","",SUMIF(Transactions!$F$8:$F$3006,B1137,Transactions!$H$8:$H$3006))</f>
        <v/>
      </c>
      <c r="D1137" s="51" t="str">
        <f>IF(B1137="","",SUMIF(Transactions!$F$8:$F$3006,B1137,Transactions!$N$8:$N$3006))</f>
        <v/>
      </c>
      <c r="E1137" s="52" t="str">
        <f>IF(B1137="","",SUMIF(Transactions!$F$8:$F$3006,B1137,Transactions!$O$8:$O$3006))</f>
        <v/>
      </c>
      <c r="F1137" s="53" t="str">
        <f>IF(B1137="","",SUMIF(Transactions!$F$8:$F$3006,B1137,Transactions!$R$8:$R$3006))</f>
        <v/>
      </c>
      <c r="G1137" s="54" t="str">
        <f>IF(B1137="","",(C1137+F1137)-(D1137+E1137+SUMIF(Transactions!$F$8:$F$3006,B1137,Transactions!$Q$8:$Q$3006)))</f>
        <v/>
      </c>
      <c r="H1137" s="55" t="str">
        <f>IF(B1137="","",IF(G1137&gt;0,"OUTSTANDING",IF(G1137=0,"SETTLED",IF(SUMIF(Transactions!$F$8:$F$3006,B1137,Transactions!$Q$8:$Q$3006)&gt;SUMIF(Transactions!$F$8:$F$3006,B1137,Transactions!$R$8:$R$3006),"OWES","OVERPAID"))))</f>
        <v/>
      </c>
      <c r="I1137" s="1"/>
    </row>
    <row r="1138" spans="1:9" ht="18" customHeight="1" x14ac:dyDescent="0.25">
      <c r="A1138" s="40">
        <v>1123</v>
      </c>
      <c r="B1138" s="41" t="str">
        <f t="array" ref="B1138">IFERROR(IF(INDEX(Transactions!$F$8:$F$3006,MATCH(0,COUNTIF($B$11:B1137,Transactions!$F$8:$F$3006),0))="","",INDEX(Transactions!$F$8:$F$3006,MATCH(0,COUNTIF($B$11:B1137,Transactions!$F$8:$F$3006),0))),"")</f>
        <v/>
      </c>
      <c r="C1138" s="42" t="str">
        <f>IF(B1138="","",SUMIF(Transactions!$F$8:$F$3006,B1138,Transactions!$H$8:$H$3006))</f>
        <v/>
      </c>
      <c r="D1138" s="43" t="str">
        <f>IF(B1138="","",SUMIF(Transactions!$F$8:$F$3006,B1138,Transactions!$N$8:$N$3006))</f>
        <v/>
      </c>
      <c r="E1138" s="44" t="str">
        <f>IF(B1138="","",SUMIF(Transactions!$F$8:$F$3006,B1138,Transactions!$O$8:$O$3006))</f>
        <v/>
      </c>
      <c r="F1138" s="45" t="str">
        <f>IF(B1138="","",SUMIF(Transactions!$F$8:$F$3006,B1138,Transactions!$R$8:$R$3006))</f>
        <v/>
      </c>
      <c r="G1138" s="46" t="str">
        <f>IF(B1138="","",(C1138+F1138)-(D1138+E1138+SUMIF(Transactions!$F$8:$F$3006,B1138,Transactions!$Q$8:$Q$3006)))</f>
        <v/>
      </c>
      <c r="H1138" s="47" t="str">
        <f>IF(B1138="","",IF(G1138&gt;0,"OUTSTANDING",IF(G1138=0,"SETTLED",IF(SUMIF(Transactions!$F$8:$F$3006,B1138,Transactions!$Q$8:$Q$3006)&gt;SUMIF(Transactions!$F$8:$F$3006,B1138,Transactions!$R$8:$R$3006),"OWES","OVERPAID"))))</f>
        <v/>
      </c>
      <c r="I1138" s="1"/>
    </row>
    <row r="1139" spans="1:9" ht="18" customHeight="1" x14ac:dyDescent="0.25">
      <c r="A1139" s="48">
        <v>1124</v>
      </c>
      <c r="B1139" s="49" t="str">
        <f t="array" ref="B1139">IFERROR(IF(INDEX(Transactions!$F$8:$F$3006,MATCH(0,COUNTIF($B$11:B1138,Transactions!$F$8:$F$3006),0))="","",INDEX(Transactions!$F$8:$F$3006,MATCH(0,COUNTIF($B$11:B1138,Transactions!$F$8:$F$3006),0))),"")</f>
        <v/>
      </c>
      <c r="C1139" s="50" t="str">
        <f>IF(B1139="","",SUMIF(Transactions!$F$8:$F$3006,B1139,Transactions!$H$8:$H$3006))</f>
        <v/>
      </c>
      <c r="D1139" s="51" t="str">
        <f>IF(B1139="","",SUMIF(Transactions!$F$8:$F$3006,B1139,Transactions!$N$8:$N$3006))</f>
        <v/>
      </c>
      <c r="E1139" s="52" t="str">
        <f>IF(B1139="","",SUMIF(Transactions!$F$8:$F$3006,B1139,Transactions!$O$8:$O$3006))</f>
        <v/>
      </c>
      <c r="F1139" s="53" t="str">
        <f>IF(B1139="","",SUMIF(Transactions!$F$8:$F$3006,B1139,Transactions!$R$8:$R$3006))</f>
        <v/>
      </c>
      <c r="G1139" s="54" t="str">
        <f>IF(B1139="","",(C1139+F1139)-(D1139+E1139+SUMIF(Transactions!$F$8:$F$3006,B1139,Transactions!$Q$8:$Q$3006)))</f>
        <v/>
      </c>
      <c r="H1139" s="55" t="str">
        <f>IF(B1139="","",IF(G1139&gt;0,"OUTSTANDING",IF(G1139=0,"SETTLED",IF(SUMIF(Transactions!$F$8:$F$3006,B1139,Transactions!$Q$8:$Q$3006)&gt;SUMIF(Transactions!$F$8:$F$3006,B1139,Transactions!$R$8:$R$3006),"OWES","OVERPAID"))))</f>
        <v/>
      </c>
      <c r="I1139" s="1"/>
    </row>
    <row r="1140" spans="1:9" ht="18" customHeight="1" x14ac:dyDescent="0.25">
      <c r="A1140" s="40">
        <v>1125</v>
      </c>
      <c r="B1140" s="41" t="str">
        <f t="array" ref="B1140">IFERROR(IF(INDEX(Transactions!$F$8:$F$3006,MATCH(0,COUNTIF($B$11:B1139,Transactions!$F$8:$F$3006),0))="","",INDEX(Transactions!$F$8:$F$3006,MATCH(0,COUNTIF($B$11:B1139,Transactions!$F$8:$F$3006),0))),"")</f>
        <v/>
      </c>
      <c r="C1140" s="42" t="str">
        <f>IF(B1140="","",SUMIF(Transactions!$F$8:$F$3006,B1140,Transactions!$H$8:$H$3006))</f>
        <v/>
      </c>
      <c r="D1140" s="43" t="str">
        <f>IF(B1140="","",SUMIF(Transactions!$F$8:$F$3006,B1140,Transactions!$N$8:$N$3006))</f>
        <v/>
      </c>
      <c r="E1140" s="44" t="str">
        <f>IF(B1140="","",SUMIF(Transactions!$F$8:$F$3006,B1140,Transactions!$O$8:$O$3006))</f>
        <v/>
      </c>
      <c r="F1140" s="45" t="str">
        <f>IF(B1140="","",SUMIF(Transactions!$F$8:$F$3006,B1140,Transactions!$R$8:$R$3006))</f>
        <v/>
      </c>
      <c r="G1140" s="46" t="str">
        <f>IF(B1140="","",(C1140+F1140)-(D1140+E1140+SUMIF(Transactions!$F$8:$F$3006,B1140,Transactions!$Q$8:$Q$3006)))</f>
        <v/>
      </c>
      <c r="H1140" s="47" t="str">
        <f>IF(B1140="","",IF(G1140&gt;0,"OUTSTANDING",IF(G1140=0,"SETTLED",IF(SUMIF(Transactions!$F$8:$F$3006,B1140,Transactions!$Q$8:$Q$3006)&gt;SUMIF(Transactions!$F$8:$F$3006,B1140,Transactions!$R$8:$R$3006),"OWES","OVERPAID"))))</f>
        <v/>
      </c>
      <c r="I1140" s="1"/>
    </row>
    <row r="1141" spans="1:9" ht="18" customHeight="1" x14ac:dyDescent="0.25">
      <c r="A1141" s="48">
        <v>1126</v>
      </c>
      <c r="B1141" s="49" t="str">
        <f t="array" ref="B1141">IFERROR(IF(INDEX(Transactions!$F$8:$F$3006,MATCH(0,COUNTIF($B$11:B1140,Transactions!$F$8:$F$3006),0))="","",INDEX(Transactions!$F$8:$F$3006,MATCH(0,COUNTIF($B$11:B1140,Transactions!$F$8:$F$3006),0))),"")</f>
        <v/>
      </c>
      <c r="C1141" s="50" t="str">
        <f>IF(B1141="","",SUMIF(Transactions!$F$8:$F$3006,B1141,Transactions!$H$8:$H$3006))</f>
        <v/>
      </c>
      <c r="D1141" s="51" t="str">
        <f>IF(B1141="","",SUMIF(Transactions!$F$8:$F$3006,B1141,Transactions!$N$8:$N$3006))</f>
        <v/>
      </c>
      <c r="E1141" s="52" t="str">
        <f>IF(B1141="","",SUMIF(Transactions!$F$8:$F$3006,B1141,Transactions!$O$8:$O$3006))</f>
        <v/>
      </c>
      <c r="F1141" s="53" t="str">
        <f>IF(B1141="","",SUMIF(Transactions!$F$8:$F$3006,B1141,Transactions!$R$8:$R$3006))</f>
        <v/>
      </c>
      <c r="G1141" s="54" t="str">
        <f>IF(B1141="","",(C1141+F1141)-(D1141+E1141+SUMIF(Transactions!$F$8:$F$3006,B1141,Transactions!$Q$8:$Q$3006)))</f>
        <v/>
      </c>
      <c r="H1141" s="55" t="str">
        <f>IF(B1141="","",IF(G1141&gt;0,"OUTSTANDING",IF(G1141=0,"SETTLED",IF(SUMIF(Transactions!$F$8:$F$3006,B1141,Transactions!$Q$8:$Q$3006)&gt;SUMIF(Transactions!$F$8:$F$3006,B1141,Transactions!$R$8:$R$3006),"OWES","OVERPAID"))))</f>
        <v/>
      </c>
      <c r="I1141" s="1"/>
    </row>
    <row r="1142" spans="1:9" ht="18" customHeight="1" x14ac:dyDescent="0.25">
      <c r="A1142" s="40">
        <v>1127</v>
      </c>
      <c r="B1142" s="41" t="str">
        <f t="array" ref="B1142">IFERROR(IF(INDEX(Transactions!$F$8:$F$3006,MATCH(0,COUNTIF($B$11:B1141,Transactions!$F$8:$F$3006),0))="","",INDEX(Transactions!$F$8:$F$3006,MATCH(0,COUNTIF($B$11:B1141,Transactions!$F$8:$F$3006),0))),"")</f>
        <v/>
      </c>
      <c r="C1142" s="42" t="str">
        <f>IF(B1142="","",SUMIF(Transactions!$F$8:$F$3006,B1142,Transactions!$H$8:$H$3006))</f>
        <v/>
      </c>
      <c r="D1142" s="43" t="str">
        <f>IF(B1142="","",SUMIF(Transactions!$F$8:$F$3006,B1142,Transactions!$N$8:$N$3006))</f>
        <v/>
      </c>
      <c r="E1142" s="44" t="str">
        <f>IF(B1142="","",SUMIF(Transactions!$F$8:$F$3006,B1142,Transactions!$O$8:$O$3006))</f>
        <v/>
      </c>
      <c r="F1142" s="45" t="str">
        <f>IF(B1142="","",SUMIF(Transactions!$F$8:$F$3006,B1142,Transactions!$R$8:$R$3006))</f>
        <v/>
      </c>
      <c r="G1142" s="46" t="str">
        <f>IF(B1142="","",(C1142+F1142)-(D1142+E1142+SUMIF(Transactions!$F$8:$F$3006,B1142,Transactions!$Q$8:$Q$3006)))</f>
        <v/>
      </c>
      <c r="H1142" s="47" t="str">
        <f>IF(B1142="","",IF(G1142&gt;0,"OUTSTANDING",IF(G1142=0,"SETTLED",IF(SUMIF(Transactions!$F$8:$F$3006,B1142,Transactions!$Q$8:$Q$3006)&gt;SUMIF(Transactions!$F$8:$F$3006,B1142,Transactions!$R$8:$R$3006),"OWES","OVERPAID"))))</f>
        <v/>
      </c>
      <c r="I1142" s="1"/>
    </row>
    <row r="1143" spans="1:9" ht="18" customHeight="1" x14ac:dyDescent="0.25">
      <c r="A1143" s="48">
        <v>1128</v>
      </c>
      <c r="B1143" s="49" t="str">
        <f t="array" ref="B1143">IFERROR(IF(INDEX(Transactions!$F$8:$F$3006,MATCH(0,COUNTIF($B$11:B1142,Transactions!$F$8:$F$3006),0))="","",INDEX(Transactions!$F$8:$F$3006,MATCH(0,COUNTIF($B$11:B1142,Transactions!$F$8:$F$3006),0))),"")</f>
        <v/>
      </c>
      <c r="C1143" s="50" t="str">
        <f>IF(B1143="","",SUMIF(Transactions!$F$8:$F$3006,B1143,Transactions!$H$8:$H$3006))</f>
        <v/>
      </c>
      <c r="D1143" s="51" t="str">
        <f>IF(B1143="","",SUMIF(Transactions!$F$8:$F$3006,B1143,Transactions!$N$8:$N$3006))</f>
        <v/>
      </c>
      <c r="E1143" s="52" t="str">
        <f>IF(B1143="","",SUMIF(Transactions!$F$8:$F$3006,B1143,Transactions!$O$8:$O$3006))</f>
        <v/>
      </c>
      <c r="F1143" s="53" t="str">
        <f>IF(B1143="","",SUMIF(Transactions!$F$8:$F$3006,B1143,Transactions!$R$8:$R$3006))</f>
        <v/>
      </c>
      <c r="G1143" s="54" t="str">
        <f>IF(B1143="","",(C1143+F1143)-(D1143+E1143+SUMIF(Transactions!$F$8:$F$3006,B1143,Transactions!$Q$8:$Q$3006)))</f>
        <v/>
      </c>
      <c r="H1143" s="55" t="str">
        <f>IF(B1143="","",IF(G1143&gt;0,"OUTSTANDING",IF(G1143=0,"SETTLED",IF(SUMIF(Transactions!$F$8:$F$3006,B1143,Transactions!$Q$8:$Q$3006)&gt;SUMIF(Transactions!$F$8:$F$3006,B1143,Transactions!$R$8:$R$3006),"OWES","OVERPAID"))))</f>
        <v/>
      </c>
      <c r="I1143" s="1"/>
    </row>
    <row r="1144" spans="1:9" ht="18" customHeight="1" x14ac:dyDescent="0.25">
      <c r="A1144" s="40">
        <v>1129</v>
      </c>
      <c r="B1144" s="41" t="str">
        <f t="array" ref="B1144">IFERROR(IF(INDEX(Transactions!$F$8:$F$3006,MATCH(0,COUNTIF($B$11:B1143,Transactions!$F$8:$F$3006),0))="","",INDEX(Transactions!$F$8:$F$3006,MATCH(0,COUNTIF($B$11:B1143,Transactions!$F$8:$F$3006),0))),"")</f>
        <v/>
      </c>
      <c r="C1144" s="42" t="str">
        <f>IF(B1144="","",SUMIF(Transactions!$F$8:$F$3006,B1144,Transactions!$H$8:$H$3006))</f>
        <v/>
      </c>
      <c r="D1144" s="43" t="str">
        <f>IF(B1144="","",SUMIF(Transactions!$F$8:$F$3006,B1144,Transactions!$N$8:$N$3006))</f>
        <v/>
      </c>
      <c r="E1144" s="44" t="str">
        <f>IF(B1144="","",SUMIF(Transactions!$F$8:$F$3006,B1144,Transactions!$O$8:$O$3006))</f>
        <v/>
      </c>
      <c r="F1144" s="45" t="str">
        <f>IF(B1144="","",SUMIF(Transactions!$F$8:$F$3006,B1144,Transactions!$R$8:$R$3006))</f>
        <v/>
      </c>
      <c r="G1144" s="46" t="str">
        <f>IF(B1144="","",(C1144+F1144)-(D1144+E1144+SUMIF(Transactions!$F$8:$F$3006,B1144,Transactions!$Q$8:$Q$3006)))</f>
        <v/>
      </c>
      <c r="H1144" s="47" t="str">
        <f>IF(B1144="","",IF(G1144&gt;0,"OUTSTANDING",IF(G1144=0,"SETTLED",IF(SUMIF(Transactions!$F$8:$F$3006,B1144,Transactions!$Q$8:$Q$3006)&gt;SUMIF(Transactions!$F$8:$F$3006,B1144,Transactions!$R$8:$R$3006),"OWES","OVERPAID"))))</f>
        <v/>
      </c>
      <c r="I1144" s="1"/>
    </row>
    <row r="1145" spans="1:9" ht="18" customHeight="1" x14ac:dyDescent="0.25">
      <c r="A1145" s="48">
        <v>1130</v>
      </c>
      <c r="B1145" s="49" t="str">
        <f t="array" ref="B1145">IFERROR(IF(INDEX(Transactions!$F$8:$F$3006,MATCH(0,COUNTIF($B$11:B1144,Transactions!$F$8:$F$3006),0))="","",INDEX(Transactions!$F$8:$F$3006,MATCH(0,COUNTIF($B$11:B1144,Transactions!$F$8:$F$3006),0))),"")</f>
        <v/>
      </c>
      <c r="C1145" s="50" t="str">
        <f>IF(B1145="","",SUMIF(Transactions!$F$8:$F$3006,B1145,Transactions!$H$8:$H$3006))</f>
        <v/>
      </c>
      <c r="D1145" s="51" t="str">
        <f>IF(B1145="","",SUMIF(Transactions!$F$8:$F$3006,B1145,Transactions!$N$8:$N$3006))</f>
        <v/>
      </c>
      <c r="E1145" s="52" t="str">
        <f>IF(B1145="","",SUMIF(Transactions!$F$8:$F$3006,B1145,Transactions!$O$8:$O$3006))</f>
        <v/>
      </c>
      <c r="F1145" s="53" t="str">
        <f>IF(B1145="","",SUMIF(Transactions!$F$8:$F$3006,B1145,Transactions!$R$8:$R$3006))</f>
        <v/>
      </c>
      <c r="G1145" s="54" t="str">
        <f>IF(B1145="","",(C1145+F1145)-(D1145+E1145+SUMIF(Transactions!$F$8:$F$3006,B1145,Transactions!$Q$8:$Q$3006)))</f>
        <v/>
      </c>
      <c r="H1145" s="55" t="str">
        <f>IF(B1145="","",IF(G1145&gt;0,"OUTSTANDING",IF(G1145=0,"SETTLED",IF(SUMIF(Transactions!$F$8:$F$3006,B1145,Transactions!$Q$8:$Q$3006)&gt;SUMIF(Transactions!$F$8:$F$3006,B1145,Transactions!$R$8:$R$3006),"OWES","OVERPAID"))))</f>
        <v/>
      </c>
      <c r="I1145" s="1"/>
    </row>
    <row r="1146" spans="1:9" ht="18" customHeight="1" x14ac:dyDescent="0.25">
      <c r="A1146" s="40">
        <v>1131</v>
      </c>
      <c r="B1146" s="41" t="str">
        <f t="array" ref="B1146">IFERROR(IF(INDEX(Transactions!$F$8:$F$3006,MATCH(0,COUNTIF($B$11:B1145,Transactions!$F$8:$F$3006),0))="","",INDEX(Transactions!$F$8:$F$3006,MATCH(0,COUNTIF($B$11:B1145,Transactions!$F$8:$F$3006),0))),"")</f>
        <v/>
      </c>
      <c r="C1146" s="42" t="str">
        <f>IF(B1146="","",SUMIF(Transactions!$F$8:$F$3006,B1146,Transactions!$H$8:$H$3006))</f>
        <v/>
      </c>
      <c r="D1146" s="43" t="str">
        <f>IF(B1146="","",SUMIF(Transactions!$F$8:$F$3006,B1146,Transactions!$N$8:$N$3006))</f>
        <v/>
      </c>
      <c r="E1146" s="44" t="str">
        <f>IF(B1146="","",SUMIF(Transactions!$F$8:$F$3006,B1146,Transactions!$O$8:$O$3006))</f>
        <v/>
      </c>
      <c r="F1146" s="45" t="str">
        <f>IF(B1146="","",SUMIF(Transactions!$F$8:$F$3006,B1146,Transactions!$R$8:$R$3006))</f>
        <v/>
      </c>
      <c r="G1146" s="46" t="str">
        <f>IF(B1146="","",(C1146+F1146)-(D1146+E1146+SUMIF(Transactions!$F$8:$F$3006,B1146,Transactions!$Q$8:$Q$3006)))</f>
        <v/>
      </c>
      <c r="H1146" s="47" t="str">
        <f>IF(B1146="","",IF(G1146&gt;0,"OUTSTANDING",IF(G1146=0,"SETTLED",IF(SUMIF(Transactions!$F$8:$F$3006,B1146,Transactions!$Q$8:$Q$3006)&gt;SUMIF(Transactions!$F$8:$F$3006,B1146,Transactions!$R$8:$R$3006),"OWES","OVERPAID"))))</f>
        <v/>
      </c>
      <c r="I1146" s="1"/>
    </row>
    <row r="1147" spans="1:9" ht="18" customHeight="1" x14ac:dyDescent="0.25">
      <c r="A1147" s="48">
        <v>1132</v>
      </c>
      <c r="B1147" s="49" t="str">
        <f t="array" ref="B1147">IFERROR(IF(INDEX(Transactions!$F$8:$F$3006,MATCH(0,COUNTIF($B$11:B1146,Transactions!$F$8:$F$3006),0))="","",INDEX(Transactions!$F$8:$F$3006,MATCH(0,COUNTIF($B$11:B1146,Transactions!$F$8:$F$3006),0))),"")</f>
        <v/>
      </c>
      <c r="C1147" s="50" t="str">
        <f>IF(B1147="","",SUMIF(Transactions!$F$8:$F$3006,B1147,Transactions!$H$8:$H$3006))</f>
        <v/>
      </c>
      <c r="D1147" s="51" t="str">
        <f>IF(B1147="","",SUMIF(Transactions!$F$8:$F$3006,B1147,Transactions!$N$8:$N$3006))</f>
        <v/>
      </c>
      <c r="E1147" s="52" t="str">
        <f>IF(B1147="","",SUMIF(Transactions!$F$8:$F$3006,B1147,Transactions!$O$8:$O$3006))</f>
        <v/>
      </c>
      <c r="F1147" s="53" t="str">
        <f>IF(B1147="","",SUMIF(Transactions!$F$8:$F$3006,B1147,Transactions!$R$8:$R$3006))</f>
        <v/>
      </c>
      <c r="G1147" s="54" t="str">
        <f>IF(B1147="","",(C1147+F1147)-(D1147+E1147+SUMIF(Transactions!$F$8:$F$3006,B1147,Transactions!$Q$8:$Q$3006)))</f>
        <v/>
      </c>
      <c r="H1147" s="55" t="str">
        <f>IF(B1147="","",IF(G1147&gt;0,"OUTSTANDING",IF(G1147=0,"SETTLED",IF(SUMIF(Transactions!$F$8:$F$3006,B1147,Transactions!$Q$8:$Q$3006)&gt;SUMIF(Transactions!$F$8:$F$3006,B1147,Transactions!$R$8:$R$3006),"OWES","OVERPAID"))))</f>
        <v/>
      </c>
      <c r="I1147" s="1"/>
    </row>
    <row r="1148" spans="1:9" ht="18" customHeight="1" x14ac:dyDescent="0.25">
      <c r="A1148" s="40">
        <v>1133</v>
      </c>
      <c r="B1148" s="41" t="str">
        <f t="array" ref="B1148">IFERROR(IF(INDEX(Transactions!$F$8:$F$3006,MATCH(0,COUNTIF($B$11:B1147,Transactions!$F$8:$F$3006),0))="","",INDEX(Transactions!$F$8:$F$3006,MATCH(0,COUNTIF($B$11:B1147,Transactions!$F$8:$F$3006),0))),"")</f>
        <v/>
      </c>
      <c r="C1148" s="42" t="str">
        <f>IF(B1148="","",SUMIF(Transactions!$F$8:$F$3006,B1148,Transactions!$H$8:$H$3006))</f>
        <v/>
      </c>
      <c r="D1148" s="43" t="str">
        <f>IF(B1148="","",SUMIF(Transactions!$F$8:$F$3006,B1148,Transactions!$N$8:$N$3006))</f>
        <v/>
      </c>
      <c r="E1148" s="44" t="str">
        <f>IF(B1148="","",SUMIF(Transactions!$F$8:$F$3006,B1148,Transactions!$O$8:$O$3006))</f>
        <v/>
      </c>
      <c r="F1148" s="45" t="str">
        <f>IF(B1148="","",SUMIF(Transactions!$F$8:$F$3006,B1148,Transactions!$R$8:$R$3006))</f>
        <v/>
      </c>
      <c r="G1148" s="46" t="str">
        <f>IF(B1148="","",(C1148+F1148)-(D1148+E1148+SUMIF(Transactions!$F$8:$F$3006,B1148,Transactions!$Q$8:$Q$3006)))</f>
        <v/>
      </c>
      <c r="H1148" s="47" t="str">
        <f>IF(B1148="","",IF(G1148&gt;0,"OUTSTANDING",IF(G1148=0,"SETTLED",IF(SUMIF(Transactions!$F$8:$F$3006,B1148,Transactions!$Q$8:$Q$3006)&gt;SUMIF(Transactions!$F$8:$F$3006,B1148,Transactions!$R$8:$R$3006),"OWES","OVERPAID"))))</f>
        <v/>
      </c>
      <c r="I1148" s="1"/>
    </row>
    <row r="1149" spans="1:9" ht="18" customHeight="1" x14ac:dyDescent="0.25">
      <c r="A1149" s="48">
        <v>1134</v>
      </c>
      <c r="B1149" s="49" t="str">
        <f t="array" ref="B1149">IFERROR(IF(INDEX(Transactions!$F$8:$F$3006,MATCH(0,COUNTIF($B$11:B1148,Transactions!$F$8:$F$3006),0))="","",INDEX(Transactions!$F$8:$F$3006,MATCH(0,COUNTIF($B$11:B1148,Transactions!$F$8:$F$3006),0))),"")</f>
        <v/>
      </c>
      <c r="C1149" s="50" t="str">
        <f>IF(B1149="","",SUMIF(Transactions!$F$8:$F$3006,B1149,Transactions!$H$8:$H$3006))</f>
        <v/>
      </c>
      <c r="D1149" s="51" t="str">
        <f>IF(B1149="","",SUMIF(Transactions!$F$8:$F$3006,B1149,Transactions!$N$8:$N$3006))</f>
        <v/>
      </c>
      <c r="E1149" s="52" t="str">
        <f>IF(B1149="","",SUMIF(Transactions!$F$8:$F$3006,B1149,Transactions!$O$8:$O$3006))</f>
        <v/>
      </c>
      <c r="F1149" s="53" t="str">
        <f>IF(B1149="","",SUMIF(Transactions!$F$8:$F$3006,B1149,Transactions!$R$8:$R$3006))</f>
        <v/>
      </c>
      <c r="G1149" s="54" t="str">
        <f>IF(B1149="","",(C1149+F1149)-(D1149+E1149+SUMIF(Transactions!$F$8:$F$3006,B1149,Transactions!$Q$8:$Q$3006)))</f>
        <v/>
      </c>
      <c r="H1149" s="55" t="str">
        <f>IF(B1149="","",IF(G1149&gt;0,"OUTSTANDING",IF(G1149=0,"SETTLED",IF(SUMIF(Transactions!$F$8:$F$3006,B1149,Transactions!$Q$8:$Q$3006)&gt;SUMIF(Transactions!$F$8:$F$3006,B1149,Transactions!$R$8:$R$3006),"OWES","OVERPAID"))))</f>
        <v/>
      </c>
      <c r="I1149" s="1"/>
    </row>
    <row r="1150" spans="1:9" ht="18" customHeight="1" x14ac:dyDescent="0.25">
      <c r="A1150" s="40">
        <v>1135</v>
      </c>
      <c r="B1150" s="41" t="str">
        <f t="array" ref="B1150">IFERROR(IF(INDEX(Transactions!$F$8:$F$3006,MATCH(0,COUNTIF($B$11:B1149,Transactions!$F$8:$F$3006),0))="","",INDEX(Transactions!$F$8:$F$3006,MATCH(0,COUNTIF($B$11:B1149,Transactions!$F$8:$F$3006),0))),"")</f>
        <v/>
      </c>
      <c r="C1150" s="42" t="str">
        <f>IF(B1150="","",SUMIF(Transactions!$F$8:$F$3006,B1150,Transactions!$H$8:$H$3006))</f>
        <v/>
      </c>
      <c r="D1150" s="43" t="str">
        <f>IF(B1150="","",SUMIF(Transactions!$F$8:$F$3006,B1150,Transactions!$N$8:$N$3006))</f>
        <v/>
      </c>
      <c r="E1150" s="44" t="str">
        <f>IF(B1150="","",SUMIF(Transactions!$F$8:$F$3006,B1150,Transactions!$O$8:$O$3006))</f>
        <v/>
      </c>
      <c r="F1150" s="45" t="str">
        <f>IF(B1150="","",SUMIF(Transactions!$F$8:$F$3006,B1150,Transactions!$R$8:$R$3006))</f>
        <v/>
      </c>
      <c r="G1150" s="46" t="str">
        <f>IF(B1150="","",(C1150+F1150)-(D1150+E1150+SUMIF(Transactions!$F$8:$F$3006,B1150,Transactions!$Q$8:$Q$3006)))</f>
        <v/>
      </c>
      <c r="H1150" s="47" t="str">
        <f>IF(B1150="","",IF(G1150&gt;0,"OUTSTANDING",IF(G1150=0,"SETTLED",IF(SUMIF(Transactions!$F$8:$F$3006,B1150,Transactions!$Q$8:$Q$3006)&gt;SUMIF(Transactions!$F$8:$F$3006,B1150,Transactions!$R$8:$R$3006),"OWES","OVERPAID"))))</f>
        <v/>
      </c>
      <c r="I1150" s="1"/>
    </row>
    <row r="1151" spans="1:9" ht="18" customHeight="1" x14ac:dyDescent="0.25">
      <c r="A1151" s="48">
        <v>1136</v>
      </c>
      <c r="B1151" s="49" t="str">
        <f t="array" ref="B1151">IFERROR(IF(INDEX(Transactions!$F$8:$F$3006,MATCH(0,COUNTIF($B$11:B1150,Transactions!$F$8:$F$3006),0))="","",INDEX(Transactions!$F$8:$F$3006,MATCH(0,COUNTIF($B$11:B1150,Transactions!$F$8:$F$3006),0))),"")</f>
        <v/>
      </c>
      <c r="C1151" s="50" t="str">
        <f>IF(B1151="","",SUMIF(Transactions!$F$8:$F$3006,B1151,Transactions!$H$8:$H$3006))</f>
        <v/>
      </c>
      <c r="D1151" s="51" t="str">
        <f>IF(B1151="","",SUMIF(Transactions!$F$8:$F$3006,B1151,Transactions!$N$8:$N$3006))</f>
        <v/>
      </c>
      <c r="E1151" s="52" t="str">
        <f>IF(B1151="","",SUMIF(Transactions!$F$8:$F$3006,B1151,Transactions!$O$8:$O$3006))</f>
        <v/>
      </c>
      <c r="F1151" s="53" t="str">
        <f>IF(B1151="","",SUMIF(Transactions!$F$8:$F$3006,B1151,Transactions!$R$8:$R$3006))</f>
        <v/>
      </c>
      <c r="G1151" s="54" t="str">
        <f>IF(B1151="","",(C1151+F1151)-(D1151+E1151+SUMIF(Transactions!$F$8:$F$3006,B1151,Transactions!$Q$8:$Q$3006)))</f>
        <v/>
      </c>
      <c r="H1151" s="55" t="str">
        <f>IF(B1151="","",IF(G1151&gt;0,"OUTSTANDING",IF(G1151=0,"SETTLED",IF(SUMIF(Transactions!$F$8:$F$3006,B1151,Transactions!$Q$8:$Q$3006)&gt;SUMIF(Transactions!$F$8:$F$3006,B1151,Transactions!$R$8:$R$3006),"OWES","OVERPAID"))))</f>
        <v/>
      </c>
      <c r="I1151" s="1"/>
    </row>
    <row r="1152" spans="1:9" ht="18" customHeight="1" x14ac:dyDescent="0.25">
      <c r="A1152" s="40">
        <v>1137</v>
      </c>
      <c r="B1152" s="41" t="str">
        <f t="array" ref="B1152">IFERROR(IF(INDEX(Transactions!$F$8:$F$3006,MATCH(0,COUNTIF($B$11:B1151,Transactions!$F$8:$F$3006),0))="","",INDEX(Transactions!$F$8:$F$3006,MATCH(0,COUNTIF($B$11:B1151,Transactions!$F$8:$F$3006),0))),"")</f>
        <v/>
      </c>
      <c r="C1152" s="42" t="str">
        <f>IF(B1152="","",SUMIF(Transactions!$F$8:$F$3006,B1152,Transactions!$H$8:$H$3006))</f>
        <v/>
      </c>
      <c r="D1152" s="43" t="str">
        <f>IF(B1152="","",SUMIF(Transactions!$F$8:$F$3006,B1152,Transactions!$N$8:$N$3006))</f>
        <v/>
      </c>
      <c r="E1152" s="44" t="str">
        <f>IF(B1152="","",SUMIF(Transactions!$F$8:$F$3006,B1152,Transactions!$O$8:$O$3006))</f>
        <v/>
      </c>
      <c r="F1152" s="45" t="str">
        <f>IF(B1152="","",SUMIF(Transactions!$F$8:$F$3006,B1152,Transactions!$R$8:$R$3006))</f>
        <v/>
      </c>
      <c r="G1152" s="46" t="str">
        <f>IF(B1152="","",(C1152+F1152)-(D1152+E1152+SUMIF(Transactions!$F$8:$F$3006,B1152,Transactions!$Q$8:$Q$3006)))</f>
        <v/>
      </c>
      <c r="H1152" s="47" t="str">
        <f>IF(B1152="","",IF(G1152&gt;0,"OUTSTANDING",IF(G1152=0,"SETTLED",IF(SUMIF(Transactions!$F$8:$F$3006,B1152,Transactions!$Q$8:$Q$3006)&gt;SUMIF(Transactions!$F$8:$F$3006,B1152,Transactions!$R$8:$R$3006),"OWES","OVERPAID"))))</f>
        <v/>
      </c>
      <c r="I1152" s="1"/>
    </row>
    <row r="1153" spans="1:9" ht="18" customHeight="1" x14ac:dyDescent="0.25">
      <c r="A1153" s="48">
        <v>1138</v>
      </c>
      <c r="B1153" s="49" t="str">
        <f t="array" ref="B1153">IFERROR(IF(INDEX(Transactions!$F$8:$F$3006,MATCH(0,COUNTIF($B$11:B1152,Transactions!$F$8:$F$3006),0))="","",INDEX(Transactions!$F$8:$F$3006,MATCH(0,COUNTIF($B$11:B1152,Transactions!$F$8:$F$3006),0))),"")</f>
        <v/>
      </c>
      <c r="C1153" s="50" t="str">
        <f>IF(B1153="","",SUMIF(Transactions!$F$8:$F$3006,B1153,Transactions!$H$8:$H$3006))</f>
        <v/>
      </c>
      <c r="D1153" s="51" t="str">
        <f>IF(B1153="","",SUMIF(Transactions!$F$8:$F$3006,B1153,Transactions!$N$8:$N$3006))</f>
        <v/>
      </c>
      <c r="E1153" s="52" t="str">
        <f>IF(B1153="","",SUMIF(Transactions!$F$8:$F$3006,B1153,Transactions!$O$8:$O$3006))</f>
        <v/>
      </c>
      <c r="F1153" s="53" t="str">
        <f>IF(B1153="","",SUMIF(Transactions!$F$8:$F$3006,B1153,Transactions!$R$8:$R$3006))</f>
        <v/>
      </c>
      <c r="G1153" s="54" t="str">
        <f>IF(B1153="","",(C1153+F1153)-(D1153+E1153+SUMIF(Transactions!$F$8:$F$3006,B1153,Transactions!$Q$8:$Q$3006)))</f>
        <v/>
      </c>
      <c r="H1153" s="55" t="str">
        <f>IF(B1153="","",IF(G1153&gt;0,"OUTSTANDING",IF(G1153=0,"SETTLED",IF(SUMIF(Transactions!$F$8:$F$3006,B1153,Transactions!$Q$8:$Q$3006)&gt;SUMIF(Transactions!$F$8:$F$3006,B1153,Transactions!$R$8:$R$3006),"OWES","OVERPAID"))))</f>
        <v/>
      </c>
      <c r="I1153" s="1"/>
    </row>
    <row r="1154" spans="1:9" ht="18" customHeight="1" x14ac:dyDescent="0.25">
      <c r="A1154" s="40">
        <v>1139</v>
      </c>
      <c r="B1154" s="41" t="str">
        <f t="array" ref="B1154">IFERROR(IF(INDEX(Transactions!$F$8:$F$3006,MATCH(0,COUNTIF($B$11:B1153,Transactions!$F$8:$F$3006),0))="","",INDEX(Transactions!$F$8:$F$3006,MATCH(0,COUNTIF($B$11:B1153,Transactions!$F$8:$F$3006),0))),"")</f>
        <v/>
      </c>
      <c r="C1154" s="42" t="str">
        <f>IF(B1154="","",SUMIF(Transactions!$F$8:$F$3006,B1154,Transactions!$H$8:$H$3006))</f>
        <v/>
      </c>
      <c r="D1154" s="43" t="str">
        <f>IF(B1154="","",SUMIF(Transactions!$F$8:$F$3006,B1154,Transactions!$N$8:$N$3006))</f>
        <v/>
      </c>
      <c r="E1154" s="44" t="str">
        <f>IF(B1154="","",SUMIF(Transactions!$F$8:$F$3006,B1154,Transactions!$O$8:$O$3006))</f>
        <v/>
      </c>
      <c r="F1154" s="45" t="str">
        <f>IF(B1154="","",SUMIF(Transactions!$F$8:$F$3006,B1154,Transactions!$R$8:$R$3006))</f>
        <v/>
      </c>
      <c r="G1154" s="46" t="str">
        <f>IF(B1154="","",(C1154+F1154)-(D1154+E1154+SUMIF(Transactions!$F$8:$F$3006,B1154,Transactions!$Q$8:$Q$3006)))</f>
        <v/>
      </c>
      <c r="H1154" s="47" t="str">
        <f>IF(B1154="","",IF(G1154&gt;0,"OUTSTANDING",IF(G1154=0,"SETTLED",IF(SUMIF(Transactions!$F$8:$F$3006,B1154,Transactions!$Q$8:$Q$3006)&gt;SUMIF(Transactions!$F$8:$F$3006,B1154,Transactions!$R$8:$R$3006),"OWES","OVERPAID"))))</f>
        <v/>
      </c>
      <c r="I1154" s="1"/>
    </row>
    <row r="1155" spans="1:9" ht="18" customHeight="1" x14ac:dyDescent="0.25">
      <c r="A1155" s="48">
        <v>1140</v>
      </c>
      <c r="B1155" s="49" t="str">
        <f t="array" ref="B1155">IFERROR(IF(INDEX(Transactions!$F$8:$F$3006,MATCH(0,COUNTIF($B$11:B1154,Transactions!$F$8:$F$3006),0))="","",INDEX(Transactions!$F$8:$F$3006,MATCH(0,COUNTIF($B$11:B1154,Transactions!$F$8:$F$3006),0))),"")</f>
        <v/>
      </c>
      <c r="C1155" s="50" t="str">
        <f>IF(B1155="","",SUMIF(Transactions!$F$8:$F$3006,B1155,Transactions!$H$8:$H$3006))</f>
        <v/>
      </c>
      <c r="D1155" s="51" t="str">
        <f>IF(B1155="","",SUMIF(Transactions!$F$8:$F$3006,B1155,Transactions!$N$8:$N$3006))</f>
        <v/>
      </c>
      <c r="E1155" s="52" t="str">
        <f>IF(B1155="","",SUMIF(Transactions!$F$8:$F$3006,B1155,Transactions!$O$8:$O$3006))</f>
        <v/>
      </c>
      <c r="F1155" s="53" t="str">
        <f>IF(B1155="","",SUMIF(Transactions!$F$8:$F$3006,B1155,Transactions!$R$8:$R$3006))</f>
        <v/>
      </c>
      <c r="G1155" s="54" t="str">
        <f>IF(B1155="","",(C1155+F1155)-(D1155+E1155+SUMIF(Transactions!$F$8:$F$3006,B1155,Transactions!$Q$8:$Q$3006)))</f>
        <v/>
      </c>
      <c r="H1155" s="55" t="str">
        <f>IF(B1155="","",IF(G1155&gt;0,"OUTSTANDING",IF(G1155=0,"SETTLED",IF(SUMIF(Transactions!$F$8:$F$3006,B1155,Transactions!$Q$8:$Q$3006)&gt;SUMIF(Transactions!$F$8:$F$3006,B1155,Transactions!$R$8:$R$3006),"OWES","OVERPAID"))))</f>
        <v/>
      </c>
      <c r="I1155" s="1"/>
    </row>
    <row r="1156" spans="1:9" ht="18" customHeight="1" x14ac:dyDescent="0.25">
      <c r="A1156" s="40">
        <v>1141</v>
      </c>
      <c r="B1156" s="41" t="str">
        <f t="array" ref="B1156">IFERROR(IF(INDEX(Transactions!$F$8:$F$3006,MATCH(0,COUNTIF($B$11:B1155,Transactions!$F$8:$F$3006),0))="","",INDEX(Transactions!$F$8:$F$3006,MATCH(0,COUNTIF($B$11:B1155,Transactions!$F$8:$F$3006),0))),"")</f>
        <v/>
      </c>
      <c r="C1156" s="42" t="str">
        <f>IF(B1156="","",SUMIF(Transactions!$F$8:$F$3006,B1156,Transactions!$H$8:$H$3006))</f>
        <v/>
      </c>
      <c r="D1156" s="43" t="str">
        <f>IF(B1156="","",SUMIF(Transactions!$F$8:$F$3006,B1156,Transactions!$N$8:$N$3006))</f>
        <v/>
      </c>
      <c r="E1156" s="44" t="str">
        <f>IF(B1156="","",SUMIF(Transactions!$F$8:$F$3006,B1156,Transactions!$O$8:$O$3006))</f>
        <v/>
      </c>
      <c r="F1156" s="45" t="str">
        <f>IF(B1156="","",SUMIF(Transactions!$F$8:$F$3006,B1156,Transactions!$R$8:$R$3006))</f>
        <v/>
      </c>
      <c r="G1156" s="46" t="str">
        <f>IF(B1156="","",(C1156+F1156)-(D1156+E1156+SUMIF(Transactions!$F$8:$F$3006,B1156,Transactions!$Q$8:$Q$3006)))</f>
        <v/>
      </c>
      <c r="H1156" s="47" t="str">
        <f>IF(B1156="","",IF(G1156&gt;0,"OUTSTANDING",IF(G1156=0,"SETTLED",IF(SUMIF(Transactions!$F$8:$F$3006,B1156,Transactions!$Q$8:$Q$3006)&gt;SUMIF(Transactions!$F$8:$F$3006,B1156,Transactions!$R$8:$R$3006),"OWES","OVERPAID"))))</f>
        <v/>
      </c>
      <c r="I1156" s="1"/>
    </row>
    <row r="1157" spans="1:9" ht="18" customHeight="1" x14ac:dyDescent="0.25">
      <c r="A1157" s="48">
        <v>1142</v>
      </c>
      <c r="B1157" s="49" t="str">
        <f t="array" ref="B1157">IFERROR(IF(INDEX(Transactions!$F$8:$F$3006,MATCH(0,COUNTIF($B$11:B1156,Transactions!$F$8:$F$3006),0))="","",INDEX(Transactions!$F$8:$F$3006,MATCH(0,COUNTIF($B$11:B1156,Transactions!$F$8:$F$3006),0))),"")</f>
        <v/>
      </c>
      <c r="C1157" s="50" t="str">
        <f>IF(B1157="","",SUMIF(Transactions!$F$8:$F$3006,B1157,Transactions!$H$8:$H$3006))</f>
        <v/>
      </c>
      <c r="D1157" s="51" t="str">
        <f>IF(B1157="","",SUMIF(Transactions!$F$8:$F$3006,B1157,Transactions!$N$8:$N$3006))</f>
        <v/>
      </c>
      <c r="E1157" s="52" t="str">
        <f>IF(B1157="","",SUMIF(Transactions!$F$8:$F$3006,B1157,Transactions!$O$8:$O$3006))</f>
        <v/>
      </c>
      <c r="F1157" s="53" t="str">
        <f>IF(B1157="","",SUMIF(Transactions!$F$8:$F$3006,B1157,Transactions!$R$8:$R$3006))</f>
        <v/>
      </c>
      <c r="G1157" s="54" t="str">
        <f>IF(B1157="","",(C1157+F1157)-(D1157+E1157+SUMIF(Transactions!$F$8:$F$3006,B1157,Transactions!$Q$8:$Q$3006)))</f>
        <v/>
      </c>
      <c r="H1157" s="55" t="str">
        <f>IF(B1157="","",IF(G1157&gt;0,"OUTSTANDING",IF(G1157=0,"SETTLED",IF(SUMIF(Transactions!$F$8:$F$3006,B1157,Transactions!$Q$8:$Q$3006)&gt;SUMIF(Transactions!$F$8:$F$3006,B1157,Transactions!$R$8:$R$3006),"OWES","OVERPAID"))))</f>
        <v/>
      </c>
      <c r="I1157" s="1"/>
    </row>
    <row r="1158" spans="1:9" ht="18" customHeight="1" x14ac:dyDescent="0.25">
      <c r="A1158" s="40">
        <v>1143</v>
      </c>
      <c r="B1158" s="41" t="str">
        <f t="array" ref="B1158">IFERROR(IF(INDEX(Transactions!$F$8:$F$3006,MATCH(0,COUNTIF($B$11:B1157,Transactions!$F$8:$F$3006),0))="","",INDEX(Transactions!$F$8:$F$3006,MATCH(0,COUNTIF($B$11:B1157,Transactions!$F$8:$F$3006),0))),"")</f>
        <v/>
      </c>
      <c r="C1158" s="42" t="str">
        <f>IF(B1158="","",SUMIF(Transactions!$F$8:$F$3006,B1158,Transactions!$H$8:$H$3006))</f>
        <v/>
      </c>
      <c r="D1158" s="43" t="str">
        <f>IF(B1158="","",SUMIF(Transactions!$F$8:$F$3006,B1158,Transactions!$N$8:$N$3006))</f>
        <v/>
      </c>
      <c r="E1158" s="44" t="str">
        <f>IF(B1158="","",SUMIF(Transactions!$F$8:$F$3006,B1158,Transactions!$O$8:$O$3006))</f>
        <v/>
      </c>
      <c r="F1158" s="45" t="str">
        <f>IF(B1158="","",SUMIF(Transactions!$F$8:$F$3006,B1158,Transactions!$R$8:$R$3006))</f>
        <v/>
      </c>
      <c r="G1158" s="46" t="str">
        <f>IF(B1158="","",(C1158+F1158)-(D1158+E1158+SUMIF(Transactions!$F$8:$F$3006,B1158,Transactions!$Q$8:$Q$3006)))</f>
        <v/>
      </c>
      <c r="H1158" s="47" t="str">
        <f>IF(B1158="","",IF(G1158&gt;0,"OUTSTANDING",IF(G1158=0,"SETTLED",IF(SUMIF(Transactions!$F$8:$F$3006,B1158,Transactions!$Q$8:$Q$3006)&gt;SUMIF(Transactions!$F$8:$F$3006,B1158,Transactions!$R$8:$R$3006),"OWES","OVERPAID"))))</f>
        <v/>
      </c>
      <c r="I1158" s="1"/>
    </row>
    <row r="1159" spans="1:9" ht="18" customHeight="1" x14ac:dyDescent="0.25">
      <c r="A1159" s="48">
        <v>1144</v>
      </c>
      <c r="B1159" s="49" t="str">
        <f t="array" ref="B1159">IFERROR(IF(INDEX(Transactions!$F$8:$F$3006,MATCH(0,COUNTIF($B$11:B1158,Transactions!$F$8:$F$3006),0))="","",INDEX(Transactions!$F$8:$F$3006,MATCH(0,COUNTIF($B$11:B1158,Transactions!$F$8:$F$3006),0))),"")</f>
        <v/>
      </c>
      <c r="C1159" s="50" t="str">
        <f>IF(B1159="","",SUMIF(Transactions!$F$8:$F$3006,B1159,Transactions!$H$8:$H$3006))</f>
        <v/>
      </c>
      <c r="D1159" s="51" t="str">
        <f>IF(B1159="","",SUMIF(Transactions!$F$8:$F$3006,B1159,Transactions!$N$8:$N$3006))</f>
        <v/>
      </c>
      <c r="E1159" s="52" t="str">
        <f>IF(B1159="","",SUMIF(Transactions!$F$8:$F$3006,B1159,Transactions!$O$8:$O$3006))</f>
        <v/>
      </c>
      <c r="F1159" s="53" t="str">
        <f>IF(B1159="","",SUMIF(Transactions!$F$8:$F$3006,B1159,Transactions!$R$8:$R$3006))</f>
        <v/>
      </c>
      <c r="G1159" s="54" t="str">
        <f>IF(B1159="","",(C1159+F1159)-(D1159+E1159+SUMIF(Transactions!$F$8:$F$3006,B1159,Transactions!$Q$8:$Q$3006)))</f>
        <v/>
      </c>
      <c r="H1159" s="55" t="str">
        <f>IF(B1159="","",IF(G1159&gt;0,"OUTSTANDING",IF(G1159=0,"SETTLED",IF(SUMIF(Transactions!$F$8:$F$3006,B1159,Transactions!$Q$8:$Q$3006)&gt;SUMIF(Transactions!$F$8:$F$3006,B1159,Transactions!$R$8:$R$3006),"OWES","OVERPAID"))))</f>
        <v/>
      </c>
      <c r="I1159" s="1"/>
    </row>
    <row r="1160" spans="1:9" ht="18" customHeight="1" x14ac:dyDescent="0.25">
      <c r="A1160" s="40">
        <v>1145</v>
      </c>
      <c r="B1160" s="41" t="str">
        <f t="array" ref="B1160">IFERROR(IF(INDEX(Transactions!$F$8:$F$3006,MATCH(0,COUNTIF($B$11:B1159,Transactions!$F$8:$F$3006),0))="","",INDEX(Transactions!$F$8:$F$3006,MATCH(0,COUNTIF($B$11:B1159,Transactions!$F$8:$F$3006),0))),"")</f>
        <v/>
      </c>
      <c r="C1160" s="42" t="str">
        <f>IF(B1160="","",SUMIF(Transactions!$F$8:$F$3006,B1160,Transactions!$H$8:$H$3006))</f>
        <v/>
      </c>
      <c r="D1160" s="43" t="str">
        <f>IF(B1160="","",SUMIF(Transactions!$F$8:$F$3006,B1160,Transactions!$N$8:$N$3006))</f>
        <v/>
      </c>
      <c r="E1160" s="44" t="str">
        <f>IF(B1160="","",SUMIF(Transactions!$F$8:$F$3006,B1160,Transactions!$O$8:$O$3006))</f>
        <v/>
      </c>
      <c r="F1160" s="45" t="str">
        <f>IF(B1160="","",SUMIF(Transactions!$F$8:$F$3006,B1160,Transactions!$R$8:$R$3006))</f>
        <v/>
      </c>
      <c r="G1160" s="46" t="str">
        <f>IF(B1160="","",(C1160+F1160)-(D1160+E1160+SUMIF(Transactions!$F$8:$F$3006,B1160,Transactions!$Q$8:$Q$3006)))</f>
        <v/>
      </c>
      <c r="H1160" s="47" t="str">
        <f>IF(B1160="","",IF(G1160&gt;0,"OUTSTANDING",IF(G1160=0,"SETTLED",IF(SUMIF(Transactions!$F$8:$F$3006,B1160,Transactions!$Q$8:$Q$3006)&gt;SUMIF(Transactions!$F$8:$F$3006,B1160,Transactions!$R$8:$R$3006),"OWES","OVERPAID"))))</f>
        <v/>
      </c>
      <c r="I1160" s="1"/>
    </row>
    <row r="1161" spans="1:9" ht="18" customHeight="1" x14ac:dyDescent="0.25">
      <c r="A1161" s="48">
        <v>1146</v>
      </c>
      <c r="B1161" s="49" t="str">
        <f t="array" ref="B1161">IFERROR(IF(INDEX(Transactions!$F$8:$F$3006,MATCH(0,COUNTIF($B$11:B1160,Transactions!$F$8:$F$3006),0))="","",INDEX(Transactions!$F$8:$F$3006,MATCH(0,COUNTIF($B$11:B1160,Transactions!$F$8:$F$3006),0))),"")</f>
        <v/>
      </c>
      <c r="C1161" s="50" t="str">
        <f>IF(B1161="","",SUMIF(Transactions!$F$8:$F$3006,B1161,Transactions!$H$8:$H$3006))</f>
        <v/>
      </c>
      <c r="D1161" s="51" t="str">
        <f>IF(B1161="","",SUMIF(Transactions!$F$8:$F$3006,B1161,Transactions!$N$8:$N$3006))</f>
        <v/>
      </c>
      <c r="E1161" s="52" t="str">
        <f>IF(B1161="","",SUMIF(Transactions!$F$8:$F$3006,B1161,Transactions!$O$8:$O$3006))</f>
        <v/>
      </c>
      <c r="F1161" s="53" t="str">
        <f>IF(B1161="","",SUMIF(Transactions!$F$8:$F$3006,B1161,Transactions!$R$8:$R$3006))</f>
        <v/>
      </c>
      <c r="G1161" s="54" t="str">
        <f>IF(B1161="","",(C1161+F1161)-(D1161+E1161+SUMIF(Transactions!$F$8:$F$3006,B1161,Transactions!$Q$8:$Q$3006)))</f>
        <v/>
      </c>
      <c r="H1161" s="55" t="str">
        <f>IF(B1161="","",IF(G1161&gt;0,"OUTSTANDING",IF(G1161=0,"SETTLED",IF(SUMIF(Transactions!$F$8:$F$3006,B1161,Transactions!$Q$8:$Q$3006)&gt;SUMIF(Transactions!$F$8:$F$3006,B1161,Transactions!$R$8:$R$3006),"OWES","OVERPAID"))))</f>
        <v/>
      </c>
      <c r="I1161" s="1"/>
    </row>
    <row r="1162" spans="1:9" ht="18" customHeight="1" x14ac:dyDescent="0.25">
      <c r="A1162" s="40">
        <v>1147</v>
      </c>
      <c r="B1162" s="41" t="str">
        <f t="array" ref="B1162">IFERROR(IF(INDEX(Transactions!$F$8:$F$3006,MATCH(0,COUNTIF($B$11:B1161,Transactions!$F$8:$F$3006),0))="","",INDEX(Transactions!$F$8:$F$3006,MATCH(0,COUNTIF($B$11:B1161,Transactions!$F$8:$F$3006),0))),"")</f>
        <v/>
      </c>
      <c r="C1162" s="42" t="str">
        <f>IF(B1162="","",SUMIF(Transactions!$F$8:$F$3006,B1162,Transactions!$H$8:$H$3006))</f>
        <v/>
      </c>
      <c r="D1162" s="43" t="str">
        <f>IF(B1162="","",SUMIF(Transactions!$F$8:$F$3006,B1162,Transactions!$N$8:$N$3006))</f>
        <v/>
      </c>
      <c r="E1162" s="44" t="str">
        <f>IF(B1162="","",SUMIF(Transactions!$F$8:$F$3006,B1162,Transactions!$O$8:$O$3006))</f>
        <v/>
      </c>
      <c r="F1162" s="45" t="str">
        <f>IF(B1162="","",SUMIF(Transactions!$F$8:$F$3006,B1162,Transactions!$R$8:$R$3006))</f>
        <v/>
      </c>
      <c r="G1162" s="46" t="str">
        <f>IF(B1162="","",(C1162+F1162)-(D1162+E1162+SUMIF(Transactions!$F$8:$F$3006,B1162,Transactions!$Q$8:$Q$3006)))</f>
        <v/>
      </c>
      <c r="H1162" s="47" t="str">
        <f>IF(B1162="","",IF(G1162&gt;0,"OUTSTANDING",IF(G1162=0,"SETTLED",IF(SUMIF(Transactions!$F$8:$F$3006,B1162,Transactions!$Q$8:$Q$3006)&gt;SUMIF(Transactions!$F$8:$F$3006,B1162,Transactions!$R$8:$R$3006),"OWES","OVERPAID"))))</f>
        <v/>
      </c>
      <c r="I1162" s="1"/>
    </row>
    <row r="1163" spans="1:9" ht="18" customHeight="1" x14ac:dyDescent="0.25">
      <c r="A1163" s="48">
        <v>1148</v>
      </c>
      <c r="B1163" s="49" t="str">
        <f t="array" ref="B1163">IFERROR(IF(INDEX(Transactions!$F$8:$F$3006,MATCH(0,COUNTIF($B$11:B1162,Transactions!$F$8:$F$3006),0))="","",INDEX(Transactions!$F$8:$F$3006,MATCH(0,COUNTIF($B$11:B1162,Transactions!$F$8:$F$3006),0))),"")</f>
        <v/>
      </c>
      <c r="C1163" s="50" t="str">
        <f>IF(B1163="","",SUMIF(Transactions!$F$8:$F$3006,B1163,Transactions!$H$8:$H$3006))</f>
        <v/>
      </c>
      <c r="D1163" s="51" t="str">
        <f>IF(B1163="","",SUMIF(Transactions!$F$8:$F$3006,B1163,Transactions!$N$8:$N$3006))</f>
        <v/>
      </c>
      <c r="E1163" s="52" t="str">
        <f>IF(B1163="","",SUMIF(Transactions!$F$8:$F$3006,B1163,Transactions!$O$8:$O$3006))</f>
        <v/>
      </c>
      <c r="F1163" s="53" t="str">
        <f>IF(B1163="","",SUMIF(Transactions!$F$8:$F$3006,B1163,Transactions!$R$8:$R$3006))</f>
        <v/>
      </c>
      <c r="G1163" s="54" t="str">
        <f>IF(B1163="","",(C1163+F1163)-(D1163+E1163+SUMIF(Transactions!$F$8:$F$3006,B1163,Transactions!$Q$8:$Q$3006)))</f>
        <v/>
      </c>
      <c r="H1163" s="55" t="str">
        <f>IF(B1163="","",IF(G1163&gt;0,"OUTSTANDING",IF(G1163=0,"SETTLED",IF(SUMIF(Transactions!$F$8:$F$3006,B1163,Transactions!$Q$8:$Q$3006)&gt;SUMIF(Transactions!$F$8:$F$3006,B1163,Transactions!$R$8:$R$3006),"OWES","OVERPAID"))))</f>
        <v/>
      </c>
      <c r="I1163" s="1"/>
    </row>
    <row r="1164" spans="1:9" ht="18" customHeight="1" x14ac:dyDescent="0.25">
      <c r="A1164" s="40">
        <v>1149</v>
      </c>
      <c r="B1164" s="41" t="str">
        <f t="array" ref="B1164">IFERROR(IF(INDEX(Transactions!$F$8:$F$3006,MATCH(0,COUNTIF($B$11:B1163,Transactions!$F$8:$F$3006),0))="","",INDEX(Transactions!$F$8:$F$3006,MATCH(0,COUNTIF($B$11:B1163,Transactions!$F$8:$F$3006),0))),"")</f>
        <v/>
      </c>
      <c r="C1164" s="42" t="str">
        <f>IF(B1164="","",SUMIF(Transactions!$F$8:$F$3006,B1164,Transactions!$H$8:$H$3006))</f>
        <v/>
      </c>
      <c r="D1164" s="43" t="str">
        <f>IF(B1164="","",SUMIF(Transactions!$F$8:$F$3006,B1164,Transactions!$N$8:$N$3006))</f>
        <v/>
      </c>
      <c r="E1164" s="44" t="str">
        <f>IF(B1164="","",SUMIF(Transactions!$F$8:$F$3006,B1164,Transactions!$O$8:$O$3006))</f>
        <v/>
      </c>
      <c r="F1164" s="45" t="str">
        <f>IF(B1164="","",SUMIF(Transactions!$F$8:$F$3006,B1164,Transactions!$R$8:$R$3006))</f>
        <v/>
      </c>
      <c r="G1164" s="46" t="str">
        <f>IF(B1164="","",(C1164+F1164)-(D1164+E1164+SUMIF(Transactions!$F$8:$F$3006,B1164,Transactions!$Q$8:$Q$3006)))</f>
        <v/>
      </c>
      <c r="H1164" s="47" t="str">
        <f>IF(B1164="","",IF(G1164&gt;0,"OUTSTANDING",IF(G1164=0,"SETTLED",IF(SUMIF(Transactions!$F$8:$F$3006,B1164,Transactions!$Q$8:$Q$3006)&gt;SUMIF(Transactions!$F$8:$F$3006,B1164,Transactions!$R$8:$R$3006),"OWES","OVERPAID"))))</f>
        <v/>
      </c>
      <c r="I1164" s="1"/>
    </row>
    <row r="1165" spans="1:9" ht="18" customHeight="1" x14ac:dyDescent="0.25">
      <c r="A1165" s="48">
        <v>1150</v>
      </c>
      <c r="B1165" s="49" t="str">
        <f t="array" ref="B1165">IFERROR(IF(INDEX(Transactions!$F$8:$F$3006,MATCH(0,COUNTIF($B$11:B1164,Transactions!$F$8:$F$3006),0))="","",INDEX(Transactions!$F$8:$F$3006,MATCH(0,COUNTIF($B$11:B1164,Transactions!$F$8:$F$3006),0))),"")</f>
        <v/>
      </c>
      <c r="C1165" s="50" t="str">
        <f>IF(B1165="","",SUMIF(Transactions!$F$8:$F$3006,B1165,Transactions!$H$8:$H$3006))</f>
        <v/>
      </c>
      <c r="D1165" s="51" t="str">
        <f>IF(B1165="","",SUMIF(Transactions!$F$8:$F$3006,B1165,Transactions!$N$8:$N$3006))</f>
        <v/>
      </c>
      <c r="E1165" s="52" t="str">
        <f>IF(B1165="","",SUMIF(Transactions!$F$8:$F$3006,B1165,Transactions!$O$8:$O$3006))</f>
        <v/>
      </c>
      <c r="F1165" s="53" t="str">
        <f>IF(B1165="","",SUMIF(Transactions!$F$8:$F$3006,B1165,Transactions!$R$8:$R$3006))</f>
        <v/>
      </c>
      <c r="G1165" s="54" t="str">
        <f>IF(B1165="","",(C1165+F1165)-(D1165+E1165+SUMIF(Transactions!$F$8:$F$3006,B1165,Transactions!$Q$8:$Q$3006)))</f>
        <v/>
      </c>
      <c r="H1165" s="55" t="str">
        <f>IF(B1165="","",IF(G1165&gt;0,"OUTSTANDING",IF(G1165=0,"SETTLED",IF(SUMIF(Transactions!$F$8:$F$3006,B1165,Transactions!$Q$8:$Q$3006)&gt;SUMIF(Transactions!$F$8:$F$3006,B1165,Transactions!$R$8:$R$3006),"OWES","OVERPAID"))))</f>
        <v/>
      </c>
      <c r="I1165" s="1"/>
    </row>
    <row r="1166" spans="1:9" ht="18" customHeight="1" x14ac:dyDescent="0.25">
      <c r="A1166" s="40">
        <v>1151</v>
      </c>
      <c r="B1166" s="41" t="str">
        <f t="array" ref="B1166">IFERROR(IF(INDEX(Transactions!$F$8:$F$3006,MATCH(0,COUNTIF($B$11:B1165,Transactions!$F$8:$F$3006),0))="","",INDEX(Transactions!$F$8:$F$3006,MATCH(0,COUNTIF($B$11:B1165,Transactions!$F$8:$F$3006),0))),"")</f>
        <v/>
      </c>
      <c r="C1166" s="42" t="str">
        <f>IF(B1166="","",SUMIF(Transactions!$F$8:$F$3006,B1166,Transactions!$H$8:$H$3006))</f>
        <v/>
      </c>
      <c r="D1166" s="43" t="str">
        <f>IF(B1166="","",SUMIF(Transactions!$F$8:$F$3006,B1166,Transactions!$N$8:$N$3006))</f>
        <v/>
      </c>
      <c r="E1166" s="44" t="str">
        <f>IF(B1166="","",SUMIF(Transactions!$F$8:$F$3006,B1166,Transactions!$O$8:$O$3006))</f>
        <v/>
      </c>
      <c r="F1166" s="45" t="str">
        <f>IF(B1166="","",SUMIF(Transactions!$F$8:$F$3006,B1166,Transactions!$R$8:$R$3006))</f>
        <v/>
      </c>
      <c r="G1166" s="46" t="str">
        <f>IF(B1166="","",(C1166+F1166)-(D1166+E1166+SUMIF(Transactions!$F$8:$F$3006,B1166,Transactions!$Q$8:$Q$3006)))</f>
        <v/>
      </c>
      <c r="H1166" s="47" t="str">
        <f>IF(B1166="","",IF(G1166&gt;0,"OUTSTANDING",IF(G1166=0,"SETTLED",IF(SUMIF(Transactions!$F$8:$F$3006,B1166,Transactions!$Q$8:$Q$3006)&gt;SUMIF(Transactions!$F$8:$F$3006,B1166,Transactions!$R$8:$R$3006),"OWES","OVERPAID"))))</f>
        <v/>
      </c>
      <c r="I1166" s="1"/>
    </row>
    <row r="1167" spans="1:9" ht="18" customHeight="1" x14ac:dyDescent="0.25">
      <c r="A1167" s="48">
        <v>1152</v>
      </c>
      <c r="B1167" s="49" t="str">
        <f t="array" ref="B1167">IFERROR(IF(INDEX(Transactions!$F$8:$F$3006,MATCH(0,COUNTIF($B$11:B1166,Transactions!$F$8:$F$3006),0))="","",INDEX(Transactions!$F$8:$F$3006,MATCH(0,COUNTIF($B$11:B1166,Transactions!$F$8:$F$3006),0))),"")</f>
        <v/>
      </c>
      <c r="C1167" s="50" t="str">
        <f>IF(B1167="","",SUMIF(Transactions!$F$8:$F$3006,B1167,Transactions!$H$8:$H$3006))</f>
        <v/>
      </c>
      <c r="D1167" s="51" t="str">
        <f>IF(B1167="","",SUMIF(Transactions!$F$8:$F$3006,B1167,Transactions!$N$8:$N$3006))</f>
        <v/>
      </c>
      <c r="E1167" s="52" t="str">
        <f>IF(B1167="","",SUMIF(Transactions!$F$8:$F$3006,B1167,Transactions!$O$8:$O$3006))</f>
        <v/>
      </c>
      <c r="F1167" s="53" t="str">
        <f>IF(B1167="","",SUMIF(Transactions!$F$8:$F$3006,B1167,Transactions!$R$8:$R$3006))</f>
        <v/>
      </c>
      <c r="G1167" s="54" t="str">
        <f>IF(B1167="","",(C1167+F1167)-(D1167+E1167+SUMIF(Transactions!$F$8:$F$3006,B1167,Transactions!$Q$8:$Q$3006)))</f>
        <v/>
      </c>
      <c r="H1167" s="55" t="str">
        <f>IF(B1167="","",IF(G1167&gt;0,"OUTSTANDING",IF(G1167=0,"SETTLED",IF(SUMIF(Transactions!$F$8:$F$3006,B1167,Transactions!$Q$8:$Q$3006)&gt;SUMIF(Transactions!$F$8:$F$3006,B1167,Transactions!$R$8:$R$3006),"OWES","OVERPAID"))))</f>
        <v/>
      </c>
      <c r="I1167" s="1"/>
    </row>
    <row r="1168" spans="1:9" ht="18" customHeight="1" x14ac:dyDescent="0.25">
      <c r="A1168" s="40">
        <v>1153</v>
      </c>
      <c r="B1168" s="41" t="str">
        <f t="array" ref="B1168">IFERROR(IF(INDEX(Transactions!$F$8:$F$3006,MATCH(0,COUNTIF($B$11:B1167,Transactions!$F$8:$F$3006),0))="","",INDEX(Transactions!$F$8:$F$3006,MATCH(0,COUNTIF($B$11:B1167,Transactions!$F$8:$F$3006),0))),"")</f>
        <v/>
      </c>
      <c r="C1168" s="42" t="str">
        <f>IF(B1168="","",SUMIF(Transactions!$F$8:$F$3006,B1168,Transactions!$H$8:$H$3006))</f>
        <v/>
      </c>
      <c r="D1168" s="43" t="str">
        <f>IF(B1168="","",SUMIF(Transactions!$F$8:$F$3006,B1168,Transactions!$N$8:$N$3006))</f>
        <v/>
      </c>
      <c r="E1168" s="44" t="str">
        <f>IF(B1168="","",SUMIF(Transactions!$F$8:$F$3006,B1168,Transactions!$O$8:$O$3006))</f>
        <v/>
      </c>
      <c r="F1168" s="45" t="str">
        <f>IF(B1168="","",SUMIF(Transactions!$F$8:$F$3006,B1168,Transactions!$R$8:$R$3006))</f>
        <v/>
      </c>
      <c r="G1168" s="46" t="str">
        <f>IF(B1168="","",(C1168+F1168)-(D1168+E1168+SUMIF(Transactions!$F$8:$F$3006,B1168,Transactions!$Q$8:$Q$3006)))</f>
        <v/>
      </c>
      <c r="H1168" s="47" t="str">
        <f>IF(B1168="","",IF(G1168&gt;0,"OUTSTANDING",IF(G1168=0,"SETTLED",IF(SUMIF(Transactions!$F$8:$F$3006,B1168,Transactions!$Q$8:$Q$3006)&gt;SUMIF(Transactions!$F$8:$F$3006,B1168,Transactions!$R$8:$R$3006),"OWES","OVERPAID"))))</f>
        <v/>
      </c>
      <c r="I1168" s="1"/>
    </row>
    <row r="1169" spans="1:9" ht="18" customHeight="1" x14ac:dyDescent="0.25">
      <c r="A1169" s="48">
        <v>1154</v>
      </c>
      <c r="B1169" s="49" t="str">
        <f t="array" ref="B1169">IFERROR(IF(INDEX(Transactions!$F$8:$F$3006,MATCH(0,COUNTIF($B$11:B1168,Transactions!$F$8:$F$3006),0))="","",INDEX(Transactions!$F$8:$F$3006,MATCH(0,COUNTIF($B$11:B1168,Transactions!$F$8:$F$3006),0))),"")</f>
        <v/>
      </c>
      <c r="C1169" s="50" t="str">
        <f>IF(B1169="","",SUMIF(Transactions!$F$8:$F$3006,B1169,Transactions!$H$8:$H$3006))</f>
        <v/>
      </c>
      <c r="D1169" s="51" t="str">
        <f>IF(B1169="","",SUMIF(Transactions!$F$8:$F$3006,B1169,Transactions!$N$8:$N$3006))</f>
        <v/>
      </c>
      <c r="E1169" s="52" t="str">
        <f>IF(B1169="","",SUMIF(Transactions!$F$8:$F$3006,B1169,Transactions!$O$8:$O$3006))</f>
        <v/>
      </c>
      <c r="F1169" s="53" t="str">
        <f>IF(B1169="","",SUMIF(Transactions!$F$8:$F$3006,B1169,Transactions!$R$8:$R$3006))</f>
        <v/>
      </c>
      <c r="G1169" s="54" t="str">
        <f>IF(B1169="","",(C1169+F1169)-(D1169+E1169+SUMIF(Transactions!$F$8:$F$3006,B1169,Transactions!$Q$8:$Q$3006)))</f>
        <v/>
      </c>
      <c r="H1169" s="55" t="str">
        <f>IF(B1169="","",IF(G1169&gt;0,"OUTSTANDING",IF(G1169=0,"SETTLED",IF(SUMIF(Transactions!$F$8:$F$3006,B1169,Transactions!$Q$8:$Q$3006)&gt;SUMIF(Transactions!$F$8:$F$3006,B1169,Transactions!$R$8:$R$3006),"OWES","OVERPAID"))))</f>
        <v/>
      </c>
      <c r="I1169" s="1"/>
    </row>
    <row r="1170" spans="1:9" ht="18" customHeight="1" x14ac:dyDescent="0.25">
      <c r="A1170" s="40">
        <v>1155</v>
      </c>
      <c r="B1170" s="41" t="str">
        <f t="array" ref="B1170">IFERROR(IF(INDEX(Transactions!$F$8:$F$3006,MATCH(0,COUNTIF($B$11:B1169,Transactions!$F$8:$F$3006),0))="","",INDEX(Transactions!$F$8:$F$3006,MATCH(0,COUNTIF($B$11:B1169,Transactions!$F$8:$F$3006),0))),"")</f>
        <v/>
      </c>
      <c r="C1170" s="42" t="str">
        <f>IF(B1170="","",SUMIF(Transactions!$F$8:$F$3006,B1170,Transactions!$H$8:$H$3006))</f>
        <v/>
      </c>
      <c r="D1170" s="43" t="str">
        <f>IF(B1170="","",SUMIF(Transactions!$F$8:$F$3006,B1170,Transactions!$N$8:$N$3006))</f>
        <v/>
      </c>
      <c r="E1170" s="44" t="str">
        <f>IF(B1170="","",SUMIF(Transactions!$F$8:$F$3006,B1170,Transactions!$O$8:$O$3006))</f>
        <v/>
      </c>
      <c r="F1170" s="45" t="str">
        <f>IF(B1170="","",SUMIF(Transactions!$F$8:$F$3006,B1170,Transactions!$R$8:$R$3006))</f>
        <v/>
      </c>
      <c r="G1170" s="46" t="str">
        <f>IF(B1170="","",(C1170+F1170)-(D1170+E1170+SUMIF(Transactions!$F$8:$F$3006,B1170,Transactions!$Q$8:$Q$3006)))</f>
        <v/>
      </c>
      <c r="H1170" s="47" t="str">
        <f>IF(B1170="","",IF(G1170&gt;0,"OUTSTANDING",IF(G1170=0,"SETTLED",IF(SUMIF(Transactions!$F$8:$F$3006,B1170,Transactions!$Q$8:$Q$3006)&gt;SUMIF(Transactions!$F$8:$F$3006,B1170,Transactions!$R$8:$R$3006),"OWES","OVERPAID"))))</f>
        <v/>
      </c>
      <c r="I1170" s="1"/>
    </row>
    <row r="1171" spans="1:9" ht="18" customHeight="1" x14ac:dyDescent="0.25">
      <c r="A1171" s="48">
        <v>1156</v>
      </c>
      <c r="B1171" s="49" t="str">
        <f t="array" ref="B1171">IFERROR(IF(INDEX(Transactions!$F$8:$F$3006,MATCH(0,COUNTIF($B$11:B1170,Transactions!$F$8:$F$3006),0))="","",INDEX(Transactions!$F$8:$F$3006,MATCH(0,COUNTIF($B$11:B1170,Transactions!$F$8:$F$3006),0))),"")</f>
        <v/>
      </c>
      <c r="C1171" s="50" t="str">
        <f>IF(B1171="","",SUMIF(Transactions!$F$8:$F$3006,B1171,Transactions!$H$8:$H$3006))</f>
        <v/>
      </c>
      <c r="D1171" s="51" t="str">
        <f>IF(B1171="","",SUMIF(Transactions!$F$8:$F$3006,B1171,Transactions!$N$8:$N$3006))</f>
        <v/>
      </c>
      <c r="E1171" s="52" t="str">
        <f>IF(B1171="","",SUMIF(Transactions!$F$8:$F$3006,B1171,Transactions!$O$8:$O$3006))</f>
        <v/>
      </c>
      <c r="F1171" s="53" t="str">
        <f>IF(B1171="","",SUMIF(Transactions!$F$8:$F$3006,B1171,Transactions!$R$8:$R$3006))</f>
        <v/>
      </c>
      <c r="G1171" s="54" t="str">
        <f>IF(B1171="","",(C1171+F1171)-(D1171+E1171+SUMIF(Transactions!$F$8:$F$3006,B1171,Transactions!$Q$8:$Q$3006)))</f>
        <v/>
      </c>
      <c r="H1171" s="55" t="str">
        <f>IF(B1171="","",IF(G1171&gt;0,"OUTSTANDING",IF(G1171=0,"SETTLED",IF(SUMIF(Transactions!$F$8:$F$3006,B1171,Transactions!$Q$8:$Q$3006)&gt;SUMIF(Transactions!$F$8:$F$3006,B1171,Transactions!$R$8:$R$3006),"OWES","OVERPAID"))))</f>
        <v/>
      </c>
      <c r="I1171" s="1"/>
    </row>
    <row r="1172" spans="1:9" ht="18" customHeight="1" x14ac:dyDescent="0.25">
      <c r="A1172" s="40">
        <v>1157</v>
      </c>
      <c r="B1172" s="41" t="str">
        <f t="array" ref="B1172">IFERROR(IF(INDEX(Transactions!$F$8:$F$3006,MATCH(0,COUNTIF($B$11:B1171,Transactions!$F$8:$F$3006),0))="","",INDEX(Transactions!$F$8:$F$3006,MATCH(0,COUNTIF($B$11:B1171,Transactions!$F$8:$F$3006),0))),"")</f>
        <v/>
      </c>
      <c r="C1172" s="42" t="str">
        <f>IF(B1172="","",SUMIF(Transactions!$F$8:$F$3006,B1172,Transactions!$H$8:$H$3006))</f>
        <v/>
      </c>
      <c r="D1172" s="43" t="str">
        <f>IF(B1172="","",SUMIF(Transactions!$F$8:$F$3006,B1172,Transactions!$N$8:$N$3006))</f>
        <v/>
      </c>
      <c r="E1172" s="44" t="str">
        <f>IF(B1172="","",SUMIF(Transactions!$F$8:$F$3006,B1172,Transactions!$O$8:$O$3006))</f>
        <v/>
      </c>
      <c r="F1172" s="45" t="str">
        <f>IF(B1172="","",SUMIF(Transactions!$F$8:$F$3006,B1172,Transactions!$R$8:$R$3006))</f>
        <v/>
      </c>
      <c r="G1172" s="46" t="str">
        <f>IF(B1172="","",(C1172+F1172)-(D1172+E1172+SUMIF(Transactions!$F$8:$F$3006,B1172,Transactions!$Q$8:$Q$3006)))</f>
        <v/>
      </c>
      <c r="H1172" s="47" t="str">
        <f>IF(B1172="","",IF(G1172&gt;0,"OUTSTANDING",IF(G1172=0,"SETTLED",IF(SUMIF(Transactions!$F$8:$F$3006,B1172,Transactions!$Q$8:$Q$3006)&gt;SUMIF(Transactions!$F$8:$F$3006,B1172,Transactions!$R$8:$R$3006),"OWES","OVERPAID"))))</f>
        <v/>
      </c>
      <c r="I1172" s="1"/>
    </row>
    <row r="1173" spans="1:9" ht="18" customHeight="1" x14ac:dyDescent="0.25">
      <c r="A1173" s="48">
        <v>1158</v>
      </c>
      <c r="B1173" s="49" t="str">
        <f t="array" ref="B1173">IFERROR(IF(INDEX(Transactions!$F$8:$F$3006,MATCH(0,COUNTIF($B$11:B1172,Transactions!$F$8:$F$3006),0))="","",INDEX(Transactions!$F$8:$F$3006,MATCH(0,COUNTIF($B$11:B1172,Transactions!$F$8:$F$3006),0))),"")</f>
        <v/>
      </c>
      <c r="C1173" s="50" t="str">
        <f>IF(B1173="","",SUMIF(Transactions!$F$8:$F$3006,B1173,Transactions!$H$8:$H$3006))</f>
        <v/>
      </c>
      <c r="D1173" s="51" t="str">
        <f>IF(B1173="","",SUMIF(Transactions!$F$8:$F$3006,B1173,Transactions!$N$8:$N$3006))</f>
        <v/>
      </c>
      <c r="E1173" s="52" t="str">
        <f>IF(B1173="","",SUMIF(Transactions!$F$8:$F$3006,B1173,Transactions!$O$8:$O$3006))</f>
        <v/>
      </c>
      <c r="F1173" s="53" t="str">
        <f>IF(B1173="","",SUMIF(Transactions!$F$8:$F$3006,B1173,Transactions!$R$8:$R$3006))</f>
        <v/>
      </c>
      <c r="G1173" s="54" t="str">
        <f>IF(B1173="","",(C1173+F1173)-(D1173+E1173+SUMIF(Transactions!$F$8:$F$3006,B1173,Transactions!$Q$8:$Q$3006)))</f>
        <v/>
      </c>
      <c r="H1173" s="55" t="str">
        <f>IF(B1173="","",IF(G1173&gt;0,"OUTSTANDING",IF(G1173=0,"SETTLED",IF(SUMIF(Transactions!$F$8:$F$3006,B1173,Transactions!$Q$8:$Q$3006)&gt;SUMIF(Transactions!$F$8:$F$3006,B1173,Transactions!$R$8:$R$3006),"OWES","OVERPAID"))))</f>
        <v/>
      </c>
      <c r="I1173" s="1"/>
    </row>
    <row r="1174" spans="1:9" ht="18" customHeight="1" x14ac:dyDescent="0.25">
      <c r="A1174" s="40">
        <v>1159</v>
      </c>
      <c r="B1174" s="41" t="str">
        <f t="array" ref="B1174">IFERROR(IF(INDEX(Transactions!$F$8:$F$3006,MATCH(0,COUNTIF($B$11:B1173,Transactions!$F$8:$F$3006),0))="","",INDEX(Transactions!$F$8:$F$3006,MATCH(0,COUNTIF($B$11:B1173,Transactions!$F$8:$F$3006),0))),"")</f>
        <v/>
      </c>
      <c r="C1174" s="42" t="str">
        <f>IF(B1174="","",SUMIF(Transactions!$F$8:$F$3006,B1174,Transactions!$H$8:$H$3006))</f>
        <v/>
      </c>
      <c r="D1174" s="43" t="str">
        <f>IF(B1174="","",SUMIF(Transactions!$F$8:$F$3006,B1174,Transactions!$N$8:$N$3006))</f>
        <v/>
      </c>
      <c r="E1174" s="44" t="str">
        <f>IF(B1174="","",SUMIF(Transactions!$F$8:$F$3006,B1174,Transactions!$O$8:$O$3006))</f>
        <v/>
      </c>
      <c r="F1174" s="45" t="str">
        <f>IF(B1174="","",SUMIF(Transactions!$F$8:$F$3006,B1174,Transactions!$R$8:$R$3006))</f>
        <v/>
      </c>
      <c r="G1174" s="46" t="str">
        <f>IF(B1174="","",(C1174+F1174)-(D1174+E1174+SUMIF(Transactions!$F$8:$F$3006,B1174,Transactions!$Q$8:$Q$3006)))</f>
        <v/>
      </c>
      <c r="H1174" s="47" t="str">
        <f>IF(B1174="","",IF(G1174&gt;0,"OUTSTANDING",IF(G1174=0,"SETTLED",IF(SUMIF(Transactions!$F$8:$F$3006,B1174,Transactions!$Q$8:$Q$3006)&gt;SUMIF(Transactions!$F$8:$F$3006,B1174,Transactions!$R$8:$R$3006),"OWES","OVERPAID"))))</f>
        <v/>
      </c>
      <c r="I1174" s="1"/>
    </row>
    <row r="1175" spans="1:9" ht="18" customHeight="1" x14ac:dyDescent="0.25">
      <c r="A1175" s="48">
        <v>1160</v>
      </c>
      <c r="B1175" s="49" t="str">
        <f t="array" ref="B1175">IFERROR(IF(INDEX(Transactions!$F$8:$F$3006,MATCH(0,COUNTIF($B$11:B1174,Transactions!$F$8:$F$3006),0))="","",INDEX(Transactions!$F$8:$F$3006,MATCH(0,COUNTIF($B$11:B1174,Transactions!$F$8:$F$3006),0))),"")</f>
        <v/>
      </c>
      <c r="C1175" s="50" t="str">
        <f>IF(B1175="","",SUMIF(Transactions!$F$8:$F$3006,B1175,Transactions!$H$8:$H$3006))</f>
        <v/>
      </c>
      <c r="D1175" s="51" t="str">
        <f>IF(B1175="","",SUMIF(Transactions!$F$8:$F$3006,B1175,Transactions!$N$8:$N$3006))</f>
        <v/>
      </c>
      <c r="E1175" s="52" t="str">
        <f>IF(B1175="","",SUMIF(Transactions!$F$8:$F$3006,B1175,Transactions!$O$8:$O$3006))</f>
        <v/>
      </c>
      <c r="F1175" s="53" t="str">
        <f>IF(B1175="","",SUMIF(Transactions!$F$8:$F$3006,B1175,Transactions!$R$8:$R$3006))</f>
        <v/>
      </c>
      <c r="G1175" s="54" t="str">
        <f>IF(B1175="","",(C1175+F1175)-(D1175+E1175+SUMIF(Transactions!$F$8:$F$3006,B1175,Transactions!$Q$8:$Q$3006)))</f>
        <v/>
      </c>
      <c r="H1175" s="55" t="str">
        <f>IF(B1175="","",IF(G1175&gt;0,"OUTSTANDING",IF(G1175=0,"SETTLED",IF(SUMIF(Transactions!$F$8:$F$3006,B1175,Transactions!$Q$8:$Q$3006)&gt;SUMIF(Transactions!$F$8:$F$3006,B1175,Transactions!$R$8:$R$3006),"OWES","OVERPAID"))))</f>
        <v/>
      </c>
      <c r="I1175" s="1"/>
    </row>
    <row r="1176" spans="1:9" ht="18" customHeight="1" x14ac:dyDescent="0.25">
      <c r="A1176" s="40">
        <v>1161</v>
      </c>
      <c r="B1176" s="41" t="str">
        <f t="array" ref="B1176">IFERROR(IF(INDEX(Transactions!$F$8:$F$3006,MATCH(0,COUNTIF($B$11:B1175,Transactions!$F$8:$F$3006),0))="","",INDEX(Transactions!$F$8:$F$3006,MATCH(0,COUNTIF($B$11:B1175,Transactions!$F$8:$F$3006),0))),"")</f>
        <v/>
      </c>
      <c r="C1176" s="42" t="str">
        <f>IF(B1176="","",SUMIF(Transactions!$F$8:$F$3006,B1176,Transactions!$H$8:$H$3006))</f>
        <v/>
      </c>
      <c r="D1176" s="43" t="str">
        <f>IF(B1176="","",SUMIF(Transactions!$F$8:$F$3006,B1176,Transactions!$N$8:$N$3006))</f>
        <v/>
      </c>
      <c r="E1176" s="44" t="str">
        <f>IF(B1176="","",SUMIF(Transactions!$F$8:$F$3006,B1176,Transactions!$O$8:$O$3006))</f>
        <v/>
      </c>
      <c r="F1176" s="45" t="str">
        <f>IF(B1176="","",SUMIF(Transactions!$F$8:$F$3006,B1176,Transactions!$R$8:$R$3006))</f>
        <v/>
      </c>
      <c r="G1176" s="46" t="str">
        <f>IF(B1176="","",(C1176+F1176)-(D1176+E1176+SUMIF(Transactions!$F$8:$F$3006,B1176,Transactions!$Q$8:$Q$3006)))</f>
        <v/>
      </c>
      <c r="H1176" s="47" t="str">
        <f>IF(B1176="","",IF(G1176&gt;0,"OUTSTANDING",IF(G1176=0,"SETTLED",IF(SUMIF(Transactions!$F$8:$F$3006,B1176,Transactions!$Q$8:$Q$3006)&gt;SUMIF(Transactions!$F$8:$F$3006,B1176,Transactions!$R$8:$R$3006),"OWES","OVERPAID"))))</f>
        <v/>
      </c>
      <c r="I1176" s="1"/>
    </row>
    <row r="1177" spans="1:9" ht="18" customHeight="1" x14ac:dyDescent="0.25">
      <c r="A1177" s="48">
        <v>1162</v>
      </c>
      <c r="B1177" s="49" t="str">
        <f t="array" ref="B1177">IFERROR(IF(INDEX(Transactions!$F$8:$F$3006,MATCH(0,COUNTIF($B$11:B1176,Transactions!$F$8:$F$3006),0))="","",INDEX(Transactions!$F$8:$F$3006,MATCH(0,COUNTIF($B$11:B1176,Transactions!$F$8:$F$3006),0))),"")</f>
        <v/>
      </c>
      <c r="C1177" s="50" t="str">
        <f>IF(B1177="","",SUMIF(Transactions!$F$8:$F$3006,B1177,Transactions!$H$8:$H$3006))</f>
        <v/>
      </c>
      <c r="D1177" s="51" t="str">
        <f>IF(B1177="","",SUMIF(Transactions!$F$8:$F$3006,B1177,Transactions!$N$8:$N$3006))</f>
        <v/>
      </c>
      <c r="E1177" s="52" t="str">
        <f>IF(B1177="","",SUMIF(Transactions!$F$8:$F$3006,B1177,Transactions!$O$8:$O$3006))</f>
        <v/>
      </c>
      <c r="F1177" s="53" t="str">
        <f>IF(B1177="","",SUMIF(Transactions!$F$8:$F$3006,B1177,Transactions!$R$8:$R$3006))</f>
        <v/>
      </c>
      <c r="G1177" s="54" t="str">
        <f>IF(B1177="","",(C1177+F1177)-(D1177+E1177+SUMIF(Transactions!$F$8:$F$3006,B1177,Transactions!$Q$8:$Q$3006)))</f>
        <v/>
      </c>
      <c r="H1177" s="55" t="str">
        <f>IF(B1177="","",IF(G1177&gt;0,"OUTSTANDING",IF(G1177=0,"SETTLED",IF(SUMIF(Transactions!$F$8:$F$3006,B1177,Transactions!$Q$8:$Q$3006)&gt;SUMIF(Transactions!$F$8:$F$3006,B1177,Transactions!$R$8:$R$3006),"OWES","OVERPAID"))))</f>
        <v/>
      </c>
      <c r="I1177" s="1"/>
    </row>
    <row r="1178" spans="1:9" ht="18" customHeight="1" x14ac:dyDescent="0.25">
      <c r="A1178" s="40">
        <v>1163</v>
      </c>
      <c r="B1178" s="41" t="str">
        <f t="array" ref="B1178">IFERROR(IF(INDEX(Transactions!$F$8:$F$3006,MATCH(0,COUNTIF($B$11:B1177,Transactions!$F$8:$F$3006),0))="","",INDEX(Transactions!$F$8:$F$3006,MATCH(0,COUNTIF($B$11:B1177,Transactions!$F$8:$F$3006),0))),"")</f>
        <v/>
      </c>
      <c r="C1178" s="42" t="str">
        <f>IF(B1178="","",SUMIF(Transactions!$F$8:$F$3006,B1178,Transactions!$H$8:$H$3006))</f>
        <v/>
      </c>
      <c r="D1178" s="43" t="str">
        <f>IF(B1178="","",SUMIF(Transactions!$F$8:$F$3006,B1178,Transactions!$N$8:$N$3006))</f>
        <v/>
      </c>
      <c r="E1178" s="44" t="str">
        <f>IF(B1178="","",SUMIF(Transactions!$F$8:$F$3006,B1178,Transactions!$O$8:$O$3006))</f>
        <v/>
      </c>
      <c r="F1178" s="45" t="str">
        <f>IF(B1178="","",SUMIF(Transactions!$F$8:$F$3006,B1178,Transactions!$R$8:$R$3006))</f>
        <v/>
      </c>
      <c r="G1178" s="46" t="str">
        <f>IF(B1178="","",(C1178+F1178)-(D1178+E1178+SUMIF(Transactions!$F$8:$F$3006,B1178,Transactions!$Q$8:$Q$3006)))</f>
        <v/>
      </c>
      <c r="H1178" s="47" t="str">
        <f>IF(B1178="","",IF(G1178&gt;0,"OUTSTANDING",IF(G1178=0,"SETTLED",IF(SUMIF(Transactions!$F$8:$F$3006,B1178,Transactions!$Q$8:$Q$3006)&gt;SUMIF(Transactions!$F$8:$F$3006,B1178,Transactions!$R$8:$R$3006),"OWES","OVERPAID"))))</f>
        <v/>
      </c>
      <c r="I1178" s="1"/>
    </row>
    <row r="1179" spans="1:9" ht="18" customHeight="1" x14ac:dyDescent="0.25">
      <c r="A1179" s="48">
        <v>1164</v>
      </c>
      <c r="B1179" s="49" t="str">
        <f t="array" ref="B1179">IFERROR(IF(INDEX(Transactions!$F$8:$F$3006,MATCH(0,COUNTIF($B$11:B1178,Transactions!$F$8:$F$3006),0))="","",INDEX(Transactions!$F$8:$F$3006,MATCH(0,COUNTIF($B$11:B1178,Transactions!$F$8:$F$3006),0))),"")</f>
        <v/>
      </c>
      <c r="C1179" s="50" t="str">
        <f>IF(B1179="","",SUMIF(Transactions!$F$8:$F$3006,B1179,Transactions!$H$8:$H$3006))</f>
        <v/>
      </c>
      <c r="D1179" s="51" t="str">
        <f>IF(B1179="","",SUMIF(Transactions!$F$8:$F$3006,B1179,Transactions!$N$8:$N$3006))</f>
        <v/>
      </c>
      <c r="E1179" s="52" t="str">
        <f>IF(B1179="","",SUMIF(Transactions!$F$8:$F$3006,B1179,Transactions!$O$8:$O$3006))</f>
        <v/>
      </c>
      <c r="F1179" s="53" t="str">
        <f>IF(B1179="","",SUMIF(Transactions!$F$8:$F$3006,B1179,Transactions!$R$8:$R$3006))</f>
        <v/>
      </c>
      <c r="G1179" s="54" t="str">
        <f>IF(B1179="","",(C1179+F1179)-(D1179+E1179+SUMIF(Transactions!$F$8:$F$3006,B1179,Transactions!$Q$8:$Q$3006)))</f>
        <v/>
      </c>
      <c r="H1179" s="55" t="str">
        <f>IF(B1179="","",IF(G1179&gt;0,"OUTSTANDING",IF(G1179=0,"SETTLED",IF(SUMIF(Transactions!$F$8:$F$3006,B1179,Transactions!$Q$8:$Q$3006)&gt;SUMIF(Transactions!$F$8:$F$3006,B1179,Transactions!$R$8:$R$3006),"OWES","OVERPAID"))))</f>
        <v/>
      </c>
      <c r="I1179" s="1"/>
    </row>
    <row r="1180" spans="1:9" ht="18" customHeight="1" x14ac:dyDescent="0.25">
      <c r="A1180" s="40">
        <v>1165</v>
      </c>
      <c r="B1180" s="41" t="str">
        <f t="array" ref="B1180">IFERROR(IF(INDEX(Transactions!$F$8:$F$3006,MATCH(0,COUNTIF($B$11:B1179,Transactions!$F$8:$F$3006),0))="","",INDEX(Transactions!$F$8:$F$3006,MATCH(0,COUNTIF($B$11:B1179,Transactions!$F$8:$F$3006),0))),"")</f>
        <v/>
      </c>
      <c r="C1180" s="42" t="str">
        <f>IF(B1180="","",SUMIF(Transactions!$F$8:$F$3006,B1180,Transactions!$H$8:$H$3006))</f>
        <v/>
      </c>
      <c r="D1180" s="43" t="str">
        <f>IF(B1180="","",SUMIF(Transactions!$F$8:$F$3006,B1180,Transactions!$N$8:$N$3006))</f>
        <v/>
      </c>
      <c r="E1180" s="44" t="str">
        <f>IF(B1180="","",SUMIF(Transactions!$F$8:$F$3006,B1180,Transactions!$O$8:$O$3006))</f>
        <v/>
      </c>
      <c r="F1180" s="45" t="str">
        <f>IF(B1180="","",SUMIF(Transactions!$F$8:$F$3006,B1180,Transactions!$R$8:$R$3006))</f>
        <v/>
      </c>
      <c r="G1180" s="46" t="str">
        <f>IF(B1180="","",(C1180+F1180)-(D1180+E1180+SUMIF(Transactions!$F$8:$F$3006,B1180,Transactions!$Q$8:$Q$3006)))</f>
        <v/>
      </c>
      <c r="H1180" s="47" t="str">
        <f>IF(B1180="","",IF(G1180&gt;0,"OUTSTANDING",IF(G1180=0,"SETTLED",IF(SUMIF(Transactions!$F$8:$F$3006,B1180,Transactions!$Q$8:$Q$3006)&gt;SUMIF(Transactions!$F$8:$F$3006,B1180,Transactions!$R$8:$R$3006),"OWES","OVERPAID"))))</f>
        <v/>
      </c>
      <c r="I1180" s="1"/>
    </row>
    <row r="1181" spans="1:9" ht="18" customHeight="1" x14ac:dyDescent="0.25">
      <c r="A1181" s="48">
        <v>1166</v>
      </c>
      <c r="B1181" s="49" t="str">
        <f t="array" ref="B1181">IFERROR(IF(INDEX(Transactions!$F$8:$F$3006,MATCH(0,COUNTIF($B$11:B1180,Transactions!$F$8:$F$3006),0))="","",INDEX(Transactions!$F$8:$F$3006,MATCH(0,COUNTIF($B$11:B1180,Transactions!$F$8:$F$3006),0))),"")</f>
        <v/>
      </c>
      <c r="C1181" s="50" t="str">
        <f>IF(B1181="","",SUMIF(Transactions!$F$8:$F$3006,B1181,Transactions!$H$8:$H$3006))</f>
        <v/>
      </c>
      <c r="D1181" s="51" t="str">
        <f>IF(B1181="","",SUMIF(Transactions!$F$8:$F$3006,B1181,Transactions!$N$8:$N$3006))</f>
        <v/>
      </c>
      <c r="E1181" s="52" t="str">
        <f>IF(B1181="","",SUMIF(Transactions!$F$8:$F$3006,B1181,Transactions!$O$8:$O$3006))</f>
        <v/>
      </c>
      <c r="F1181" s="53" t="str">
        <f>IF(B1181="","",SUMIF(Transactions!$F$8:$F$3006,B1181,Transactions!$R$8:$R$3006))</f>
        <v/>
      </c>
      <c r="G1181" s="54" t="str">
        <f>IF(B1181="","",(C1181+F1181)-(D1181+E1181+SUMIF(Transactions!$F$8:$F$3006,B1181,Transactions!$Q$8:$Q$3006)))</f>
        <v/>
      </c>
      <c r="H1181" s="55" t="str">
        <f>IF(B1181="","",IF(G1181&gt;0,"OUTSTANDING",IF(G1181=0,"SETTLED",IF(SUMIF(Transactions!$F$8:$F$3006,B1181,Transactions!$Q$8:$Q$3006)&gt;SUMIF(Transactions!$F$8:$F$3006,B1181,Transactions!$R$8:$R$3006),"OWES","OVERPAID"))))</f>
        <v/>
      </c>
      <c r="I1181" s="1"/>
    </row>
    <row r="1182" spans="1:9" ht="18" customHeight="1" x14ac:dyDescent="0.25">
      <c r="A1182" s="40">
        <v>1167</v>
      </c>
      <c r="B1182" s="41" t="str">
        <f t="array" ref="B1182">IFERROR(IF(INDEX(Transactions!$F$8:$F$3006,MATCH(0,COUNTIF($B$11:B1181,Transactions!$F$8:$F$3006),0))="","",INDEX(Transactions!$F$8:$F$3006,MATCH(0,COUNTIF($B$11:B1181,Transactions!$F$8:$F$3006),0))),"")</f>
        <v/>
      </c>
      <c r="C1182" s="42" t="str">
        <f>IF(B1182="","",SUMIF(Transactions!$F$8:$F$3006,B1182,Transactions!$H$8:$H$3006))</f>
        <v/>
      </c>
      <c r="D1182" s="43" t="str">
        <f>IF(B1182="","",SUMIF(Transactions!$F$8:$F$3006,B1182,Transactions!$N$8:$N$3006))</f>
        <v/>
      </c>
      <c r="E1182" s="44" t="str">
        <f>IF(B1182="","",SUMIF(Transactions!$F$8:$F$3006,B1182,Transactions!$O$8:$O$3006))</f>
        <v/>
      </c>
      <c r="F1182" s="45" t="str">
        <f>IF(B1182="","",SUMIF(Transactions!$F$8:$F$3006,B1182,Transactions!$R$8:$R$3006))</f>
        <v/>
      </c>
      <c r="G1182" s="46" t="str">
        <f>IF(B1182="","",(C1182+F1182)-(D1182+E1182+SUMIF(Transactions!$F$8:$F$3006,B1182,Transactions!$Q$8:$Q$3006)))</f>
        <v/>
      </c>
      <c r="H1182" s="47" t="str">
        <f>IF(B1182="","",IF(G1182&gt;0,"OUTSTANDING",IF(G1182=0,"SETTLED",IF(SUMIF(Transactions!$F$8:$F$3006,B1182,Transactions!$Q$8:$Q$3006)&gt;SUMIF(Transactions!$F$8:$F$3006,B1182,Transactions!$R$8:$R$3006),"OWES","OVERPAID"))))</f>
        <v/>
      </c>
      <c r="I1182" s="1"/>
    </row>
    <row r="1183" spans="1:9" ht="18" customHeight="1" x14ac:dyDescent="0.25">
      <c r="A1183" s="48">
        <v>1168</v>
      </c>
      <c r="B1183" s="49" t="str">
        <f t="array" ref="B1183">IFERROR(IF(INDEX(Transactions!$F$8:$F$3006,MATCH(0,COUNTIF($B$11:B1182,Transactions!$F$8:$F$3006),0))="","",INDEX(Transactions!$F$8:$F$3006,MATCH(0,COUNTIF($B$11:B1182,Transactions!$F$8:$F$3006),0))),"")</f>
        <v/>
      </c>
      <c r="C1183" s="50" t="str">
        <f>IF(B1183="","",SUMIF(Transactions!$F$8:$F$3006,B1183,Transactions!$H$8:$H$3006))</f>
        <v/>
      </c>
      <c r="D1183" s="51" t="str">
        <f>IF(B1183="","",SUMIF(Transactions!$F$8:$F$3006,B1183,Transactions!$N$8:$N$3006))</f>
        <v/>
      </c>
      <c r="E1183" s="52" t="str">
        <f>IF(B1183="","",SUMIF(Transactions!$F$8:$F$3006,B1183,Transactions!$O$8:$O$3006))</f>
        <v/>
      </c>
      <c r="F1183" s="53" t="str">
        <f>IF(B1183="","",SUMIF(Transactions!$F$8:$F$3006,B1183,Transactions!$R$8:$R$3006))</f>
        <v/>
      </c>
      <c r="G1183" s="54" t="str">
        <f>IF(B1183="","",(C1183+F1183)-(D1183+E1183+SUMIF(Transactions!$F$8:$F$3006,B1183,Transactions!$Q$8:$Q$3006)))</f>
        <v/>
      </c>
      <c r="H1183" s="55" t="str">
        <f>IF(B1183="","",IF(G1183&gt;0,"OUTSTANDING",IF(G1183=0,"SETTLED",IF(SUMIF(Transactions!$F$8:$F$3006,B1183,Transactions!$Q$8:$Q$3006)&gt;SUMIF(Transactions!$F$8:$F$3006,B1183,Transactions!$R$8:$R$3006),"OWES","OVERPAID"))))</f>
        <v/>
      </c>
      <c r="I1183" s="1"/>
    </row>
    <row r="1184" spans="1:9" ht="18" customHeight="1" x14ac:dyDescent="0.25">
      <c r="A1184" s="40">
        <v>1169</v>
      </c>
      <c r="B1184" s="41" t="str">
        <f t="array" ref="B1184">IFERROR(IF(INDEX(Transactions!$F$8:$F$3006,MATCH(0,COUNTIF($B$11:B1183,Transactions!$F$8:$F$3006),0))="","",INDEX(Transactions!$F$8:$F$3006,MATCH(0,COUNTIF($B$11:B1183,Transactions!$F$8:$F$3006),0))),"")</f>
        <v/>
      </c>
      <c r="C1184" s="42" t="str">
        <f>IF(B1184="","",SUMIF(Transactions!$F$8:$F$3006,B1184,Transactions!$H$8:$H$3006))</f>
        <v/>
      </c>
      <c r="D1184" s="43" t="str">
        <f>IF(B1184="","",SUMIF(Transactions!$F$8:$F$3006,B1184,Transactions!$N$8:$N$3006))</f>
        <v/>
      </c>
      <c r="E1184" s="44" t="str">
        <f>IF(B1184="","",SUMIF(Transactions!$F$8:$F$3006,B1184,Transactions!$O$8:$O$3006))</f>
        <v/>
      </c>
      <c r="F1184" s="45" t="str">
        <f>IF(B1184="","",SUMIF(Transactions!$F$8:$F$3006,B1184,Transactions!$R$8:$R$3006))</f>
        <v/>
      </c>
      <c r="G1184" s="46" t="str">
        <f>IF(B1184="","",(C1184+F1184)-(D1184+E1184+SUMIF(Transactions!$F$8:$F$3006,B1184,Transactions!$Q$8:$Q$3006)))</f>
        <v/>
      </c>
      <c r="H1184" s="47" t="str">
        <f>IF(B1184="","",IF(G1184&gt;0,"OUTSTANDING",IF(G1184=0,"SETTLED",IF(SUMIF(Transactions!$F$8:$F$3006,B1184,Transactions!$Q$8:$Q$3006)&gt;SUMIF(Transactions!$F$8:$F$3006,B1184,Transactions!$R$8:$R$3006),"OWES","OVERPAID"))))</f>
        <v/>
      </c>
      <c r="I1184" s="1"/>
    </row>
    <row r="1185" spans="1:9" ht="18" customHeight="1" x14ac:dyDescent="0.25">
      <c r="A1185" s="48">
        <v>1170</v>
      </c>
      <c r="B1185" s="49" t="str">
        <f t="array" ref="B1185">IFERROR(IF(INDEX(Transactions!$F$8:$F$3006,MATCH(0,COUNTIF($B$11:B1184,Transactions!$F$8:$F$3006),0))="","",INDEX(Transactions!$F$8:$F$3006,MATCH(0,COUNTIF($B$11:B1184,Transactions!$F$8:$F$3006),0))),"")</f>
        <v/>
      </c>
      <c r="C1185" s="50" t="str">
        <f>IF(B1185="","",SUMIF(Transactions!$F$8:$F$3006,B1185,Transactions!$H$8:$H$3006))</f>
        <v/>
      </c>
      <c r="D1185" s="51" t="str">
        <f>IF(B1185="","",SUMIF(Transactions!$F$8:$F$3006,B1185,Transactions!$N$8:$N$3006))</f>
        <v/>
      </c>
      <c r="E1185" s="52" t="str">
        <f>IF(B1185="","",SUMIF(Transactions!$F$8:$F$3006,B1185,Transactions!$O$8:$O$3006))</f>
        <v/>
      </c>
      <c r="F1185" s="53" t="str">
        <f>IF(B1185="","",SUMIF(Transactions!$F$8:$F$3006,B1185,Transactions!$R$8:$R$3006))</f>
        <v/>
      </c>
      <c r="G1185" s="54" t="str">
        <f>IF(B1185="","",(C1185+F1185)-(D1185+E1185+SUMIF(Transactions!$F$8:$F$3006,B1185,Transactions!$Q$8:$Q$3006)))</f>
        <v/>
      </c>
      <c r="H1185" s="55" t="str">
        <f>IF(B1185="","",IF(G1185&gt;0,"OUTSTANDING",IF(G1185=0,"SETTLED",IF(SUMIF(Transactions!$F$8:$F$3006,B1185,Transactions!$Q$8:$Q$3006)&gt;SUMIF(Transactions!$F$8:$F$3006,B1185,Transactions!$R$8:$R$3006),"OWES","OVERPAID"))))</f>
        <v/>
      </c>
      <c r="I1185" s="1"/>
    </row>
    <row r="1186" spans="1:9" ht="18" customHeight="1" x14ac:dyDescent="0.25">
      <c r="A1186" s="40">
        <v>1171</v>
      </c>
      <c r="B1186" s="41" t="str">
        <f t="array" ref="B1186">IFERROR(IF(INDEX(Transactions!$F$8:$F$3006,MATCH(0,COUNTIF($B$11:B1185,Transactions!$F$8:$F$3006),0))="","",INDEX(Transactions!$F$8:$F$3006,MATCH(0,COUNTIF($B$11:B1185,Transactions!$F$8:$F$3006),0))),"")</f>
        <v/>
      </c>
      <c r="C1186" s="42" t="str">
        <f>IF(B1186="","",SUMIF(Transactions!$F$8:$F$3006,B1186,Transactions!$H$8:$H$3006))</f>
        <v/>
      </c>
      <c r="D1186" s="43" t="str">
        <f>IF(B1186="","",SUMIF(Transactions!$F$8:$F$3006,B1186,Transactions!$N$8:$N$3006))</f>
        <v/>
      </c>
      <c r="E1186" s="44" t="str">
        <f>IF(B1186="","",SUMIF(Transactions!$F$8:$F$3006,B1186,Transactions!$O$8:$O$3006))</f>
        <v/>
      </c>
      <c r="F1186" s="45" t="str">
        <f>IF(B1186="","",SUMIF(Transactions!$F$8:$F$3006,B1186,Transactions!$R$8:$R$3006))</f>
        <v/>
      </c>
      <c r="G1186" s="46" t="str">
        <f>IF(B1186="","",(C1186+F1186)-(D1186+E1186+SUMIF(Transactions!$F$8:$F$3006,B1186,Transactions!$Q$8:$Q$3006)))</f>
        <v/>
      </c>
      <c r="H1186" s="47" t="str">
        <f>IF(B1186="","",IF(G1186&gt;0,"OUTSTANDING",IF(G1186=0,"SETTLED",IF(SUMIF(Transactions!$F$8:$F$3006,B1186,Transactions!$Q$8:$Q$3006)&gt;SUMIF(Transactions!$F$8:$F$3006,B1186,Transactions!$R$8:$R$3006),"OWES","OVERPAID"))))</f>
        <v/>
      </c>
      <c r="I1186" s="1"/>
    </row>
    <row r="1187" spans="1:9" ht="18" customHeight="1" x14ac:dyDescent="0.25">
      <c r="A1187" s="48">
        <v>1172</v>
      </c>
      <c r="B1187" s="49" t="str">
        <f t="array" ref="B1187">IFERROR(IF(INDEX(Transactions!$F$8:$F$3006,MATCH(0,COUNTIF($B$11:B1186,Transactions!$F$8:$F$3006),0))="","",INDEX(Transactions!$F$8:$F$3006,MATCH(0,COUNTIF($B$11:B1186,Transactions!$F$8:$F$3006),0))),"")</f>
        <v/>
      </c>
      <c r="C1187" s="50" t="str">
        <f>IF(B1187="","",SUMIF(Transactions!$F$8:$F$3006,B1187,Transactions!$H$8:$H$3006))</f>
        <v/>
      </c>
      <c r="D1187" s="51" t="str">
        <f>IF(B1187="","",SUMIF(Transactions!$F$8:$F$3006,B1187,Transactions!$N$8:$N$3006))</f>
        <v/>
      </c>
      <c r="E1187" s="52" t="str">
        <f>IF(B1187="","",SUMIF(Transactions!$F$8:$F$3006,B1187,Transactions!$O$8:$O$3006))</f>
        <v/>
      </c>
      <c r="F1187" s="53" t="str">
        <f>IF(B1187="","",SUMIF(Transactions!$F$8:$F$3006,B1187,Transactions!$R$8:$R$3006))</f>
        <v/>
      </c>
      <c r="G1187" s="54" t="str">
        <f>IF(B1187="","",(C1187+F1187)-(D1187+E1187+SUMIF(Transactions!$F$8:$F$3006,B1187,Transactions!$Q$8:$Q$3006)))</f>
        <v/>
      </c>
      <c r="H1187" s="55" t="str">
        <f>IF(B1187="","",IF(G1187&gt;0,"OUTSTANDING",IF(G1187=0,"SETTLED",IF(SUMIF(Transactions!$F$8:$F$3006,B1187,Transactions!$Q$8:$Q$3006)&gt;SUMIF(Transactions!$F$8:$F$3006,B1187,Transactions!$R$8:$R$3006),"OWES","OVERPAID"))))</f>
        <v/>
      </c>
      <c r="I1187" s="1"/>
    </row>
    <row r="1188" spans="1:9" ht="18" customHeight="1" x14ac:dyDescent="0.25">
      <c r="A1188" s="40">
        <v>1173</v>
      </c>
      <c r="B1188" s="41" t="str">
        <f t="array" ref="B1188">IFERROR(IF(INDEX(Transactions!$F$8:$F$3006,MATCH(0,COUNTIF($B$11:B1187,Transactions!$F$8:$F$3006),0))="","",INDEX(Transactions!$F$8:$F$3006,MATCH(0,COUNTIF($B$11:B1187,Transactions!$F$8:$F$3006),0))),"")</f>
        <v/>
      </c>
      <c r="C1188" s="42" t="str">
        <f>IF(B1188="","",SUMIF(Transactions!$F$8:$F$3006,B1188,Transactions!$H$8:$H$3006))</f>
        <v/>
      </c>
      <c r="D1188" s="43" t="str">
        <f>IF(B1188="","",SUMIF(Transactions!$F$8:$F$3006,B1188,Transactions!$N$8:$N$3006))</f>
        <v/>
      </c>
      <c r="E1188" s="44" t="str">
        <f>IF(B1188="","",SUMIF(Transactions!$F$8:$F$3006,B1188,Transactions!$O$8:$O$3006))</f>
        <v/>
      </c>
      <c r="F1188" s="45" t="str">
        <f>IF(B1188="","",SUMIF(Transactions!$F$8:$F$3006,B1188,Transactions!$R$8:$R$3006))</f>
        <v/>
      </c>
      <c r="G1188" s="46" t="str">
        <f>IF(B1188="","",(C1188+F1188)-(D1188+E1188+SUMIF(Transactions!$F$8:$F$3006,B1188,Transactions!$Q$8:$Q$3006)))</f>
        <v/>
      </c>
      <c r="H1188" s="47" t="str">
        <f>IF(B1188="","",IF(G1188&gt;0,"OUTSTANDING",IF(G1188=0,"SETTLED",IF(SUMIF(Transactions!$F$8:$F$3006,B1188,Transactions!$Q$8:$Q$3006)&gt;SUMIF(Transactions!$F$8:$F$3006,B1188,Transactions!$R$8:$R$3006),"OWES","OVERPAID"))))</f>
        <v/>
      </c>
      <c r="I1188" s="1"/>
    </row>
    <row r="1189" spans="1:9" ht="18" customHeight="1" x14ac:dyDescent="0.25">
      <c r="A1189" s="48">
        <v>1174</v>
      </c>
      <c r="B1189" s="49" t="str">
        <f t="array" ref="B1189">IFERROR(IF(INDEX(Transactions!$F$8:$F$3006,MATCH(0,COUNTIF($B$11:B1188,Transactions!$F$8:$F$3006),0))="","",INDEX(Transactions!$F$8:$F$3006,MATCH(0,COUNTIF($B$11:B1188,Transactions!$F$8:$F$3006),0))),"")</f>
        <v/>
      </c>
      <c r="C1189" s="50" t="str">
        <f>IF(B1189="","",SUMIF(Transactions!$F$8:$F$3006,B1189,Transactions!$H$8:$H$3006))</f>
        <v/>
      </c>
      <c r="D1189" s="51" t="str">
        <f>IF(B1189="","",SUMIF(Transactions!$F$8:$F$3006,B1189,Transactions!$N$8:$N$3006))</f>
        <v/>
      </c>
      <c r="E1189" s="52" t="str">
        <f>IF(B1189="","",SUMIF(Transactions!$F$8:$F$3006,B1189,Transactions!$O$8:$O$3006))</f>
        <v/>
      </c>
      <c r="F1189" s="53" t="str">
        <f>IF(B1189="","",SUMIF(Transactions!$F$8:$F$3006,B1189,Transactions!$R$8:$R$3006))</f>
        <v/>
      </c>
      <c r="G1189" s="54" t="str">
        <f>IF(B1189="","",(C1189+F1189)-(D1189+E1189+SUMIF(Transactions!$F$8:$F$3006,B1189,Transactions!$Q$8:$Q$3006)))</f>
        <v/>
      </c>
      <c r="H1189" s="55" t="str">
        <f>IF(B1189="","",IF(G1189&gt;0,"OUTSTANDING",IF(G1189=0,"SETTLED",IF(SUMIF(Transactions!$F$8:$F$3006,B1189,Transactions!$Q$8:$Q$3006)&gt;SUMIF(Transactions!$F$8:$F$3006,B1189,Transactions!$R$8:$R$3006),"OWES","OVERPAID"))))</f>
        <v/>
      </c>
      <c r="I1189" s="1"/>
    </row>
    <row r="1190" spans="1:9" ht="18" customHeight="1" x14ac:dyDescent="0.25">
      <c r="A1190" s="40">
        <v>1175</v>
      </c>
      <c r="B1190" s="41" t="str">
        <f t="array" ref="B1190">IFERROR(IF(INDEX(Transactions!$F$8:$F$3006,MATCH(0,COUNTIF($B$11:B1189,Transactions!$F$8:$F$3006),0))="","",INDEX(Transactions!$F$8:$F$3006,MATCH(0,COUNTIF($B$11:B1189,Transactions!$F$8:$F$3006),0))),"")</f>
        <v/>
      </c>
      <c r="C1190" s="42" t="str">
        <f>IF(B1190="","",SUMIF(Transactions!$F$8:$F$3006,B1190,Transactions!$H$8:$H$3006))</f>
        <v/>
      </c>
      <c r="D1190" s="43" t="str">
        <f>IF(B1190="","",SUMIF(Transactions!$F$8:$F$3006,B1190,Transactions!$N$8:$N$3006))</f>
        <v/>
      </c>
      <c r="E1190" s="44" t="str">
        <f>IF(B1190="","",SUMIF(Transactions!$F$8:$F$3006,B1190,Transactions!$O$8:$O$3006))</f>
        <v/>
      </c>
      <c r="F1190" s="45" t="str">
        <f>IF(B1190="","",SUMIF(Transactions!$F$8:$F$3006,B1190,Transactions!$R$8:$R$3006))</f>
        <v/>
      </c>
      <c r="G1190" s="46" t="str">
        <f>IF(B1190="","",(C1190+F1190)-(D1190+E1190+SUMIF(Transactions!$F$8:$F$3006,B1190,Transactions!$Q$8:$Q$3006)))</f>
        <v/>
      </c>
      <c r="H1190" s="47" t="str">
        <f>IF(B1190="","",IF(G1190&gt;0,"OUTSTANDING",IF(G1190=0,"SETTLED",IF(SUMIF(Transactions!$F$8:$F$3006,B1190,Transactions!$Q$8:$Q$3006)&gt;SUMIF(Transactions!$F$8:$F$3006,B1190,Transactions!$R$8:$R$3006),"OWES","OVERPAID"))))</f>
        <v/>
      </c>
      <c r="I1190" s="1"/>
    </row>
    <row r="1191" spans="1:9" ht="18" customHeight="1" x14ac:dyDescent="0.25">
      <c r="A1191" s="48">
        <v>1176</v>
      </c>
      <c r="B1191" s="49" t="str">
        <f t="array" ref="B1191">IFERROR(IF(INDEX(Transactions!$F$8:$F$3006,MATCH(0,COUNTIF($B$11:B1190,Transactions!$F$8:$F$3006),0))="","",INDEX(Transactions!$F$8:$F$3006,MATCH(0,COUNTIF($B$11:B1190,Transactions!$F$8:$F$3006),0))),"")</f>
        <v/>
      </c>
      <c r="C1191" s="50" t="str">
        <f>IF(B1191="","",SUMIF(Transactions!$F$8:$F$3006,B1191,Transactions!$H$8:$H$3006))</f>
        <v/>
      </c>
      <c r="D1191" s="51" t="str">
        <f>IF(B1191="","",SUMIF(Transactions!$F$8:$F$3006,B1191,Transactions!$N$8:$N$3006))</f>
        <v/>
      </c>
      <c r="E1191" s="52" t="str">
        <f>IF(B1191="","",SUMIF(Transactions!$F$8:$F$3006,B1191,Transactions!$O$8:$O$3006))</f>
        <v/>
      </c>
      <c r="F1191" s="53" t="str">
        <f>IF(B1191="","",SUMIF(Transactions!$F$8:$F$3006,B1191,Transactions!$R$8:$R$3006))</f>
        <v/>
      </c>
      <c r="G1191" s="54" t="str">
        <f>IF(B1191="","",(C1191+F1191)-(D1191+E1191+SUMIF(Transactions!$F$8:$F$3006,B1191,Transactions!$Q$8:$Q$3006)))</f>
        <v/>
      </c>
      <c r="H1191" s="55" t="str">
        <f>IF(B1191="","",IF(G1191&gt;0,"OUTSTANDING",IF(G1191=0,"SETTLED",IF(SUMIF(Transactions!$F$8:$F$3006,B1191,Transactions!$Q$8:$Q$3006)&gt;SUMIF(Transactions!$F$8:$F$3006,B1191,Transactions!$R$8:$R$3006),"OWES","OVERPAID"))))</f>
        <v/>
      </c>
      <c r="I1191" s="1"/>
    </row>
    <row r="1192" spans="1:9" ht="18" customHeight="1" x14ac:dyDescent="0.25">
      <c r="A1192" s="40">
        <v>1177</v>
      </c>
      <c r="B1192" s="41" t="str">
        <f t="array" ref="B1192">IFERROR(IF(INDEX(Transactions!$F$8:$F$3006,MATCH(0,COUNTIF($B$11:B1191,Transactions!$F$8:$F$3006),0))="","",INDEX(Transactions!$F$8:$F$3006,MATCH(0,COUNTIF($B$11:B1191,Transactions!$F$8:$F$3006),0))),"")</f>
        <v/>
      </c>
      <c r="C1192" s="42" t="str">
        <f>IF(B1192="","",SUMIF(Transactions!$F$8:$F$3006,B1192,Transactions!$H$8:$H$3006))</f>
        <v/>
      </c>
      <c r="D1192" s="43" t="str">
        <f>IF(B1192="","",SUMIF(Transactions!$F$8:$F$3006,B1192,Transactions!$N$8:$N$3006))</f>
        <v/>
      </c>
      <c r="E1192" s="44" t="str">
        <f>IF(B1192="","",SUMIF(Transactions!$F$8:$F$3006,B1192,Transactions!$O$8:$O$3006))</f>
        <v/>
      </c>
      <c r="F1192" s="45" t="str">
        <f>IF(B1192="","",SUMIF(Transactions!$F$8:$F$3006,B1192,Transactions!$R$8:$R$3006))</f>
        <v/>
      </c>
      <c r="G1192" s="46" t="str">
        <f>IF(B1192="","",(C1192+F1192)-(D1192+E1192+SUMIF(Transactions!$F$8:$F$3006,B1192,Transactions!$Q$8:$Q$3006)))</f>
        <v/>
      </c>
      <c r="H1192" s="47" t="str">
        <f>IF(B1192="","",IF(G1192&gt;0,"OUTSTANDING",IF(G1192=0,"SETTLED",IF(SUMIF(Transactions!$F$8:$F$3006,B1192,Transactions!$Q$8:$Q$3006)&gt;SUMIF(Transactions!$F$8:$F$3006,B1192,Transactions!$R$8:$R$3006),"OWES","OVERPAID"))))</f>
        <v/>
      </c>
      <c r="I1192" s="1"/>
    </row>
    <row r="1193" spans="1:9" ht="18" customHeight="1" x14ac:dyDescent="0.25">
      <c r="A1193" s="48">
        <v>1178</v>
      </c>
      <c r="B1193" s="49" t="str">
        <f t="array" ref="B1193">IFERROR(IF(INDEX(Transactions!$F$8:$F$3006,MATCH(0,COUNTIF($B$11:B1192,Transactions!$F$8:$F$3006),0))="","",INDEX(Transactions!$F$8:$F$3006,MATCH(0,COUNTIF($B$11:B1192,Transactions!$F$8:$F$3006),0))),"")</f>
        <v/>
      </c>
      <c r="C1193" s="50" t="str">
        <f>IF(B1193="","",SUMIF(Transactions!$F$8:$F$3006,B1193,Transactions!$H$8:$H$3006))</f>
        <v/>
      </c>
      <c r="D1193" s="51" t="str">
        <f>IF(B1193="","",SUMIF(Transactions!$F$8:$F$3006,B1193,Transactions!$N$8:$N$3006))</f>
        <v/>
      </c>
      <c r="E1193" s="52" t="str">
        <f>IF(B1193="","",SUMIF(Transactions!$F$8:$F$3006,B1193,Transactions!$O$8:$O$3006))</f>
        <v/>
      </c>
      <c r="F1193" s="53" t="str">
        <f>IF(B1193="","",SUMIF(Transactions!$F$8:$F$3006,B1193,Transactions!$R$8:$R$3006))</f>
        <v/>
      </c>
      <c r="G1193" s="54" t="str">
        <f>IF(B1193="","",(C1193+F1193)-(D1193+E1193+SUMIF(Transactions!$F$8:$F$3006,B1193,Transactions!$Q$8:$Q$3006)))</f>
        <v/>
      </c>
      <c r="H1193" s="55" t="str">
        <f>IF(B1193="","",IF(G1193&gt;0,"OUTSTANDING",IF(G1193=0,"SETTLED",IF(SUMIF(Transactions!$F$8:$F$3006,B1193,Transactions!$Q$8:$Q$3006)&gt;SUMIF(Transactions!$F$8:$F$3006,B1193,Transactions!$R$8:$R$3006),"OWES","OVERPAID"))))</f>
        <v/>
      </c>
      <c r="I1193" s="1"/>
    </row>
    <row r="1194" spans="1:9" ht="18" customHeight="1" x14ac:dyDescent="0.25">
      <c r="A1194" s="40">
        <v>1179</v>
      </c>
      <c r="B1194" s="41" t="str">
        <f t="array" ref="B1194">IFERROR(IF(INDEX(Transactions!$F$8:$F$3006,MATCH(0,COUNTIF($B$11:B1193,Transactions!$F$8:$F$3006),0))="","",INDEX(Transactions!$F$8:$F$3006,MATCH(0,COUNTIF($B$11:B1193,Transactions!$F$8:$F$3006),0))),"")</f>
        <v/>
      </c>
      <c r="C1194" s="42" t="str">
        <f>IF(B1194="","",SUMIF(Transactions!$F$8:$F$3006,B1194,Transactions!$H$8:$H$3006))</f>
        <v/>
      </c>
      <c r="D1194" s="43" t="str">
        <f>IF(B1194="","",SUMIF(Transactions!$F$8:$F$3006,B1194,Transactions!$N$8:$N$3006))</f>
        <v/>
      </c>
      <c r="E1194" s="44" t="str">
        <f>IF(B1194="","",SUMIF(Transactions!$F$8:$F$3006,B1194,Transactions!$O$8:$O$3006))</f>
        <v/>
      </c>
      <c r="F1194" s="45" t="str">
        <f>IF(B1194="","",SUMIF(Transactions!$F$8:$F$3006,B1194,Transactions!$R$8:$R$3006))</f>
        <v/>
      </c>
      <c r="G1194" s="46" t="str">
        <f>IF(B1194="","",(C1194+F1194)-(D1194+E1194+SUMIF(Transactions!$F$8:$F$3006,B1194,Transactions!$Q$8:$Q$3006)))</f>
        <v/>
      </c>
      <c r="H1194" s="47" t="str">
        <f>IF(B1194="","",IF(G1194&gt;0,"OUTSTANDING",IF(G1194=0,"SETTLED",IF(SUMIF(Transactions!$F$8:$F$3006,B1194,Transactions!$Q$8:$Q$3006)&gt;SUMIF(Transactions!$F$8:$F$3006,B1194,Transactions!$R$8:$R$3006),"OWES","OVERPAID"))))</f>
        <v/>
      </c>
      <c r="I1194" s="1"/>
    </row>
    <row r="1195" spans="1:9" ht="18" customHeight="1" x14ac:dyDescent="0.25">
      <c r="A1195" s="48">
        <v>1180</v>
      </c>
      <c r="B1195" s="49" t="str">
        <f t="array" ref="B1195">IFERROR(IF(INDEX(Transactions!$F$8:$F$3006,MATCH(0,COUNTIF($B$11:B1194,Transactions!$F$8:$F$3006),0))="","",INDEX(Transactions!$F$8:$F$3006,MATCH(0,COUNTIF($B$11:B1194,Transactions!$F$8:$F$3006),0))),"")</f>
        <v/>
      </c>
      <c r="C1195" s="50" t="str">
        <f>IF(B1195="","",SUMIF(Transactions!$F$8:$F$3006,B1195,Transactions!$H$8:$H$3006))</f>
        <v/>
      </c>
      <c r="D1195" s="51" t="str">
        <f>IF(B1195="","",SUMIF(Transactions!$F$8:$F$3006,B1195,Transactions!$N$8:$N$3006))</f>
        <v/>
      </c>
      <c r="E1195" s="52" t="str">
        <f>IF(B1195="","",SUMIF(Transactions!$F$8:$F$3006,B1195,Transactions!$O$8:$O$3006))</f>
        <v/>
      </c>
      <c r="F1195" s="53" t="str">
        <f>IF(B1195="","",SUMIF(Transactions!$F$8:$F$3006,B1195,Transactions!$R$8:$R$3006))</f>
        <v/>
      </c>
      <c r="G1195" s="54" t="str">
        <f>IF(B1195="","",(C1195+F1195)-(D1195+E1195+SUMIF(Transactions!$F$8:$F$3006,B1195,Transactions!$Q$8:$Q$3006)))</f>
        <v/>
      </c>
      <c r="H1195" s="55" t="str">
        <f>IF(B1195="","",IF(G1195&gt;0,"OUTSTANDING",IF(G1195=0,"SETTLED",IF(SUMIF(Transactions!$F$8:$F$3006,B1195,Transactions!$Q$8:$Q$3006)&gt;SUMIF(Transactions!$F$8:$F$3006,B1195,Transactions!$R$8:$R$3006),"OWES","OVERPAID"))))</f>
        <v/>
      </c>
      <c r="I1195" s="1"/>
    </row>
    <row r="1196" spans="1:9" ht="18" customHeight="1" x14ac:dyDescent="0.25">
      <c r="A1196" s="40">
        <v>1181</v>
      </c>
      <c r="B1196" s="41" t="str">
        <f t="array" ref="B1196">IFERROR(IF(INDEX(Transactions!$F$8:$F$3006,MATCH(0,COUNTIF($B$11:B1195,Transactions!$F$8:$F$3006),0))="","",INDEX(Transactions!$F$8:$F$3006,MATCH(0,COUNTIF($B$11:B1195,Transactions!$F$8:$F$3006),0))),"")</f>
        <v/>
      </c>
      <c r="C1196" s="42" t="str">
        <f>IF(B1196="","",SUMIF(Transactions!$F$8:$F$3006,B1196,Transactions!$H$8:$H$3006))</f>
        <v/>
      </c>
      <c r="D1196" s="43" t="str">
        <f>IF(B1196="","",SUMIF(Transactions!$F$8:$F$3006,B1196,Transactions!$N$8:$N$3006))</f>
        <v/>
      </c>
      <c r="E1196" s="44" t="str">
        <f>IF(B1196="","",SUMIF(Transactions!$F$8:$F$3006,B1196,Transactions!$O$8:$O$3006))</f>
        <v/>
      </c>
      <c r="F1196" s="45" t="str">
        <f>IF(B1196="","",SUMIF(Transactions!$F$8:$F$3006,B1196,Transactions!$R$8:$R$3006))</f>
        <v/>
      </c>
      <c r="G1196" s="46" t="str">
        <f>IF(B1196="","",(C1196+F1196)-(D1196+E1196+SUMIF(Transactions!$F$8:$F$3006,B1196,Transactions!$Q$8:$Q$3006)))</f>
        <v/>
      </c>
      <c r="H1196" s="47" t="str">
        <f>IF(B1196="","",IF(G1196&gt;0,"OUTSTANDING",IF(G1196=0,"SETTLED",IF(SUMIF(Transactions!$F$8:$F$3006,B1196,Transactions!$Q$8:$Q$3006)&gt;SUMIF(Transactions!$F$8:$F$3006,B1196,Transactions!$R$8:$R$3006),"OWES","OVERPAID"))))</f>
        <v/>
      </c>
      <c r="I1196" s="1"/>
    </row>
    <row r="1197" spans="1:9" ht="18" customHeight="1" x14ac:dyDescent="0.25">
      <c r="A1197" s="48">
        <v>1182</v>
      </c>
      <c r="B1197" s="49" t="str">
        <f t="array" ref="B1197">IFERROR(IF(INDEX(Transactions!$F$8:$F$3006,MATCH(0,COUNTIF($B$11:B1196,Transactions!$F$8:$F$3006),0))="","",INDEX(Transactions!$F$8:$F$3006,MATCH(0,COUNTIF($B$11:B1196,Transactions!$F$8:$F$3006),0))),"")</f>
        <v/>
      </c>
      <c r="C1197" s="50" t="str">
        <f>IF(B1197="","",SUMIF(Transactions!$F$8:$F$3006,B1197,Transactions!$H$8:$H$3006))</f>
        <v/>
      </c>
      <c r="D1197" s="51" t="str">
        <f>IF(B1197="","",SUMIF(Transactions!$F$8:$F$3006,B1197,Transactions!$N$8:$N$3006))</f>
        <v/>
      </c>
      <c r="E1197" s="52" t="str">
        <f>IF(B1197="","",SUMIF(Transactions!$F$8:$F$3006,B1197,Transactions!$O$8:$O$3006))</f>
        <v/>
      </c>
      <c r="F1197" s="53" t="str">
        <f>IF(B1197="","",SUMIF(Transactions!$F$8:$F$3006,B1197,Transactions!$R$8:$R$3006))</f>
        <v/>
      </c>
      <c r="G1197" s="54" t="str">
        <f>IF(B1197="","",(C1197+F1197)-(D1197+E1197+SUMIF(Transactions!$F$8:$F$3006,B1197,Transactions!$Q$8:$Q$3006)))</f>
        <v/>
      </c>
      <c r="H1197" s="55" t="str">
        <f>IF(B1197="","",IF(G1197&gt;0,"OUTSTANDING",IF(G1197=0,"SETTLED",IF(SUMIF(Transactions!$F$8:$F$3006,B1197,Transactions!$Q$8:$Q$3006)&gt;SUMIF(Transactions!$F$8:$F$3006,B1197,Transactions!$R$8:$R$3006),"OWES","OVERPAID"))))</f>
        <v/>
      </c>
      <c r="I1197" s="1"/>
    </row>
    <row r="1198" spans="1:9" ht="18" customHeight="1" x14ac:dyDescent="0.25">
      <c r="A1198" s="40">
        <v>1183</v>
      </c>
      <c r="B1198" s="41" t="str">
        <f t="array" ref="B1198">IFERROR(IF(INDEX(Transactions!$F$8:$F$3006,MATCH(0,COUNTIF($B$11:B1197,Transactions!$F$8:$F$3006),0))="","",INDEX(Transactions!$F$8:$F$3006,MATCH(0,COUNTIF($B$11:B1197,Transactions!$F$8:$F$3006),0))),"")</f>
        <v/>
      </c>
      <c r="C1198" s="42" t="str">
        <f>IF(B1198="","",SUMIF(Transactions!$F$8:$F$3006,B1198,Transactions!$H$8:$H$3006))</f>
        <v/>
      </c>
      <c r="D1198" s="43" t="str">
        <f>IF(B1198="","",SUMIF(Transactions!$F$8:$F$3006,B1198,Transactions!$N$8:$N$3006))</f>
        <v/>
      </c>
      <c r="E1198" s="44" t="str">
        <f>IF(B1198="","",SUMIF(Transactions!$F$8:$F$3006,B1198,Transactions!$O$8:$O$3006))</f>
        <v/>
      </c>
      <c r="F1198" s="45" t="str">
        <f>IF(B1198="","",SUMIF(Transactions!$F$8:$F$3006,B1198,Transactions!$R$8:$R$3006))</f>
        <v/>
      </c>
      <c r="G1198" s="46" t="str">
        <f>IF(B1198="","",(C1198+F1198)-(D1198+E1198+SUMIF(Transactions!$F$8:$F$3006,B1198,Transactions!$Q$8:$Q$3006)))</f>
        <v/>
      </c>
      <c r="H1198" s="47" t="str">
        <f>IF(B1198="","",IF(G1198&gt;0,"OUTSTANDING",IF(G1198=0,"SETTLED",IF(SUMIF(Transactions!$F$8:$F$3006,B1198,Transactions!$Q$8:$Q$3006)&gt;SUMIF(Transactions!$F$8:$F$3006,B1198,Transactions!$R$8:$R$3006),"OWES","OVERPAID"))))</f>
        <v/>
      </c>
      <c r="I1198" s="1"/>
    </row>
    <row r="1199" spans="1:9" ht="18" customHeight="1" x14ac:dyDescent="0.25">
      <c r="A1199" s="48">
        <v>1184</v>
      </c>
      <c r="B1199" s="49" t="str">
        <f t="array" ref="B1199">IFERROR(IF(INDEX(Transactions!$F$8:$F$3006,MATCH(0,COUNTIF($B$11:B1198,Transactions!$F$8:$F$3006),0))="","",INDEX(Transactions!$F$8:$F$3006,MATCH(0,COUNTIF($B$11:B1198,Transactions!$F$8:$F$3006),0))),"")</f>
        <v/>
      </c>
      <c r="C1199" s="50" t="str">
        <f>IF(B1199="","",SUMIF(Transactions!$F$8:$F$3006,B1199,Transactions!$H$8:$H$3006))</f>
        <v/>
      </c>
      <c r="D1199" s="51" t="str">
        <f>IF(B1199="","",SUMIF(Transactions!$F$8:$F$3006,B1199,Transactions!$N$8:$N$3006))</f>
        <v/>
      </c>
      <c r="E1199" s="52" t="str">
        <f>IF(B1199="","",SUMIF(Transactions!$F$8:$F$3006,B1199,Transactions!$O$8:$O$3006))</f>
        <v/>
      </c>
      <c r="F1199" s="53" t="str">
        <f>IF(B1199="","",SUMIF(Transactions!$F$8:$F$3006,B1199,Transactions!$R$8:$R$3006))</f>
        <v/>
      </c>
      <c r="G1199" s="54" t="str">
        <f>IF(B1199="","",(C1199+F1199)-(D1199+E1199+SUMIF(Transactions!$F$8:$F$3006,B1199,Transactions!$Q$8:$Q$3006)))</f>
        <v/>
      </c>
      <c r="H1199" s="55" t="str">
        <f>IF(B1199="","",IF(G1199&gt;0,"OUTSTANDING",IF(G1199=0,"SETTLED",IF(SUMIF(Transactions!$F$8:$F$3006,B1199,Transactions!$Q$8:$Q$3006)&gt;SUMIF(Transactions!$F$8:$F$3006,B1199,Transactions!$R$8:$R$3006),"OWES","OVERPAID"))))</f>
        <v/>
      </c>
      <c r="I1199" s="1"/>
    </row>
    <row r="1200" spans="1:9" ht="18" customHeight="1" x14ac:dyDescent="0.25">
      <c r="A1200" s="40">
        <v>1185</v>
      </c>
      <c r="B1200" s="41" t="str">
        <f t="array" ref="B1200">IFERROR(IF(INDEX(Transactions!$F$8:$F$3006,MATCH(0,COUNTIF($B$11:B1199,Transactions!$F$8:$F$3006),0))="","",INDEX(Transactions!$F$8:$F$3006,MATCH(0,COUNTIF($B$11:B1199,Transactions!$F$8:$F$3006),0))),"")</f>
        <v/>
      </c>
      <c r="C1200" s="42" t="str">
        <f>IF(B1200="","",SUMIF(Transactions!$F$8:$F$3006,B1200,Transactions!$H$8:$H$3006))</f>
        <v/>
      </c>
      <c r="D1200" s="43" t="str">
        <f>IF(B1200="","",SUMIF(Transactions!$F$8:$F$3006,B1200,Transactions!$N$8:$N$3006))</f>
        <v/>
      </c>
      <c r="E1200" s="44" t="str">
        <f>IF(B1200="","",SUMIF(Transactions!$F$8:$F$3006,B1200,Transactions!$O$8:$O$3006))</f>
        <v/>
      </c>
      <c r="F1200" s="45" t="str">
        <f>IF(B1200="","",SUMIF(Transactions!$F$8:$F$3006,B1200,Transactions!$R$8:$R$3006))</f>
        <v/>
      </c>
      <c r="G1200" s="46" t="str">
        <f>IF(B1200="","",(C1200+F1200)-(D1200+E1200+SUMIF(Transactions!$F$8:$F$3006,B1200,Transactions!$Q$8:$Q$3006)))</f>
        <v/>
      </c>
      <c r="H1200" s="47" t="str">
        <f>IF(B1200="","",IF(G1200&gt;0,"OUTSTANDING",IF(G1200=0,"SETTLED",IF(SUMIF(Transactions!$F$8:$F$3006,B1200,Transactions!$Q$8:$Q$3006)&gt;SUMIF(Transactions!$F$8:$F$3006,B1200,Transactions!$R$8:$R$3006),"OWES","OVERPAID"))))</f>
        <v/>
      </c>
      <c r="I1200" s="1"/>
    </row>
    <row r="1201" spans="1:9" ht="18" customHeight="1" x14ac:dyDescent="0.25">
      <c r="A1201" s="48">
        <v>1186</v>
      </c>
      <c r="B1201" s="49" t="str">
        <f t="array" ref="B1201">IFERROR(IF(INDEX(Transactions!$F$8:$F$3006,MATCH(0,COUNTIF($B$11:B1200,Transactions!$F$8:$F$3006),0))="","",INDEX(Transactions!$F$8:$F$3006,MATCH(0,COUNTIF($B$11:B1200,Transactions!$F$8:$F$3006),0))),"")</f>
        <v/>
      </c>
      <c r="C1201" s="50" t="str">
        <f>IF(B1201="","",SUMIF(Transactions!$F$8:$F$3006,B1201,Transactions!$H$8:$H$3006))</f>
        <v/>
      </c>
      <c r="D1201" s="51" t="str">
        <f>IF(B1201="","",SUMIF(Transactions!$F$8:$F$3006,B1201,Transactions!$N$8:$N$3006))</f>
        <v/>
      </c>
      <c r="E1201" s="52" t="str">
        <f>IF(B1201="","",SUMIF(Transactions!$F$8:$F$3006,B1201,Transactions!$O$8:$O$3006))</f>
        <v/>
      </c>
      <c r="F1201" s="53" t="str">
        <f>IF(B1201="","",SUMIF(Transactions!$F$8:$F$3006,B1201,Transactions!$R$8:$R$3006))</f>
        <v/>
      </c>
      <c r="G1201" s="54" t="str">
        <f>IF(B1201="","",(C1201+F1201)-(D1201+E1201+SUMIF(Transactions!$F$8:$F$3006,B1201,Transactions!$Q$8:$Q$3006)))</f>
        <v/>
      </c>
      <c r="H1201" s="55" t="str">
        <f>IF(B1201="","",IF(G1201&gt;0,"OUTSTANDING",IF(G1201=0,"SETTLED",IF(SUMIF(Transactions!$F$8:$F$3006,B1201,Transactions!$Q$8:$Q$3006)&gt;SUMIF(Transactions!$F$8:$F$3006,B1201,Transactions!$R$8:$R$3006),"OWES","OVERPAID"))))</f>
        <v/>
      </c>
      <c r="I1201" s="1"/>
    </row>
    <row r="1202" spans="1:9" ht="18" customHeight="1" x14ac:dyDescent="0.25">
      <c r="A1202" s="40">
        <v>1187</v>
      </c>
      <c r="B1202" s="41" t="str">
        <f t="array" ref="B1202">IFERROR(IF(INDEX(Transactions!$F$8:$F$3006,MATCH(0,COUNTIF($B$11:B1201,Transactions!$F$8:$F$3006),0))="","",INDEX(Transactions!$F$8:$F$3006,MATCH(0,COUNTIF($B$11:B1201,Transactions!$F$8:$F$3006),0))),"")</f>
        <v/>
      </c>
      <c r="C1202" s="42" t="str">
        <f>IF(B1202="","",SUMIF(Transactions!$F$8:$F$3006,B1202,Transactions!$H$8:$H$3006))</f>
        <v/>
      </c>
      <c r="D1202" s="43" t="str">
        <f>IF(B1202="","",SUMIF(Transactions!$F$8:$F$3006,B1202,Transactions!$N$8:$N$3006))</f>
        <v/>
      </c>
      <c r="E1202" s="44" t="str">
        <f>IF(B1202="","",SUMIF(Transactions!$F$8:$F$3006,B1202,Transactions!$O$8:$O$3006))</f>
        <v/>
      </c>
      <c r="F1202" s="45" t="str">
        <f>IF(B1202="","",SUMIF(Transactions!$F$8:$F$3006,B1202,Transactions!$R$8:$R$3006))</f>
        <v/>
      </c>
      <c r="G1202" s="46" t="str">
        <f>IF(B1202="","",(C1202+F1202)-(D1202+E1202+SUMIF(Transactions!$F$8:$F$3006,B1202,Transactions!$Q$8:$Q$3006)))</f>
        <v/>
      </c>
      <c r="H1202" s="47" t="str">
        <f>IF(B1202="","",IF(G1202&gt;0,"OUTSTANDING",IF(G1202=0,"SETTLED",IF(SUMIF(Transactions!$F$8:$F$3006,B1202,Transactions!$Q$8:$Q$3006)&gt;SUMIF(Transactions!$F$8:$F$3006,B1202,Transactions!$R$8:$R$3006),"OWES","OVERPAID"))))</f>
        <v/>
      </c>
      <c r="I1202" s="1"/>
    </row>
    <row r="1203" spans="1:9" ht="18" customHeight="1" x14ac:dyDescent="0.25">
      <c r="A1203" s="48">
        <v>1188</v>
      </c>
      <c r="B1203" s="49" t="str">
        <f t="array" ref="B1203">IFERROR(IF(INDEX(Transactions!$F$8:$F$3006,MATCH(0,COUNTIF($B$11:B1202,Transactions!$F$8:$F$3006),0))="","",INDEX(Transactions!$F$8:$F$3006,MATCH(0,COUNTIF($B$11:B1202,Transactions!$F$8:$F$3006),0))),"")</f>
        <v/>
      </c>
      <c r="C1203" s="50" t="str">
        <f>IF(B1203="","",SUMIF(Transactions!$F$8:$F$3006,B1203,Transactions!$H$8:$H$3006))</f>
        <v/>
      </c>
      <c r="D1203" s="51" t="str">
        <f>IF(B1203="","",SUMIF(Transactions!$F$8:$F$3006,B1203,Transactions!$N$8:$N$3006))</f>
        <v/>
      </c>
      <c r="E1203" s="52" t="str">
        <f>IF(B1203="","",SUMIF(Transactions!$F$8:$F$3006,B1203,Transactions!$O$8:$O$3006))</f>
        <v/>
      </c>
      <c r="F1203" s="53" t="str">
        <f>IF(B1203="","",SUMIF(Transactions!$F$8:$F$3006,B1203,Transactions!$R$8:$R$3006))</f>
        <v/>
      </c>
      <c r="G1203" s="54" t="str">
        <f>IF(B1203="","",(C1203+F1203)-(D1203+E1203+SUMIF(Transactions!$F$8:$F$3006,B1203,Transactions!$Q$8:$Q$3006)))</f>
        <v/>
      </c>
      <c r="H1203" s="55" t="str">
        <f>IF(B1203="","",IF(G1203&gt;0,"OUTSTANDING",IF(G1203=0,"SETTLED",IF(SUMIF(Transactions!$F$8:$F$3006,B1203,Transactions!$Q$8:$Q$3006)&gt;SUMIF(Transactions!$F$8:$F$3006,B1203,Transactions!$R$8:$R$3006),"OWES","OVERPAID"))))</f>
        <v/>
      </c>
      <c r="I1203" s="1"/>
    </row>
    <row r="1204" spans="1:9" ht="18" customHeight="1" x14ac:dyDescent="0.25">
      <c r="A1204" s="40">
        <v>1189</v>
      </c>
      <c r="B1204" s="41" t="str">
        <f t="array" ref="B1204">IFERROR(IF(INDEX(Transactions!$F$8:$F$3006,MATCH(0,COUNTIF($B$11:B1203,Transactions!$F$8:$F$3006),0))="","",INDEX(Transactions!$F$8:$F$3006,MATCH(0,COUNTIF($B$11:B1203,Transactions!$F$8:$F$3006),0))),"")</f>
        <v/>
      </c>
      <c r="C1204" s="42" t="str">
        <f>IF(B1204="","",SUMIF(Transactions!$F$8:$F$3006,B1204,Transactions!$H$8:$H$3006))</f>
        <v/>
      </c>
      <c r="D1204" s="43" t="str">
        <f>IF(B1204="","",SUMIF(Transactions!$F$8:$F$3006,B1204,Transactions!$N$8:$N$3006))</f>
        <v/>
      </c>
      <c r="E1204" s="44" t="str">
        <f>IF(B1204="","",SUMIF(Transactions!$F$8:$F$3006,B1204,Transactions!$O$8:$O$3006))</f>
        <v/>
      </c>
      <c r="F1204" s="45" t="str">
        <f>IF(B1204="","",SUMIF(Transactions!$F$8:$F$3006,B1204,Transactions!$R$8:$R$3006))</f>
        <v/>
      </c>
      <c r="G1204" s="46" t="str">
        <f>IF(B1204="","",(C1204+F1204)-(D1204+E1204+SUMIF(Transactions!$F$8:$F$3006,B1204,Transactions!$Q$8:$Q$3006)))</f>
        <v/>
      </c>
      <c r="H1204" s="47" t="str">
        <f>IF(B1204="","",IF(G1204&gt;0,"OUTSTANDING",IF(G1204=0,"SETTLED",IF(SUMIF(Transactions!$F$8:$F$3006,B1204,Transactions!$Q$8:$Q$3006)&gt;SUMIF(Transactions!$F$8:$F$3006,B1204,Transactions!$R$8:$R$3006),"OWES","OVERPAID"))))</f>
        <v/>
      </c>
      <c r="I1204" s="1"/>
    </row>
    <row r="1205" spans="1:9" ht="18" customHeight="1" x14ac:dyDescent="0.25">
      <c r="A1205" s="48">
        <v>1190</v>
      </c>
      <c r="B1205" s="49" t="str">
        <f t="array" ref="B1205">IFERROR(IF(INDEX(Transactions!$F$8:$F$3006,MATCH(0,COUNTIF($B$11:B1204,Transactions!$F$8:$F$3006),0))="","",INDEX(Transactions!$F$8:$F$3006,MATCH(0,COUNTIF($B$11:B1204,Transactions!$F$8:$F$3006),0))),"")</f>
        <v/>
      </c>
      <c r="C1205" s="50" t="str">
        <f>IF(B1205="","",SUMIF(Transactions!$F$8:$F$3006,B1205,Transactions!$H$8:$H$3006))</f>
        <v/>
      </c>
      <c r="D1205" s="51" t="str">
        <f>IF(B1205="","",SUMIF(Transactions!$F$8:$F$3006,B1205,Transactions!$N$8:$N$3006))</f>
        <v/>
      </c>
      <c r="E1205" s="52" t="str">
        <f>IF(B1205="","",SUMIF(Transactions!$F$8:$F$3006,B1205,Transactions!$O$8:$O$3006))</f>
        <v/>
      </c>
      <c r="F1205" s="53" t="str">
        <f>IF(B1205="","",SUMIF(Transactions!$F$8:$F$3006,B1205,Transactions!$R$8:$R$3006))</f>
        <v/>
      </c>
      <c r="G1205" s="54" t="str">
        <f>IF(B1205="","",(C1205+F1205)-(D1205+E1205+SUMIF(Transactions!$F$8:$F$3006,B1205,Transactions!$Q$8:$Q$3006)))</f>
        <v/>
      </c>
      <c r="H1205" s="55" t="str">
        <f>IF(B1205="","",IF(G1205&gt;0,"OUTSTANDING",IF(G1205=0,"SETTLED",IF(SUMIF(Transactions!$F$8:$F$3006,B1205,Transactions!$Q$8:$Q$3006)&gt;SUMIF(Transactions!$F$8:$F$3006,B1205,Transactions!$R$8:$R$3006),"OWES","OVERPAID"))))</f>
        <v/>
      </c>
      <c r="I1205" s="1"/>
    </row>
    <row r="1206" spans="1:9" ht="18" customHeight="1" x14ac:dyDescent="0.25">
      <c r="A1206" s="40">
        <v>1191</v>
      </c>
      <c r="B1206" s="41" t="str">
        <f t="array" ref="B1206">IFERROR(IF(INDEX(Transactions!$F$8:$F$3006,MATCH(0,COUNTIF($B$11:B1205,Transactions!$F$8:$F$3006),0))="","",INDEX(Transactions!$F$8:$F$3006,MATCH(0,COUNTIF($B$11:B1205,Transactions!$F$8:$F$3006),0))),"")</f>
        <v/>
      </c>
      <c r="C1206" s="42" t="str">
        <f>IF(B1206="","",SUMIF(Transactions!$F$8:$F$3006,B1206,Transactions!$H$8:$H$3006))</f>
        <v/>
      </c>
      <c r="D1206" s="43" t="str">
        <f>IF(B1206="","",SUMIF(Transactions!$F$8:$F$3006,B1206,Transactions!$N$8:$N$3006))</f>
        <v/>
      </c>
      <c r="E1206" s="44" t="str">
        <f>IF(B1206="","",SUMIF(Transactions!$F$8:$F$3006,B1206,Transactions!$O$8:$O$3006))</f>
        <v/>
      </c>
      <c r="F1206" s="45" t="str">
        <f>IF(B1206="","",SUMIF(Transactions!$F$8:$F$3006,B1206,Transactions!$R$8:$R$3006))</f>
        <v/>
      </c>
      <c r="G1206" s="46" t="str">
        <f>IF(B1206="","",(C1206+F1206)-(D1206+E1206+SUMIF(Transactions!$F$8:$F$3006,B1206,Transactions!$Q$8:$Q$3006)))</f>
        <v/>
      </c>
      <c r="H1206" s="47" t="str">
        <f>IF(B1206="","",IF(G1206&gt;0,"OUTSTANDING",IF(G1206=0,"SETTLED",IF(SUMIF(Transactions!$F$8:$F$3006,B1206,Transactions!$Q$8:$Q$3006)&gt;SUMIF(Transactions!$F$8:$F$3006,B1206,Transactions!$R$8:$R$3006),"OWES","OVERPAID"))))</f>
        <v/>
      </c>
      <c r="I1206" s="1"/>
    </row>
    <row r="1207" spans="1:9" ht="18" customHeight="1" x14ac:dyDescent="0.25">
      <c r="A1207" s="48">
        <v>1192</v>
      </c>
      <c r="B1207" s="49" t="str">
        <f t="array" ref="B1207">IFERROR(IF(INDEX(Transactions!$F$8:$F$3006,MATCH(0,COUNTIF($B$11:B1206,Transactions!$F$8:$F$3006),0))="","",INDEX(Transactions!$F$8:$F$3006,MATCH(0,COUNTIF($B$11:B1206,Transactions!$F$8:$F$3006),0))),"")</f>
        <v/>
      </c>
      <c r="C1207" s="50" t="str">
        <f>IF(B1207="","",SUMIF(Transactions!$F$8:$F$3006,B1207,Transactions!$H$8:$H$3006))</f>
        <v/>
      </c>
      <c r="D1207" s="51" t="str">
        <f>IF(B1207="","",SUMIF(Transactions!$F$8:$F$3006,B1207,Transactions!$N$8:$N$3006))</f>
        <v/>
      </c>
      <c r="E1207" s="52" t="str">
        <f>IF(B1207="","",SUMIF(Transactions!$F$8:$F$3006,B1207,Transactions!$O$8:$O$3006))</f>
        <v/>
      </c>
      <c r="F1207" s="53" t="str">
        <f>IF(B1207="","",SUMIF(Transactions!$F$8:$F$3006,B1207,Transactions!$R$8:$R$3006))</f>
        <v/>
      </c>
      <c r="G1207" s="54" t="str">
        <f>IF(B1207="","",(C1207+F1207)-(D1207+E1207+SUMIF(Transactions!$F$8:$F$3006,B1207,Transactions!$Q$8:$Q$3006)))</f>
        <v/>
      </c>
      <c r="H1207" s="55" t="str">
        <f>IF(B1207="","",IF(G1207&gt;0,"OUTSTANDING",IF(G1207=0,"SETTLED",IF(SUMIF(Transactions!$F$8:$F$3006,B1207,Transactions!$Q$8:$Q$3006)&gt;SUMIF(Transactions!$F$8:$F$3006,B1207,Transactions!$R$8:$R$3006),"OWES","OVERPAID"))))</f>
        <v/>
      </c>
      <c r="I1207" s="1"/>
    </row>
    <row r="1208" spans="1:9" ht="18" customHeight="1" x14ac:dyDescent="0.25">
      <c r="A1208" s="40">
        <v>1193</v>
      </c>
      <c r="B1208" s="41" t="str">
        <f t="array" ref="B1208">IFERROR(IF(INDEX(Transactions!$F$8:$F$3006,MATCH(0,COUNTIF($B$11:B1207,Transactions!$F$8:$F$3006),0))="","",INDEX(Transactions!$F$8:$F$3006,MATCH(0,COUNTIF($B$11:B1207,Transactions!$F$8:$F$3006),0))),"")</f>
        <v/>
      </c>
      <c r="C1208" s="42" t="str">
        <f>IF(B1208="","",SUMIF(Transactions!$F$8:$F$3006,B1208,Transactions!$H$8:$H$3006))</f>
        <v/>
      </c>
      <c r="D1208" s="43" t="str">
        <f>IF(B1208="","",SUMIF(Transactions!$F$8:$F$3006,B1208,Transactions!$N$8:$N$3006))</f>
        <v/>
      </c>
      <c r="E1208" s="44" t="str">
        <f>IF(B1208="","",SUMIF(Transactions!$F$8:$F$3006,B1208,Transactions!$O$8:$O$3006))</f>
        <v/>
      </c>
      <c r="F1208" s="45" t="str">
        <f>IF(B1208="","",SUMIF(Transactions!$F$8:$F$3006,B1208,Transactions!$R$8:$R$3006))</f>
        <v/>
      </c>
      <c r="G1208" s="46" t="str">
        <f>IF(B1208="","",(C1208+F1208)-(D1208+E1208+SUMIF(Transactions!$F$8:$F$3006,B1208,Transactions!$Q$8:$Q$3006)))</f>
        <v/>
      </c>
      <c r="H1208" s="47" t="str">
        <f>IF(B1208="","",IF(G1208&gt;0,"OUTSTANDING",IF(G1208=0,"SETTLED",IF(SUMIF(Transactions!$F$8:$F$3006,B1208,Transactions!$Q$8:$Q$3006)&gt;SUMIF(Transactions!$F$8:$F$3006,B1208,Transactions!$R$8:$R$3006),"OWES","OVERPAID"))))</f>
        <v/>
      </c>
      <c r="I1208" s="1"/>
    </row>
    <row r="1209" spans="1:9" ht="18" customHeight="1" x14ac:dyDescent="0.25">
      <c r="A1209" s="48">
        <v>1194</v>
      </c>
      <c r="B1209" s="49" t="str">
        <f t="array" ref="B1209">IFERROR(IF(INDEX(Transactions!$F$8:$F$3006,MATCH(0,COUNTIF($B$11:B1208,Transactions!$F$8:$F$3006),0))="","",INDEX(Transactions!$F$8:$F$3006,MATCH(0,COUNTIF($B$11:B1208,Transactions!$F$8:$F$3006),0))),"")</f>
        <v/>
      </c>
      <c r="C1209" s="50" t="str">
        <f>IF(B1209="","",SUMIF(Transactions!$F$8:$F$3006,B1209,Transactions!$H$8:$H$3006))</f>
        <v/>
      </c>
      <c r="D1209" s="51" t="str">
        <f>IF(B1209="","",SUMIF(Transactions!$F$8:$F$3006,B1209,Transactions!$N$8:$N$3006))</f>
        <v/>
      </c>
      <c r="E1209" s="52" t="str">
        <f>IF(B1209="","",SUMIF(Transactions!$F$8:$F$3006,B1209,Transactions!$O$8:$O$3006))</f>
        <v/>
      </c>
      <c r="F1209" s="53" t="str">
        <f>IF(B1209="","",SUMIF(Transactions!$F$8:$F$3006,B1209,Transactions!$R$8:$R$3006))</f>
        <v/>
      </c>
      <c r="G1209" s="54" t="str">
        <f>IF(B1209="","",(C1209+F1209)-(D1209+E1209+SUMIF(Transactions!$F$8:$F$3006,B1209,Transactions!$Q$8:$Q$3006)))</f>
        <v/>
      </c>
      <c r="H1209" s="55" t="str">
        <f>IF(B1209="","",IF(G1209&gt;0,"OUTSTANDING",IF(G1209=0,"SETTLED",IF(SUMIF(Transactions!$F$8:$F$3006,B1209,Transactions!$Q$8:$Q$3006)&gt;SUMIF(Transactions!$F$8:$F$3006,B1209,Transactions!$R$8:$R$3006),"OWES","OVERPAID"))))</f>
        <v/>
      </c>
      <c r="I1209" s="1"/>
    </row>
    <row r="1210" spans="1:9" ht="18" customHeight="1" x14ac:dyDescent="0.25">
      <c r="A1210" s="40">
        <v>1195</v>
      </c>
      <c r="B1210" s="41" t="str">
        <f t="array" ref="B1210">IFERROR(IF(INDEX(Transactions!$F$8:$F$3006,MATCH(0,COUNTIF($B$11:B1209,Transactions!$F$8:$F$3006),0))="","",INDEX(Transactions!$F$8:$F$3006,MATCH(0,COUNTIF($B$11:B1209,Transactions!$F$8:$F$3006),0))),"")</f>
        <v/>
      </c>
      <c r="C1210" s="42" t="str">
        <f>IF(B1210="","",SUMIF(Transactions!$F$8:$F$3006,B1210,Transactions!$H$8:$H$3006))</f>
        <v/>
      </c>
      <c r="D1210" s="43" t="str">
        <f>IF(B1210="","",SUMIF(Transactions!$F$8:$F$3006,B1210,Transactions!$N$8:$N$3006))</f>
        <v/>
      </c>
      <c r="E1210" s="44" t="str">
        <f>IF(B1210="","",SUMIF(Transactions!$F$8:$F$3006,B1210,Transactions!$O$8:$O$3006))</f>
        <v/>
      </c>
      <c r="F1210" s="45" t="str">
        <f>IF(B1210="","",SUMIF(Transactions!$F$8:$F$3006,B1210,Transactions!$R$8:$R$3006))</f>
        <v/>
      </c>
      <c r="G1210" s="46" t="str">
        <f>IF(B1210="","",(C1210+F1210)-(D1210+E1210+SUMIF(Transactions!$F$8:$F$3006,B1210,Transactions!$Q$8:$Q$3006)))</f>
        <v/>
      </c>
      <c r="H1210" s="47" t="str">
        <f>IF(B1210="","",IF(G1210&gt;0,"OUTSTANDING",IF(G1210=0,"SETTLED",IF(SUMIF(Transactions!$F$8:$F$3006,B1210,Transactions!$Q$8:$Q$3006)&gt;SUMIF(Transactions!$F$8:$F$3006,B1210,Transactions!$R$8:$R$3006),"OWES","OVERPAID"))))</f>
        <v/>
      </c>
      <c r="I1210" s="1"/>
    </row>
    <row r="1211" spans="1:9" ht="18" customHeight="1" x14ac:dyDescent="0.25">
      <c r="A1211" s="48">
        <v>1196</v>
      </c>
      <c r="B1211" s="49" t="str">
        <f t="array" ref="B1211">IFERROR(IF(INDEX(Transactions!$F$8:$F$3006,MATCH(0,COUNTIF($B$11:B1210,Transactions!$F$8:$F$3006),0))="","",INDEX(Transactions!$F$8:$F$3006,MATCH(0,COUNTIF($B$11:B1210,Transactions!$F$8:$F$3006),0))),"")</f>
        <v/>
      </c>
      <c r="C1211" s="50" t="str">
        <f>IF(B1211="","",SUMIF(Transactions!$F$8:$F$3006,B1211,Transactions!$H$8:$H$3006))</f>
        <v/>
      </c>
      <c r="D1211" s="51" t="str">
        <f>IF(B1211="","",SUMIF(Transactions!$F$8:$F$3006,B1211,Transactions!$N$8:$N$3006))</f>
        <v/>
      </c>
      <c r="E1211" s="52" t="str">
        <f>IF(B1211="","",SUMIF(Transactions!$F$8:$F$3006,B1211,Transactions!$O$8:$O$3006))</f>
        <v/>
      </c>
      <c r="F1211" s="53" t="str">
        <f>IF(B1211="","",SUMIF(Transactions!$F$8:$F$3006,B1211,Transactions!$R$8:$R$3006))</f>
        <v/>
      </c>
      <c r="G1211" s="54" t="str">
        <f>IF(B1211="","",(C1211+F1211)-(D1211+E1211+SUMIF(Transactions!$F$8:$F$3006,B1211,Transactions!$Q$8:$Q$3006)))</f>
        <v/>
      </c>
      <c r="H1211" s="55" t="str">
        <f>IF(B1211="","",IF(G1211&gt;0,"OUTSTANDING",IF(G1211=0,"SETTLED",IF(SUMIF(Transactions!$F$8:$F$3006,B1211,Transactions!$Q$8:$Q$3006)&gt;SUMIF(Transactions!$F$8:$F$3006,B1211,Transactions!$R$8:$R$3006),"OWES","OVERPAID"))))</f>
        <v/>
      </c>
      <c r="I1211" s="1"/>
    </row>
    <row r="1212" spans="1:9" ht="18" customHeight="1" x14ac:dyDescent="0.25">
      <c r="A1212" s="40">
        <v>1197</v>
      </c>
      <c r="B1212" s="41" t="str">
        <f t="array" ref="B1212">IFERROR(IF(INDEX(Transactions!$F$8:$F$3006,MATCH(0,COUNTIF($B$11:B1211,Transactions!$F$8:$F$3006),0))="","",INDEX(Transactions!$F$8:$F$3006,MATCH(0,COUNTIF($B$11:B1211,Transactions!$F$8:$F$3006),0))),"")</f>
        <v/>
      </c>
      <c r="C1212" s="42" t="str">
        <f>IF(B1212="","",SUMIF(Transactions!$F$8:$F$3006,B1212,Transactions!$H$8:$H$3006))</f>
        <v/>
      </c>
      <c r="D1212" s="43" t="str">
        <f>IF(B1212="","",SUMIF(Transactions!$F$8:$F$3006,B1212,Transactions!$N$8:$N$3006))</f>
        <v/>
      </c>
      <c r="E1212" s="44" t="str">
        <f>IF(B1212="","",SUMIF(Transactions!$F$8:$F$3006,B1212,Transactions!$O$8:$O$3006))</f>
        <v/>
      </c>
      <c r="F1212" s="45" t="str">
        <f>IF(B1212="","",SUMIF(Transactions!$F$8:$F$3006,B1212,Transactions!$R$8:$R$3006))</f>
        <v/>
      </c>
      <c r="G1212" s="46" t="str">
        <f>IF(B1212="","",(C1212+F1212)-(D1212+E1212+SUMIF(Transactions!$F$8:$F$3006,B1212,Transactions!$Q$8:$Q$3006)))</f>
        <v/>
      </c>
      <c r="H1212" s="47" t="str">
        <f>IF(B1212="","",IF(G1212&gt;0,"OUTSTANDING",IF(G1212=0,"SETTLED",IF(SUMIF(Transactions!$F$8:$F$3006,B1212,Transactions!$Q$8:$Q$3006)&gt;SUMIF(Transactions!$F$8:$F$3006,B1212,Transactions!$R$8:$R$3006),"OWES","OVERPAID"))))</f>
        <v/>
      </c>
      <c r="I1212" s="1"/>
    </row>
    <row r="1213" spans="1:9" ht="18" customHeight="1" x14ac:dyDescent="0.25">
      <c r="A1213" s="48">
        <v>1198</v>
      </c>
      <c r="B1213" s="49" t="str">
        <f t="array" ref="B1213">IFERROR(IF(INDEX(Transactions!$F$8:$F$3006,MATCH(0,COUNTIF($B$11:B1212,Transactions!$F$8:$F$3006),0))="","",INDEX(Transactions!$F$8:$F$3006,MATCH(0,COUNTIF($B$11:B1212,Transactions!$F$8:$F$3006),0))),"")</f>
        <v/>
      </c>
      <c r="C1213" s="50" t="str">
        <f>IF(B1213="","",SUMIF(Transactions!$F$8:$F$3006,B1213,Transactions!$H$8:$H$3006))</f>
        <v/>
      </c>
      <c r="D1213" s="51" t="str">
        <f>IF(B1213="","",SUMIF(Transactions!$F$8:$F$3006,B1213,Transactions!$N$8:$N$3006))</f>
        <v/>
      </c>
      <c r="E1213" s="52" t="str">
        <f>IF(B1213="","",SUMIF(Transactions!$F$8:$F$3006,B1213,Transactions!$O$8:$O$3006))</f>
        <v/>
      </c>
      <c r="F1213" s="53" t="str">
        <f>IF(B1213="","",SUMIF(Transactions!$F$8:$F$3006,B1213,Transactions!$R$8:$R$3006))</f>
        <v/>
      </c>
      <c r="G1213" s="54" t="str">
        <f>IF(B1213="","",(C1213+F1213)-(D1213+E1213+SUMIF(Transactions!$F$8:$F$3006,B1213,Transactions!$Q$8:$Q$3006)))</f>
        <v/>
      </c>
      <c r="H1213" s="55" t="str">
        <f>IF(B1213="","",IF(G1213&gt;0,"OUTSTANDING",IF(G1213=0,"SETTLED",IF(SUMIF(Transactions!$F$8:$F$3006,B1213,Transactions!$Q$8:$Q$3006)&gt;SUMIF(Transactions!$F$8:$F$3006,B1213,Transactions!$R$8:$R$3006),"OWES","OVERPAID"))))</f>
        <v/>
      </c>
      <c r="I1213" s="1"/>
    </row>
    <row r="1214" spans="1:9" ht="18" customHeight="1" x14ac:dyDescent="0.25">
      <c r="A1214" s="40">
        <v>1199</v>
      </c>
      <c r="B1214" s="41" t="str">
        <f t="array" ref="B1214">IFERROR(IF(INDEX(Transactions!$F$8:$F$3006,MATCH(0,COUNTIF($B$11:B1213,Transactions!$F$8:$F$3006),0))="","",INDEX(Transactions!$F$8:$F$3006,MATCH(0,COUNTIF($B$11:B1213,Transactions!$F$8:$F$3006),0))),"")</f>
        <v/>
      </c>
      <c r="C1214" s="42" t="str">
        <f>IF(B1214="","",SUMIF(Transactions!$F$8:$F$3006,B1214,Transactions!$H$8:$H$3006))</f>
        <v/>
      </c>
      <c r="D1214" s="43" t="str">
        <f>IF(B1214="","",SUMIF(Transactions!$F$8:$F$3006,B1214,Transactions!$N$8:$N$3006))</f>
        <v/>
      </c>
      <c r="E1214" s="44" t="str">
        <f>IF(B1214="","",SUMIF(Transactions!$F$8:$F$3006,B1214,Transactions!$O$8:$O$3006))</f>
        <v/>
      </c>
      <c r="F1214" s="45" t="str">
        <f>IF(B1214="","",SUMIF(Transactions!$F$8:$F$3006,B1214,Transactions!$R$8:$R$3006))</f>
        <v/>
      </c>
      <c r="G1214" s="46" t="str">
        <f>IF(B1214="","",(C1214+F1214)-(D1214+E1214+SUMIF(Transactions!$F$8:$F$3006,B1214,Transactions!$Q$8:$Q$3006)))</f>
        <v/>
      </c>
      <c r="H1214" s="47" t="str">
        <f>IF(B1214="","",IF(G1214&gt;0,"OUTSTANDING",IF(G1214=0,"SETTLED",IF(SUMIF(Transactions!$F$8:$F$3006,B1214,Transactions!$Q$8:$Q$3006)&gt;SUMIF(Transactions!$F$8:$F$3006,B1214,Transactions!$R$8:$R$3006),"OWES","OVERPAID"))))</f>
        <v/>
      </c>
      <c r="I1214" s="1"/>
    </row>
    <row r="1215" spans="1:9" ht="18" customHeight="1" x14ac:dyDescent="0.25">
      <c r="A1215" s="48">
        <v>1200</v>
      </c>
      <c r="B1215" s="49" t="str">
        <f t="array" ref="B1215">IFERROR(IF(INDEX(Transactions!$F$8:$F$3006,MATCH(0,COUNTIF($B$11:B1214,Transactions!$F$8:$F$3006),0))="","",INDEX(Transactions!$F$8:$F$3006,MATCH(0,COUNTIF($B$11:B1214,Transactions!$F$8:$F$3006),0))),"")</f>
        <v/>
      </c>
      <c r="C1215" s="50" t="str">
        <f>IF(B1215="","",SUMIF(Transactions!$F$8:$F$3006,B1215,Transactions!$H$8:$H$3006))</f>
        <v/>
      </c>
      <c r="D1215" s="51" t="str">
        <f>IF(B1215="","",SUMIF(Transactions!$F$8:$F$3006,B1215,Transactions!$N$8:$N$3006))</f>
        <v/>
      </c>
      <c r="E1215" s="52" t="str">
        <f>IF(B1215="","",SUMIF(Transactions!$F$8:$F$3006,B1215,Transactions!$O$8:$O$3006))</f>
        <v/>
      </c>
      <c r="F1215" s="53" t="str">
        <f>IF(B1215="","",SUMIF(Transactions!$F$8:$F$3006,B1215,Transactions!$R$8:$R$3006))</f>
        <v/>
      </c>
      <c r="G1215" s="54" t="str">
        <f>IF(B1215="","",(C1215+F1215)-(D1215+E1215+SUMIF(Transactions!$F$8:$F$3006,B1215,Transactions!$Q$8:$Q$3006)))</f>
        <v/>
      </c>
      <c r="H1215" s="55" t="str">
        <f>IF(B1215="","",IF(G1215&gt;0,"OUTSTANDING",IF(G1215=0,"SETTLED",IF(SUMIF(Transactions!$F$8:$F$3006,B1215,Transactions!$Q$8:$Q$3006)&gt;SUMIF(Transactions!$F$8:$F$3006,B1215,Transactions!$R$8:$R$3006),"OWES","OVERPAID"))))</f>
        <v/>
      </c>
      <c r="I1215" s="1"/>
    </row>
    <row r="1216" spans="1:9" ht="18" customHeight="1" x14ac:dyDescent="0.25">
      <c r="A1216" s="40">
        <v>1201</v>
      </c>
      <c r="B1216" s="41" t="str">
        <f t="array" ref="B1216">IFERROR(IF(INDEX(Transactions!$F$8:$F$3006,MATCH(0,COUNTIF($B$11:B1215,Transactions!$F$8:$F$3006),0))="","",INDEX(Transactions!$F$8:$F$3006,MATCH(0,COUNTIF($B$11:B1215,Transactions!$F$8:$F$3006),0))),"")</f>
        <v/>
      </c>
      <c r="C1216" s="42" t="str">
        <f>IF(B1216="","",SUMIF(Transactions!$F$8:$F$3006,B1216,Transactions!$H$8:$H$3006))</f>
        <v/>
      </c>
      <c r="D1216" s="43" t="str">
        <f>IF(B1216="","",SUMIF(Transactions!$F$8:$F$3006,B1216,Transactions!$N$8:$N$3006))</f>
        <v/>
      </c>
      <c r="E1216" s="44" t="str">
        <f>IF(B1216="","",SUMIF(Transactions!$F$8:$F$3006,B1216,Transactions!$O$8:$O$3006))</f>
        <v/>
      </c>
      <c r="F1216" s="45" t="str">
        <f>IF(B1216="","",SUMIF(Transactions!$F$8:$F$3006,B1216,Transactions!$R$8:$R$3006))</f>
        <v/>
      </c>
      <c r="G1216" s="46" t="str">
        <f>IF(B1216="","",(C1216+F1216)-(D1216+E1216+SUMIF(Transactions!$F$8:$F$3006,B1216,Transactions!$Q$8:$Q$3006)))</f>
        <v/>
      </c>
      <c r="H1216" s="47" t="str">
        <f>IF(B1216="","",IF(G1216&gt;0,"OUTSTANDING",IF(G1216=0,"SETTLED",IF(SUMIF(Transactions!$F$8:$F$3006,B1216,Transactions!$Q$8:$Q$3006)&gt;SUMIF(Transactions!$F$8:$F$3006,B1216,Transactions!$R$8:$R$3006),"OWES","OVERPAID"))))</f>
        <v/>
      </c>
      <c r="I1216" s="1"/>
    </row>
    <row r="1217" spans="1:9" ht="18" customHeight="1" x14ac:dyDescent="0.25">
      <c r="A1217" s="48">
        <v>1202</v>
      </c>
      <c r="B1217" s="49" t="str">
        <f t="array" ref="B1217">IFERROR(IF(INDEX(Transactions!$F$8:$F$3006,MATCH(0,COUNTIF($B$11:B1216,Transactions!$F$8:$F$3006),0))="","",INDEX(Transactions!$F$8:$F$3006,MATCH(0,COUNTIF($B$11:B1216,Transactions!$F$8:$F$3006),0))),"")</f>
        <v/>
      </c>
      <c r="C1217" s="50" t="str">
        <f>IF(B1217="","",SUMIF(Transactions!$F$8:$F$3006,B1217,Transactions!$H$8:$H$3006))</f>
        <v/>
      </c>
      <c r="D1217" s="51" t="str">
        <f>IF(B1217="","",SUMIF(Transactions!$F$8:$F$3006,B1217,Transactions!$N$8:$N$3006))</f>
        <v/>
      </c>
      <c r="E1217" s="52" t="str">
        <f>IF(B1217="","",SUMIF(Transactions!$F$8:$F$3006,B1217,Transactions!$O$8:$O$3006))</f>
        <v/>
      </c>
      <c r="F1217" s="53" t="str">
        <f>IF(B1217="","",SUMIF(Transactions!$F$8:$F$3006,B1217,Transactions!$R$8:$R$3006))</f>
        <v/>
      </c>
      <c r="G1217" s="54" t="str">
        <f>IF(B1217="","",(C1217+F1217)-(D1217+E1217+SUMIF(Transactions!$F$8:$F$3006,B1217,Transactions!$Q$8:$Q$3006)))</f>
        <v/>
      </c>
      <c r="H1217" s="55" t="str">
        <f>IF(B1217="","",IF(G1217&gt;0,"OUTSTANDING",IF(G1217=0,"SETTLED",IF(SUMIF(Transactions!$F$8:$F$3006,B1217,Transactions!$Q$8:$Q$3006)&gt;SUMIF(Transactions!$F$8:$F$3006,B1217,Transactions!$R$8:$R$3006),"OWES","OVERPAID"))))</f>
        <v/>
      </c>
      <c r="I1217" s="1"/>
    </row>
    <row r="1218" spans="1:9" ht="18" customHeight="1" x14ac:dyDescent="0.25">
      <c r="A1218" s="40">
        <v>1203</v>
      </c>
      <c r="B1218" s="41" t="str">
        <f t="array" ref="B1218">IFERROR(IF(INDEX(Transactions!$F$8:$F$3006,MATCH(0,COUNTIF($B$11:B1217,Transactions!$F$8:$F$3006),0))="","",INDEX(Transactions!$F$8:$F$3006,MATCH(0,COUNTIF($B$11:B1217,Transactions!$F$8:$F$3006),0))),"")</f>
        <v/>
      </c>
      <c r="C1218" s="42" t="str">
        <f>IF(B1218="","",SUMIF(Transactions!$F$8:$F$3006,B1218,Transactions!$H$8:$H$3006))</f>
        <v/>
      </c>
      <c r="D1218" s="43" t="str">
        <f>IF(B1218="","",SUMIF(Transactions!$F$8:$F$3006,B1218,Transactions!$N$8:$N$3006))</f>
        <v/>
      </c>
      <c r="E1218" s="44" t="str">
        <f>IF(B1218="","",SUMIF(Transactions!$F$8:$F$3006,B1218,Transactions!$O$8:$O$3006))</f>
        <v/>
      </c>
      <c r="F1218" s="45" t="str">
        <f>IF(B1218="","",SUMIF(Transactions!$F$8:$F$3006,B1218,Transactions!$R$8:$R$3006))</f>
        <v/>
      </c>
      <c r="G1218" s="46" t="str">
        <f>IF(B1218="","",(C1218+F1218)-(D1218+E1218+SUMIF(Transactions!$F$8:$F$3006,B1218,Transactions!$Q$8:$Q$3006)))</f>
        <v/>
      </c>
      <c r="H1218" s="47" t="str">
        <f>IF(B1218="","",IF(G1218&gt;0,"OUTSTANDING",IF(G1218=0,"SETTLED",IF(SUMIF(Transactions!$F$8:$F$3006,B1218,Transactions!$Q$8:$Q$3006)&gt;SUMIF(Transactions!$F$8:$F$3006,B1218,Transactions!$R$8:$R$3006),"OWES","OVERPAID"))))</f>
        <v/>
      </c>
      <c r="I1218" s="1"/>
    </row>
    <row r="1219" spans="1:9" ht="18" customHeight="1" x14ac:dyDescent="0.25">
      <c r="A1219" s="48">
        <v>1204</v>
      </c>
      <c r="B1219" s="49" t="str">
        <f t="array" ref="B1219">IFERROR(IF(INDEX(Transactions!$F$8:$F$3006,MATCH(0,COUNTIF($B$11:B1218,Transactions!$F$8:$F$3006),0))="","",INDEX(Transactions!$F$8:$F$3006,MATCH(0,COUNTIF($B$11:B1218,Transactions!$F$8:$F$3006),0))),"")</f>
        <v/>
      </c>
      <c r="C1219" s="50" t="str">
        <f>IF(B1219="","",SUMIF(Transactions!$F$8:$F$3006,B1219,Transactions!$H$8:$H$3006))</f>
        <v/>
      </c>
      <c r="D1219" s="51" t="str">
        <f>IF(B1219="","",SUMIF(Transactions!$F$8:$F$3006,B1219,Transactions!$N$8:$N$3006))</f>
        <v/>
      </c>
      <c r="E1219" s="52" t="str">
        <f>IF(B1219="","",SUMIF(Transactions!$F$8:$F$3006,B1219,Transactions!$O$8:$O$3006))</f>
        <v/>
      </c>
      <c r="F1219" s="53" t="str">
        <f>IF(B1219="","",SUMIF(Transactions!$F$8:$F$3006,B1219,Transactions!$R$8:$R$3006))</f>
        <v/>
      </c>
      <c r="G1219" s="54" t="str">
        <f>IF(B1219="","",(C1219+F1219)-(D1219+E1219+SUMIF(Transactions!$F$8:$F$3006,B1219,Transactions!$Q$8:$Q$3006)))</f>
        <v/>
      </c>
      <c r="H1219" s="55" t="str">
        <f>IF(B1219="","",IF(G1219&gt;0,"OUTSTANDING",IF(G1219=0,"SETTLED",IF(SUMIF(Transactions!$F$8:$F$3006,B1219,Transactions!$Q$8:$Q$3006)&gt;SUMIF(Transactions!$F$8:$F$3006,B1219,Transactions!$R$8:$R$3006),"OWES","OVERPAID"))))</f>
        <v/>
      </c>
      <c r="I1219" s="1"/>
    </row>
    <row r="1220" spans="1:9" ht="18" customHeight="1" x14ac:dyDescent="0.25">
      <c r="A1220" s="40">
        <v>1205</v>
      </c>
      <c r="B1220" s="41" t="str">
        <f t="array" ref="B1220">IFERROR(IF(INDEX(Transactions!$F$8:$F$3006,MATCH(0,COUNTIF($B$11:B1219,Transactions!$F$8:$F$3006),0))="","",INDEX(Transactions!$F$8:$F$3006,MATCH(0,COUNTIF($B$11:B1219,Transactions!$F$8:$F$3006),0))),"")</f>
        <v/>
      </c>
      <c r="C1220" s="42" t="str">
        <f>IF(B1220="","",SUMIF(Transactions!$F$8:$F$3006,B1220,Transactions!$H$8:$H$3006))</f>
        <v/>
      </c>
      <c r="D1220" s="43" t="str">
        <f>IF(B1220="","",SUMIF(Transactions!$F$8:$F$3006,B1220,Transactions!$N$8:$N$3006))</f>
        <v/>
      </c>
      <c r="E1220" s="44" t="str">
        <f>IF(B1220="","",SUMIF(Transactions!$F$8:$F$3006,B1220,Transactions!$O$8:$O$3006))</f>
        <v/>
      </c>
      <c r="F1220" s="45" t="str">
        <f>IF(B1220="","",SUMIF(Transactions!$F$8:$F$3006,B1220,Transactions!$R$8:$R$3006))</f>
        <v/>
      </c>
      <c r="G1220" s="46" t="str">
        <f>IF(B1220="","",(C1220+F1220)-(D1220+E1220+SUMIF(Transactions!$F$8:$F$3006,B1220,Transactions!$Q$8:$Q$3006)))</f>
        <v/>
      </c>
      <c r="H1220" s="47" t="str">
        <f>IF(B1220="","",IF(G1220&gt;0,"OUTSTANDING",IF(G1220=0,"SETTLED",IF(SUMIF(Transactions!$F$8:$F$3006,B1220,Transactions!$Q$8:$Q$3006)&gt;SUMIF(Transactions!$F$8:$F$3006,B1220,Transactions!$R$8:$R$3006),"OWES","OVERPAID"))))</f>
        <v/>
      </c>
      <c r="I1220" s="1"/>
    </row>
    <row r="1221" spans="1:9" ht="18" customHeight="1" x14ac:dyDescent="0.25">
      <c r="A1221" s="48">
        <v>1206</v>
      </c>
      <c r="B1221" s="49" t="str">
        <f t="array" ref="B1221">IFERROR(IF(INDEX(Transactions!$F$8:$F$3006,MATCH(0,COUNTIF($B$11:B1220,Transactions!$F$8:$F$3006),0))="","",INDEX(Transactions!$F$8:$F$3006,MATCH(0,COUNTIF($B$11:B1220,Transactions!$F$8:$F$3006),0))),"")</f>
        <v/>
      </c>
      <c r="C1221" s="50" t="str">
        <f>IF(B1221="","",SUMIF(Transactions!$F$8:$F$3006,B1221,Transactions!$H$8:$H$3006))</f>
        <v/>
      </c>
      <c r="D1221" s="51" t="str">
        <f>IF(B1221="","",SUMIF(Transactions!$F$8:$F$3006,B1221,Transactions!$N$8:$N$3006))</f>
        <v/>
      </c>
      <c r="E1221" s="52" t="str">
        <f>IF(B1221="","",SUMIF(Transactions!$F$8:$F$3006,B1221,Transactions!$O$8:$O$3006))</f>
        <v/>
      </c>
      <c r="F1221" s="53" t="str">
        <f>IF(B1221="","",SUMIF(Transactions!$F$8:$F$3006,B1221,Transactions!$R$8:$R$3006))</f>
        <v/>
      </c>
      <c r="G1221" s="54" t="str">
        <f>IF(B1221="","",(C1221+F1221)-(D1221+E1221+SUMIF(Transactions!$F$8:$F$3006,B1221,Transactions!$Q$8:$Q$3006)))</f>
        <v/>
      </c>
      <c r="H1221" s="55" t="str">
        <f>IF(B1221="","",IF(G1221&gt;0,"OUTSTANDING",IF(G1221=0,"SETTLED",IF(SUMIF(Transactions!$F$8:$F$3006,B1221,Transactions!$Q$8:$Q$3006)&gt;SUMIF(Transactions!$F$8:$F$3006,B1221,Transactions!$R$8:$R$3006),"OWES","OVERPAID"))))</f>
        <v/>
      </c>
      <c r="I1221" s="1"/>
    </row>
    <row r="1222" spans="1:9" ht="18" customHeight="1" x14ac:dyDescent="0.25">
      <c r="A1222" s="40">
        <v>1207</v>
      </c>
      <c r="B1222" s="41" t="str">
        <f t="array" ref="B1222">IFERROR(IF(INDEX(Transactions!$F$8:$F$3006,MATCH(0,COUNTIF($B$11:B1221,Transactions!$F$8:$F$3006),0))="","",INDEX(Transactions!$F$8:$F$3006,MATCH(0,COUNTIF($B$11:B1221,Transactions!$F$8:$F$3006),0))),"")</f>
        <v/>
      </c>
      <c r="C1222" s="42" t="str">
        <f>IF(B1222="","",SUMIF(Transactions!$F$8:$F$3006,B1222,Transactions!$H$8:$H$3006))</f>
        <v/>
      </c>
      <c r="D1222" s="43" t="str">
        <f>IF(B1222="","",SUMIF(Transactions!$F$8:$F$3006,B1222,Transactions!$N$8:$N$3006))</f>
        <v/>
      </c>
      <c r="E1222" s="44" t="str">
        <f>IF(B1222="","",SUMIF(Transactions!$F$8:$F$3006,B1222,Transactions!$O$8:$O$3006))</f>
        <v/>
      </c>
      <c r="F1222" s="45" t="str">
        <f>IF(B1222="","",SUMIF(Transactions!$F$8:$F$3006,B1222,Transactions!$R$8:$R$3006))</f>
        <v/>
      </c>
      <c r="G1222" s="46" t="str">
        <f>IF(B1222="","",(C1222+F1222)-(D1222+E1222+SUMIF(Transactions!$F$8:$F$3006,B1222,Transactions!$Q$8:$Q$3006)))</f>
        <v/>
      </c>
      <c r="H1222" s="47" t="str">
        <f>IF(B1222="","",IF(G1222&gt;0,"OUTSTANDING",IF(G1222=0,"SETTLED",IF(SUMIF(Transactions!$F$8:$F$3006,B1222,Transactions!$Q$8:$Q$3006)&gt;SUMIF(Transactions!$F$8:$F$3006,B1222,Transactions!$R$8:$R$3006),"OWES","OVERPAID"))))</f>
        <v/>
      </c>
      <c r="I1222" s="1"/>
    </row>
    <row r="1223" spans="1:9" ht="18" customHeight="1" x14ac:dyDescent="0.25">
      <c r="A1223" s="48">
        <v>1208</v>
      </c>
      <c r="B1223" s="49" t="str">
        <f t="array" ref="B1223">IFERROR(IF(INDEX(Transactions!$F$8:$F$3006,MATCH(0,COUNTIF($B$11:B1222,Transactions!$F$8:$F$3006),0))="","",INDEX(Transactions!$F$8:$F$3006,MATCH(0,COUNTIF($B$11:B1222,Transactions!$F$8:$F$3006),0))),"")</f>
        <v/>
      </c>
      <c r="C1223" s="50" t="str">
        <f>IF(B1223="","",SUMIF(Transactions!$F$8:$F$3006,B1223,Transactions!$H$8:$H$3006))</f>
        <v/>
      </c>
      <c r="D1223" s="51" t="str">
        <f>IF(B1223="","",SUMIF(Transactions!$F$8:$F$3006,B1223,Transactions!$N$8:$N$3006))</f>
        <v/>
      </c>
      <c r="E1223" s="52" t="str">
        <f>IF(B1223="","",SUMIF(Transactions!$F$8:$F$3006,B1223,Transactions!$O$8:$O$3006))</f>
        <v/>
      </c>
      <c r="F1223" s="53" t="str">
        <f>IF(B1223="","",SUMIF(Transactions!$F$8:$F$3006,B1223,Transactions!$R$8:$R$3006))</f>
        <v/>
      </c>
      <c r="G1223" s="54" t="str">
        <f>IF(B1223="","",(C1223+F1223)-(D1223+E1223+SUMIF(Transactions!$F$8:$F$3006,B1223,Transactions!$Q$8:$Q$3006)))</f>
        <v/>
      </c>
      <c r="H1223" s="55" t="str">
        <f>IF(B1223="","",IF(G1223&gt;0,"OUTSTANDING",IF(G1223=0,"SETTLED",IF(SUMIF(Transactions!$F$8:$F$3006,B1223,Transactions!$Q$8:$Q$3006)&gt;SUMIF(Transactions!$F$8:$F$3006,B1223,Transactions!$R$8:$R$3006),"OWES","OVERPAID"))))</f>
        <v/>
      </c>
      <c r="I1223" s="1"/>
    </row>
    <row r="1224" spans="1:9" ht="18" customHeight="1" x14ac:dyDescent="0.25">
      <c r="A1224" s="40">
        <v>1209</v>
      </c>
      <c r="B1224" s="41" t="str">
        <f t="array" ref="B1224">IFERROR(IF(INDEX(Transactions!$F$8:$F$3006,MATCH(0,COUNTIF($B$11:B1223,Transactions!$F$8:$F$3006),0))="","",INDEX(Transactions!$F$8:$F$3006,MATCH(0,COUNTIF($B$11:B1223,Transactions!$F$8:$F$3006),0))),"")</f>
        <v/>
      </c>
      <c r="C1224" s="42" t="str">
        <f>IF(B1224="","",SUMIF(Transactions!$F$8:$F$3006,B1224,Transactions!$H$8:$H$3006))</f>
        <v/>
      </c>
      <c r="D1224" s="43" t="str">
        <f>IF(B1224="","",SUMIF(Transactions!$F$8:$F$3006,B1224,Transactions!$N$8:$N$3006))</f>
        <v/>
      </c>
      <c r="E1224" s="44" t="str">
        <f>IF(B1224="","",SUMIF(Transactions!$F$8:$F$3006,B1224,Transactions!$O$8:$O$3006))</f>
        <v/>
      </c>
      <c r="F1224" s="45" t="str">
        <f>IF(B1224="","",SUMIF(Transactions!$F$8:$F$3006,B1224,Transactions!$R$8:$R$3006))</f>
        <v/>
      </c>
      <c r="G1224" s="46" t="str">
        <f>IF(B1224="","",(C1224+F1224)-(D1224+E1224+SUMIF(Transactions!$F$8:$F$3006,B1224,Transactions!$Q$8:$Q$3006)))</f>
        <v/>
      </c>
      <c r="H1224" s="47" t="str">
        <f>IF(B1224="","",IF(G1224&gt;0,"OUTSTANDING",IF(G1224=0,"SETTLED",IF(SUMIF(Transactions!$F$8:$F$3006,B1224,Transactions!$Q$8:$Q$3006)&gt;SUMIF(Transactions!$F$8:$F$3006,B1224,Transactions!$R$8:$R$3006),"OWES","OVERPAID"))))</f>
        <v/>
      </c>
      <c r="I1224" s="1"/>
    </row>
    <row r="1225" spans="1:9" ht="18" customHeight="1" x14ac:dyDescent="0.25">
      <c r="A1225" s="48">
        <v>1210</v>
      </c>
      <c r="B1225" s="49" t="str">
        <f t="array" ref="B1225">IFERROR(IF(INDEX(Transactions!$F$8:$F$3006,MATCH(0,COUNTIF($B$11:B1224,Transactions!$F$8:$F$3006),0))="","",INDEX(Transactions!$F$8:$F$3006,MATCH(0,COUNTIF($B$11:B1224,Transactions!$F$8:$F$3006),0))),"")</f>
        <v/>
      </c>
      <c r="C1225" s="50" t="str">
        <f>IF(B1225="","",SUMIF(Transactions!$F$8:$F$3006,B1225,Transactions!$H$8:$H$3006))</f>
        <v/>
      </c>
      <c r="D1225" s="51" t="str">
        <f>IF(B1225="","",SUMIF(Transactions!$F$8:$F$3006,B1225,Transactions!$N$8:$N$3006))</f>
        <v/>
      </c>
      <c r="E1225" s="52" t="str">
        <f>IF(B1225="","",SUMIF(Transactions!$F$8:$F$3006,B1225,Transactions!$O$8:$O$3006))</f>
        <v/>
      </c>
      <c r="F1225" s="53" t="str">
        <f>IF(B1225="","",SUMIF(Transactions!$F$8:$F$3006,B1225,Transactions!$R$8:$R$3006))</f>
        <v/>
      </c>
      <c r="G1225" s="54" t="str">
        <f>IF(B1225="","",(C1225+F1225)-(D1225+E1225+SUMIF(Transactions!$F$8:$F$3006,B1225,Transactions!$Q$8:$Q$3006)))</f>
        <v/>
      </c>
      <c r="H1225" s="55" t="str">
        <f>IF(B1225="","",IF(G1225&gt;0,"OUTSTANDING",IF(G1225=0,"SETTLED",IF(SUMIF(Transactions!$F$8:$F$3006,B1225,Transactions!$Q$8:$Q$3006)&gt;SUMIF(Transactions!$F$8:$F$3006,B1225,Transactions!$R$8:$R$3006),"OWES","OVERPAID"))))</f>
        <v/>
      </c>
      <c r="I1225" s="1"/>
    </row>
    <row r="1226" spans="1:9" ht="18" customHeight="1" x14ac:dyDescent="0.25">
      <c r="A1226" s="40">
        <v>1211</v>
      </c>
      <c r="B1226" s="41" t="str">
        <f t="array" ref="B1226">IFERROR(IF(INDEX(Transactions!$F$8:$F$3006,MATCH(0,COUNTIF($B$11:B1225,Transactions!$F$8:$F$3006),0))="","",INDEX(Transactions!$F$8:$F$3006,MATCH(0,COUNTIF($B$11:B1225,Transactions!$F$8:$F$3006),0))),"")</f>
        <v/>
      </c>
      <c r="C1226" s="42" t="str">
        <f>IF(B1226="","",SUMIF(Transactions!$F$8:$F$3006,B1226,Transactions!$H$8:$H$3006))</f>
        <v/>
      </c>
      <c r="D1226" s="43" t="str">
        <f>IF(B1226="","",SUMIF(Transactions!$F$8:$F$3006,B1226,Transactions!$N$8:$N$3006))</f>
        <v/>
      </c>
      <c r="E1226" s="44" t="str">
        <f>IF(B1226="","",SUMIF(Transactions!$F$8:$F$3006,B1226,Transactions!$O$8:$O$3006))</f>
        <v/>
      </c>
      <c r="F1226" s="45" t="str">
        <f>IF(B1226="","",SUMIF(Transactions!$F$8:$F$3006,B1226,Transactions!$R$8:$R$3006))</f>
        <v/>
      </c>
      <c r="G1226" s="46" t="str">
        <f>IF(B1226="","",(C1226+F1226)-(D1226+E1226+SUMIF(Transactions!$F$8:$F$3006,B1226,Transactions!$Q$8:$Q$3006)))</f>
        <v/>
      </c>
      <c r="H1226" s="47" t="str">
        <f>IF(B1226="","",IF(G1226&gt;0,"OUTSTANDING",IF(G1226=0,"SETTLED",IF(SUMIF(Transactions!$F$8:$F$3006,B1226,Transactions!$Q$8:$Q$3006)&gt;SUMIF(Transactions!$F$8:$F$3006,B1226,Transactions!$R$8:$R$3006),"OWES","OVERPAID"))))</f>
        <v/>
      </c>
      <c r="I1226" s="1"/>
    </row>
    <row r="1227" spans="1:9" ht="18" customHeight="1" x14ac:dyDescent="0.25">
      <c r="A1227" s="48">
        <v>1212</v>
      </c>
      <c r="B1227" s="49" t="str">
        <f t="array" ref="B1227">IFERROR(IF(INDEX(Transactions!$F$8:$F$3006,MATCH(0,COUNTIF($B$11:B1226,Transactions!$F$8:$F$3006),0))="","",INDEX(Transactions!$F$8:$F$3006,MATCH(0,COUNTIF($B$11:B1226,Transactions!$F$8:$F$3006),0))),"")</f>
        <v/>
      </c>
      <c r="C1227" s="50" t="str">
        <f>IF(B1227="","",SUMIF(Transactions!$F$8:$F$3006,B1227,Transactions!$H$8:$H$3006))</f>
        <v/>
      </c>
      <c r="D1227" s="51" t="str">
        <f>IF(B1227="","",SUMIF(Transactions!$F$8:$F$3006,B1227,Transactions!$N$8:$N$3006))</f>
        <v/>
      </c>
      <c r="E1227" s="52" t="str">
        <f>IF(B1227="","",SUMIF(Transactions!$F$8:$F$3006,B1227,Transactions!$O$8:$O$3006))</f>
        <v/>
      </c>
      <c r="F1227" s="53" t="str">
        <f>IF(B1227="","",SUMIF(Transactions!$F$8:$F$3006,B1227,Transactions!$R$8:$R$3006))</f>
        <v/>
      </c>
      <c r="G1227" s="54" t="str">
        <f>IF(B1227="","",(C1227+F1227)-(D1227+E1227+SUMIF(Transactions!$F$8:$F$3006,B1227,Transactions!$Q$8:$Q$3006)))</f>
        <v/>
      </c>
      <c r="H1227" s="55" t="str">
        <f>IF(B1227="","",IF(G1227&gt;0,"OUTSTANDING",IF(G1227=0,"SETTLED",IF(SUMIF(Transactions!$F$8:$F$3006,B1227,Transactions!$Q$8:$Q$3006)&gt;SUMIF(Transactions!$F$8:$F$3006,B1227,Transactions!$R$8:$R$3006),"OWES","OVERPAID"))))</f>
        <v/>
      </c>
      <c r="I1227" s="1"/>
    </row>
    <row r="1228" spans="1:9" ht="18" customHeight="1" x14ac:dyDescent="0.25">
      <c r="A1228" s="40">
        <v>1213</v>
      </c>
      <c r="B1228" s="41" t="str">
        <f t="array" ref="B1228">IFERROR(IF(INDEX(Transactions!$F$8:$F$3006,MATCH(0,COUNTIF($B$11:B1227,Transactions!$F$8:$F$3006),0))="","",INDEX(Transactions!$F$8:$F$3006,MATCH(0,COUNTIF($B$11:B1227,Transactions!$F$8:$F$3006),0))),"")</f>
        <v/>
      </c>
      <c r="C1228" s="42" t="str">
        <f>IF(B1228="","",SUMIF(Transactions!$F$8:$F$3006,B1228,Transactions!$H$8:$H$3006))</f>
        <v/>
      </c>
      <c r="D1228" s="43" t="str">
        <f>IF(B1228="","",SUMIF(Transactions!$F$8:$F$3006,B1228,Transactions!$N$8:$N$3006))</f>
        <v/>
      </c>
      <c r="E1228" s="44" t="str">
        <f>IF(B1228="","",SUMIF(Transactions!$F$8:$F$3006,B1228,Transactions!$O$8:$O$3006))</f>
        <v/>
      </c>
      <c r="F1228" s="45" t="str">
        <f>IF(B1228="","",SUMIF(Transactions!$F$8:$F$3006,B1228,Transactions!$R$8:$R$3006))</f>
        <v/>
      </c>
      <c r="G1228" s="46" t="str">
        <f>IF(B1228="","",(C1228+F1228)-(D1228+E1228+SUMIF(Transactions!$F$8:$F$3006,B1228,Transactions!$Q$8:$Q$3006)))</f>
        <v/>
      </c>
      <c r="H1228" s="47" t="str">
        <f>IF(B1228="","",IF(G1228&gt;0,"OUTSTANDING",IF(G1228=0,"SETTLED",IF(SUMIF(Transactions!$F$8:$F$3006,B1228,Transactions!$Q$8:$Q$3006)&gt;SUMIF(Transactions!$F$8:$F$3006,B1228,Transactions!$R$8:$R$3006),"OWES","OVERPAID"))))</f>
        <v/>
      </c>
      <c r="I1228" s="1"/>
    </row>
    <row r="1229" spans="1:9" ht="18" customHeight="1" x14ac:dyDescent="0.25">
      <c r="A1229" s="48">
        <v>1214</v>
      </c>
      <c r="B1229" s="49" t="str">
        <f t="array" ref="B1229">IFERROR(IF(INDEX(Transactions!$F$8:$F$3006,MATCH(0,COUNTIF($B$11:B1228,Transactions!$F$8:$F$3006),0))="","",INDEX(Transactions!$F$8:$F$3006,MATCH(0,COUNTIF($B$11:B1228,Transactions!$F$8:$F$3006),0))),"")</f>
        <v/>
      </c>
      <c r="C1229" s="50" t="str">
        <f>IF(B1229="","",SUMIF(Transactions!$F$8:$F$3006,B1229,Transactions!$H$8:$H$3006))</f>
        <v/>
      </c>
      <c r="D1229" s="51" t="str">
        <f>IF(B1229="","",SUMIF(Transactions!$F$8:$F$3006,B1229,Transactions!$N$8:$N$3006))</f>
        <v/>
      </c>
      <c r="E1229" s="52" t="str">
        <f>IF(B1229="","",SUMIF(Transactions!$F$8:$F$3006,B1229,Transactions!$O$8:$O$3006))</f>
        <v/>
      </c>
      <c r="F1229" s="53" t="str">
        <f>IF(B1229="","",SUMIF(Transactions!$F$8:$F$3006,B1229,Transactions!$R$8:$R$3006))</f>
        <v/>
      </c>
      <c r="G1229" s="54" t="str">
        <f>IF(B1229="","",(C1229+F1229)-(D1229+E1229+SUMIF(Transactions!$F$8:$F$3006,B1229,Transactions!$Q$8:$Q$3006)))</f>
        <v/>
      </c>
      <c r="H1229" s="55" t="str">
        <f>IF(B1229="","",IF(G1229&gt;0,"OUTSTANDING",IF(G1229=0,"SETTLED",IF(SUMIF(Transactions!$F$8:$F$3006,B1229,Transactions!$Q$8:$Q$3006)&gt;SUMIF(Transactions!$F$8:$F$3006,B1229,Transactions!$R$8:$R$3006),"OWES","OVERPAID"))))</f>
        <v/>
      </c>
      <c r="I1229" s="1"/>
    </row>
    <row r="1230" spans="1:9" ht="18" customHeight="1" x14ac:dyDescent="0.25">
      <c r="A1230" s="40">
        <v>1215</v>
      </c>
      <c r="B1230" s="41" t="str">
        <f t="array" ref="B1230">IFERROR(IF(INDEX(Transactions!$F$8:$F$3006,MATCH(0,COUNTIF($B$11:B1229,Transactions!$F$8:$F$3006),0))="","",INDEX(Transactions!$F$8:$F$3006,MATCH(0,COUNTIF($B$11:B1229,Transactions!$F$8:$F$3006),0))),"")</f>
        <v/>
      </c>
      <c r="C1230" s="42" t="str">
        <f>IF(B1230="","",SUMIF(Transactions!$F$8:$F$3006,B1230,Transactions!$H$8:$H$3006))</f>
        <v/>
      </c>
      <c r="D1230" s="43" t="str">
        <f>IF(B1230="","",SUMIF(Transactions!$F$8:$F$3006,B1230,Transactions!$N$8:$N$3006))</f>
        <v/>
      </c>
      <c r="E1230" s="44" t="str">
        <f>IF(B1230="","",SUMIF(Transactions!$F$8:$F$3006,B1230,Transactions!$O$8:$O$3006))</f>
        <v/>
      </c>
      <c r="F1230" s="45" t="str">
        <f>IF(B1230="","",SUMIF(Transactions!$F$8:$F$3006,B1230,Transactions!$R$8:$R$3006))</f>
        <v/>
      </c>
      <c r="G1230" s="46" t="str">
        <f>IF(B1230="","",(C1230+F1230)-(D1230+E1230+SUMIF(Transactions!$F$8:$F$3006,B1230,Transactions!$Q$8:$Q$3006)))</f>
        <v/>
      </c>
      <c r="H1230" s="47" t="str">
        <f>IF(B1230="","",IF(G1230&gt;0,"OUTSTANDING",IF(G1230=0,"SETTLED",IF(SUMIF(Transactions!$F$8:$F$3006,B1230,Transactions!$Q$8:$Q$3006)&gt;SUMIF(Transactions!$F$8:$F$3006,B1230,Transactions!$R$8:$R$3006),"OWES","OVERPAID"))))</f>
        <v/>
      </c>
      <c r="I1230" s="1"/>
    </row>
    <row r="1231" spans="1:9" ht="18" customHeight="1" x14ac:dyDescent="0.25">
      <c r="A1231" s="48">
        <v>1216</v>
      </c>
      <c r="B1231" s="49" t="str">
        <f t="array" ref="B1231">IFERROR(IF(INDEX(Transactions!$F$8:$F$3006,MATCH(0,COUNTIF($B$11:B1230,Transactions!$F$8:$F$3006),0))="","",INDEX(Transactions!$F$8:$F$3006,MATCH(0,COUNTIF($B$11:B1230,Transactions!$F$8:$F$3006),0))),"")</f>
        <v/>
      </c>
      <c r="C1231" s="50" t="str">
        <f>IF(B1231="","",SUMIF(Transactions!$F$8:$F$3006,B1231,Transactions!$H$8:$H$3006))</f>
        <v/>
      </c>
      <c r="D1231" s="51" t="str">
        <f>IF(B1231="","",SUMIF(Transactions!$F$8:$F$3006,B1231,Transactions!$N$8:$N$3006))</f>
        <v/>
      </c>
      <c r="E1231" s="52" t="str">
        <f>IF(B1231="","",SUMIF(Transactions!$F$8:$F$3006,B1231,Transactions!$O$8:$O$3006))</f>
        <v/>
      </c>
      <c r="F1231" s="53" t="str">
        <f>IF(B1231="","",SUMIF(Transactions!$F$8:$F$3006,B1231,Transactions!$R$8:$R$3006))</f>
        <v/>
      </c>
      <c r="G1231" s="54" t="str">
        <f>IF(B1231="","",(C1231+F1231)-(D1231+E1231+SUMIF(Transactions!$F$8:$F$3006,B1231,Transactions!$Q$8:$Q$3006)))</f>
        <v/>
      </c>
      <c r="H1231" s="55" t="str">
        <f>IF(B1231="","",IF(G1231&gt;0,"OUTSTANDING",IF(G1231=0,"SETTLED",IF(SUMIF(Transactions!$F$8:$F$3006,B1231,Transactions!$Q$8:$Q$3006)&gt;SUMIF(Transactions!$F$8:$F$3006,B1231,Transactions!$R$8:$R$3006),"OWES","OVERPAID"))))</f>
        <v/>
      </c>
      <c r="I1231" s="1"/>
    </row>
    <row r="1232" spans="1:9" ht="18" customHeight="1" x14ac:dyDescent="0.25">
      <c r="A1232" s="40">
        <v>1217</v>
      </c>
      <c r="B1232" s="41" t="str">
        <f t="array" ref="B1232">IFERROR(IF(INDEX(Transactions!$F$8:$F$3006,MATCH(0,COUNTIF($B$11:B1231,Transactions!$F$8:$F$3006),0))="","",INDEX(Transactions!$F$8:$F$3006,MATCH(0,COUNTIF($B$11:B1231,Transactions!$F$8:$F$3006),0))),"")</f>
        <v/>
      </c>
      <c r="C1232" s="42" t="str">
        <f>IF(B1232="","",SUMIF(Transactions!$F$8:$F$3006,B1232,Transactions!$H$8:$H$3006))</f>
        <v/>
      </c>
      <c r="D1232" s="43" t="str">
        <f>IF(B1232="","",SUMIF(Transactions!$F$8:$F$3006,B1232,Transactions!$N$8:$N$3006))</f>
        <v/>
      </c>
      <c r="E1232" s="44" t="str">
        <f>IF(B1232="","",SUMIF(Transactions!$F$8:$F$3006,B1232,Transactions!$O$8:$O$3006))</f>
        <v/>
      </c>
      <c r="F1232" s="45" t="str">
        <f>IF(B1232="","",SUMIF(Transactions!$F$8:$F$3006,B1232,Transactions!$R$8:$R$3006))</f>
        <v/>
      </c>
      <c r="G1232" s="46" t="str">
        <f>IF(B1232="","",(C1232+F1232)-(D1232+E1232+SUMIF(Transactions!$F$8:$F$3006,B1232,Transactions!$Q$8:$Q$3006)))</f>
        <v/>
      </c>
      <c r="H1232" s="47" t="str">
        <f>IF(B1232="","",IF(G1232&gt;0,"OUTSTANDING",IF(G1232=0,"SETTLED",IF(SUMIF(Transactions!$F$8:$F$3006,B1232,Transactions!$Q$8:$Q$3006)&gt;SUMIF(Transactions!$F$8:$F$3006,B1232,Transactions!$R$8:$R$3006),"OWES","OVERPAID"))))</f>
        <v/>
      </c>
      <c r="I1232" s="1"/>
    </row>
    <row r="1233" spans="1:9" ht="18" customHeight="1" x14ac:dyDescent="0.25">
      <c r="A1233" s="48">
        <v>1218</v>
      </c>
      <c r="B1233" s="49" t="str">
        <f t="array" ref="B1233">IFERROR(IF(INDEX(Transactions!$F$8:$F$3006,MATCH(0,COUNTIF($B$11:B1232,Transactions!$F$8:$F$3006),0))="","",INDEX(Transactions!$F$8:$F$3006,MATCH(0,COUNTIF($B$11:B1232,Transactions!$F$8:$F$3006),0))),"")</f>
        <v/>
      </c>
      <c r="C1233" s="50" t="str">
        <f>IF(B1233="","",SUMIF(Transactions!$F$8:$F$3006,B1233,Transactions!$H$8:$H$3006))</f>
        <v/>
      </c>
      <c r="D1233" s="51" t="str">
        <f>IF(B1233="","",SUMIF(Transactions!$F$8:$F$3006,B1233,Transactions!$N$8:$N$3006))</f>
        <v/>
      </c>
      <c r="E1233" s="52" t="str">
        <f>IF(B1233="","",SUMIF(Transactions!$F$8:$F$3006,B1233,Transactions!$O$8:$O$3006))</f>
        <v/>
      </c>
      <c r="F1233" s="53" t="str">
        <f>IF(B1233="","",SUMIF(Transactions!$F$8:$F$3006,B1233,Transactions!$R$8:$R$3006))</f>
        <v/>
      </c>
      <c r="G1233" s="54" t="str">
        <f>IF(B1233="","",(C1233+F1233)-(D1233+E1233+SUMIF(Transactions!$F$8:$F$3006,B1233,Transactions!$Q$8:$Q$3006)))</f>
        <v/>
      </c>
      <c r="H1233" s="55" t="str">
        <f>IF(B1233="","",IF(G1233&gt;0,"OUTSTANDING",IF(G1233=0,"SETTLED",IF(SUMIF(Transactions!$F$8:$F$3006,B1233,Transactions!$Q$8:$Q$3006)&gt;SUMIF(Transactions!$F$8:$F$3006,B1233,Transactions!$R$8:$R$3006),"OWES","OVERPAID"))))</f>
        <v/>
      </c>
      <c r="I1233" s="1"/>
    </row>
    <row r="1234" spans="1:9" ht="18" customHeight="1" x14ac:dyDescent="0.25">
      <c r="A1234" s="40">
        <v>1219</v>
      </c>
      <c r="B1234" s="41" t="str">
        <f t="array" ref="B1234">IFERROR(IF(INDEX(Transactions!$F$8:$F$3006,MATCH(0,COUNTIF($B$11:B1233,Transactions!$F$8:$F$3006),0))="","",INDEX(Transactions!$F$8:$F$3006,MATCH(0,COUNTIF($B$11:B1233,Transactions!$F$8:$F$3006),0))),"")</f>
        <v/>
      </c>
      <c r="C1234" s="42" t="str">
        <f>IF(B1234="","",SUMIF(Transactions!$F$8:$F$3006,B1234,Transactions!$H$8:$H$3006))</f>
        <v/>
      </c>
      <c r="D1234" s="43" t="str">
        <f>IF(B1234="","",SUMIF(Transactions!$F$8:$F$3006,B1234,Transactions!$N$8:$N$3006))</f>
        <v/>
      </c>
      <c r="E1234" s="44" t="str">
        <f>IF(B1234="","",SUMIF(Transactions!$F$8:$F$3006,B1234,Transactions!$O$8:$O$3006))</f>
        <v/>
      </c>
      <c r="F1234" s="45" t="str">
        <f>IF(B1234="","",SUMIF(Transactions!$F$8:$F$3006,B1234,Transactions!$R$8:$R$3006))</f>
        <v/>
      </c>
      <c r="G1234" s="46" t="str">
        <f>IF(B1234="","",(C1234+F1234)-(D1234+E1234+SUMIF(Transactions!$F$8:$F$3006,B1234,Transactions!$Q$8:$Q$3006)))</f>
        <v/>
      </c>
      <c r="H1234" s="47" t="str">
        <f>IF(B1234="","",IF(G1234&gt;0,"OUTSTANDING",IF(G1234=0,"SETTLED",IF(SUMIF(Transactions!$F$8:$F$3006,B1234,Transactions!$Q$8:$Q$3006)&gt;SUMIF(Transactions!$F$8:$F$3006,B1234,Transactions!$R$8:$R$3006),"OWES","OVERPAID"))))</f>
        <v/>
      </c>
      <c r="I1234" s="1"/>
    </row>
    <row r="1235" spans="1:9" ht="18" customHeight="1" x14ac:dyDescent="0.25">
      <c r="A1235" s="48">
        <v>1220</v>
      </c>
      <c r="B1235" s="49" t="str">
        <f t="array" ref="B1235">IFERROR(IF(INDEX(Transactions!$F$8:$F$3006,MATCH(0,COUNTIF($B$11:B1234,Transactions!$F$8:$F$3006),0))="","",INDEX(Transactions!$F$8:$F$3006,MATCH(0,COUNTIF($B$11:B1234,Transactions!$F$8:$F$3006),0))),"")</f>
        <v/>
      </c>
      <c r="C1235" s="50" t="str">
        <f>IF(B1235="","",SUMIF(Transactions!$F$8:$F$3006,B1235,Transactions!$H$8:$H$3006))</f>
        <v/>
      </c>
      <c r="D1235" s="51" t="str">
        <f>IF(B1235="","",SUMIF(Transactions!$F$8:$F$3006,B1235,Transactions!$N$8:$N$3006))</f>
        <v/>
      </c>
      <c r="E1235" s="52" t="str">
        <f>IF(B1235="","",SUMIF(Transactions!$F$8:$F$3006,B1235,Transactions!$O$8:$O$3006))</f>
        <v/>
      </c>
      <c r="F1235" s="53" t="str">
        <f>IF(B1235="","",SUMIF(Transactions!$F$8:$F$3006,B1235,Transactions!$R$8:$R$3006))</f>
        <v/>
      </c>
      <c r="G1235" s="54" t="str">
        <f>IF(B1235="","",(C1235+F1235)-(D1235+E1235+SUMIF(Transactions!$F$8:$F$3006,B1235,Transactions!$Q$8:$Q$3006)))</f>
        <v/>
      </c>
      <c r="H1235" s="55" t="str">
        <f>IF(B1235="","",IF(G1235&gt;0,"OUTSTANDING",IF(G1235=0,"SETTLED",IF(SUMIF(Transactions!$F$8:$F$3006,B1235,Transactions!$Q$8:$Q$3006)&gt;SUMIF(Transactions!$F$8:$F$3006,B1235,Transactions!$R$8:$R$3006),"OWES","OVERPAID"))))</f>
        <v/>
      </c>
      <c r="I1235" s="1"/>
    </row>
    <row r="1236" spans="1:9" ht="18" customHeight="1" x14ac:dyDescent="0.25">
      <c r="A1236" s="40">
        <v>1221</v>
      </c>
      <c r="B1236" s="41" t="str">
        <f t="array" ref="B1236">IFERROR(IF(INDEX(Transactions!$F$8:$F$3006,MATCH(0,COUNTIF($B$11:B1235,Transactions!$F$8:$F$3006),0))="","",INDEX(Transactions!$F$8:$F$3006,MATCH(0,COUNTIF($B$11:B1235,Transactions!$F$8:$F$3006),0))),"")</f>
        <v/>
      </c>
      <c r="C1236" s="42" t="str">
        <f>IF(B1236="","",SUMIF(Transactions!$F$8:$F$3006,B1236,Transactions!$H$8:$H$3006))</f>
        <v/>
      </c>
      <c r="D1236" s="43" t="str">
        <f>IF(B1236="","",SUMIF(Transactions!$F$8:$F$3006,B1236,Transactions!$N$8:$N$3006))</f>
        <v/>
      </c>
      <c r="E1236" s="44" t="str">
        <f>IF(B1236="","",SUMIF(Transactions!$F$8:$F$3006,B1236,Transactions!$O$8:$O$3006))</f>
        <v/>
      </c>
      <c r="F1236" s="45" t="str">
        <f>IF(B1236="","",SUMIF(Transactions!$F$8:$F$3006,B1236,Transactions!$R$8:$R$3006))</f>
        <v/>
      </c>
      <c r="G1236" s="46" t="str">
        <f>IF(B1236="","",(C1236+F1236)-(D1236+E1236+SUMIF(Transactions!$F$8:$F$3006,B1236,Transactions!$Q$8:$Q$3006)))</f>
        <v/>
      </c>
      <c r="H1236" s="47" t="str">
        <f>IF(B1236="","",IF(G1236&gt;0,"OUTSTANDING",IF(G1236=0,"SETTLED",IF(SUMIF(Transactions!$F$8:$F$3006,B1236,Transactions!$Q$8:$Q$3006)&gt;SUMIF(Transactions!$F$8:$F$3006,B1236,Transactions!$R$8:$R$3006),"OWES","OVERPAID"))))</f>
        <v/>
      </c>
      <c r="I1236" s="1"/>
    </row>
    <row r="1237" spans="1:9" ht="18" customHeight="1" x14ac:dyDescent="0.25">
      <c r="A1237" s="48">
        <v>1222</v>
      </c>
      <c r="B1237" s="49" t="str">
        <f t="array" ref="B1237">IFERROR(IF(INDEX(Transactions!$F$8:$F$3006,MATCH(0,COUNTIF($B$11:B1236,Transactions!$F$8:$F$3006),0))="","",INDEX(Transactions!$F$8:$F$3006,MATCH(0,COUNTIF($B$11:B1236,Transactions!$F$8:$F$3006),0))),"")</f>
        <v/>
      </c>
      <c r="C1237" s="50" t="str">
        <f>IF(B1237="","",SUMIF(Transactions!$F$8:$F$3006,B1237,Transactions!$H$8:$H$3006))</f>
        <v/>
      </c>
      <c r="D1237" s="51" t="str">
        <f>IF(B1237="","",SUMIF(Transactions!$F$8:$F$3006,B1237,Transactions!$N$8:$N$3006))</f>
        <v/>
      </c>
      <c r="E1237" s="52" t="str">
        <f>IF(B1237="","",SUMIF(Transactions!$F$8:$F$3006,B1237,Transactions!$O$8:$O$3006))</f>
        <v/>
      </c>
      <c r="F1237" s="53" t="str">
        <f>IF(B1237="","",SUMIF(Transactions!$F$8:$F$3006,B1237,Transactions!$R$8:$R$3006))</f>
        <v/>
      </c>
      <c r="G1237" s="54" t="str">
        <f>IF(B1237="","",(C1237+F1237)-(D1237+E1237+SUMIF(Transactions!$F$8:$F$3006,B1237,Transactions!$Q$8:$Q$3006)))</f>
        <v/>
      </c>
      <c r="H1237" s="55" t="str">
        <f>IF(B1237="","",IF(G1237&gt;0,"OUTSTANDING",IF(G1237=0,"SETTLED",IF(SUMIF(Transactions!$F$8:$F$3006,B1237,Transactions!$Q$8:$Q$3006)&gt;SUMIF(Transactions!$F$8:$F$3006,B1237,Transactions!$R$8:$R$3006),"OWES","OVERPAID"))))</f>
        <v/>
      </c>
      <c r="I1237" s="1"/>
    </row>
    <row r="1238" spans="1:9" ht="18" customHeight="1" x14ac:dyDescent="0.25">
      <c r="A1238" s="40">
        <v>1223</v>
      </c>
      <c r="B1238" s="41" t="str">
        <f t="array" ref="B1238">IFERROR(IF(INDEX(Transactions!$F$8:$F$3006,MATCH(0,COUNTIF($B$11:B1237,Transactions!$F$8:$F$3006),0))="","",INDEX(Transactions!$F$8:$F$3006,MATCH(0,COUNTIF($B$11:B1237,Transactions!$F$8:$F$3006),0))),"")</f>
        <v/>
      </c>
      <c r="C1238" s="42" t="str">
        <f>IF(B1238="","",SUMIF(Transactions!$F$8:$F$3006,B1238,Transactions!$H$8:$H$3006))</f>
        <v/>
      </c>
      <c r="D1238" s="43" t="str">
        <f>IF(B1238="","",SUMIF(Transactions!$F$8:$F$3006,B1238,Transactions!$N$8:$N$3006))</f>
        <v/>
      </c>
      <c r="E1238" s="44" t="str">
        <f>IF(B1238="","",SUMIF(Transactions!$F$8:$F$3006,B1238,Transactions!$O$8:$O$3006))</f>
        <v/>
      </c>
      <c r="F1238" s="45" t="str">
        <f>IF(B1238="","",SUMIF(Transactions!$F$8:$F$3006,B1238,Transactions!$R$8:$R$3006))</f>
        <v/>
      </c>
      <c r="G1238" s="46" t="str">
        <f>IF(B1238="","",(C1238+F1238)-(D1238+E1238+SUMIF(Transactions!$F$8:$F$3006,B1238,Transactions!$Q$8:$Q$3006)))</f>
        <v/>
      </c>
      <c r="H1238" s="47" t="str">
        <f>IF(B1238="","",IF(G1238&gt;0,"OUTSTANDING",IF(G1238=0,"SETTLED",IF(SUMIF(Transactions!$F$8:$F$3006,B1238,Transactions!$Q$8:$Q$3006)&gt;SUMIF(Transactions!$F$8:$F$3006,B1238,Transactions!$R$8:$R$3006),"OWES","OVERPAID"))))</f>
        <v/>
      </c>
      <c r="I1238" s="1"/>
    </row>
    <row r="1239" spans="1:9" ht="18" customHeight="1" x14ac:dyDescent="0.25">
      <c r="A1239" s="48">
        <v>1224</v>
      </c>
      <c r="B1239" s="49" t="str">
        <f t="array" ref="B1239">IFERROR(IF(INDEX(Transactions!$F$8:$F$3006,MATCH(0,COUNTIF($B$11:B1238,Transactions!$F$8:$F$3006),0))="","",INDEX(Transactions!$F$8:$F$3006,MATCH(0,COUNTIF($B$11:B1238,Transactions!$F$8:$F$3006),0))),"")</f>
        <v/>
      </c>
      <c r="C1239" s="50" t="str">
        <f>IF(B1239="","",SUMIF(Transactions!$F$8:$F$3006,B1239,Transactions!$H$8:$H$3006))</f>
        <v/>
      </c>
      <c r="D1239" s="51" t="str">
        <f>IF(B1239="","",SUMIF(Transactions!$F$8:$F$3006,B1239,Transactions!$N$8:$N$3006))</f>
        <v/>
      </c>
      <c r="E1239" s="52" t="str">
        <f>IF(B1239="","",SUMIF(Transactions!$F$8:$F$3006,B1239,Transactions!$O$8:$O$3006))</f>
        <v/>
      </c>
      <c r="F1239" s="53" t="str">
        <f>IF(B1239="","",SUMIF(Transactions!$F$8:$F$3006,B1239,Transactions!$R$8:$R$3006))</f>
        <v/>
      </c>
      <c r="G1239" s="54" t="str">
        <f>IF(B1239="","",(C1239+F1239)-(D1239+E1239+SUMIF(Transactions!$F$8:$F$3006,B1239,Transactions!$Q$8:$Q$3006)))</f>
        <v/>
      </c>
      <c r="H1239" s="55" t="str">
        <f>IF(B1239="","",IF(G1239&gt;0,"OUTSTANDING",IF(G1239=0,"SETTLED",IF(SUMIF(Transactions!$F$8:$F$3006,B1239,Transactions!$Q$8:$Q$3006)&gt;SUMIF(Transactions!$F$8:$F$3006,B1239,Transactions!$R$8:$R$3006),"OWES","OVERPAID"))))</f>
        <v/>
      </c>
      <c r="I1239" s="1"/>
    </row>
    <row r="1240" spans="1:9" ht="18" customHeight="1" x14ac:dyDescent="0.25">
      <c r="A1240" s="40">
        <v>1225</v>
      </c>
      <c r="B1240" s="41" t="str">
        <f t="array" ref="B1240">IFERROR(IF(INDEX(Transactions!$F$8:$F$3006,MATCH(0,COUNTIF($B$11:B1239,Transactions!$F$8:$F$3006),0))="","",INDEX(Transactions!$F$8:$F$3006,MATCH(0,COUNTIF($B$11:B1239,Transactions!$F$8:$F$3006),0))),"")</f>
        <v/>
      </c>
      <c r="C1240" s="42" t="str">
        <f>IF(B1240="","",SUMIF(Transactions!$F$8:$F$3006,B1240,Transactions!$H$8:$H$3006))</f>
        <v/>
      </c>
      <c r="D1240" s="43" t="str">
        <f>IF(B1240="","",SUMIF(Transactions!$F$8:$F$3006,B1240,Transactions!$N$8:$N$3006))</f>
        <v/>
      </c>
      <c r="E1240" s="44" t="str">
        <f>IF(B1240="","",SUMIF(Transactions!$F$8:$F$3006,B1240,Transactions!$O$8:$O$3006))</f>
        <v/>
      </c>
      <c r="F1240" s="45" t="str">
        <f>IF(B1240="","",SUMIF(Transactions!$F$8:$F$3006,B1240,Transactions!$R$8:$R$3006))</f>
        <v/>
      </c>
      <c r="G1240" s="46" t="str">
        <f>IF(B1240="","",(C1240+F1240)-(D1240+E1240+SUMIF(Transactions!$F$8:$F$3006,B1240,Transactions!$Q$8:$Q$3006)))</f>
        <v/>
      </c>
      <c r="H1240" s="47" t="str">
        <f>IF(B1240="","",IF(G1240&gt;0,"OUTSTANDING",IF(G1240=0,"SETTLED",IF(SUMIF(Transactions!$F$8:$F$3006,B1240,Transactions!$Q$8:$Q$3006)&gt;SUMIF(Transactions!$F$8:$F$3006,B1240,Transactions!$R$8:$R$3006),"OWES","OVERPAID"))))</f>
        <v/>
      </c>
      <c r="I1240" s="1"/>
    </row>
    <row r="1241" spans="1:9" ht="18" customHeight="1" x14ac:dyDescent="0.25">
      <c r="A1241" s="48">
        <v>1226</v>
      </c>
      <c r="B1241" s="49" t="str">
        <f t="array" ref="B1241">IFERROR(IF(INDEX(Transactions!$F$8:$F$3006,MATCH(0,COUNTIF($B$11:B1240,Transactions!$F$8:$F$3006),0))="","",INDEX(Transactions!$F$8:$F$3006,MATCH(0,COUNTIF($B$11:B1240,Transactions!$F$8:$F$3006),0))),"")</f>
        <v/>
      </c>
      <c r="C1241" s="50" t="str">
        <f>IF(B1241="","",SUMIF(Transactions!$F$8:$F$3006,B1241,Transactions!$H$8:$H$3006))</f>
        <v/>
      </c>
      <c r="D1241" s="51" t="str">
        <f>IF(B1241="","",SUMIF(Transactions!$F$8:$F$3006,B1241,Transactions!$N$8:$N$3006))</f>
        <v/>
      </c>
      <c r="E1241" s="52" t="str">
        <f>IF(B1241="","",SUMIF(Transactions!$F$8:$F$3006,B1241,Transactions!$O$8:$O$3006))</f>
        <v/>
      </c>
      <c r="F1241" s="53" t="str">
        <f>IF(B1241="","",SUMIF(Transactions!$F$8:$F$3006,B1241,Transactions!$R$8:$R$3006))</f>
        <v/>
      </c>
      <c r="G1241" s="54" t="str">
        <f>IF(B1241="","",(C1241+F1241)-(D1241+E1241+SUMIF(Transactions!$F$8:$F$3006,B1241,Transactions!$Q$8:$Q$3006)))</f>
        <v/>
      </c>
      <c r="H1241" s="55" t="str">
        <f>IF(B1241="","",IF(G1241&gt;0,"OUTSTANDING",IF(G1241=0,"SETTLED",IF(SUMIF(Transactions!$F$8:$F$3006,B1241,Transactions!$Q$8:$Q$3006)&gt;SUMIF(Transactions!$F$8:$F$3006,B1241,Transactions!$R$8:$R$3006),"OWES","OVERPAID"))))</f>
        <v/>
      </c>
      <c r="I1241" s="1"/>
    </row>
    <row r="1242" spans="1:9" ht="18" customHeight="1" x14ac:dyDescent="0.25">
      <c r="A1242" s="40">
        <v>1227</v>
      </c>
      <c r="B1242" s="41" t="str">
        <f t="array" ref="B1242">IFERROR(IF(INDEX(Transactions!$F$8:$F$3006,MATCH(0,COUNTIF($B$11:B1241,Transactions!$F$8:$F$3006),0))="","",INDEX(Transactions!$F$8:$F$3006,MATCH(0,COUNTIF($B$11:B1241,Transactions!$F$8:$F$3006),0))),"")</f>
        <v/>
      </c>
      <c r="C1242" s="42" t="str">
        <f>IF(B1242="","",SUMIF(Transactions!$F$8:$F$3006,B1242,Transactions!$H$8:$H$3006))</f>
        <v/>
      </c>
      <c r="D1242" s="43" t="str">
        <f>IF(B1242="","",SUMIF(Transactions!$F$8:$F$3006,B1242,Transactions!$N$8:$N$3006))</f>
        <v/>
      </c>
      <c r="E1242" s="44" t="str">
        <f>IF(B1242="","",SUMIF(Transactions!$F$8:$F$3006,B1242,Transactions!$O$8:$O$3006))</f>
        <v/>
      </c>
      <c r="F1242" s="45" t="str">
        <f>IF(B1242="","",SUMIF(Transactions!$F$8:$F$3006,B1242,Transactions!$R$8:$R$3006))</f>
        <v/>
      </c>
      <c r="G1242" s="46" t="str">
        <f>IF(B1242="","",(C1242+F1242)-(D1242+E1242+SUMIF(Transactions!$F$8:$F$3006,B1242,Transactions!$Q$8:$Q$3006)))</f>
        <v/>
      </c>
      <c r="H1242" s="47" t="str">
        <f>IF(B1242="","",IF(G1242&gt;0,"OUTSTANDING",IF(G1242=0,"SETTLED",IF(SUMIF(Transactions!$F$8:$F$3006,B1242,Transactions!$Q$8:$Q$3006)&gt;SUMIF(Transactions!$F$8:$F$3006,B1242,Transactions!$R$8:$R$3006),"OWES","OVERPAID"))))</f>
        <v/>
      </c>
      <c r="I1242" s="1"/>
    </row>
    <row r="1243" spans="1:9" ht="18" customHeight="1" x14ac:dyDescent="0.25">
      <c r="A1243" s="48">
        <v>1228</v>
      </c>
      <c r="B1243" s="49" t="str">
        <f t="array" ref="B1243">IFERROR(IF(INDEX(Transactions!$F$8:$F$3006,MATCH(0,COUNTIF($B$11:B1242,Transactions!$F$8:$F$3006),0))="","",INDEX(Transactions!$F$8:$F$3006,MATCH(0,COUNTIF($B$11:B1242,Transactions!$F$8:$F$3006),0))),"")</f>
        <v/>
      </c>
      <c r="C1243" s="50" t="str">
        <f>IF(B1243="","",SUMIF(Transactions!$F$8:$F$3006,B1243,Transactions!$H$8:$H$3006))</f>
        <v/>
      </c>
      <c r="D1243" s="51" t="str">
        <f>IF(B1243="","",SUMIF(Transactions!$F$8:$F$3006,B1243,Transactions!$N$8:$N$3006))</f>
        <v/>
      </c>
      <c r="E1243" s="52" t="str">
        <f>IF(B1243="","",SUMIF(Transactions!$F$8:$F$3006,B1243,Transactions!$O$8:$O$3006))</f>
        <v/>
      </c>
      <c r="F1243" s="53" t="str">
        <f>IF(B1243="","",SUMIF(Transactions!$F$8:$F$3006,B1243,Transactions!$R$8:$R$3006))</f>
        <v/>
      </c>
      <c r="G1243" s="54" t="str">
        <f>IF(B1243="","",(C1243+F1243)-(D1243+E1243+SUMIF(Transactions!$F$8:$F$3006,B1243,Transactions!$Q$8:$Q$3006)))</f>
        <v/>
      </c>
      <c r="H1243" s="55" t="str">
        <f>IF(B1243="","",IF(G1243&gt;0,"OUTSTANDING",IF(G1243=0,"SETTLED",IF(SUMIF(Transactions!$F$8:$F$3006,B1243,Transactions!$Q$8:$Q$3006)&gt;SUMIF(Transactions!$F$8:$F$3006,B1243,Transactions!$R$8:$R$3006),"OWES","OVERPAID"))))</f>
        <v/>
      </c>
      <c r="I1243" s="1"/>
    </row>
    <row r="1244" spans="1:9" ht="18" customHeight="1" x14ac:dyDescent="0.25">
      <c r="A1244" s="40">
        <v>1229</v>
      </c>
      <c r="B1244" s="41" t="str">
        <f t="array" ref="B1244">IFERROR(IF(INDEX(Transactions!$F$8:$F$3006,MATCH(0,COUNTIF($B$11:B1243,Transactions!$F$8:$F$3006),0))="","",INDEX(Transactions!$F$8:$F$3006,MATCH(0,COUNTIF($B$11:B1243,Transactions!$F$8:$F$3006),0))),"")</f>
        <v/>
      </c>
      <c r="C1244" s="42" t="str">
        <f>IF(B1244="","",SUMIF(Transactions!$F$8:$F$3006,B1244,Transactions!$H$8:$H$3006))</f>
        <v/>
      </c>
      <c r="D1244" s="43" t="str">
        <f>IF(B1244="","",SUMIF(Transactions!$F$8:$F$3006,B1244,Transactions!$N$8:$N$3006))</f>
        <v/>
      </c>
      <c r="E1244" s="44" t="str">
        <f>IF(B1244="","",SUMIF(Transactions!$F$8:$F$3006,B1244,Transactions!$O$8:$O$3006))</f>
        <v/>
      </c>
      <c r="F1244" s="45" t="str">
        <f>IF(B1244="","",SUMIF(Transactions!$F$8:$F$3006,B1244,Transactions!$R$8:$R$3006))</f>
        <v/>
      </c>
      <c r="G1244" s="46" t="str">
        <f>IF(B1244="","",(C1244+F1244)-(D1244+E1244+SUMIF(Transactions!$F$8:$F$3006,B1244,Transactions!$Q$8:$Q$3006)))</f>
        <v/>
      </c>
      <c r="H1244" s="47" t="str">
        <f>IF(B1244="","",IF(G1244&gt;0,"OUTSTANDING",IF(G1244=0,"SETTLED",IF(SUMIF(Transactions!$F$8:$F$3006,B1244,Transactions!$Q$8:$Q$3006)&gt;SUMIF(Transactions!$F$8:$F$3006,B1244,Transactions!$R$8:$R$3006),"OWES","OVERPAID"))))</f>
        <v/>
      </c>
      <c r="I1244" s="1"/>
    </row>
    <row r="1245" spans="1:9" ht="18" customHeight="1" x14ac:dyDescent="0.25">
      <c r="A1245" s="48">
        <v>1230</v>
      </c>
      <c r="B1245" s="49" t="str">
        <f t="array" ref="B1245">IFERROR(IF(INDEX(Transactions!$F$8:$F$3006,MATCH(0,COUNTIF($B$11:B1244,Transactions!$F$8:$F$3006),0))="","",INDEX(Transactions!$F$8:$F$3006,MATCH(0,COUNTIF($B$11:B1244,Transactions!$F$8:$F$3006),0))),"")</f>
        <v/>
      </c>
      <c r="C1245" s="50" t="str">
        <f>IF(B1245="","",SUMIF(Transactions!$F$8:$F$3006,B1245,Transactions!$H$8:$H$3006))</f>
        <v/>
      </c>
      <c r="D1245" s="51" t="str">
        <f>IF(B1245="","",SUMIF(Transactions!$F$8:$F$3006,B1245,Transactions!$N$8:$N$3006))</f>
        <v/>
      </c>
      <c r="E1245" s="52" t="str">
        <f>IF(B1245="","",SUMIF(Transactions!$F$8:$F$3006,B1245,Transactions!$O$8:$O$3006))</f>
        <v/>
      </c>
      <c r="F1245" s="53" t="str">
        <f>IF(B1245="","",SUMIF(Transactions!$F$8:$F$3006,B1245,Transactions!$R$8:$R$3006))</f>
        <v/>
      </c>
      <c r="G1245" s="54" t="str">
        <f>IF(B1245="","",(C1245+F1245)-(D1245+E1245+SUMIF(Transactions!$F$8:$F$3006,B1245,Transactions!$Q$8:$Q$3006)))</f>
        <v/>
      </c>
      <c r="H1245" s="55" t="str">
        <f>IF(B1245="","",IF(G1245&gt;0,"OUTSTANDING",IF(G1245=0,"SETTLED",IF(SUMIF(Transactions!$F$8:$F$3006,B1245,Transactions!$Q$8:$Q$3006)&gt;SUMIF(Transactions!$F$8:$F$3006,B1245,Transactions!$R$8:$R$3006),"OWES","OVERPAID"))))</f>
        <v/>
      </c>
      <c r="I1245" s="1"/>
    </row>
    <row r="1246" spans="1:9" ht="18" customHeight="1" x14ac:dyDescent="0.25">
      <c r="A1246" s="40">
        <v>1231</v>
      </c>
      <c r="B1246" s="41" t="str">
        <f t="array" ref="B1246">IFERROR(IF(INDEX(Transactions!$F$8:$F$3006,MATCH(0,COUNTIF($B$11:B1245,Transactions!$F$8:$F$3006),0))="","",INDEX(Transactions!$F$8:$F$3006,MATCH(0,COUNTIF($B$11:B1245,Transactions!$F$8:$F$3006),0))),"")</f>
        <v/>
      </c>
      <c r="C1246" s="42" t="str">
        <f>IF(B1246="","",SUMIF(Transactions!$F$8:$F$3006,B1246,Transactions!$H$8:$H$3006))</f>
        <v/>
      </c>
      <c r="D1246" s="43" t="str">
        <f>IF(B1246="","",SUMIF(Transactions!$F$8:$F$3006,B1246,Transactions!$N$8:$N$3006))</f>
        <v/>
      </c>
      <c r="E1246" s="44" t="str">
        <f>IF(B1246="","",SUMIF(Transactions!$F$8:$F$3006,B1246,Transactions!$O$8:$O$3006))</f>
        <v/>
      </c>
      <c r="F1246" s="45" t="str">
        <f>IF(B1246="","",SUMIF(Transactions!$F$8:$F$3006,B1246,Transactions!$R$8:$R$3006))</f>
        <v/>
      </c>
      <c r="G1246" s="46" t="str">
        <f>IF(B1246="","",(C1246+F1246)-(D1246+E1246+SUMIF(Transactions!$F$8:$F$3006,B1246,Transactions!$Q$8:$Q$3006)))</f>
        <v/>
      </c>
      <c r="H1246" s="47" t="str">
        <f>IF(B1246="","",IF(G1246&gt;0,"OUTSTANDING",IF(G1246=0,"SETTLED",IF(SUMIF(Transactions!$F$8:$F$3006,B1246,Transactions!$Q$8:$Q$3006)&gt;SUMIF(Transactions!$F$8:$F$3006,B1246,Transactions!$R$8:$R$3006),"OWES","OVERPAID"))))</f>
        <v/>
      </c>
      <c r="I1246" s="1"/>
    </row>
    <row r="1247" spans="1:9" ht="18" customHeight="1" x14ac:dyDescent="0.25">
      <c r="A1247" s="48">
        <v>1232</v>
      </c>
      <c r="B1247" s="49" t="str">
        <f t="array" ref="B1247">IFERROR(IF(INDEX(Transactions!$F$8:$F$3006,MATCH(0,COUNTIF($B$11:B1246,Transactions!$F$8:$F$3006),0))="","",INDEX(Transactions!$F$8:$F$3006,MATCH(0,COUNTIF($B$11:B1246,Transactions!$F$8:$F$3006),0))),"")</f>
        <v/>
      </c>
      <c r="C1247" s="50" t="str">
        <f>IF(B1247="","",SUMIF(Transactions!$F$8:$F$3006,B1247,Transactions!$H$8:$H$3006))</f>
        <v/>
      </c>
      <c r="D1247" s="51" t="str">
        <f>IF(B1247="","",SUMIF(Transactions!$F$8:$F$3006,B1247,Transactions!$N$8:$N$3006))</f>
        <v/>
      </c>
      <c r="E1247" s="52" t="str">
        <f>IF(B1247="","",SUMIF(Transactions!$F$8:$F$3006,B1247,Transactions!$O$8:$O$3006))</f>
        <v/>
      </c>
      <c r="F1247" s="53" t="str">
        <f>IF(B1247="","",SUMIF(Transactions!$F$8:$F$3006,B1247,Transactions!$R$8:$R$3006))</f>
        <v/>
      </c>
      <c r="G1247" s="54" t="str">
        <f>IF(B1247="","",(C1247+F1247)-(D1247+E1247+SUMIF(Transactions!$F$8:$F$3006,B1247,Transactions!$Q$8:$Q$3006)))</f>
        <v/>
      </c>
      <c r="H1247" s="55" t="str">
        <f>IF(B1247="","",IF(G1247&gt;0,"OUTSTANDING",IF(G1247=0,"SETTLED",IF(SUMIF(Transactions!$F$8:$F$3006,B1247,Transactions!$Q$8:$Q$3006)&gt;SUMIF(Transactions!$F$8:$F$3006,B1247,Transactions!$R$8:$R$3006),"OWES","OVERPAID"))))</f>
        <v/>
      </c>
      <c r="I1247" s="1"/>
    </row>
    <row r="1248" spans="1:9" ht="18" customHeight="1" x14ac:dyDescent="0.25">
      <c r="A1248" s="40">
        <v>1233</v>
      </c>
      <c r="B1248" s="41" t="str">
        <f t="array" ref="B1248">IFERROR(IF(INDEX(Transactions!$F$8:$F$3006,MATCH(0,COUNTIF($B$11:B1247,Transactions!$F$8:$F$3006),0))="","",INDEX(Transactions!$F$8:$F$3006,MATCH(0,COUNTIF($B$11:B1247,Transactions!$F$8:$F$3006),0))),"")</f>
        <v/>
      </c>
      <c r="C1248" s="42" t="str">
        <f>IF(B1248="","",SUMIF(Transactions!$F$8:$F$3006,B1248,Transactions!$H$8:$H$3006))</f>
        <v/>
      </c>
      <c r="D1248" s="43" t="str">
        <f>IF(B1248="","",SUMIF(Transactions!$F$8:$F$3006,B1248,Transactions!$N$8:$N$3006))</f>
        <v/>
      </c>
      <c r="E1248" s="44" t="str">
        <f>IF(B1248="","",SUMIF(Transactions!$F$8:$F$3006,B1248,Transactions!$O$8:$O$3006))</f>
        <v/>
      </c>
      <c r="F1248" s="45" t="str">
        <f>IF(B1248="","",SUMIF(Transactions!$F$8:$F$3006,B1248,Transactions!$R$8:$R$3006))</f>
        <v/>
      </c>
      <c r="G1248" s="46" t="str">
        <f>IF(B1248="","",(C1248+F1248)-(D1248+E1248+SUMIF(Transactions!$F$8:$F$3006,B1248,Transactions!$Q$8:$Q$3006)))</f>
        <v/>
      </c>
      <c r="H1248" s="47" t="str">
        <f>IF(B1248="","",IF(G1248&gt;0,"OUTSTANDING",IF(G1248=0,"SETTLED",IF(SUMIF(Transactions!$F$8:$F$3006,B1248,Transactions!$Q$8:$Q$3006)&gt;SUMIF(Transactions!$F$8:$F$3006,B1248,Transactions!$R$8:$R$3006),"OWES","OVERPAID"))))</f>
        <v/>
      </c>
      <c r="I1248" s="1"/>
    </row>
    <row r="1249" spans="1:9" ht="18" customHeight="1" x14ac:dyDescent="0.25">
      <c r="A1249" s="48">
        <v>1234</v>
      </c>
      <c r="B1249" s="49" t="str">
        <f t="array" ref="B1249">IFERROR(IF(INDEX(Transactions!$F$8:$F$3006,MATCH(0,COUNTIF($B$11:B1248,Transactions!$F$8:$F$3006),0))="","",INDEX(Transactions!$F$8:$F$3006,MATCH(0,COUNTIF($B$11:B1248,Transactions!$F$8:$F$3006),0))),"")</f>
        <v/>
      </c>
      <c r="C1249" s="50" t="str">
        <f>IF(B1249="","",SUMIF(Transactions!$F$8:$F$3006,B1249,Transactions!$H$8:$H$3006))</f>
        <v/>
      </c>
      <c r="D1249" s="51" t="str">
        <f>IF(B1249="","",SUMIF(Transactions!$F$8:$F$3006,B1249,Transactions!$N$8:$N$3006))</f>
        <v/>
      </c>
      <c r="E1249" s="52" t="str">
        <f>IF(B1249="","",SUMIF(Transactions!$F$8:$F$3006,B1249,Transactions!$O$8:$O$3006))</f>
        <v/>
      </c>
      <c r="F1249" s="53" t="str">
        <f>IF(B1249="","",SUMIF(Transactions!$F$8:$F$3006,B1249,Transactions!$R$8:$R$3006))</f>
        <v/>
      </c>
      <c r="G1249" s="54" t="str">
        <f>IF(B1249="","",(C1249+F1249)-(D1249+E1249+SUMIF(Transactions!$F$8:$F$3006,B1249,Transactions!$Q$8:$Q$3006)))</f>
        <v/>
      </c>
      <c r="H1249" s="55" t="str">
        <f>IF(B1249="","",IF(G1249&gt;0,"OUTSTANDING",IF(G1249=0,"SETTLED",IF(SUMIF(Transactions!$F$8:$F$3006,B1249,Transactions!$Q$8:$Q$3006)&gt;SUMIF(Transactions!$F$8:$F$3006,B1249,Transactions!$R$8:$R$3006),"OWES","OVERPAID"))))</f>
        <v/>
      </c>
      <c r="I1249" s="1"/>
    </row>
    <row r="1250" spans="1:9" ht="18" customHeight="1" x14ac:dyDescent="0.25">
      <c r="A1250" s="40">
        <v>1235</v>
      </c>
      <c r="B1250" s="41" t="str">
        <f t="array" ref="B1250">IFERROR(IF(INDEX(Transactions!$F$8:$F$3006,MATCH(0,COUNTIF($B$11:B1249,Transactions!$F$8:$F$3006),0))="","",INDEX(Transactions!$F$8:$F$3006,MATCH(0,COUNTIF($B$11:B1249,Transactions!$F$8:$F$3006),0))),"")</f>
        <v/>
      </c>
      <c r="C1250" s="42" t="str">
        <f>IF(B1250="","",SUMIF(Transactions!$F$8:$F$3006,B1250,Transactions!$H$8:$H$3006))</f>
        <v/>
      </c>
      <c r="D1250" s="43" t="str">
        <f>IF(B1250="","",SUMIF(Transactions!$F$8:$F$3006,B1250,Transactions!$N$8:$N$3006))</f>
        <v/>
      </c>
      <c r="E1250" s="44" t="str">
        <f>IF(B1250="","",SUMIF(Transactions!$F$8:$F$3006,B1250,Transactions!$O$8:$O$3006))</f>
        <v/>
      </c>
      <c r="F1250" s="45" t="str">
        <f>IF(B1250="","",SUMIF(Transactions!$F$8:$F$3006,B1250,Transactions!$R$8:$R$3006))</f>
        <v/>
      </c>
      <c r="G1250" s="46" t="str">
        <f>IF(B1250="","",(C1250+F1250)-(D1250+E1250+SUMIF(Transactions!$F$8:$F$3006,B1250,Transactions!$Q$8:$Q$3006)))</f>
        <v/>
      </c>
      <c r="H1250" s="47" t="str">
        <f>IF(B1250="","",IF(G1250&gt;0,"OUTSTANDING",IF(G1250=0,"SETTLED",IF(SUMIF(Transactions!$F$8:$F$3006,B1250,Transactions!$Q$8:$Q$3006)&gt;SUMIF(Transactions!$F$8:$F$3006,B1250,Transactions!$R$8:$R$3006),"OWES","OVERPAID"))))</f>
        <v/>
      </c>
      <c r="I1250" s="1"/>
    </row>
    <row r="1251" spans="1:9" ht="18" customHeight="1" x14ac:dyDescent="0.25">
      <c r="A1251" s="48">
        <v>1236</v>
      </c>
      <c r="B1251" s="49" t="str">
        <f t="array" ref="B1251">IFERROR(IF(INDEX(Transactions!$F$8:$F$3006,MATCH(0,COUNTIF($B$11:B1250,Transactions!$F$8:$F$3006),0))="","",INDEX(Transactions!$F$8:$F$3006,MATCH(0,COUNTIF($B$11:B1250,Transactions!$F$8:$F$3006),0))),"")</f>
        <v/>
      </c>
      <c r="C1251" s="50" t="str">
        <f>IF(B1251="","",SUMIF(Transactions!$F$8:$F$3006,B1251,Transactions!$H$8:$H$3006))</f>
        <v/>
      </c>
      <c r="D1251" s="51" t="str">
        <f>IF(B1251="","",SUMIF(Transactions!$F$8:$F$3006,B1251,Transactions!$N$8:$N$3006))</f>
        <v/>
      </c>
      <c r="E1251" s="52" t="str">
        <f>IF(B1251="","",SUMIF(Transactions!$F$8:$F$3006,B1251,Transactions!$O$8:$O$3006))</f>
        <v/>
      </c>
      <c r="F1251" s="53" t="str">
        <f>IF(B1251="","",SUMIF(Transactions!$F$8:$F$3006,B1251,Transactions!$R$8:$R$3006))</f>
        <v/>
      </c>
      <c r="G1251" s="54" t="str">
        <f>IF(B1251="","",(C1251+F1251)-(D1251+E1251+SUMIF(Transactions!$F$8:$F$3006,B1251,Transactions!$Q$8:$Q$3006)))</f>
        <v/>
      </c>
      <c r="H1251" s="55" t="str">
        <f>IF(B1251="","",IF(G1251&gt;0,"OUTSTANDING",IF(G1251=0,"SETTLED",IF(SUMIF(Transactions!$F$8:$F$3006,B1251,Transactions!$Q$8:$Q$3006)&gt;SUMIF(Transactions!$F$8:$F$3006,B1251,Transactions!$R$8:$R$3006),"OWES","OVERPAID"))))</f>
        <v/>
      </c>
      <c r="I1251" s="1"/>
    </row>
    <row r="1252" spans="1:9" ht="18" customHeight="1" x14ac:dyDescent="0.25">
      <c r="A1252" s="40">
        <v>1237</v>
      </c>
      <c r="B1252" s="41" t="str">
        <f t="array" ref="B1252">IFERROR(IF(INDEX(Transactions!$F$8:$F$3006,MATCH(0,COUNTIF($B$11:B1251,Transactions!$F$8:$F$3006),0))="","",INDEX(Transactions!$F$8:$F$3006,MATCH(0,COUNTIF($B$11:B1251,Transactions!$F$8:$F$3006),0))),"")</f>
        <v/>
      </c>
      <c r="C1252" s="42" t="str">
        <f>IF(B1252="","",SUMIF(Transactions!$F$8:$F$3006,B1252,Transactions!$H$8:$H$3006))</f>
        <v/>
      </c>
      <c r="D1252" s="43" t="str">
        <f>IF(B1252="","",SUMIF(Transactions!$F$8:$F$3006,B1252,Transactions!$N$8:$N$3006))</f>
        <v/>
      </c>
      <c r="E1252" s="44" t="str">
        <f>IF(B1252="","",SUMIF(Transactions!$F$8:$F$3006,B1252,Transactions!$O$8:$O$3006))</f>
        <v/>
      </c>
      <c r="F1252" s="45" t="str">
        <f>IF(B1252="","",SUMIF(Transactions!$F$8:$F$3006,B1252,Transactions!$R$8:$R$3006))</f>
        <v/>
      </c>
      <c r="G1252" s="46" t="str">
        <f>IF(B1252="","",(C1252+F1252)-(D1252+E1252+SUMIF(Transactions!$F$8:$F$3006,B1252,Transactions!$Q$8:$Q$3006)))</f>
        <v/>
      </c>
      <c r="H1252" s="47" t="str">
        <f>IF(B1252="","",IF(G1252&gt;0,"OUTSTANDING",IF(G1252=0,"SETTLED",IF(SUMIF(Transactions!$F$8:$F$3006,B1252,Transactions!$Q$8:$Q$3006)&gt;SUMIF(Transactions!$F$8:$F$3006,B1252,Transactions!$R$8:$R$3006),"OWES","OVERPAID"))))</f>
        <v/>
      </c>
      <c r="I1252" s="1"/>
    </row>
    <row r="1253" spans="1:9" ht="18" customHeight="1" x14ac:dyDescent="0.25">
      <c r="A1253" s="48">
        <v>1238</v>
      </c>
      <c r="B1253" s="49" t="str">
        <f t="array" ref="B1253">IFERROR(IF(INDEX(Transactions!$F$8:$F$3006,MATCH(0,COUNTIF($B$11:B1252,Transactions!$F$8:$F$3006),0))="","",INDEX(Transactions!$F$8:$F$3006,MATCH(0,COUNTIF($B$11:B1252,Transactions!$F$8:$F$3006),0))),"")</f>
        <v/>
      </c>
      <c r="C1253" s="50" t="str">
        <f>IF(B1253="","",SUMIF(Transactions!$F$8:$F$3006,B1253,Transactions!$H$8:$H$3006))</f>
        <v/>
      </c>
      <c r="D1253" s="51" t="str">
        <f>IF(B1253="","",SUMIF(Transactions!$F$8:$F$3006,B1253,Transactions!$N$8:$N$3006))</f>
        <v/>
      </c>
      <c r="E1253" s="52" t="str">
        <f>IF(B1253="","",SUMIF(Transactions!$F$8:$F$3006,B1253,Transactions!$O$8:$O$3006))</f>
        <v/>
      </c>
      <c r="F1253" s="53" t="str">
        <f>IF(B1253="","",SUMIF(Transactions!$F$8:$F$3006,B1253,Transactions!$R$8:$R$3006))</f>
        <v/>
      </c>
      <c r="G1253" s="54" t="str">
        <f>IF(B1253="","",(C1253+F1253)-(D1253+E1253+SUMIF(Transactions!$F$8:$F$3006,B1253,Transactions!$Q$8:$Q$3006)))</f>
        <v/>
      </c>
      <c r="H1253" s="55" t="str">
        <f>IF(B1253="","",IF(G1253&gt;0,"OUTSTANDING",IF(G1253=0,"SETTLED",IF(SUMIF(Transactions!$F$8:$F$3006,B1253,Transactions!$Q$8:$Q$3006)&gt;SUMIF(Transactions!$F$8:$F$3006,B1253,Transactions!$R$8:$R$3006),"OWES","OVERPAID"))))</f>
        <v/>
      </c>
      <c r="I1253" s="1"/>
    </row>
    <row r="1254" spans="1:9" ht="18" customHeight="1" x14ac:dyDescent="0.25">
      <c r="A1254" s="40">
        <v>1239</v>
      </c>
      <c r="B1254" s="41" t="str">
        <f t="array" ref="B1254">IFERROR(IF(INDEX(Transactions!$F$8:$F$3006,MATCH(0,COUNTIF($B$11:B1253,Transactions!$F$8:$F$3006),0))="","",INDEX(Transactions!$F$8:$F$3006,MATCH(0,COUNTIF($B$11:B1253,Transactions!$F$8:$F$3006),0))),"")</f>
        <v/>
      </c>
      <c r="C1254" s="42" t="str">
        <f>IF(B1254="","",SUMIF(Transactions!$F$8:$F$3006,B1254,Transactions!$H$8:$H$3006))</f>
        <v/>
      </c>
      <c r="D1254" s="43" t="str">
        <f>IF(B1254="","",SUMIF(Transactions!$F$8:$F$3006,B1254,Transactions!$N$8:$N$3006))</f>
        <v/>
      </c>
      <c r="E1254" s="44" t="str">
        <f>IF(B1254="","",SUMIF(Transactions!$F$8:$F$3006,B1254,Transactions!$O$8:$O$3006))</f>
        <v/>
      </c>
      <c r="F1254" s="45" t="str">
        <f>IF(B1254="","",SUMIF(Transactions!$F$8:$F$3006,B1254,Transactions!$R$8:$R$3006))</f>
        <v/>
      </c>
      <c r="G1254" s="46" t="str">
        <f>IF(B1254="","",(C1254+F1254)-(D1254+E1254+SUMIF(Transactions!$F$8:$F$3006,B1254,Transactions!$Q$8:$Q$3006)))</f>
        <v/>
      </c>
      <c r="H1254" s="47" t="str">
        <f>IF(B1254="","",IF(G1254&gt;0,"OUTSTANDING",IF(G1254=0,"SETTLED",IF(SUMIF(Transactions!$F$8:$F$3006,B1254,Transactions!$Q$8:$Q$3006)&gt;SUMIF(Transactions!$F$8:$F$3006,B1254,Transactions!$R$8:$R$3006),"OWES","OVERPAID"))))</f>
        <v/>
      </c>
      <c r="I1254" s="1"/>
    </row>
    <row r="1255" spans="1:9" ht="18" customHeight="1" x14ac:dyDescent="0.25">
      <c r="A1255" s="48">
        <v>1240</v>
      </c>
      <c r="B1255" s="49" t="str">
        <f t="array" ref="B1255">IFERROR(IF(INDEX(Transactions!$F$8:$F$3006,MATCH(0,COUNTIF($B$11:B1254,Transactions!$F$8:$F$3006),0))="","",INDEX(Transactions!$F$8:$F$3006,MATCH(0,COUNTIF($B$11:B1254,Transactions!$F$8:$F$3006),0))),"")</f>
        <v/>
      </c>
      <c r="C1255" s="50" t="str">
        <f>IF(B1255="","",SUMIF(Transactions!$F$8:$F$3006,B1255,Transactions!$H$8:$H$3006))</f>
        <v/>
      </c>
      <c r="D1255" s="51" t="str">
        <f>IF(B1255="","",SUMIF(Transactions!$F$8:$F$3006,B1255,Transactions!$N$8:$N$3006))</f>
        <v/>
      </c>
      <c r="E1255" s="52" t="str">
        <f>IF(B1255="","",SUMIF(Transactions!$F$8:$F$3006,B1255,Transactions!$O$8:$O$3006))</f>
        <v/>
      </c>
      <c r="F1255" s="53" t="str">
        <f>IF(B1255="","",SUMIF(Transactions!$F$8:$F$3006,B1255,Transactions!$R$8:$R$3006))</f>
        <v/>
      </c>
      <c r="G1255" s="54" t="str">
        <f>IF(B1255="","",(C1255+F1255)-(D1255+E1255+SUMIF(Transactions!$F$8:$F$3006,B1255,Transactions!$Q$8:$Q$3006)))</f>
        <v/>
      </c>
      <c r="H1255" s="55" t="str">
        <f>IF(B1255="","",IF(G1255&gt;0,"OUTSTANDING",IF(G1255=0,"SETTLED",IF(SUMIF(Transactions!$F$8:$F$3006,B1255,Transactions!$Q$8:$Q$3006)&gt;SUMIF(Transactions!$F$8:$F$3006,B1255,Transactions!$R$8:$R$3006),"OWES","OVERPAID"))))</f>
        <v/>
      </c>
      <c r="I1255" s="1"/>
    </row>
    <row r="1256" spans="1:9" ht="18" customHeight="1" x14ac:dyDescent="0.25">
      <c r="A1256" s="40">
        <v>1241</v>
      </c>
      <c r="B1256" s="41" t="str">
        <f t="array" ref="B1256">IFERROR(IF(INDEX(Transactions!$F$8:$F$3006,MATCH(0,COUNTIF($B$11:B1255,Transactions!$F$8:$F$3006),0))="","",INDEX(Transactions!$F$8:$F$3006,MATCH(0,COUNTIF($B$11:B1255,Transactions!$F$8:$F$3006),0))),"")</f>
        <v/>
      </c>
      <c r="C1256" s="42" t="str">
        <f>IF(B1256="","",SUMIF(Transactions!$F$8:$F$3006,B1256,Transactions!$H$8:$H$3006))</f>
        <v/>
      </c>
      <c r="D1256" s="43" t="str">
        <f>IF(B1256="","",SUMIF(Transactions!$F$8:$F$3006,B1256,Transactions!$N$8:$N$3006))</f>
        <v/>
      </c>
      <c r="E1256" s="44" t="str">
        <f>IF(B1256="","",SUMIF(Transactions!$F$8:$F$3006,B1256,Transactions!$O$8:$O$3006))</f>
        <v/>
      </c>
      <c r="F1256" s="45" t="str">
        <f>IF(B1256="","",SUMIF(Transactions!$F$8:$F$3006,B1256,Transactions!$R$8:$R$3006))</f>
        <v/>
      </c>
      <c r="G1256" s="46" t="str">
        <f>IF(B1256="","",(C1256+F1256)-(D1256+E1256+SUMIF(Transactions!$F$8:$F$3006,B1256,Transactions!$Q$8:$Q$3006)))</f>
        <v/>
      </c>
      <c r="H1256" s="47" t="str">
        <f>IF(B1256="","",IF(G1256&gt;0,"OUTSTANDING",IF(G1256=0,"SETTLED",IF(SUMIF(Transactions!$F$8:$F$3006,B1256,Transactions!$Q$8:$Q$3006)&gt;SUMIF(Transactions!$F$8:$F$3006,B1256,Transactions!$R$8:$R$3006),"OWES","OVERPAID"))))</f>
        <v/>
      </c>
      <c r="I1256" s="1"/>
    </row>
    <row r="1257" spans="1:9" ht="18" customHeight="1" x14ac:dyDescent="0.25">
      <c r="A1257" s="48">
        <v>1242</v>
      </c>
      <c r="B1257" s="49" t="str">
        <f t="array" ref="B1257">IFERROR(IF(INDEX(Transactions!$F$8:$F$3006,MATCH(0,COUNTIF($B$11:B1256,Transactions!$F$8:$F$3006),0))="","",INDEX(Transactions!$F$8:$F$3006,MATCH(0,COUNTIF($B$11:B1256,Transactions!$F$8:$F$3006),0))),"")</f>
        <v/>
      </c>
      <c r="C1257" s="50" t="str">
        <f>IF(B1257="","",SUMIF(Transactions!$F$8:$F$3006,B1257,Transactions!$H$8:$H$3006))</f>
        <v/>
      </c>
      <c r="D1257" s="51" t="str">
        <f>IF(B1257="","",SUMIF(Transactions!$F$8:$F$3006,B1257,Transactions!$N$8:$N$3006))</f>
        <v/>
      </c>
      <c r="E1257" s="52" t="str">
        <f>IF(B1257="","",SUMIF(Transactions!$F$8:$F$3006,B1257,Transactions!$O$8:$O$3006))</f>
        <v/>
      </c>
      <c r="F1257" s="53" t="str">
        <f>IF(B1257="","",SUMIF(Transactions!$F$8:$F$3006,B1257,Transactions!$R$8:$R$3006))</f>
        <v/>
      </c>
      <c r="G1257" s="54" t="str">
        <f>IF(B1257="","",(C1257+F1257)-(D1257+E1257+SUMIF(Transactions!$F$8:$F$3006,B1257,Transactions!$Q$8:$Q$3006)))</f>
        <v/>
      </c>
      <c r="H1257" s="55" t="str">
        <f>IF(B1257="","",IF(G1257&gt;0,"OUTSTANDING",IF(G1257=0,"SETTLED",IF(SUMIF(Transactions!$F$8:$F$3006,B1257,Transactions!$Q$8:$Q$3006)&gt;SUMIF(Transactions!$F$8:$F$3006,B1257,Transactions!$R$8:$R$3006),"OWES","OVERPAID"))))</f>
        <v/>
      </c>
      <c r="I1257" s="1"/>
    </row>
    <row r="1258" spans="1:9" ht="18" customHeight="1" x14ac:dyDescent="0.25">
      <c r="A1258" s="40">
        <v>1243</v>
      </c>
      <c r="B1258" s="41" t="str">
        <f t="array" ref="B1258">IFERROR(IF(INDEX(Transactions!$F$8:$F$3006,MATCH(0,COUNTIF($B$11:B1257,Transactions!$F$8:$F$3006),0))="","",INDEX(Transactions!$F$8:$F$3006,MATCH(0,COUNTIF($B$11:B1257,Transactions!$F$8:$F$3006),0))),"")</f>
        <v/>
      </c>
      <c r="C1258" s="42" t="str">
        <f>IF(B1258="","",SUMIF(Transactions!$F$8:$F$3006,B1258,Transactions!$H$8:$H$3006))</f>
        <v/>
      </c>
      <c r="D1258" s="43" t="str">
        <f>IF(B1258="","",SUMIF(Transactions!$F$8:$F$3006,B1258,Transactions!$N$8:$N$3006))</f>
        <v/>
      </c>
      <c r="E1258" s="44" t="str">
        <f>IF(B1258="","",SUMIF(Transactions!$F$8:$F$3006,B1258,Transactions!$O$8:$O$3006))</f>
        <v/>
      </c>
      <c r="F1258" s="45" t="str">
        <f>IF(B1258="","",SUMIF(Transactions!$F$8:$F$3006,B1258,Transactions!$R$8:$R$3006))</f>
        <v/>
      </c>
      <c r="G1258" s="46" t="str">
        <f>IF(B1258="","",(C1258+F1258)-(D1258+E1258+SUMIF(Transactions!$F$8:$F$3006,B1258,Transactions!$Q$8:$Q$3006)))</f>
        <v/>
      </c>
      <c r="H1258" s="47" t="str">
        <f>IF(B1258="","",IF(G1258&gt;0,"OUTSTANDING",IF(G1258=0,"SETTLED",IF(SUMIF(Transactions!$F$8:$F$3006,B1258,Transactions!$Q$8:$Q$3006)&gt;SUMIF(Transactions!$F$8:$F$3006,B1258,Transactions!$R$8:$R$3006),"OWES","OVERPAID"))))</f>
        <v/>
      </c>
      <c r="I1258" s="1"/>
    </row>
    <row r="1259" spans="1:9" ht="18" customHeight="1" x14ac:dyDescent="0.25">
      <c r="A1259" s="48">
        <v>1244</v>
      </c>
      <c r="B1259" s="49" t="str">
        <f t="array" ref="B1259">IFERROR(IF(INDEX(Transactions!$F$8:$F$3006,MATCH(0,COUNTIF($B$11:B1258,Transactions!$F$8:$F$3006),0))="","",INDEX(Transactions!$F$8:$F$3006,MATCH(0,COUNTIF($B$11:B1258,Transactions!$F$8:$F$3006),0))),"")</f>
        <v/>
      </c>
      <c r="C1259" s="50" t="str">
        <f>IF(B1259="","",SUMIF(Transactions!$F$8:$F$3006,B1259,Transactions!$H$8:$H$3006))</f>
        <v/>
      </c>
      <c r="D1259" s="51" t="str">
        <f>IF(B1259="","",SUMIF(Transactions!$F$8:$F$3006,B1259,Transactions!$N$8:$N$3006))</f>
        <v/>
      </c>
      <c r="E1259" s="52" t="str">
        <f>IF(B1259="","",SUMIF(Transactions!$F$8:$F$3006,B1259,Transactions!$O$8:$O$3006))</f>
        <v/>
      </c>
      <c r="F1259" s="53" t="str">
        <f>IF(B1259="","",SUMIF(Transactions!$F$8:$F$3006,B1259,Transactions!$R$8:$R$3006))</f>
        <v/>
      </c>
      <c r="G1259" s="54" t="str">
        <f>IF(B1259="","",(C1259+F1259)-(D1259+E1259+SUMIF(Transactions!$F$8:$F$3006,B1259,Transactions!$Q$8:$Q$3006)))</f>
        <v/>
      </c>
      <c r="H1259" s="55" t="str">
        <f>IF(B1259="","",IF(G1259&gt;0,"OUTSTANDING",IF(G1259=0,"SETTLED",IF(SUMIF(Transactions!$F$8:$F$3006,B1259,Transactions!$Q$8:$Q$3006)&gt;SUMIF(Transactions!$F$8:$F$3006,B1259,Transactions!$R$8:$R$3006),"OWES","OVERPAID"))))</f>
        <v/>
      </c>
      <c r="I1259" s="1"/>
    </row>
    <row r="1260" spans="1:9" ht="18" customHeight="1" x14ac:dyDescent="0.25">
      <c r="A1260" s="40">
        <v>1245</v>
      </c>
      <c r="B1260" s="41" t="str">
        <f t="array" ref="B1260">IFERROR(IF(INDEX(Transactions!$F$8:$F$3006,MATCH(0,COUNTIF($B$11:B1259,Transactions!$F$8:$F$3006),0))="","",INDEX(Transactions!$F$8:$F$3006,MATCH(0,COUNTIF($B$11:B1259,Transactions!$F$8:$F$3006),0))),"")</f>
        <v/>
      </c>
      <c r="C1260" s="42" t="str">
        <f>IF(B1260="","",SUMIF(Transactions!$F$8:$F$3006,B1260,Transactions!$H$8:$H$3006))</f>
        <v/>
      </c>
      <c r="D1260" s="43" t="str">
        <f>IF(B1260="","",SUMIF(Transactions!$F$8:$F$3006,B1260,Transactions!$N$8:$N$3006))</f>
        <v/>
      </c>
      <c r="E1260" s="44" t="str">
        <f>IF(B1260="","",SUMIF(Transactions!$F$8:$F$3006,B1260,Transactions!$O$8:$O$3006))</f>
        <v/>
      </c>
      <c r="F1260" s="45" t="str">
        <f>IF(B1260="","",SUMIF(Transactions!$F$8:$F$3006,B1260,Transactions!$R$8:$R$3006))</f>
        <v/>
      </c>
      <c r="G1260" s="46" t="str">
        <f>IF(B1260="","",(C1260+F1260)-(D1260+E1260+SUMIF(Transactions!$F$8:$F$3006,B1260,Transactions!$Q$8:$Q$3006)))</f>
        <v/>
      </c>
      <c r="H1260" s="47" t="str">
        <f>IF(B1260="","",IF(G1260&gt;0,"OUTSTANDING",IF(G1260=0,"SETTLED",IF(SUMIF(Transactions!$F$8:$F$3006,B1260,Transactions!$Q$8:$Q$3006)&gt;SUMIF(Transactions!$F$8:$F$3006,B1260,Transactions!$R$8:$R$3006),"OWES","OVERPAID"))))</f>
        <v/>
      </c>
      <c r="I1260" s="1"/>
    </row>
    <row r="1261" spans="1:9" ht="18" customHeight="1" x14ac:dyDescent="0.25">
      <c r="A1261" s="48">
        <v>1246</v>
      </c>
      <c r="B1261" s="49" t="str">
        <f t="array" ref="B1261">IFERROR(IF(INDEX(Transactions!$F$8:$F$3006,MATCH(0,COUNTIF($B$11:B1260,Transactions!$F$8:$F$3006),0))="","",INDEX(Transactions!$F$8:$F$3006,MATCH(0,COUNTIF($B$11:B1260,Transactions!$F$8:$F$3006),0))),"")</f>
        <v/>
      </c>
      <c r="C1261" s="50" t="str">
        <f>IF(B1261="","",SUMIF(Transactions!$F$8:$F$3006,B1261,Transactions!$H$8:$H$3006))</f>
        <v/>
      </c>
      <c r="D1261" s="51" t="str">
        <f>IF(B1261="","",SUMIF(Transactions!$F$8:$F$3006,B1261,Transactions!$N$8:$N$3006))</f>
        <v/>
      </c>
      <c r="E1261" s="52" t="str">
        <f>IF(B1261="","",SUMIF(Transactions!$F$8:$F$3006,B1261,Transactions!$O$8:$O$3006))</f>
        <v/>
      </c>
      <c r="F1261" s="53" t="str">
        <f>IF(B1261="","",SUMIF(Transactions!$F$8:$F$3006,B1261,Transactions!$R$8:$R$3006))</f>
        <v/>
      </c>
      <c r="G1261" s="54" t="str">
        <f>IF(B1261="","",(C1261+F1261)-(D1261+E1261+SUMIF(Transactions!$F$8:$F$3006,B1261,Transactions!$Q$8:$Q$3006)))</f>
        <v/>
      </c>
      <c r="H1261" s="55" t="str">
        <f>IF(B1261="","",IF(G1261&gt;0,"OUTSTANDING",IF(G1261=0,"SETTLED",IF(SUMIF(Transactions!$F$8:$F$3006,B1261,Transactions!$Q$8:$Q$3006)&gt;SUMIF(Transactions!$F$8:$F$3006,B1261,Transactions!$R$8:$R$3006),"OWES","OVERPAID"))))</f>
        <v/>
      </c>
      <c r="I1261" s="1"/>
    </row>
    <row r="1262" spans="1:9" ht="18" customHeight="1" x14ac:dyDescent="0.25">
      <c r="A1262" s="40">
        <v>1247</v>
      </c>
      <c r="B1262" s="41" t="str">
        <f t="array" ref="B1262">IFERROR(IF(INDEX(Transactions!$F$8:$F$3006,MATCH(0,COUNTIF($B$11:B1261,Transactions!$F$8:$F$3006),0))="","",INDEX(Transactions!$F$8:$F$3006,MATCH(0,COUNTIF($B$11:B1261,Transactions!$F$8:$F$3006),0))),"")</f>
        <v/>
      </c>
      <c r="C1262" s="42" t="str">
        <f>IF(B1262="","",SUMIF(Transactions!$F$8:$F$3006,B1262,Transactions!$H$8:$H$3006))</f>
        <v/>
      </c>
      <c r="D1262" s="43" t="str">
        <f>IF(B1262="","",SUMIF(Transactions!$F$8:$F$3006,B1262,Transactions!$N$8:$N$3006))</f>
        <v/>
      </c>
      <c r="E1262" s="44" t="str">
        <f>IF(B1262="","",SUMIF(Transactions!$F$8:$F$3006,B1262,Transactions!$O$8:$O$3006))</f>
        <v/>
      </c>
      <c r="F1262" s="45" t="str">
        <f>IF(B1262="","",SUMIF(Transactions!$F$8:$F$3006,B1262,Transactions!$R$8:$R$3006))</f>
        <v/>
      </c>
      <c r="G1262" s="46" t="str">
        <f>IF(B1262="","",(C1262+F1262)-(D1262+E1262+SUMIF(Transactions!$F$8:$F$3006,B1262,Transactions!$Q$8:$Q$3006)))</f>
        <v/>
      </c>
      <c r="H1262" s="47" t="str">
        <f>IF(B1262="","",IF(G1262&gt;0,"OUTSTANDING",IF(G1262=0,"SETTLED",IF(SUMIF(Transactions!$F$8:$F$3006,B1262,Transactions!$Q$8:$Q$3006)&gt;SUMIF(Transactions!$F$8:$F$3006,B1262,Transactions!$R$8:$R$3006),"OWES","OVERPAID"))))</f>
        <v/>
      </c>
      <c r="I1262" s="1"/>
    </row>
    <row r="1263" spans="1:9" ht="18" customHeight="1" x14ac:dyDescent="0.25">
      <c r="A1263" s="48">
        <v>1248</v>
      </c>
      <c r="B1263" s="49" t="str">
        <f t="array" ref="B1263">IFERROR(IF(INDEX(Transactions!$F$8:$F$3006,MATCH(0,COUNTIF($B$11:B1262,Transactions!$F$8:$F$3006),0))="","",INDEX(Transactions!$F$8:$F$3006,MATCH(0,COUNTIF($B$11:B1262,Transactions!$F$8:$F$3006),0))),"")</f>
        <v/>
      </c>
      <c r="C1263" s="50" t="str">
        <f>IF(B1263="","",SUMIF(Transactions!$F$8:$F$3006,B1263,Transactions!$H$8:$H$3006))</f>
        <v/>
      </c>
      <c r="D1263" s="51" t="str">
        <f>IF(B1263="","",SUMIF(Transactions!$F$8:$F$3006,B1263,Transactions!$N$8:$N$3006))</f>
        <v/>
      </c>
      <c r="E1263" s="52" t="str">
        <f>IF(B1263="","",SUMIF(Transactions!$F$8:$F$3006,B1263,Transactions!$O$8:$O$3006))</f>
        <v/>
      </c>
      <c r="F1263" s="53" t="str">
        <f>IF(B1263="","",SUMIF(Transactions!$F$8:$F$3006,B1263,Transactions!$R$8:$R$3006))</f>
        <v/>
      </c>
      <c r="G1263" s="54" t="str">
        <f>IF(B1263="","",(C1263+F1263)-(D1263+E1263+SUMIF(Transactions!$F$8:$F$3006,B1263,Transactions!$Q$8:$Q$3006)))</f>
        <v/>
      </c>
      <c r="H1263" s="55" t="str">
        <f>IF(B1263="","",IF(G1263&gt;0,"OUTSTANDING",IF(G1263=0,"SETTLED",IF(SUMIF(Transactions!$F$8:$F$3006,B1263,Transactions!$Q$8:$Q$3006)&gt;SUMIF(Transactions!$F$8:$F$3006,B1263,Transactions!$R$8:$R$3006),"OWES","OVERPAID"))))</f>
        <v/>
      </c>
      <c r="I1263" s="1"/>
    </row>
    <row r="1264" spans="1:9" ht="18" customHeight="1" x14ac:dyDescent="0.25">
      <c r="A1264" s="40">
        <v>1249</v>
      </c>
      <c r="B1264" s="41" t="str">
        <f t="array" ref="B1264">IFERROR(IF(INDEX(Transactions!$F$8:$F$3006,MATCH(0,COUNTIF($B$11:B1263,Transactions!$F$8:$F$3006),0))="","",INDEX(Transactions!$F$8:$F$3006,MATCH(0,COUNTIF($B$11:B1263,Transactions!$F$8:$F$3006),0))),"")</f>
        <v/>
      </c>
      <c r="C1264" s="42" t="str">
        <f>IF(B1264="","",SUMIF(Transactions!$F$8:$F$3006,B1264,Transactions!$H$8:$H$3006))</f>
        <v/>
      </c>
      <c r="D1264" s="43" t="str">
        <f>IF(B1264="","",SUMIF(Transactions!$F$8:$F$3006,B1264,Transactions!$N$8:$N$3006))</f>
        <v/>
      </c>
      <c r="E1264" s="44" t="str">
        <f>IF(B1264="","",SUMIF(Transactions!$F$8:$F$3006,B1264,Transactions!$O$8:$O$3006))</f>
        <v/>
      </c>
      <c r="F1264" s="45" t="str">
        <f>IF(B1264="","",SUMIF(Transactions!$F$8:$F$3006,B1264,Transactions!$R$8:$R$3006))</f>
        <v/>
      </c>
      <c r="G1264" s="46" t="str">
        <f>IF(B1264="","",(C1264+F1264)-(D1264+E1264+SUMIF(Transactions!$F$8:$F$3006,B1264,Transactions!$Q$8:$Q$3006)))</f>
        <v/>
      </c>
      <c r="H1264" s="47" t="str">
        <f>IF(B1264="","",IF(G1264&gt;0,"OUTSTANDING",IF(G1264=0,"SETTLED",IF(SUMIF(Transactions!$F$8:$F$3006,B1264,Transactions!$Q$8:$Q$3006)&gt;SUMIF(Transactions!$F$8:$F$3006,B1264,Transactions!$R$8:$R$3006),"OWES","OVERPAID"))))</f>
        <v/>
      </c>
      <c r="I1264" s="1"/>
    </row>
    <row r="1265" spans="1:9" ht="18" customHeight="1" x14ac:dyDescent="0.25">
      <c r="A1265" s="48">
        <v>1250</v>
      </c>
      <c r="B1265" s="49" t="str">
        <f t="array" ref="B1265">IFERROR(IF(INDEX(Transactions!$F$8:$F$3006,MATCH(0,COUNTIF($B$11:B1264,Transactions!$F$8:$F$3006),0))="","",INDEX(Transactions!$F$8:$F$3006,MATCH(0,COUNTIF($B$11:B1264,Transactions!$F$8:$F$3006),0))),"")</f>
        <v/>
      </c>
      <c r="C1265" s="50" t="str">
        <f>IF(B1265="","",SUMIF(Transactions!$F$8:$F$3006,B1265,Transactions!$H$8:$H$3006))</f>
        <v/>
      </c>
      <c r="D1265" s="51" t="str">
        <f>IF(B1265="","",SUMIF(Transactions!$F$8:$F$3006,B1265,Transactions!$N$8:$N$3006))</f>
        <v/>
      </c>
      <c r="E1265" s="52" t="str">
        <f>IF(B1265="","",SUMIF(Transactions!$F$8:$F$3006,B1265,Transactions!$O$8:$O$3006))</f>
        <v/>
      </c>
      <c r="F1265" s="53" t="str">
        <f>IF(B1265="","",SUMIF(Transactions!$F$8:$F$3006,B1265,Transactions!$R$8:$R$3006))</f>
        <v/>
      </c>
      <c r="G1265" s="54" t="str">
        <f>IF(B1265="","",(C1265+F1265)-(D1265+E1265+SUMIF(Transactions!$F$8:$F$3006,B1265,Transactions!$Q$8:$Q$3006)))</f>
        <v/>
      </c>
      <c r="H1265" s="55" t="str">
        <f>IF(B1265="","",IF(G1265&gt;0,"OUTSTANDING",IF(G1265=0,"SETTLED",IF(SUMIF(Transactions!$F$8:$F$3006,B1265,Transactions!$Q$8:$Q$3006)&gt;SUMIF(Transactions!$F$8:$F$3006,B1265,Transactions!$R$8:$R$3006),"OWES","OVERPAID"))))</f>
        <v/>
      </c>
      <c r="I1265" s="1"/>
    </row>
    <row r="1266" spans="1:9" ht="18" customHeight="1" x14ac:dyDescent="0.25">
      <c r="A1266" s="40">
        <v>1251</v>
      </c>
      <c r="B1266" s="41" t="str">
        <f t="array" ref="B1266">IFERROR(IF(INDEX(Transactions!$F$8:$F$3006,MATCH(0,COUNTIF($B$11:B1265,Transactions!$F$8:$F$3006),0))="","",INDEX(Transactions!$F$8:$F$3006,MATCH(0,COUNTIF($B$11:B1265,Transactions!$F$8:$F$3006),0))),"")</f>
        <v/>
      </c>
      <c r="C1266" s="42" t="str">
        <f>IF(B1266="","",SUMIF(Transactions!$F$8:$F$3006,B1266,Transactions!$H$8:$H$3006))</f>
        <v/>
      </c>
      <c r="D1266" s="43" t="str">
        <f>IF(B1266="","",SUMIF(Transactions!$F$8:$F$3006,B1266,Transactions!$N$8:$N$3006))</f>
        <v/>
      </c>
      <c r="E1266" s="44" t="str">
        <f>IF(B1266="","",SUMIF(Transactions!$F$8:$F$3006,B1266,Transactions!$O$8:$O$3006))</f>
        <v/>
      </c>
      <c r="F1266" s="45" t="str">
        <f>IF(B1266="","",SUMIF(Transactions!$F$8:$F$3006,B1266,Transactions!$R$8:$R$3006))</f>
        <v/>
      </c>
      <c r="G1266" s="46" t="str">
        <f>IF(B1266="","",(C1266+F1266)-(D1266+E1266+SUMIF(Transactions!$F$8:$F$3006,B1266,Transactions!$Q$8:$Q$3006)))</f>
        <v/>
      </c>
      <c r="H1266" s="47" t="str">
        <f>IF(B1266="","",IF(G1266&gt;0,"OUTSTANDING",IF(G1266=0,"SETTLED",IF(SUMIF(Transactions!$F$8:$F$3006,B1266,Transactions!$Q$8:$Q$3006)&gt;SUMIF(Transactions!$F$8:$F$3006,B1266,Transactions!$R$8:$R$3006),"OWES","OVERPAID"))))</f>
        <v/>
      </c>
      <c r="I1266" s="1"/>
    </row>
    <row r="1267" spans="1:9" ht="18" customHeight="1" x14ac:dyDescent="0.25">
      <c r="A1267" s="48">
        <v>1252</v>
      </c>
      <c r="B1267" s="49" t="str">
        <f t="array" ref="B1267">IFERROR(IF(INDEX(Transactions!$F$8:$F$3006,MATCH(0,COUNTIF($B$11:B1266,Transactions!$F$8:$F$3006),0))="","",INDEX(Transactions!$F$8:$F$3006,MATCH(0,COUNTIF($B$11:B1266,Transactions!$F$8:$F$3006),0))),"")</f>
        <v/>
      </c>
      <c r="C1267" s="50" t="str">
        <f>IF(B1267="","",SUMIF(Transactions!$F$8:$F$3006,B1267,Transactions!$H$8:$H$3006))</f>
        <v/>
      </c>
      <c r="D1267" s="51" t="str">
        <f>IF(B1267="","",SUMIF(Transactions!$F$8:$F$3006,B1267,Transactions!$N$8:$N$3006))</f>
        <v/>
      </c>
      <c r="E1267" s="52" t="str">
        <f>IF(B1267="","",SUMIF(Transactions!$F$8:$F$3006,B1267,Transactions!$O$8:$O$3006))</f>
        <v/>
      </c>
      <c r="F1267" s="53" t="str">
        <f>IF(B1267="","",SUMIF(Transactions!$F$8:$F$3006,B1267,Transactions!$R$8:$R$3006))</f>
        <v/>
      </c>
      <c r="G1267" s="54" t="str">
        <f>IF(B1267="","",(C1267+F1267)-(D1267+E1267+SUMIF(Transactions!$F$8:$F$3006,B1267,Transactions!$Q$8:$Q$3006)))</f>
        <v/>
      </c>
      <c r="H1267" s="55" t="str">
        <f>IF(B1267="","",IF(G1267&gt;0,"OUTSTANDING",IF(G1267=0,"SETTLED",IF(SUMIF(Transactions!$F$8:$F$3006,B1267,Transactions!$Q$8:$Q$3006)&gt;SUMIF(Transactions!$F$8:$F$3006,B1267,Transactions!$R$8:$R$3006),"OWES","OVERPAID"))))</f>
        <v/>
      </c>
      <c r="I1267" s="1"/>
    </row>
    <row r="1268" spans="1:9" ht="18" customHeight="1" x14ac:dyDescent="0.25">
      <c r="A1268" s="40">
        <v>1253</v>
      </c>
      <c r="B1268" s="41" t="str">
        <f t="array" ref="B1268">IFERROR(IF(INDEX(Transactions!$F$8:$F$3006,MATCH(0,COUNTIF($B$11:B1267,Transactions!$F$8:$F$3006),0))="","",INDEX(Transactions!$F$8:$F$3006,MATCH(0,COUNTIF($B$11:B1267,Transactions!$F$8:$F$3006),0))),"")</f>
        <v/>
      </c>
      <c r="C1268" s="42" t="str">
        <f>IF(B1268="","",SUMIF(Transactions!$F$8:$F$3006,B1268,Transactions!$H$8:$H$3006))</f>
        <v/>
      </c>
      <c r="D1268" s="43" t="str">
        <f>IF(B1268="","",SUMIF(Transactions!$F$8:$F$3006,B1268,Transactions!$N$8:$N$3006))</f>
        <v/>
      </c>
      <c r="E1268" s="44" t="str">
        <f>IF(B1268="","",SUMIF(Transactions!$F$8:$F$3006,B1268,Transactions!$O$8:$O$3006))</f>
        <v/>
      </c>
      <c r="F1268" s="45" t="str">
        <f>IF(B1268="","",SUMIF(Transactions!$F$8:$F$3006,B1268,Transactions!$R$8:$R$3006))</f>
        <v/>
      </c>
      <c r="G1268" s="46" t="str">
        <f>IF(B1268="","",(C1268+F1268)-(D1268+E1268+SUMIF(Transactions!$F$8:$F$3006,B1268,Transactions!$Q$8:$Q$3006)))</f>
        <v/>
      </c>
      <c r="H1268" s="47" t="str">
        <f>IF(B1268="","",IF(G1268&gt;0,"OUTSTANDING",IF(G1268=0,"SETTLED",IF(SUMIF(Transactions!$F$8:$F$3006,B1268,Transactions!$Q$8:$Q$3006)&gt;SUMIF(Transactions!$F$8:$F$3006,B1268,Transactions!$R$8:$R$3006),"OWES","OVERPAID"))))</f>
        <v/>
      </c>
      <c r="I1268" s="1"/>
    </row>
    <row r="1269" spans="1:9" ht="18" customHeight="1" x14ac:dyDescent="0.25">
      <c r="A1269" s="48">
        <v>1254</v>
      </c>
      <c r="B1269" s="49" t="str">
        <f t="array" ref="B1269">IFERROR(IF(INDEX(Transactions!$F$8:$F$3006,MATCH(0,COUNTIF($B$11:B1268,Transactions!$F$8:$F$3006),0))="","",INDEX(Transactions!$F$8:$F$3006,MATCH(0,COUNTIF($B$11:B1268,Transactions!$F$8:$F$3006),0))),"")</f>
        <v/>
      </c>
      <c r="C1269" s="50" t="str">
        <f>IF(B1269="","",SUMIF(Transactions!$F$8:$F$3006,B1269,Transactions!$H$8:$H$3006))</f>
        <v/>
      </c>
      <c r="D1269" s="51" t="str">
        <f>IF(B1269="","",SUMIF(Transactions!$F$8:$F$3006,B1269,Transactions!$N$8:$N$3006))</f>
        <v/>
      </c>
      <c r="E1269" s="52" t="str">
        <f>IF(B1269="","",SUMIF(Transactions!$F$8:$F$3006,B1269,Transactions!$O$8:$O$3006))</f>
        <v/>
      </c>
      <c r="F1269" s="53" t="str">
        <f>IF(B1269="","",SUMIF(Transactions!$F$8:$F$3006,B1269,Transactions!$R$8:$R$3006))</f>
        <v/>
      </c>
      <c r="G1269" s="54" t="str">
        <f>IF(B1269="","",(C1269+F1269)-(D1269+E1269+SUMIF(Transactions!$F$8:$F$3006,B1269,Transactions!$Q$8:$Q$3006)))</f>
        <v/>
      </c>
      <c r="H1269" s="55" t="str">
        <f>IF(B1269="","",IF(G1269&gt;0,"OUTSTANDING",IF(G1269=0,"SETTLED",IF(SUMIF(Transactions!$F$8:$F$3006,B1269,Transactions!$Q$8:$Q$3006)&gt;SUMIF(Transactions!$F$8:$F$3006,B1269,Transactions!$R$8:$R$3006),"OWES","OVERPAID"))))</f>
        <v/>
      </c>
      <c r="I1269" s="1"/>
    </row>
    <row r="1270" spans="1:9" ht="18" customHeight="1" x14ac:dyDescent="0.25">
      <c r="A1270" s="40">
        <v>1255</v>
      </c>
      <c r="B1270" s="41" t="str">
        <f t="array" ref="B1270">IFERROR(IF(INDEX(Transactions!$F$8:$F$3006,MATCH(0,COUNTIF($B$11:B1269,Transactions!$F$8:$F$3006),0))="","",INDEX(Transactions!$F$8:$F$3006,MATCH(0,COUNTIF($B$11:B1269,Transactions!$F$8:$F$3006),0))),"")</f>
        <v/>
      </c>
      <c r="C1270" s="42" t="str">
        <f>IF(B1270="","",SUMIF(Transactions!$F$8:$F$3006,B1270,Transactions!$H$8:$H$3006))</f>
        <v/>
      </c>
      <c r="D1270" s="43" t="str">
        <f>IF(B1270="","",SUMIF(Transactions!$F$8:$F$3006,B1270,Transactions!$N$8:$N$3006))</f>
        <v/>
      </c>
      <c r="E1270" s="44" t="str">
        <f>IF(B1270="","",SUMIF(Transactions!$F$8:$F$3006,B1270,Transactions!$O$8:$O$3006))</f>
        <v/>
      </c>
      <c r="F1270" s="45" t="str">
        <f>IF(B1270="","",SUMIF(Transactions!$F$8:$F$3006,B1270,Transactions!$R$8:$R$3006))</f>
        <v/>
      </c>
      <c r="G1270" s="46" t="str">
        <f>IF(B1270="","",(C1270+F1270)-(D1270+E1270+SUMIF(Transactions!$F$8:$F$3006,B1270,Transactions!$Q$8:$Q$3006)))</f>
        <v/>
      </c>
      <c r="H1270" s="47" t="str">
        <f>IF(B1270="","",IF(G1270&gt;0,"OUTSTANDING",IF(G1270=0,"SETTLED",IF(SUMIF(Transactions!$F$8:$F$3006,B1270,Transactions!$Q$8:$Q$3006)&gt;SUMIF(Transactions!$F$8:$F$3006,B1270,Transactions!$R$8:$R$3006),"OWES","OVERPAID"))))</f>
        <v/>
      </c>
      <c r="I1270" s="1"/>
    </row>
    <row r="1271" spans="1:9" ht="18" customHeight="1" x14ac:dyDescent="0.25">
      <c r="A1271" s="48">
        <v>1256</v>
      </c>
      <c r="B1271" s="49" t="str">
        <f t="array" ref="B1271">IFERROR(IF(INDEX(Transactions!$F$8:$F$3006,MATCH(0,COUNTIF($B$11:B1270,Transactions!$F$8:$F$3006),0))="","",INDEX(Transactions!$F$8:$F$3006,MATCH(0,COUNTIF($B$11:B1270,Transactions!$F$8:$F$3006),0))),"")</f>
        <v/>
      </c>
      <c r="C1271" s="50" t="str">
        <f>IF(B1271="","",SUMIF(Transactions!$F$8:$F$3006,B1271,Transactions!$H$8:$H$3006))</f>
        <v/>
      </c>
      <c r="D1271" s="51" t="str">
        <f>IF(B1271="","",SUMIF(Transactions!$F$8:$F$3006,B1271,Transactions!$N$8:$N$3006))</f>
        <v/>
      </c>
      <c r="E1271" s="52" t="str">
        <f>IF(B1271="","",SUMIF(Transactions!$F$8:$F$3006,B1271,Transactions!$O$8:$O$3006))</f>
        <v/>
      </c>
      <c r="F1271" s="53" t="str">
        <f>IF(B1271="","",SUMIF(Transactions!$F$8:$F$3006,B1271,Transactions!$R$8:$R$3006))</f>
        <v/>
      </c>
      <c r="G1271" s="54" t="str">
        <f>IF(B1271="","",(C1271+F1271)-(D1271+E1271+SUMIF(Transactions!$F$8:$F$3006,B1271,Transactions!$Q$8:$Q$3006)))</f>
        <v/>
      </c>
      <c r="H1271" s="55" t="str">
        <f>IF(B1271="","",IF(G1271&gt;0,"OUTSTANDING",IF(G1271=0,"SETTLED",IF(SUMIF(Transactions!$F$8:$F$3006,B1271,Transactions!$Q$8:$Q$3006)&gt;SUMIF(Transactions!$F$8:$F$3006,B1271,Transactions!$R$8:$R$3006),"OWES","OVERPAID"))))</f>
        <v/>
      </c>
      <c r="I1271" s="1"/>
    </row>
    <row r="1272" spans="1:9" ht="18" customHeight="1" x14ac:dyDescent="0.25">
      <c r="A1272" s="40">
        <v>1257</v>
      </c>
      <c r="B1272" s="41" t="str">
        <f t="array" ref="B1272">IFERROR(IF(INDEX(Transactions!$F$8:$F$3006,MATCH(0,COUNTIF($B$11:B1271,Transactions!$F$8:$F$3006),0))="","",INDEX(Transactions!$F$8:$F$3006,MATCH(0,COUNTIF($B$11:B1271,Transactions!$F$8:$F$3006),0))),"")</f>
        <v/>
      </c>
      <c r="C1272" s="42" t="str">
        <f>IF(B1272="","",SUMIF(Transactions!$F$8:$F$3006,B1272,Transactions!$H$8:$H$3006))</f>
        <v/>
      </c>
      <c r="D1272" s="43" t="str">
        <f>IF(B1272="","",SUMIF(Transactions!$F$8:$F$3006,B1272,Transactions!$N$8:$N$3006))</f>
        <v/>
      </c>
      <c r="E1272" s="44" t="str">
        <f>IF(B1272="","",SUMIF(Transactions!$F$8:$F$3006,B1272,Transactions!$O$8:$O$3006))</f>
        <v/>
      </c>
      <c r="F1272" s="45" t="str">
        <f>IF(B1272="","",SUMIF(Transactions!$F$8:$F$3006,B1272,Transactions!$R$8:$R$3006))</f>
        <v/>
      </c>
      <c r="G1272" s="46" t="str">
        <f>IF(B1272="","",(C1272+F1272)-(D1272+E1272+SUMIF(Transactions!$F$8:$F$3006,B1272,Transactions!$Q$8:$Q$3006)))</f>
        <v/>
      </c>
      <c r="H1272" s="47" t="str">
        <f>IF(B1272="","",IF(G1272&gt;0,"OUTSTANDING",IF(G1272=0,"SETTLED",IF(SUMIF(Transactions!$F$8:$F$3006,B1272,Transactions!$Q$8:$Q$3006)&gt;SUMIF(Transactions!$F$8:$F$3006,B1272,Transactions!$R$8:$R$3006),"OWES","OVERPAID"))))</f>
        <v/>
      </c>
      <c r="I1272" s="1"/>
    </row>
    <row r="1273" spans="1:9" ht="18" customHeight="1" x14ac:dyDescent="0.25">
      <c r="A1273" s="48">
        <v>1258</v>
      </c>
      <c r="B1273" s="49" t="str">
        <f t="array" ref="B1273">IFERROR(IF(INDEX(Transactions!$F$8:$F$3006,MATCH(0,COUNTIF($B$11:B1272,Transactions!$F$8:$F$3006),0))="","",INDEX(Transactions!$F$8:$F$3006,MATCH(0,COUNTIF($B$11:B1272,Transactions!$F$8:$F$3006),0))),"")</f>
        <v/>
      </c>
      <c r="C1273" s="50" t="str">
        <f>IF(B1273="","",SUMIF(Transactions!$F$8:$F$3006,B1273,Transactions!$H$8:$H$3006))</f>
        <v/>
      </c>
      <c r="D1273" s="51" t="str">
        <f>IF(B1273="","",SUMIF(Transactions!$F$8:$F$3006,B1273,Transactions!$N$8:$N$3006))</f>
        <v/>
      </c>
      <c r="E1273" s="52" t="str">
        <f>IF(B1273="","",SUMIF(Transactions!$F$8:$F$3006,B1273,Transactions!$O$8:$O$3006))</f>
        <v/>
      </c>
      <c r="F1273" s="53" t="str">
        <f>IF(B1273="","",SUMIF(Transactions!$F$8:$F$3006,B1273,Transactions!$R$8:$R$3006))</f>
        <v/>
      </c>
      <c r="G1273" s="54" t="str">
        <f>IF(B1273="","",(C1273+F1273)-(D1273+E1273+SUMIF(Transactions!$F$8:$F$3006,B1273,Transactions!$Q$8:$Q$3006)))</f>
        <v/>
      </c>
      <c r="H1273" s="55" t="str">
        <f>IF(B1273="","",IF(G1273&gt;0,"OUTSTANDING",IF(G1273=0,"SETTLED",IF(SUMIF(Transactions!$F$8:$F$3006,B1273,Transactions!$Q$8:$Q$3006)&gt;SUMIF(Transactions!$F$8:$F$3006,B1273,Transactions!$R$8:$R$3006),"OWES","OVERPAID"))))</f>
        <v/>
      </c>
      <c r="I1273" s="1"/>
    </row>
    <row r="1274" spans="1:9" ht="18" customHeight="1" x14ac:dyDescent="0.25">
      <c r="A1274" s="40">
        <v>1259</v>
      </c>
      <c r="B1274" s="41" t="str">
        <f t="array" ref="B1274">IFERROR(IF(INDEX(Transactions!$F$8:$F$3006,MATCH(0,COUNTIF($B$11:B1273,Transactions!$F$8:$F$3006),0))="","",INDEX(Transactions!$F$8:$F$3006,MATCH(0,COUNTIF($B$11:B1273,Transactions!$F$8:$F$3006),0))),"")</f>
        <v/>
      </c>
      <c r="C1274" s="42" t="str">
        <f>IF(B1274="","",SUMIF(Transactions!$F$8:$F$3006,B1274,Transactions!$H$8:$H$3006))</f>
        <v/>
      </c>
      <c r="D1274" s="43" t="str">
        <f>IF(B1274="","",SUMIF(Transactions!$F$8:$F$3006,B1274,Transactions!$N$8:$N$3006))</f>
        <v/>
      </c>
      <c r="E1274" s="44" t="str">
        <f>IF(B1274="","",SUMIF(Transactions!$F$8:$F$3006,B1274,Transactions!$O$8:$O$3006))</f>
        <v/>
      </c>
      <c r="F1274" s="45" t="str">
        <f>IF(B1274="","",SUMIF(Transactions!$F$8:$F$3006,B1274,Transactions!$R$8:$R$3006))</f>
        <v/>
      </c>
      <c r="G1274" s="46" t="str">
        <f>IF(B1274="","",(C1274+F1274)-(D1274+E1274+SUMIF(Transactions!$F$8:$F$3006,B1274,Transactions!$Q$8:$Q$3006)))</f>
        <v/>
      </c>
      <c r="H1274" s="47" t="str">
        <f>IF(B1274="","",IF(G1274&gt;0,"OUTSTANDING",IF(G1274=0,"SETTLED",IF(SUMIF(Transactions!$F$8:$F$3006,B1274,Transactions!$Q$8:$Q$3006)&gt;SUMIF(Transactions!$F$8:$F$3006,B1274,Transactions!$R$8:$R$3006),"OWES","OVERPAID"))))</f>
        <v/>
      </c>
      <c r="I1274" s="1"/>
    </row>
    <row r="1275" spans="1:9" ht="18" customHeight="1" x14ac:dyDescent="0.25">
      <c r="A1275" s="48">
        <v>1260</v>
      </c>
      <c r="B1275" s="49" t="str">
        <f t="array" ref="B1275">IFERROR(IF(INDEX(Transactions!$F$8:$F$3006,MATCH(0,COUNTIF($B$11:B1274,Transactions!$F$8:$F$3006),0))="","",INDEX(Transactions!$F$8:$F$3006,MATCH(0,COUNTIF($B$11:B1274,Transactions!$F$8:$F$3006),0))),"")</f>
        <v/>
      </c>
      <c r="C1275" s="50" t="str">
        <f>IF(B1275="","",SUMIF(Transactions!$F$8:$F$3006,B1275,Transactions!$H$8:$H$3006))</f>
        <v/>
      </c>
      <c r="D1275" s="51" t="str">
        <f>IF(B1275="","",SUMIF(Transactions!$F$8:$F$3006,B1275,Transactions!$N$8:$N$3006))</f>
        <v/>
      </c>
      <c r="E1275" s="52" t="str">
        <f>IF(B1275="","",SUMIF(Transactions!$F$8:$F$3006,B1275,Transactions!$O$8:$O$3006))</f>
        <v/>
      </c>
      <c r="F1275" s="53" t="str">
        <f>IF(B1275="","",SUMIF(Transactions!$F$8:$F$3006,B1275,Transactions!$R$8:$R$3006))</f>
        <v/>
      </c>
      <c r="G1275" s="54" t="str">
        <f>IF(B1275="","",(C1275+F1275)-(D1275+E1275+SUMIF(Transactions!$F$8:$F$3006,B1275,Transactions!$Q$8:$Q$3006)))</f>
        <v/>
      </c>
      <c r="H1275" s="55" t="str">
        <f>IF(B1275="","",IF(G1275&gt;0,"OUTSTANDING",IF(G1275=0,"SETTLED",IF(SUMIF(Transactions!$F$8:$F$3006,B1275,Transactions!$Q$8:$Q$3006)&gt;SUMIF(Transactions!$F$8:$F$3006,B1275,Transactions!$R$8:$R$3006),"OWES","OVERPAID"))))</f>
        <v/>
      </c>
      <c r="I1275" s="1"/>
    </row>
    <row r="1276" spans="1:9" ht="18" customHeight="1" x14ac:dyDescent="0.25">
      <c r="A1276" s="40">
        <v>1261</v>
      </c>
      <c r="B1276" s="41" t="str">
        <f t="array" ref="B1276">IFERROR(IF(INDEX(Transactions!$F$8:$F$3006,MATCH(0,COUNTIF($B$11:B1275,Transactions!$F$8:$F$3006),0))="","",INDEX(Transactions!$F$8:$F$3006,MATCH(0,COUNTIF($B$11:B1275,Transactions!$F$8:$F$3006),0))),"")</f>
        <v/>
      </c>
      <c r="C1276" s="42" t="str">
        <f>IF(B1276="","",SUMIF(Transactions!$F$8:$F$3006,B1276,Transactions!$H$8:$H$3006))</f>
        <v/>
      </c>
      <c r="D1276" s="43" t="str">
        <f>IF(B1276="","",SUMIF(Transactions!$F$8:$F$3006,B1276,Transactions!$N$8:$N$3006))</f>
        <v/>
      </c>
      <c r="E1276" s="44" t="str">
        <f>IF(B1276="","",SUMIF(Transactions!$F$8:$F$3006,B1276,Transactions!$O$8:$O$3006))</f>
        <v/>
      </c>
      <c r="F1276" s="45" t="str">
        <f>IF(B1276="","",SUMIF(Transactions!$F$8:$F$3006,B1276,Transactions!$R$8:$R$3006))</f>
        <v/>
      </c>
      <c r="G1276" s="46" t="str">
        <f>IF(B1276="","",(C1276+F1276)-(D1276+E1276+SUMIF(Transactions!$F$8:$F$3006,B1276,Transactions!$Q$8:$Q$3006)))</f>
        <v/>
      </c>
      <c r="H1276" s="47" t="str">
        <f>IF(B1276="","",IF(G1276&gt;0,"OUTSTANDING",IF(G1276=0,"SETTLED",IF(SUMIF(Transactions!$F$8:$F$3006,B1276,Transactions!$Q$8:$Q$3006)&gt;SUMIF(Transactions!$F$8:$F$3006,B1276,Transactions!$R$8:$R$3006),"OWES","OVERPAID"))))</f>
        <v/>
      </c>
      <c r="I1276" s="1"/>
    </row>
    <row r="1277" spans="1:9" ht="18" customHeight="1" x14ac:dyDescent="0.25">
      <c r="A1277" s="48">
        <v>1262</v>
      </c>
      <c r="B1277" s="49" t="str">
        <f t="array" ref="B1277">IFERROR(IF(INDEX(Transactions!$F$8:$F$3006,MATCH(0,COUNTIF($B$11:B1276,Transactions!$F$8:$F$3006),0))="","",INDEX(Transactions!$F$8:$F$3006,MATCH(0,COUNTIF($B$11:B1276,Transactions!$F$8:$F$3006),0))),"")</f>
        <v/>
      </c>
      <c r="C1277" s="50" t="str">
        <f>IF(B1277="","",SUMIF(Transactions!$F$8:$F$3006,B1277,Transactions!$H$8:$H$3006))</f>
        <v/>
      </c>
      <c r="D1277" s="51" t="str">
        <f>IF(B1277="","",SUMIF(Transactions!$F$8:$F$3006,B1277,Transactions!$N$8:$N$3006))</f>
        <v/>
      </c>
      <c r="E1277" s="52" t="str">
        <f>IF(B1277="","",SUMIF(Transactions!$F$8:$F$3006,B1277,Transactions!$O$8:$O$3006))</f>
        <v/>
      </c>
      <c r="F1277" s="53" t="str">
        <f>IF(B1277="","",SUMIF(Transactions!$F$8:$F$3006,B1277,Transactions!$R$8:$R$3006))</f>
        <v/>
      </c>
      <c r="G1277" s="54" t="str">
        <f>IF(B1277="","",(C1277+F1277)-(D1277+E1277+SUMIF(Transactions!$F$8:$F$3006,B1277,Transactions!$Q$8:$Q$3006)))</f>
        <v/>
      </c>
      <c r="H1277" s="55" t="str">
        <f>IF(B1277="","",IF(G1277&gt;0,"OUTSTANDING",IF(G1277=0,"SETTLED",IF(SUMIF(Transactions!$F$8:$F$3006,B1277,Transactions!$Q$8:$Q$3006)&gt;SUMIF(Transactions!$F$8:$F$3006,B1277,Transactions!$R$8:$R$3006),"OWES","OVERPAID"))))</f>
        <v/>
      </c>
      <c r="I1277" s="1"/>
    </row>
    <row r="1278" spans="1:9" ht="18" customHeight="1" x14ac:dyDescent="0.25">
      <c r="A1278" s="40">
        <v>1263</v>
      </c>
      <c r="B1278" s="41" t="str">
        <f t="array" ref="B1278">IFERROR(IF(INDEX(Transactions!$F$8:$F$3006,MATCH(0,COUNTIF($B$11:B1277,Transactions!$F$8:$F$3006),0))="","",INDEX(Transactions!$F$8:$F$3006,MATCH(0,COUNTIF($B$11:B1277,Transactions!$F$8:$F$3006),0))),"")</f>
        <v/>
      </c>
      <c r="C1278" s="42" t="str">
        <f>IF(B1278="","",SUMIF(Transactions!$F$8:$F$3006,B1278,Transactions!$H$8:$H$3006))</f>
        <v/>
      </c>
      <c r="D1278" s="43" t="str">
        <f>IF(B1278="","",SUMIF(Transactions!$F$8:$F$3006,B1278,Transactions!$N$8:$N$3006))</f>
        <v/>
      </c>
      <c r="E1278" s="44" t="str">
        <f>IF(B1278="","",SUMIF(Transactions!$F$8:$F$3006,B1278,Transactions!$O$8:$O$3006))</f>
        <v/>
      </c>
      <c r="F1278" s="45" t="str">
        <f>IF(B1278="","",SUMIF(Transactions!$F$8:$F$3006,B1278,Transactions!$R$8:$R$3006))</f>
        <v/>
      </c>
      <c r="G1278" s="46" t="str">
        <f>IF(B1278="","",(C1278+F1278)-(D1278+E1278+SUMIF(Transactions!$F$8:$F$3006,B1278,Transactions!$Q$8:$Q$3006)))</f>
        <v/>
      </c>
      <c r="H1278" s="47" t="str">
        <f>IF(B1278="","",IF(G1278&gt;0,"OUTSTANDING",IF(G1278=0,"SETTLED",IF(SUMIF(Transactions!$F$8:$F$3006,B1278,Transactions!$Q$8:$Q$3006)&gt;SUMIF(Transactions!$F$8:$F$3006,B1278,Transactions!$R$8:$R$3006),"OWES","OVERPAID"))))</f>
        <v/>
      </c>
      <c r="I1278" s="1"/>
    </row>
    <row r="1279" spans="1:9" ht="18" customHeight="1" x14ac:dyDescent="0.25">
      <c r="A1279" s="48">
        <v>1264</v>
      </c>
      <c r="B1279" s="49" t="str">
        <f t="array" ref="B1279">IFERROR(IF(INDEX(Transactions!$F$8:$F$3006,MATCH(0,COUNTIF($B$11:B1278,Transactions!$F$8:$F$3006),0))="","",INDEX(Transactions!$F$8:$F$3006,MATCH(0,COUNTIF($B$11:B1278,Transactions!$F$8:$F$3006),0))),"")</f>
        <v/>
      </c>
      <c r="C1279" s="50" t="str">
        <f>IF(B1279="","",SUMIF(Transactions!$F$8:$F$3006,B1279,Transactions!$H$8:$H$3006))</f>
        <v/>
      </c>
      <c r="D1279" s="51" t="str">
        <f>IF(B1279="","",SUMIF(Transactions!$F$8:$F$3006,B1279,Transactions!$N$8:$N$3006))</f>
        <v/>
      </c>
      <c r="E1279" s="52" t="str">
        <f>IF(B1279="","",SUMIF(Transactions!$F$8:$F$3006,B1279,Transactions!$O$8:$O$3006))</f>
        <v/>
      </c>
      <c r="F1279" s="53" t="str">
        <f>IF(B1279="","",SUMIF(Transactions!$F$8:$F$3006,B1279,Transactions!$R$8:$R$3006))</f>
        <v/>
      </c>
      <c r="G1279" s="54" t="str">
        <f>IF(B1279="","",(C1279+F1279)-(D1279+E1279+SUMIF(Transactions!$F$8:$F$3006,B1279,Transactions!$Q$8:$Q$3006)))</f>
        <v/>
      </c>
      <c r="H1279" s="55" t="str">
        <f>IF(B1279="","",IF(G1279&gt;0,"OUTSTANDING",IF(G1279=0,"SETTLED",IF(SUMIF(Transactions!$F$8:$F$3006,B1279,Transactions!$Q$8:$Q$3006)&gt;SUMIF(Transactions!$F$8:$F$3006,B1279,Transactions!$R$8:$R$3006),"OWES","OVERPAID"))))</f>
        <v/>
      </c>
      <c r="I1279" s="1"/>
    </row>
    <row r="1280" spans="1:9" ht="18" customHeight="1" x14ac:dyDescent="0.25">
      <c r="A1280" s="40">
        <v>1265</v>
      </c>
      <c r="B1280" s="41" t="str">
        <f t="array" ref="B1280">IFERROR(IF(INDEX(Transactions!$F$8:$F$3006,MATCH(0,COUNTIF($B$11:B1279,Transactions!$F$8:$F$3006),0))="","",INDEX(Transactions!$F$8:$F$3006,MATCH(0,COUNTIF($B$11:B1279,Transactions!$F$8:$F$3006),0))),"")</f>
        <v/>
      </c>
      <c r="C1280" s="42" t="str">
        <f>IF(B1280="","",SUMIF(Transactions!$F$8:$F$3006,B1280,Transactions!$H$8:$H$3006))</f>
        <v/>
      </c>
      <c r="D1280" s="43" t="str">
        <f>IF(B1280="","",SUMIF(Transactions!$F$8:$F$3006,B1280,Transactions!$N$8:$N$3006))</f>
        <v/>
      </c>
      <c r="E1280" s="44" t="str">
        <f>IF(B1280="","",SUMIF(Transactions!$F$8:$F$3006,B1280,Transactions!$O$8:$O$3006))</f>
        <v/>
      </c>
      <c r="F1280" s="45" t="str">
        <f>IF(B1280="","",SUMIF(Transactions!$F$8:$F$3006,B1280,Transactions!$R$8:$R$3006))</f>
        <v/>
      </c>
      <c r="G1280" s="46" t="str">
        <f>IF(B1280="","",(C1280+F1280)-(D1280+E1280+SUMIF(Transactions!$F$8:$F$3006,B1280,Transactions!$Q$8:$Q$3006)))</f>
        <v/>
      </c>
      <c r="H1280" s="47" t="str">
        <f>IF(B1280="","",IF(G1280&gt;0,"OUTSTANDING",IF(G1280=0,"SETTLED",IF(SUMIF(Transactions!$F$8:$F$3006,B1280,Transactions!$Q$8:$Q$3006)&gt;SUMIF(Transactions!$F$8:$F$3006,B1280,Transactions!$R$8:$R$3006),"OWES","OVERPAID"))))</f>
        <v/>
      </c>
      <c r="I1280" s="1"/>
    </row>
    <row r="1281" spans="1:9" ht="18" customHeight="1" x14ac:dyDescent="0.25">
      <c r="A1281" s="48">
        <v>1266</v>
      </c>
      <c r="B1281" s="49" t="str">
        <f t="array" ref="B1281">IFERROR(IF(INDEX(Transactions!$F$8:$F$3006,MATCH(0,COUNTIF($B$11:B1280,Transactions!$F$8:$F$3006),0))="","",INDEX(Transactions!$F$8:$F$3006,MATCH(0,COUNTIF($B$11:B1280,Transactions!$F$8:$F$3006),0))),"")</f>
        <v/>
      </c>
      <c r="C1281" s="50" t="str">
        <f>IF(B1281="","",SUMIF(Transactions!$F$8:$F$3006,B1281,Transactions!$H$8:$H$3006))</f>
        <v/>
      </c>
      <c r="D1281" s="51" t="str">
        <f>IF(B1281="","",SUMIF(Transactions!$F$8:$F$3006,B1281,Transactions!$N$8:$N$3006))</f>
        <v/>
      </c>
      <c r="E1281" s="52" t="str">
        <f>IF(B1281="","",SUMIF(Transactions!$F$8:$F$3006,B1281,Transactions!$O$8:$O$3006))</f>
        <v/>
      </c>
      <c r="F1281" s="53" t="str">
        <f>IF(B1281="","",SUMIF(Transactions!$F$8:$F$3006,B1281,Transactions!$R$8:$R$3006))</f>
        <v/>
      </c>
      <c r="G1281" s="54" t="str">
        <f>IF(B1281="","",(C1281+F1281)-(D1281+E1281+SUMIF(Transactions!$F$8:$F$3006,B1281,Transactions!$Q$8:$Q$3006)))</f>
        <v/>
      </c>
      <c r="H1281" s="55" t="str">
        <f>IF(B1281="","",IF(G1281&gt;0,"OUTSTANDING",IF(G1281=0,"SETTLED",IF(SUMIF(Transactions!$F$8:$F$3006,B1281,Transactions!$Q$8:$Q$3006)&gt;SUMIF(Transactions!$F$8:$F$3006,B1281,Transactions!$R$8:$R$3006),"OWES","OVERPAID"))))</f>
        <v/>
      </c>
      <c r="I1281" s="1"/>
    </row>
    <row r="1282" spans="1:9" ht="18" customHeight="1" x14ac:dyDescent="0.25">
      <c r="A1282" s="40">
        <v>1267</v>
      </c>
      <c r="B1282" s="41" t="str">
        <f t="array" ref="B1282">IFERROR(IF(INDEX(Transactions!$F$8:$F$3006,MATCH(0,COUNTIF($B$11:B1281,Transactions!$F$8:$F$3006),0))="","",INDEX(Transactions!$F$8:$F$3006,MATCH(0,COUNTIF($B$11:B1281,Transactions!$F$8:$F$3006),0))),"")</f>
        <v/>
      </c>
      <c r="C1282" s="42" t="str">
        <f>IF(B1282="","",SUMIF(Transactions!$F$8:$F$3006,B1282,Transactions!$H$8:$H$3006))</f>
        <v/>
      </c>
      <c r="D1282" s="43" t="str">
        <f>IF(B1282="","",SUMIF(Transactions!$F$8:$F$3006,B1282,Transactions!$N$8:$N$3006))</f>
        <v/>
      </c>
      <c r="E1282" s="44" t="str">
        <f>IF(B1282="","",SUMIF(Transactions!$F$8:$F$3006,B1282,Transactions!$O$8:$O$3006))</f>
        <v/>
      </c>
      <c r="F1282" s="45" t="str">
        <f>IF(B1282="","",SUMIF(Transactions!$F$8:$F$3006,B1282,Transactions!$R$8:$R$3006))</f>
        <v/>
      </c>
      <c r="G1282" s="46" t="str">
        <f>IF(B1282="","",(C1282+F1282)-(D1282+E1282+SUMIF(Transactions!$F$8:$F$3006,B1282,Transactions!$Q$8:$Q$3006)))</f>
        <v/>
      </c>
      <c r="H1282" s="47" t="str">
        <f>IF(B1282="","",IF(G1282&gt;0,"OUTSTANDING",IF(G1282=0,"SETTLED",IF(SUMIF(Transactions!$F$8:$F$3006,B1282,Transactions!$Q$8:$Q$3006)&gt;SUMIF(Transactions!$F$8:$F$3006,B1282,Transactions!$R$8:$R$3006),"OWES","OVERPAID"))))</f>
        <v/>
      </c>
      <c r="I1282" s="1"/>
    </row>
    <row r="1283" spans="1:9" ht="18" customHeight="1" x14ac:dyDescent="0.25">
      <c r="A1283" s="48">
        <v>1268</v>
      </c>
      <c r="B1283" s="49" t="str">
        <f t="array" ref="B1283">IFERROR(IF(INDEX(Transactions!$F$8:$F$3006,MATCH(0,COUNTIF($B$11:B1282,Transactions!$F$8:$F$3006),0))="","",INDEX(Transactions!$F$8:$F$3006,MATCH(0,COUNTIF($B$11:B1282,Transactions!$F$8:$F$3006),0))),"")</f>
        <v/>
      </c>
      <c r="C1283" s="50" t="str">
        <f>IF(B1283="","",SUMIF(Transactions!$F$8:$F$3006,B1283,Transactions!$H$8:$H$3006))</f>
        <v/>
      </c>
      <c r="D1283" s="51" t="str">
        <f>IF(B1283="","",SUMIF(Transactions!$F$8:$F$3006,B1283,Transactions!$N$8:$N$3006))</f>
        <v/>
      </c>
      <c r="E1283" s="52" t="str">
        <f>IF(B1283="","",SUMIF(Transactions!$F$8:$F$3006,B1283,Transactions!$O$8:$O$3006))</f>
        <v/>
      </c>
      <c r="F1283" s="53" t="str">
        <f>IF(B1283="","",SUMIF(Transactions!$F$8:$F$3006,B1283,Transactions!$R$8:$R$3006))</f>
        <v/>
      </c>
      <c r="G1283" s="54" t="str">
        <f>IF(B1283="","",(C1283+F1283)-(D1283+E1283+SUMIF(Transactions!$F$8:$F$3006,B1283,Transactions!$Q$8:$Q$3006)))</f>
        <v/>
      </c>
      <c r="H1283" s="55" t="str">
        <f>IF(B1283="","",IF(G1283&gt;0,"OUTSTANDING",IF(G1283=0,"SETTLED",IF(SUMIF(Transactions!$F$8:$F$3006,B1283,Transactions!$Q$8:$Q$3006)&gt;SUMIF(Transactions!$F$8:$F$3006,B1283,Transactions!$R$8:$R$3006),"OWES","OVERPAID"))))</f>
        <v/>
      </c>
      <c r="I1283" s="1"/>
    </row>
    <row r="1284" spans="1:9" ht="18" customHeight="1" x14ac:dyDescent="0.25">
      <c r="A1284" s="40">
        <v>1269</v>
      </c>
      <c r="B1284" s="41" t="str">
        <f t="array" ref="B1284">IFERROR(IF(INDEX(Transactions!$F$8:$F$3006,MATCH(0,COUNTIF($B$11:B1283,Transactions!$F$8:$F$3006),0))="","",INDEX(Transactions!$F$8:$F$3006,MATCH(0,COUNTIF($B$11:B1283,Transactions!$F$8:$F$3006),0))),"")</f>
        <v/>
      </c>
      <c r="C1284" s="42" t="str">
        <f>IF(B1284="","",SUMIF(Transactions!$F$8:$F$3006,B1284,Transactions!$H$8:$H$3006))</f>
        <v/>
      </c>
      <c r="D1284" s="43" t="str">
        <f>IF(B1284="","",SUMIF(Transactions!$F$8:$F$3006,B1284,Transactions!$N$8:$N$3006))</f>
        <v/>
      </c>
      <c r="E1284" s="44" t="str">
        <f>IF(B1284="","",SUMIF(Transactions!$F$8:$F$3006,B1284,Transactions!$O$8:$O$3006))</f>
        <v/>
      </c>
      <c r="F1284" s="45" t="str">
        <f>IF(B1284="","",SUMIF(Transactions!$F$8:$F$3006,B1284,Transactions!$R$8:$R$3006))</f>
        <v/>
      </c>
      <c r="G1284" s="46" t="str">
        <f>IF(B1284="","",(C1284+F1284)-(D1284+E1284+SUMIF(Transactions!$F$8:$F$3006,B1284,Transactions!$Q$8:$Q$3006)))</f>
        <v/>
      </c>
      <c r="H1284" s="47" t="str">
        <f>IF(B1284="","",IF(G1284&gt;0,"OUTSTANDING",IF(G1284=0,"SETTLED",IF(SUMIF(Transactions!$F$8:$F$3006,B1284,Transactions!$Q$8:$Q$3006)&gt;SUMIF(Transactions!$F$8:$F$3006,B1284,Transactions!$R$8:$R$3006),"OWES","OVERPAID"))))</f>
        <v/>
      </c>
      <c r="I1284" s="1"/>
    </row>
    <row r="1285" spans="1:9" ht="18" customHeight="1" x14ac:dyDescent="0.25">
      <c r="A1285" s="48">
        <v>1270</v>
      </c>
      <c r="B1285" s="49" t="str">
        <f t="array" ref="B1285">IFERROR(IF(INDEX(Transactions!$F$8:$F$3006,MATCH(0,COUNTIF($B$11:B1284,Transactions!$F$8:$F$3006),0))="","",INDEX(Transactions!$F$8:$F$3006,MATCH(0,COUNTIF($B$11:B1284,Transactions!$F$8:$F$3006),0))),"")</f>
        <v/>
      </c>
      <c r="C1285" s="50" t="str">
        <f>IF(B1285="","",SUMIF(Transactions!$F$8:$F$3006,B1285,Transactions!$H$8:$H$3006))</f>
        <v/>
      </c>
      <c r="D1285" s="51" t="str">
        <f>IF(B1285="","",SUMIF(Transactions!$F$8:$F$3006,B1285,Transactions!$N$8:$N$3006))</f>
        <v/>
      </c>
      <c r="E1285" s="52" t="str">
        <f>IF(B1285="","",SUMIF(Transactions!$F$8:$F$3006,B1285,Transactions!$O$8:$O$3006))</f>
        <v/>
      </c>
      <c r="F1285" s="53" t="str">
        <f>IF(B1285="","",SUMIF(Transactions!$F$8:$F$3006,B1285,Transactions!$R$8:$R$3006))</f>
        <v/>
      </c>
      <c r="G1285" s="54" t="str">
        <f>IF(B1285="","",(C1285+F1285)-(D1285+E1285+SUMIF(Transactions!$F$8:$F$3006,B1285,Transactions!$Q$8:$Q$3006)))</f>
        <v/>
      </c>
      <c r="H1285" s="55" t="str">
        <f>IF(B1285="","",IF(G1285&gt;0,"OUTSTANDING",IF(G1285=0,"SETTLED",IF(SUMIF(Transactions!$F$8:$F$3006,B1285,Transactions!$Q$8:$Q$3006)&gt;SUMIF(Transactions!$F$8:$F$3006,B1285,Transactions!$R$8:$R$3006),"OWES","OVERPAID"))))</f>
        <v/>
      </c>
      <c r="I1285" s="1"/>
    </row>
    <row r="1286" spans="1:9" ht="18" customHeight="1" x14ac:dyDescent="0.25">
      <c r="A1286" s="40">
        <v>1271</v>
      </c>
      <c r="B1286" s="41" t="str">
        <f t="array" ref="B1286">IFERROR(IF(INDEX(Transactions!$F$8:$F$3006,MATCH(0,COUNTIF($B$11:B1285,Transactions!$F$8:$F$3006),0))="","",INDEX(Transactions!$F$8:$F$3006,MATCH(0,COUNTIF($B$11:B1285,Transactions!$F$8:$F$3006),0))),"")</f>
        <v/>
      </c>
      <c r="C1286" s="42" t="str">
        <f>IF(B1286="","",SUMIF(Transactions!$F$8:$F$3006,B1286,Transactions!$H$8:$H$3006))</f>
        <v/>
      </c>
      <c r="D1286" s="43" t="str">
        <f>IF(B1286="","",SUMIF(Transactions!$F$8:$F$3006,B1286,Transactions!$N$8:$N$3006))</f>
        <v/>
      </c>
      <c r="E1286" s="44" t="str">
        <f>IF(B1286="","",SUMIF(Transactions!$F$8:$F$3006,B1286,Transactions!$O$8:$O$3006))</f>
        <v/>
      </c>
      <c r="F1286" s="45" t="str">
        <f>IF(B1286="","",SUMIF(Transactions!$F$8:$F$3006,B1286,Transactions!$R$8:$R$3006))</f>
        <v/>
      </c>
      <c r="G1286" s="46" t="str">
        <f>IF(B1286="","",(C1286+F1286)-(D1286+E1286+SUMIF(Transactions!$F$8:$F$3006,B1286,Transactions!$Q$8:$Q$3006)))</f>
        <v/>
      </c>
      <c r="H1286" s="47" t="str">
        <f>IF(B1286="","",IF(G1286&gt;0,"OUTSTANDING",IF(G1286=0,"SETTLED",IF(SUMIF(Transactions!$F$8:$F$3006,B1286,Transactions!$Q$8:$Q$3006)&gt;SUMIF(Transactions!$F$8:$F$3006,B1286,Transactions!$R$8:$R$3006),"OWES","OVERPAID"))))</f>
        <v/>
      </c>
      <c r="I1286" s="1"/>
    </row>
    <row r="1287" spans="1:9" ht="18" customHeight="1" x14ac:dyDescent="0.25">
      <c r="A1287" s="48">
        <v>1272</v>
      </c>
      <c r="B1287" s="49" t="str">
        <f t="array" ref="B1287">IFERROR(IF(INDEX(Transactions!$F$8:$F$3006,MATCH(0,COUNTIF($B$11:B1286,Transactions!$F$8:$F$3006),0))="","",INDEX(Transactions!$F$8:$F$3006,MATCH(0,COUNTIF($B$11:B1286,Transactions!$F$8:$F$3006),0))),"")</f>
        <v/>
      </c>
      <c r="C1287" s="50" t="str">
        <f>IF(B1287="","",SUMIF(Transactions!$F$8:$F$3006,B1287,Transactions!$H$8:$H$3006))</f>
        <v/>
      </c>
      <c r="D1287" s="51" t="str">
        <f>IF(B1287="","",SUMIF(Transactions!$F$8:$F$3006,B1287,Transactions!$N$8:$N$3006))</f>
        <v/>
      </c>
      <c r="E1287" s="52" t="str">
        <f>IF(B1287="","",SUMIF(Transactions!$F$8:$F$3006,B1287,Transactions!$O$8:$O$3006))</f>
        <v/>
      </c>
      <c r="F1287" s="53" t="str">
        <f>IF(B1287="","",SUMIF(Transactions!$F$8:$F$3006,B1287,Transactions!$R$8:$R$3006))</f>
        <v/>
      </c>
      <c r="G1287" s="54" t="str">
        <f>IF(B1287="","",(C1287+F1287)-(D1287+E1287+SUMIF(Transactions!$F$8:$F$3006,B1287,Transactions!$Q$8:$Q$3006)))</f>
        <v/>
      </c>
      <c r="H1287" s="55" t="str">
        <f>IF(B1287="","",IF(G1287&gt;0,"OUTSTANDING",IF(G1287=0,"SETTLED",IF(SUMIF(Transactions!$F$8:$F$3006,B1287,Transactions!$Q$8:$Q$3006)&gt;SUMIF(Transactions!$F$8:$F$3006,B1287,Transactions!$R$8:$R$3006),"OWES","OVERPAID"))))</f>
        <v/>
      </c>
      <c r="I1287" s="1"/>
    </row>
    <row r="1288" spans="1:9" ht="18" customHeight="1" x14ac:dyDescent="0.25">
      <c r="A1288" s="40">
        <v>1273</v>
      </c>
      <c r="B1288" s="41" t="str">
        <f t="array" ref="B1288">IFERROR(IF(INDEX(Transactions!$F$8:$F$3006,MATCH(0,COUNTIF($B$11:B1287,Transactions!$F$8:$F$3006),0))="","",INDEX(Transactions!$F$8:$F$3006,MATCH(0,COUNTIF($B$11:B1287,Transactions!$F$8:$F$3006),0))),"")</f>
        <v/>
      </c>
      <c r="C1288" s="42" t="str">
        <f>IF(B1288="","",SUMIF(Transactions!$F$8:$F$3006,B1288,Transactions!$H$8:$H$3006))</f>
        <v/>
      </c>
      <c r="D1288" s="43" t="str">
        <f>IF(B1288="","",SUMIF(Transactions!$F$8:$F$3006,B1288,Transactions!$N$8:$N$3006))</f>
        <v/>
      </c>
      <c r="E1288" s="44" t="str">
        <f>IF(B1288="","",SUMIF(Transactions!$F$8:$F$3006,B1288,Transactions!$O$8:$O$3006))</f>
        <v/>
      </c>
      <c r="F1288" s="45" t="str">
        <f>IF(B1288="","",SUMIF(Transactions!$F$8:$F$3006,B1288,Transactions!$R$8:$R$3006))</f>
        <v/>
      </c>
      <c r="G1288" s="46" t="str">
        <f>IF(B1288="","",(C1288+F1288)-(D1288+E1288+SUMIF(Transactions!$F$8:$F$3006,B1288,Transactions!$Q$8:$Q$3006)))</f>
        <v/>
      </c>
      <c r="H1288" s="47" t="str">
        <f>IF(B1288="","",IF(G1288&gt;0,"OUTSTANDING",IF(G1288=0,"SETTLED",IF(SUMIF(Transactions!$F$8:$F$3006,B1288,Transactions!$Q$8:$Q$3006)&gt;SUMIF(Transactions!$F$8:$F$3006,B1288,Transactions!$R$8:$R$3006),"OWES","OVERPAID"))))</f>
        <v/>
      </c>
      <c r="I1288" s="1"/>
    </row>
    <row r="1289" spans="1:9" ht="18" customHeight="1" x14ac:dyDescent="0.25">
      <c r="A1289" s="48">
        <v>1274</v>
      </c>
      <c r="B1289" s="49" t="str">
        <f t="array" ref="B1289">IFERROR(IF(INDEX(Transactions!$F$8:$F$3006,MATCH(0,COUNTIF($B$11:B1288,Transactions!$F$8:$F$3006),0))="","",INDEX(Transactions!$F$8:$F$3006,MATCH(0,COUNTIF($B$11:B1288,Transactions!$F$8:$F$3006),0))),"")</f>
        <v/>
      </c>
      <c r="C1289" s="50" t="str">
        <f>IF(B1289="","",SUMIF(Transactions!$F$8:$F$3006,B1289,Transactions!$H$8:$H$3006))</f>
        <v/>
      </c>
      <c r="D1289" s="51" t="str">
        <f>IF(B1289="","",SUMIF(Transactions!$F$8:$F$3006,B1289,Transactions!$N$8:$N$3006))</f>
        <v/>
      </c>
      <c r="E1289" s="52" t="str">
        <f>IF(B1289="","",SUMIF(Transactions!$F$8:$F$3006,B1289,Transactions!$O$8:$O$3006))</f>
        <v/>
      </c>
      <c r="F1289" s="53" t="str">
        <f>IF(B1289="","",SUMIF(Transactions!$F$8:$F$3006,B1289,Transactions!$R$8:$R$3006))</f>
        <v/>
      </c>
      <c r="G1289" s="54" t="str">
        <f>IF(B1289="","",(C1289+F1289)-(D1289+E1289+SUMIF(Transactions!$F$8:$F$3006,B1289,Transactions!$Q$8:$Q$3006)))</f>
        <v/>
      </c>
      <c r="H1289" s="55" t="str">
        <f>IF(B1289="","",IF(G1289&gt;0,"OUTSTANDING",IF(G1289=0,"SETTLED",IF(SUMIF(Transactions!$F$8:$F$3006,B1289,Transactions!$Q$8:$Q$3006)&gt;SUMIF(Transactions!$F$8:$F$3006,B1289,Transactions!$R$8:$R$3006),"OWES","OVERPAID"))))</f>
        <v/>
      </c>
      <c r="I1289" s="1"/>
    </row>
    <row r="1290" spans="1:9" ht="18" customHeight="1" x14ac:dyDescent="0.25">
      <c r="A1290" s="40">
        <v>1275</v>
      </c>
      <c r="B1290" s="41" t="str">
        <f t="array" ref="B1290">IFERROR(IF(INDEX(Transactions!$F$8:$F$3006,MATCH(0,COUNTIF($B$11:B1289,Transactions!$F$8:$F$3006),0))="","",INDEX(Transactions!$F$8:$F$3006,MATCH(0,COUNTIF($B$11:B1289,Transactions!$F$8:$F$3006),0))),"")</f>
        <v/>
      </c>
      <c r="C1290" s="42" t="str">
        <f>IF(B1290="","",SUMIF(Transactions!$F$8:$F$3006,B1290,Transactions!$H$8:$H$3006))</f>
        <v/>
      </c>
      <c r="D1290" s="43" t="str">
        <f>IF(B1290="","",SUMIF(Transactions!$F$8:$F$3006,B1290,Transactions!$N$8:$N$3006))</f>
        <v/>
      </c>
      <c r="E1290" s="44" t="str">
        <f>IF(B1290="","",SUMIF(Transactions!$F$8:$F$3006,B1290,Transactions!$O$8:$O$3006))</f>
        <v/>
      </c>
      <c r="F1290" s="45" t="str">
        <f>IF(B1290="","",SUMIF(Transactions!$F$8:$F$3006,B1290,Transactions!$R$8:$R$3006))</f>
        <v/>
      </c>
      <c r="G1290" s="46" t="str">
        <f>IF(B1290="","",(C1290+F1290)-(D1290+E1290+SUMIF(Transactions!$F$8:$F$3006,B1290,Transactions!$Q$8:$Q$3006)))</f>
        <v/>
      </c>
      <c r="H1290" s="47" t="str">
        <f>IF(B1290="","",IF(G1290&gt;0,"OUTSTANDING",IF(G1290=0,"SETTLED",IF(SUMIF(Transactions!$F$8:$F$3006,B1290,Transactions!$Q$8:$Q$3006)&gt;SUMIF(Transactions!$F$8:$F$3006,B1290,Transactions!$R$8:$R$3006),"OWES","OVERPAID"))))</f>
        <v/>
      </c>
      <c r="I1290" s="1"/>
    </row>
    <row r="1291" spans="1:9" ht="18" customHeight="1" x14ac:dyDescent="0.25">
      <c r="A1291" s="48">
        <v>1276</v>
      </c>
      <c r="B1291" s="49" t="str">
        <f t="array" ref="B1291">IFERROR(IF(INDEX(Transactions!$F$8:$F$3006,MATCH(0,COUNTIF($B$11:B1290,Transactions!$F$8:$F$3006),0))="","",INDEX(Transactions!$F$8:$F$3006,MATCH(0,COUNTIF($B$11:B1290,Transactions!$F$8:$F$3006),0))),"")</f>
        <v/>
      </c>
      <c r="C1291" s="50" t="str">
        <f>IF(B1291="","",SUMIF(Transactions!$F$8:$F$3006,B1291,Transactions!$H$8:$H$3006))</f>
        <v/>
      </c>
      <c r="D1291" s="51" t="str">
        <f>IF(B1291="","",SUMIF(Transactions!$F$8:$F$3006,B1291,Transactions!$N$8:$N$3006))</f>
        <v/>
      </c>
      <c r="E1291" s="52" t="str">
        <f>IF(B1291="","",SUMIF(Transactions!$F$8:$F$3006,B1291,Transactions!$O$8:$O$3006))</f>
        <v/>
      </c>
      <c r="F1291" s="53" t="str">
        <f>IF(B1291="","",SUMIF(Transactions!$F$8:$F$3006,B1291,Transactions!$R$8:$R$3006))</f>
        <v/>
      </c>
      <c r="G1291" s="54" t="str">
        <f>IF(B1291="","",(C1291+F1291)-(D1291+E1291+SUMIF(Transactions!$F$8:$F$3006,B1291,Transactions!$Q$8:$Q$3006)))</f>
        <v/>
      </c>
      <c r="H1291" s="55" t="str">
        <f>IF(B1291="","",IF(G1291&gt;0,"OUTSTANDING",IF(G1291=0,"SETTLED",IF(SUMIF(Transactions!$F$8:$F$3006,B1291,Transactions!$Q$8:$Q$3006)&gt;SUMIF(Transactions!$F$8:$F$3006,B1291,Transactions!$R$8:$R$3006),"OWES","OVERPAID"))))</f>
        <v/>
      </c>
      <c r="I1291" s="1"/>
    </row>
    <row r="1292" spans="1:9" ht="18" customHeight="1" x14ac:dyDescent="0.25">
      <c r="A1292" s="40">
        <v>1277</v>
      </c>
      <c r="B1292" s="41" t="str">
        <f t="array" ref="B1292">IFERROR(IF(INDEX(Transactions!$F$8:$F$3006,MATCH(0,COUNTIF($B$11:B1291,Transactions!$F$8:$F$3006),0))="","",INDEX(Transactions!$F$8:$F$3006,MATCH(0,COUNTIF($B$11:B1291,Transactions!$F$8:$F$3006),0))),"")</f>
        <v/>
      </c>
      <c r="C1292" s="42" t="str">
        <f>IF(B1292="","",SUMIF(Transactions!$F$8:$F$3006,B1292,Transactions!$H$8:$H$3006))</f>
        <v/>
      </c>
      <c r="D1292" s="43" t="str">
        <f>IF(B1292="","",SUMIF(Transactions!$F$8:$F$3006,B1292,Transactions!$N$8:$N$3006))</f>
        <v/>
      </c>
      <c r="E1292" s="44" t="str">
        <f>IF(B1292="","",SUMIF(Transactions!$F$8:$F$3006,B1292,Transactions!$O$8:$O$3006))</f>
        <v/>
      </c>
      <c r="F1292" s="45" t="str">
        <f>IF(B1292="","",SUMIF(Transactions!$F$8:$F$3006,B1292,Transactions!$R$8:$R$3006))</f>
        <v/>
      </c>
      <c r="G1292" s="46" t="str">
        <f>IF(B1292="","",(C1292+F1292)-(D1292+E1292+SUMIF(Transactions!$F$8:$F$3006,B1292,Transactions!$Q$8:$Q$3006)))</f>
        <v/>
      </c>
      <c r="H1292" s="47" t="str">
        <f>IF(B1292="","",IF(G1292&gt;0,"OUTSTANDING",IF(G1292=0,"SETTLED",IF(SUMIF(Transactions!$F$8:$F$3006,B1292,Transactions!$Q$8:$Q$3006)&gt;SUMIF(Transactions!$F$8:$F$3006,B1292,Transactions!$R$8:$R$3006),"OWES","OVERPAID"))))</f>
        <v/>
      </c>
      <c r="I1292" s="1"/>
    </row>
    <row r="1293" spans="1:9" ht="18" customHeight="1" x14ac:dyDescent="0.25">
      <c r="A1293" s="48">
        <v>1278</v>
      </c>
      <c r="B1293" s="49" t="str">
        <f t="array" ref="B1293">IFERROR(IF(INDEX(Transactions!$F$8:$F$3006,MATCH(0,COUNTIF($B$11:B1292,Transactions!$F$8:$F$3006),0))="","",INDEX(Transactions!$F$8:$F$3006,MATCH(0,COUNTIF($B$11:B1292,Transactions!$F$8:$F$3006),0))),"")</f>
        <v/>
      </c>
      <c r="C1293" s="50" t="str">
        <f>IF(B1293="","",SUMIF(Transactions!$F$8:$F$3006,B1293,Transactions!$H$8:$H$3006))</f>
        <v/>
      </c>
      <c r="D1293" s="51" t="str">
        <f>IF(B1293="","",SUMIF(Transactions!$F$8:$F$3006,B1293,Transactions!$N$8:$N$3006))</f>
        <v/>
      </c>
      <c r="E1293" s="52" t="str">
        <f>IF(B1293="","",SUMIF(Transactions!$F$8:$F$3006,B1293,Transactions!$O$8:$O$3006))</f>
        <v/>
      </c>
      <c r="F1293" s="53" t="str">
        <f>IF(B1293="","",SUMIF(Transactions!$F$8:$F$3006,B1293,Transactions!$R$8:$R$3006))</f>
        <v/>
      </c>
      <c r="G1293" s="54" t="str">
        <f>IF(B1293="","",(C1293+F1293)-(D1293+E1293+SUMIF(Transactions!$F$8:$F$3006,B1293,Transactions!$Q$8:$Q$3006)))</f>
        <v/>
      </c>
      <c r="H1293" s="55" t="str">
        <f>IF(B1293="","",IF(G1293&gt;0,"OUTSTANDING",IF(G1293=0,"SETTLED",IF(SUMIF(Transactions!$F$8:$F$3006,B1293,Transactions!$Q$8:$Q$3006)&gt;SUMIF(Transactions!$F$8:$F$3006,B1293,Transactions!$R$8:$R$3006),"OWES","OVERPAID"))))</f>
        <v/>
      </c>
      <c r="I1293" s="1"/>
    </row>
    <row r="1294" spans="1:9" ht="18" customHeight="1" x14ac:dyDescent="0.25">
      <c r="A1294" s="40">
        <v>1279</v>
      </c>
      <c r="B1294" s="41" t="str">
        <f t="array" ref="B1294">IFERROR(IF(INDEX(Transactions!$F$8:$F$3006,MATCH(0,COUNTIF($B$11:B1293,Transactions!$F$8:$F$3006),0))="","",INDEX(Transactions!$F$8:$F$3006,MATCH(0,COUNTIF($B$11:B1293,Transactions!$F$8:$F$3006),0))),"")</f>
        <v/>
      </c>
      <c r="C1294" s="42" t="str">
        <f>IF(B1294="","",SUMIF(Transactions!$F$8:$F$3006,B1294,Transactions!$H$8:$H$3006))</f>
        <v/>
      </c>
      <c r="D1294" s="43" t="str">
        <f>IF(B1294="","",SUMIF(Transactions!$F$8:$F$3006,B1294,Transactions!$N$8:$N$3006))</f>
        <v/>
      </c>
      <c r="E1294" s="44" t="str">
        <f>IF(B1294="","",SUMIF(Transactions!$F$8:$F$3006,B1294,Transactions!$O$8:$O$3006))</f>
        <v/>
      </c>
      <c r="F1294" s="45" t="str">
        <f>IF(B1294="","",SUMIF(Transactions!$F$8:$F$3006,B1294,Transactions!$R$8:$R$3006))</f>
        <v/>
      </c>
      <c r="G1294" s="46" t="str">
        <f>IF(B1294="","",(C1294+F1294)-(D1294+E1294+SUMIF(Transactions!$F$8:$F$3006,B1294,Transactions!$Q$8:$Q$3006)))</f>
        <v/>
      </c>
      <c r="H1294" s="47" t="str">
        <f>IF(B1294="","",IF(G1294&gt;0,"OUTSTANDING",IF(G1294=0,"SETTLED",IF(SUMIF(Transactions!$F$8:$F$3006,B1294,Transactions!$Q$8:$Q$3006)&gt;SUMIF(Transactions!$F$8:$F$3006,B1294,Transactions!$R$8:$R$3006),"OWES","OVERPAID"))))</f>
        <v/>
      </c>
      <c r="I1294" s="1"/>
    </row>
    <row r="1295" spans="1:9" ht="18" customHeight="1" x14ac:dyDescent="0.25">
      <c r="A1295" s="48">
        <v>1280</v>
      </c>
      <c r="B1295" s="49" t="str">
        <f t="array" ref="B1295">IFERROR(IF(INDEX(Transactions!$F$8:$F$3006,MATCH(0,COUNTIF($B$11:B1294,Transactions!$F$8:$F$3006),0))="","",INDEX(Transactions!$F$8:$F$3006,MATCH(0,COUNTIF($B$11:B1294,Transactions!$F$8:$F$3006),0))),"")</f>
        <v/>
      </c>
      <c r="C1295" s="50" t="str">
        <f>IF(B1295="","",SUMIF(Transactions!$F$8:$F$3006,B1295,Transactions!$H$8:$H$3006))</f>
        <v/>
      </c>
      <c r="D1295" s="51" t="str">
        <f>IF(B1295="","",SUMIF(Transactions!$F$8:$F$3006,B1295,Transactions!$N$8:$N$3006))</f>
        <v/>
      </c>
      <c r="E1295" s="52" t="str">
        <f>IF(B1295="","",SUMIF(Transactions!$F$8:$F$3006,B1295,Transactions!$O$8:$O$3006))</f>
        <v/>
      </c>
      <c r="F1295" s="53" t="str">
        <f>IF(B1295="","",SUMIF(Transactions!$F$8:$F$3006,B1295,Transactions!$R$8:$R$3006))</f>
        <v/>
      </c>
      <c r="G1295" s="54" t="str">
        <f>IF(B1295="","",(C1295+F1295)-(D1295+E1295+SUMIF(Transactions!$F$8:$F$3006,B1295,Transactions!$Q$8:$Q$3006)))</f>
        <v/>
      </c>
      <c r="H1295" s="55" t="str">
        <f>IF(B1295="","",IF(G1295&gt;0,"OUTSTANDING",IF(G1295=0,"SETTLED",IF(SUMIF(Transactions!$F$8:$F$3006,B1295,Transactions!$Q$8:$Q$3006)&gt;SUMIF(Transactions!$F$8:$F$3006,B1295,Transactions!$R$8:$R$3006),"OWES","OVERPAID"))))</f>
        <v/>
      </c>
      <c r="I1295" s="1"/>
    </row>
    <row r="1296" spans="1:9" ht="18" customHeight="1" x14ac:dyDescent="0.25">
      <c r="A1296" s="40">
        <v>1281</v>
      </c>
      <c r="B1296" s="41" t="str">
        <f t="array" ref="B1296">IFERROR(IF(INDEX(Transactions!$F$8:$F$3006,MATCH(0,COUNTIF($B$11:B1295,Transactions!$F$8:$F$3006),0))="","",INDEX(Transactions!$F$8:$F$3006,MATCH(0,COUNTIF($B$11:B1295,Transactions!$F$8:$F$3006),0))),"")</f>
        <v/>
      </c>
      <c r="C1296" s="42" t="str">
        <f>IF(B1296="","",SUMIF(Transactions!$F$8:$F$3006,B1296,Transactions!$H$8:$H$3006))</f>
        <v/>
      </c>
      <c r="D1296" s="43" t="str">
        <f>IF(B1296="","",SUMIF(Transactions!$F$8:$F$3006,B1296,Transactions!$N$8:$N$3006))</f>
        <v/>
      </c>
      <c r="E1296" s="44" t="str">
        <f>IF(B1296="","",SUMIF(Transactions!$F$8:$F$3006,B1296,Transactions!$O$8:$O$3006))</f>
        <v/>
      </c>
      <c r="F1296" s="45" t="str">
        <f>IF(B1296="","",SUMIF(Transactions!$F$8:$F$3006,B1296,Transactions!$R$8:$R$3006))</f>
        <v/>
      </c>
      <c r="G1296" s="46" t="str">
        <f>IF(B1296="","",(C1296+F1296)-(D1296+E1296+SUMIF(Transactions!$F$8:$F$3006,B1296,Transactions!$Q$8:$Q$3006)))</f>
        <v/>
      </c>
      <c r="H1296" s="47" t="str">
        <f>IF(B1296="","",IF(G1296&gt;0,"OUTSTANDING",IF(G1296=0,"SETTLED",IF(SUMIF(Transactions!$F$8:$F$3006,B1296,Transactions!$Q$8:$Q$3006)&gt;SUMIF(Transactions!$F$8:$F$3006,B1296,Transactions!$R$8:$R$3006),"OWES","OVERPAID"))))</f>
        <v/>
      </c>
      <c r="I1296" s="1"/>
    </row>
    <row r="1297" spans="1:9" ht="18" customHeight="1" x14ac:dyDescent="0.25">
      <c r="A1297" s="48">
        <v>1282</v>
      </c>
      <c r="B1297" s="49" t="str">
        <f t="array" ref="B1297">IFERROR(IF(INDEX(Transactions!$F$8:$F$3006,MATCH(0,COUNTIF($B$11:B1296,Transactions!$F$8:$F$3006),0))="","",INDEX(Transactions!$F$8:$F$3006,MATCH(0,COUNTIF($B$11:B1296,Transactions!$F$8:$F$3006),0))),"")</f>
        <v/>
      </c>
      <c r="C1297" s="50" t="str">
        <f>IF(B1297="","",SUMIF(Transactions!$F$8:$F$3006,B1297,Transactions!$H$8:$H$3006))</f>
        <v/>
      </c>
      <c r="D1297" s="51" t="str">
        <f>IF(B1297="","",SUMIF(Transactions!$F$8:$F$3006,B1297,Transactions!$N$8:$N$3006))</f>
        <v/>
      </c>
      <c r="E1297" s="52" t="str">
        <f>IF(B1297="","",SUMIF(Transactions!$F$8:$F$3006,B1297,Transactions!$O$8:$O$3006))</f>
        <v/>
      </c>
      <c r="F1297" s="53" t="str">
        <f>IF(B1297="","",SUMIF(Transactions!$F$8:$F$3006,B1297,Transactions!$R$8:$R$3006))</f>
        <v/>
      </c>
      <c r="G1297" s="54" t="str">
        <f>IF(B1297="","",(C1297+F1297)-(D1297+E1297+SUMIF(Transactions!$F$8:$F$3006,B1297,Transactions!$Q$8:$Q$3006)))</f>
        <v/>
      </c>
      <c r="H1297" s="55" t="str">
        <f>IF(B1297="","",IF(G1297&gt;0,"OUTSTANDING",IF(G1297=0,"SETTLED",IF(SUMIF(Transactions!$F$8:$F$3006,B1297,Transactions!$Q$8:$Q$3006)&gt;SUMIF(Transactions!$F$8:$F$3006,B1297,Transactions!$R$8:$R$3006),"OWES","OVERPAID"))))</f>
        <v/>
      </c>
      <c r="I1297" s="1"/>
    </row>
    <row r="1298" spans="1:9" ht="18" customHeight="1" x14ac:dyDescent="0.25">
      <c r="A1298" s="40">
        <v>1283</v>
      </c>
      <c r="B1298" s="41" t="str">
        <f t="array" ref="B1298">IFERROR(IF(INDEX(Transactions!$F$8:$F$3006,MATCH(0,COUNTIF($B$11:B1297,Transactions!$F$8:$F$3006),0))="","",INDEX(Transactions!$F$8:$F$3006,MATCH(0,COUNTIF($B$11:B1297,Transactions!$F$8:$F$3006),0))),"")</f>
        <v/>
      </c>
      <c r="C1298" s="42" t="str">
        <f>IF(B1298="","",SUMIF(Transactions!$F$8:$F$3006,B1298,Transactions!$H$8:$H$3006))</f>
        <v/>
      </c>
      <c r="D1298" s="43" t="str">
        <f>IF(B1298="","",SUMIF(Transactions!$F$8:$F$3006,B1298,Transactions!$N$8:$N$3006))</f>
        <v/>
      </c>
      <c r="E1298" s="44" t="str">
        <f>IF(B1298="","",SUMIF(Transactions!$F$8:$F$3006,B1298,Transactions!$O$8:$O$3006))</f>
        <v/>
      </c>
      <c r="F1298" s="45" t="str">
        <f>IF(B1298="","",SUMIF(Transactions!$F$8:$F$3006,B1298,Transactions!$R$8:$R$3006))</f>
        <v/>
      </c>
      <c r="G1298" s="46" t="str">
        <f>IF(B1298="","",(C1298+F1298)-(D1298+E1298+SUMIF(Transactions!$F$8:$F$3006,B1298,Transactions!$Q$8:$Q$3006)))</f>
        <v/>
      </c>
      <c r="H1298" s="47" t="str">
        <f>IF(B1298="","",IF(G1298&gt;0,"OUTSTANDING",IF(G1298=0,"SETTLED",IF(SUMIF(Transactions!$F$8:$F$3006,B1298,Transactions!$Q$8:$Q$3006)&gt;SUMIF(Transactions!$F$8:$F$3006,B1298,Transactions!$R$8:$R$3006),"OWES","OVERPAID"))))</f>
        <v/>
      </c>
      <c r="I1298" s="1"/>
    </row>
    <row r="1299" spans="1:9" ht="18" customHeight="1" x14ac:dyDescent="0.25">
      <c r="A1299" s="48">
        <v>1284</v>
      </c>
      <c r="B1299" s="49" t="str">
        <f t="array" ref="B1299">IFERROR(IF(INDEX(Transactions!$F$8:$F$3006,MATCH(0,COUNTIF($B$11:B1298,Transactions!$F$8:$F$3006),0))="","",INDEX(Transactions!$F$8:$F$3006,MATCH(0,COUNTIF($B$11:B1298,Transactions!$F$8:$F$3006),0))),"")</f>
        <v/>
      </c>
      <c r="C1299" s="50" t="str">
        <f>IF(B1299="","",SUMIF(Transactions!$F$8:$F$3006,B1299,Transactions!$H$8:$H$3006))</f>
        <v/>
      </c>
      <c r="D1299" s="51" t="str">
        <f>IF(B1299="","",SUMIF(Transactions!$F$8:$F$3006,B1299,Transactions!$N$8:$N$3006))</f>
        <v/>
      </c>
      <c r="E1299" s="52" t="str">
        <f>IF(B1299="","",SUMIF(Transactions!$F$8:$F$3006,B1299,Transactions!$O$8:$O$3006))</f>
        <v/>
      </c>
      <c r="F1299" s="53" t="str">
        <f>IF(B1299="","",SUMIF(Transactions!$F$8:$F$3006,B1299,Transactions!$R$8:$R$3006))</f>
        <v/>
      </c>
      <c r="G1299" s="54" t="str">
        <f>IF(B1299="","",(C1299+F1299)-(D1299+E1299+SUMIF(Transactions!$F$8:$F$3006,B1299,Transactions!$Q$8:$Q$3006)))</f>
        <v/>
      </c>
      <c r="H1299" s="55" t="str">
        <f>IF(B1299="","",IF(G1299&gt;0,"OUTSTANDING",IF(G1299=0,"SETTLED",IF(SUMIF(Transactions!$F$8:$F$3006,B1299,Transactions!$Q$8:$Q$3006)&gt;SUMIF(Transactions!$F$8:$F$3006,B1299,Transactions!$R$8:$R$3006),"OWES","OVERPAID"))))</f>
        <v/>
      </c>
      <c r="I1299" s="1"/>
    </row>
    <row r="1300" spans="1:9" ht="18" customHeight="1" x14ac:dyDescent="0.25">
      <c r="A1300" s="40">
        <v>1285</v>
      </c>
      <c r="B1300" s="41" t="str">
        <f t="array" ref="B1300">IFERROR(IF(INDEX(Transactions!$F$8:$F$3006,MATCH(0,COUNTIF($B$11:B1299,Transactions!$F$8:$F$3006),0))="","",INDEX(Transactions!$F$8:$F$3006,MATCH(0,COUNTIF($B$11:B1299,Transactions!$F$8:$F$3006),0))),"")</f>
        <v/>
      </c>
      <c r="C1300" s="42" t="str">
        <f>IF(B1300="","",SUMIF(Transactions!$F$8:$F$3006,B1300,Transactions!$H$8:$H$3006))</f>
        <v/>
      </c>
      <c r="D1300" s="43" t="str">
        <f>IF(B1300="","",SUMIF(Transactions!$F$8:$F$3006,B1300,Transactions!$N$8:$N$3006))</f>
        <v/>
      </c>
      <c r="E1300" s="44" t="str">
        <f>IF(B1300="","",SUMIF(Transactions!$F$8:$F$3006,B1300,Transactions!$O$8:$O$3006))</f>
        <v/>
      </c>
      <c r="F1300" s="45" t="str">
        <f>IF(B1300="","",SUMIF(Transactions!$F$8:$F$3006,B1300,Transactions!$R$8:$R$3006))</f>
        <v/>
      </c>
      <c r="G1300" s="46" t="str">
        <f>IF(B1300="","",(C1300+F1300)-(D1300+E1300+SUMIF(Transactions!$F$8:$F$3006,B1300,Transactions!$Q$8:$Q$3006)))</f>
        <v/>
      </c>
      <c r="H1300" s="47" t="str">
        <f>IF(B1300="","",IF(G1300&gt;0,"OUTSTANDING",IF(G1300=0,"SETTLED",IF(SUMIF(Transactions!$F$8:$F$3006,B1300,Transactions!$Q$8:$Q$3006)&gt;SUMIF(Transactions!$F$8:$F$3006,B1300,Transactions!$R$8:$R$3006),"OWES","OVERPAID"))))</f>
        <v/>
      </c>
      <c r="I1300" s="1"/>
    </row>
    <row r="1301" spans="1:9" ht="18" customHeight="1" x14ac:dyDescent="0.25">
      <c r="A1301" s="48">
        <v>1286</v>
      </c>
      <c r="B1301" s="49" t="str">
        <f t="array" ref="B1301">IFERROR(IF(INDEX(Transactions!$F$8:$F$3006,MATCH(0,COUNTIF($B$11:B1300,Transactions!$F$8:$F$3006),0))="","",INDEX(Transactions!$F$8:$F$3006,MATCH(0,COUNTIF($B$11:B1300,Transactions!$F$8:$F$3006),0))),"")</f>
        <v/>
      </c>
      <c r="C1301" s="50" t="str">
        <f>IF(B1301="","",SUMIF(Transactions!$F$8:$F$3006,B1301,Transactions!$H$8:$H$3006))</f>
        <v/>
      </c>
      <c r="D1301" s="51" t="str">
        <f>IF(B1301="","",SUMIF(Transactions!$F$8:$F$3006,B1301,Transactions!$N$8:$N$3006))</f>
        <v/>
      </c>
      <c r="E1301" s="52" t="str">
        <f>IF(B1301="","",SUMIF(Transactions!$F$8:$F$3006,B1301,Transactions!$O$8:$O$3006))</f>
        <v/>
      </c>
      <c r="F1301" s="53" t="str">
        <f>IF(B1301="","",SUMIF(Transactions!$F$8:$F$3006,B1301,Transactions!$R$8:$R$3006))</f>
        <v/>
      </c>
      <c r="G1301" s="54" t="str">
        <f>IF(B1301="","",(C1301+F1301)-(D1301+E1301+SUMIF(Transactions!$F$8:$F$3006,B1301,Transactions!$Q$8:$Q$3006)))</f>
        <v/>
      </c>
      <c r="H1301" s="55" t="str">
        <f>IF(B1301="","",IF(G1301&gt;0,"OUTSTANDING",IF(G1301=0,"SETTLED",IF(SUMIF(Transactions!$F$8:$F$3006,B1301,Transactions!$Q$8:$Q$3006)&gt;SUMIF(Transactions!$F$8:$F$3006,B1301,Transactions!$R$8:$R$3006),"OWES","OVERPAID"))))</f>
        <v/>
      </c>
      <c r="I1301" s="1"/>
    </row>
    <row r="1302" spans="1:9" ht="18" customHeight="1" x14ac:dyDescent="0.25">
      <c r="A1302" s="40">
        <v>1287</v>
      </c>
      <c r="B1302" s="41" t="str">
        <f t="array" ref="B1302">IFERROR(IF(INDEX(Transactions!$F$8:$F$3006,MATCH(0,COUNTIF($B$11:B1301,Transactions!$F$8:$F$3006),0))="","",INDEX(Transactions!$F$8:$F$3006,MATCH(0,COUNTIF($B$11:B1301,Transactions!$F$8:$F$3006),0))),"")</f>
        <v/>
      </c>
      <c r="C1302" s="42" t="str">
        <f>IF(B1302="","",SUMIF(Transactions!$F$8:$F$3006,B1302,Transactions!$H$8:$H$3006))</f>
        <v/>
      </c>
      <c r="D1302" s="43" t="str">
        <f>IF(B1302="","",SUMIF(Transactions!$F$8:$F$3006,B1302,Transactions!$N$8:$N$3006))</f>
        <v/>
      </c>
      <c r="E1302" s="44" t="str">
        <f>IF(B1302="","",SUMIF(Transactions!$F$8:$F$3006,B1302,Transactions!$O$8:$O$3006))</f>
        <v/>
      </c>
      <c r="F1302" s="45" t="str">
        <f>IF(B1302="","",SUMIF(Transactions!$F$8:$F$3006,B1302,Transactions!$R$8:$R$3006))</f>
        <v/>
      </c>
      <c r="G1302" s="46" t="str">
        <f>IF(B1302="","",(C1302+F1302)-(D1302+E1302+SUMIF(Transactions!$F$8:$F$3006,B1302,Transactions!$Q$8:$Q$3006)))</f>
        <v/>
      </c>
      <c r="H1302" s="47" t="str">
        <f>IF(B1302="","",IF(G1302&gt;0,"OUTSTANDING",IF(G1302=0,"SETTLED",IF(SUMIF(Transactions!$F$8:$F$3006,B1302,Transactions!$Q$8:$Q$3006)&gt;SUMIF(Transactions!$F$8:$F$3006,B1302,Transactions!$R$8:$R$3006),"OWES","OVERPAID"))))</f>
        <v/>
      </c>
      <c r="I1302" s="1"/>
    </row>
    <row r="1303" spans="1:9" ht="18" customHeight="1" x14ac:dyDescent="0.25">
      <c r="A1303" s="48">
        <v>1288</v>
      </c>
      <c r="B1303" s="49" t="str">
        <f t="array" ref="B1303">IFERROR(IF(INDEX(Transactions!$F$8:$F$3006,MATCH(0,COUNTIF($B$11:B1302,Transactions!$F$8:$F$3006),0))="","",INDEX(Transactions!$F$8:$F$3006,MATCH(0,COUNTIF($B$11:B1302,Transactions!$F$8:$F$3006),0))),"")</f>
        <v/>
      </c>
      <c r="C1303" s="50" t="str">
        <f>IF(B1303="","",SUMIF(Transactions!$F$8:$F$3006,B1303,Transactions!$H$8:$H$3006))</f>
        <v/>
      </c>
      <c r="D1303" s="51" t="str">
        <f>IF(B1303="","",SUMIF(Transactions!$F$8:$F$3006,B1303,Transactions!$N$8:$N$3006))</f>
        <v/>
      </c>
      <c r="E1303" s="52" t="str">
        <f>IF(B1303="","",SUMIF(Transactions!$F$8:$F$3006,B1303,Transactions!$O$8:$O$3006))</f>
        <v/>
      </c>
      <c r="F1303" s="53" t="str">
        <f>IF(B1303="","",SUMIF(Transactions!$F$8:$F$3006,B1303,Transactions!$R$8:$R$3006))</f>
        <v/>
      </c>
      <c r="G1303" s="54" t="str">
        <f>IF(B1303="","",(C1303+F1303)-(D1303+E1303+SUMIF(Transactions!$F$8:$F$3006,B1303,Transactions!$Q$8:$Q$3006)))</f>
        <v/>
      </c>
      <c r="H1303" s="55" t="str">
        <f>IF(B1303="","",IF(G1303&gt;0,"OUTSTANDING",IF(G1303=0,"SETTLED",IF(SUMIF(Transactions!$F$8:$F$3006,B1303,Transactions!$Q$8:$Q$3006)&gt;SUMIF(Transactions!$F$8:$F$3006,B1303,Transactions!$R$8:$R$3006),"OWES","OVERPAID"))))</f>
        <v/>
      </c>
      <c r="I1303" s="1"/>
    </row>
    <row r="1304" spans="1:9" ht="18" customHeight="1" x14ac:dyDescent="0.25">
      <c r="A1304" s="40">
        <v>1289</v>
      </c>
      <c r="B1304" s="41" t="str">
        <f t="array" ref="B1304">IFERROR(IF(INDEX(Transactions!$F$8:$F$3006,MATCH(0,COUNTIF($B$11:B1303,Transactions!$F$8:$F$3006),0))="","",INDEX(Transactions!$F$8:$F$3006,MATCH(0,COUNTIF($B$11:B1303,Transactions!$F$8:$F$3006),0))),"")</f>
        <v/>
      </c>
      <c r="C1304" s="42" t="str">
        <f>IF(B1304="","",SUMIF(Transactions!$F$8:$F$3006,B1304,Transactions!$H$8:$H$3006))</f>
        <v/>
      </c>
      <c r="D1304" s="43" t="str">
        <f>IF(B1304="","",SUMIF(Transactions!$F$8:$F$3006,B1304,Transactions!$N$8:$N$3006))</f>
        <v/>
      </c>
      <c r="E1304" s="44" t="str">
        <f>IF(B1304="","",SUMIF(Transactions!$F$8:$F$3006,B1304,Transactions!$O$8:$O$3006))</f>
        <v/>
      </c>
      <c r="F1304" s="45" t="str">
        <f>IF(B1304="","",SUMIF(Transactions!$F$8:$F$3006,B1304,Transactions!$R$8:$R$3006))</f>
        <v/>
      </c>
      <c r="G1304" s="46" t="str">
        <f>IF(B1304="","",(C1304+F1304)-(D1304+E1304+SUMIF(Transactions!$F$8:$F$3006,B1304,Transactions!$Q$8:$Q$3006)))</f>
        <v/>
      </c>
      <c r="H1304" s="47" t="str">
        <f>IF(B1304="","",IF(G1304&gt;0,"OUTSTANDING",IF(G1304=0,"SETTLED",IF(SUMIF(Transactions!$F$8:$F$3006,B1304,Transactions!$Q$8:$Q$3006)&gt;SUMIF(Transactions!$F$8:$F$3006,B1304,Transactions!$R$8:$R$3006),"OWES","OVERPAID"))))</f>
        <v/>
      </c>
      <c r="I1304" s="1"/>
    </row>
    <row r="1305" spans="1:9" ht="18" customHeight="1" x14ac:dyDescent="0.25">
      <c r="A1305" s="48">
        <v>1290</v>
      </c>
      <c r="B1305" s="49" t="str">
        <f t="array" ref="B1305">IFERROR(IF(INDEX(Transactions!$F$8:$F$3006,MATCH(0,COUNTIF($B$11:B1304,Transactions!$F$8:$F$3006),0))="","",INDEX(Transactions!$F$8:$F$3006,MATCH(0,COUNTIF($B$11:B1304,Transactions!$F$8:$F$3006),0))),"")</f>
        <v/>
      </c>
      <c r="C1305" s="50" t="str">
        <f>IF(B1305="","",SUMIF(Transactions!$F$8:$F$3006,B1305,Transactions!$H$8:$H$3006))</f>
        <v/>
      </c>
      <c r="D1305" s="51" t="str">
        <f>IF(B1305="","",SUMIF(Transactions!$F$8:$F$3006,B1305,Transactions!$N$8:$N$3006))</f>
        <v/>
      </c>
      <c r="E1305" s="52" t="str">
        <f>IF(B1305="","",SUMIF(Transactions!$F$8:$F$3006,B1305,Transactions!$O$8:$O$3006))</f>
        <v/>
      </c>
      <c r="F1305" s="53" t="str">
        <f>IF(B1305="","",SUMIF(Transactions!$F$8:$F$3006,B1305,Transactions!$R$8:$R$3006))</f>
        <v/>
      </c>
      <c r="G1305" s="54" t="str">
        <f>IF(B1305="","",(C1305+F1305)-(D1305+E1305+SUMIF(Transactions!$F$8:$F$3006,B1305,Transactions!$Q$8:$Q$3006)))</f>
        <v/>
      </c>
      <c r="H1305" s="55" t="str">
        <f>IF(B1305="","",IF(G1305&gt;0,"OUTSTANDING",IF(G1305=0,"SETTLED",IF(SUMIF(Transactions!$F$8:$F$3006,B1305,Transactions!$Q$8:$Q$3006)&gt;SUMIF(Transactions!$F$8:$F$3006,B1305,Transactions!$R$8:$R$3006),"OWES","OVERPAID"))))</f>
        <v/>
      </c>
      <c r="I1305" s="1"/>
    </row>
    <row r="1306" spans="1:9" ht="18" customHeight="1" x14ac:dyDescent="0.25">
      <c r="A1306" s="40">
        <v>1291</v>
      </c>
      <c r="B1306" s="41" t="str">
        <f t="array" ref="B1306">IFERROR(IF(INDEX(Transactions!$F$8:$F$3006,MATCH(0,COUNTIF($B$11:B1305,Transactions!$F$8:$F$3006),0))="","",INDEX(Transactions!$F$8:$F$3006,MATCH(0,COUNTIF($B$11:B1305,Transactions!$F$8:$F$3006),0))),"")</f>
        <v/>
      </c>
      <c r="C1306" s="42" t="str">
        <f>IF(B1306="","",SUMIF(Transactions!$F$8:$F$3006,B1306,Transactions!$H$8:$H$3006))</f>
        <v/>
      </c>
      <c r="D1306" s="43" t="str">
        <f>IF(B1306="","",SUMIF(Transactions!$F$8:$F$3006,B1306,Transactions!$N$8:$N$3006))</f>
        <v/>
      </c>
      <c r="E1306" s="44" t="str">
        <f>IF(B1306="","",SUMIF(Transactions!$F$8:$F$3006,B1306,Transactions!$O$8:$O$3006))</f>
        <v/>
      </c>
      <c r="F1306" s="45" t="str">
        <f>IF(B1306="","",SUMIF(Transactions!$F$8:$F$3006,B1306,Transactions!$R$8:$R$3006))</f>
        <v/>
      </c>
      <c r="G1306" s="46" t="str">
        <f>IF(B1306="","",(C1306+F1306)-(D1306+E1306+SUMIF(Transactions!$F$8:$F$3006,B1306,Transactions!$Q$8:$Q$3006)))</f>
        <v/>
      </c>
      <c r="H1306" s="47" t="str">
        <f>IF(B1306="","",IF(G1306&gt;0,"OUTSTANDING",IF(G1306=0,"SETTLED",IF(SUMIF(Transactions!$F$8:$F$3006,B1306,Transactions!$Q$8:$Q$3006)&gt;SUMIF(Transactions!$F$8:$F$3006,B1306,Transactions!$R$8:$R$3006),"OWES","OVERPAID"))))</f>
        <v/>
      </c>
      <c r="I1306" s="1"/>
    </row>
    <row r="1307" spans="1:9" ht="18" customHeight="1" x14ac:dyDescent="0.25">
      <c r="A1307" s="48">
        <v>1292</v>
      </c>
      <c r="B1307" s="49" t="str">
        <f t="array" ref="B1307">IFERROR(IF(INDEX(Transactions!$F$8:$F$3006,MATCH(0,COUNTIF($B$11:B1306,Transactions!$F$8:$F$3006),0))="","",INDEX(Transactions!$F$8:$F$3006,MATCH(0,COUNTIF($B$11:B1306,Transactions!$F$8:$F$3006),0))),"")</f>
        <v/>
      </c>
      <c r="C1307" s="50" t="str">
        <f>IF(B1307="","",SUMIF(Transactions!$F$8:$F$3006,B1307,Transactions!$H$8:$H$3006))</f>
        <v/>
      </c>
      <c r="D1307" s="51" t="str">
        <f>IF(B1307="","",SUMIF(Transactions!$F$8:$F$3006,B1307,Transactions!$N$8:$N$3006))</f>
        <v/>
      </c>
      <c r="E1307" s="52" t="str">
        <f>IF(B1307="","",SUMIF(Transactions!$F$8:$F$3006,B1307,Transactions!$O$8:$O$3006))</f>
        <v/>
      </c>
      <c r="F1307" s="53" t="str">
        <f>IF(B1307="","",SUMIF(Transactions!$F$8:$F$3006,B1307,Transactions!$R$8:$R$3006))</f>
        <v/>
      </c>
      <c r="G1307" s="54" t="str">
        <f>IF(B1307="","",(C1307+F1307)-(D1307+E1307+SUMIF(Transactions!$F$8:$F$3006,B1307,Transactions!$Q$8:$Q$3006)))</f>
        <v/>
      </c>
      <c r="H1307" s="55" t="str">
        <f>IF(B1307="","",IF(G1307&gt;0,"OUTSTANDING",IF(G1307=0,"SETTLED",IF(SUMIF(Transactions!$F$8:$F$3006,B1307,Transactions!$Q$8:$Q$3006)&gt;SUMIF(Transactions!$F$8:$F$3006,B1307,Transactions!$R$8:$R$3006),"OWES","OVERPAID"))))</f>
        <v/>
      </c>
      <c r="I1307" s="1"/>
    </row>
    <row r="1308" spans="1:9" ht="18" customHeight="1" x14ac:dyDescent="0.25">
      <c r="A1308" s="40">
        <v>1293</v>
      </c>
      <c r="B1308" s="41" t="str">
        <f t="array" ref="B1308">IFERROR(IF(INDEX(Transactions!$F$8:$F$3006,MATCH(0,COUNTIF($B$11:B1307,Transactions!$F$8:$F$3006),0))="","",INDEX(Transactions!$F$8:$F$3006,MATCH(0,COUNTIF($B$11:B1307,Transactions!$F$8:$F$3006),0))),"")</f>
        <v/>
      </c>
      <c r="C1308" s="42" t="str">
        <f>IF(B1308="","",SUMIF(Transactions!$F$8:$F$3006,B1308,Transactions!$H$8:$H$3006))</f>
        <v/>
      </c>
      <c r="D1308" s="43" t="str">
        <f>IF(B1308="","",SUMIF(Transactions!$F$8:$F$3006,B1308,Transactions!$N$8:$N$3006))</f>
        <v/>
      </c>
      <c r="E1308" s="44" t="str">
        <f>IF(B1308="","",SUMIF(Transactions!$F$8:$F$3006,B1308,Transactions!$O$8:$O$3006))</f>
        <v/>
      </c>
      <c r="F1308" s="45" t="str">
        <f>IF(B1308="","",SUMIF(Transactions!$F$8:$F$3006,B1308,Transactions!$R$8:$R$3006))</f>
        <v/>
      </c>
      <c r="G1308" s="46" t="str">
        <f>IF(B1308="","",(C1308+F1308)-(D1308+E1308+SUMIF(Transactions!$F$8:$F$3006,B1308,Transactions!$Q$8:$Q$3006)))</f>
        <v/>
      </c>
      <c r="H1308" s="47" t="str">
        <f>IF(B1308="","",IF(G1308&gt;0,"OUTSTANDING",IF(G1308=0,"SETTLED",IF(SUMIF(Transactions!$F$8:$F$3006,B1308,Transactions!$Q$8:$Q$3006)&gt;SUMIF(Transactions!$F$8:$F$3006,B1308,Transactions!$R$8:$R$3006),"OWES","OVERPAID"))))</f>
        <v/>
      </c>
      <c r="I1308" s="1"/>
    </row>
    <row r="1309" spans="1:9" ht="18" customHeight="1" x14ac:dyDescent="0.25">
      <c r="A1309" s="48">
        <v>1294</v>
      </c>
      <c r="B1309" s="49" t="str">
        <f t="array" ref="B1309">IFERROR(IF(INDEX(Transactions!$F$8:$F$3006,MATCH(0,COUNTIF($B$11:B1308,Transactions!$F$8:$F$3006),0))="","",INDEX(Transactions!$F$8:$F$3006,MATCH(0,COUNTIF($B$11:B1308,Transactions!$F$8:$F$3006),0))),"")</f>
        <v/>
      </c>
      <c r="C1309" s="50" t="str">
        <f>IF(B1309="","",SUMIF(Transactions!$F$8:$F$3006,B1309,Transactions!$H$8:$H$3006))</f>
        <v/>
      </c>
      <c r="D1309" s="51" t="str">
        <f>IF(B1309="","",SUMIF(Transactions!$F$8:$F$3006,B1309,Transactions!$N$8:$N$3006))</f>
        <v/>
      </c>
      <c r="E1309" s="52" t="str">
        <f>IF(B1309="","",SUMIF(Transactions!$F$8:$F$3006,B1309,Transactions!$O$8:$O$3006))</f>
        <v/>
      </c>
      <c r="F1309" s="53" t="str">
        <f>IF(B1309="","",SUMIF(Transactions!$F$8:$F$3006,B1309,Transactions!$R$8:$R$3006))</f>
        <v/>
      </c>
      <c r="G1309" s="54" t="str">
        <f>IF(B1309="","",(C1309+F1309)-(D1309+E1309+SUMIF(Transactions!$F$8:$F$3006,B1309,Transactions!$Q$8:$Q$3006)))</f>
        <v/>
      </c>
      <c r="H1309" s="55" t="str">
        <f>IF(B1309="","",IF(G1309&gt;0,"OUTSTANDING",IF(G1309=0,"SETTLED",IF(SUMIF(Transactions!$F$8:$F$3006,B1309,Transactions!$Q$8:$Q$3006)&gt;SUMIF(Transactions!$F$8:$F$3006,B1309,Transactions!$R$8:$R$3006),"OWES","OVERPAID"))))</f>
        <v/>
      </c>
      <c r="I1309" s="1"/>
    </row>
    <row r="1310" spans="1:9" ht="18" customHeight="1" x14ac:dyDescent="0.25">
      <c r="A1310" s="40">
        <v>1295</v>
      </c>
      <c r="B1310" s="41" t="str">
        <f t="array" ref="B1310">IFERROR(IF(INDEX(Transactions!$F$8:$F$3006,MATCH(0,COUNTIF($B$11:B1309,Transactions!$F$8:$F$3006),0))="","",INDEX(Transactions!$F$8:$F$3006,MATCH(0,COUNTIF($B$11:B1309,Transactions!$F$8:$F$3006),0))),"")</f>
        <v/>
      </c>
      <c r="C1310" s="42" t="str">
        <f>IF(B1310="","",SUMIF(Transactions!$F$8:$F$3006,B1310,Transactions!$H$8:$H$3006))</f>
        <v/>
      </c>
      <c r="D1310" s="43" t="str">
        <f>IF(B1310="","",SUMIF(Transactions!$F$8:$F$3006,B1310,Transactions!$N$8:$N$3006))</f>
        <v/>
      </c>
      <c r="E1310" s="44" t="str">
        <f>IF(B1310="","",SUMIF(Transactions!$F$8:$F$3006,B1310,Transactions!$O$8:$O$3006))</f>
        <v/>
      </c>
      <c r="F1310" s="45" t="str">
        <f>IF(B1310="","",SUMIF(Transactions!$F$8:$F$3006,B1310,Transactions!$R$8:$R$3006))</f>
        <v/>
      </c>
      <c r="G1310" s="46" t="str">
        <f>IF(B1310="","",(C1310+F1310)-(D1310+E1310+SUMIF(Transactions!$F$8:$F$3006,B1310,Transactions!$Q$8:$Q$3006)))</f>
        <v/>
      </c>
      <c r="H1310" s="47" t="str">
        <f>IF(B1310="","",IF(G1310&gt;0,"OUTSTANDING",IF(G1310=0,"SETTLED",IF(SUMIF(Transactions!$F$8:$F$3006,B1310,Transactions!$Q$8:$Q$3006)&gt;SUMIF(Transactions!$F$8:$F$3006,B1310,Transactions!$R$8:$R$3006),"OWES","OVERPAID"))))</f>
        <v/>
      </c>
      <c r="I1310" s="1"/>
    </row>
    <row r="1311" spans="1:9" ht="18" customHeight="1" x14ac:dyDescent="0.25">
      <c r="A1311" s="48">
        <v>1296</v>
      </c>
      <c r="B1311" s="49" t="str">
        <f t="array" ref="B1311">IFERROR(IF(INDEX(Transactions!$F$8:$F$3006,MATCH(0,COUNTIF($B$11:B1310,Transactions!$F$8:$F$3006),0))="","",INDEX(Transactions!$F$8:$F$3006,MATCH(0,COUNTIF($B$11:B1310,Transactions!$F$8:$F$3006),0))),"")</f>
        <v/>
      </c>
      <c r="C1311" s="50" t="str">
        <f>IF(B1311="","",SUMIF(Transactions!$F$8:$F$3006,B1311,Transactions!$H$8:$H$3006))</f>
        <v/>
      </c>
      <c r="D1311" s="51" t="str">
        <f>IF(B1311="","",SUMIF(Transactions!$F$8:$F$3006,B1311,Transactions!$N$8:$N$3006))</f>
        <v/>
      </c>
      <c r="E1311" s="52" t="str">
        <f>IF(B1311="","",SUMIF(Transactions!$F$8:$F$3006,B1311,Transactions!$O$8:$O$3006))</f>
        <v/>
      </c>
      <c r="F1311" s="53" t="str">
        <f>IF(B1311="","",SUMIF(Transactions!$F$8:$F$3006,B1311,Transactions!$R$8:$R$3006))</f>
        <v/>
      </c>
      <c r="G1311" s="54" t="str">
        <f>IF(B1311="","",(C1311+F1311)-(D1311+E1311+SUMIF(Transactions!$F$8:$F$3006,B1311,Transactions!$Q$8:$Q$3006)))</f>
        <v/>
      </c>
      <c r="H1311" s="55" t="str">
        <f>IF(B1311="","",IF(G1311&gt;0,"OUTSTANDING",IF(G1311=0,"SETTLED",IF(SUMIF(Transactions!$F$8:$F$3006,B1311,Transactions!$Q$8:$Q$3006)&gt;SUMIF(Transactions!$F$8:$F$3006,B1311,Transactions!$R$8:$R$3006),"OWES","OVERPAID"))))</f>
        <v/>
      </c>
      <c r="I1311" s="1"/>
    </row>
    <row r="1312" spans="1:9" ht="18" customHeight="1" x14ac:dyDescent="0.25">
      <c r="A1312" s="40">
        <v>1297</v>
      </c>
      <c r="B1312" s="41" t="str">
        <f t="array" ref="B1312">IFERROR(IF(INDEX(Transactions!$F$8:$F$3006,MATCH(0,COUNTIF($B$11:B1311,Transactions!$F$8:$F$3006),0))="","",INDEX(Transactions!$F$8:$F$3006,MATCH(0,COUNTIF($B$11:B1311,Transactions!$F$8:$F$3006),0))),"")</f>
        <v/>
      </c>
      <c r="C1312" s="42" t="str">
        <f>IF(B1312="","",SUMIF(Transactions!$F$8:$F$3006,B1312,Transactions!$H$8:$H$3006))</f>
        <v/>
      </c>
      <c r="D1312" s="43" t="str">
        <f>IF(B1312="","",SUMIF(Transactions!$F$8:$F$3006,B1312,Transactions!$N$8:$N$3006))</f>
        <v/>
      </c>
      <c r="E1312" s="44" t="str">
        <f>IF(B1312="","",SUMIF(Transactions!$F$8:$F$3006,B1312,Transactions!$O$8:$O$3006))</f>
        <v/>
      </c>
      <c r="F1312" s="45" t="str">
        <f>IF(B1312="","",SUMIF(Transactions!$F$8:$F$3006,B1312,Transactions!$R$8:$R$3006))</f>
        <v/>
      </c>
      <c r="G1312" s="46" t="str">
        <f>IF(B1312="","",(C1312+F1312)-(D1312+E1312+SUMIF(Transactions!$F$8:$F$3006,B1312,Transactions!$Q$8:$Q$3006)))</f>
        <v/>
      </c>
      <c r="H1312" s="47" t="str">
        <f>IF(B1312="","",IF(G1312&gt;0,"OUTSTANDING",IF(G1312=0,"SETTLED",IF(SUMIF(Transactions!$F$8:$F$3006,B1312,Transactions!$Q$8:$Q$3006)&gt;SUMIF(Transactions!$F$8:$F$3006,B1312,Transactions!$R$8:$R$3006),"OWES","OVERPAID"))))</f>
        <v/>
      </c>
      <c r="I1312" s="1"/>
    </row>
    <row r="1313" spans="1:9" ht="18" customHeight="1" x14ac:dyDescent="0.25">
      <c r="A1313" s="48">
        <v>1298</v>
      </c>
      <c r="B1313" s="49" t="str">
        <f t="array" ref="B1313">IFERROR(IF(INDEX(Transactions!$F$8:$F$3006,MATCH(0,COUNTIF($B$11:B1312,Transactions!$F$8:$F$3006),0))="","",INDEX(Transactions!$F$8:$F$3006,MATCH(0,COUNTIF($B$11:B1312,Transactions!$F$8:$F$3006),0))),"")</f>
        <v/>
      </c>
      <c r="C1313" s="50" t="str">
        <f>IF(B1313="","",SUMIF(Transactions!$F$8:$F$3006,B1313,Transactions!$H$8:$H$3006))</f>
        <v/>
      </c>
      <c r="D1313" s="51" t="str">
        <f>IF(B1313="","",SUMIF(Transactions!$F$8:$F$3006,B1313,Transactions!$N$8:$N$3006))</f>
        <v/>
      </c>
      <c r="E1313" s="52" t="str">
        <f>IF(B1313="","",SUMIF(Transactions!$F$8:$F$3006,B1313,Transactions!$O$8:$O$3006))</f>
        <v/>
      </c>
      <c r="F1313" s="53" t="str">
        <f>IF(B1313="","",SUMIF(Transactions!$F$8:$F$3006,B1313,Transactions!$R$8:$R$3006))</f>
        <v/>
      </c>
      <c r="G1313" s="54" t="str">
        <f>IF(B1313="","",(C1313+F1313)-(D1313+E1313+SUMIF(Transactions!$F$8:$F$3006,B1313,Transactions!$Q$8:$Q$3006)))</f>
        <v/>
      </c>
      <c r="H1313" s="55" t="str">
        <f>IF(B1313="","",IF(G1313&gt;0,"OUTSTANDING",IF(G1313=0,"SETTLED",IF(SUMIF(Transactions!$F$8:$F$3006,B1313,Transactions!$Q$8:$Q$3006)&gt;SUMIF(Transactions!$F$8:$F$3006,B1313,Transactions!$R$8:$R$3006),"OWES","OVERPAID"))))</f>
        <v/>
      </c>
      <c r="I1313" s="1"/>
    </row>
    <row r="1314" spans="1:9" ht="18" customHeight="1" x14ac:dyDescent="0.25">
      <c r="A1314" s="40">
        <v>1299</v>
      </c>
      <c r="B1314" s="41" t="str">
        <f t="array" ref="B1314">IFERROR(IF(INDEX(Transactions!$F$8:$F$3006,MATCH(0,COUNTIF($B$11:B1313,Transactions!$F$8:$F$3006),0))="","",INDEX(Transactions!$F$8:$F$3006,MATCH(0,COUNTIF($B$11:B1313,Transactions!$F$8:$F$3006),0))),"")</f>
        <v/>
      </c>
      <c r="C1314" s="42" t="str">
        <f>IF(B1314="","",SUMIF(Transactions!$F$8:$F$3006,B1314,Transactions!$H$8:$H$3006))</f>
        <v/>
      </c>
      <c r="D1314" s="43" t="str">
        <f>IF(B1314="","",SUMIF(Transactions!$F$8:$F$3006,B1314,Transactions!$N$8:$N$3006))</f>
        <v/>
      </c>
      <c r="E1314" s="44" t="str">
        <f>IF(B1314="","",SUMIF(Transactions!$F$8:$F$3006,B1314,Transactions!$O$8:$O$3006))</f>
        <v/>
      </c>
      <c r="F1314" s="45" t="str">
        <f>IF(B1314="","",SUMIF(Transactions!$F$8:$F$3006,B1314,Transactions!$R$8:$R$3006))</f>
        <v/>
      </c>
      <c r="G1314" s="46" t="str">
        <f>IF(B1314="","",(C1314+F1314)-(D1314+E1314+SUMIF(Transactions!$F$8:$F$3006,B1314,Transactions!$Q$8:$Q$3006)))</f>
        <v/>
      </c>
      <c r="H1314" s="47" t="str">
        <f>IF(B1314="","",IF(G1314&gt;0,"OUTSTANDING",IF(G1314=0,"SETTLED",IF(SUMIF(Transactions!$F$8:$F$3006,B1314,Transactions!$Q$8:$Q$3006)&gt;SUMIF(Transactions!$F$8:$F$3006,B1314,Transactions!$R$8:$R$3006),"OWES","OVERPAID"))))</f>
        <v/>
      </c>
      <c r="I1314" s="1"/>
    </row>
    <row r="1315" spans="1:9" ht="18" customHeight="1" x14ac:dyDescent="0.25">
      <c r="A1315" s="48">
        <v>1300</v>
      </c>
      <c r="B1315" s="49" t="str">
        <f t="array" ref="B1315">IFERROR(IF(INDEX(Transactions!$F$8:$F$3006,MATCH(0,COUNTIF($B$11:B1314,Transactions!$F$8:$F$3006),0))="","",INDEX(Transactions!$F$8:$F$3006,MATCH(0,COUNTIF($B$11:B1314,Transactions!$F$8:$F$3006),0))),"")</f>
        <v/>
      </c>
      <c r="C1315" s="50" t="str">
        <f>IF(B1315="","",SUMIF(Transactions!$F$8:$F$3006,B1315,Transactions!$H$8:$H$3006))</f>
        <v/>
      </c>
      <c r="D1315" s="51" t="str">
        <f>IF(B1315="","",SUMIF(Transactions!$F$8:$F$3006,B1315,Transactions!$N$8:$N$3006))</f>
        <v/>
      </c>
      <c r="E1315" s="52" t="str">
        <f>IF(B1315="","",SUMIF(Transactions!$F$8:$F$3006,B1315,Transactions!$O$8:$O$3006))</f>
        <v/>
      </c>
      <c r="F1315" s="53" t="str">
        <f>IF(B1315="","",SUMIF(Transactions!$F$8:$F$3006,B1315,Transactions!$R$8:$R$3006))</f>
        <v/>
      </c>
      <c r="G1315" s="54" t="str">
        <f>IF(B1315="","",(C1315+F1315)-(D1315+E1315+SUMIF(Transactions!$F$8:$F$3006,B1315,Transactions!$Q$8:$Q$3006)))</f>
        <v/>
      </c>
      <c r="H1315" s="55" t="str">
        <f>IF(B1315="","",IF(G1315&gt;0,"OUTSTANDING",IF(G1315=0,"SETTLED",IF(SUMIF(Transactions!$F$8:$F$3006,B1315,Transactions!$Q$8:$Q$3006)&gt;SUMIF(Transactions!$F$8:$F$3006,B1315,Transactions!$R$8:$R$3006),"OWES","OVERPAID"))))</f>
        <v/>
      </c>
      <c r="I1315" s="1"/>
    </row>
    <row r="1316" spans="1:9" ht="18" customHeight="1" x14ac:dyDescent="0.25">
      <c r="A1316" s="40">
        <v>1301</v>
      </c>
      <c r="B1316" s="41" t="str">
        <f t="array" ref="B1316">IFERROR(IF(INDEX(Transactions!$F$8:$F$3006,MATCH(0,COUNTIF($B$11:B1315,Transactions!$F$8:$F$3006),0))="","",INDEX(Transactions!$F$8:$F$3006,MATCH(0,COUNTIF($B$11:B1315,Transactions!$F$8:$F$3006),0))),"")</f>
        <v/>
      </c>
      <c r="C1316" s="42" t="str">
        <f>IF(B1316="","",SUMIF(Transactions!$F$8:$F$3006,B1316,Transactions!$H$8:$H$3006))</f>
        <v/>
      </c>
      <c r="D1316" s="43" t="str">
        <f>IF(B1316="","",SUMIF(Transactions!$F$8:$F$3006,B1316,Transactions!$N$8:$N$3006))</f>
        <v/>
      </c>
      <c r="E1316" s="44" t="str">
        <f>IF(B1316="","",SUMIF(Transactions!$F$8:$F$3006,B1316,Transactions!$O$8:$O$3006))</f>
        <v/>
      </c>
      <c r="F1316" s="45" t="str">
        <f>IF(B1316="","",SUMIF(Transactions!$F$8:$F$3006,B1316,Transactions!$R$8:$R$3006))</f>
        <v/>
      </c>
      <c r="G1316" s="46" t="str">
        <f>IF(B1316="","",(C1316+F1316)-(D1316+E1316+SUMIF(Transactions!$F$8:$F$3006,B1316,Transactions!$Q$8:$Q$3006)))</f>
        <v/>
      </c>
      <c r="H1316" s="47" t="str">
        <f>IF(B1316="","",IF(G1316&gt;0,"OUTSTANDING",IF(G1316=0,"SETTLED",IF(SUMIF(Transactions!$F$8:$F$3006,B1316,Transactions!$Q$8:$Q$3006)&gt;SUMIF(Transactions!$F$8:$F$3006,B1316,Transactions!$R$8:$R$3006),"OWES","OVERPAID"))))</f>
        <v/>
      </c>
      <c r="I1316" s="1"/>
    </row>
    <row r="1317" spans="1:9" ht="18" customHeight="1" x14ac:dyDescent="0.25">
      <c r="A1317" s="48">
        <v>1302</v>
      </c>
      <c r="B1317" s="49" t="str">
        <f t="array" ref="B1317">IFERROR(IF(INDEX(Transactions!$F$8:$F$3006,MATCH(0,COUNTIF($B$11:B1316,Transactions!$F$8:$F$3006),0))="","",INDEX(Transactions!$F$8:$F$3006,MATCH(0,COUNTIF($B$11:B1316,Transactions!$F$8:$F$3006),0))),"")</f>
        <v/>
      </c>
      <c r="C1317" s="50" t="str">
        <f>IF(B1317="","",SUMIF(Transactions!$F$8:$F$3006,B1317,Transactions!$H$8:$H$3006))</f>
        <v/>
      </c>
      <c r="D1317" s="51" t="str">
        <f>IF(B1317="","",SUMIF(Transactions!$F$8:$F$3006,B1317,Transactions!$N$8:$N$3006))</f>
        <v/>
      </c>
      <c r="E1317" s="52" t="str">
        <f>IF(B1317="","",SUMIF(Transactions!$F$8:$F$3006,B1317,Transactions!$O$8:$O$3006))</f>
        <v/>
      </c>
      <c r="F1317" s="53" t="str">
        <f>IF(B1317="","",SUMIF(Transactions!$F$8:$F$3006,B1317,Transactions!$R$8:$R$3006))</f>
        <v/>
      </c>
      <c r="G1317" s="54" t="str">
        <f>IF(B1317="","",(C1317+F1317)-(D1317+E1317+SUMIF(Transactions!$F$8:$F$3006,B1317,Transactions!$Q$8:$Q$3006)))</f>
        <v/>
      </c>
      <c r="H1317" s="55" t="str">
        <f>IF(B1317="","",IF(G1317&gt;0,"OUTSTANDING",IF(G1317=0,"SETTLED",IF(SUMIF(Transactions!$F$8:$F$3006,B1317,Transactions!$Q$8:$Q$3006)&gt;SUMIF(Transactions!$F$8:$F$3006,B1317,Transactions!$R$8:$R$3006),"OWES","OVERPAID"))))</f>
        <v/>
      </c>
      <c r="I1317" s="1"/>
    </row>
    <row r="1318" spans="1:9" ht="18" customHeight="1" x14ac:dyDescent="0.25">
      <c r="A1318" s="40">
        <v>1303</v>
      </c>
      <c r="B1318" s="41" t="str">
        <f t="array" ref="B1318">IFERROR(IF(INDEX(Transactions!$F$8:$F$3006,MATCH(0,COUNTIF($B$11:B1317,Transactions!$F$8:$F$3006),0))="","",INDEX(Transactions!$F$8:$F$3006,MATCH(0,COUNTIF($B$11:B1317,Transactions!$F$8:$F$3006),0))),"")</f>
        <v/>
      </c>
      <c r="C1318" s="42" t="str">
        <f>IF(B1318="","",SUMIF(Transactions!$F$8:$F$3006,B1318,Transactions!$H$8:$H$3006))</f>
        <v/>
      </c>
      <c r="D1318" s="43" t="str">
        <f>IF(B1318="","",SUMIF(Transactions!$F$8:$F$3006,B1318,Transactions!$N$8:$N$3006))</f>
        <v/>
      </c>
      <c r="E1318" s="44" t="str">
        <f>IF(B1318="","",SUMIF(Transactions!$F$8:$F$3006,B1318,Transactions!$O$8:$O$3006))</f>
        <v/>
      </c>
      <c r="F1318" s="45" t="str">
        <f>IF(B1318="","",SUMIF(Transactions!$F$8:$F$3006,B1318,Transactions!$R$8:$R$3006))</f>
        <v/>
      </c>
      <c r="G1318" s="46" t="str">
        <f>IF(B1318="","",(C1318+F1318)-(D1318+E1318+SUMIF(Transactions!$F$8:$F$3006,B1318,Transactions!$Q$8:$Q$3006)))</f>
        <v/>
      </c>
      <c r="H1318" s="47" t="str">
        <f>IF(B1318="","",IF(G1318&gt;0,"OUTSTANDING",IF(G1318=0,"SETTLED",IF(SUMIF(Transactions!$F$8:$F$3006,B1318,Transactions!$Q$8:$Q$3006)&gt;SUMIF(Transactions!$F$8:$F$3006,B1318,Transactions!$R$8:$R$3006),"OWES","OVERPAID"))))</f>
        <v/>
      </c>
      <c r="I1318" s="1"/>
    </row>
    <row r="1319" spans="1:9" ht="18" customHeight="1" x14ac:dyDescent="0.25">
      <c r="A1319" s="48">
        <v>1304</v>
      </c>
      <c r="B1319" s="49" t="str">
        <f t="array" ref="B1319">IFERROR(IF(INDEX(Transactions!$F$8:$F$3006,MATCH(0,COUNTIF($B$11:B1318,Transactions!$F$8:$F$3006),0))="","",INDEX(Transactions!$F$8:$F$3006,MATCH(0,COUNTIF($B$11:B1318,Transactions!$F$8:$F$3006),0))),"")</f>
        <v/>
      </c>
      <c r="C1319" s="50" t="str">
        <f>IF(B1319="","",SUMIF(Transactions!$F$8:$F$3006,B1319,Transactions!$H$8:$H$3006))</f>
        <v/>
      </c>
      <c r="D1319" s="51" t="str">
        <f>IF(B1319="","",SUMIF(Transactions!$F$8:$F$3006,B1319,Transactions!$N$8:$N$3006))</f>
        <v/>
      </c>
      <c r="E1319" s="52" t="str">
        <f>IF(B1319="","",SUMIF(Transactions!$F$8:$F$3006,B1319,Transactions!$O$8:$O$3006))</f>
        <v/>
      </c>
      <c r="F1319" s="53" t="str">
        <f>IF(B1319="","",SUMIF(Transactions!$F$8:$F$3006,B1319,Transactions!$R$8:$R$3006))</f>
        <v/>
      </c>
      <c r="G1319" s="54" t="str">
        <f>IF(B1319="","",(C1319+F1319)-(D1319+E1319+SUMIF(Transactions!$F$8:$F$3006,B1319,Transactions!$Q$8:$Q$3006)))</f>
        <v/>
      </c>
      <c r="H1319" s="55" t="str">
        <f>IF(B1319="","",IF(G1319&gt;0,"OUTSTANDING",IF(G1319=0,"SETTLED",IF(SUMIF(Transactions!$F$8:$F$3006,B1319,Transactions!$Q$8:$Q$3006)&gt;SUMIF(Transactions!$F$8:$F$3006,B1319,Transactions!$R$8:$R$3006),"OWES","OVERPAID"))))</f>
        <v/>
      </c>
      <c r="I1319" s="1"/>
    </row>
    <row r="1320" spans="1:9" ht="18" customHeight="1" x14ac:dyDescent="0.25">
      <c r="A1320" s="40">
        <v>1305</v>
      </c>
      <c r="B1320" s="41" t="str">
        <f t="array" ref="B1320">IFERROR(IF(INDEX(Transactions!$F$8:$F$3006,MATCH(0,COUNTIF($B$11:B1319,Transactions!$F$8:$F$3006),0))="","",INDEX(Transactions!$F$8:$F$3006,MATCH(0,COUNTIF($B$11:B1319,Transactions!$F$8:$F$3006),0))),"")</f>
        <v/>
      </c>
      <c r="C1320" s="42" t="str">
        <f>IF(B1320="","",SUMIF(Transactions!$F$8:$F$3006,B1320,Transactions!$H$8:$H$3006))</f>
        <v/>
      </c>
      <c r="D1320" s="43" t="str">
        <f>IF(B1320="","",SUMIF(Transactions!$F$8:$F$3006,B1320,Transactions!$N$8:$N$3006))</f>
        <v/>
      </c>
      <c r="E1320" s="44" t="str">
        <f>IF(B1320="","",SUMIF(Transactions!$F$8:$F$3006,B1320,Transactions!$O$8:$O$3006))</f>
        <v/>
      </c>
      <c r="F1320" s="45" t="str">
        <f>IF(B1320="","",SUMIF(Transactions!$F$8:$F$3006,B1320,Transactions!$R$8:$R$3006))</f>
        <v/>
      </c>
      <c r="G1320" s="46" t="str">
        <f>IF(B1320="","",(C1320+F1320)-(D1320+E1320+SUMIF(Transactions!$F$8:$F$3006,B1320,Transactions!$Q$8:$Q$3006)))</f>
        <v/>
      </c>
      <c r="H1320" s="47" t="str">
        <f>IF(B1320="","",IF(G1320&gt;0,"OUTSTANDING",IF(G1320=0,"SETTLED",IF(SUMIF(Transactions!$F$8:$F$3006,B1320,Transactions!$Q$8:$Q$3006)&gt;SUMIF(Transactions!$F$8:$F$3006,B1320,Transactions!$R$8:$R$3006),"OWES","OVERPAID"))))</f>
        <v/>
      </c>
      <c r="I1320" s="1"/>
    </row>
    <row r="1321" spans="1:9" ht="18" customHeight="1" x14ac:dyDescent="0.25">
      <c r="A1321" s="48">
        <v>1306</v>
      </c>
      <c r="B1321" s="49" t="str">
        <f t="array" ref="B1321">IFERROR(IF(INDEX(Transactions!$F$8:$F$3006,MATCH(0,COUNTIF($B$11:B1320,Transactions!$F$8:$F$3006),0))="","",INDEX(Transactions!$F$8:$F$3006,MATCH(0,COUNTIF($B$11:B1320,Transactions!$F$8:$F$3006),0))),"")</f>
        <v/>
      </c>
      <c r="C1321" s="50" t="str">
        <f>IF(B1321="","",SUMIF(Transactions!$F$8:$F$3006,B1321,Transactions!$H$8:$H$3006))</f>
        <v/>
      </c>
      <c r="D1321" s="51" t="str">
        <f>IF(B1321="","",SUMIF(Transactions!$F$8:$F$3006,B1321,Transactions!$N$8:$N$3006))</f>
        <v/>
      </c>
      <c r="E1321" s="52" t="str">
        <f>IF(B1321="","",SUMIF(Transactions!$F$8:$F$3006,B1321,Transactions!$O$8:$O$3006))</f>
        <v/>
      </c>
      <c r="F1321" s="53" t="str">
        <f>IF(B1321="","",SUMIF(Transactions!$F$8:$F$3006,B1321,Transactions!$R$8:$R$3006))</f>
        <v/>
      </c>
      <c r="G1321" s="54" t="str">
        <f>IF(B1321="","",(C1321+F1321)-(D1321+E1321+SUMIF(Transactions!$F$8:$F$3006,B1321,Transactions!$Q$8:$Q$3006)))</f>
        <v/>
      </c>
      <c r="H1321" s="55" t="str">
        <f>IF(B1321="","",IF(G1321&gt;0,"OUTSTANDING",IF(G1321=0,"SETTLED",IF(SUMIF(Transactions!$F$8:$F$3006,B1321,Transactions!$Q$8:$Q$3006)&gt;SUMIF(Transactions!$F$8:$F$3006,B1321,Transactions!$R$8:$R$3006),"OWES","OVERPAID"))))</f>
        <v/>
      </c>
      <c r="I1321" s="1"/>
    </row>
    <row r="1322" spans="1:9" ht="18" customHeight="1" x14ac:dyDescent="0.25">
      <c r="A1322" s="40">
        <v>1307</v>
      </c>
      <c r="B1322" s="41" t="str">
        <f t="array" ref="B1322">IFERROR(IF(INDEX(Transactions!$F$8:$F$3006,MATCH(0,COUNTIF($B$11:B1321,Transactions!$F$8:$F$3006),0))="","",INDEX(Transactions!$F$8:$F$3006,MATCH(0,COUNTIF($B$11:B1321,Transactions!$F$8:$F$3006),0))),"")</f>
        <v/>
      </c>
      <c r="C1322" s="42" t="str">
        <f>IF(B1322="","",SUMIF(Transactions!$F$8:$F$3006,B1322,Transactions!$H$8:$H$3006))</f>
        <v/>
      </c>
      <c r="D1322" s="43" t="str">
        <f>IF(B1322="","",SUMIF(Transactions!$F$8:$F$3006,B1322,Transactions!$N$8:$N$3006))</f>
        <v/>
      </c>
      <c r="E1322" s="44" t="str">
        <f>IF(B1322="","",SUMIF(Transactions!$F$8:$F$3006,B1322,Transactions!$O$8:$O$3006))</f>
        <v/>
      </c>
      <c r="F1322" s="45" t="str">
        <f>IF(B1322="","",SUMIF(Transactions!$F$8:$F$3006,B1322,Transactions!$R$8:$R$3006))</f>
        <v/>
      </c>
      <c r="G1322" s="46" t="str">
        <f>IF(B1322="","",(C1322+F1322)-(D1322+E1322+SUMIF(Transactions!$F$8:$F$3006,B1322,Transactions!$Q$8:$Q$3006)))</f>
        <v/>
      </c>
      <c r="H1322" s="47" t="str">
        <f>IF(B1322="","",IF(G1322&gt;0,"OUTSTANDING",IF(G1322=0,"SETTLED",IF(SUMIF(Transactions!$F$8:$F$3006,B1322,Transactions!$Q$8:$Q$3006)&gt;SUMIF(Transactions!$F$8:$F$3006,B1322,Transactions!$R$8:$R$3006),"OWES","OVERPAID"))))</f>
        <v/>
      </c>
      <c r="I1322" s="1"/>
    </row>
    <row r="1323" spans="1:9" ht="18" customHeight="1" x14ac:dyDescent="0.25">
      <c r="A1323" s="48">
        <v>1308</v>
      </c>
      <c r="B1323" s="49" t="str">
        <f t="array" ref="B1323">IFERROR(IF(INDEX(Transactions!$F$8:$F$3006,MATCH(0,COUNTIF($B$11:B1322,Transactions!$F$8:$F$3006),0))="","",INDEX(Transactions!$F$8:$F$3006,MATCH(0,COUNTIF($B$11:B1322,Transactions!$F$8:$F$3006),0))),"")</f>
        <v/>
      </c>
      <c r="C1323" s="50" t="str">
        <f>IF(B1323="","",SUMIF(Transactions!$F$8:$F$3006,B1323,Transactions!$H$8:$H$3006))</f>
        <v/>
      </c>
      <c r="D1323" s="51" t="str">
        <f>IF(B1323="","",SUMIF(Transactions!$F$8:$F$3006,B1323,Transactions!$N$8:$N$3006))</f>
        <v/>
      </c>
      <c r="E1323" s="52" t="str">
        <f>IF(B1323="","",SUMIF(Transactions!$F$8:$F$3006,B1323,Transactions!$O$8:$O$3006))</f>
        <v/>
      </c>
      <c r="F1323" s="53" t="str">
        <f>IF(B1323="","",SUMIF(Transactions!$F$8:$F$3006,B1323,Transactions!$R$8:$R$3006))</f>
        <v/>
      </c>
      <c r="G1323" s="54" t="str">
        <f>IF(B1323="","",(C1323+F1323)-(D1323+E1323+SUMIF(Transactions!$F$8:$F$3006,B1323,Transactions!$Q$8:$Q$3006)))</f>
        <v/>
      </c>
      <c r="H1323" s="55" t="str">
        <f>IF(B1323="","",IF(G1323&gt;0,"OUTSTANDING",IF(G1323=0,"SETTLED",IF(SUMIF(Transactions!$F$8:$F$3006,B1323,Transactions!$Q$8:$Q$3006)&gt;SUMIF(Transactions!$F$8:$F$3006,B1323,Transactions!$R$8:$R$3006),"OWES","OVERPAID"))))</f>
        <v/>
      </c>
      <c r="I1323" s="1"/>
    </row>
    <row r="1324" spans="1:9" ht="18" customHeight="1" x14ac:dyDescent="0.25">
      <c r="A1324" s="40">
        <v>1309</v>
      </c>
      <c r="B1324" s="41" t="str">
        <f t="array" ref="B1324">IFERROR(IF(INDEX(Transactions!$F$8:$F$3006,MATCH(0,COUNTIF($B$11:B1323,Transactions!$F$8:$F$3006),0))="","",INDEX(Transactions!$F$8:$F$3006,MATCH(0,COUNTIF($B$11:B1323,Transactions!$F$8:$F$3006),0))),"")</f>
        <v/>
      </c>
      <c r="C1324" s="42" t="str">
        <f>IF(B1324="","",SUMIF(Transactions!$F$8:$F$3006,B1324,Transactions!$H$8:$H$3006))</f>
        <v/>
      </c>
      <c r="D1324" s="43" t="str">
        <f>IF(B1324="","",SUMIF(Transactions!$F$8:$F$3006,B1324,Transactions!$N$8:$N$3006))</f>
        <v/>
      </c>
      <c r="E1324" s="44" t="str">
        <f>IF(B1324="","",SUMIF(Transactions!$F$8:$F$3006,B1324,Transactions!$O$8:$O$3006))</f>
        <v/>
      </c>
      <c r="F1324" s="45" t="str">
        <f>IF(B1324="","",SUMIF(Transactions!$F$8:$F$3006,B1324,Transactions!$R$8:$R$3006))</f>
        <v/>
      </c>
      <c r="G1324" s="46" t="str">
        <f>IF(B1324="","",(C1324+F1324)-(D1324+E1324+SUMIF(Transactions!$F$8:$F$3006,B1324,Transactions!$Q$8:$Q$3006)))</f>
        <v/>
      </c>
      <c r="H1324" s="47" t="str">
        <f>IF(B1324="","",IF(G1324&gt;0,"OUTSTANDING",IF(G1324=0,"SETTLED",IF(SUMIF(Transactions!$F$8:$F$3006,B1324,Transactions!$Q$8:$Q$3006)&gt;SUMIF(Transactions!$F$8:$F$3006,B1324,Transactions!$R$8:$R$3006),"OWES","OVERPAID"))))</f>
        <v/>
      </c>
      <c r="I1324" s="1"/>
    </row>
    <row r="1325" spans="1:9" ht="18" customHeight="1" x14ac:dyDescent="0.25">
      <c r="A1325" s="48">
        <v>1310</v>
      </c>
      <c r="B1325" s="49" t="str">
        <f t="array" ref="B1325">IFERROR(IF(INDEX(Transactions!$F$8:$F$3006,MATCH(0,COUNTIF($B$11:B1324,Transactions!$F$8:$F$3006),0))="","",INDEX(Transactions!$F$8:$F$3006,MATCH(0,COUNTIF($B$11:B1324,Transactions!$F$8:$F$3006),0))),"")</f>
        <v/>
      </c>
      <c r="C1325" s="50" t="str">
        <f>IF(B1325="","",SUMIF(Transactions!$F$8:$F$3006,B1325,Transactions!$H$8:$H$3006))</f>
        <v/>
      </c>
      <c r="D1325" s="51" t="str">
        <f>IF(B1325="","",SUMIF(Transactions!$F$8:$F$3006,B1325,Transactions!$N$8:$N$3006))</f>
        <v/>
      </c>
      <c r="E1325" s="52" t="str">
        <f>IF(B1325="","",SUMIF(Transactions!$F$8:$F$3006,B1325,Transactions!$O$8:$O$3006))</f>
        <v/>
      </c>
      <c r="F1325" s="53" t="str">
        <f>IF(B1325="","",SUMIF(Transactions!$F$8:$F$3006,B1325,Transactions!$R$8:$R$3006))</f>
        <v/>
      </c>
      <c r="G1325" s="54" t="str">
        <f>IF(B1325="","",(C1325+F1325)-(D1325+E1325+SUMIF(Transactions!$F$8:$F$3006,B1325,Transactions!$Q$8:$Q$3006)))</f>
        <v/>
      </c>
      <c r="H1325" s="55" t="str">
        <f>IF(B1325="","",IF(G1325&gt;0,"OUTSTANDING",IF(G1325=0,"SETTLED",IF(SUMIF(Transactions!$F$8:$F$3006,B1325,Transactions!$Q$8:$Q$3006)&gt;SUMIF(Transactions!$F$8:$F$3006,B1325,Transactions!$R$8:$R$3006),"OWES","OVERPAID"))))</f>
        <v/>
      </c>
      <c r="I1325" s="1"/>
    </row>
    <row r="1326" spans="1:9" ht="18" customHeight="1" x14ac:dyDescent="0.25">
      <c r="A1326" s="40">
        <v>1311</v>
      </c>
      <c r="B1326" s="41" t="str">
        <f t="array" ref="B1326">IFERROR(IF(INDEX(Transactions!$F$8:$F$3006,MATCH(0,COUNTIF($B$11:B1325,Transactions!$F$8:$F$3006),0))="","",INDEX(Transactions!$F$8:$F$3006,MATCH(0,COUNTIF($B$11:B1325,Transactions!$F$8:$F$3006),0))),"")</f>
        <v/>
      </c>
      <c r="C1326" s="42" t="str">
        <f>IF(B1326="","",SUMIF(Transactions!$F$8:$F$3006,B1326,Transactions!$H$8:$H$3006))</f>
        <v/>
      </c>
      <c r="D1326" s="43" t="str">
        <f>IF(B1326="","",SUMIF(Transactions!$F$8:$F$3006,B1326,Transactions!$N$8:$N$3006))</f>
        <v/>
      </c>
      <c r="E1326" s="44" t="str">
        <f>IF(B1326="","",SUMIF(Transactions!$F$8:$F$3006,B1326,Transactions!$O$8:$O$3006))</f>
        <v/>
      </c>
      <c r="F1326" s="45" t="str">
        <f>IF(B1326="","",SUMIF(Transactions!$F$8:$F$3006,B1326,Transactions!$R$8:$R$3006))</f>
        <v/>
      </c>
      <c r="G1326" s="46" t="str">
        <f>IF(B1326="","",(C1326+F1326)-(D1326+E1326+SUMIF(Transactions!$F$8:$F$3006,B1326,Transactions!$Q$8:$Q$3006)))</f>
        <v/>
      </c>
      <c r="H1326" s="47" t="str">
        <f>IF(B1326="","",IF(G1326&gt;0,"OUTSTANDING",IF(G1326=0,"SETTLED",IF(SUMIF(Transactions!$F$8:$F$3006,B1326,Transactions!$Q$8:$Q$3006)&gt;SUMIF(Transactions!$F$8:$F$3006,B1326,Transactions!$R$8:$R$3006),"OWES","OVERPAID"))))</f>
        <v/>
      </c>
      <c r="I1326" s="1"/>
    </row>
    <row r="1327" spans="1:9" ht="18" customHeight="1" x14ac:dyDescent="0.25">
      <c r="A1327" s="48">
        <v>1312</v>
      </c>
      <c r="B1327" s="49" t="str">
        <f t="array" ref="B1327">IFERROR(IF(INDEX(Transactions!$F$8:$F$3006,MATCH(0,COUNTIF($B$11:B1326,Transactions!$F$8:$F$3006),0))="","",INDEX(Transactions!$F$8:$F$3006,MATCH(0,COUNTIF($B$11:B1326,Transactions!$F$8:$F$3006),0))),"")</f>
        <v/>
      </c>
      <c r="C1327" s="50" t="str">
        <f>IF(B1327="","",SUMIF(Transactions!$F$8:$F$3006,B1327,Transactions!$H$8:$H$3006))</f>
        <v/>
      </c>
      <c r="D1327" s="51" t="str">
        <f>IF(B1327="","",SUMIF(Transactions!$F$8:$F$3006,B1327,Transactions!$N$8:$N$3006))</f>
        <v/>
      </c>
      <c r="E1327" s="52" t="str">
        <f>IF(B1327="","",SUMIF(Transactions!$F$8:$F$3006,B1327,Transactions!$O$8:$O$3006))</f>
        <v/>
      </c>
      <c r="F1327" s="53" t="str">
        <f>IF(B1327="","",SUMIF(Transactions!$F$8:$F$3006,B1327,Transactions!$R$8:$R$3006))</f>
        <v/>
      </c>
      <c r="G1327" s="54" t="str">
        <f>IF(B1327="","",(C1327+F1327)-(D1327+E1327+SUMIF(Transactions!$F$8:$F$3006,B1327,Transactions!$Q$8:$Q$3006)))</f>
        <v/>
      </c>
      <c r="H1327" s="55" t="str">
        <f>IF(B1327="","",IF(G1327&gt;0,"OUTSTANDING",IF(G1327=0,"SETTLED",IF(SUMIF(Transactions!$F$8:$F$3006,B1327,Transactions!$Q$8:$Q$3006)&gt;SUMIF(Transactions!$F$8:$F$3006,B1327,Transactions!$R$8:$R$3006),"OWES","OVERPAID"))))</f>
        <v/>
      </c>
      <c r="I1327" s="1"/>
    </row>
    <row r="1328" spans="1:9" ht="18" customHeight="1" x14ac:dyDescent="0.25">
      <c r="A1328" s="40">
        <v>1313</v>
      </c>
      <c r="B1328" s="41" t="str">
        <f t="array" ref="B1328">IFERROR(IF(INDEX(Transactions!$F$8:$F$3006,MATCH(0,COUNTIF($B$11:B1327,Transactions!$F$8:$F$3006),0))="","",INDEX(Transactions!$F$8:$F$3006,MATCH(0,COUNTIF($B$11:B1327,Transactions!$F$8:$F$3006),0))),"")</f>
        <v/>
      </c>
      <c r="C1328" s="42" t="str">
        <f>IF(B1328="","",SUMIF(Transactions!$F$8:$F$3006,B1328,Transactions!$H$8:$H$3006))</f>
        <v/>
      </c>
      <c r="D1328" s="43" t="str">
        <f>IF(B1328="","",SUMIF(Transactions!$F$8:$F$3006,B1328,Transactions!$N$8:$N$3006))</f>
        <v/>
      </c>
      <c r="E1328" s="44" t="str">
        <f>IF(B1328="","",SUMIF(Transactions!$F$8:$F$3006,B1328,Transactions!$O$8:$O$3006))</f>
        <v/>
      </c>
      <c r="F1328" s="45" t="str">
        <f>IF(B1328="","",SUMIF(Transactions!$F$8:$F$3006,B1328,Transactions!$R$8:$R$3006))</f>
        <v/>
      </c>
      <c r="G1328" s="46" t="str">
        <f>IF(B1328="","",(C1328+F1328)-(D1328+E1328+SUMIF(Transactions!$F$8:$F$3006,B1328,Transactions!$Q$8:$Q$3006)))</f>
        <v/>
      </c>
      <c r="H1328" s="47" t="str">
        <f>IF(B1328="","",IF(G1328&gt;0,"OUTSTANDING",IF(G1328=0,"SETTLED",IF(SUMIF(Transactions!$F$8:$F$3006,B1328,Transactions!$Q$8:$Q$3006)&gt;SUMIF(Transactions!$F$8:$F$3006,B1328,Transactions!$R$8:$R$3006),"OWES","OVERPAID"))))</f>
        <v/>
      </c>
      <c r="I1328" s="1"/>
    </row>
    <row r="1329" spans="1:9" ht="18" customHeight="1" x14ac:dyDescent="0.25">
      <c r="A1329" s="48">
        <v>1314</v>
      </c>
      <c r="B1329" s="49" t="str">
        <f t="array" ref="B1329">IFERROR(IF(INDEX(Transactions!$F$8:$F$3006,MATCH(0,COUNTIF($B$11:B1328,Transactions!$F$8:$F$3006),0))="","",INDEX(Transactions!$F$8:$F$3006,MATCH(0,COUNTIF($B$11:B1328,Transactions!$F$8:$F$3006),0))),"")</f>
        <v/>
      </c>
      <c r="C1329" s="50" t="str">
        <f>IF(B1329="","",SUMIF(Transactions!$F$8:$F$3006,B1329,Transactions!$H$8:$H$3006))</f>
        <v/>
      </c>
      <c r="D1329" s="51" t="str">
        <f>IF(B1329="","",SUMIF(Transactions!$F$8:$F$3006,B1329,Transactions!$N$8:$N$3006))</f>
        <v/>
      </c>
      <c r="E1329" s="52" t="str">
        <f>IF(B1329="","",SUMIF(Transactions!$F$8:$F$3006,B1329,Transactions!$O$8:$O$3006))</f>
        <v/>
      </c>
      <c r="F1329" s="53" t="str">
        <f>IF(B1329="","",SUMIF(Transactions!$F$8:$F$3006,B1329,Transactions!$R$8:$R$3006))</f>
        <v/>
      </c>
      <c r="G1329" s="54" t="str">
        <f>IF(B1329="","",(C1329+F1329)-(D1329+E1329+SUMIF(Transactions!$F$8:$F$3006,B1329,Transactions!$Q$8:$Q$3006)))</f>
        <v/>
      </c>
      <c r="H1329" s="55" t="str">
        <f>IF(B1329="","",IF(G1329&gt;0,"OUTSTANDING",IF(G1329=0,"SETTLED",IF(SUMIF(Transactions!$F$8:$F$3006,B1329,Transactions!$Q$8:$Q$3006)&gt;SUMIF(Transactions!$F$8:$F$3006,B1329,Transactions!$R$8:$R$3006),"OWES","OVERPAID"))))</f>
        <v/>
      </c>
      <c r="I1329" s="1"/>
    </row>
    <row r="1330" spans="1:9" ht="18" customHeight="1" x14ac:dyDescent="0.25">
      <c r="A1330" s="40">
        <v>1315</v>
      </c>
      <c r="B1330" s="41" t="str">
        <f t="array" ref="B1330">IFERROR(IF(INDEX(Transactions!$F$8:$F$3006,MATCH(0,COUNTIF($B$11:B1329,Transactions!$F$8:$F$3006),0))="","",INDEX(Transactions!$F$8:$F$3006,MATCH(0,COUNTIF($B$11:B1329,Transactions!$F$8:$F$3006),0))),"")</f>
        <v/>
      </c>
      <c r="C1330" s="42" t="str">
        <f>IF(B1330="","",SUMIF(Transactions!$F$8:$F$3006,B1330,Transactions!$H$8:$H$3006))</f>
        <v/>
      </c>
      <c r="D1330" s="43" t="str">
        <f>IF(B1330="","",SUMIF(Transactions!$F$8:$F$3006,B1330,Transactions!$N$8:$N$3006))</f>
        <v/>
      </c>
      <c r="E1330" s="44" t="str">
        <f>IF(B1330="","",SUMIF(Transactions!$F$8:$F$3006,B1330,Transactions!$O$8:$O$3006))</f>
        <v/>
      </c>
      <c r="F1330" s="45" t="str">
        <f>IF(B1330="","",SUMIF(Transactions!$F$8:$F$3006,B1330,Transactions!$R$8:$R$3006))</f>
        <v/>
      </c>
      <c r="G1330" s="46" t="str">
        <f>IF(B1330="","",(C1330+F1330)-(D1330+E1330+SUMIF(Transactions!$F$8:$F$3006,B1330,Transactions!$Q$8:$Q$3006)))</f>
        <v/>
      </c>
      <c r="H1330" s="47" t="str">
        <f>IF(B1330="","",IF(G1330&gt;0,"OUTSTANDING",IF(G1330=0,"SETTLED",IF(SUMIF(Transactions!$F$8:$F$3006,B1330,Transactions!$Q$8:$Q$3006)&gt;SUMIF(Transactions!$F$8:$F$3006,B1330,Transactions!$R$8:$R$3006),"OWES","OVERPAID"))))</f>
        <v/>
      </c>
      <c r="I1330" s="1"/>
    </row>
    <row r="1331" spans="1:9" ht="18" customHeight="1" x14ac:dyDescent="0.25">
      <c r="A1331" s="48">
        <v>1316</v>
      </c>
      <c r="B1331" s="49" t="str">
        <f t="array" ref="B1331">IFERROR(IF(INDEX(Transactions!$F$8:$F$3006,MATCH(0,COUNTIF($B$11:B1330,Transactions!$F$8:$F$3006),0))="","",INDEX(Transactions!$F$8:$F$3006,MATCH(0,COUNTIF($B$11:B1330,Transactions!$F$8:$F$3006),0))),"")</f>
        <v/>
      </c>
      <c r="C1331" s="50" t="str">
        <f>IF(B1331="","",SUMIF(Transactions!$F$8:$F$3006,B1331,Transactions!$H$8:$H$3006))</f>
        <v/>
      </c>
      <c r="D1331" s="51" t="str">
        <f>IF(B1331="","",SUMIF(Transactions!$F$8:$F$3006,B1331,Transactions!$N$8:$N$3006))</f>
        <v/>
      </c>
      <c r="E1331" s="52" t="str">
        <f>IF(B1331="","",SUMIF(Transactions!$F$8:$F$3006,B1331,Transactions!$O$8:$O$3006))</f>
        <v/>
      </c>
      <c r="F1331" s="53" t="str">
        <f>IF(B1331="","",SUMIF(Transactions!$F$8:$F$3006,B1331,Transactions!$R$8:$R$3006))</f>
        <v/>
      </c>
      <c r="G1331" s="54" t="str">
        <f>IF(B1331="","",(C1331+F1331)-(D1331+E1331+SUMIF(Transactions!$F$8:$F$3006,B1331,Transactions!$Q$8:$Q$3006)))</f>
        <v/>
      </c>
      <c r="H1331" s="55" t="str">
        <f>IF(B1331="","",IF(G1331&gt;0,"OUTSTANDING",IF(G1331=0,"SETTLED",IF(SUMIF(Transactions!$F$8:$F$3006,B1331,Transactions!$Q$8:$Q$3006)&gt;SUMIF(Transactions!$F$8:$F$3006,B1331,Transactions!$R$8:$R$3006),"OWES","OVERPAID"))))</f>
        <v/>
      </c>
      <c r="I1331" s="1"/>
    </row>
    <row r="1332" spans="1:9" ht="18" customHeight="1" x14ac:dyDescent="0.25">
      <c r="A1332" s="40">
        <v>1317</v>
      </c>
      <c r="B1332" s="41" t="str">
        <f t="array" ref="B1332">IFERROR(IF(INDEX(Transactions!$F$8:$F$3006,MATCH(0,COUNTIF($B$11:B1331,Transactions!$F$8:$F$3006),0))="","",INDEX(Transactions!$F$8:$F$3006,MATCH(0,COUNTIF($B$11:B1331,Transactions!$F$8:$F$3006),0))),"")</f>
        <v/>
      </c>
      <c r="C1332" s="42" t="str">
        <f>IF(B1332="","",SUMIF(Transactions!$F$8:$F$3006,B1332,Transactions!$H$8:$H$3006))</f>
        <v/>
      </c>
      <c r="D1332" s="43" t="str">
        <f>IF(B1332="","",SUMIF(Transactions!$F$8:$F$3006,B1332,Transactions!$N$8:$N$3006))</f>
        <v/>
      </c>
      <c r="E1332" s="44" t="str">
        <f>IF(B1332="","",SUMIF(Transactions!$F$8:$F$3006,B1332,Transactions!$O$8:$O$3006))</f>
        <v/>
      </c>
      <c r="F1332" s="45" t="str">
        <f>IF(B1332="","",SUMIF(Transactions!$F$8:$F$3006,B1332,Transactions!$R$8:$R$3006))</f>
        <v/>
      </c>
      <c r="G1332" s="46" t="str">
        <f>IF(B1332="","",(C1332+F1332)-(D1332+E1332+SUMIF(Transactions!$F$8:$F$3006,B1332,Transactions!$Q$8:$Q$3006)))</f>
        <v/>
      </c>
      <c r="H1332" s="47" t="str">
        <f>IF(B1332="","",IF(G1332&gt;0,"OUTSTANDING",IF(G1332=0,"SETTLED",IF(SUMIF(Transactions!$F$8:$F$3006,B1332,Transactions!$Q$8:$Q$3006)&gt;SUMIF(Transactions!$F$8:$F$3006,B1332,Transactions!$R$8:$R$3006),"OWES","OVERPAID"))))</f>
        <v/>
      </c>
      <c r="I1332" s="1"/>
    </row>
    <row r="1333" spans="1:9" ht="18" customHeight="1" x14ac:dyDescent="0.25">
      <c r="A1333" s="48">
        <v>1318</v>
      </c>
      <c r="B1333" s="49" t="str">
        <f t="array" ref="B1333">IFERROR(IF(INDEX(Transactions!$F$8:$F$3006,MATCH(0,COUNTIF($B$11:B1332,Transactions!$F$8:$F$3006),0))="","",INDEX(Transactions!$F$8:$F$3006,MATCH(0,COUNTIF($B$11:B1332,Transactions!$F$8:$F$3006),0))),"")</f>
        <v/>
      </c>
      <c r="C1333" s="50" t="str">
        <f>IF(B1333="","",SUMIF(Transactions!$F$8:$F$3006,B1333,Transactions!$H$8:$H$3006))</f>
        <v/>
      </c>
      <c r="D1333" s="51" t="str">
        <f>IF(B1333="","",SUMIF(Transactions!$F$8:$F$3006,B1333,Transactions!$N$8:$N$3006))</f>
        <v/>
      </c>
      <c r="E1333" s="52" t="str">
        <f>IF(B1333="","",SUMIF(Transactions!$F$8:$F$3006,B1333,Transactions!$O$8:$O$3006))</f>
        <v/>
      </c>
      <c r="F1333" s="53" t="str">
        <f>IF(B1333="","",SUMIF(Transactions!$F$8:$F$3006,B1333,Transactions!$R$8:$R$3006))</f>
        <v/>
      </c>
      <c r="G1333" s="54" t="str">
        <f>IF(B1333="","",(C1333+F1333)-(D1333+E1333+SUMIF(Transactions!$F$8:$F$3006,B1333,Transactions!$Q$8:$Q$3006)))</f>
        <v/>
      </c>
      <c r="H1333" s="55" t="str">
        <f>IF(B1333="","",IF(G1333&gt;0,"OUTSTANDING",IF(G1333=0,"SETTLED",IF(SUMIF(Transactions!$F$8:$F$3006,B1333,Transactions!$Q$8:$Q$3006)&gt;SUMIF(Transactions!$F$8:$F$3006,B1333,Transactions!$R$8:$R$3006),"OWES","OVERPAID"))))</f>
        <v/>
      </c>
      <c r="I1333" s="1"/>
    </row>
    <row r="1334" spans="1:9" ht="18" customHeight="1" x14ac:dyDescent="0.25">
      <c r="A1334" s="40">
        <v>1319</v>
      </c>
      <c r="B1334" s="41" t="str">
        <f t="array" ref="B1334">IFERROR(IF(INDEX(Transactions!$F$8:$F$3006,MATCH(0,COUNTIF($B$11:B1333,Transactions!$F$8:$F$3006),0))="","",INDEX(Transactions!$F$8:$F$3006,MATCH(0,COUNTIF($B$11:B1333,Transactions!$F$8:$F$3006),0))),"")</f>
        <v/>
      </c>
      <c r="C1334" s="42" t="str">
        <f>IF(B1334="","",SUMIF(Transactions!$F$8:$F$3006,B1334,Transactions!$H$8:$H$3006))</f>
        <v/>
      </c>
      <c r="D1334" s="43" t="str">
        <f>IF(B1334="","",SUMIF(Transactions!$F$8:$F$3006,B1334,Transactions!$N$8:$N$3006))</f>
        <v/>
      </c>
      <c r="E1334" s="44" t="str">
        <f>IF(B1334="","",SUMIF(Transactions!$F$8:$F$3006,B1334,Transactions!$O$8:$O$3006))</f>
        <v/>
      </c>
      <c r="F1334" s="45" t="str">
        <f>IF(B1334="","",SUMIF(Transactions!$F$8:$F$3006,B1334,Transactions!$R$8:$R$3006))</f>
        <v/>
      </c>
      <c r="G1334" s="46" t="str">
        <f>IF(B1334="","",(C1334+F1334)-(D1334+E1334+SUMIF(Transactions!$F$8:$F$3006,B1334,Transactions!$Q$8:$Q$3006)))</f>
        <v/>
      </c>
      <c r="H1334" s="47" t="str">
        <f>IF(B1334="","",IF(G1334&gt;0,"OUTSTANDING",IF(G1334=0,"SETTLED",IF(SUMIF(Transactions!$F$8:$F$3006,B1334,Transactions!$Q$8:$Q$3006)&gt;SUMIF(Transactions!$F$8:$F$3006,B1334,Transactions!$R$8:$R$3006),"OWES","OVERPAID"))))</f>
        <v/>
      </c>
      <c r="I1334" s="1"/>
    </row>
    <row r="1335" spans="1:9" ht="18" customHeight="1" x14ac:dyDescent="0.25">
      <c r="A1335" s="48">
        <v>1320</v>
      </c>
      <c r="B1335" s="49" t="str">
        <f t="array" ref="B1335">IFERROR(IF(INDEX(Transactions!$F$8:$F$3006,MATCH(0,COUNTIF($B$11:B1334,Transactions!$F$8:$F$3006),0))="","",INDEX(Transactions!$F$8:$F$3006,MATCH(0,COUNTIF($B$11:B1334,Transactions!$F$8:$F$3006),0))),"")</f>
        <v/>
      </c>
      <c r="C1335" s="50" t="str">
        <f>IF(B1335="","",SUMIF(Transactions!$F$8:$F$3006,B1335,Transactions!$H$8:$H$3006))</f>
        <v/>
      </c>
      <c r="D1335" s="51" t="str">
        <f>IF(B1335="","",SUMIF(Transactions!$F$8:$F$3006,B1335,Transactions!$N$8:$N$3006))</f>
        <v/>
      </c>
      <c r="E1335" s="52" t="str">
        <f>IF(B1335="","",SUMIF(Transactions!$F$8:$F$3006,B1335,Transactions!$O$8:$O$3006))</f>
        <v/>
      </c>
      <c r="F1335" s="53" t="str">
        <f>IF(B1335="","",SUMIF(Transactions!$F$8:$F$3006,B1335,Transactions!$R$8:$R$3006))</f>
        <v/>
      </c>
      <c r="G1335" s="54" t="str">
        <f>IF(B1335="","",(C1335+F1335)-(D1335+E1335+SUMIF(Transactions!$F$8:$F$3006,B1335,Transactions!$Q$8:$Q$3006)))</f>
        <v/>
      </c>
      <c r="H1335" s="55" t="str">
        <f>IF(B1335="","",IF(G1335&gt;0,"OUTSTANDING",IF(G1335=0,"SETTLED",IF(SUMIF(Transactions!$F$8:$F$3006,B1335,Transactions!$Q$8:$Q$3006)&gt;SUMIF(Transactions!$F$8:$F$3006,B1335,Transactions!$R$8:$R$3006),"OWES","OVERPAID"))))</f>
        <v/>
      </c>
      <c r="I1335" s="1"/>
    </row>
    <row r="1336" spans="1:9" ht="18" customHeight="1" x14ac:dyDescent="0.25">
      <c r="A1336" s="40">
        <v>1321</v>
      </c>
      <c r="B1336" s="41" t="str">
        <f t="array" ref="B1336">IFERROR(IF(INDEX(Transactions!$F$8:$F$3006,MATCH(0,COUNTIF($B$11:B1335,Transactions!$F$8:$F$3006),0))="","",INDEX(Transactions!$F$8:$F$3006,MATCH(0,COUNTIF($B$11:B1335,Transactions!$F$8:$F$3006),0))),"")</f>
        <v/>
      </c>
      <c r="C1336" s="42" t="str">
        <f>IF(B1336="","",SUMIF(Transactions!$F$8:$F$3006,B1336,Transactions!$H$8:$H$3006))</f>
        <v/>
      </c>
      <c r="D1336" s="43" t="str">
        <f>IF(B1336="","",SUMIF(Transactions!$F$8:$F$3006,B1336,Transactions!$N$8:$N$3006))</f>
        <v/>
      </c>
      <c r="E1336" s="44" t="str">
        <f>IF(B1336="","",SUMIF(Transactions!$F$8:$F$3006,B1336,Transactions!$O$8:$O$3006))</f>
        <v/>
      </c>
      <c r="F1336" s="45" t="str">
        <f>IF(B1336="","",SUMIF(Transactions!$F$8:$F$3006,B1336,Transactions!$R$8:$R$3006))</f>
        <v/>
      </c>
      <c r="G1336" s="46" t="str">
        <f>IF(B1336="","",(C1336+F1336)-(D1336+E1336+SUMIF(Transactions!$F$8:$F$3006,B1336,Transactions!$Q$8:$Q$3006)))</f>
        <v/>
      </c>
      <c r="H1336" s="47" t="str">
        <f>IF(B1336="","",IF(G1336&gt;0,"OUTSTANDING",IF(G1336=0,"SETTLED",IF(SUMIF(Transactions!$F$8:$F$3006,B1336,Transactions!$Q$8:$Q$3006)&gt;SUMIF(Transactions!$F$8:$F$3006,B1336,Transactions!$R$8:$R$3006),"OWES","OVERPAID"))))</f>
        <v/>
      </c>
      <c r="I1336" s="1"/>
    </row>
    <row r="1337" spans="1:9" ht="18" customHeight="1" x14ac:dyDescent="0.25">
      <c r="A1337" s="48">
        <v>1322</v>
      </c>
      <c r="B1337" s="49" t="str">
        <f t="array" ref="B1337">IFERROR(IF(INDEX(Transactions!$F$8:$F$3006,MATCH(0,COUNTIF($B$11:B1336,Transactions!$F$8:$F$3006),0))="","",INDEX(Transactions!$F$8:$F$3006,MATCH(0,COUNTIF($B$11:B1336,Transactions!$F$8:$F$3006),0))),"")</f>
        <v/>
      </c>
      <c r="C1337" s="50" t="str">
        <f>IF(B1337="","",SUMIF(Transactions!$F$8:$F$3006,B1337,Transactions!$H$8:$H$3006))</f>
        <v/>
      </c>
      <c r="D1337" s="51" t="str">
        <f>IF(B1337="","",SUMIF(Transactions!$F$8:$F$3006,B1337,Transactions!$N$8:$N$3006))</f>
        <v/>
      </c>
      <c r="E1337" s="52" t="str">
        <f>IF(B1337="","",SUMIF(Transactions!$F$8:$F$3006,B1337,Transactions!$O$8:$O$3006))</f>
        <v/>
      </c>
      <c r="F1337" s="53" t="str">
        <f>IF(B1337="","",SUMIF(Transactions!$F$8:$F$3006,B1337,Transactions!$R$8:$R$3006))</f>
        <v/>
      </c>
      <c r="G1337" s="54" t="str">
        <f>IF(B1337="","",(C1337+F1337)-(D1337+E1337+SUMIF(Transactions!$F$8:$F$3006,B1337,Transactions!$Q$8:$Q$3006)))</f>
        <v/>
      </c>
      <c r="H1337" s="55" t="str">
        <f>IF(B1337="","",IF(G1337&gt;0,"OUTSTANDING",IF(G1337=0,"SETTLED",IF(SUMIF(Transactions!$F$8:$F$3006,B1337,Transactions!$Q$8:$Q$3006)&gt;SUMIF(Transactions!$F$8:$F$3006,B1337,Transactions!$R$8:$R$3006),"OWES","OVERPAID"))))</f>
        <v/>
      </c>
      <c r="I1337" s="1"/>
    </row>
    <row r="1338" spans="1:9" ht="18" customHeight="1" x14ac:dyDescent="0.25">
      <c r="A1338" s="40">
        <v>1323</v>
      </c>
      <c r="B1338" s="41" t="str">
        <f t="array" ref="B1338">IFERROR(IF(INDEX(Transactions!$F$8:$F$3006,MATCH(0,COUNTIF($B$11:B1337,Transactions!$F$8:$F$3006),0))="","",INDEX(Transactions!$F$8:$F$3006,MATCH(0,COUNTIF($B$11:B1337,Transactions!$F$8:$F$3006),0))),"")</f>
        <v/>
      </c>
      <c r="C1338" s="42" t="str">
        <f>IF(B1338="","",SUMIF(Transactions!$F$8:$F$3006,B1338,Transactions!$H$8:$H$3006))</f>
        <v/>
      </c>
      <c r="D1338" s="43" t="str">
        <f>IF(B1338="","",SUMIF(Transactions!$F$8:$F$3006,B1338,Transactions!$N$8:$N$3006))</f>
        <v/>
      </c>
      <c r="E1338" s="44" t="str">
        <f>IF(B1338="","",SUMIF(Transactions!$F$8:$F$3006,B1338,Transactions!$O$8:$O$3006))</f>
        <v/>
      </c>
      <c r="F1338" s="45" t="str">
        <f>IF(B1338="","",SUMIF(Transactions!$F$8:$F$3006,B1338,Transactions!$R$8:$R$3006))</f>
        <v/>
      </c>
      <c r="G1338" s="46" t="str">
        <f>IF(B1338="","",(C1338+F1338)-(D1338+E1338+SUMIF(Transactions!$F$8:$F$3006,B1338,Transactions!$Q$8:$Q$3006)))</f>
        <v/>
      </c>
      <c r="H1338" s="47" t="str">
        <f>IF(B1338="","",IF(G1338&gt;0,"OUTSTANDING",IF(G1338=0,"SETTLED",IF(SUMIF(Transactions!$F$8:$F$3006,B1338,Transactions!$Q$8:$Q$3006)&gt;SUMIF(Transactions!$F$8:$F$3006,B1338,Transactions!$R$8:$R$3006),"OWES","OVERPAID"))))</f>
        <v/>
      </c>
      <c r="I1338" s="1"/>
    </row>
    <row r="1339" spans="1:9" ht="18" customHeight="1" x14ac:dyDescent="0.25">
      <c r="A1339" s="48">
        <v>1324</v>
      </c>
      <c r="B1339" s="49" t="str">
        <f t="array" ref="B1339">IFERROR(IF(INDEX(Transactions!$F$8:$F$3006,MATCH(0,COUNTIF($B$11:B1338,Transactions!$F$8:$F$3006),0))="","",INDEX(Transactions!$F$8:$F$3006,MATCH(0,COUNTIF($B$11:B1338,Transactions!$F$8:$F$3006),0))),"")</f>
        <v/>
      </c>
      <c r="C1339" s="50" t="str">
        <f>IF(B1339="","",SUMIF(Transactions!$F$8:$F$3006,B1339,Transactions!$H$8:$H$3006))</f>
        <v/>
      </c>
      <c r="D1339" s="51" t="str">
        <f>IF(B1339="","",SUMIF(Transactions!$F$8:$F$3006,B1339,Transactions!$N$8:$N$3006))</f>
        <v/>
      </c>
      <c r="E1339" s="52" t="str">
        <f>IF(B1339="","",SUMIF(Transactions!$F$8:$F$3006,B1339,Transactions!$O$8:$O$3006))</f>
        <v/>
      </c>
      <c r="F1339" s="53" t="str">
        <f>IF(B1339="","",SUMIF(Transactions!$F$8:$F$3006,B1339,Transactions!$R$8:$R$3006))</f>
        <v/>
      </c>
      <c r="G1339" s="54" t="str">
        <f>IF(B1339="","",(C1339+F1339)-(D1339+E1339+SUMIF(Transactions!$F$8:$F$3006,B1339,Transactions!$Q$8:$Q$3006)))</f>
        <v/>
      </c>
      <c r="H1339" s="55" t="str">
        <f>IF(B1339="","",IF(G1339&gt;0,"OUTSTANDING",IF(G1339=0,"SETTLED",IF(SUMIF(Transactions!$F$8:$F$3006,B1339,Transactions!$Q$8:$Q$3006)&gt;SUMIF(Transactions!$F$8:$F$3006,B1339,Transactions!$R$8:$R$3006),"OWES","OVERPAID"))))</f>
        <v/>
      </c>
      <c r="I1339" s="1"/>
    </row>
    <row r="1340" spans="1:9" ht="18" customHeight="1" x14ac:dyDescent="0.25">
      <c r="A1340" s="40">
        <v>1325</v>
      </c>
      <c r="B1340" s="41" t="str">
        <f t="array" ref="B1340">IFERROR(IF(INDEX(Transactions!$F$8:$F$3006,MATCH(0,COUNTIF($B$11:B1339,Transactions!$F$8:$F$3006),0))="","",INDEX(Transactions!$F$8:$F$3006,MATCH(0,COUNTIF($B$11:B1339,Transactions!$F$8:$F$3006),0))),"")</f>
        <v/>
      </c>
      <c r="C1340" s="42" t="str">
        <f>IF(B1340="","",SUMIF(Transactions!$F$8:$F$3006,B1340,Transactions!$H$8:$H$3006))</f>
        <v/>
      </c>
      <c r="D1340" s="43" t="str">
        <f>IF(B1340="","",SUMIF(Transactions!$F$8:$F$3006,B1340,Transactions!$N$8:$N$3006))</f>
        <v/>
      </c>
      <c r="E1340" s="44" t="str">
        <f>IF(B1340="","",SUMIF(Transactions!$F$8:$F$3006,B1340,Transactions!$O$8:$O$3006))</f>
        <v/>
      </c>
      <c r="F1340" s="45" t="str">
        <f>IF(B1340="","",SUMIF(Transactions!$F$8:$F$3006,B1340,Transactions!$R$8:$R$3006))</f>
        <v/>
      </c>
      <c r="G1340" s="46" t="str">
        <f>IF(B1340="","",(C1340+F1340)-(D1340+E1340+SUMIF(Transactions!$F$8:$F$3006,B1340,Transactions!$Q$8:$Q$3006)))</f>
        <v/>
      </c>
      <c r="H1340" s="47" t="str">
        <f>IF(B1340="","",IF(G1340&gt;0,"OUTSTANDING",IF(G1340=0,"SETTLED",IF(SUMIF(Transactions!$F$8:$F$3006,B1340,Transactions!$Q$8:$Q$3006)&gt;SUMIF(Transactions!$F$8:$F$3006,B1340,Transactions!$R$8:$R$3006),"OWES","OVERPAID"))))</f>
        <v/>
      </c>
      <c r="I1340" s="1"/>
    </row>
    <row r="1341" spans="1:9" ht="18" customHeight="1" x14ac:dyDescent="0.25">
      <c r="A1341" s="48">
        <v>1326</v>
      </c>
      <c r="B1341" s="49" t="str">
        <f t="array" ref="B1341">IFERROR(IF(INDEX(Transactions!$F$8:$F$3006,MATCH(0,COUNTIF($B$11:B1340,Transactions!$F$8:$F$3006),0))="","",INDEX(Transactions!$F$8:$F$3006,MATCH(0,COUNTIF($B$11:B1340,Transactions!$F$8:$F$3006),0))),"")</f>
        <v/>
      </c>
      <c r="C1341" s="50" t="str">
        <f>IF(B1341="","",SUMIF(Transactions!$F$8:$F$3006,B1341,Transactions!$H$8:$H$3006))</f>
        <v/>
      </c>
      <c r="D1341" s="51" t="str">
        <f>IF(B1341="","",SUMIF(Transactions!$F$8:$F$3006,B1341,Transactions!$N$8:$N$3006))</f>
        <v/>
      </c>
      <c r="E1341" s="52" t="str">
        <f>IF(B1341="","",SUMIF(Transactions!$F$8:$F$3006,B1341,Transactions!$O$8:$O$3006))</f>
        <v/>
      </c>
      <c r="F1341" s="53" t="str">
        <f>IF(B1341="","",SUMIF(Transactions!$F$8:$F$3006,B1341,Transactions!$R$8:$R$3006))</f>
        <v/>
      </c>
      <c r="G1341" s="54" t="str">
        <f>IF(B1341="","",(C1341+F1341)-(D1341+E1341+SUMIF(Transactions!$F$8:$F$3006,B1341,Transactions!$Q$8:$Q$3006)))</f>
        <v/>
      </c>
      <c r="H1341" s="55" t="str">
        <f>IF(B1341="","",IF(G1341&gt;0,"OUTSTANDING",IF(G1341=0,"SETTLED",IF(SUMIF(Transactions!$F$8:$F$3006,B1341,Transactions!$Q$8:$Q$3006)&gt;SUMIF(Transactions!$F$8:$F$3006,B1341,Transactions!$R$8:$R$3006),"OWES","OVERPAID"))))</f>
        <v/>
      </c>
      <c r="I1341" s="1"/>
    </row>
    <row r="1342" spans="1:9" ht="18" customHeight="1" x14ac:dyDescent="0.25">
      <c r="A1342" s="40">
        <v>1327</v>
      </c>
      <c r="B1342" s="41" t="str">
        <f t="array" ref="B1342">IFERROR(IF(INDEX(Transactions!$F$8:$F$3006,MATCH(0,COUNTIF($B$11:B1341,Transactions!$F$8:$F$3006),0))="","",INDEX(Transactions!$F$8:$F$3006,MATCH(0,COUNTIF($B$11:B1341,Transactions!$F$8:$F$3006),0))),"")</f>
        <v/>
      </c>
      <c r="C1342" s="42" t="str">
        <f>IF(B1342="","",SUMIF(Transactions!$F$8:$F$3006,B1342,Transactions!$H$8:$H$3006))</f>
        <v/>
      </c>
      <c r="D1342" s="43" t="str">
        <f>IF(B1342="","",SUMIF(Transactions!$F$8:$F$3006,B1342,Transactions!$N$8:$N$3006))</f>
        <v/>
      </c>
      <c r="E1342" s="44" t="str">
        <f>IF(B1342="","",SUMIF(Transactions!$F$8:$F$3006,B1342,Transactions!$O$8:$O$3006))</f>
        <v/>
      </c>
      <c r="F1342" s="45" t="str">
        <f>IF(B1342="","",SUMIF(Transactions!$F$8:$F$3006,B1342,Transactions!$R$8:$R$3006))</f>
        <v/>
      </c>
      <c r="G1342" s="46" t="str">
        <f>IF(B1342="","",(C1342+F1342)-(D1342+E1342+SUMIF(Transactions!$F$8:$F$3006,B1342,Transactions!$Q$8:$Q$3006)))</f>
        <v/>
      </c>
      <c r="H1342" s="47" t="str">
        <f>IF(B1342="","",IF(G1342&gt;0,"OUTSTANDING",IF(G1342=0,"SETTLED",IF(SUMIF(Transactions!$F$8:$F$3006,B1342,Transactions!$Q$8:$Q$3006)&gt;SUMIF(Transactions!$F$8:$F$3006,B1342,Transactions!$R$8:$R$3006),"OWES","OVERPAID"))))</f>
        <v/>
      </c>
      <c r="I1342" s="1"/>
    </row>
    <row r="1343" spans="1:9" ht="18" customHeight="1" x14ac:dyDescent="0.25">
      <c r="A1343" s="48">
        <v>1328</v>
      </c>
      <c r="B1343" s="49" t="str">
        <f t="array" ref="B1343">IFERROR(IF(INDEX(Transactions!$F$8:$F$3006,MATCH(0,COUNTIF($B$11:B1342,Transactions!$F$8:$F$3006),0))="","",INDEX(Transactions!$F$8:$F$3006,MATCH(0,COUNTIF($B$11:B1342,Transactions!$F$8:$F$3006),0))),"")</f>
        <v/>
      </c>
      <c r="C1343" s="50" t="str">
        <f>IF(B1343="","",SUMIF(Transactions!$F$8:$F$3006,B1343,Transactions!$H$8:$H$3006))</f>
        <v/>
      </c>
      <c r="D1343" s="51" t="str">
        <f>IF(B1343="","",SUMIF(Transactions!$F$8:$F$3006,B1343,Transactions!$N$8:$N$3006))</f>
        <v/>
      </c>
      <c r="E1343" s="52" t="str">
        <f>IF(B1343="","",SUMIF(Transactions!$F$8:$F$3006,B1343,Transactions!$O$8:$O$3006))</f>
        <v/>
      </c>
      <c r="F1343" s="53" t="str">
        <f>IF(B1343="","",SUMIF(Transactions!$F$8:$F$3006,B1343,Transactions!$R$8:$R$3006))</f>
        <v/>
      </c>
      <c r="G1343" s="54" t="str">
        <f>IF(B1343="","",(C1343+F1343)-(D1343+E1343+SUMIF(Transactions!$F$8:$F$3006,B1343,Transactions!$Q$8:$Q$3006)))</f>
        <v/>
      </c>
      <c r="H1343" s="55" t="str">
        <f>IF(B1343="","",IF(G1343&gt;0,"OUTSTANDING",IF(G1343=0,"SETTLED",IF(SUMIF(Transactions!$F$8:$F$3006,B1343,Transactions!$Q$8:$Q$3006)&gt;SUMIF(Transactions!$F$8:$F$3006,B1343,Transactions!$R$8:$R$3006),"OWES","OVERPAID"))))</f>
        <v/>
      </c>
      <c r="I1343" s="1"/>
    </row>
    <row r="1344" spans="1:9" ht="18" customHeight="1" x14ac:dyDescent="0.25">
      <c r="A1344" s="40">
        <v>1329</v>
      </c>
      <c r="B1344" s="41" t="str">
        <f t="array" ref="B1344">IFERROR(IF(INDEX(Transactions!$F$8:$F$3006,MATCH(0,COUNTIF($B$11:B1343,Transactions!$F$8:$F$3006),0))="","",INDEX(Transactions!$F$8:$F$3006,MATCH(0,COUNTIF($B$11:B1343,Transactions!$F$8:$F$3006),0))),"")</f>
        <v/>
      </c>
      <c r="C1344" s="42" t="str">
        <f>IF(B1344="","",SUMIF(Transactions!$F$8:$F$3006,B1344,Transactions!$H$8:$H$3006))</f>
        <v/>
      </c>
      <c r="D1344" s="43" t="str">
        <f>IF(B1344="","",SUMIF(Transactions!$F$8:$F$3006,B1344,Transactions!$N$8:$N$3006))</f>
        <v/>
      </c>
      <c r="E1344" s="44" t="str">
        <f>IF(B1344="","",SUMIF(Transactions!$F$8:$F$3006,B1344,Transactions!$O$8:$O$3006))</f>
        <v/>
      </c>
      <c r="F1344" s="45" t="str">
        <f>IF(B1344="","",SUMIF(Transactions!$F$8:$F$3006,B1344,Transactions!$R$8:$R$3006))</f>
        <v/>
      </c>
      <c r="G1344" s="46" t="str">
        <f>IF(B1344="","",(C1344+F1344)-(D1344+E1344+SUMIF(Transactions!$F$8:$F$3006,B1344,Transactions!$Q$8:$Q$3006)))</f>
        <v/>
      </c>
      <c r="H1344" s="47" t="str">
        <f>IF(B1344="","",IF(G1344&gt;0,"OUTSTANDING",IF(G1344=0,"SETTLED",IF(SUMIF(Transactions!$F$8:$F$3006,B1344,Transactions!$Q$8:$Q$3006)&gt;SUMIF(Transactions!$F$8:$F$3006,B1344,Transactions!$R$8:$R$3006),"OWES","OVERPAID"))))</f>
        <v/>
      </c>
      <c r="I1344" s="1"/>
    </row>
    <row r="1345" spans="1:9" ht="18" customHeight="1" x14ac:dyDescent="0.25">
      <c r="A1345" s="48">
        <v>1330</v>
      </c>
      <c r="B1345" s="49" t="str">
        <f t="array" ref="B1345">IFERROR(IF(INDEX(Transactions!$F$8:$F$3006,MATCH(0,COUNTIF($B$11:B1344,Transactions!$F$8:$F$3006),0))="","",INDEX(Transactions!$F$8:$F$3006,MATCH(0,COUNTIF($B$11:B1344,Transactions!$F$8:$F$3006),0))),"")</f>
        <v/>
      </c>
      <c r="C1345" s="50" t="str">
        <f>IF(B1345="","",SUMIF(Transactions!$F$8:$F$3006,B1345,Transactions!$H$8:$H$3006))</f>
        <v/>
      </c>
      <c r="D1345" s="51" t="str">
        <f>IF(B1345="","",SUMIF(Transactions!$F$8:$F$3006,B1345,Transactions!$N$8:$N$3006))</f>
        <v/>
      </c>
      <c r="E1345" s="52" t="str">
        <f>IF(B1345="","",SUMIF(Transactions!$F$8:$F$3006,B1345,Transactions!$O$8:$O$3006))</f>
        <v/>
      </c>
      <c r="F1345" s="53" t="str">
        <f>IF(B1345="","",SUMIF(Transactions!$F$8:$F$3006,B1345,Transactions!$R$8:$R$3006))</f>
        <v/>
      </c>
      <c r="G1345" s="54" t="str">
        <f>IF(B1345="","",(C1345+F1345)-(D1345+E1345+SUMIF(Transactions!$F$8:$F$3006,B1345,Transactions!$Q$8:$Q$3006)))</f>
        <v/>
      </c>
      <c r="H1345" s="55" t="str">
        <f>IF(B1345="","",IF(G1345&gt;0,"OUTSTANDING",IF(G1345=0,"SETTLED",IF(SUMIF(Transactions!$F$8:$F$3006,B1345,Transactions!$Q$8:$Q$3006)&gt;SUMIF(Transactions!$F$8:$F$3006,B1345,Transactions!$R$8:$R$3006),"OWES","OVERPAID"))))</f>
        <v/>
      </c>
      <c r="I1345" s="1"/>
    </row>
    <row r="1346" spans="1:9" ht="18" customHeight="1" x14ac:dyDescent="0.25">
      <c r="A1346" s="40">
        <v>1331</v>
      </c>
      <c r="B1346" s="41" t="str">
        <f t="array" ref="B1346">IFERROR(IF(INDEX(Transactions!$F$8:$F$3006,MATCH(0,COUNTIF($B$11:B1345,Transactions!$F$8:$F$3006),0))="","",INDEX(Transactions!$F$8:$F$3006,MATCH(0,COUNTIF($B$11:B1345,Transactions!$F$8:$F$3006),0))),"")</f>
        <v/>
      </c>
      <c r="C1346" s="42" t="str">
        <f>IF(B1346="","",SUMIF(Transactions!$F$8:$F$3006,B1346,Transactions!$H$8:$H$3006))</f>
        <v/>
      </c>
      <c r="D1346" s="43" t="str">
        <f>IF(B1346="","",SUMIF(Transactions!$F$8:$F$3006,B1346,Transactions!$N$8:$N$3006))</f>
        <v/>
      </c>
      <c r="E1346" s="44" t="str">
        <f>IF(B1346="","",SUMIF(Transactions!$F$8:$F$3006,B1346,Transactions!$O$8:$O$3006))</f>
        <v/>
      </c>
      <c r="F1346" s="45" t="str">
        <f>IF(B1346="","",SUMIF(Transactions!$F$8:$F$3006,B1346,Transactions!$R$8:$R$3006))</f>
        <v/>
      </c>
      <c r="G1346" s="46" t="str">
        <f>IF(B1346="","",(C1346+F1346)-(D1346+E1346+SUMIF(Transactions!$F$8:$F$3006,B1346,Transactions!$Q$8:$Q$3006)))</f>
        <v/>
      </c>
      <c r="H1346" s="47" t="str">
        <f>IF(B1346="","",IF(G1346&gt;0,"OUTSTANDING",IF(G1346=0,"SETTLED",IF(SUMIF(Transactions!$F$8:$F$3006,B1346,Transactions!$Q$8:$Q$3006)&gt;SUMIF(Transactions!$F$8:$F$3006,B1346,Transactions!$R$8:$R$3006),"OWES","OVERPAID"))))</f>
        <v/>
      </c>
      <c r="I1346" s="1"/>
    </row>
    <row r="1347" spans="1:9" ht="18" customHeight="1" x14ac:dyDescent="0.25">
      <c r="A1347" s="48">
        <v>1332</v>
      </c>
      <c r="B1347" s="49" t="str">
        <f t="array" ref="B1347">IFERROR(IF(INDEX(Transactions!$F$8:$F$3006,MATCH(0,COUNTIF($B$11:B1346,Transactions!$F$8:$F$3006),0))="","",INDEX(Transactions!$F$8:$F$3006,MATCH(0,COUNTIF($B$11:B1346,Transactions!$F$8:$F$3006),0))),"")</f>
        <v/>
      </c>
      <c r="C1347" s="50" t="str">
        <f>IF(B1347="","",SUMIF(Transactions!$F$8:$F$3006,B1347,Transactions!$H$8:$H$3006))</f>
        <v/>
      </c>
      <c r="D1347" s="51" t="str">
        <f>IF(B1347="","",SUMIF(Transactions!$F$8:$F$3006,B1347,Transactions!$N$8:$N$3006))</f>
        <v/>
      </c>
      <c r="E1347" s="52" t="str">
        <f>IF(B1347="","",SUMIF(Transactions!$F$8:$F$3006,B1347,Transactions!$O$8:$O$3006))</f>
        <v/>
      </c>
      <c r="F1347" s="53" t="str">
        <f>IF(B1347="","",SUMIF(Transactions!$F$8:$F$3006,B1347,Transactions!$R$8:$R$3006))</f>
        <v/>
      </c>
      <c r="G1347" s="54" t="str">
        <f>IF(B1347="","",(C1347+F1347)-(D1347+E1347+SUMIF(Transactions!$F$8:$F$3006,B1347,Transactions!$Q$8:$Q$3006)))</f>
        <v/>
      </c>
      <c r="H1347" s="55" t="str">
        <f>IF(B1347="","",IF(G1347&gt;0,"OUTSTANDING",IF(G1347=0,"SETTLED",IF(SUMIF(Transactions!$F$8:$F$3006,B1347,Transactions!$Q$8:$Q$3006)&gt;SUMIF(Transactions!$F$8:$F$3006,B1347,Transactions!$R$8:$R$3006),"OWES","OVERPAID"))))</f>
        <v/>
      </c>
      <c r="I1347" s="1"/>
    </row>
    <row r="1348" spans="1:9" ht="18" customHeight="1" x14ac:dyDescent="0.25">
      <c r="A1348" s="40">
        <v>1333</v>
      </c>
      <c r="B1348" s="41" t="str">
        <f t="array" ref="B1348">IFERROR(IF(INDEX(Transactions!$F$8:$F$3006,MATCH(0,COUNTIF($B$11:B1347,Transactions!$F$8:$F$3006),0))="","",INDEX(Transactions!$F$8:$F$3006,MATCH(0,COUNTIF($B$11:B1347,Transactions!$F$8:$F$3006),0))),"")</f>
        <v/>
      </c>
      <c r="C1348" s="42" t="str">
        <f>IF(B1348="","",SUMIF(Transactions!$F$8:$F$3006,B1348,Transactions!$H$8:$H$3006))</f>
        <v/>
      </c>
      <c r="D1348" s="43" t="str">
        <f>IF(B1348="","",SUMIF(Transactions!$F$8:$F$3006,B1348,Transactions!$N$8:$N$3006))</f>
        <v/>
      </c>
      <c r="E1348" s="44" t="str">
        <f>IF(B1348="","",SUMIF(Transactions!$F$8:$F$3006,B1348,Transactions!$O$8:$O$3006))</f>
        <v/>
      </c>
      <c r="F1348" s="45" t="str">
        <f>IF(B1348="","",SUMIF(Transactions!$F$8:$F$3006,B1348,Transactions!$R$8:$R$3006))</f>
        <v/>
      </c>
      <c r="G1348" s="46" t="str">
        <f>IF(B1348="","",(C1348+F1348)-(D1348+E1348+SUMIF(Transactions!$F$8:$F$3006,B1348,Transactions!$Q$8:$Q$3006)))</f>
        <v/>
      </c>
      <c r="H1348" s="47" t="str">
        <f>IF(B1348="","",IF(G1348&gt;0,"OUTSTANDING",IF(G1348=0,"SETTLED",IF(SUMIF(Transactions!$F$8:$F$3006,B1348,Transactions!$Q$8:$Q$3006)&gt;SUMIF(Transactions!$F$8:$F$3006,B1348,Transactions!$R$8:$R$3006),"OWES","OVERPAID"))))</f>
        <v/>
      </c>
      <c r="I1348" s="1"/>
    </row>
    <row r="1349" spans="1:9" ht="18" customHeight="1" x14ac:dyDescent="0.25">
      <c r="A1349" s="48">
        <v>1334</v>
      </c>
      <c r="B1349" s="49" t="str">
        <f t="array" ref="B1349">IFERROR(IF(INDEX(Transactions!$F$8:$F$3006,MATCH(0,COUNTIF($B$11:B1348,Transactions!$F$8:$F$3006),0))="","",INDEX(Transactions!$F$8:$F$3006,MATCH(0,COUNTIF($B$11:B1348,Transactions!$F$8:$F$3006),0))),"")</f>
        <v/>
      </c>
      <c r="C1349" s="50" t="str">
        <f>IF(B1349="","",SUMIF(Transactions!$F$8:$F$3006,B1349,Transactions!$H$8:$H$3006))</f>
        <v/>
      </c>
      <c r="D1349" s="51" t="str">
        <f>IF(B1349="","",SUMIF(Transactions!$F$8:$F$3006,B1349,Transactions!$N$8:$N$3006))</f>
        <v/>
      </c>
      <c r="E1349" s="52" t="str">
        <f>IF(B1349="","",SUMIF(Transactions!$F$8:$F$3006,B1349,Transactions!$O$8:$O$3006))</f>
        <v/>
      </c>
      <c r="F1349" s="53" t="str">
        <f>IF(B1349="","",SUMIF(Transactions!$F$8:$F$3006,B1349,Transactions!$R$8:$R$3006))</f>
        <v/>
      </c>
      <c r="G1349" s="54" t="str">
        <f>IF(B1349="","",(C1349+F1349)-(D1349+E1349+SUMIF(Transactions!$F$8:$F$3006,B1349,Transactions!$Q$8:$Q$3006)))</f>
        <v/>
      </c>
      <c r="H1349" s="55" t="str">
        <f>IF(B1349="","",IF(G1349&gt;0,"OUTSTANDING",IF(G1349=0,"SETTLED",IF(SUMIF(Transactions!$F$8:$F$3006,B1349,Transactions!$Q$8:$Q$3006)&gt;SUMIF(Transactions!$F$8:$F$3006,B1349,Transactions!$R$8:$R$3006),"OWES","OVERPAID"))))</f>
        <v/>
      </c>
      <c r="I1349" s="1"/>
    </row>
    <row r="1350" spans="1:9" ht="18" customHeight="1" x14ac:dyDescent="0.25">
      <c r="A1350" s="40">
        <v>1335</v>
      </c>
      <c r="B1350" s="41" t="str">
        <f t="array" ref="B1350">IFERROR(IF(INDEX(Transactions!$F$8:$F$3006,MATCH(0,COUNTIF($B$11:B1349,Transactions!$F$8:$F$3006),0))="","",INDEX(Transactions!$F$8:$F$3006,MATCH(0,COUNTIF($B$11:B1349,Transactions!$F$8:$F$3006),0))),"")</f>
        <v/>
      </c>
      <c r="C1350" s="42" t="str">
        <f>IF(B1350="","",SUMIF(Transactions!$F$8:$F$3006,B1350,Transactions!$H$8:$H$3006))</f>
        <v/>
      </c>
      <c r="D1350" s="43" t="str">
        <f>IF(B1350="","",SUMIF(Transactions!$F$8:$F$3006,B1350,Transactions!$N$8:$N$3006))</f>
        <v/>
      </c>
      <c r="E1350" s="44" t="str">
        <f>IF(B1350="","",SUMIF(Transactions!$F$8:$F$3006,B1350,Transactions!$O$8:$O$3006))</f>
        <v/>
      </c>
      <c r="F1350" s="45" t="str">
        <f>IF(B1350="","",SUMIF(Transactions!$F$8:$F$3006,B1350,Transactions!$R$8:$R$3006))</f>
        <v/>
      </c>
      <c r="G1350" s="46" t="str">
        <f>IF(B1350="","",(C1350+F1350)-(D1350+E1350+SUMIF(Transactions!$F$8:$F$3006,B1350,Transactions!$Q$8:$Q$3006)))</f>
        <v/>
      </c>
      <c r="H1350" s="47" t="str">
        <f>IF(B1350="","",IF(G1350&gt;0,"OUTSTANDING",IF(G1350=0,"SETTLED",IF(SUMIF(Transactions!$F$8:$F$3006,B1350,Transactions!$Q$8:$Q$3006)&gt;SUMIF(Transactions!$F$8:$F$3006,B1350,Transactions!$R$8:$R$3006),"OWES","OVERPAID"))))</f>
        <v/>
      </c>
      <c r="I1350" s="1"/>
    </row>
    <row r="1351" spans="1:9" ht="18" customHeight="1" x14ac:dyDescent="0.25">
      <c r="A1351" s="48">
        <v>1336</v>
      </c>
      <c r="B1351" s="49" t="str">
        <f t="array" ref="B1351">IFERROR(IF(INDEX(Transactions!$F$8:$F$3006,MATCH(0,COUNTIF($B$11:B1350,Transactions!$F$8:$F$3006),0))="","",INDEX(Transactions!$F$8:$F$3006,MATCH(0,COUNTIF($B$11:B1350,Transactions!$F$8:$F$3006),0))),"")</f>
        <v/>
      </c>
      <c r="C1351" s="50" t="str">
        <f>IF(B1351="","",SUMIF(Transactions!$F$8:$F$3006,B1351,Transactions!$H$8:$H$3006))</f>
        <v/>
      </c>
      <c r="D1351" s="51" t="str">
        <f>IF(B1351="","",SUMIF(Transactions!$F$8:$F$3006,B1351,Transactions!$N$8:$N$3006))</f>
        <v/>
      </c>
      <c r="E1351" s="52" t="str">
        <f>IF(B1351="","",SUMIF(Transactions!$F$8:$F$3006,B1351,Transactions!$O$8:$O$3006))</f>
        <v/>
      </c>
      <c r="F1351" s="53" t="str">
        <f>IF(B1351="","",SUMIF(Transactions!$F$8:$F$3006,B1351,Transactions!$R$8:$R$3006))</f>
        <v/>
      </c>
      <c r="G1351" s="54" t="str">
        <f>IF(B1351="","",(C1351+F1351)-(D1351+E1351+SUMIF(Transactions!$F$8:$F$3006,B1351,Transactions!$Q$8:$Q$3006)))</f>
        <v/>
      </c>
      <c r="H1351" s="55" t="str">
        <f>IF(B1351="","",IF(G1351&gt;0,"OUTSTANDING",IF(G1351=0,"SETTLED",IF(SUMIF(Transactions!$F$8:$F$3006,B1351,Transactions!$Q$8:$Q$3006)&gt;SUMIF(Transactions!$F$8:$F$3006,B1351,Transactions!$R$8:$R$3006),"OWES","OVERPAID"))))</f>
        <v/>
      </c>
      <c r="I1351" s="1"/>
    </row>
    <row r="1352" spans="1:9" ht="18" customHeight="1" x14ac:dyDescent="0.25">
      <c r="A1352" s="40">
        <v>1337</v>
      </c>
      <c r="B1352" s="41" t="str">
        <f t="array" ref="B1352">IFERROR(IF(INDEX(Transactions!$F$8:$F$3006,MATCH(0,COUNTIF($B$11:B1351,Transactions!$F$8:$F$3006),0))="","",INDEX(Transactions!$F$8:$F$3006,MATCH(0,COUNTIF($B$11:B1351,Transactions!$F$8:$F$3006),0))),"")</f>
        <v/>
      </c>
      <c r="C1352" s="42" t="str">
        <f>IF(B1352="","",SUMIF(Transactions!$F$8:$F$3006,B1352,Transactions!$H$8:$H$3006))</f>
        <v/>
      </c>
      <c r="D1352" s="43" t="str">
        <f>IF(B1352="","",SUMIF(Transactions!$F$8:$F$3006,B1352,Transactions!$N$8:$N$3006))</f>
        <v/>
      </c>
      <c r="E1352" s="44" t="str">
        <f>IF(B1352="","",SUMIF(Transactions!$F$8:$F$3006,B1352,Transactions!$O$8:$O$3006))</f>
        <v/>
      </c>
      <c r="F1352" s="45" t="str">
        <f>IF(B1352="","",SUMIF(Transactions!$F$8:$F$3006,B1352,Transactions!$R$8:$R$3006))</f>
        <v/>
      </c>
      <c r="G1352" s="46" t="str">
        <f>IF(B1352="","",(C1352+F1352)-(D1352+E1352+SUMIF(Transactions!$F$8:$F$3006,B1352,Transactions!$Q$8:$Q$3006)))</f>
        <v/>
      </c>
      <c r="H1352" s="47" t="str">
        <f>IF(B1352="","",IF(G1352&gt;0,"OUTSTANDING",IF(G1352=0,"SETTLED",IF(SUMIF(Transactions!$F$8:$F$3006,B1352,Transactions!$Q$8:$Q$3006)&gt;SUMIF(Transactions!$F$8:$F$3006,B1352,Transactions!$R$8:$R$3006),"OWES","OVERPAID"))))</f>
        <v/>
      </c>
      <c r="I1352" s="1"/>
    </row>
    <row r="1353" spans="1:9" ht="18" customHeight="1" x14ac:dyDescent="0.25">
      <c r="A1353" s="48">
        <v>1338</v>
      </c>
      <c r="B1353" s="49" t="str">
        <f t="array" ref="B1353">IFERROR(IF(INDEX(Transactions!$F$8:$F$3006,MATCH(0,COUNTIF($B$11:B1352,Transactions!$F$8:$F$3006),0))="","",INDEX(Transactions!$F$8:$F$3006,MATCH(0,COUNTIF($B$11:B1352,Transactions!$F$8:$F$3006),0))),"")</f>
        <v/>
      </c>
      <c r="C1353" s="50" t="str">
        <f>IF(B1353="","",SUMIF(Transactions!$F$8:$F$3006,B1353,Transactions!$H$8:$H$3006))</f>
        <v/>
      </c>
      <c r="D1353" s="51" t="str">
        <f>IF(B1353="","",SUMIF(Transactions!$F$8:$F$3006,B1353,Transactions!$N$8:$N$3006))</f>
        <v/>
      </c>
      <c r="E1353" s="52" t="str">
        <f>IF(B1353="","",SUMIF(Transactions!$F$8:$F$3006,B1353,Transactions!$O$8:$O$3006))</f>
        <v/>
      </c>
      <c r="F1353" s="53" t="str">
        <f>IF(B1353="","",SUMIF(Transactions!$F$8:$F$3006,B1353,Transactions!$R$8:$R$3006))</f>
        <v/>
      </c>
      <c r="G1353" s="54" t="str">
        <f>IF(B1353="","",(C1353+F1353)-(D1353+E1353+SUMIF(Transactions!$F$8:$F$3006,B1353,Transactions!$Q$8:$Q$3006)))</f>
        <v/>
      </c>
      <c r="H1353" s="55" t="str">
        <f>IF(B1353="","",IF(G1353&gt;0,"OUTSTANDING",IF(G1353=0,"SETTLED",IF(SUMIF(Transactions!$F$8:$F$3006,B1353,Transactions!$Q$8:$Q$3006)&gt;SUMIF(Transactions!$F$8:$F$3006,B1353,Transactions!$R$8:$R$3006),"OWES","OVERPAID"))))</f>
        <v/>
      </c>
      <c r="I1353" s="1"/>
    </row>
    <row r="1354" spans="1:9" ht="18" customHeight="1" x14ac:dyDescent="0.25">
      <c r="A1354" s="40">
        <v>1339</v>
      </c>
      <c r="B1354" s="41" t="str">
        <f t="array" ref="B1354">IFERROR(IF(INDEX(Transactions!$F$8:$F$3006,MATCH(0,COUNTIF($B$11:B1353,Transactions!$F$8:$F$3006),0))="","",INDEX(Transactions!$F$8:$F$3006,MATCH(0,COUNTIF($B$11:B1353,Transactions!$F$8:$F$3006),0))),"")</f>
        <v/>
      </c>
      <c r="C1354" s="42" t="str">
        <f>IF(B1354="","",SUMIF(Transactions!$F$8:$F$3006,B1354,Transactions!$H$8:$H$3006))</f>
        <v/>
      </c>
      <c r="D1354" s="43" t="str">
        <f>IF(B1354="","",SUMIF(Transactions!$F$8:$F$3006,B1354,Transactions!$N$8:$N$3006))</f>
        <v/>
      </c>
      <c r="E1354" s="44" t="str">
        <f>IF(B1354="","",SUMIF(Transactions!$F$8:$F$3006,B1354,Transactions!$O$8:$O$3006))</f>
        <v/>
      </c>
      <c r="F1354" s="45" t="str">
        <f>IF(B1354="","",SUMIF(Transactions!$F$8:$F$3006,B1354,Transactions!$R$8:$R$3006))</f>
        <v/>
      </c>
      <c r="G1354" s="46" t="str">
        <f>IF(B1354="","",(C1354+F1354)-(D1354+E1354+SUMIF(Transactions!$F$8:$F$3006,B1354,Transactions!$Q$8:$Q$3006)))</f>
        <v/>
      </c>
      <c r="H1354" s="47" t="str">
        <f>IF(B1354="","",IF(G1354&gt;0,"OUTSTANDING",IF(G1354=0,"SETTLED",IF(SUMIF(Transactions!$F$8:$F$3006,B1354,Transactions!$Q$8:$Q$3006)&gt;SUMIF(Transactions!$F$8:$F$3006,B1354,Transactions!$R$8:$R$3006),"OWES","OVERPAID"))))</f>
        <v/>
      </c>
      <c r="I1354" s="1"/>
    </row>
    <row r="1355" spans="1:9" ht="18" customHeight="1" x14ac:dyDescent="0.25">
      <c r="A1355" s="48">
        <v>1340</v>
      </c>
      <c r="B1355" s="49" t="str">
        <f t="array" ref="B1355">IFERROR(IF(INDEX(Transactions!$F$8:$F$3006,MATCH(0,COUNTIF($B$11:B1354,Transactions!$F$8:$F$3006),0))="","",INDEX(Transactions!$F$8:$F$3006,MATCH(0,COUNTIF($B$11:B1354,Transactions!$F$8:$F$3006),0))),"")</f>
        <v/>
      </c>
      <c r="C1355" s="50" t="str">
        <f>IF(B1355="","",SUMIF(Transactions!$F$8:$F$3006,B1355,Transactions!$H$8:$H$3006))</f>
        <v/>
      </c>
      <c r="D1355" s="51" t="str">
        <f>IF(B1355="","",SUMIF(Transactions!$F$8:$F$3006,B1355,Transactions!$N$8:$N$3006))</f>
        <v/>
      </c>
      <c r="E1355" s="52" t="str">
        <f>IF(B1355="","",SUMIF(Transactions!$F$8:$F$3006,B1355,Transactions!$O$8:$O$3006))</f>
        <v/>
      </c>
      <c r="F1355" s="53" t="str">
        <f>IF(B1355="","",SUMIF(Transactions!$F$8:$F$3006,B1355,Transactions!$R$8:$R$3006))</f>
        <v/>
      </c>
      <c r="G1355" s="54" t="str">
        <f>IF(B1355="","",(C1355+F1355)-(D1355+E1355+SUMIF(Transactions!$F$8:$F$3006,B1355,Transactions!$Q$8:$Q$3006)))</f>
        <v/>
      </c>
      <c r="H1355" s="55" t="str">
        <f>IF(B1355="","",IF(G1355&gt;0,"OUTSTANDING",IF(G1355=0,"SETTLED",IF(SUMIF(Transactions!$F$8:$F$3006,B1355,Transactions!$Q$8:$Q$3006)&gt;SUMIF(Transactions!$F$8:$F$3006,B1355,Transactions!$R$8:$R$3006),"OWES","OVERPAID"))))</f>
        <v/>
      </c>
      <c r="I1355" s="1"/>
    </row>
    <row r="1356" spans="1:9" ht="18" customHeight="1" x14ac:dyDescent="0.25">
      <c r="A1356" s="40">
        <v>1341</v>
      </c>
      <c r="B1356" s="41" t="str">
        <f t="array" ref="B1356">IFERROR(IF(INDEX(Transactions!$F$8:$F$3006,MATCH(0,COUNTIF($B$11:B1355,Transactions!$F$8:$F$3006),0))="","",INDEX(Transactions!$F$8:$F$3006,MATCH(0,COUNTIF($B$11:B1355,Transactions!$F$8:$F$3006),0))),"")</f>
        <v/>
      </c>
      <c r="C1356" s="42" t="str">
        <f>IF(B1356="","",SUMIF(Transactions!$F$8:$F$3006,B1356,Transactions!$H$8:$H$3006))</f>
        <v/>
      </c>
      <c r="D1356" s="43" t="str">
        <f>IF(B1356="","",SUMIF(Transactions!$F$8:$F$3006,B1356,Transactions!$N$8:$N$3006))</f>
        <v/>
      </c>
      <c r="E1356" s="44" t="str">
        <f>IF(B1356="","",SUMIF(Transactions!$F$8:$F$3006,B1356,Transactions!$O$8:$O$3006))</f>
        <v/>
      </c>
      <c r="F1356" s="45" t="str">
        <f>IF(B1356="","",SUMIF(Transactions!$F$8:$F$3006,B1356,Transactions!$R$8:$R$3006))</f>
        <v/>
      </c>
      <c r="G1356" s="46" t="str">
        <f>IF(B1356="","",(C1356+F1356)-(D1356+E1356+SUMIF(Transactions!$F$8:$F$3006,B1356,Transactions!$Q$8:$Q$3006)))</f>
        <v/>
      </c>
      <c r="H1356" s="47" t="str">
        <f>IF(B1356="","",IF(G1356&gt;0,"OUTSTANDING",IF(G1356=0,"SETTLED",IF(SUMIF(Transactions!$F$8:$F$3006,B1356,Transactions!$Q$8:$Q$3006)&gt;SUMIF(Transactions!$F$8:$F$3006,B1356,Transactions!$R$8:$R$3006),"OWES","OVERPAID"))))</f>
        <v/>
      </c>
      <c r="I1356" s="1"/>
    </row>
    <row r="1357" spans="1:9" ht="18" customHeight="1" x14ac:dyDescent="0.25">
      <c r="A1357" s="48">
        <v>1342</v>
      </c>
      <c r="B1357" s="49" t="str">
        <f t="array" ref="B1357">IFERROR(IF(INDEX(Transactions!$F$8:$F$3006,MATCH(0,COUNTIF($B$11:B1356,Transactions!$F$8:$F$3006),0))="","",INDEX(Transactions!$F$8:$F$3006,MATCH(0,COUNTIF($B$11:B1356,Transactions!$F$8:$F$3006),0))),"")</f>
        <v/>
      </c>
      <c r="C1357" s="50" t="str">
        <f>IF(B1357="","",SUMIF(Transactions!$F$8:$F$3006,B1357,Transactions!$H$8:$H$3006))</f>
        <v/>
      </c>
      <c r="D1357" s="51" t="str">
        <f>IF(B1357="","",SUMIF(Transactions!$F$8:$F$3006,B1357,Transactions!$N$8:$N$3006))</f>
        <v/>
      </c>
      <c r="E1357" s="52" t="str">
        <f>IF(B1357="","",SUMIF(Transactions!$F$8:$F$3006,B1357,Transactions!$O$8:$O$3006))</f>
        <v/>
      </c>
      <c r="F1357" s="53" t="str">
        <f>IF(B1357="","",SUMIF(Transactions!$F$8:$F$3006,B1357,Transactions!$R$8:$R$3006))</f>
        <v/>
      </c>
      <c r="G1357" s="54" t="str">
        <f>IF(B1357="","",(C1357+F1357)-(D1357+E1357+SUMIF(Transactions!$F$8:$F$3006,B1357,Transactions!$Q$8:$Q$3006)))</f>
        <v/>
      </c>
      <c r="H1357" s="55" t="str">
        <f>IF(B1357="","",IF(G1357&gt;0,"OUTSTANDING",IF(G1357=0,"SETTLED",IF(SUMIF(Transactions!$F$8:$F$3006,B1357,Transactions!$Q$8:$Q$3006)&gt;SUMIF(Transactions!$F$8:$F$3006,B1357,Transactions!$R$8:$R$3006),"OWES","OVERPAID"))))</f>
        <v/>
      </c>
      <c r="I1357" s="1"/>
    </row>
    <row r="1358" spans="1:9" ht="18" customHeight="1" x14ac:dyDescent="0.25">
      <c r="A1358" s="40">
        <v>1343</v>
      </c>
      <c r="B1358" s="41" t="str">
        <f t="array" ref="B1358">IFERROR(IF(INDEX(Transactions!$F$8:$F$3006,MATCH(0,COUNTIF($B$11:B1357,Transactions!$F$8:$F$3006),0))="","",INDEX(Transactions!$F$8:$F$3006,MATCH(0,COUNTIF($B$11:B1357,Transactions!$F$8:$F$3006),0))),"")</f>
        <v/>
      </c>
      <c r="C1358" s="42" t="str">
        <f>IF(B1358="","",SUMIF(Transactions!$F$8:$F$3006,B1358,Transactions!$H$8:$H$3006))</f>
        <v/>
      </c>
      <c r="D1358" s="43" t="str">
        <f>IF(B1358="","",SUMIF(Transactions!$F$8:$F$3006,B1358,Transactions!$N$8:$N$3006))</f>
        <v/>
      </c>
      <c r="E1358" s="44" t="str">
        <f>IF(B1358="","",SUMIF(Transactions!$F$8:$F$3006,B1358,Transactions!$O$8:$O$3006))</f>
        <v/>
      </c>
      <c r="F1358" s="45" t="str">
        <f>IF(B1358="","",SUMIF(Transactions!$F$8:$F$3006,B1358,Transactions!$R$8:$R$3006))</f>
        <v/>
      </c>
      <c r="G1358" s="46" t="str">
        <f>IF(B1358="","",(C1358+F1358)-(D1358+E1358+SUMIF(Transactions!$F$8:$F$3006,B1358,Transactions!$Q$8:$Q$3006)))</f>
        <v/>
      </c>
      <c r="H1358" s="47" t="str">
        <f>IF(B1358="","",IF(G1358&gt;0,"OUTSTANDING",IF(G1358=0,"SETTLED",IF(SUMIF(Transactions!$F$8:$F$3006,B1358,Transactions!$Q$8:$Q$3006)&gt;SUMIF(Transactions!$F$8:$F$3006,B1358,Transactions!$R$8:$R$3006),"OWES","OVERPAID"))))</f>
        <v/>
      </c>
      <c r="I1358" s="1"/>
    </row>
    <row r="1359" spans="1:9" ht="18" customHeight="1" x14ac:dyDescent="0.25">
      <c r="A1359" s="48">
        <v>1344</v>
      </c>
      <c r="B1359" s="49" t="str">
        <f t="array" ref="B1359">IFERROR(IF(INDEX(Transactions!$F$8:$F$3006,MATCH(0,COUNTIF($B$11:B1358,Transactions!$F$8:$F$3006),0))="","",INDEX(Transactions!$F$8:$F$3006,MATCH(0,COUNTIF($B$11:B1358,Transactions!$F$8:$F$3006),0))),"")</f>
        <v/>
      </c>
      <c r="C1359" s="50" t="str">
        <f>IF(B1359="","",SUMIF(Transactions!$F$8:$F$3006,B1359,Transactions!$H$8:$H$3006))</f>
        <v/>
      </c>
      <c r="D1359" s="51" t="str">
        <f>IF(B1359="","",SUMIF(Transactions!$F$8:$F$3006,B1359,Transactions!$N$8:$N$3006))</f>
        <v/>
      </c>
      <c r="E1359" s="52" t="str">
        <f>IF(B1359="","",SUMIF(Transactions!$F$8:$F$3006,B1359,Transactions!$O$8:$O$3006))</f>
        <v/>
      </c>
      <c r="F1359" s="53" t="str">
        <f>IF(B1359="","",SUMIF(Transactions!$F$8:$F$3006,B1359,Transactions!$R$8:$R$3006))</f>
        <v/>
      </c>
      <c r="G1359" s="54" t="str">
        <f>IF(B1359="","",(C1359+F1359)-(D1359+E1359+SUMIF(Transactions!$F$8:$F$3006,B1359,Transactions!$Q$8:$Q$3006)))</f>
        <v/>
      </c>
      <c r="H1359" s="55" t="str">
        <f>IF(B1359="","",IF(G1359&gt;0,"OUTSTANDING",IF(G1359=0,"SETTLED",IF(SUMIF(Transactions!$F$8:$F$3006,B1359,Transactions!$Q$8:$Q$3006)&gt;SUMIF(Transactions!$F$8:$F$3006,B1359,Transactions!$R$8:$R$3006),"OWES","OVERPAID"))))</f>
        <v/>
      </c>
      <c r="I1359" s="1"/>
    </row>
    <row r="1360" spans="1:9" ht="18" customHeight="1" x14ac:dyDescent="0.25">
      <c r="A1360" s="40">
        <v>1345</v>
      </c>
      <c r="B1360" s="41" t="str">
        <f t="array" ref="B1360">IFERROR(IF(INDEX(Transactions!$F$8:$F$3006,MATCH(0,COUNTIF($B$11:B1359,Transactions!$F$8:$F$3006),0))="","",INDEX(Transactions!$F$8:$F$3006,MATCH(0,COUNTIF($B$11:B1359,Transactions!$F$8:$F$3006),0))),"")</f>
        <v/>
      </c>
      <c r="C1360" s="42" t="str">
        <f>IF(B1360="","",SUMIF(Transactions!$F$8:$F$3006,B1360,Transactions!$H$8:$H$3006))</f>
        <v/>
      </c>
      <c r="D1360" s="43" t="str">
        <f>IF(B1360="","",SUMIF(Transactions!$F$8:$F$3006,B1360,Transactions!$N$8:$N$3006))</f>
        <v/>
      </c>
      <c r="E1360" s="44" t="str">
        <f>IF(B1360="","",SUMIF(Transactions!$F$8:$F$3006,B1360,Transactions!$O$8:$O$3006))</f>
        <v/>
      </c>
      <c r="F1360" s="45" t="str">
        <f>IF(B1360="","",SUMIF(Transactions!$F$8:$F$3006,B1360,Transactions!$R$8:$R$3006))</f>
        <v/>
      </c>
      <c r="G1360" s="46" t="str">
        <f>IF(B1360="","",(C1360+F1360)-(D1360+E1360+SUMIF(Transactions!$F$8:$F$3006,B1360,Transactions!$Q$8:$Q$3006)))</f>
        <v/>
      </c>
      <c r="H1360" s="47" t="str">
        <f>IF(B1360="","",IF(G1360&gt;0,"OUTSTANDING",IF(G1360=0,"SETTLED",IF(SUMIF(Transactions!$F$8:$F$3006,B1360,Transactions!$Q$8:$Q$3006)&gt;SUMIF(Transactions!$F$8:$F$3006,B1360,Transactions!$R$8:$R$3006),"OWES","OVERPAID"))))</f>
        <v/>
      </c>
      <c r="I1360" s="1"/>
    </row>
    <row r="1361" spans="1:9" ht="18" customHeight="1" x14ac:dyDescent="0.25">
      <c r="A1361" s="48">
        <v>1346</v>
      </c>
      <c r="B1361" s="49" t="str">
        <f t="array" ref="B1361">IFERROR(IF(INDEX(Transactions!$F$8:$F$3006,MATCH(0,COUNTIF($B$11:B1360,Transactions!$F$8:$F$3006),0))="","",INDEX(Transactions!$F$8:$F$3006,MATCH(0,COUNTIF($B$11:B1360,Transactions!$F$8:$F$3006),0))),"")</f>
        <v/>
      </c>
      <c r="C1361" s="50" t="str">
        <f>IF(B1361="","",SUMIF(Transactions!$F$8:$F$3006,B1361,Transactions!$H$8:$H$3006))</f>
        <v/>
      </c>
      <c r="D1361" s="51" t="str">
        <f>IF(B1361="","",SUMIF(Transactions!$F$8:$F$3006,B1361,Transactions!$N$8:$N$3006))</f>
        <v/>
      </c>
      <c r="E1361" s="52" t="str">
        <f>IF(B1361="","",SUMIF(Transactions!$F$8:$F$3006,B1361,Transactions!$O$8:$O$3006))</f>
        <v/>
      </c>
      <c r="F1361" s="53" t="str">
        <f>IF(B1361="","",SUMIF(Transactions!$F$8:$F$3006,B1361,Transactions!$R$8:$R$3006))</f>
        <v/>
      </c>
      <c r="G1361" s="54" t="str">
        <f>IF(B1361="","",(C1361+F1361)-(D1361+E1361+SUMIF(Transactions!$F$8:$F$3006,B1361,Transactions!$Q$8:$Q$3006)))</f>
        <v/>
      </c>
      <c r="H1361" s="55" t="str">
        <f>IF(B1361="","",IF(G1361&gt;0,"OUTSTANDING",IF(G1361=0,"SETTLED",IF(SUMIF(Transactions!$F$8:$F$3006,B1361,Transactions!$Q$8:$Q$3006)&gt;SUMIF(Transactions!$F$8:$F$3006,B1361,Transactions!$R$8:$R$3006),"OWES","OVERPAID"))))</f>
        <v/>
      </c>
      <c r="I1361" s="1"/>
    </row>
    <row r="1362" spans="1:9" ht="18" customHeight="1" x14ac:dyDescent="0.25">
      <c r="A1362" s="40">
        <v>1347</v>
      </c>
      <c r="B1362" s="41" t="str">
        <f t="array" ref="B1362">IFERROR(IF(INDEX(Transactions!$F$8:$F$3006,MATCH(0,COUNTIF($B$11:B1361,Transactions!$F$8:$F$3006),0))="","",INDEX(Transactions!$F$8:$F$3006,MATCH(0,COUNTIF($B$11:B1361,Transactions!$F$8:$F$3006),0))),"")</f>
        <v/>
      </c>
      <c r="C1362" s="42" t="str">
        <f>IF(B1362="","",SUMIF(Transactions!$F$8:$F$3006,B1362,Transactions!$H$8:$H$3006))</f>
        <v/>
      </c>
      <c r="D1362" s="43" t="str">
        <f>IF(B1362="","",SUMIF(Transactions!$F$8:$F$3006,B1362,Transactions!$N$8:$N$3006))</f>
        <v/>
      </c>
      <c r="E1362" s="44" t="str">
        <f>IF(B1362="","",SUMIF(Transactions!$F$8:$F$3006,B1362,Transactions!$O$8:$O$3006))</f>
        <v/>
      </c>
      <c r="F1362" s="45" t="str">
        <f>IF(B1362="","",SUMIF(Transactions!$F$8:$F$3006,B1362,Transactions!$R$8:$R$3006))</f>
        <v/>
      </c>
      <c r="G1362" s="46" t="str">
        <f>IF(B1362="","",(C1362+F1362)-(D1362+E1362+SUMIF(Transactions!$F$8:$F$3006,B1362,Transactions!$Q$8:$Q$3006)))</f>
        <v/>
      </c>
      <c r="H1362" s="47" t="str">
        <f>IF(B1362="","",IF(G1362&gt;0,"OUTSTANDING",IF(G1362=0,"SETTLED",IF(SUMIF(Transactions!$F$8:$F$3006,B1362,Transactions!$Q$8:$Q$3006)&gt;SUMIF(Transactions!$F$8:$F$3006,B1362,Transactions!$R$8:$R$3006),"OWES","OVERPAID"))))</f>
        <v/>
      </c>
      <c r="I1362" s="1"/>
    </row>
    <row r="1363" spans="1:9" ht="18" customHeight="1" x14ac:dyDescent="0.25">
      <c r="A1363" s="48">
        <v>1348</v>
      </c>
      <c r="B1363" s="49" t="str">
        <f t="array" ref="B1363">IFERROR(IF(INDEX(Transactions!$F$8:$F$3006,MATCH(0,COUNTIF($B$11:B1362,Transactions!$F$8:$F$3006),0))="","",INDEX(Transactions!$F$8:$F$3006,MATCH(0,COUNTIF($B$11:B1362,Transactions!$F$8:$F$3006),0))),"")</f>
        <v/>
      </c>
      <c r="C1363" s="50" t="str">
        <f>IF(B1363="","",SUMIF(Transactions!$F$8:$F$3006,B1363,Transactions!$H$8:$H$3006))</f>
        <v/>
      </c>
      <c r="D1363" s="51" t="str">
        <f>IF(B1363="","",SUMIF(Transactions!$F$8:$F$3006,B1363,Transactions!$N$8:$N$3006))</f>
        <v/>
      </c>
      <c r="E1363" s="52" t="str">
        <f>IF(B1363="","",SUMIF(Transactions!$F$8:$F$3006,B1363,Transactions!$O$8:$O$3006))</f>
        <v/>
      </c>
      <c r="F1363" s="53" t="str">
        <f>IF(B1363="","",SUMIF(Transactions!$F$8:$F$3006,B1363,Transactions!$R$8:$R$3006))</f>
        <v/>
      </c>
      <c r="G1363" s="54" t="str">
        <f>IF(B1363="","",(C1363+F1363)-(D1363+E1363+SUMIF(Transactions!$F$8:$F$3006,B1363,Transactions!$Q$8:$Q$3006)))</f>
        <v/>
      </c>
      <c r="H1363" s="55" t="str">
        <f>IF(B1363="","",IF(G1363&gt;0,"OUTSTANDING",IF(G1363=0,"SETTLED",IF(SUMIF(Transactions!$F$8:$F$3006,B1363,Transactions!$Q$8:$Q$3006)&gt;SUMIF(Transactions!$F$8:$F$3006,B1363,Transactions!$R$8:$R$3006),"OWES","OVERPAID"))))</f>
        <v/>
      </c>
      <c r="I1363" s="1"/>
    </row>
    <row r="1364" spans="1:9" ht="18" customHeight="1" x14ac:dyDescent="0.25">
      <c r="A1364" s="40">
        <v>1349</v>
      </c>
      <c r="B1364" s="41" t="str">
        <f t="array" ref="B1364">IFERROR(IF(INDEX(Transactions!$F$8:$F$3006,MATCH(0,COUNTIF($B$11:B1363,Transactions!$F$8:$F$3006),0))="","",INDEX(Transactions!$F$8:$F$3006,MATCH(0,COUNTIF($B$11:B1363,Transactions!$F$8:$F$3006),0))),"")</f>
        <v/>
      </c>
      <c r="C1364" s="42" t="str">
        <f>IF(B1364="","",SUMIF(Transactions!$F$8:$F$3006,B1364,Transactions!$H$8:$H$3006))</f>
        <v/>
      </c>
      <c r="D1364" s="43" t="str">
        <f>IF(B1364="","",SUMIF(Transactions!$F$8:$F$3006,B1364,Transactions!$N$8:$N$3006))</f>
        <v/>
      </c>
      <c r="E1364" s="44" t="str">
        <f>IF(B1364="","",SUMIF(Transactions!$F$8:$F$3006,B1364,Transactions!$O$8:$O$3006))</f>
        <v/>
      </c>
      <c r="F1364" s="45" t="str">
        <f>IF(B1364="","",SUMIF(Transactions!$F$8:$F$3006,B1364,Transactions!$R$8:$R$3006))</f>
        <v/>
      </c>
      <c r="G1364" s="46" t="str">
        <f>IF(B1364="","",(C1364+F1364)-(D1364+E1364+SUMIF(Transactions!$F$8:$F$3006,B1364,Transactions!$Q$8:$Q$3006)))</f>
        <v/>
      </c>
      <c r="H1364" s="47" t="str">
        <f>IF(B1364="","",IF(G1364&gt;0,"OUTSTANDING",IF(G1364=0,"SETTLED",IF(SUMIF(Transactions!$F$8:$F$3006,B1364,Transactions!$Q$8:$Q$3006)&gt;SUMIF(Transactions!$F$8:$F$3006,B1364,Transactions!$R$8:$R$3006),"OWES","OVERPAID"))))</f>
        <v/>
      </c>
      <c r="I1364" s="1"/>
    </row>
    <row r="1365" spans="1:9" ht="18" customHeight="1" x14ac:dyDescent="0.25">
      <c r="A1365" s="48">
        <v>1350</v>
      </c>
      <c r="B1365" s="49" t="str">
        <f t="array" ref="B1365">IFERROR(IF(INDEX(Transactions!$F$8:$F$3006,MATCH(0,COUNTIF($B$11:B1364,Transactions!$F$8:$F$3006),0))="","",INDEX(Transactions!$F$8:$F$3006,MATCH(0,COUNTIF($B$11:B1364,Transactions!$F$8:$F$3006),0))),"")</f>
        <v/>
      </c>
      <c r="C1365" s="50" t="str">
        <f>IF(B1365="","",SUMIF(Transactions!$F$8:$F$3006,B1365,Transactions!$H$8:$H$3006))</f>
        <v/>
      </c>
      <c r="D1365" s="51" t="str">
        <f>IF(B1365="","",SUMIF(Transactions!$F$8:$F$3006,B1365,Transactions!$N$8:$N$3006))</f>
        <v/>
      </c>
      <c r="E1365" s="52" t="str">
        <f>IF(B1365="","",SUMIF(Transactions!$F$8:$F$3006,B1365,Transactions!$O$8:$O$3006))</f>
        <v/>
      </c>
      <c r="F1365" s="53" t="str">
        <f>IF(B1365="","",SUMIF(Transactions!$F$8:$F$3006,B1365,Transactions!$R$8:$R$3006))</f>
        <v/>
      </c>
      <c r="G1365" s="54" t="str">
        <f>IF(B1365="","",(C1365+F1365)-(D1365+E1365+SUMIF(Transactions!$F$8:$F$3006,B1365,Transactions!$Q$8:$Q$3006)))</f>
        <v/>
      </c>
      <c r="H1365" s="55" t="str">
        <f>IF(B1365="","",IF(G1365&gt;0,"OUTSTANDING",IF(G1365=0,"SETTLED",IF(SUMIF(Transactions!$F$8:$F$3006,B1365,Transactions!$Q$8:$Q$3006)&gt;SUMIF(Transactions!$F$8:$F$3006,B1365,Transactions!$R$8:$R$3006),"OWES","OVERPAID"))))</f>
        <v/>
      </c>
      <c r="I1365" s="1"/>
    </row>
    <row r="1366" spans="1:9" ht="18" customHeight="1" x14ac:dyDescent="0.25">
      <c r="A1366" s="40">
        <v>1351</v>
      </c>
      <c r="B1366" s="41" t="str">
        <f t="array" ref="B1366">IFERROR(IF(INDEX(Transactions!$F$8:$F$3006,MATCH(0,COUNTIF($B$11:B1365,Transactions!$F$8:$F$3006),0))="","",INDEX(Transactions!$F$8:$F$3006,MATCH(0,COUNTIF($B$11:B1365,Transactions!$F$8:$F$3006),0))),"")</f>
        <v/>
      </c>
      <c r="C1366" s="42" t="str">
        <f>IF(B1366="","",SUMIF(Transactions!$F$8:$F$3006,B1366,Transactions!$H$8:$H$3006))</f>
        <v/>
      </c>
      <c r="D1366" s="43" t="str">
        <f>IF(B1366="","",SUMIF(Transactions!$F$8:$F$3006,B1366,Transactions!$N$8:$N$3006))</f>
        <v/>
      </c>
      <c r="E1366" s="44" t="str">
        <f>IF(B1366="","",SUMIF(Transactions!$F$8:$F$3006,B1366,Transactions!$O$8:$O$3006))</f>
        <v/>
      </c>
      <c r="F1366" s="45" t="str">
        <f>IF(B1366="","",SUMIF(Transactions!$F$8:$F$3006,B1366,Transactions!$R$8:$R$3006))</f>
        <v/>
      </c>
      <c r="G1366" s="46" t="str">
        <f>IF(B1366="","",(C1366+F1366)-(D1366+E1366+SUMIF(Transactions!$F$8:$F$3006,B1366,Transactions!$Q$8:$Q$3006)))</f>
        <v/>
      </c>
      <c r="H1366" s="47" t="str">
        <f>IF(B1366="","",IF(G1366&gt;0,"OUTSTANDING",IF(G1366=0,"SETTLED",IF(SUMIF(Transactions!$F$8:$F$3006,B1366,Transactions!$Q$8:$Q$3006)&gt;SUMIF(Transactions!$F$8:$F$3006,B1366,Transactions!$R$8:$R$3006),"OWES","OVERPAID"))))</f>
        <v/>
      </c>
      <c r="I1366" s="1"/>
    </row>
    <row r="1367" spans="1:9" ht="18" customHeight="1" x14ac:dyDescent="0.25">
      <c r="A1367" s="48">
        <v>1352</v>
      </c>
      <c r="B1367" s="49" t="str">
        <f t="array" ref="B1367">IFERROR(IF(INDEX(Transactions!$F$8:$F$3006,MATCH(0,COUNTIF($B$11:B1366,Transactions!$F$8:$F$3006),0))="","",INDEX(Transactions!$F$8:$F$3006,MATCH(0,COUNTIF($B$11:B1366,Transactions!$F$8:$F$3006),0))),"")</f>
        <v/>
      </c>
      <c r="C1367" s="50" t="str">
        <f>IF(B1367="","",SUMIF(Transactions!$F$8:$F$3006,B1367,Transactions!$H$8:$H$3006))</f>
        <v/>
      </c>
      <c r="D1367" s="51" t="str">
        <f>IF(B1367="","",SUMIF(Transactions!$F$8:$F$3006,B1367,Transactions!$N$8:$N$3006))</f>
        <v/>
      </c>
      <c r="E1367" s="52" t="str">
        <f>IF(B1367="","",SUMIF(Transactions!$F$8:$F$3006,B1367,Transactions!$O$8:$O$3006))</f>
        <v/>
      </c>
      <c r="F1367" s="53" t="str">
        <f>IF(B1367="","",SUMIF(Transactions!$F$8:$F$3006,B1367,Transactions!$R$8:$R$3006))</f>
        <v/>
      </c>
      <c r="G1367" s="54" t="str">
        <f>IF(B1367="","",(C1367+F1367)-(D1367+E1367+SUMIF(Transactions!$F$8:$F$3006,B1367,Transactions!$Q$8:$Q$3006)))</f>
        <v/>
      </c>
      <c r="H1367" s="55" t="str">
        <f>IF(B1367="","",IF(G1367&gt;0,"OUTSTANDING",IF(G1367=0,"SETTLED",IF(SUMIF(Transactions!$F$8:$F$3006,B1367,Transactions!$Q$8:$Q$3006)&gt;SUMIF(Transactions!$F$8:$F$3006,B1367,Transactions!$R$8:$R$3006),"OWES","OVERPAID"))))</f>
        <v/>
      </c>
      <c r="I1367" s="1"/>
    </row>
    <row r="1368" spans="1:9" ht="18" customHeight="1" x14ac:dyDescent="0.25">
      <c r="A1368" s="40">
        <v>1353</v>
      </c>
      <c r="B1368" s="41" t="str">
        <f t="array" ref="B1368">IFERROR(IF(INDEX(Transactions!$F$8:$F$3006,MATCH(0,COUNTIF($B$11:B1367,Transactions!$F$8:$F$3006),0))="","",INDEX(Transactions!$F$8:$F$3006,MATCH(0,COUNTIF($B$11:B1367,Transactions!$F$8:$F$3006),0))),"")</f>
        <v/>
      </c>
      <c r="C1368" s="42" t="str">
        <f>IF(B1368="","",SUMIF(Transactions!$F$8:$F$3006,B1368,Transactions!$H$8:$H$3006))</f>
        <v/>
      </c>
      <c r="D1368" s="43" t="str">
        <f>IF(B1368="","",SUMIF(Transactions!$F$8:$F$3006,B1368,Transactions!$N$8:$N$3006))</f>
        <v/>
      </c>
      <c r="E1368" s="44" t="str">
        <f>IF(B1368="","",SUMIF(Transactions!$F$8:$F$3006,B1368,Transactions!$O$8:$O$3006))</f>
        <v/>
      </c>
      <c r="F1368" s="45" t="str">
        <f>IF(B1368="","",SUMIF(Transactions!$F$8:$F$3006,B1368,Transactions!$R$8:$R$3006))</f>
        <v/>
      </c>
      <c r="G1368" s="46" t="str">
        <f>IF(B1368="","",(C1368+F1368)-(D1368+E1368+SUMIF(Transactions!$F$8:$F$3006,B1368,Transactions!$Q$8:$Q$3006)))</f>
        <v/>
      </c>
      <c r="H1368" s="47" t="str">
        <f>IF(B1368="","",IF(G1368&gt;0,"OUTSTANDING",IF(G1368=0,"SETTLED",IF(SUMIF(Transactions!$F$8:$F$3006,B1368,Transactions!$Q$8:$Q$3006)&gt;SUMIF(Transactions!$F$8:$F$3006,B1368,Transactions!$R$8:$R$3006),"OWES","OVERPAID"))))</f>
        <v/>
      </c>
      <c r="I1368" s="1"/>
    </row>
    <row r="1369" spans="1:9" ht="18" customHeight="1" x14ac:dyDescent="0.25">
      <c r="A1369" s="48">
        <v>1354</v>
      </c>
      <c r="B1369" s="49" t="str">
        <f t="array" ref="B1369">IFERROR(IF(INDEX(Transactions!$F$8:$F$3006,MATCH(0,COUNTIF($B$11:B1368,Transactions!$F$8:$F$3006),0))="","",INDEX(Transactions!$F$8:$F$3006,MATCH(0,COUNTIF($B$11:B1368,Transactions!$F$8:$F$3006),0))),"")</f>
        <v/>
      </c>
      <c r="C1369" s="50" t="str">
        <f>IF(B1369="","",SUMIF(Transactions!$F$8:$F$3006,B1369,Transactions!$H$8:$H$3006))</f>
        <v/>
      </c>
      <c r="D1369" s="51" t="str">
        <f>IF(B1369="","",SUMIF(Transactions!$F$8:$F$3006,B1369,Transactions!$N$8:$N$3006))</f>
        <v/>
      </c>
      <c r="E1369" s="52" t="str">
        <f>IF(B1369="","",SUMIF(Transactions!$F$8:$F$3006,B1369,Transactions!$O$8:$O$3006))</f>
        <v/>
      </c>
      <c r="F1369" s="53" t="str">
        <f>IF(B1369="","",SUMIF(Transactions!$F$8:$F$3006,B1369,Transactions!$R$8:$R$3006))</f>
        <v/>
      </c>
      <c r="G1369" s="54" t="str">
        <f>IF(B1369="","",(C1369+F1369)-(D1369+E1369+SUMIF(Transactions!$F$8:$F$3006,B1369,Transactions!$Q$8:$Q$3006)))</f>
        <v/>
      </c>
      <c r="H1369" s="55" t="str">
        <f>IF(B1369="","",IF(G1369&gt;0,"OUTSTANDING",IF(G1369=0,"SETTLED",IF(SUMIF(Transactions!$F$8:$F$3006,B1369,Transactions!$Q$8:$Q$3006)&gt;SUMIF(Transactions!$F$8:$F$3006,B1369,Transactions!$R$8:$R$3006),"OWES","OVERPAID"))))</f>
        <v/>
      </c>
      <c r="I1369" s="1"/>
    </row>
    <row r="1370" spans="1:9" ht="18" customHeight="1" x14ac:dyDescent="0.25">
      <c r="A1370" s="40">
        <v>1355</v>
      </c>
      <c r="B1370" s="41" t="str">
        <f t="array" ref="B1370">IFERROR(IF(INDEX(Transactions!$F$8:$F$3006,MATCH(0,COUNTIF($B$11:B1369,Transactions!$F$8:$F$3006),0))="","",INDEX(Transactions!$F$8:$F$3006,MATCH(0,COUNTIF($B$11:B1369,Transactions!$F$8:$F$3006),0))),"")</f>
        <v/>
      </c>
      <c r="C1370" s="42" t="str">
        <f>IF(B1370="","",SUMIF(Transactions!$F$8:$F$3006,B1370,Transactions!$H$8:$H$3006))</f>
        <v/>
      </c>
      <c r="D1370" s="43" t="str">
        <f>IF(B1370="","",SUMIF(Transactions!$F$8:$F$3006,B1370,Transactions!$N$8:$N$3006))</f>
        <v/>
      </c>
      <c r="E1370" s="44" t="str">
        <f>IF(B1370="","",SUMIF(Transactions!$F$8:$F$3006,B1370,Transactions!$O$8:$O$3006))</f>
        <v/>
      </c>
      <c r="F1370" s="45" t="str">
        <f>IF(B1370="","",SUMIF(Transactions!$F$8:$F$3006,B1370,Transactions!$R$8:$R$3006))</f>
        <v/>
      </c>
      <c r="G1370" s="46" t="str">
        <f>IF(B1370="","",(C1370+F1370)-(D1370+E1370+SUMIF(Transactions!$F$8:$F$3006,B1370,Transactions!$Q$8:$Q$3006)))</f>
        <v/>
      </c>
      <c r="H1370" s="47" t="str">
        <f>IF(B1370="","",IF(G1370&gt;0,"OUTSTANDING",IF(G1370=0,"SETTLED",IF(SUMIF(Transactions!$F$8:$F$3006,B1370,Transactions!$Q$8:$Q$3006)&gt;SUMIF(Transactions!$F$8:$F$3006,B1370,Transactions!$R$8:$R$3006),"OWES","OVERPAID"))))</f>
        <v/>
      </c>
      <c r="I1370" s="1"/>
    </row>
    <row r="1371" spans="1:9" ht="18" customHeight="1" x14ac:dyDescent="0.25">
      <c r="A1371" s="48">
        <v>1356</v>
      </c>
      <c r="B1371" s="49" t="str">
        <f t="array" ref="B1371">IFERROR(IF(INDEX(Transactions!$F$8:$F$3006,MATCH(0,COUNTIF($B$11:B1370,Transactions!$F$8:$F$3006),0))="","",INDEX(Transactions!$F$8:$F$3006,MATCH(0,COUNTIF($B$11:B1370,Transactions!$F$8:$F$3006),0))),"")</f>
        <v/>
      </c>
      <c r="C1371" s="50" t="str">
        <f>IF(B1371="","",SUMIF(Transactions!$F$8:$F$3006,B1371,Transactions!$H$8:$H$3006))</f>
        <v/>
      </c>
      <c r="D1371" s="51" t="str">
        <f>IF(B1371="","",SUMIF(Transactions!$F$8:$F$3006,B1371,Transactions!$N$8:$N$3006))</f>
        <v/>
      </c>
      <c r="E1371" s="52" t="str">
        <f>IF(B1371="","",SUMIF(Transactions!$F$8:$F$3006,B1371,Transactions!$O$8:$O$3006))</f>
        <v/>
      </c>
      <c r="F1371" s="53" t="str">
        <f>IF(B1371="","",SUMIF(Transactions!$F$8:$F$3006,B1371,Transactions!$R$8:$R$3006))</f>
        <v/>
      </c>
      <c r="G1371" s="54" t="str">
        <f>IF(B1371="","",(C1371+F1371)-(D1371+E1371+SUMIF(Transactions!$F$8:$F$3006,B1371,Transactions!$Q$8:$Q$3006)))</f>
        <v/>
      </c>
      <c r="H1371" s="55" t="str">
        <f>IF(B1371="","",IF(G1371&gt;0,"OUTSTANDING",IF(G1371=0,"SETTLED",IF(SUMIF(Transactions!$F$8:$F$3006,B1371,Transactions!$Q$8:$Q$3006)&gt;SUMIF(Transactions!$F$8:$F$3006,B1371,Transactions!$R$8:$R$3006),"OWES","OVERPAID"))))</f>
        <v/>
      </c>
      <c r="I1371" s="1"/>
    </row>
    <row r="1372" spans="1:9" ht="18" customHeight="1" x14ac:dyDescent="0.25">
      <c r="A1372" s="40">
        <v>1357</v>
      </c>
      <c r="B1372" s="41" t="str">
        <f t="array" ref="B1372">IFERROR(IF(INDEX(Transactions!$F$8:$F$3006,MATCH(0,COUNTIF($B$11:B1371,Transactions!$F$8:$F$3006),0))="","",INDEX(Transactions!$F$8:$F$3006,MATCH(0,COUNTIF($B$11:B1371,Transactions!$F$8:$F$3006),0))),"")</f>
        <v/>
      </c>
      <c r="C1372" s="42" t="str">
        <f>IF(B1372="","",SUMIF(Transactions!$F$8:$F$3006,B1372,Transactions!$H$8:$H$3006))</f>
        <v/>
      </c>
      <c r="D1372" s="43" t="str">
        <f>IF(B1372="","",SUMIF(Transactions!$F$8:$F$3006,B1372,Transactions!$N$8:$N$3006))</f>
        <v/>
      </c>
      <c r="E1372" s="44" t="str">
        <f>IF(B1372="","",SUMIF(Transactions!$F$8:$F$3006,B1372,Transactions!$O$8:$O$3006))</f>
        <v/>
      </c>
      <c r="F1372" s="45" t="str">
        <f>IF(B1372="","",SUMIF(Transactions!$F$8:$F$3006,B1372,Transactions!$R$8:$R$3006))</f>
        <v/>
      </c>
      <c r="G1372" s="46" t="str">
        <f>IF(B1372="","",(C1372+F1372)-(D1372+E1372+SUMIF(Transactions!$F$8:$F$3006,B1372,Transactions!$Q$8:$Q$3006)))</f>
        <v/>
      </c>
      <c r="H1372" s="47" t="str">
        <f>IF(B1372="","",IF(G1372&gt;0,"OUTSTANDING",IF(G1372=0,"SETTLED",IF(SUMIF(Transactions!$F$8:$F$3006,B1372,Transactions!$Q$8:$Q$3006)&gt;SUMIF(Transactions!$F$8:$F$3006,B1372,Transactions!$R$8:$R$3006),"OWES","OVERPAID"))))</f>
        <v/>
      </c>
      <c r="I1372" s="1"/>
    </row>
    <row r="1373" spans="1:9" ht="18" customHeight="1" x14ac:dyDescent="0.25">
      <c r="A1373" s="48">
        <v>1358</v>
      </c>
      <c r="B1373" s="49" t="str">
        <f t="array" ref="B1373">IFERROR(IF(INDEX(Transactions!$F$8:$F$3006,MATCH(0,COUNTIF($B$11:B1372,Transactions!$F$8:$F$3006),0))="","",INDEX(Transactions!$F$8:$F$3006,MATCH(0,COUNTIF($B$11:B1372,Transactions!$F$8:$F$3006),0))),"")</f>
        <v/>
      </c>
      <c r="C1373" s="50" t="str">
        <f>IF(B1373="","",SUMIF(Transactions!$F$8:$F$3006,B1373,Transactions!$H$8:$H$3006))</f>
        <v/>
      </c>
      <c r="D1373" s="51" t="str">
        <f>IF(B1373="","",SUMIF(Transactions!$F$8:$F$3006,B1373,Transactions!$N$8:$N$3006))</f>
        <v/>
      </c>
      <c r="E1373" s="52" t="str">
        <f>IF(B1373="","",SUMIF(Transactions!$F$8:$F$3006,B1373,Transactions!$O$8:$O$3006))</f>
        <v/>
      </c>
      <c r="F1373" s="53" t="str">
        <f>IF(B1373="","",SUMIF(Transactions!$F$8:$F$3006,B1373,Transactions!$R$8:$R$3006))</f>
        <v/>
      </c>
      <c r="G1373" s="54" t="str">
        <f>IF(B1373="","",(C1373+F1373)-(D1373+E1373+SUMIF(Transactions!$F$8:$F$3006,B1373,Transactions!$Q$8:$Q$3006)))</f>
        <v/>
      </c>
      <c r="H1373" s="55" t="str">
        <f>IF(B1373="","",IF(G1373&gt;0,"OUTSTANDING",IF(G1373=0,"SETTLED",IF(SUMIF(Transactions!$F$8:$F$3006,B1373,Transactions!$Q$8:$Q$3006)&gt;SUMIF(Transactions!$F$8:$F$3006,B1373,Transactions!$R$8:$R$3006),"OWES","OVERPAID"))))</f>
        <v/>
      </c>
      <c r="I1373" s="1"/>
    </row>
    <row r="1374" spans="1:9" ht="18" customHeight="1" x14ac:dyDescent="0.25">
      <c r="A1374" s="40">
        <v>1359</v>
      </c>
      <c r="B1374" s="41" t="str">
        <f t="array" ref="B1374">IFERROR(IF(INDEX(Transactions!$F$8:$F$3006,MATCH(0,COUNTIF($B$11:B1373,Transactions!$F$8:$F$3006),0))="","",INDEX(Transactions!$F$8:$F$3006,MATCH(0,COUNTIF($B$11:B1373,Transactions!$F$8:$F$3006),0))),"")</f>
        <v/>
      </c>
      <c r="C1374" s="42" t="str">
        <f>IF(B1374="","",SUMIF(Transactions!$F$8:$F$3006,B1374,Transactions!$H$8:$H$3006))</f>
        <v/>
      </c>
      <c r="D1374" s="43" t="str">
        <f>IF(B1374="","",SUMIF(Transactions!$F$8:$F$3006,B1374,Transactions!$N$8:$N$3006))</f>
        <v/>
      </c>
      <c r="E1374" s="44" t="str">
        <f>IF(B1374="","",SUMIF(Transactions!$F$8:$F$3006,B1374,Transactions!$O$8:$O$3006))</f>
        <v/>
      </c>
      <c r="F1374" s="45" t="str">
        <f>IF(B1374="","",SUMIF(Transactions!$F$8:$F$3006,B1374,Transactions!$R$8:$R$3006))</f>
        <v/>
      </c>
      <c r="G1374" s="46" t="str">
        <f>IF(B1374="","",(C1374+F1374)-(D1374+E1374+SUMIF(Transactions!$F$8:$F$3006,B1374,Transactions!$Q$8:$Q$3006)))</f>
        <v/>
      </c>
      <c r="H1374" s="47" t="str">
        <f>IF(B1374="","",IF(G1374&gt;0,"OUTSTANDING",IF(G1374=0,"SETTLED",IF(SUMIF(Transactions!$F$8:$F$3006,B1374,Transactions!$Q$8:$Q$3006)&gt;SUMIF(Transactions!$F$8:$F$3006,B1374,Transactions!$R$8:$R$3006),"OWES","OVERPAID"))))</f>
        <v/>
      </c>
      <c r="I1374" s="1"/>
    </row>
    <row r="1375" spans="1:9" ht="18" customHeight="1" x14ac:dyDescent="0.25">
      <c r="A1375" s="48">
        <v>1360</v>
      </c>
      <c r="B1375" s="49" t="str">
        <f t="array" ref="B1375">IFERROR(IF(INDEX(Transactions!$F$8:$F$3006,MATCH(0,COUNTIF($B$11:B1374,Transactions!$F$8:$F$3006),0))="","",INDEX(Transactions!$F$8:$F$3006,MATCH(0,COUNTIF($B$11:B1374,Transactions!$F$8:$F$3006),0))),"")</f>
        <v/>
      </c>
      <c r="C1375" s="50" t="str">
        <f>IF(B1375="","",SUMIF(Transactions!$F$8:$F$3006,B1375,Transactions!$H$8:$H$3006))</f>
        <v/>
      </c>
      <c r="D1375" s="51" t="str">
        <f>IF(B1375="","",SUMIF(Transactions!$F$8:$F$3006,B1375,Transactions!$N$8:$N$3006))</f>
        <v/>
      </c>
      <c r="E1375" s="52" t="str">
        <f>IF(B1375="","",SUMIF(Transactions!$F$8:$F$3006,B1375,Transactions!$O$8:$O$3006))</f>
        <v/>
      </c>
      <c r="F1375" s="53" t="str">
        <f>IF(B1375="","",SUMIF(Transactions!$F$8:$F$3006,B1375,Transactions!$R$8:$R$3006))</f>
        <v/>
      </c>
      <c r="G1375" s="54" t="str">
        <f>IF(B1375="","",(C1375+F1375)-(D1375+E1375+SUMIF(Transactions!$F$8:$F$3006,B1375,Transactions!$Q$8:$Q$3006)))</f>
        <v/>
      </c>
      <c r="H1375" s="55" t="str">
        <f>IF(B1375="","",IF(G1375&gt;0,"OUTSTANDING",IF(G1375=0,"SETTLED",IF(SUMIF(Transactions!$F$8:$F$3006,B1375,Transactions!$Q$8:$Q$3006)&gt;SUMIF(Transactions!$F$8:$F$3006,B1375,Transactions!$R$8:$R$3006),"OWES","OVERPAID"))))</f>
        <v/>
      </c>
      <c r="I1375" s="1"/>
    </row>
    <row r="1376" spans="1:9" ht="18" customHeight="1" x14ac:dyDescent="0.25">
      <c r="A1376" s="40">
        <v>1361</v>
      </c>
      <c r="B1376" s="41" t="str">
        <f t="array" ref="B1376">IFERROR(IF(INDEX(Transactions!$F$8:$F$3006,MATCH(0,COUNTIF($B$11:B1375,Transactions!$F$8:$F$3006),0))="","",INDEX(Transactions!$F$8:$F$3006,MATCH(0,COUNTIF($B$11:B1375,Transactions!$F$8:$F$3006),0))),"")</f>
        <v/>
      </c>
      <c r="C1376" s="42" t="str">
        <f>IF(B1376="","",SUMIF(Transactions!$F$8:$F$3006,B1376,Transactions!$H$8:$H$3006))</f>
        <v/>
      </c>
      <c r="D1376" s="43" t="str">
        <f>IF(B1376="","",SUMIF(Transactions!$F$8:$F$3006,B1376,Transactions!$N$8:$N$3006))</f>
        <v/>
      </c>
      <c r="E1376" s="44" t="str">
        <f>IF(B1376="","",SUMIF(Transactions!$F$8:$F$3006,B1376,Transactions!$O$8:$O$3006))</f>
        <v/>
      </c>
      <c r="F1376" s="45" t="str">
        <f>IF(B1376="","",SUMIF(Transactions!$F$8:$F$3006,B1376,Transactions!$R$8:$R$3006))</f>
        <v/>
      </c>
      <c r="G1376" s="46" t="str">
        <f>IF(B1376="","",(C1376+F1376)-(D1376+E1376+SUMIF(Transactions!$F$8:$F$3006,B1376,Transactions!$Q$8:$Q$3006)))</f>
        <v/>
      </c>
      <c r="H1376" s="47" t="str">
        <f>IF(B1376="","",IF(G1376&gt;0,"OUTSTANDING",IF(G1376=0,"SETTLED",IF(SUMIF(Transactions!$F$8:$F$3006,B1376,Transactions!$Q$8:$Q$3006)&gt;SUMIF(Transactions!$F$8:$F$3006,B1376,Transactions!$R$8:$R$3006),"OWES","OVERPAID"))))</f>
        <v/>
      </c>
      <c r="I1376" s="1"/>
    </row>
    <row r="1377" spans="1:9" ht="18" customHeight="1" x14ac:dyDescent="0.25">
      <c r="A1377" s="48">
        <v>1362</v>
      </c>
      <c r="B1377" s="49" t="str">
        <f t="array" ref="B1377">IFERROR(IF(INDEX(Transactions!$F$8:$F$3006,MATCH(0,COUNTIF($B$11:B1376,Transactions!$F$8:$F$3006),0))="","",INDEX(Transactions!$F$8:$F$3006,MATCH(0,COUNTIF($B$11:B1376,Transactions!$F$8:$F$3006),0))),"")</f>
        <v/>
      </c>
      <c r="C1377" s="50" t="str">
        <f>IF(B1377="","",SUMIF(Transactions!$F$8:$F$3006,B1377,Transactions!$H$8:$H$3006))</f>
        <v/>
      </c>
      <c r="D1377" s="51" t="str">
        <f>IF(B1377="","",SUMIF(Transactions!$F$8:$F$3006,B1377,Transactions!$N$8:$N$3006))</f>
        <v/>
      </c>
      <c r="E1377" s="52" t="str">
        <f>IF(B1377="","",SUMIF(Transactions!$F$8:$F$3006,B1377,Transactions!$O$8:$O$3006))</f>
        <v/>
      </c>
      <c r="F1377" s="53" t="str">
        <f>IF(B1377="","",SUMIF(Transactions!$F$8:$F$3006,B1377,Transactions!$R$8:$R$3006))</f>
        <v/>
      </c>
      <c r="G1377" s="54" t="str">
        <f>IF(B1377="","",(C1377+F1377)-(D1377+E1377+SUMIF(Transactions!$F$8:$F$3006,B1377,Transactions!$Q$8:$Q$3006)))</f>
        <v/>
      </c>
      <c r="H1377" s="55" t="str">
        <f>IF(B1377="","",IF(G1377&gt;0,"OUTSTANDING",IF(G1377=0,"SETTLED",IF(SUMIF(Transactions!$F$8:$F$3006,B1377,Transactions!$Q$8:$Q$3006)&gt;SUMIF(Transactions!$F$8:$F$3006,B1377,Transactions!$R$8:$R$3006),"OWES","OVERPAID"))))</f>
        <v/>
      </c>
      <c r="I1377" s="1"/>
    </row>
    <row r="1378" spans="1:9" ht="18" customHeight="1" x14ac:dyDescent="0.25">
      <c r="A1378" s="40">
        <v>1363</v>
      </c>
      <c r="B1378" s="41" t="str">
        <f t="array" ref="B1378">IFERROR(IF(INDEX(Transactions!$F$8:$F$3006,MATCH(0,COUNTIF($B$11:B1377,Transactions!$F$8:$F$3006),0))="","",INDEX(Transactions!$F$8:$F$3006,MATCH(0,COUNTIF($B$11:B1377,Transactions!$F$8:$F$3006),0))),"")</f>
        <v/>
      </c>
      <c r="C1378" s="42" t="str">
        <f>IF(B1378="","",SUMIF(Transactions!$F$8:$F$3006,B1378,Transactions!$H$8:$H$3006))</f>
        <v/>
      </c>
      <c r="D1378" s="43" t="str">
        <f>IF(B1378="","",SUMIF(Transactions!$F$8:$F$3006,B1378,Transactions!$N$8:$N$3006))</f>
        <v/>
      </c>
      <c r="E1378" s="44" t="str">
        <f>IF(B1378="","",SUMIF(Transactions!$F$8:$F$3006,B1378,Transactions!$O$8:$O$3006))</f>
        <v/>
      </c>
      <c r="F1378" s="45" t="str">
        <f>IF(B1378="","",SUMIF(Transactions!$F$8:$F$3006,B1378,Transactions!$R$8:$R$3006))</f>
        <v/>
      </c>
      <c r="G1378" s="46" t="str">
        <f>IF(B1378="","",(C1378+F1378)-(D1378+E1378+SUMIF(Transactions!$F$8:$F$3006,B1378,Transactions!$Q$8:$Q$3006)))</f>
        <v/>
      </c>
      <c r="H1378" s="47" t="str">
        <f>IF(B1378="","",IF(G1378&gt;0,"OUTSTANDING",IF(G1378=0,"SETTLED",IF(SUMIF(Transactions!$F$8:$F$3006,B1378,Transactions!$Q$8:$Q$3006)&gt;SUMIF(Transactions!$F$8:$F$3006,B1378,Transactions!$R$8:$R$3006),"OWES","OVERPAID"))))</f>
        <v/>
      </c>
      <c r="I1378" s="1"/>
    </row>
    <row r="1379" spans="1:9" ht="18" customHeight="1" x14ac:dyDescent="0.25">
      <c r="A1379" s="48">
        <v>1364</v>
      </c>
      <c r="B1379" s="49" t="str">
        <f t="array" ref="B1379">IFERROR(IF(INDEX(Transactions!$F$8:$F$3006,MATCH(0,COUNTIF($B$11:B1378,Transactions!$F$8:$F$3006),0))="","",INDEX(Transactions!$F$8:$F$3006,MATCH(0,COUNTIF($B$11:B1378,Transactions!$F$8:$F$3006),0))),"")</f>
        <v/>
      </c>
      <c r="C1379" s="50" t="str">
        <f>IF(B1379="","",SUMIF(Transactions!$F$8:$F$3006,B1379,Transactions!$H$8:$H$3006))</f>
        <v/>
      </c>
      <c r="D1379" s="51" t="str">
        <f>IF(B1379="","",SUMIF(Transactions!$F$8:$F$3006,B1379,Transactions!$N$8:$N$3006))</f>
        <v/>
      </c>
      <c r="E1379" s="52" t="str">
        <f>IF(B1379="","",SUMIF(Transactions!$F$8:$F$3006,B1379,Transactions!$O$8:$O$3006))</f>
        <v/>
      </c>
      <c r="F1379" s="53" t="str">
        <f>IF(B1379="","",SUMIF(Transactions!$F$8:$F$3006,B1379,Transactions!$R$8:$R$3006))</f>
        <v/>
      </c>
      <c r="G1379" s="54" t="str">
        <f>IF(B1379="","",(C1379+F1379)-(D1379+E1379+SUMIF(Transactions!$F$8:$F$3006,B1379,Transactions!$Q$8:$Q$3006)))</f>
        <v/>
      </c>
      <c r="H1379" s="55" t="str">
        <f>IF(B1379="","",IF(G1379&gt;0,"OUTSTANDING",IF(G1379=0,"SETTLED",IF(SUMIF(Transactions!$F$8:$F$3006,B1379,Transactions!$Q$8:$Q$3006)&gt;SUMIF(Transactions!$F$8:$F$3006,B1379,Transactions!$R$8:$R$3006),"OWES","OVERPAID"))))</f>
        <v/>
      </c>
      <c r="I1379" s="1"/>
    </row>
    <row r="1380" spans="1:9" ht="18" customHeight="1" x14ac:dyDescent="0.25">
      <c r="A1380" s="40">
        <v>1365</v>
      </c>
      <c r="B1380" s="41" t="str">
        <f t="array" ref="B1380">IFERROR(IF(INDEX(Transactions!$F$8:$F$3006,MATCH(0,COUNTIF($B$11:B1379,Transactions!$F$8:$F$3006),0))="","",INDEX(Transactions!$F$8:$F$3006,MATCH(0,COUNTIF($B$11:B1379,Transactions!$F$8:$F$3006),0))),"")</f>
        <v/>
      </c>
      <c r="C1380" s="42" t="str">
        <f>IF(B1380="","",SUMIF(Transactions!$F$8:$F$3006,B1380,Transactions!$H$8:$H$3006))</f>
        <v/>
      </c>
      <c r="D1380" s="43" t="str">
        <f>IF(B1380="","",SUMIF(Transactions!$F$8:$F$3006,B1380,Transactions!$N$8:$N$3006))</f>
        <v/>
      </c>
      <c r="E1380" s="44" t="str">
        <f>IF(B1380="","",SUMIF(Transactions!$F$8:$F$3006,B1380,Transactions!$O$8:$O$3006))</f>
        <v/>
      </c>
      <c r="F1380" s="45" t="str">
        <f>IF(B1380="","",SUMIF(Transactions!$F$8:$F$3006,B1380,Transactions!$R$8:$R$3006))</f>
        <v/>
      </c>
      <c r="G1380" s="46" t="str">
        <f>IF(B1380="","",(C1380+F1380)-(D1380+E1380+SUMIF(Transactions!$F$8:$F$3006,B1380,Transactions!$Q$8:$Q$3006)))</f>
        <v/>
      </c>
      <c r="H1380" s="47" t="str">
        <f>IF(B1380="","",IF(G1380&gt;0,"OUTSTANDING",IF(G1380=0,"SETTLED",IF(SUMIF(Transactions!$F$8:$F$3006,B1380,Transactions!$Q$8:$Q$3006)&gt;SUMIF(Transactions!$F$8:$F$3006,B1380,Transactions!$R$8:$R$3006),"OWES","OVERPAID"))))</f>
        <v/>
      </c>
      <c r="I1380" s="1"/>
    </row>
    <row r="1381" spans="1:9" ht="18" customHeight="1" x14ac:dyDescent="0.25">
      <c r="A1381" s="48">
        <v>1366</v>
      </c>
      <c r="B1381" s="49" t="str">
        <f t="array" ref="B1381">IFERROR(IF(INDEX(Transactions!$F$8:$F$3006,MATCH(0,COUNTIF($B$11:B1380,Transactions!$F$8:$F$3006),0))="","",INDEX(Transactions!$F$8:$F$3006,MATCH(0,COUNTIF($B$11:B1380,Transactions!$F$8:$F$3006),0))),"")</f>
        <v/>
      </c>
      <c r="C1381" s="50" t="str">
        <f>IF(B1381="","",SUMIF(Transactions!$F$8:$F$3006,B1381,Transactions!$H$8:$H$3006))</f>
        <v/>
      </c>
      <c r="D1381" s="51" t="str">
        <f>IF(B1381="","",SUMIF(Transactions!$F$8:$F$3006,B1381,Transactions!$N$8:$N$3006))</f>
        <v/>
      </c>
      <c r="E1381" s="52" t="str">
        <f>IF(B1381="","",SUMIF(Transactions!$F$8:$F$3006,B1381,Transactions!$O$8:$O$3006))</f>
        <v/>
      </c>
      <c r="F1381" s="53" t="str">
        <f>IF(B1381="","",SUMIF(Transactions!$F$8:$F$3006,B1381,Transactions!$R$8:$R$3006))</f>
        <v/>
      </c>
      <c r="G1381" s="54" t="str">
        <f>IF(B1381="","",(C1381+F1381)-(D1381+E1381+SUMIF(Transactions!$F$8:$F$3006,B1381,Transactions!$Q$8:$Q$3006)))</f>
        <v/>
      </c>
      <c r="H1381" s="55" t="str">
        <f>IF(B1381="","",IF(G1381&gt;0,"OUTSTANDING",IF(G1381=0,"SETTLED",IF(SUMIF(Transactions!$F$8:$F$3006,B1381,Transactions!$Q$8:$Q$3006)&gt;SUMIF(Transactions!$F$8:$F$3006,B1381,Transactions!$R$8:$R$3006),"OWES","OVERPAID"))))</f>
        <v/>
      </c>
      <c r="I1381" s="1"/>
    </row>
    <row r="1382" spans="1:9" ht="18" customHeight="1" x14ac:dyDescent="0.25">
      <c r="A1382" s="40">
        <v>1367</v>
      </c>
      <c r="B1382" s="41" t="str">
        <f t="array" ref="B1382">IFERROR(IF(INDEX(Transactions!$F$8:$F$3006,MATCH(0,COUNTIF($B$11:B1381,Transactions!$F$8:$F$3006),0))="","",INDEX(Transactions!$F$8:$F$3006,MATCH(0,COUNTIF($B$11:B1381,Transactions!$F$8:$F$3006),0))),"")</f>
        <v/>
      </c>
      <c r="C1382" s="42" t="str">
        <f>IF(B1382="","",SUMIF(Transactions!$F$8:$F$3006,B1382,Transactions!$H$8:$H$3006))</f>
        <v/>
      </c>
      <c r="D1382" s="43" t="str">
        <f>IF(B1382="","",SUMIF(Transactions!$F$8:$F$3006,B1382,Transactions!$N$8:$N$3006))</f>
        <v/>
      </c>
      <c r="E1382" s="44" t="str">
        <f>IF(B1382="","",SUMIF(Transactions!$F$8:$F$3006,B1382,Transactions!$O$8:$O$3006))</f>
        <v/>
      </c>
      <c r="F1382" s="45" t="str">
        <f>IF(B1382="","",SUMIF(Transactions!$F$8:$F$3006,B1382,Transactions!$R$8:$R$3006))</f>
        <v/>
      </c>
      <c r="G1382" s="46" t="str">
        <f>IF(B1382="","",(C1382+F1382)-(D1382+E1382+SUMIF(Transactions!$F$8:$F$3006,B1382,Transactions!$Q$8:$Q$3006)))</f>
        <v/>
      </c>
      <c r="H1382" s="47" t="str">
        <f>IF(B1382="","",IF(G1382&gt;0,"OUTSTANDING",IF(G1382=0,"SETTLED",IF(SUMIF(Transactions!$F$8:$F$3006,B1382,Transactions!$Q$8:$Q$3006)&gt;SUMIF(Transactions!$F$8:$F$3006,B1382,Transactions!$R$8:$R$3006),"OWES","OVERPAID"))))</f>
        <v/>
      </c>
      <c r="I1382" s="1"/>
    </row>
    <row r="1383" spans="1:9" ht="18" customHeight="1" x14ac:dyDescent="0.25">
      <c r="A1383" s="48">
        <v>1368</v>
      </c>
      <c r="B1383" s="49" t="str">
        <f t="array" ref="B1383">IFERROR(IF(INDEX(Transactions!$F$8:$F$3006,MATCH(0,COUNTIF($B$11:B1382,Transactions!$F$8:$F$3006),0))="","",INDEX(Transactions!$F$8:$F$3006,MATCH(0,COUNTIF($B$11:B1382,Transactions!$F$8:$F$3006),0))),"")</f>
        <v/>
      </c>
      <c r="C1383" s="50" t="str">
        <f>IF(B1383="","",SUMIF(Transactions!$F$8:$F$3006,B1383,Transactions!$H$8:$H$3006))</f>
        <v/>
      </c>
      <c r="D1383" s="51" t="str">
        <f>IF(B1383="","",SUMIF(Transactions!$F$8:$F$3006,B1383,Transactions!$N$8:$N$3006))</f>
        <v/>
      </c>
      <c r="E1383" s="52" t="str">
        <f>IF(B1383="","",SUMIF(Transactions!$F$8:$F$3006,B1383,Transactions!$O$8:$O$3006))</f>
        <v/>
      </c>
      <c r="F1383" s="53" t="str">
        <f>IF(B1383="","",SUMIF(Transactions!$F$8:$F$3006,B1383,Transactions!$R$8:$R$3006))</f>
        <v/>
      </c>
      <c r="G1383" s="54" t="str">
        <f>IF(B1383="","",(C1383+F1383)-(D1383+E1383+SUMIF(Transactions!$F$8:$F$3006,B1383,Transactions!$Q$8:$Q$3006)))</f>
        <v/>
      </c>
      <c r="H1383" s="55" t="str">
        <f>IF(B1383="","",IF(G1383&gt;0,"OUTSTANDING",IF(G1383=0,"SETTLED",IF(SUMIF(Transactions!$F$8:$F$3006,B1383,Transactions!$Q$8:$Q$3006)&gt;SUMIF(Transactions!$F$8:$F$3006,B1383,Transactions!$R$8:$R$3006),"OWES","OVERPAID"))))</f>
        <v/>
      </c>
      <c r="I1383" s="1"/>
    </row>
    <row r="1384" spans="1:9" ht="18" customHeight="1" x14ac:dyDescent="0.25">
      <c r="A1384" s="40">
        <v>1369</v>
      </c>
      <c r="B1384" s="41" t="str">
        <f t="array" ref="B1384">IFERROR(IF(INDEX(Transactions!$F$8:$F$3006,MATCH(0,COUNTIF($B$11:B1383,Transactions!$F$8:$F$3006),0))="","",INDEX(Transactions!$F$8:$F$3006,MATCH(0,COUNTIF($B$11:B1383,Transactions!$F$8:$F$3006),0))),"")</f>
        <v/>
      </c>
      <c r="C1384" s="42" t="str">
        <f>IF(B1384="","",SUMIF(Transactions!$F$8:$F$3006,B1384,Transactions!$H$8:$H$3006))</f>
        <v/>
      </c>
      <c r="D1384" s="43" t="str">
        <f>IF(B1384="","",SUMIF(Transactions!$F$8:$F$3006,B1384,Transactions!$N$8:$N$3006))</f>
        <v/>
      </c>
      <c r="E1384" s="44" t="str">
        <f>IF(B1384="","",SUMIF(Transactions!$F$8:$F$3006,B1384,Transactions!$O$8:$O$3006))</f>
        <v/>
      </c>
      <c r="F1384" s="45" t="str">
        <f>IF(B1384="","",SUMIF(Transactions!$F$8:$F$3006,B1384,Transactions!$R$8:$R$3006))</f>
        <v/>
      </c>
      <c r="G1384" s="46" t="str">
        <f>IF(B1384="","",(C1384+F1384)-(D1384+E1384+SUMIF(Transactions!$F$8:$F$3006,B1384,Transactions!$Q$8:$Q$3006)))</f>
        <v/>
      </c>
      <c r="H1384" s="47" t="str">
        <f>IF(B1384="","",IF(G1384&gt;0,"OUTSTANDING",IF(G1384=0,"SETTLED",IF(SUMIF(Transactions!$F$8:$F$3006,B1384,Transactions!$Q$8:$Q$3006)&gt;SUMIF(Transactions!$F$8:$F$3006,B1384,Transactions!$R$8:$R$3006),"OWES","OVERPAID"))))</f>
        <v/>
      </c>
      <c r="I1384" s="1"/>
    </row>
    <row r="1385" spans="1:9" ht="18" customHeight="1" x14ac:dyDescent="0.25">
      <c r="A1385" s="48">
        <v>1370</v>
      </c>
      <c r="B1385" s="49" t="str">
        <f t="array" ref="B1385">IFERROR(IF(INDEX(Transactions!$F$8:$F$3006,MATCH(0,COUNTIF($B$11:B1384,Transactions!$F$8:$F$3006),0))="","",INDEX(Transactions!$F$8:$F$3006,MATCH(0,COUNTIF($B$11:B1384,Transactions!$F$8:$F$3006),0))),"")</f>
        <v/>
      </c>
      <c r="C1385" s="50" t="str">
        <f>IF(B1385="","",SUMIF(Transactions!$F$8:$F$3006,B1385,Transactions!$H$8:$H$3006))</f>
        <v/>
      </c>
      <c r="D1385" s="51" t="str">
        <f>IF(B1385="","",SUMIF(Transactions!$F$8:$F$3006,B1385,Transactions!$N$8:$N$3006))</f>
        <v/>
      </c>
      <c r="E1385" s="52" t="str">
        <f>IF(B1385="","",SUMIF(Transactions!$F$8:$F$3006,B1385,Transactions!$O$8:$O$3006))</f>
        <v/>
      </c>
      <c r="F1385" s="53" t="str">
        <f>IF(B1385="","",SUMIF(Transactions!$F$8:$F$3006,B1385,Transactions!$R$8:$R$3006))</f>
        <v/>
      </c>
      <c r="G1385" s="54" t="str">
        <f>IF(B1385="","",(C1385+F1385)-(D1385+E1385+SUMIF(Transactions!$F$8:$F$3006,B1385,Transactions!$Q$8:$Q$3006)))</f>
        <v/>
      </c>
      <c r="H1385" s="55" t="str">
        <f>IF(B1385="","",IF(G1385&gt;0,"OUTSTANDING",IF(G1385=0,"SETTLED",IF(SUMIF(Transactions!$F$8:$F$3006,B1385,Transactions!$Q$8:$Q$3006)&gt;SUMIF(Transactions!$F$8:$F$3006,B1385,Transactions!$R$8:$R$3006),"OWES","OVERPAID"))))</f>
        <v/>
      </c>
      <c r="I1385" s="1"/>
    </row>
    <row r="1386" spans="1:9" ht="18" customHeight="1" x14ac:dyDescent="0.25">
      <c r="A1386" s="40">
        <v>1371</v>
      </c>
      <c r="B1386" s="41" t="str">
        <f t="array" ref="B1386">IFERROR(IF(INDEX(Transactions!$F$8:$F$3006,MATCH(0,COUNTIF($B$11:B1385,Transactions!$F$8:$F$3006),0))="","",INDEX(Transactions!$F$8:$F$3006,MATCH(0,COUNTIF($B$11:B1385,Transactions!$F$8:$F$3006),0))),"")</f>
        <v/>
      </c>
      <c r="C1386" s="42" t="str">
        <f>IF(B1386="","",SUMIF(Transactions!$F$8:$F$3006,B1386,Transactions!$H$8:$H$3006))</f>
        <v/>
      </c>
      <c r="D1386" s="43" t="str">
        <f>IF(B1386="","",SUMIF(Transactions!$F$8:$F$3006,B1386,Transactions!$N$8:$N$3006))</f>
        <v/>
      </c>
      <c r="E1386" s="44" t="str">
        <f>IF(B1386="","",SUMIF(Transactions!$F$8:$F$3006,B1386,Transactions!$O$8:$O$3006))</f>
        <v/>
      </c>
      <c r="F1386" s="45" t="str">
        <f>IF(B1386="","",SUMIF(Transactions!$F$8:$F$3006,B1386,Transactions!$R$8:$R$3006))</f>
        <v/>
      </c>
      <c r="G1386" s="46" t="str">
        <f>IF(B1386="","",(C1386+F1386)-(D1386+E1386+SUMIF(Transactions!$F$8:$F$3006,B1386,Transactions!$Q$8:$Q$3006)))</f>
        <v/>
      </c>
      <c r="H1386" s="47" t="str">
        <f>IF(B1386="","",IF(G1386&gt;0,"OUTSTANDING",IF(G1386=0,"SETTLED",IF(SUMIF(Transactions!$F$8:$F$3006,B1386,Transactions!$Q$8:$Q$3006)&gt;SUMIF(Transactions!$F$8:$F$3006,B1386,Transactions!$R$8:$R$3006),"OWES","OVERPAID"))))</f>
        <v/>
      </c>
      <c r="I1386" s="1"/>
    </row>
    <row r="1387" spans="1:9" ht="18" customHeight="1" x14ac:dyDescent="0.25">
      <c r="A1387" s="48">
        <v>1372</v>
      </c>
      <c r="B1387" s="49" t="str">
        <f t="array" ref="B1387">IFERROR(IF(INDEX(Transactions!$F$8:$F$3006,MATCH(0,COUNTIF($B$11:B1386,Transactions!$F$8:$F$3006),0))="","",INDEX(Transactions!$F$8:$F$3006,MATCH(0,COUNTIF($B$11:B1386,Transactions!$F$8:$F$3006),0))),"")</f>
        <v/>
      </c>
      <c r="C1387" s="50" t="str">
        <f>IF(B1387="","",SUMIF(Transactions!$F$8:$F$3006,B1387,Transactions!$H$8:$H$3006))</f>
        <v/>
      </c>
      <c r="D1387" s="51" t="str">
        <f>IF(B1387="","",SUMIF(Transactions!$F$8:$F$3006,B1387,Transactions!$N$8:$N$3006))</f>
        <v/>
      </c>
      <c r="E1387" s="52" t="str">
        <f>IF(B1387="","",SUMIF(Transactions!$F$8:$F$3006,B1387,Transactions!$O$8:$O$3006))</f>
        <v/>
      </c>
      <c r="F1387" s="53" t="str">
        <f>IF(B1387="","",SUMIF(Transactions!$F$8:$F$3006,B1387,Transactions!$R$8:$R$3006))</f>
        <v/>
      </c>
      <c r="G1387" s="54" t="str">
        <f>IF(B1387="","",(C1387+F1387)-(D1387+E1387+SUMIF(Transactions!$F$8:$F$3006,B1387,Transactions!$Q$8:$Q$3006)))</f>
        <v/>
      </c>
      <c r="H1387" s="55" t="str">
        <f>IF(B1387="","",IF(G1387&gt;0,"OUTSTANDING",IF(G1387=0,"SETTLED",IF(SUMIF(Transactions!$F$8:$F$3006,B1387,Transactions!$Q$8:$Q$3006)&gt;SUMIF(Transactions!$F$8:$F$3006,B1387,Transactions!$R$8:$R$3006),"OWES","OVERPAID"))))</f>
        <v/>
      </c>
      <c r="I1387" s="1"/>
    </row>
    <row r="1388" spans="1:9" ht="18" customHeight="1" x14ac:dyDescent="0.25">
      <c r="A1388" s="40">
        <v>1373</v>
      </c>
      <c r="B1388" s="41" t="str">
        <f t="array" ref="B1388">IFERROR(IF(INDEX(Transactions!$F$8:$F$3006,MATCH(0,COUNTIF($B$11:B1387,Transactions!$F$8:$F$3006),0))="","",INDEX(Transactions!$F$8:$F$3006,MATCH(0,COUNTIF($B$11:B1387,Transactions!$F$8:$F$3006),0))),"")</f>
        <v/>
      </c>
      <c r="C1388" s="42" t="str">
        <f>IF(B1388="","",SUMIF(Transactions!$F$8:$F$3006,B1388,Transactions!$H$8:$H$3006))</f>
        <v/>
      </c>
      <c r="D1388" s="43" t="str">
        <f>IF(B1388="","",SUMIF(Transactions!$F$8:$F$3006,B1388,Transactions!$N$8:$N$3006))</f>
        <v/>
      </c>
      <c r="E1388" s="44" t="str">
        <f>IF(B1388="","",SUMIF(Transactions!$F$8:$F$3006,B1388,Transactions!$O$8:$O$3006))</f>
        <v/>
      </c>
      <c r="F1388" s="45" t="str">
        <f>IF(B1388="","",SUMIF(Transactions!$F$8:$F$3006,B1388,Transactions!$R$8:$R$3006))</f>
        <v/>
      </c>
      <c r="G1388" s="46" t="str">
        <f>IF(B1388="","",(C1388+F1388)-(D1388+E1388+SUMIF(Transactions!$F$8:$F$3006,B1388,Transactions!$Q$8:$Q$3006)))</f>
        <v/>
      </c>
      <c r="H1388" s="47" t="str">
        <f>IF(B1388="","",IF(G1388&gt;0,"OUTSTANDING",IF(G1388=0,"SETTLED",IF(SUMIF(Transactions!$F$8:$F$3006,B1388,Transactions!$Q$8:$Q$3006)&gt;SUMIF(Transactions!$F$8:$F$3006,B1388,Transactions!$R$8:$R$3006),"OWES","OVERPAID"))))</f>
        <v/>
      </c>
      <c r="I1388" s="1"/>
    </row>
    <row r="1389" spans="1:9" ht="18" customHeight="1" x14ac:dyDescent="0.25">
      <c r="A1389" s="48">
        <v>1374</v>
      </c>
      <c r="B1389" s="49" t="str">
        <f t="array" ref="B1389">IFERROR(IF(INDEX(Transactions!$F$8:$F$3006,MATCH(0,COUNTIF($B$11:B1388,Transactions!$F$8:$F$3006),0))="","",INDEX(Transactions!$F$8:$F$3006,MATCH(0,COUNTIF($B$11:B1388,Transactions!$F$8:$F$3006),0))),"")</f>
        <v/>
      </c>
      <c r="C1389" s="50" t="str">
        <f>IF(B1389="","",SUMIF(Transactions!$F$8:$F$3006,B1389,Transactions!$H$8:$H$3006))</f>
        <v/>
      </c>
      <c r="D1389" s="51" t="str">
        <f>IF(B1389="","",SUMIF(Transactions!$F$8:$F$3006,B1389,Transactions!$N$8:$N$3006))</f>
        <v/>
      </c>
      <c r="E1389" s="52" t="str">
        <f>IF(B1389="","",SUMIF(Transactions!$F$8:$F$3006,B1389,Transactions!$O$8:$O$3006))</f>
        <v/>
      </c>
      <c r="F1389" s="53" t="str">
        <f>IF(B1389="","",SUMIF(Transactions!$F$8:$F$3006,B1389,Transactions!$R$8:$R$3006))</f>
        <v/>
      </c>
      <c r="G1389" s="54" t="str">
        <f>IF(B1389="","",(C1389+F1389)-(D1389+E1389+SUMIF(Transactions!$F$8:$F$3006,B1389,Transactions!$Q$8:$Q$3006)))</f>
        <v/>
      </c>
      <c r="H1389" s="55" t="str">
        <f>IF(B1389="","",IF(G1389&gt;0,"OUTSTANDING",IF(G1389=0,"SETTLED",IF(SUMIF(Transactions!$F$8:$F$3006,B1389,Transactions!$Q$8:$Q$3006)&gt;SUMIF(Transactions!$F$8:$F$3006,B1389,Transactions!$R$8:$R$3006),"OWES","OVERPAID"))))</f>
        <v/>
      </c>
      <c r="I1389" s="1"/>
    </row>
    <row r="1390" spans="1:9" ht="18" customHeight="1" x14ac:dyDescent="0.25">
      <c r="A1390" s="40">
        <v>1375</v>
      </c>
      <c r="B1390" s="41" t="str">
        <f t="array" ref="B1390">IFERROR(IF(INDEX(Transactions!$F$8:$F$3006,MATCH(0,COUNTIF($B$11:B1389,Transactions!$F$8:$F$3006),0))="","",INDEX(Transactions!$F$8:$F$3006,MATCH(0,COUNTIF($B$11:B1389,Transactions!$F$8:$F$3006),0))),"")</f>
        <v/>
      </c>
      <c r="C1390" s="42" t="str">
        <f>IF(B1390="","",SUMIF(Transactions!$F$8:$F$3006,B1390,Transactions!$H$8:$H$3006))</f>
        <v/>
      </c>
      <c r="D1390" s="43" t="str">
        <f>IF(B1390="","",SUMIF(Transactions!$F$8:$F$3006,B1390,Transactions!$N$8:$N$3006))</f>
        <v/>
      </c>
      <c r="E1390" s="44" t="str">
        <f>IF(B1390="","",SUMIF(Transactions!$F$8:$F$3006,B1390,Transactions!$O$8:$O$3006))</f>
        <v/>
      </c>
      <c r="F1390" s="45" t="str">
        <f>IF(B1390="","",SUMIF(Transactions!$F$8:$F$3006,B1390,Transactions!$R$8:$R$3006))</f>
        <v/>
      </c>
      <c r="G1390" s="46" t="str">
        <f>IF(B1390="","",(C1390+F1390)-(D1390+E1390+SUMIF(Transactions!$F$8:$F$3006,B1390,Transactions!$Q$8:$Q$3006)))</f>
        <v/>
      </c>
      <c r="H1390" s="47" t="str">
        <f>IF(B1390="","",IF(G1390&gt;0,"OUTSTANDING",IF(G1390=0,"SETTLED",IF(SUMIF(Transactions!$F$8:$F$3006,B1390,Transactions!$Q$8:$Q$3006)&gt;SUMIF(Transactions!$F$8:$F$3006,B1390,Transactions!$R$8:$R$3006),"OWES","OVERPAID"))))</f>
        <v/>
      </c>
      <c r="I1390" s="1"/>
    </row>
    <row r="1391" spans="1:9" ht="18" customHeight="1" x14ac:dyDescent="0.25">
      <c r="A1391" s="48">
        <v>1376</v>
      </c>
      <c r="B1391" s="49" t="str">
        <f t="array" ref="B1391">IFERROR(IF(INDEX(Transactions!$F$8:$F$3006,MATCH(0,COUNTIF($B$11:B1390,Transactions!$F$8:$F$3006),0))="","",INDEX(Transactions!$F$8:$F$3006,MATCH(0,COUNTIF($B$11:B1390,Transactions!$F$8:$F$3006),0))),"")</f>
        <v/>
      </c>
      <c r="C1391" s="50" t="str">
        <f>IF(B1391="","",SUMIF(Transactions!$F$8:$F$3006,B1391,Transactions!$H$8:$H$3006))</f>
        <v/>
      </c>
      <c r="D1391" s="51" t="str">
        <f>IF(B1391="","",SUMIF(Transactions!$F$8:$F$3006,B1391,Transactions!$N$8:$N$3006))</f>
        <v/>
      </c>
      <c r="E1391" s="52" t="str">
        <f>IF(B1391="","",SUMIF(Transactions!$F$8:$F$3006,B1391,Transactions!$O$8:$O$3006))</f>
        <v/>
      </c>
      <c r="F1391" s="53" t="str">
        <f>IF(B1391="","",SUMIF(Transactions!$F$8:$F$3006,B1391,Transactions!$R$8:$R$3006))</f>
        <v/>
      </c>
      <c r="G1391" s="54" t="str">
        <f>IF(B1391="","",(C1391+F1391)-(D1391+E1391+SUMIF(Transactions!$F$8:$F$3006,B1391,Transactions!$Q$8:$Q$3006)))</f>
        <v/>
      </c>
      <c r="H1391" s="55" t="str">
        <f>IF(B1391="","",IF(G1391&gt;0,"OUTSTANDING",IF(G1391=0,"SETTLED",IF(SUMIF(Transactions!$F$8:$F$3006,B1391,Transactions!$Q$8:$Q$3006)&gt;SUMIF(Transactions!$F$8:$F$3006,B1391,Transactions!$R$8:$R$3006),"OWES","OVERPAID"))))</f>
        <v/>
      </c>
      <c r="I1391" s="1"/>
    </row>
    <row r="1392" spans="1:9" ht="18" customHeight="1" x14ac:dyDescent="0.25">
      <c r="A1392" s="40">
        <v>1377</v>
      </c>
      <c r="B1392" s="41" t="str">
        <f t="array" ref="B1392">IFERROR(IF(INDEX(Transactions!$F$8:$F$3006,MATCH(0,COUNTIF($B$11:B1391,Transactions!$F$8:$F$3006),0))="","",INDEX(Transactions!$F$8:$F$3006,MATCH(0,COUNTIF($B$11:B1391,Transactions!$F$8:$F$3006),0))),"")</f>
        <v/>
      </c>
      <c r="C1392" s="42" t="str">
        <f>IF(B1392="","",SUMIF(Transactions!$F$8:$F$3006,B1392,Transactions!$H$8:$H$3006))</f>
        <v/>
      </c>
      <c r="D1392" s="43" t="str">
        <f>IF(B1392="","",SUMIF(Transactions!$F$8:$F$3006,B1392,Transactions!$N$8:$N$3006))</f>
        <v/>
      </c>
      <c r="E1392" s="44" t="str">
        <f>IF(B1392="","",SUMIF(Transactions!$F$8:$F$3006,B1392,Transactions!$O$8:$O$3006))</f>
        <v/>
      </c>
      <c r="F1392" s="45" t="str">
        <f>IF(B1392="","",SUMIF(Transactions!$F$8:$F$3006,B1392,Transactions!$R$8:$R$3006))</f>
        <v/>
      </c>
      <c r="G1392" s="46" t="str">
        <f>IF(B1392="","",(C1392+F1392)-(D1392+E1392+SUMIF(Transactions!$F$8:$F$3006,B1392,Transactions!$Q$8:$Q$3006)))</f>
        <v/>
      </c>
      <c r="H1392" s="47" t="str">
        <f>IF(B1392="","",IF(G1392&gt;0,"OUTSTANDING",IF(G1392=0,"SETTLED",IF(SUMIF(Transactions!$F$8:$F$3006,B1392,Transactions!$Q$8:$Q$3006)&gt;SUMIF(Transactions!$F$8:$F$3006,B1392,Transactions!$R$8:$R$3006),"OWES","OVERPAID"))))</f>
        <v/>
      </c>
      <c r="I1392" s="1"/>
    </row>
    <row r="1393" spans="1:9" ht="18" customHeight="1" x14ac:dyDescent="0.25">
      <c r="A1393" s="48">
        <v>1378</v>
      </c>
      <c r="B1393" s="49" t="str">
        <f t="array" ref="B1393">IFERROR(IF(INDEX(Transactions!$F$8:$F$3006,MATCH(0,COUNTIF($B$11:B1392,Transactions!$F$8:$F$3006),0))="","",INDEX(Transactions!$F$8:$F$3006,MATCH(0,COUNTIF($B$11:B1392,Transactions!$F$8:$F$3006),0))),"")</f>
        <v/>
      </c>
      <c r="C1393" s="50" t="str">
        <f>IF(B1393="","",SUMIF(Transactions!$F$8:$F$3006,B1393,Transactions!$H$8:$H$3006))</f>
        <v/>
      </c>
      <c r="D1393" s="51" t="str">
        <f>IF(B1393="","",SUMIF(Transactions!$F$8:$F$3006,B1393,Transactions!$N$8:$N$3006))</f>
        <v/>
      </c>
      <c r="E1393" s="52" t="str">
        <f>IF(B1393="","",SUMIF(Transactions!$F$8:$F$3006,B1393,Transactions!$O$8:$O$3006))</f>
        <v/>
      </c>
      <c r="F1393" s="53" t="str">
        <f>IF(B1393="","",SUMIF(Transactions!$F$8:$F$3006,B1393,Transactions!$R$8:$R$3006))</f>
        <v/>
      </c>
      <c r="G1393" s="54" t="str">
        <f>IF(B1393="","",(C1393+F1393)-(D1393+E1393+SUMIF(Transactions!$F$8:$F$3006,B1393,Transactions!$Q$8:$Q$3006)))</f>
        <v/>
      </c>
      <c r="H1393" s="55" t="str">
        <f>IF(B1393="","",IF(G1393&gt;0,"OUTSTANDING",IF(G1393=0,"SETTLED",IF(SUMIF(Transactions!$F$8:$F$3006,B1393,Transactions!$Q$8:$Q$3006)&gt;SUMIF(Transactions!$F$8:$F$3006,B1393,Transactions!$R$8:$R$3006),"OWES","OVERPAID"))))</f>
        <v/>
      </c>
      <c r="I1393" s="1"/>
    </row>
    <row r="1394" spans="1:9" ht="18" customHeight="1" x14ac:dyDescent="0.25">
      <c r="A1394" s="40">
        <v>1379</v>
      </c>
      <c r="B1394" s="41" t="str">
        <f t="array" ref="B1394">IFERROR(IF(INDEX(Transactions!$F$8:$F$3006,MATCH(0,COUNTIF($B$11:B1393,Transactions!$F$8:$F$3006),0))="","",INDEX(Transactions!$F$8:$F$3006,MATCH(0,COUNTIF($B$11:B1393,Transactions!$F$8:$F$3006),0))),"")</f>
        <v/>
      </c>
      <c r="C1394" s="42" t="str">
        <f>IF(B1394="","",SUMIF(Transactions!$F$8:$F$3006,B1394,Transactions!$H$8:$H$3006))</f>
        <v/>
      </c>
      <c r="D1394" s="43" t="str">
        <f>IF(B1394="","",SUMIF(Transactions!$F$8:$F$3006,B1394,Transactions!$N$8:$N$3006))</f>
        <v/>
      </c>
      <c r="E1394" s="44" t="str">
        <f>IF(B1394="","",SUMIF(Transactions!$F$8:$F$3006,B1394,Transactions!$O$8:$O$3006))</f>
        <v/>
      </c>
      <c r="F1394" s="45" t="str">
        <f>IF(B1394="","",SUMIF(Transactions!$F$8:$F$3006,B1394,Transactions!$R$8:$R$3006))</f>
        <v/>
      </c>
      <c r="G1394" s="46" t="str">
        <f>IF(B1394="","",(C1394+F1394)-(D1394+E1394+SUMIF(Transactions!$F$8:$F$3006,B1394,Transactions!$Q$8:$Q$3006)))</f>
        <v/>
      </c>
      <c r="H1394" s="47" t="str">
        <f>IF(B1394="","",IF(G1394&gt;0,"OUTSTANDING",IF(G1394=0,"SETTLED",IF(SUMIF(Transactions!$F$8:$F$3006,B1394,Transactions!$Q$8:$Q$3006)&gt;SUMIF(Transactions!$F$8:$F$3006,B1394,Transactions!$R$8:$R$3006),"OWES","OVERPAID"))))</f>
        <v/>
      </c>
      <c r="I1394" s="1"/>
    </row>
    <row r="1395" spans="1:9" ht="18" customHeight="1" x14ac:dyDescent="0.25">
      <c r="A1395" s="48">
        <v>1380</v>
      </c>
      <c r="B1395" s="49" t="str">
        <f t="array" ref="B1395">IFERROR(IF(INDEX(Transactions!$F$8:$F$3006,MATCH(0,COUNTIF($B$11:B1394,Transactions!$F$8:$F$3006),0))="","",INDEX(Transactions!$F$8:$F$3006,MATCH(0,COUNTIF($B$11:B1394,Transactions!$F$8:$F$3006),0))),"")</f>
        <v/>
      </c>
      <c r="C1395" s="50" t="str">
        <f>IF(B1395="","",SUMIF(Transactions!$F$8:$F$3006,B1395,Transactions!$H$8:$H$3006))</f>
        <v/>
      </c>
      <c r="D1395" s="51" t="str">
        <f>IF(B1395="","",SUMIF(Transactions!$F$8:$F$3006,B1395,Transactions!$N$8:$N$3006))</f>
        <v/>
      </c>
      <c r="E1395" s="52" t="str">
        <f>IF(B1395="","",SUMIF(Transactions!$F$8:$F$3006,B1395,Transactions!$O$8:$O$3006))</f>
        <v/>
      </c>
      <c r="F1395" s="53" t="str">
        <f>IF(B1395="","",SUMIF(Transactions!$F$8:$F$3006,B1395,Transactions!$R$8:$R$3006))</f>
        <v/>
      </c>
      <c r="G1395" s="54" t="str">
        <f>IF(B1395="","",(C1395+F1395)-(D1395+E1395+SUMIF(Transactions!$F$8:$F$3006,B1395,Transactions!$Q$8:$Q$3006)))</f>
        <v/>
      </c>
      <c r="H1395" s="55" t="str">
        <f>IF(B1395="","",IF(G1395&gt;0,"OUTSTANDING",IF(G1395=0,"SETTLED",IF(SUMIF(Transactions!$F$8:$F$3006,B1395,Transactions!$Q$8:$Q$3006)&gt;SUMIF(Transactions!$F$8:$F$3006,B1395,Transactions!$R$8:$R$3006),"OWES","OVERPAID"))))</f>
        <v/>
      </c>
      <c r="I1395" s="1"/>
    </row>
    <row r="1396" spans="1:9" ht="18" customHeight="1" x14ac:dyDescent="0.25">
      <c r="A1396" s="40">
        <v>1381</v>
      </c>
      <c r="B1396" s="41" t="str">
        <f t="array" ref="B1396">IFERROR(IF(INDEX(Transactions!$F$8:$F$3006,MATCH(0,COUNTIF($B$11:B1395,Transactions!$F$8:$F$3006),0))="","",INDEX(Transactions!$F$8:$F$3006,MATCH(0,COUNTIF($B$11:B1395,Transactions!$F$8:$F$3006),0))),"")</f>
        <v/>
      </c>
      <c r="C1396" s="42" t="str">
        <f>IF(B1396="","",SUMIF(Transactions!$F$8:$F$3006,B1396,Transactions!$H$8:$H$3006))</f>
        <v/>
      </c>
      <c r="D1396" s="43" t="str">
        <f>IF(B1396="","",SUMIF(Transactions!$F$8:$F$3006,B1396,Transactions!$N$8:$N$3006))</f>
        <v/>
      </c>
      <c r="E1396" s="44" t="str">
        <f>IF(B1396="","",SUMIF(Transactions!$F$8:$F$3006,B1396,Transactions!$O$8:$O$3006))</f>
        <v/>
      </c>
      <c r="F1396" s="45" t="str">
        <f>IF(B1396="","",SUMIF(Transactions!$F$8:$F$3006,B1396,Transactions!$R$8:$R$3006))</f>
        <v/>
      </c>
      <c r="G1396" s="46" t="str">
        <f>IF(B1396="","",(C1396+F1396)-(D1396+E1396+SUMIF(Transactions!$F$8:$F$3006,B1396,Transactions!$Q$8:$Q$3006)))</f>
        <v/>
      </c>
      <c r="H1396" s="47" t="str">
        <f>IF(B1396="","",IF(G1396&gt;0,"OUTSTANDING",IF(G1396=0,"SETTLED",IF(SUMIF(Transactions!$F$8:$F$3006,B1396,Transactions!$Q$8:$Q$3006)&gt;SUMIF(Transactions!$F$8:$F$3006,B1396,Transactions!$R$8:$R$3006),"OWES","OVERPAID"))))</f>
        <v/>
      </c>
      <c r="I1396" s="1"/>
    </row>
    <row r="1397" spans="1:9" ht="18" customHeight="1" x14ac:dyDescent="0.25">
      <c r="A1397" s="48">
        <v>1382</v>
      </c>
      <c r="B1397" s="49" t="str">
        <f t="array" ref="B1397">IFERROR(IF(INDEX(Transactions!$F$8:$F$3006,MATCH(0,COUNTIF($B$11:B1396,Transactions!$F$8:$F$3006),0))="","",INDEX(Transactions!$F$8:$F$3006,MATCH(0,COUNTIF($B$11:B1396,Transactions!$F$8:$F$3006),0))),"")</f>
        <v/>
      </c>
      <c r="C1397" s="50" t="str">
        <f>IF(B1397="","",SUMIF(Transactions!$F$8:$F$3006,B1397,Transactions!$H$8:$H$3006))</f>
        <v/>
      </c>
      <c r="D1397" s="51" t="str">
        <f>IF(B1397="","",SUMIF(Transactions!$F$8:$F$3006,B1397,Transactions!$N$8:$N$3006))</f>
        <v/>
      </c>
      <c r="E1397" s="52" t="str">
        <f>IF(B1397="","",SUMIF(Transactions!$F$8:$F$3006,B1397,Transactions!$O$8:$O$3006))</f>
        <v/>
      </c>
      <c r="F1397" s="53" t="str">
        <f>IF(B1397="","",SUMIF(Transactions!$F$8:$F$3006,B1397,Transactions!$R$8:$R$3006))</f>
        <v/>
      </c>
      <c r="G1397" s="54" t="str">
        <f>IF(B1397="","",(C1397+F1397)-(D1397+E1397+SUMIF(Transactions!$F$8:$F$3006,B1397,Transactions!$Q$8:$Q$3006)))</f>
        <v/>
      </c>
      <c r="H1397" s="55" t="str">
        <f>IF(B1397="","",IF(G1397&gt;0,"OUTSTANDING",IF(G1397=0,"SETTLED",IF(SUMIF(Transactions!$F$8:$F$3006,B1397,Transactions!$Q$8:$Q$3006)&gt;SUMIF(Transactions!$F$8:$F$3006,B1397,Transactions!$R$8:$R$3006),"OWES","OVERPAID"))))</f>
        <v/>
      </c>
      <c r="I1397" s="1"/>
    </row>
    <row r="1398" spans="1:9" ht="18" customHeight="1" x14ac:dyDescent="0.25">
      <c r="A1398" s="40">
        <v>1383</v>
      </c>
      <c r="B1398" s="41" t="str">
        <f t="array" ref="B1398">IFERROR(IF(INDEX(Transactions!$F$8:$F$3006,MATCH(0,COUNTIF($B$11:B1397,Transactions!$F$8:$F$3006),0))="","",INDEX(Transactions!$F$8:$F$3006,MATCH(0,COUNTIF($B$11:B1397,Transactions!$F$8:$F$3006),0))),"")</f>
        <v/>
      </c>
      <c r="C1398" s="42" t="str">
        <f>IF(B1398="","",SUMIF(Transactions!$F$8:$F$3006,B1398,Transactions!$H$8:$H$3006))</f>
        <v/>
      </c>
      <c r="D1398" s="43" t="str">
        <f>IF(B1398="","",SUMIF(Transactions!$F$8:$F$3006,B1398,Transactions!$N$8:$N$3006))</f>
        <v/>
      </c>
      <c r="E1398" s="44" t="str">
        <f>IF(B1398="","",SUMIF(Transactions!$F$8:$F$3006,B1398,Transactions!$O$8:$O$3006))</f>
        <v/>
      </c>
      <c r="F1398" s="45" t="str">
        <f>IF(B1398="","",SUMIF(Transactions!$F$8:$F$3006,B1398,Transactions!$R$8:$R$3006))</f>
        <v/>
      </c>
      <c r="G1398" s="46" t="str">
        <f>IF(B1398="","",(C1398+F1398)-(D1398+E1398+SUMIF(Transactions!$F$8:$F$3006,B1398,Transactions!$Q$8:$Q$3006)))</f>
        <v/>
      </c>
      <c r="H1398" s="47" t="str">
        <f>IF(B1398="","",IF(G1398&gt;0,"OUTSTANDING",IF(G1398=0,"SETTLED",IF(SUMIF(Transactions!$F$8:$F$3006,B1398,Transactions!$Q$8:$Q$3006)&gt;SUMIF(Transactions!$F$8:$F$3006,B1398,Transactions!$R$8:$R$3006),"OWES","OVERPAID"))))</f>
        <v/>
      </c>
      <c r="I1398" s="1"/>
    </row>
    <row r="1399" spans="1:9" ht="18" customHeight="1" x14ac:dyDescent="0.25">
      <c r="A1399" s="48">
        <v>1384</v>
      </c>
      <c r="B1399" s="49" t="str">
        <f t="array" ref="B1399">IFERROR(IF(INDEX(Transactions!$F$8:$F$3006,MATCH(0,COUNTIF($B$11:B1398,Transactions!$F$8:$F$3006),0))="","",INDEX(Transactions!$F$8:$F$3006,MATCH(0,COUNTIF($B$11:B1398,Transactions!$F$8:$F$3006),0))),"")</f>
        <v/>
      </c>
      <c r="C1399" s="50" t="str">
        <f>IF(B1399="","",SUMIF(Transactions!$F$8:$F$3006,B1399,Transactions!$H$8:$H$3006))</f>
        <v/>
      </c>
      <c r="D1399" s="51" t="str">
        <f>IF(B1399="","",SUMIF(Transactions!$F$8:$F$3006,B1399,Transactions!$N$8:$N$3006))</f>
        <v/>
      </c>
      <c r="E1399" s="52" t="str">
        <f>IF(B1399="","",SUMIF(Transactions!$F$8:$F$3006,B1399,Transactions!$O$8:$O$3006))</f>
        <v/>
      </c>
      <c r="F1399" s="53" t="str">
        <f>IF(B1399="","",SUMIF(Transactions!$F$8:$F$3006,B1399,Transactions!$R$8:$R$3006))</f>
        <v/>
      </c>
      <c r="G1399" s="54" t="str">
        <f>IF(B1399="","",(C1399+F1399)-(D1399+E1399+SUMIF(Transactions!$F$8:$F$3006,B1399,Transactions!$Q$8:$Q$3006)))</f>
        <v/>
      </c>
      <c r="H1399" s="55" t="str">
        <f>IF(B1399="","",IF(G1399&gt;0,"OUTSTANDING",IF(G1399=0,"SETTLED",IF(SUMIF(Transactions!$F$8:$F$3006,B1399,Transactions!$Q$8:$Q$3006)&gt;SUMIF(Transactions!$F$8:$F$3006,B1399,Transactions!$R$8:$R$3006),"OWES","OVERPAID"))))</f>
        <v/>
      </c>
      <c r="I1399" s="1"/>
    </row>
    <row r="1400" spans="1:9" ht="18" customHeight="1" x14ac:dyDescent="0.25">
      <c r="A1400" s="40">
        <v>1385</v>
      </c>
      <c r="B1400" s="41" t="str">
        <f t="array" ref="B1400">IFERROR(IF(INDEX(Transactions!$F$8:$F$3006,MATCH(0,COUNTIF($B$11:B1399,Transactions!$F$8:$F$3006),0))="","",INDEX(Transactions!$F$8:$F$3006,MATCH(0,COUNTIF($B$11:B1399,Transactions!$F$8:$F$3006),0))),"")</f>
        <v/>
      </c>
      <c r="C1400" s="42" t="str">
        <f>IF(B1400="","",SUMIF(Transactions!$F$8:$F$3006,B1400,Transactions!$H$8:$H$3006))</f>
        <v/>
      </c>
      <c r="D1400" s="43" t="str">
        <f>IF(B1400="","",SUMIF(Transactions!$F$8:$F$3006,B1400,Transactions!$N$8:$N$3006))</f>
        <v/>
      </c>
      <c r="E1400" s="44" t="str">
        <f>IF(B1400="","",SUMIF(Transactions!$F$8:$F$3006,B1400,Transactions!$O$8:$O$3006))</f>
        <v/>
      </c>
      <c r="F1400" s="45" t="str">
        <f>IF(B1400="","",SUMIF(Transactions!$F$8:$F$3006,B1400,Transactions!$R$8:$R$3006))</f>
        <v/>
      </c>
      <c r="G1400" s="46" t="str">
        <f>IF(B1400="","",(C1400+F1400)-(D1400+E1400+SUMIF(Transactions!$F$8:$F$3006,B1400,Transactions!$Q$8:$Q$3006)))</f>
        <v/>
      </c>
      <c r="H1400" s="47" t="str">
        <f>IF(B1400="","",IF(G1400&gt;0,"OUTSTANDING",IF(G1400=0,"SETTLED",IF(SUMIF(Transactions!$F$8:$F$3006,B1400,Transactions!$Q$8:$Q$3006)&gt;SUMIF(Transactions!$F$8:$F$3006,B1400,Transactions!$R$8:$R$3006),"OWES","OVERPAID"))))</f>
        <v/>
      </c>
      <c r="I1400" s="1"/>
    </row>
    <row r="1401" spans="1:9" ht="18" customHeight="1" x14ac:dyDescent="0.25">
      <c r="A1401" s="48">
        <v>1386</v>
      </c>
      <c r="B1401" s="49" t="str">
        <f t="array" ref="B1401">IFERROR(IF(INDEX(Transactions!$F$8:$F$3006,MATCH(0,COUNTIF($B$11:B1400,Transactions!$F$8:$F$3006),0))="","",INDEX(Transactions!$F$8:$F$3006,MATCH(0,COUNTIF($B$11:B1400,Transactions!$F$8:$F$3006),0))),"")</f>
        <v/>
      </c>
      <c r="C1401" s="50" t="str">
        <f>IF(B1401="","",SUMIF(Transactions!$F$8:$F$3006,B1401,Transactions!$H$8:$H$3006))</f>
        <v/>
      </c>
      <c r="D1401" s="51" t="str">
        <f>IF(B1401="","",SUMIF(Transactions!$F$8:$F$3006,B1401,Transactions!$N$8:$N$3006))</f>
        <v/>
      </c>
      <c r="E1401" s="52" t="str">
        <f>IF(B1401="","",SUMIF(Transactions!$F$8:$F$3006,B1401,Transactions!$O$8:$O$3006))</f>
        <v/>
      </c>
      <c r="F1401" s="53" t="str">
        <f>IF(B1401="","",SUMIF(Transactions!$F$8:$F$3006,B1401,Transactions!$R$8:$R$3006))</f>
        <v/>
      </c>
      <c r="G1401" s="54" t="str">
        <f>IF(B1401="","",(C1401+F1401)-(D1401+E1401+SUMIF(Transactions!$F$8:$F$3006,B1401,Transactions!$Q$8:$Q$3006)))</f>
        <v/>
      </c>
      <c r="H1401" s="55" t="str">
        <f>IF(B1401="","",IF(G1401&gt;0,"OUTSTANDING",IF(G1401=0,"SETTLED",IF(SUMIF(Transactions!$F$8:$F$3006,B1401,Transactions!$Q$8:$Q$3006)&gt;SUMIF(Transactions!$F$8:$F$3006,B1401,Transactions!$R$8:$R$3006),"OWES","OVERPAID"))))</f>
        <v/>
      </c>
      <c r="I1401" s="1"/>
    </row>
    <row r="1402" spans="1:9" ht="18" customHeight="1" x14ac:dyDescent="0.25">
      <c r="A1402" s="40">
        <v>1387</v>
      </c>
      <c r="B1402" s="41" t="str">
        <f t="array" ref="B1402">IFERROR(IF(INDEX(Transactions!$F$8:$F$3006,MATCH(0,COUNTIF($B$11:B1401,Transactions!$F$8:$F$3006),0))="","",INDEX(Transactions!$F$8:$F$3006,MATCH(0,COUNTIF($B$11:B1401,Transactions!$F$8:$F$3006),0))),"")</f>
        <v/>
      </c>
      <c r="C1402" s="42" t="str">
        <f>IF(B1402="","",SUMIF(Transactions!$F$8:$F$3006,B1402,Transactions!$H$8:$H$3006))</f>
        <v/>
      </c>
      <c r="D1402" s="43" t="str">
        <f>IF(B1402="","",SUMIF(Transactions!$F$8:$F$3006,B1402,Transactions!$N$8:$N$3006))</f>
        <v/>
      </c>
      <c r="E1402" s="44" t="str">
        <f>IF(B1402="","",SUMIF(Transactions!$F$8:$F$3006,B1402,Transactions!$O$8:$O$3006))</f>
        <v/>
      </c>
      <c r="F1402" s="45" t="str">
        <f>IF(B1402="","",SUMIF(Transactions!$F$8:$F$3006,B1402,Transactions!$R$8:$R$3006))</f>
        <v/>
      </c>
      <c r="G1402" s="46" t="str">
        <f>IF(B1402="","",(C1402+F1402)-(D1402+E1402+SUMIF(Transactions!$F$8:$F$3006,B1402,Transactions!$Q$8:$Q$3006)))</f>
        <v/>
      </c>
      <c r="H1402" s="47" t="str">
        <f>IF(B1402="","",IF(G1402&gt;0,"OUTSTANDING",IF(G1402=0,"SETTLED",IF(SUMIF(Transactions!$F$8:$F$3006,B1402,Transactions!$Q$8:$Q$3006)&gt;SUMIF(Transactions!$F$8:$F$3006,B1402,Transactions!$R$8:$R$3006),"OWES","OVERPAID"))))</f>
        <v/>
      </c>
      <c r="I1402" s="1"/>
    </row>
    <row r="1403" spans="1:9" ht="18" customHeight="1" x14ac:dyDescent="0.25">
      <c r="A1403" s="48">
        <v>1388</v>
      </c>
      <c r="B1403" s="49" t="str">
        <f t="array" ref="B1403">IFERROR(IF(INDEX(Transactions!$F$8:$F$3006,MATCH(0,COUNTIF($B$11:B1402,Transactions!$F$8:$F$3006),0))="","",INDEX(Transactions!$F$8:$F$3006,MATCH(0,COUNTIF($B$11:B1402,Transactions!$F$8:$F$3006),0))),"")</f>
        <v/>
      </c>
      <c r="C1403" s="50" t="str">
        <f>IF(B1403="","",SUMIF(Transactions!$F$8:$F$3006,B1403,Transactions!$H$8:$H$3006))</f>
        <v/>
      </c>
      <c r="D1403" s="51" t="str">
        <f>IF(B1403="","",SUMIF(Transactions!$F$8:$F$3006,B1403,Transactions!$N$8:$N$3006))</f>
        <v/>
      </c>
      <c r="E1403" s="52" t="str">
        <f>IF(B1403="","",SUMIF(Transactions!$F$8:$F$3006,B1403,Transactions!$O$8:$O$3006))</f>
        <v/>
      </c>
      <c r="F1403" s="53" t="str">
        <f>IF(B1403="","",SUMIF(Transactions!$F$8:$F$3006,B1403,Transactions!$R$8:$R$3006))</f>
        <v/>
      </c>
      <c r="G1403" s="54" t="str">
        <f>IF(B1403="","",(C1403+F1403)-(D1403+E1403+SUMIF(Transactions!$F$8:$F$3006,B1403,Transactions!$Q$8:$Q$3006)))</f>
        <v/>
      </c>
      <c r="H1403" s="55" t="str">
        <f>IF(B1403="","",IF(G1403&gt;0,"OUTSTANDING",IF(G1403=0,"SETTLED",IF(SUMIF(Transactions!$F$8:$F$3006,B1403,Transactions!$Q$8:$Q$3006)&gt;SUMIF(Transactions!$F$8:$F$3006,B1403,Transactions!$R$8:$R$3006),"OWES","OVERPAID"))))</f>
        <v/>
      </c>
      <c r="I1403" s="1"/>
    </row>
    <row r="1404" spans="1:9" ht="18" customHeight="1" x14ac:dyDescent="0.25">
      <c r="A1404" s="40">
        <v>1389</v>
      </c>
      <c r="B1404" s="41" t="str">
        <f t="array" ref="B1404">IFERROR(IF(INDEX(Transactions!$F$8:$F$3006,MATCH(0,COUNTIF($B$11:B1403,Transactions!$F$8:$F$3006),0))="","",INDEX(Transactions!$F$8:$F$3006,MATCH(0,COUNTIF($B$11:B1403,Transactions!$F$8:$F$3006),0))),"")</f>
        <v/>
      </c>
      <c r="C1404" s="42" t="str">
        <f>IF(B1404="","",SUMIF(Transactions!$F$8:$F$3006,B1404,Transactions!$H$8:$H$3006))</f>
        <v/>
      </c>
      <c r="D1404" s="43" t="str">
        <f>IF(B1404="","",SUMIF(Transactions!$F$8:$F$3006,B1404,Transactions!$N$8:$N$3006))</f>
        <v/>
      </c>
      <c r="E1404" s="44" t="str">
        <f>IF(B1404="","",SUMIF(Transactions!$F$8:$F$3006,B1404,Transactions!$O$8:$O$3006))</f>
        <v/>
      </c>
      <c r="F1404" s="45" t="str">
        <f>IF(B1404="","",SUMIF(Transactions!$F$8:$F$3006,B1404,Transactions!$R$8:$R$3006))</f>
        <v/>
      </c>
      <c r="G1404" s="46" t="str">
        <f>IF(B1404="","",(C1404+F1404)-(D1404+E1404+SUMIF(Transactions!$F$8:$F$3006,B1404,Transactions!$Q$8:$Q$3006)))</f>
        <v/>
      </c>
      <c r="H1404" s="47" t="str">
        <f>IF(B1404="","",IF(G1404&gt;0,"OUTSTANDING",IF(G1404=0,"SETTLED",IF(SUMIF(Transactions!$F$8:$F$3006,B1404,Transactions!$Q$8:$Q$3006)&gt;SUMIF(Transactions!$F$8:$F$3006,B1404,Transactions!$R$8:$R$3006),"OWES","OVERPAID"))))</f>
        <v/>
      </c>
      <c r="I1404" s="1"/>
    </row>
    <row r="1405" spans="1:9" ht="18" customHeight="1" x14ac:dyDescent="0.25">
      <c r="A1405" s="48">
        <v>1390</v>
      </c>
      <c r="B1405" s="49" t="str">
        <f t="array" ref="B1405">IFERROR(IF(INDEX(Transactions!$F$8:$F$3006,MATCH(0,COUNTIF($B$11:B1404,Transactions!$F$8:$F$3006),0))="","",INDEX(Transactions!$F$8:$F$3006,MATCH(0,COUNTIF($B$11:B1404,Transactions!$F$8:$F$3006),0))),"")</f>
        <v/>
      </c>
      <c r="C1405" s="50" t="str">
        <f>IF(B1405="","",SUMIF(Transactions!$F$8:$F$3006,B1405,Transactions!$H$8:$H$3006))</f>
        <v/>
      </c>
      <c r="D1405" s="51" t="str">
        <f>IF(B1405="","",SUMIF(Transactions!$F$8:$F$3006,B1405,Transactions!$N$8:$N$3006))</f>
        <v/>
      </c>
      <c r="E1405" s="52" t="str">
        <f>IF(B1405="","",SUMIF(Transactions!$F$8:$F$3006,B1405,Transactions!$O$8:$O$3006))</f>
        <v/>
      </c>
      <c r="F1405" s="53" t="str">
        <f>IF(B1405="","",SUMIF(Transactions!$F$8:$F$3006,B1405,Transactions!$R$8:$R$3006))</f>
        <v/>
      </c>
      <c r="G1405" s="54" t="str">
        <f>IF(B1405="","",(C1405+F1405)-(D1405+E1405+SUMIF(Transactions!$F$8:$F$3006,B1405,Transactions!$Q$8:$Q$3006)))</f>
        <v/>
      </c>
      <c r="H1405" s="55" t="str">
        <f>IF(B1405="","",IF(G1405&gt;0,"OUTSTANDING",IF(G1405=0,"SETTLED",IF(SUMIF(Transactions!$F$8:$F$3006,B1405,Transactions!$Q$8:$Q$3006)&gt;SUMIF(Transactions!$F$8:$F$3006,B1405,Transactions!$R$8:$R$3006),"OWES","OVERPAID"))))</f>
        <v/>
      </c>
      <c r="I1405" s="1"/>
    </row>
    <row r="1406" spans="1:9" ht="18" customHeight="1" x14ac:dyDescent="0.25">
      <c r="A1406" s="40">
        <v>1391</v>
      </c>
      <c r="B1406" s="41" t="str">
        <f t="array" ref="B1406">IFERROR(IF(INDEX(Transactions!$F$8:$F$3006,MATCH(0,COUNTIF($B$11:B1405,Transactions!$F$8:$F$3006),0))="","",INDEX(Transactions!$F$8:$F$3006,MATCH(0,COUNTIF($B$11:B1405,Transactions!$F$8:$F$3006),0))),"")</f>
        <v/>
      </c>
      <c r="C1406" s="42" t="str">
        <f>IF(B1406="","",SUMIF(Transactions!$F$8:$F$3006,B1406,Transactions!$H$8:$H$3006))</f>
        <v/>
      </c>
      <c r="D1406" s="43" t="str">
        <f>IF(B1406="","",SUMIF(Transactions!$F$8:$F$3006,B1406,Transactions!$N$8:$N$3006))</f>
        <v/>
      </c>
      <c r="E1406" s="44" t="str">
        <f>IF(B1406="","",SUMIF(Transactions!$F$8:$F$3006,B1406,Transactions!$O$8:$O$3006))</f>
        <v/>
      </c>
      <c r="F1406" s="45" t="str">
        <f>IF(B1406="","",SUMIF(Transactions!$F$8:$F$3006,B1406,Transactions!$R$8:$R$3006))</f>
        <v/>
      </c>
      <c r="G1406" s="46" t="str">
        <f>IF(B1406="","",(C1406+F1406)-(D1406+E1406+SUMIF(Transactions!$F$8:$F$3006,B1406,Transactions!$Q$8:$Q$3006)))</f>
        <v/>
      </c>
      <c r="H1406" s="47" t="str">
        <f>IF(B1406="","",IF(G1406&gt;0,"OUTSTANDING",IF(G1406=0,"SETTLED",IF(SUMIF(Transactions!$F$8:$F$3006,B1406,Transactions!$Q$8:$Q$3006)&gt;SUMIF(Transactions!$F$8:$F$3006,B1406,Transactions!$R$8:$R$3006),"OWES","OVERPAID"))))</f>
        <v/>
      </c>
      <c r="I1406" s="1"/>
    </row>
    <row r="1407" spans="1:9" ht="18" customHeight="1" x14ac:dyDescent="0.25">
      <c r="A1407" s="48">
        <v>1392</v>
      </c>
      <c r="B1407" s="49" t="str">
        <f t="array" ref="B1407">IFERROR(IF(INDEX(Transactions!$F$8:$F$3006,MATCH(0,COUNTIF($B$11:B1406,Transactions!$F$8:$F$3006),0))="","",INDEX(Transactions!$F$8:$F$3006,MATCH(0,COUNTIF($B$11:B1406,Transactions!$F$8:$F$3006),0))),"")</f>
        <v/>
      </c>
      <c r="C1407" s="50" t="str">
        <f>IF(B1407="","",SUMIF(Transactions!$F$8:$F$3006,B1407,Transactions!$H$8:$H$3006))</f>
        <v/>
      </c>
      <c r="D1407" s="51" t="str">
        <f>IF(B1407="","",SUMIF(Transactions!$F$8:$F$3006,B1407,Transactions!$N$8:$N$3006))</f>
        <v/>
      </c>
      <c r="E1407" s="52" t="str">
        <f>IF(B1407="","",SUMIF(Transactions!$F$8:$F$3006,B1407,Transactions!$O$8:$O$3006))</f>
        <v/>
      </c>
      <c r="F1407" s="53" t="str">
        <f>IF(B1407="","",SUMIF(Transactions!$F$8:$F$3006,B1407,Transactions!$R$8:$R$3006))</f>
        <v/>
      </c>
      <c r="G1407" s="54" t="str">
        <f>IF(B1407="","",(C1407+F1407)-(D1407+E1407+SUMIF(Transactions!$F$8:$F$3006,B1407,Transactions!$Q$8:$Q$3006)))</f>
        <v/>
      </c>
      <c r="H1407" s="55" t="str">
        <f>IF(B1407="","",IF(G1407&gt;0,"OUTSTANDING",IF(G1407=0,"SETTLED",IF(SUMIF(Transactions!$F$8:$F$3006,B1407,Transactions!$Q$8:$Q$3006)&gt;SUMIF(Transactions!$F$8:$F$3006,B1407,Transactions!$R$8:$R$3006),"OWES","OVERPAID"))))</f>
        <v/>
      </c>
      <c r="I1407" s="1"/>
    </row>
    <row r="1408" spans="1:9" ht="18" customHeight="1" x14ac:dyDescent="0.25">
      <c r="A1408" s="40">
        <v>1393</v>
      </c>
      <c r="B1408" s="41" t="str">
        <f t="array" ref="B1408">IFERROR(IF(INDEX(Transactions!$F$8:$F$3006,MATCH(0,COUNTIF($B$11:B1407,Transactions!$F$8:$F$3006),0))="","",INDEX(Transactions!$F$8:$F$3006,MATCH(0,COUNTIF($B$11:B1407,Transactions!$F$8:$F$3006),0))),"")</f>
        <v/>
      </c>
      <c r="C1408" s="42" t="str">
        <f>IF(B1408="","",SUMIF(Transactions!$F$8:$F$3006,B1408,Transactions!$H$8:$H$3006))</f>
        <v/>
      </c>
      <c r="D1408" s="43" t="str">
        <f>IF(B1408="","",SUMIF(Transactions!$F$8:$F$3006,B1408,Transactions!$N$8:$N$3006))</f>
        <v/>
      </c>
      <c r="E1408" s="44" t="str">
        <f>IF(B1408="","",SUMIF(Transactions!$F$8:$F$3006,B1408,Transactions!$O$8:$O$3006))</f>
        <v/>
      </c>
      <c r="F1408" s="45" t="str">
        <f>IF(B1408="","",SUMIF(Transactions!$F$8:$F$3006,B1408,Transactions!$R$8:$R$3006))</f>
        <v/>
      </c>
      <c r="G1408" s="46" t="str">
        <f>IF(B1408="","",(C1408+F1408)-(D1408+E1408+SUMIF(Transactions!$F$8:$F$3006,B1408,Transactions!$Q$8:$Q$3006)))</f>
        <v/>
      </c>
      <c r="H1408" s="47" t="str">
        <f>IF(B1408="","",IF(G1408&gt;0,"OUTSTANDING",IF(G1408=0,"SETTLED",IF(SUMIF(Transactions!$F$8:$F$3006,B1408,Transactions!$Q$8:$Q$3006)&gt;SUMIF(Transactions!$F$8:$F$3006,B1408,Transactions!$R$8:$R$3006),"OWES","OVERPAID"))))</f>
        <v/>
      </c>
      <c r="I1408" s="1"/>
    </row>
    <row r="1409" spans="1:9" ht="18" customHeight="1" x14ac:dyDescent="0.25">
      <c r="A1409" s="48">
        <v>1394</v>
      </c>
      <c r="B1409" s="49" t="str">
        <f t="array" ref="B1409">IFERROR(IF(INDEX(Transactions!$F$8:$F$3006,MATCH(0,COUNTIF($B$11:B1408,Transactions!$F$8:$F$3006),0))="","",INDEX(Transactions!$F$8:$F$3006,MATCH(0,COUNTIF($B$11:B1408,Transactions!$F$8:$F$3006),0))),"")</f>
        <v/>
      </c>
      <c r="C1409" s="50" t="str">
        <f>IF(B1409="","",SUMIF(Transactions!$F$8:$F$3006,B1409,Transactions!$H$8:$H$3006))</f>
        <v/>
      </c>
      <c r="D1409" s="51" t="str">
        <f>IF(B1409="","",SUMIF(Transactions!$F$8:$F$3006,B1409,Transactions!$N$8:$N$3006))</f>
        <v/>
      </c>
      <c r="E1409" s="52" t="str">
        <f>IF(B1409="","",SUMIF(Transactions!$F$8:$F$3006,B1409,Transactions!$O$8:$O$3006))</f>
        <v/>
      </c>
      <c r="F1409" s="53" t="str">
        <f>IF(B1409="","",SUMIF(Transactions!$F$8:$F$3006,B1409,Transactions!$R$8:$R$3006))</f>
        <v/>
      </c>
      <c r="G1409" s="54" t="str">
        <f>IF(B1409="","",(C1409+F1409)-(D1409+E1409+SUMIF(Transactions!$F$8:$F$3006,B1409,Transactions!$Q$8:$Q$3006)))</f>
        <v/>
      </c>
      <c r="H1409" s="55" t="str">
        <f>IF(B1409="","",IF(G1409&gt;0,"OUTSTANDING",IF(G1409=0,"SETTLED",IF(SUMIF(Transactions!$F$8:$F$3006,B1409,Transactions!$Q$8:$Q$3006)&gt;SUMIF(Transactions!$F$8:$F$3006,B1409,Transactions!$R$8:$R$3006),"OWES","OVERPAID"))))</f>
        <v/>
      </c>
      <c r="I1409" s="1"/>
    </row>
    <row r="1410" spans="1:9" ht="18" customHeight="1" x14ac:dyDescent="0.25">
      <c r="A1410" s="40">
        <v>1395</v>
      </c>
      <c r="B1410" s="41" t="str">
        <f t="array" ref="B1410">IFERROR(IF(INDEX(Transactions!$F$8:$F$3006,MATCH(0,COUNTIF($B$11:B1409,Transactions!$F$8:$F$3006),0))="","",INDEX(Transactions!$F$8:$F$3006,MATCH(0,COUNTIF($B$11:B1409,Transactions!$F$8:$F$3006),0))),"")</f>
        <v/>
      </c>
      <c r="C1410" s="42" t="str">
        <f>IF(B1410="","",SUMIF(Transactions!$F$8:$F$3006,B1410,Transactions!$H$8:$H$3006))</f>
        <v/>
      </c>
      <c r="D1410" s="43" t="str">
        <f>IF(B1410="","",SUMIF(Transactions!$F$8:$F$3006,B1410,Transactions!$N$8:$N$3006))</f>
        <v/>
      </c>
      <c r="E1410" s="44" t="str">
        <f>IF(B1410="","",SUMIF(Transactions!$F$8:$F$3006,B1410,Transactions!$O$8:$O$3006))</f>
        <v/>
      </c>
      <c r="F1410" s="45" t="str">
        <f>IF(B1410="","",SUMIF(Transactions!$F$8:$F$3006,B1410,Transactions!$R$8:$R$3006))</f>
        <v/>
      </c>
      <c r="G1410" s="46" t="str">
        <f>IF(B1410="","",(C1410+F1410)-(D1410+E1410+SUMIF(Transactions!$F$8:$F$3006,B1410,Transactions!$Q$8:$Q$3006)))</f>
        <v/>
      </c>
      <c r="H1410" s="47" t="str">
        <f>IF(B1410="","",IF(G1410&gt;0,"OUTSTANDING",IF(G1410=0,"SETTLED",IF(SUMIF(Transactions!$F$8:$F$3006,B1410,Transactions!$Q$8:$Q$3006)&gt;SUMIF(Transactions!$F$8:$F$3006,B1410,Transactions!$R$8:$R$3006),"OWES","OVERPAID"))))</f>
        <v/>
      </c>
      <c r="I1410" s="1"/>
    </row>
    <row r="1411" spans="1:9" ht="18" customHeight="1" x14ac:dyDescent="0.25">
      <c r="A1411" s="48">
        <v>1396</v>
      </c>
      <c r="B1411" s="49" t="str">
        <f t="array" ref="B1411">IFERROR(IF(INDEX(Transactions!$F$8:$F$3006,MATCH(0,COUNTIF($B$11:B1410,Transactions!$F$8:$F$3006),0))="","",INDEX(Transactions!$F$8:$F$3006,MATCH(0,COUNTIF($B$11:B1410,Transactions!$F$8:$F$3006),0))),"")</f>
        <v/>
      </c>
      <c r="C1411" s="50" t="str">
        <f>IF(B1411="","",SUMIF(Transactions!$F$8:$F$3006,B1411,Transactions!$H$8:$H$3006))</f>
        <v/>
      </c>
      <c r="D1411" s="51" t="str">
        <f>IF(B1411="","",SUMIF(Transactions!$F$8:$F$3006,B1411,Transactions!$N$8:$N$3006))</f>
        <v/>
      </c>
      <c r="E1411" s="52" t="str">
        <f>IF(B1411="","",SUMIF(Transactions!$F$8:$F$3006,B1411,Transactions!$O$8:$O$3006))</f>
        <v/>
      </c>
      <c r="F1411" s="53" t="str">
        <f>IF(B1411="","",SUMIF(Transactions!$F$8:$F$3006,B1411,Transactions!$R$8:$R$3006))</f>
        <v/>
      </c>
      <c r="G1411" s="54" t="str">
        <f>IF(B1411="","",(C1411+F1411)-(D1411+E1411+SUMIF(Transactions!$F$8:$F$3006,B1411,Transactions!$Q$8:$Q$3006)))</f>
        <v/>
      </c>
      <c r="H1411" s="55" t="str">
        <f>IF(B1411="","",IF(G1411&gt;0,"OUTSTANDING",IF(G1411=0,"SETTLED",IF(SUMIF(Transactions!$F$8:$F$3006,B1411,Transactions!$Q$8:$Q$3006)&gt;SUMIF(Transactions!$F$8:$F$3006,B1411,Transactions!$R$8:$R$3006),"OWES","OVERPAID"))))</f>
        <v/>
      </c>
      <c r="I1411" s="1"/>
    </row>
    <row r="1412" spans="1:9" ht="18" customHeight="1" x14ac:dyDescent="0.25">
      <c r="A1412" s="40">
        <v>1397</v>
      </c>
      <c r="B1412" s="41" t="str">
        <f t="array" ref="B1412">IFERROR(IF(INDEX(Transactions!$F$8:$F$3006,MATCH(0,COUNTIF($B$11:B1411,Transactions!$F$8:$F$3006),0))="","",INDEX(Transactions!$F$8:$F$3006,MATCH(0,COUNTIF($B$11:B1411,Transactions!$F$8:$F$3006),0))),"")</f>
        <v/>
      </c>
      <c r="C1412" s="42" t="str">
        <f>IF(B1412="","",SUMIF(Transactions!$F$8:$F$3006,B1412,Transactions!$H$8:$H$3006))</f>
        <v/>
      </c>
      <c r="D1412" s="43" t="str">
        <f>IF(B1412="","",SUMIF(Transactions!$F$8:$F$3006,B1412,Transactions!$N$8:$N$3006))</f>
        <v/>
      </c>
      <c r="E1412" s="44" t="str">
        <f>IF(B1412="","",SUMIF(Transactions!$F$8:$F$3006,B1412,Transactions!$O$8:$O$3006))</f>
        <v/>
      </c>
      <c r="F1412" s="45" t="str">
        <f>IF(B1412="","",SUMIF(Transactions!$F$8:$F$3006,B1412,Transactions!$R$8:$R$3006))</f>
        <v/>
      </c>
      <c r="G1412" s="46" t="str">
        <f>IF(B1412="","",(C1412+F1412)-(D1412+E1412+SUMIF(Transactions!$F$8:$F$3006,B1412,Transactions!$Q$8:$Q$3006)))</f>
        <v/>
      </c>
      <c r="H1412" s="47" t="str">
        <f>IF(B1412="","",IF(G1412&gt;0,"OUTSTANDING",IF(G1412=0,"SETTLED",IF(SUMIF(Transactions!$F$8:$F$3006,B1412,Transactions!$Q$8:$Q$3006)&gt;SUMIF(Transactions!$F$8:$F$3006,B1412,Transactions!$R$8:$R$3006),"OWES","OVERPAID"))))</f>
        <v/>
      </c>
      <c r="I1412" s="1"/>
    </row>
    <row r="1413" spans="1:9" ht="18" customHeight="1" x14ac:dyDescent="0.25">
      <c r="A1413" s="48">
        <v>1398</v>
      </c>
      <c r="B1413" s="49" t="str">
        <f t="array" ref="B1413">IFERROR(IF(INDEX(Transactions!$F$8:$F$3006,MATCH(0,COUNTIF($B$11:B1412,Transactions!$F$8:$F$3006),0))="","",INDEX(Transactions!$F$8:$F$3006,MATCH(0,COUNTIF($B$11:B1412,Transactions!$F$8:$F$3006),0))),"")</f>
        <v/>
      </c>
      <c r="C1413" s="50" t="str">
        <f>IF(B1413="","",SUMIF(Transactions!$F$8:$F$3006,B1413,Transactions!$H$8:$H$3006))</f>
        <v/>
      </c>
      <c r="D1413" s="51" t="str">
        <f>IF(B1413="","",SUMIF(Transactions!$F$8:$F$3006,B1413,Transactions!$N$8:$N$3006))</f>
        <v/>
      </c>
      <c r="E1413" s="52" t="str">
        <f>IF(B1413="","",SUMIF(Transactions!$F$8:$F$3006,B1413,Transactions!$O$8:$O$3006))</f>
        <v/>
      </c>
      <c r="F1413" s="53" t="str">
        <f>IF(B1413="","",SUMIF(Transactions!$F$8:$F$3006,B1413,Transactions!$R$8:$R$3006))</f>
        <v/>
      </c>
      <c r="G1413" s="54" t="str">
        <f>IF(B1413="","",(C1413+F1413)-(D1413+E1413+SUMIF(Transactions!$F$8:$F$3006,B1413,Transactions!$Q$8:$Q$3006)))</f>
        <v/>
      </c>
      <c r="H1413" s="55" t="str">
        <f>IF(B1413="","",IF(G1413&gt;0,"OUTSTANDING",IF(G1413=0,"SETTLED",IF(SUMIF(Transactions!$F$8:$F$3006,B1413,Transactions!$Q$8:$Q$3006)&gt;SUMIF(Transactions!$F$8:$F$3006,B1413,Transactions!$R$8:$R$3006),"OWES","OVERPAID"))))</f>
        <v/>
      </c>
      <c r="I1413" s="1"/>
    </row>
    <row r="1414" spans="1:9" ht="18" customHeight="1" x14ac:dyDescent="0.25">
      <c r="A1414" s="40">
        <v>1399</v>
      </c>
      <c r="B1414" s="41" t="str">
        <f t="array" ref="B1414">IFERROR(IF(INDEX(Transactions!$F$8:$F$3006,MATCH(0,COUNTIF($B$11:B1413,Transactions!$F$8:$F$3006),0))="","",INDEX(Transactions!$F$8:$F$3006,MATCH(0,COUNTIF($B$11:B1413,Transactions!$F$8:$F$3006),0))),"")</f>
        <v/>
      </c>
      <c r="C1414" s="42" t="str">
        <f>IF(B1414="","",SUMIF(Transactions!$F$8:$F$3006,B1414,Transactions!$H$8:$H$3006))</f>
        <v/>
      </c>
      <c r="D1414" s="43" t="str">
        <f>IF(B1414="","",SUMIF(Transactions!$F$8:$F$3006,B1414,Transactions!$N$8:$N$3006))</f>
        <v/>
      </c>
      <c r="E1414" s="44" t="str">
        <f>IF(B1414="","",SUMIF(Transactions!$F$8:$F$3006,B1414,Transactions!$O$8:$O$3006))</f>
        <v/>
      </c>
      <c r="F1414" s="45" t="str">
        <f>IF(B1414="","",SUMIF(Transactions!$F$8:$F$3006,B1414,Transactions!$R$8:$R$3006))</f>
        <v/>
      </c>
      <c r="G1414" s="46" t="str">
        <f>IF(B1414="","",(C1414+F1414)-(D1414+E1414+SUMIF(Transactions!$F$8:$F$3006,B1414,Transactions!$Q$8:$Q$3006)))</f>
        <v/>
      </c>
      <c r="H1414" s="47" t="str">
        <f>IF(B1414="","",IF(G1414&gt;0,"OUTSTANDING",IF(G1414=0,"SETTLED",IF(SUMIF(Transactions!$F$8:$F$3006,B1414,Transactions!$Q$8:$Q$3006)&gt;SUMIF(Transactions!$F$8:$F$3006,B1414,Transactions!$R$8:$R$3006),"OWES","OVERPAID"))))</f>
        <v/>
      </c>
      <c r="I1414" s="1"/>
    </row>
    <row r="1415" spans="1:9" ht="18" customHeight="1" x14ac:dyDescent="0.25">
      <c r="A1415" s="48">
        <v>1400</v>
      </c>
      <c r="B1415" s="49" t="str">
        <f t="array" ref="B1415">IFERROR(IF(INDEX(Transactions!$F$8:$F$3006,MATCH(0,COUNTIF($B$11:B1414,Transactions!$F$8:$F$3006),0))="","",INDEX(Transactions!$F$8:$F$3006,MATCH(0,COUNTIF($B$11:B1414,Transactions!$F$8:$F$3006),0))),"")</f>
        <v/>
      </c>
      <c r="C1415" s="50" t="str">
        <f>IF(B1415="","",SUMIF(Transactions!$F$8:$F$3006,B1415,Transactions!$H$8:$H$3006))</f>
        <v/>
      </c>
      <c r="D1415" s="51" t="str">
        <f>IF(B1415="","",SUMIF(Transactions!$F$8:$F$3006,B1415,Transactions!$N$8:$N$3006))</f>
        <v/>
      </c>
      <c r="E1415" s="52" t="str">
        <f>IF(B1415="","",SUMIF(Transactions!$F$8:$F$3006,B1415,Transactions!$O$8:$O$3006))</f>
        <v/>
      </c>
      <c r="F1415" s="53" t="str">
        <f>IF(B1415="","",SUMIF(Transactions!$F$8:$F$3006,B1415,Transactions!$R$8:$R$3006))</f>
        <v/>
      </c>
      <c r="G1415" s="54" t="str">
        <f>IF(B1415="","",(C1415+F1415)-(D1415+E1415+SUMIF(Transactions!$F$8:$F$3006,B1415,Transactions!$Q$8:$Q$3006)))</f>
        <v/>
      </c>
      <c r="H1415" s="55" t="str">
        <f>IF(B1415="","",IF(G1415&gt;0,"OUTSTANDING",IF(G1415=0,"SETTLED",IF(SUMIF(Transactions!$F$8:$F$3006,B1415,Transactions!$Q$8:$Q$3006)&gt;SUMIF(Transactions!$F$8:$F$3006,B1415,Transactions!$R$8:$R$3006),"OWES","OVERPAID"))))</f>
        <v/>
      </c>
      <c r="I1415" s="1"/>
    </row>
    <row r="1416" spans="1:9" ht="18" customHeight="1" x14ac:dyDescent="0.25">
      <c r="A1416" s="40">
        <v>1401</v>
      </c>
      <c r="B1416" s="41" t="str">
        <f t="array" ref="B1416">IFERROR(IF(INDEX(Transactions!$F$8:$F$3006,MATCH(0,COUNTIF($B$11:B1415,Transactions!$F$8:$F$3006),0))="","",INDEX(Transactions!$F$8:$F$3006,MATCH(0,COUNTIF($B$11:B1415,Transactions!$F$8:$F$3006),0))),"")</f>
        <v/>
      </c>
      <c r="C1416" s="42" t="str">
        <f>IF(B1416="","",SUMIF(Transactions!$F$8:$F$3006,B1416,Transactions!$H$8:$H$3006))</f>
        <v/>
      </c>
      <c r="D1416" s="43" t="str">
        <f>IF(B1416="","",SUMIF(Transactions!$F$8:$F$3006,B1416,Transactions!$N$8:$N$3006))</f>
        <v/>
      </c>
      <c r="E1416" s="44" t="str">
        <f>IF(B1416="","",SUMIF(Transactions!$F$8:$F$3006,B1416,Transactions!$O$8:$O$3006))</f>
        <v/>
      </c>
      <c r="F1416" s="45" t="str">
        <f>IF(B1416="","",SUMIF(Transactions!$F$8:$F$3006,B1416,Transactions!$R$8:$R$3006))</f>
        <v/>
      </c>
      <c r="G1416" s="46" t="str">
        <f>IF(B1416="","",(C1416+F1416)-(D1416+E1416+SUMIF(Transactions!$F$8:$F$3006,B1416,Transactions!$Q$8:$Q$3006)))</f>
        <v/>
      </c>
      <c r="H1416" s="47" t="str">
        <f>IF(B1416="","",IF(G1416&gt;0,"OUTSTANDING",IF(G1416=0,"SETTLED",IF(SUMIF(Transactions!$F$8:$F$3006,B1416,Transactions!$Q$8:$Q$3006)&gt;SUMIF(Transactions!$F$8:$F$3006,B1416,Transactions!$R$8:$R$3006),"OWES","OVERPAID"))))</f>
        <v/>
      </c>
      <c r="I1416" s="1"/>
    </row>
    <row r="1417" spans="1:9" ht="18" customHeight="1" x14ac:dyDescent="0.25">
      <c r="A1417" s="48">
        <v>1402</v>
      </c>
      <c r="B1417" s="49" t="str">
        <f t="array" ref="B1417">IFERROR(IF(INDEX(Transactions!$F$8:$F$3006,MATCH(0,COUNTIF($B$11:B1416,Transactions!$F$8:$F$3006),0))="","",INDEX(Transactions!$F$8:$F$3006,MATCH(0,COUNTIF($B$11:B1416,Transactions!$F$8:$F$3006),0))),"")</f>
        <v/>
      </c>
      <c r="C1417" s="50" t="str">
        <f>IF(B1417="","",SUMIF(Transactions!$F$8:$F$3006,B1417,Transactions!$H$8:$H$3006))</f>
        <v/>
      </c>
      <c r="D1417" s="51" t="str">
        <f>IF(B1417="","",SUMIF(Transactions!$F$8:$F$3006,B1417,Transactions!$N$8:$N$3006))</f>
        <v/>
      </c>
      <c r="E1417" s="52" t="str">
        <f>IF(B1417="","",SUMIF(Transactions!$F$8:$F$3006,B1417,Transactions!$O$8:$O$3006))</f>
        <v/>
      </c>
      <c r="F1417" s="53" t="str">
        <f>IF(B1417="","",SUMIF(Transactions!$F$8:$F$3006,B1417,Transactions!$R$8:$R$3006))</f>
        <v/>
      </c>
      <c r="G1417" s="54" t="str">
        <f>IF(B1417="","",(C1417+F1417)-(D1417+E1417+SUMIF(Transactions!$F$8:$F$3006,B1417,Transactions!$Q$8:$Q$3006)))</f>
        <v/>
      </c>
      <c r="H1417" s="55" t="str">
        <f>IF(B1417="","",IF(G1417&gt;0,"OUTSTANDING",IF(G1417=0,"SETTLED",IF(SUMIF(Transactions!$F$8:$F$3006,B1417,Transactions!$Q$8:$Q$3006)&gt;SUMIF(Transactions!$F$8:$F$3006,B1417,Transactions!$R$8:$R$3006),"OWES","OVERPAID"))))</f>
        <v/>
      </c>
      <c r="I1417" s="1"/>
    </row>
    <row r="1418" spans="1:9" ht="18" customHeight="1" x14ac:dyDescent="0.25">
      <c r="A1418" s="40">
        <v>1403</v>
      </c>
      <c r="B1418" s="41" t="str">
        <f t="array" ref="B1418">IFERROR(IF(INDEX(Transactions!$F$8:$F$3006,MATCH(0,COUNTIF($B$11:B1417,Transactions!$F$8:$F$3006),0))="","",INDEX(Transactions!$F$8:$F$3006,MATCH(0,COUNTIF($B$11:B1417,Transactions!$F$8:$F$3006),0))),"")</f>
        <v/>
      </c>
      <c r="C1418" s="42" t="str">
        <f>IF(B1418="","",SUMIF(Transactions!$F$8:$F$3006,B1418,Transactions!$H$8:$H$3006))</f>
        <v/>
      </c>
      <c r="D1418" s="43" t="str">
        <f>IF(B1418="","",SUMIF(Transactions!$F$8:$F$3006,B1418,Transactions!$N$8:$N$3006))</f>
        <v/>
      </c>
      <c r="E1418" s="44" t="str">
        <f>IF(B1418="","",SUMIF(Transactions!$F$8:$F$3006,B1418,Transactions!$O$8:$O$3006))</f>
        <v/>
      </c>
      <c r="F1418" s="45" t="str">
        <f>IF(B1418="","",SUMIF(Transactions!$F$8:$F$3006,B1418,Transactions!$R$8:$R$3006))</f>
        <v/>
      </c>
      <c r="G1418" s="46" t="str">
        <f>IF(B1418="","",(C1418+F1418)-(D1418+E1418+SUMIF(Transactions!$F$8:$F$3006,B1418,Transactions!$Q$8:$Q$3006)))</f>
        <v/>
      </c>
      <c r="H1418" s="47" t="str">
        <f>IF(B1418="","",IF(G1418&gt;0,"OUTSTANDING",IF(G1418=0,"SETTLED",IF(SUMIF(Transactions!$F$8:$F$3006,B1418,Transactions!$Q$8:$Q$3006)&gt;SUMIF(Transactions!$F$8:$F$3006,B1418,Transactions!$R$8:$R$3006),"OWES","OVERPAID"))))</f>
        <v/>
      </c>
      <c r="I1418" s="1"/>
    </row>
    <row r="1419" spans="1:9" ht="18" customHeight="1" x14ac:dyDescent="0.25">
      <c r="A1419" s="48">
        <v>1404</v>
      </c>
      <c r="B1419" s="49" t="str">
        <f t="array" ref="B1419">IFERROR(IF(INDEX(Transactions!$F$8:$F$3006,MATCH(0,COUNTIF($B$11:B1418,Transactions!$F$8:$F$3006),0))="","",INDEX(Transactions!$F$8:$F$3006,MATCH(0,COUNTIF($B$11:B1418,Transactions!$F$8:$F$3006),0))),"")</f>
        <v/>
      </c>
      <c r="C1419" s="50" t="str">
        <f>IF(B1419="","",SUMIF(Transactions!$F$8:$F$3006,B1419,Transactions!$H$8:$H$3006))</f>
        <v/>
      </c>
      <c r="D1419" s="51" t="str">
        <f>IF(B1419="","",SUMIF(Transactions!$F$8:$F$3006,B1419,Transactions!$N$8:$N$3006))</f>
        <v/>
      </c>
      <c r="E1419" s="52" t="str">
        <f>IF(B1419="","",SUMIF(Transactions!$F$8:$F$3006,B1419,Transactions!$O$8:$O$3006))</f>
        <v/>
      </c>
      <c r="F1419" s="53" t="str">
        <f>IF(B1419="","",SUMIF(Transactions!$F$8:$F$3006,B1419,Transactions!$R$8:$R$3006))</f>
        <v/>
      </c>
      <c r="G1419" s="54" t="str">
        <f>IF(B1419="","",(C1419+F1419)-(D1419+E1419+SUMIF(Transactions!$F$8:$F$3006,B1419,Transactions!$Q$8:$Q$3006)))</f>
        <v/>
      </c>
      <c r="H1419" s="55" t="str">
        <f>IF(B1419="","",IF(G1419&gt;0,"OUTSTANDING",IF(G1419=0,"SETTLED",IF(SUMIF(Transactions!$F$8:$F$3006,B1419,Transactions!$Q$8:$Q$3006)&gt;SUMIF(Transactions!$F$8:$F$3006,B1419,Transactions!$R$8:$R$3006),"OWES","OVERPAID"))))</f>
        <v/>
      </c>
      <c r="I1419" s="1"/>
    </row>
    <row r="1420" spans="1:9" ht="18" customHeight="1" x14ac:dyDescent="0.25">
      <c r="A1420" s="40">
        <v>1405</v>
      </c>
      <c r="B1420" s="41" t="str">
        <f t="array" ref="B1420">IFERROR(IF(INDEX(Transactions!$F$8:$F$3006,MATCH(0,COUNTIF($B$11:B1419,Transactions!$F$8:$F$3006),0))="","",INDEX(Transactions!$F$8:$F$3006,MATCH(0,COUNTIF($B$11:B1419,Transactions!$F$8:$F$3006),0))),"")</f>
        <v/>
      </c>
      <c r="C1420" s="42" t="str">
        <f>IF(B1420="","",SUMIF(Transactions!$F$8:$F$3006,B1420,Transactions!$H$8:$H$3006))</f>
        <v/>
      </c>
      <c r="D1420" s="43" t="str">
        <f>IF(B1420="","",SUMIF(Transactions!$F$8:$F$3006,B1420,Transactions!$N$8:$N$3006))</f>
        <v/>
      </c>
      <c r="E1420" s="44" t="str">
        <f>IF(B1420="","",SUMIF(Transactions!$F$8:$F$3006,B1420,Transactions!$O$8:$O$3006))</f>
        <v/>
      </c>
      <c r="F1420" s="45" t="str">
        <f>IF(B1420="","",SUMIF(Transactions!$F$8:$F$3006,B1420,Transactions!$R$8:$R$3006))</f>
        <v/>
      </c>
      <c r="G1420" s="46" t="str">
        <f>IF(B1420="","",(C1420+F1420)-(D1420+E1420+SUMIF(Transactions!$F$8:$F$3006,B1420,Transactions!$Q$8:$Q$3006)))</f>
        <v/>
      </c>
      <c r="H1420" s="47" t="str">
        <f>IF(B1420="","",IF(G1420&gt;0,"OUTSTANDING",IF(G1420=0,"SETTLED",IF(SUMIF(Transactions!$F$8:$F$3006,B1420,Transactions!$Q$8:$Q$3006)&gt;SUMIF(Transactions!$F$8:$F$3006,B1420,Transactions!$R$8:$R$3006),"OWES","OVERPAID"))))</f>
        <v/>
      </c>
      <c r="I1420" s="1"/>
    </row>
    <row r="1421" spans="1:9" ht="18" customHeight="1" x14ac:dyDescent="0.25">
      <c r="A1421" s="48">
        <v>1406</v>
      </c>
      <c r="B1421" s="49" t="str">
        <f t="array" ref="B1421">IFERROR(IF(INDEX(Transactions!$F$8:$F$3006,MATCH(0,COUNTIF($B$11:B1420,Transactions!$F$8:$F$3006),0))="","",INDEX(Transactions!$F$8:$F$3006,MATCH(0,COUNTIF($B$11:B1420,Transactions!$F$8:$F$3006),0))),"")</f>
        <v/>
      </c>
      <c r="C1421" s="50" t="str">
        <f>IF(B1421="","",SUMIF(Transactions!$F$8:$F$3006,B1421,Transactions!$H$8:$H$3006))</f>
        <v/>
      </c>
      <c r="D1421" s="51" t="str">
        <f>IF(B1421="","",SUMIF(Transactions!$F$8:$F$3006,B1421,Transactions!$N$8:$N$3006))</f>
        <v/>
      </c>
      <c r="E1421" s="52" t="str">
        <f>IF(B1421="","",SUMIF(Transactions!$F$8:$F$3006,B1421,Transactions!$O$8:$O$3006))</f>
        <v/>
      </c>
      <c r="F1421" s="53" t="str">
        <f>IF(B1421="","",SUMIF(Transactions!$F$8:$F$3006,B1421,Transactions!$R$8:$R$3006))</f>
        <v/>
      </c>
      <c r="G1421" s="54" t="str">
        <f>IF(B1421="","",(C1421+F1421)-(D1421+E1421+SUMIF(Transactions!$F$8:$F$3006,B1421,Transactions!$Q$8:$Q$3006)))</f>
        <v/>
      </c>
      <c r="H1421" s="55" t="str">
        <f>IF(B1421="","",IF(G1421&gt;0,"OUTSTANDING",IF(G1421=0,"SETTLED",IF(SUMIF(Transactions!$F$8:$F$3006,B1421,Transactions!$Q$8:$Q$3006)&gt;SUMIF(Transactions!$F$8:$F$3006,B1421,Transactions!$R$8:$R$3006),"OWES","OVERPAID"))))</f>
        <v/>
      </c>
      <c r="I1421" s="1"/>
    </row>
    <row r="1422" spans="1:9" ht="18" customHeight="1" x14ac:dyDescent="0.25">
      <c r="A1422" s="40">
        <v>1407</v>
      </c>
      <c r="B1422" s="41" t="str">
        <f t="array" ref="B1422">IFERROR(IF(INDEX(Transactions!$F$8:$F$3006,MATCH(0,COUNTIF($B$11:B1421,Transactions!$F$8:$F$3006),0))="","",INDEX(Transactions!$F$8:$F$3006,MATCH(0,COUNTIF($B$11:B1421,Transactions!$F$8:$F$3006),0))),"")</f>
        <v/>
      </c>
      <c r="C1422" s="42" t="str">
        <f>IF(B1422="","",SUMIF(Transactions!$F$8:$F$3006,B1422,Transactions!$H$8:$H$3006))</f>
        <v/>
      </c>
      <c r="D1422" s="43" t="str">
        <f>IF(B1422="","",SUMIF(Transactions!$F$8:$F$3006,B1422,Transactions!$N$8:$N$3006))</f>
        <v/>
      </c>
      <c r="E1422" s="44" t="str">
        <f>IF(B1422="","",SUMIF(Transactions!$F$8:$F$3006,B1422,Transactions!$O$8:$O$3006))</f>
        <v/>
      </c>
      <c r="F1422" s="45" t="str">
        <f>IF(B1422="","",SUMIF(Transactions!$F$8:$F$3006,B1422,Transactions!$R$8:$R$3006))</f>
        <v/>
      </c>
      <c r="G1422" s="46" t="str">
        <f>IF(B1422="","",(C1422+F1422)-(D1422+E1422+SUMIF(Transactions!$F$8:$F$3006,B1422,Transactions!$Q$8:$Q$3006)))</f>
        <v/>
      </c>
      <c r="H1422" s="47" t="str">
        <f>IF(B1422="","",IF(G1422&gt;0,"OUTSTANDING",IF(G1422=0,"SETTLED",IF(SUMIF(Transactions!$F$8:$F$3006,B1422,Transactions!$Q$8:$Q$3006)&gt;SUMIF(Transactions!$F$8:$F$3006,B1422,Transactions!$R$8:$R$3006),"OWES","OVERPAID"))))</f>
        <v/>
      </c>
      <c r="I1422" s="1"/>
    </row>
    <row r="1423" spans="1:9" ht="18" customHeight="1" x14ac:dyDescent="0.25">
      <c r="A1423" s="48">
        <v>1408</v>
      </c>
      <c r="B1423" s="49" t="str">
        <f t="array" ref="B1423">IFERROR(IF(INDEX(Transactions!$F$8:$F$3006,MATCH(0,COUNTIF($B$11:B1422,Transactions!$F$8:$F$3006),0))="","",INDEX(Transactions!$F$8:$F$3006,MATCH(0,COUNTIF($B$11:B1422,Transactions!$F$8:$F$3006),0))),"")</f>
        <v/>
      </c>
      <c r="C1423" s="50" t="str">
        <f>IF(B1423="","",SUMIF(Transactions!$F$8:$F$3006,B1423,Transactions!$H$8:$H$3006))</f>
        <v/>
      </c>
      <c r="D1423" s="51" t="str">
        <f>IF(B1423="","",SUMIF(Transactions!$F$8:$F$3006,B1423,Transactions!$N$8:$N$3006))</f>
        <v/>
      </c>
      <c r="E1423" s="52" t="str">
        <f>IF(B1423="","",SUMIF(Transactions!$F$8:$F$3006,B1423,Transactions!$O$8:$O$3006))</f>
        <v/>
      </c>
      <c r="F1423" s="53" t="str">
        <f>IF(B1423="","",SUMIF(Transactions!$F$8:$F$3006,B1423,Transactions!$R$8:$R$3006))</f>
        <v/>
      </c>
      <c r="G1423" s="54" t="str">
        <f>IF(B1423="","",(C1423+F1423)-(D1423+E1423+SUMIF(Transactions!$F$8:$F$3006,B1423,Transactions!$Q$8:$Q$3006)))</f>
        <v/>
      </c>
      <c r="H1423" s="55" t="str">
        <f>IF(B1423="","",IF(G1423&gt;0,"OUTSTANDING",IF(G1423=0,"SETTLED",IF(SUMIF(Transactions!$F$8:$F$3006,B1423,Transactions!$Q$8:$Q$3006)&gt;SUMIF(Transactions!$F$8:$F$3006,B1423,Transactions!$R$8:$R$3006),"OWES","OVERPAID"))))</f>
        <v/>
      </c>
      <c r="I1423" s="1"/>
    </row>
    <row r="1424" spans="1:9" ht="18" customHeight="1" x14ac:dyDescent="0.25">
      <c r="A1424" s="40">
        <v>1409</v>
      </c>
      <c r="B1424" s="41" t="str">
        <f t="array" ref="B1424">IFERROR(IF(INDEX(Transactions!$F$8:$F$3006,MATCH(0,COUNTIF($B$11:B1423,Transactions!$F$8:$F$3006),0))="","",INDEX(Transactions!$F$8:$F$3006,MATCH(0,COUNTIF($B$11:B1423,Transactions!$F$8:$F$3006),0))),"")</f>
        <v/>
      </c>
      <c r="C1424" s="42" t="str">
        <f>IF(B1424="","",SUMIF(Transactions!$F$8:$F$3006,B1424,Transactions!$H$8:$H$3006))</f>
        <v/>
      </c>
      <c r="D1424" s="43" t="str">
        <f>IF(B1424="","",SUMIF(Transactions!$F$8:$F$3006,B1424,Transactions!$N$8:$N$3006))</f>
        <v/>
      </c>
      <c r="E1424" s="44" t="str">
        <f>IF(B1424="","",SUMIF(Transactions!$F$8:$F$3006,B1424,Transactions!$O$8:$O$3006))</f>
        <v/>
      </c>
      <c r="F1424" s="45" t="str">
        <f>IF(B1424="","",SUMIF(Transactions!$F$8:$F$3006,B1424,Transactions!$R$8:$R$3006))</f>
        <v/>
      </c>
      <c r="G1424" s="46" t="str">
        <f>IF(B1424="","",(C1424+F1424)-(D1424+E1424+SUMIF(Transactions!$F$8:$F$3006,B1424,Transactions!$Q$8:$Q$3006)))</f>
        <v/>
      </c>
      <c r="H1424" s="47" t="str">
        <f>IF(B1424="","",IF(G1424&gt;0,"OUTSTANDING",IF(G1424=0,"SETTLED",IF(SUMIF(Transactions!$F$8:$F$3006,B1424,Transactions!$Q$8:$Q$3006)&gt;SUMIF(Transactions!$F$8:$F$3006,B1424,Transactions!$R$8:$R$3006),"OWES","OVERPAID"))))</f>
        <v/>
      </c>
      <c r="I1424" s="1"/>
    </row>
    <row r="1425" spans="1:9" ht="18" customHeight="1" x14ac:dyDescent="0.25">
      <c r="A1425" s="48">
        <v>1410</v>
      </c>
      <c r="B1425" s="49" t="str">
        <f t="array" ref="B1425">IFERROR(IF(INDEX(Transactions!$F$8:$F$3006,MATCH(0,COUNTIF($B$11:B1424,Transactions!$F$8:$F$3006),0))="","",INDEX(Transactions!$F$8:$F$3006,MATCH(0,COUNTIF($B$11:B1424,Transactions!$F$8:$F$3006),0))),"")</f>
        <v/>
      </c>
      <c r="C1425" s="50" t="str">
        <f>IF(B1425="","",SUMIF(Transactions!$F$8:$F$3006,B1425,Transactions!$H$8:$H$3006))</f>
        <v/>
      </c>
      <c r="D1425" s="51" t="str">
        <f>IF(B1425="","",SUMIF(Transactions!$F$8:$F$3006,B1425,Transactions!$N$8:$N$3006))</f>
        <v/>
      </c>
      <c r="E1425" s="52" t="str">
        <f>IF(B1425="","",SUMIF(Transactions!$F$8:$F$3006,B1425,Transactions!$O$8:$O$3006))</f>
        <v/>
      </c>
      <c r="F1425" s="53" t="str">
        <f>IF(B1425="","",SUMIF(Transactions!$F$8:$F$3006,B1425,Transactions!$R$8:$R$3006))</f>
        <v/>
      </c>
      <c r="G1425" s="54" t="str">
        <f>IF(B1425="","",(C1425+F1425)-(D1425+E1425+SUMIF(Transactions!$F$8:$F$3006,B1425,Transactions!$Q$8:$Q$3006)))</f>
        <v/>
      </c>
      <c r="H1425" s="55" t="str">
        <f>IF(B1425="","",IF(G1425&gt;0,"OUTSTANDING",IF(G1425=0,"SETTLED",IF(SUMIF(Transactions!$F$8:$F$3006,B1425,Transactions!$Q$8:$Q$3006)&gt;SUMIF(Transactions!$F$8:$F$3006,B1425,Transactions!$R$8:$R$3006),"OWES","OVERPAID"))))</f>
        <v/>
      </c>
      <c r="I1425" s="1"/>
    </row>
    <row r="1426" spans="1:9" ht="18" customHeight="1" x14ac:dyDescent="0.25">
      <c r="A1426" s="40">
        <v>1411</v>
      </c>
      <c r="B1426" s="41" t="str">
        <f t="array" ref="B1426">IFERROR(IF(INDEX(Transactions!$F$8:$F$3006,MATCH(0,COUNTIF($B$11:B1425,Transactions!$F$8:$F$3006),0))="","",INDEX(Transactions!$F$8:$F$3006,MATCH(0,COUNTIF($B$11:B1425,Transactions!$F$8:$F$3006),0))),"")</f>
        <v/>
      </c>
      <c r="C1426" s="42" t="str">
        <f>IF(B1426="","",SUMIF(Transactions!$F$8:$F$3006,B1426,Transactions!$H$8:$H$3006))</f>
        <v/>
      </c>
      <c r="D1426" s="43" t="str">
        <f>IF(B1426="","",SUMIF(Transactions!$F$8:$F$3006,B1426,Transactions!$N$8:$N$3006))</f>
        <v/>
      </c>
      <c r="E1426" s="44" t="str">
        <f>IF(B1426="","",SUMIF(Transactions!$F$8:$F$3006,B1426,Transactions!$O$8:$O$3006))</f>
        <v/>
      </c>
      <c r="F1426" s="45" t="str">
        <f>IF(B1426="","",SUMIF(Transactions!$F$8:$F$3006,B1426,Transactions!$R$8:$R$3006))</f>
        <v/>
      </c>
      <c r="G1426" s="46" t="str">
        <f>IF(B1426="","",(C1426+F1426)-(D1426+E1426+SUMIF(Transactions!$F$8:$F$3006,B1426,Transactions!$Q$8:$Q$3006)))</f>
        <v/>
      </c>
      <c r="H1426" s="47" t="str">
        <f>IF(B1426="","",IF(G1426&gt;0,"OUTSTANDING",IF(G1426=0,"SETTLED",IF(SUMIF(Transactions!$F$8:$F$3006,B1426,Transactions!$Q$8:$Q$3006)&gt;SUMIF(Transactions!$F$8:$F$3006,B1426,Transactions!$R$8:$R$3006),"OWES","OVERPAID"))))</f>
        <v/>
      </c>
      <c r="I1426" s="1"/>
    </row>
    <row r="1427" spans="1:9" ht="18" customHeight="1" x14ac:dyDescent="0.25">
      <c r="A1427" s="48">
        <v>1412</v>
      </c>
      <c r="B1427" s="49" t="str">
        <f t="array" ref="B1427">IFERROR(IF(INDEX(Transactions!$F$8:$F$3006,MATCH(0,COUNTIF($B$11:B1426,Transactions!$F$8:$F$3006),0))="","",INDEX(Transactions!$F$8:$F$3006,MATCH(0,COUNTIF($B$11:B1426,Transactions!$F$8:$F$3006),0))),"")</f>
        <v/>
      </c>
      <c r="C1427" s="50" t="str">
        <f>IF(B1427="","",SUMIF(Transactions!$F$8:$F$3006,B1427,Transactions!$H$8:$H$3006))</f>
        <v/>
      </c>
      <c r="D1427" s="51" t="str">
        <f>IF(B1427="","",SUMIF(Transactions!$F$8:$F$3006,B1427,Transactions!$N$8:$N$3006))</f>
        <v/>
      </c>
      <c r="E1427" s="52" t="str">
        <f>IF(B1427="","",SUMIF(Transactions!$F$8:$F$3006,B1427,Transactions!$O$8:$O$3006))</f>
        <v/>
      </c>
      <c r="F1427" s="53" t="str">
        <f>IF(B1427="","",SUMIF(Transactions!$F$8:$F$3006,B1427,Transactions!$R$8:$R$3006))</f>
        <v/>
      </c>
      <c r="G1427" s="54" t="str">
        <f>IF(B1427="","",(C1427+F1427)-(D1427+E1427+SUMIF(Transactions!$F$8:$F$3006,B1427,Transactions!$Q$8:$Q$3006)))</f>
        <v/>
      </c>
      <c r="H1427" s="55" t="str">
        <f>IF(B1427="","",IF(G1427&gt;0,"OUTSTANDING",IF(G1427=0,"SETTLED",IF(SUMIF(Transactions!$F$8:$F$3006,B1427,Transactions!$Q$8:$Q$3006)&gt;SUMIF(Transactions!$F$8:$F$3006,B1427,Transactions!$R$8:$R$3006),"OWES","OVERPAID"))))</f>
        <v/>
      </c>
      <c r="I1427" s="1"/>
    </row>
    <row r="1428" spans="1:9" ht="18" customHeight="1" x14ac:dyDescent="0.25">
      <c r="A1428" s="40">
        <v>1413</v>
      </c>
      <c r="B1428" s="41" t="str">
        <f t="array" ref="B1428">IFERROR(IF(INDEX(Transactions!$F$8:$F$3006,MATCH(0,COUNTIF($B$11:B1427,Transactions!$F$8:$F$3006),0))="","",INDEX(Transactions!$F$8:$F$3006,MATCH(0,COUNTIF($B$11:B1427,Transactions!$F$8:$F$3006),0))),"")</f>
        <v/>
      </c>
      <c r="C1428" s="42" t="str">
        <f>IF(B1428="","",SUMIF(Transactions!$F$8:$F$3006,B1428,Transactions!$H$8:$H$3006))</f>
        <v/>
      </c>
      <c r="D1428" s="43" t="str">
        <f>IF(B1428="","",SUMIF(Transactions!$F$8:$F$3006,B1428,Transactions!$N$8:$N$3006))</f>
        <v/>
      </c>
      <c r="E1428" s="44" t="str">
        <f>IF(B1428="","",SUMIF(Transactions!$F$8:$F$3006,B1428,Transactions!$O$8:$O$3006))</f>
        <v/>
      </c>
      <c r="F1428" s="45" t="str">
        <f>IF(B1428="","",SUMIF(Transactions!$F$8:$F$3006,B1428,Transactions!$R$8:$R$3006))</f>
        <v/>
      </c>
      <c r="G1428" s="46" t="str">
        <f>IF(B1428="","",(C1428+F1428)-(D1428+E1428+SUMIF(Transactions!$F$8:$F$3006,B1428,Transactions!$Q$8:$Q$3006)))</f>
        <v/>
      </c>
      <c r="H1428" s="47" t="str">
        <f>IF(B1428="","",IF(G1428&gt;0,"OUTSTANDING",IF(G1428=0,"SETTLED",IF(SUMIF(Transactions!$F$8:$F$3006,B1428,Transactions!$Q$8:$Q$3006)&gt;SUMIF(Transactions!$F$8:$F$3006,B1428,Transactions!$R$8:$R$3006),"OWES","OVERPAID"))))</f>
        <v/>
      </c>
      <c r="I1428" s="1"/>
    </row>
    <row r="1429" spans="1:9" ht="18" customHeight="1" x14ac:dyDescent="0.25">
      <c r="A1429" s="48">
        <v>1414</v>
      </c>
      <c r="B1429" s="49" t="str">
        <f t="array" ref="B1429">IFERROR(IF(INDEX(Transactions!$F$8:$F$3006,MATCH(0,COUNTIF($B$11:B1428,Transactions!$F$8:$F$3006),0))="","",INDEX(Transactions!$F$8:$F$3006,MATCH(0,COUNTIF($B$11:B1428,Transactions!$F$8:$F$3006),0))),"")</f>
        <v/>
      </c>
      <c r="C1429" s="50" t="str">
        <f>IF(B1429="","",SUMIF(Transactions!$F$8:$F$3006,B1429,Transactions!$H$8:$H$3006))</f>
        <v/>
      </c>
      <c r="D1429" s="51" t="str">
        <f>IF(B1429="","",SUMIF(Transactions!$F$8:$F$3006,B1429,Transactions!$N$8:$N$3006))</f>
        <v/>
      </c>
      <c r="E1429" s="52" t="str">
        <f>IF(B1429="","",SUMIF(Transactions!$F$8:$F$3006,B1429,Transactions!$O$8:$O$3006))</f>
        <v/>
      </c>
      <c r="F1429" s="53" t="str">
        <f>IF(B1429="","",SUMIF(Transactions!$F$8:$F$3006,B1429,Transactions!$R$8:$R$3006))</f>
        <v/>
      </c>
      <c r="G1429" s="54" t="str">
        <f>IF(B1429="","",(C1429+F1429)-(D1429+E1429+SUMIF(Transactions!$F$8:$F$3006,B1429,Transactions!$Q$8:$Q$3006)))</f>
        <v/>
      </c>
      <c r="H1429" s="55" t="str">
        <f>IF(B1429="","",IF(G1429&gt;0,"OUTSTANDING",IF(G1429=0,"SETTLED",IF(SUMIF(Transactions!$F$8:$F$3006,B1429,Transactions!$Q$8:$Q$3006)&gt;SUMIF(Transactions!$F$8:$F$3006,B1429,Transactions!$R$8:$R$3006),"OWES","OVERPAID"))))</f>
        <v/>
      </c>
      <c r="I1429" s="1"/>
    </row>
    <row r="1430" spans="1:9" ht="18" customHeight="1" x14ac:dyDescent="0.25">
      <c r="A1430" s="40">
        <v>1415</v>
      </c>
      <c r="B1430" s="41" t="str">
        <f t="array" ref="B1430">IFERROR(IF(INDEX(Transactions!$F$8:$F$3006,MATCH(0,COUNTIF($B$11:B1429,Transactions!$F$8:$F$3006),0))="","",INDEX(Transactions!$F$8:$F$3006,MATCH(0,COUNTIF($B$11:B1429,Transactions!$F$8:$F$3006),0))),"")</f>
        <v/>
      </c>
      <c r="C1430" s="42" t="str">
        <f>IF(B1430="","",SUMIF(Transactions!$F$8:$F$3006,B1430,Transactions!$H$8:$H$3006))</f>
        <v/>
      </c>
      <c r="D1430" s="43" t="str">
        <f>IF(B1430="","",SUMIF(Transactions!$F$8:$F$3006,B1430,Transactions!$N$8:$N$3006))</f>
        <v/>
      </c>
      <c r="E1430" s="44" t="str">
        <f>IF(B1430="","",SUMIF(Transactions!$F$8:$F$3006,B1430,Transactions!$O$8:$O$3006))</f>
        <v/>
      </c>
      <c r="F1430" s="45" t="str">
        <f>IF(B1430="","",SUMIF(Transactions!$F$8:$F$3006,B1430,Transactions!$R$8:$R$3006))</f>
        <v/>
      </c>
      <c r="G1430" s="46" t="str">
        <f>IF(B1430="","",(C1430+F1430)-(D1430+E1430+SUMIF(Transactions!$F$8:$F$3006,B1430,Transactions!$Q$8:$Q$3006)))</f>
        <v/>
      </c>
      <c r="H1430" s="47" t="str">
        <f>IF(B1430="","",IF(G1430&gt;0,"OUTSTANDING",IF(G1430=0,"SETTLED",IF(SUMIF(Transactions!$F$8:$F$3006,B1430,Transactions!$Q$8:$Q$3006)&gt;SUMIF(Transactions!$F$8:$F$3006,B1430,Transactions!$R$8:$R$3006),"OWES","OVERPAID"))))</f>
        <v/>
      </c>
      <c r="I1430" s="1"/>
    </row>
    <row r="1431" spans="1:9" ht="18" customHeight="1" x14ac:dyDescent="0.25">
      <c r="A1431" s="48">
        <v>1416</v>
      </c>
      <c r="B1431" s="49" t="str">
        <f t="array" ref="B1431">IFERROR(IF(INDEX(Transactions!$F$8:$F$3006,MATCH(0,COUNTIF($B$11:B1430,Transactions!$F$8:$F$3006),0))="","",INDEX(Transactions!$F$8:$F$3006,MATCH(0,COUNTIF($B$11:B1430,Transactions!$F$8:$F$3006),0))),"")</f>
        <v/>
      </c>
      <c r="C1431" s="50" t="str">
        <f>IF(B1431="","",SUMIF(Transactions!$F$8:$F$3006,B1431,Transactions!$H$8:$H$3006))</f>
        <v/>
      </c>
      <c r="D1431" s="51" t="str">
        <f>IF(B1431="","",SUMIF(Transactions!$F$8:$F$3006,B1431,Transactions!$N$8:$N$3006))</f>
        <v/>
      </c>
      <c r="E1431" s="52" t="str">
        <f>IF(B1431="","",SUMIF(Transactions!$F$8:$F$3006,B1431,Transactions!$O$8:$O$3006))</f>
        <v/>
      </c>
      <c r="F1431" s="53" t="str">
        <f>IF(B1431="","",SUMIF(Transactions!$F$8:$F$3006,B1431,Transactions!$R$8:$R$3006))</f>
        <v/>
      </c>
      <c r="G1431" s="54" t="str">
        <f>IF(B1431="","",(C1431+F1431)-(D1431+E1431+SUMIF(Transactions!$F$8:$F$3006,B1431,Transactions!$Q$8:$Q$3006)))</f>
        <v/>
      </c>
      <c r="H1431" s="55" t="str">
        <f>IF(B1431="","",IF(G1431&gt;0,"OUTSTANDING",IF(G1431=0,"SETTLED",IF(SUMIF(Transactions!$F$8:$F$3006,B1431,Transactions!$Q$8:$Q$3006)&gt;SUMIF(Transactions!$F$8:$F$3006,B1431,Transactions!$R$8:$R$3006),"OWES","OVERPAID"))))</f>
        <v/>
      </c>
      <c r="I1431" s="1"/>
    </row>
    <row r="1432" spans="1:9" ht="18" customHeight="1" x14ac:dyDescent="0.25">
      <c r="A1432" s="40">
        <v>1417</v>
      </c>
      <c r="B1432" s="41" t="str">
        <f t="array" ref="B1432">IFERROR(IF(INDEX(Transactions!$F$8:$F$3006,MATCH(0,COUNTIF($B$11:B1431,Transactions!$F$8:$F$3006),0))="","",INDEX(Transactions!$F$8:$F$3006,MATCH(0,COUNTIF($B$11:B1431,Transactions!$F$8:$F$3006),0))),"")</f>
        <v/>
      </c>
      <c r="C1432" s="42" t="str">
        <f>IF(B1432="","",SUMIF(Transactions!$F$8:$F$3006,B1432,Transactions!$H$8:$H$3006))</f>
        <v/>
      </c>
      <c r="D1432" s="43" t="str">
        <f>IF(B1432="","",SUMIF(Transactions!$F$8:$F$3006,B1432,Transactions!$N$8:$N$3006))</f>
        <v/>
      </c>
      <c r="E1432" s="44" t="str">
        <f>IF(B1432="","",SUMIF(Transactions!$F$8:$F$3006,B1432,Transactions!$O$8:$O$3006))</f>
        <v/>
      </c>
      <c r="F1432" s="45" t="str">
        <f>IF(B1432="","",SUMIF(Transactions!$F$8:$F$3006,B1432,Transactions!$R$8:$R$3006))</f>
        <v/>
      </c>
      <c r="G1432" s="46" t="str">
        <f>IF(B1432="","",(C1432+F1432)-(D1432+E1432+SUMIF(Transactions!$F$8:$F$3006,B1432,Transactions!$Q$8:$Q$3006)))</f>
        <v/>
      </c>
      <c r="H1432" s="47" t="str">
        <f>IF(B1432="","",IF(G1432&gt;0,"OUTSTANDING",IF(G1432=0,"SETTLED",IF(SUMIF(Transactions!$F$8:$F$3006,B1432,Transactions!$Q$8:$Q$3006)&gt;SUMIF(Transactions!$F$8:$F$3006,B1432,Transactions!$R$8:$R$3006),"OWES","OVERPAID"))))</f>
        <v/>
      </c>
      <c r="I1432" s="1"/>
    </row>
    <row r="1433" spans="1:9" ht="18" customHeight="1" x14ac:dyDescent="0.25">
      <c r="A1433" s="48">
        <v>1418</v>
      </c>
      <c r="B1433" s="49" t="str">
        <f t="array" ref="B1433">IFERROR(IF(INDEX(Transactions!$F$8:$F$3006,MATCH(0,COUNTIF($B$11:B1432,Transactions!$F$8:$F$3006),0))="","",INDEX(Transactions!$F$8:$F$3006,MATCH(0,COUNTIF($B$11:B1432,Transactions!$F$8:$F$3006),0))),"")</f>
        <v/>
      </c>
      <c r="C1433" s="50" t="str">
        <f>IF(B1433="","",SUMIF(Transactions!$F$8:$F$3006,B1433,Transactions!$H$8:$H$3006))</f>
        <v/>
      </c>
      <c r="D1433" s="51" t="str">
        <f>IF(B1433="","",SUMIF(Transactions!$F$8:$F$3006,B1433,Transactions!$N$8:$N$3006))</f>
        <v/>
      </c>
      <c r="E1433" s="52" t="str">
        <f>IF(B1433="","",SUMIF(Transactions!$F$8:$F$3006,B1433,Transactions!$O$8:$O$3006))</f>
        <v/>
      </c>
      <c r="F1433" s="53" t="str">
        <f>IF(B1433="","",SUMIF(Transactions!$F$8:$F$3006,B1433,Transactions!$R$8:$R$3006))</f>
        <v/>
      </c>
      <c r="G1433" s="54" t="str">
        <f>IF(B1433="","",(C1433+F1433)-(D1433+E1433+SUMIF(Transactions!$F$8:$F$3006,B1433,Transactions!$Q$8:$Q$3006)))</f>
        <v/>
      </c>
      <c r="H1433" s="55" t="str">
        <f>IF(B1433="","",IF(G1433&gt;0,"OUTSTANDING",IF(G1433=0,"SETTLED",IF(SUMIF(Transactions!$F$8:$F$3006,B1433,Transactions!$Q$8:$Q$3006)&gt;SUMIF(Transactions!$F$8:$F$3006,B1433,Transactions!$R$8:$R$3006),"OWES","OVERPAID"))))</f>
        <v/>
      </c>
      <c r="I1433" s="1"/>
    </row>
    <row r="1434" spans="1:9" ht="18" customHeight="1" x14ac:dyDescent="0.25">
      <c r="A1434" s="40">
        <v>1419</v>
      </c>
      <c r="B1434" s="41" t="str">
        <f t="array" ref="B1434">IFERROR(IF(INDEX(Transactions!$F$8:$F$3006,MATCH(0,COUNTIF($B$11:B1433,Transactions!$F$8:$F$3006),0))="","",INDEX(Transactions!$F$8:$F$3006,MATCH(0,COUNTIF($B$11:B1433,Transactions!$F$8:$F$3006),0))),"")</f>
        <v/>
      </c>
      <c r="C1434" s="42" t="str">
        <f>IF(B1434="","",SUMIF(Transactions!$F$8:$F$3006,B1434,Transactions!$H$8:$H$3006))</f>
        <v/>
      </c>
      <c r="D1434" s="43" t="str">
        <f>IF(B1434="","",SUMIF(Transactions!$F$8:$F$3006,B1434,Transactions!$N$8:$N$3006))</f>
        <v/>
      </c>
      <c r="E1434" s="44" t="str">
        <f>IF(B1434="","",SUMIF(Transactions!$F$8:$F$3006,B1434,Transactions!$O$8:$O$3006))</f>
        <v/>
      </c>
      <c r="F1434" s="45" t="str">
        <f>IF(B1434="","",SUMIF(Transactions!$F$8:$F$3006,B1434,Transactions!$R$8:$R$3006))</f>
        <v/>
      </c>
      <c r="G1434" s="46" t="str">
        <f>IF(B1434="","",(C1434+F1434)-(D1434+E1434+SUMIF(Transactions!$F$8:$F$3006,B1434,Transactions!$Q$8:$Q$3006)))</f>
        <v/>
      </c>
      <c r="H1434" s="47" t="str">
        <f>IF(B1434="","",IF(G1434&gt;0,"OUTSTANDING",IF(G1434=0,"SETTLED",IF(SUMIF(Transactions!$F$8:$F$3006,B1434,Transactions!$Q$8:$Q$3006)&gt;SUMIF(Transactions!$F$8:$F$3006,B1434,Transactions!$R$8:$R$3006),"OWES","OVERPAID"))))</f>
        <v/>
      </c>
      <c r="I1434" s="1"/>
    </row>
    <row r="1435" spans="1:9" ht="18" customHeight="1" x14ac:dyDescent="0.25">
      <c r="A1435" s="48">
        <v>1420</v>
      </c>
      <c r="B1435" s="49" t="str">
        <f t="array" ref="B1435">IFERROR(IF(INDEX(Transactions!$F$8:$F$3006,MATCH(0,COUNTIF($B$11:B1434,Transactions!$F$8:$F$3006),0))="","",INDEX(Transactions!$F$8:$F$3006,MATCH(0,COUNTIF($B$11:B1434,Transactions!$F$8:$F$3006),0))),"")</f>
        <v/>
      </c>
      <c r="C1435" s="50" t="str">
        <f>IF(B1435="","",SUMIF(Transactions!$F$8:$F$3006,B1435,Transactions!$H$8:$H$3006))</f>
        <v/>
      </c>
      <c r="D1435" s="51" t="str">
        <f>IF(B1435="","",SUMIF(Transactions!$F$8:$F$3006,B1435,Transactions!$N$8:$N$3006))</f>
        <v/>
      </c>
      <c r="E1435" s="52" t="str">
        <f>IF(B1435="","",SUMIF(Transactions!$F$8:$F$3006,B1435,Transactions!$O$8:$O$3006))</f>
        <v/>
      </c>
      <c r="F1435" s="53" t="str">
        <f>IF(B1435="","",SUMIF(Transactions!$F$8:$F$3006,B1435,Transactions!$R$8:$R$3006))</f>
        <v/>
      </c>
      <c r="G1435" s="54" t="str">
        <f>IF(B1435="","",(C1435+F1435)-(D1435+E1435+SUMIF(Transactions!$F$8:$F$3006,B1435,Transactions!$Q$8:$Q$3006)))</f>
        <v/>
      </c>
      <c r="H1435" s="55" t="str">
        <f>IF(B1435="","",IF(G1435&gt;0,"OUTSTANDING",IF(G1435=0,"SETTLED",IF(SUMIF(Transactions!$F$8:$F$3006,B1435,Transactions!$Q$8:$Q$3006)&gt;SUMIF(Transactions!$F$8:$F$3006,B1435,Transactions!$R$8:$R$3006),"OWES","OVERPAID"))))</f>
        <v/>
      </c>
      <c r="I1435" s="1"/>
    </row>
    <row r="1436" spans="1:9" ht="18" customHeight="1" x14ac:dyDescent="0.25">
      <c r="A1436" s="40">
        <v>1421</v>
      </c>
      <c r="B1436" s="41" t="str">
        <f t="array" ref="B1436">IFERROR(IF(INDEX(Transactions!$F$8:$F$3006,MATCH(0,COUNTIF($B$11:B1435,Transactions!$F$8:$F$3006),0))="","",INDEX(Transactions!$F$8:$F$3006,MATCH(0,COUNTIF($B$11:B1435,Transactions!$F$8:$F$3006),0))),"")</f>
        <v/>
      </c>
      <c r="C1436" s="42" t="str">
        <f>IF(B1436="","",SUMIF(Transactions!$F$8:$F$3006,B1436,Transactions!$H$8:$H$3006))</f>
        <v/>
      </c>
      <c r="D1436" s="43" t="str">
        <f>IF(B1436="","",SUMIF(Transactions!$F$8:$F$3006,B1436,Transactions!$N$8:$N$3006))</f>
        <v/>
      </c>
      <c r="E1436" s="44" t="str">
        <f>IF(B1436="","",SUMIF(Transactions!$F$8:$F$3006,B1436,Transactions!$O$8:$O$3006))</f>
        <v/>
      </c>
      <c r="F1436" s="45" t="str">
        <f>IF(B1436="","",SUMIF(Transactions!$F$8:$F$3006,B1436,Transactions!$R$8:$R$3006))</f>
        <v/>
      </c>
      <c r="G1436" s="46" t="str">
        <f>IF(B1436="","",(C1436+F1436)-(D1436+E1436+SUMIF(Transactions!$F$8:$F$3006,B1436,Transactions!$Q$8:$Q$3006)))</f>
        <v/>
      </c>
      <c r="H1436" s="47" t="str">
        <f>IF(B1436="","",IF(G1436&gt;0,"OUTSTANDING",IF(G1436=0,"SETTLED",IF(SUMIF(Transactions!$F$8:$F$3006,B1436,Transactions!$Q$8:$Q$3006)&gt;SUMIF(Transactions!$F$8:$F$3006,B1436,Transactions!$R$8:$R$3006),"OWES","OVERPAID"))))</f>
        <v/>
      </c>
      <c r="I1436" s="1"/>
    </row>
    <row r="1437" spans="1:9" ht="18" customHeight="1" x14ac:dyDescent="0.25">
      <c r="A1437" s="48">
        <v>1422</v>
      </c>
      <c r="B1437" s="49" t="str">
        <f t="array" ref="B1437">IFERROR(IF(INDEX(Transactions!$F$8:$F$3006,MATCH(0,COUNTIF($B$11:B1436,Transactions!$F$8:$F$3006),0))="","",INDEX(Transactions!$F$8:$F$3006,MATCH(0,COUNTIF($B$11:B1436,Transactions!$F$8:$F$3006),0))),"")</f>
        <v/>
      </c>
      <c r="C1437" s="50" t="str">
        <f>IF(B1437="","",SUMIF(Transactions!$F$8:$F$3006,B1437,Transactions!$H$8:$H$3006))</f>
        <v/>
      </c>
      <c r="D1437" s="51" t="str">
        <f>IF(B1437="","",SUMIF(Transactions!$F$8:$F$3006,B1437,Transactions!$N$8:$N$3006))</f>
        <v/>
      </c>
      <c r="E1437" s="52" t="str">
        <f>IF(B1437="","",SUMIF(Transactions!$F$8:$F$3006,B1437,Transactions!$O$8:$O$3006))</f>
        <v/>
      </c>
      <c r="F1437" s="53" t="str">
        <f>IF(B1437="","",SUMIF(Transactions!$F$8:$F$3006,B1437,Transactions!$R$8:$R$3006))</f>
        <v/>
      </c>
      <c r="G1437" s="54" t="str">
        <f>IF(B1437="","",(C1437+F1437)-(D1437+E1437+SUMIF(Transactions!$F$8:$F$3006,B1437,Transactions!$Q$8:$Q$3006)))</f>
        <v/>
      </c>
      <c r="H1437" s="55" t="str">
        <f>IF(B1437="","",IF(G1437&gt;0,"OUTSTANDING",IF(G1437=0,"SETTLED",IF(SUMIF(Transactions!$F$8:$F$3006,B1437,Transactions!$Q$8:$Q$3006)&gt;SUMIF(Transactions!$F$8:$F$3006,B1437,Transactions!$R$8:$R$3006),"OWES","OVERPAID"))))</f>
        <v/>
      </c>
      <c r="I1437" s="1"/>
    </row>
    <row r="1438" spans="1:9" ht="18" customHeight="1" x14ac:dyDescent="0.25">
      <c r="A1438" s="40">
        <v>1423</v>
      </c>
      <c r="B1438" s="41" t="str">
        <f t="array" ref="B1438">IFERROR(IF(INDEX(Transactions!$F$8:$F$3006,MATCH(0,COUNTIF($B$11:B1437,Transactions!$F$8:$F$3006),0))="","",INDEX(Transactions!$F$8:$F$3006,MATCH(0,COUNTIF($B$11:B1437,Transactions!$F$8:$F$3006),0))),"")</f>
        <v/>
      </c>
      <c r="C1438" s="42" t="str">
        <f>IF(B1438="","",SUMIF(Transactions!$F$8:$F$3006,B1438,Transactions!$H$8:$H$3006))</f>
        <v/>
      </c>
      <c r="D1438" s="43" t="str">
        <f>IF(B1438="","",SUMIF(Transactions!$F$8:$F$3006,B1438,Transactions!$N$8:$N$3006))</f>
        <v/>
      </c>
      <c r="E1438" s="44" t="str">
        <f>IF(B1438="","",SUMIF(Transactions!$F$8:$F$3006,B1438,Transactions!$O$8:$O$3006))</f>
        <v/>
      </c>
      <c r="F1438" s="45" t="str">
        <f>IF(B1438="","",SUMIF(Transactions!$F$8:$F$3006,B1438,Transactions!$R$8:$R$3006))</f>
        <v/>
      </c>
      <c r="G1438" s="46" t="str">
        <f>IF(B1438="","",(C1438+F1438)-(D1438+E1438+SUMIF(Transactions!$F$8:$F$3006,B1438,Transactions!$Q$8:$Q$3006)))</f>
        <v/>
      </c>
      <c r="H1438" s="47" t="str">
        <f>IF(B1438="","",IF(G1438&gt;0,"OUTSTANDING",IF(G1438=0,"SETTLED",IF(SUMIF(Transactions!$F$8:$F$3006,B1438,Transactions!$Q$8:$Q$3006)&gt;SUMIF(Transactions!$F$8:$F$3006,B1438,Transactions!$R$8:$R$3006),"OWES","OVERPAID"))))</f>
        <v/>
      </c>
      <c r="I1438" s="1"/>
    </row>
    <row r="1439" spans="1:9" ht="18" customHeight="1" x14ac:dyDescent="0.25">
      <c r="A1439" s="48">
        <v>1424</v>
      </c>
      <c r="B1439" s="49" t="str">
        <f t="array" ref="B1439">IFERROR(IF(INDEX(Transactions!$F$8:$F$3006,MATCH(0,COUNTIF($B$11:B1438,Transactions!$F$8:$F$3006),0))="","",INDEX(Transactions!$F$8:$F$3006,MATCH(0,COUNTIF($B$11:B1438,Transactions!$F$8:$F$3006),0))),"")</f>
        <v/>
      </c>
      <c r="C1439" s="50" t="str">
        <f>IF(B1439="","",SUMIF(Transactions!$F$8:$F$3006,B1439,Transactions!$H$8:$H$3006))</f>
        <v/>
      </c>
      <c r="D1439" s="51" t="str">
        <f>IF(B1439="","",SUMIF(Transactions!$F$8:$F$3006,B1439,Transactions!$N$8:$N$3006))</f>
        <v/>
      </c>
      <c r="E1439" s="52" t="str">
        <f>IF(B1439="","",SUMIF(Transactions!$F$8:$F$3006,B1439,Transactions!$O$8:$O$3006))</f>
        <v/>
      </c>
      <c r="F1439" s="53" t="str">
        <f>IF(B1439="","",SUMIF(Transactions!$F$8:$F$3006,B1439,Transactions!$R$8:$R$3006))</f>
        <v/>
      </c>
      <c r="G1439" s="54" t="str">
        <f>IF(B1439="","",(C1439+F1439)-(D1439+E1439+SUMIF(Transactions!$F$8:$F$3006,B1439,Transactions!$Q$8:$Q$3006)))</f>
        <v/>
      </c>
      <c r="H1439" s="55" t="str">
        <f>IF(B1439="","",IF(G1439&gt;0,"OUTSTANDING",IF(G1439=0,"SETTLED",IF(SUMIF(Transactions!$F$8:$F$3006,B1439,Transactions!$Q$8:$Q$3006)&gt;SUMIF(Transactions!$F$8:$F$3006,B1439,Transactions!$R$8:$R$3006),"OWES","OVERPAID"))))</f>
        <v/>
      </c>
      <c r="I1439" s="1"/>
    </row>
    <row r="1440" spans="1:9" ht="18" customHeight="1" x14ac:dyDescent="0.25">
      <c r="A1440" s="40">
        <v>1425</v>
      </c>
      <c r="B1440" s="41" t="str">
        <f t="array" ref="B1440">IFERROR(IF(INDEX(Transactions!$F$8:$F$3006,MATCH(0,COUNTIF($B$11:B1439,Transactions!$F$8:$F$3006),0))="","",INDEX(Transactions!$F$8:$F$3006,MATCH(0,COUNTIF($B$11:B1439,Transactions!$F$8:$F$3006),0))),"")</f>
        <v/>
      </c>
      <c r="C1440" s="42" t="str">
        <f>IF(B1440="","",SUMIF(Transactions!$F$8:$F$3006,B1440,Transactions!$H$8:$H$3006))</f>
        <v/>
      </c>
      <c r="D1440" s="43" t="str">
        <f>IF(B1440="","",SUMIF(Transactions!$F$8:$F$3006,B1440,Transactions!$N$8:$N$3006))</f>
        <v/>
      </c>
      <c r="E1440" s="44" t="str">
        <f>IF(B1440="","",SUMIF(Transactions!$F$8:$F$3006,B1440,Transactions!$O$8:$O$3006))</f>
        <v/>
      </c>
      <c r="F1440" s="45" t="str">
        <f>IF(B1440="","",SUMIF(Transactions!$F$8:$F$3006,B1440,Transactions!$R$8:$R$3006))</f>
        <v/>
      </c>
      <c r="G1440" s="46" t="str">
        <f>IF(B1440="","",(C1440+F1440)-(D1440+E1440+SUMIF(Transactions!$F$8:$F$3006,B1440,Transactions!$Q$8:$Q$3006)))</f>
        <v/>
      </c>
      <c r="H1440" s="47" t="str">
        <f>IF(B1440="","",IF(G1440&gt;0,"OUTSTANDING",IF(G1440=0,"SETTLED",IF(SUMIF(Transactions!$F$8:$F$3006,B1440,Transactions!$Q$8:$Q$3006)&gt;SUMIF(Transactions!$F$8:$F$3006,B1440,Transactions!$R$8:$R$3006),"OWES","OVERPAID"))))</f>
        <v/>
      </c>
      <c r="I1440" s="1"/>
    </row>
    <row r="1441" spans="1:9" ht="18" customHeight="1" x14ac:dyDescent="0.25">
      <c r="A1441" s="48">
        <v>1426</v>
      </c>
      <c r="B1441" s="49" t="str">
        <f t="array" ref="B1441">IFERROR(IF(INDEX(Transactions!$F$8:$F$3006,MATCH(0,COUNTIF($B$11:B1440,Transactions!$F$8:$F$3006),0))="","",INDEX(Transactions!$F$8:$F$3006,MATCH(0,COUNTIF($B$11:B1440,Transactions!$F$8:$F$3006),0))),"")</f>
        <v/>
      </c>
      <c r="C1441" s="50" t="str">
        <f>IF(B1441="","",SUMIF(Transactions!$F$8:$F$3006,B1441,Transactions!$H$8:$H$3006))</f>
        <v/>
      </c>
      <c r="D1441" s="51" t="str">
        <f>IF(B1441="","",SUMIF(Transactions!$F$8:$F$3006,B1441,Transactions!$N$8:$N$3006))</f>
        <v/>
      </c>
      <c r="E1441" s="52" t="str">
        <f>IF(B1441="","",SUMIF(Transactions!$F$8:$F$3006,B1441,Transactions!$O$8:$O$3006))</f>
        <v/>
      </c>
      <c r="F1441" s="53" t="str">
        <f>IF(B1441="","",SUMIF(Transactions!$F$8:$F$3006,B1441,Transactions!$R$8:$R$3006))</f>
        <v/>
      </c>
      <c r="G1441" s="54" t="str">
        <f>IF(B1441="","",(C1441+F1441)-(D1441+E1441+SUMIF(Transactions!$F$8:$F$3006,B1441,Transactions!$Q$8:$Q$3006)))</f>
        <v/>
      </c>
      <c r="H1441" s="55" t="str">
        <f>IF(B1441="","",IF(G1441&gt;0,"OUTSTANDING",IF(G1441=0,"SETTLED",IF(SUMIF(Transactions!$F$8:$F$3006,B1441,Transactions!$Q$8:$Q$3006)&gt;SUMIF(Transactions!$F$8:$F$3006,B1441,Transactions!$R$8:$R$3006),"OWES","OVERPAID"))))</f>
        <v/>
      </c>
      <c r="I1441" s="1"/>
    </row>
    <row r="1442" spans="1:9" ht="18" customHeight="1" x14ac:dyDescent="0.25">
      <c r="A1442" s="40">
        <v>1427</v>
      </c>
      <c r="B1442" s="41" t="str">
        <f t="array" ref="B1442">IFERROR(IF(INDEX(Transactions!$F$8:$F$3006,MATCH(0,COUNTIF($B$11:B1441,Transactions!$F$8:$F$3006),0))="","",INDEX(Transactions!$F$8:$F$3006,MATCH(0,COUNTIF($B$11:B1441,Transactions!$F$8:$F$3006),0))),"")</f>
        <v/>
      </c>
      <c r="C1442" s="42" t="str">
        <f>IF(B1442="","",SUMIF(Transactions!$F$8:$F$3006,B1442,Transactions!$H$8:$H$3006))</f>
        <v/>
      </c>
      <c r="D1442" s="43" t="str">
        <f>IF(B1442="","",SUMIF(Transactions!$F$8:$F$3006,B1442,Transactions!$N$8:$N$3006))</f>
        <v/>
      </c>
      <c r="E1442" s="44" t="str">
        <f>IF(B1442="","",SUMIF(Transactions!$F$8:$F$3006,B1442,Transactions!$O$8:$O$3006))</f>
        <v/>
      </c>
      <c r="F1442" s="45" t="str">
        <f>IF(B1442="","",SUMIF(Transactions!$F$8:$F$3006,B1442,Transactions!$R$8:$R$3006))</f>
        <v/>
      </c>
      <c r="G1442" s="46" t="str">
        <f>IF(B1442="","",(C1442+F1442)-(D1442+E1442+SUMIF(Transactions!$F$8:$F$3006,B1442,Transactions!$Q$8:$Q$3006)))</f>
        <v/>
      </c>
      <c r="H1442" s="47" t="str">
        <f>IF(B1442="","",IF(G1442&gt;0,"OUTSTANDING",IF(G1442=0,"SETTLED",IF(SUMIF(Transactions!$F$8:$F$3006,B1442,Transactions!$Q$8:$Q$3006)&gt;SUMIF(Transactions!$F$8:$F$3006,B1442,Transactions!$R$8:$R$3006),"OWES","OVERPAID"))))</f>
        <v/>
      </c>
      <c r="I1442" s="1"/>
    </row>
    <row r="1443" spans="1:9" ht="18" customHeight="1" x14ac:dyDescent="0.25">
      <c r="A1443" s="48">
        <v>1428</v>
      </c>
      <c r="B1443" s="49" t="str">
        <f t="array" ref="B1443">IFERROR(IF(INDEX(Transactions!$F$8:$F$3006,MATCH(0,COUNTIF($B$11:B1442,Transactions!$F$8:$F$3006),0))="","",INDEX(Transactions!$F$8:$F$3006,MATCH(0,COUNTIF($B$11:B1442,Transactions!$F$8:$F$3006),0))),"")</f>
        <v/>
      </c>
      <c r="C1443" s="50" t="str">
        <f>IF(B1443="","",SUMIF(Transactions!$F$8:$F$3006,B1443,Transactions!$H$8:$H$3006))</f>
        <v/>
      </c>
      <c r="D1443" s="51" t="str">
        <f>IF(B1443="","",SUMIF(Transactions!$F$8:$F$3006,B1443,Transactions!$N$8:$N$3006))</f>
        <v/>
      </c>
      <c r="E1443" s="52" t="str">
        <f>IF(B1443="","",SUMIF(Transactions!$F$8:$F$3006,B1443,Transactions!$O$8:$O$3006))</f>
        <v/>
      </c>
      <c r="F1443" s="53" t="str">
        <f>IF(B1443="","",SUMIF(Transactions!$F$8:$F$3006,B1443,Transactions!$R$8:$R$3006))</f>
        <v/>
      </c>
      <c r="G1443" s="54" t="str">
        <f>IF(B1443="","",(C1443+F1443)-(D1443+E1443+SUMIF(Transactions!$F$8:$F$3006,B1443,Transactions!$Q$8:$Q$3006)))</f>
        <v/>
      </c>
      <c r="H1443" s="55" t="str">
        <f>IF(B1443="","",IF(G1443&gt;0,"OUTSTANDING",IF(G1443=0,"SETTLED",IF(SUMIF(Transactions!$F$8:$F$3006,B1443,Transactions!$Q$8:$Q$3006)&gt;SUMIF(Transactions!$F$8:$F$3006,B1443,Transactions!$R$8:$R$3006),"OWES","OVERPAID"))))</f>
        <v/>
      </c>
      <c r="I1443" s="1"/>
    </row>
    <row r="1444" spans="1:9" ht="18" customHeight="1" x14ac:dyDescent="0.25">
      <c r="A1444" s="40">
        <v>1429</v>
      </c>
      <c r="B1444" s="41" t="str">
        <f t="array" ref="B1444">IFERROR(IF(INDEX(Transactions!$F$8:$F$3006,MATCH(0,COUNTIF($B$11:B1443,Transactions!$F$8:$F$3006),0))="","",INDEX(Transactions!$F$8:$F$3006,MATCH(0,COUNTIF($B$11:B1443,Transactions!$F$8:$F$3006),0))),"")</f>
        <v/>
      </c>
      <c r="C1444" s="42" t="str">
        <f>IF(B1444="","",SUMIF(Transactions!$F$8:$F$3006,B1444,Transactions!$H$8:$H$3006))</f>
        <v/>
      </c>
      <c r="D1444" s="43" t="str">
        <f>IF(B1444="","",SUMIF(Transactions!$F$8:$F$3006,B1444,Transactions!$N$8:$N$3006))</f>
        <v/>
      </c>
      <c r="E1444" s="44" t="str">
        <f>IF(B1444="","",SUMIF(Transactions!$F$8:$F$3006,B1444,Transactions!$O$8:$O$3006))</f>
        <v/>
      </c>
      <c r="F1444" s="45" t="str">
        <f>IF(B1444="","",SUMIF(Transactions!$F$8:$F$3006,B1444,Transactions!$R$8:$R$3006))</f>
        <v/>
      </c>
      <c r="G1444" s="46" t="str">
        <f>IF(B1444="","",(C1444+F1444)-(D1444+E1444+SUMIF(Transactions!$F$8:$F$3006,B1444,Transactions!$Q$8:$Q$3006)))</f>
        <v/>
      </c>
      <c r="H1444" s="47" t="str">
        <f>IF(B1444="","",IF(G1444&gt;0,"OUTSTANDING",IF(G1444=0,"SETTLED",IF(SUMIF(Transactions!$F$8:$F$3006,B1444,Transactions!$Q$8:$Q$3006)&gt;SUMIF(Transactions!$F$8:$F$3006,B1444,Transactions!$R$8:$R$3006),"OWES","OVERPAID"))))</f>
        <v/>
      </c>
      <c r="I1444" s="1"/>
    </row>
    <row r="1445" spans="1:9" ht="18" customHeight="1" x14ac:dyDescent="0.25">
      <c r="A1445" s="48">
        <v>1430</v>
      </c>
      <c r="B1445" s="49" t="str">
        <f t="array" ref="B1445">IFERROR(IF(INDEX(Transactions!$F$8:$F$3006,MATCH(0,COUNTIF($B$11:B1444,Transactions!$F$8:$F$3006),0))="","",INDEX(Transactions!$F$8:$F$3006,MATCH(0,COUNTIF($B$11:B1444,Transactions!$F$8:$F$3006),0))),"")</f>
        <v/>
      </c>
      <c r="C1445" s="50" t="str">
        <f>IF(B1445="","",SUMIF(Transactions!$F$8:$F$3006,B1445,Transactions!$H$8:$H$3006))</f>
        <v/>
      </c>
      <c r="D1445" s="51" t="str">
        <f>IF(B1445="","",SUMIF(Transactions!$F$8:$F$3006,B1445,Transactions!$N$8:$N$3006))</f>
        <v/>
      </c>
      <c r="E1445" s="52" t="str">
        <f>IF(B1445="","",SUMIF(Transactions!$F$8:$F$3006,B1445,Transactions!$O$8:$O$3006))</f>
        <v/>
      </c>
      <c r="F1445" s="53" t="str">
        <f>IF(B1445="","",SUMIF(Transactions!$F$8:$F$3006,B1445,Transactions!$R$8:$R$3006))</f>
        <v/>
      </c>
      <c r="G1445" s="54" t="str">
        <f>IF(B1445="","",(C1445+F1445)-(D1445+E1445+SUMIF(Transactions!$F$8:$F$3006,B1445,Transactions!$Q$8:$Q$3006)))</f>
        <v/>
      </c>
      <c r="H1445" s="55" t="str">
        <f>IF(B1445="","",IF(G1445&gt;0,"OUTSTANDING",IF(G1445=0,"SETTLED",IF(SUMIF(Transactions!$F$8:$F$3006,B1445,Transactions!$Q$8:$Q$3006)&gt;SUMIF(Transactions!$F$8:$F$3006,B1445,Transactions!$R$8:$R$3006),"OWES","OVERPAID"))))</f>
        <v/>
      </c>
      <c r="I1445" s="1"/>
    </row>
    <row r="1446" spans="1:9" ht="18" customHeight="1" x14ac:dyDescent="0.25">
      <c r="A1446" s="40">
        <v>1431</v>
      </c>
      <c r="B1446" s="41" t="str">
        <f t="array" ref="B1446">IFERROR(IF(INDEX(Transactions!$F$8:$F$3006,MATCH(0,COUNTIF($B$11:B1445,Transactions!$F$8:$F$3006),0))="","",INDEX(Transactions!$F$8:$F$3006,MATCH(0,COUNTIF($B$11:B1445,Transactions!$F$8:$F$3006),0))),"")</f>
        <v/>
      </c>
      <c r="C1446" s="42" t="str">
        <f>IF(B1446="","",SUMIF(Transactions!$F$8:$F$3006,B1446,Transactions!$H$8:$H$3006))</f>
        <v/>
      </c>
      <c r="D1446" s="43" t="str">
        <f>IF(B1446="","",SUMIF(Transactions!$F$8:$F$3006,B1446,Transactions!$N$8:$N$3006))</f>
        <v/>
      </c>
      <c r="E1446" s="44" t="str">
        <f>IF(B1446="","",SUMIF(Transactions!$F$8:$F$3006,B1446,Transactions!$O$8:$O$3006))</f>
        <v/>
      </c>
      <c r="F1446" s="45" t="str">
        <f>IF(B1446="","",SUMIF(Transactions!$F$8:$F$3006,B1446,Transactions!$R$8:$R$3006))</f>
        <v/>
      </c>
      <c r="G1446" s="46" t="str">
        <f>IF(B1446="","",(C1446+F1446)-(D1446+E1446+SUMIF(Transactions!$F$8:$F$3006,B1446,Transactions!$Q$8:$Q$3006)))</f>
        <v/>
      </c>
      <c r="H1446" s="47" t="str">
        <f>IF(B1446="","",IF(G1446&gt;0,"OUTSTANDING",IF(G1446=0,"SETTLED",IF(SUMIF(Transactions!$F$8:$F$3006,B1446,Transactions!$Q$8:$Q$3006)&gt;SUMIF(Transactions!$F$8:$F$3006,B1446,Transactions!$R$8:$R$3006),"OWES","OVERPAID"))))</f>
        <v/>
      </c>
      <c r="I1446" s="1"/>
    </row>
    <row r="1447" spans="1:9" ht="18" customHeight="1" x14ac:dyDescent="0.25">
      <c r="A1447" s="48">
        <v>1432</v>
      </c>
      <c r="B1447" s="49" t="str">
        <f t="array" ref="B1447">IFERROR(IF(INDEX(Transactions!$F$8:$F$3006,MATCH(0,COUNTIF($B$11:B1446,Transactions!$F$8:$F$3006),0))="","",INDEX(Transactions!$F$8:$F$3006,MATCH(0,COUNTIF($B$11:B1446,Transactions!$F$8:$F$3006),0))),"")</f>
        <v/>
      </c>
      <c r="C1447" s="50" t="str">
        <f>IF(B1447="","",SUMIF(Transactions!$F$8:$F$3006,B1447,Transactions!$H$8:$H$3006))</f>
        <v/>
      </c>
      <c r="D1447" s="51" t="str">
        <f>IF(B1447="","",SUMIF(Transactions!$F$8:$F$3006,B1447,Transactions!$N$8:$N$3006))</f>
        <v/>
      </c>
      <c r="E1447" s="52" t="str">
        <f>IF(B1447="","",SUMIF(Transactions!$F$8:$F$3006,B1447,Transactions!$O$8:$O$3006))</f>
        <v/>
      </c>
      <c r="F1447" s="53" t="str">
        <f>IF(B1447="","",SUMIF(Transactions!$F$8:$F$3006,B1447,Transactions!$R$8:$R$3006))</f>
        <v/>
      </c>
      <c r="G1447" s="54" t="str">
        <f>IF(B1447="","",(C1447+F1447)-(D1447+E1447+SUMIF(Transactions!$F$8:$F$3006,B1447,Transactions!$Q$8:$Q$3006)))</f>
        <v/>
      </c>
      <c r="H1447" s="55" t="str">
        <f>IF(B1447="","",IF(G1447&gt;0,"OUTSTANDING",IF(G1447=0,"SETTLED",IF(SUMIF(Transactions!$F$8:$F$3006,B1447,Transactions!$Q$8:$Q$3006)&gt;SUMIF(Transactions!$F$8:$F$3006,B1447,Transactions!$R$8:$R$3006),"OWES","OVERPAID"))))</f>
        <v/>
      </c>
      <c r="I1447" s="1"/>
    </row>
    <row r="1448" spans="1:9" ht="18" customHeight="1" x14ac:dyDescent="0.25">
      <c r="A1448" s="40">
        <v>1433</v>
      </c>
      <c r="B1448" s="41" t="str">
        <f t="array" ref="B1448">IFERROR(IF(INDEX(Transactions!$F$8:$F$3006,MATCH(0,COUNTIF($B$11:B1447,Transactions!$F$8:$F$3006),0))="","",INDEX(Transactions!$F$8:$F$3006,MATCH(0,COUNTIF($B$11:B1447,Transactions!$F$8:$F$3006),0))),"")</f>
        <v/>
      </c>
      <c r="C1448" s="42" t="str">
        <f>IF(B1448="","",SUMIF(Transactions!$F$8:$F$3006,B1448,Transactions!$H$8:$H$3006))</f>
        <v/>
      </c>
      <c r="D1448" s="43" t="str">
        <f>IF(B1448="","",SUMIF(Transactions!$F$8:$F$3006,B1448,Transactions!$N$8:$N$3006))</f>
        <v/>
      </c>
      <c r="E1448" s="44" t="str">
        <f>IF(B1448="","",SUMIF(Transactions!$F$8:$F$3006,B1448,Transactions!$O$8:$O$3006))</f>
        <v/>
      </c>
      <c r="F1448" s="45" t="str">
        <f>IF(B1448="","",SUMIF(Transactions!$F$8:$F$3006,B1448,Transactions!$R$8:$R$3006))</f>
        <v/>
      </c>
      <c r="G1448" s="46" t="str">
        <f>IF(B1448="","",(C1448+F1448)-(D1448+E1448+SUMIF(Transactions!$F$8:$F$3006,B1448,Transactions!$Q$8:$Q$3006)))</f>
        <v/>
      </c>
      <c r="H1448" s="47" t="str">
        <f>IF(B1448="","",IF(G1448&gt;0,"OUTSTANDING",IF(G1448=0,"SETTLED",IF(SUMIF(Transactions!$F$8:$F$3006,B1448,Transactions!$Q$8:$Q$3006)&gt;SUMIF(Transactions!$F$8:$F$3006,B1448,Transactions!$R$8:$R$3006),"OWES","OVERPAID"))))</f>
        <v/>
      </c>
      <c r="I1448" s="1"/>
    </row>
    <row r="1449" spans="1:9" ht="18" customHeight="1" x14ac:dyDescent="0.25">
      <c r="A1449" s="48">
        <v>1434</v>
      </c>
      <c r="B1449" s="49" t="str">
        <f t="array" ref="B1449">IFERROR(IF(INDEX(Transactions!$F$8:$F$3006,MATCH(0,COUNTIF($B$11:B1448,Transactions!$F$8:$F$3006),0))="","",INDEX(Transactions!$F$8:$F$3006,MATCH(0,COUNTIF($B$11:B1448,Transactions!$F$8:$F$3006),0))),"")</f>
        <v/>
      </c>
      <c r="C1449" s="50" t="str">
        <f>IF(B1449="","",SUMIF(Transactions!$F$8:$F$3006,B1449,Transactions!$H$8:$H$3006))</f>
        <v/>
      </c>
      <c r="D1449" s="51" t="str">
        <f>IF(B1449="","",SUMIF(Transactions!$F$8:$F$3006,B1449,Transactions!$N$8:$N$3006))</f>
        <v/>
      </c>
      <c r="E1449" s="52" t="str">
        <f>IF(B1449="","",SUMIF(Transactions!$F$8:$F$3006,B1449,Transactions!$O$8:$O$3006))</f>
        <v/>
      </c>
      <c r="F1449" s="53" t="str">
        <f>IF(B1449="","",SUMIF(Transactions!$F$8:$F$3006,B1449,Transactions!$R$8:$R$3006))</f>
        <v/>
      </c>
      <c r="G1449" s="54" t="str">
        <f>IF(B1449="","",(C1449+F1449)-(D1449+E1449+SUMIF(Transactions!$F$8:$F$3006,B1449,Transactions!$Q$8:$Q$3006)))</f>
        <v/>
      </c>
      <c r="H1449" s="55" t="str">
        <f>IF(B1449="","",IF(G1449&gt;0,"OUTSTANDING",IF(G1449=0,"SETTLED",IF(SUMIF(Transactions!$F$8:$F$3006,B1449,Transactions!$Q$8:$Q$3006)&gt;SUMIF(Transactions!$F$8:$F$3006,B1449,Transactions!$R$8:$R$3006),"OWES","OVERPAID"))))</f>
        <v/>
      </c>
      <c r="I1449" s="1"/>
    </row>
    <row r="1450" spans="1:9" ht="18" customHeight="1" x14ac:dyDescent="0.25">
      <c r="A1450" s="40">
        <v>1435</v>
      </c>
      <c r="B1450" s="41" t="str">
        <f t="array" ref="B1450">IFERROR(IF(INDEX(Transactions!$F$8:$F$3006,MATCH(0,COUNTIF($B$11:B1449,Transactions!$F$8:$F$3006),0))="","",INDEX(Transactions!$F$8:$F$3006,MATCH(0,COUNTIF($B$11:B1449,Transactions!$F$8:$F$3006),0))),"")</f>
        <v/>
      </c>
      <c r="C1450" s="42" t="str">
        <f>IF(B1450="","",SUMIF(Transactions!$F$8:$F$3006,B1450,Transactions!$H$8:$H$3006))</f>
        <v/>
      </c>
      <c r="D1450" s="43" t="str">
        <f>IF(B1450="","",SUMIF(Transactions!$F$8:$F$3006,B1450,Transactions!$N$8:$N$3006))</f>
        <v/>
      </c>
      <c r="E1450" s="44" t="str">
        <f>IF(B1450="","",SUMIF(Transactions!$F$8:$F$3006,B1450,Transactions!$O$8:$O$3006))</f>
        <v/>
      </c>
      <c r="F1450" s="45" t="str">
        <f>IF(B1450="","",SUMIF(Transactions!$F$8:$F$3006,B1450,Transactions!$R$8:$R$3006))</f>
        <v/>
      </c>
      <c r="G1450" s="46" t="str">
        <f>IF(B1450="","",(C1450+F1450)-(D1450+E1450+SUMIF(Transactions!$F$8:$F$3006,B1450,Transactions!$Q$8:$Q$3006)))</f>
        <v/>
      </c>
      <c r="H1450" s="47" t="str">
        <f>IF(B1450="","",IF(G1450&gt;0,"OUTSTANDING",IF(G1450=0,"SETTLED",IF(SUMIF(Transactions!$F$8:$F$3006,B1450,Transactions!$Q$8:$Q$3006)&gt;SUMIF(Transactions!$F$8:$F$3006,B1450,Transactions!$R$8:$R$3006),"OWES","OVERPAID"))))</f>
        <v/>
      </c>
      <c r="I1450" s="1"/>
    </row>
    <row r="1451" spans="1:9" ht="18" customHeight="1" x14ac:dyDescent="0.25">
      <c r="A1451" s="48">
        <v>1436</v>
      </c>
      <c r="B1451" s="49" t="str">
        <f t="array" ref="B1451">IFERROR(IF(INDEX(Transactions!$F$8:$F$3006,MATCH(0,COUNTIF($B$11:B1450,Transactions!$F$8:$F$3006),0))="","",INDEX(Transactions!$F$8:$F$3006,MATCH(0,COUNTIF($B$11:B1450,Transactions!$F$8:$F$3006),0))),"")</f>
        <v/>
      </c>
      <c r="C1451" s="50" t="str">
        <f>IF(B1451="","",SUMIF(Transactions!$F$8:$F$3006,B1451,Transactions!$H$8:$H$3006))</f>
        <v/>
      </c>
      <c r="D1451" s="51" t="str">
        <f>IF(B1451="","",SUMIF(Transactions!$F$8:$F$3006,B1451,Transactions!$N$8:$N$3006))</f>
        <v/>
      </c>
      <c r="E1451" s="52" t="str">
        <f>IF(B1451="","",SUMIF(Transactions!$F$8:$F$3006,B1451,Transactions!$O$8:$O$3006))</f>
        <v/>
      </c>
      <c r="F1451" s="53" t="str">
        <f>IF(B1451="","",SUMIF(Transactions!$F$8:$F$3006,B1451,Transactions!$R$8:$R$3006))</f>
        <v/>
      </c>
      <c r="G1451" s="54" t="str">
        <f>IF(B1451="","",(C1451+F1451)-(D1451+E1451+SUMIF(Transactions!$F$8:$F$3006,B1451,Transactions!$Q$8:$Q$3006)))</f>
        <v/>
      </c>
      <c r="H1451" s="55" t="str">
        <f>IF(B1451="","",IF(G1451&gt;0,"OUTSTANDING",IF(G1451=0,"SETTLED",IF(SUMIF(Transactions!$F$8:$F$3006,B1451,Transactions!$Q$8:$Q$3006)&gt;SUMIF(Transactions!$F$8:$F$3006,B1451,Transactions!$R$8:$R$3006),"OWES","OVERPAID"))))</f>
        <v/>
      </c>
      <c r="I1451" s="1"/>
    </row>
    <row r="1452" spans="1:9" ht="18" customHeight="1" x14ac:dyDescent="0.25">
      <c r="A1452" s="40">
        <v>1437</v>
      </c>
      <c r="B1452" s="41" t="str">
        <f t="array" ref="B1452">IFERROR(IF(INDEX(Transactions!$F$8:$F$3006,MATCH(0,COUNTIF($B$11:B1451,Transactions!$F$8:$F$3006),0))="","",INDEX(Transactions!$F$8:$F$3006,MATCH(0,COUNTIF($B$11:B1451,Transactions!$F$8:$F$3006),0))),"")</f>
        <v/>
      </c>
      <c r="C1452" s="42" t="str">
        <f>IF(B1452="","",SUMIF(Transactions!$F$8:$F$3006,B1452,Transactions!$H$8:$H$3006))</f>
        <v/>
      </c>
      <c r="D1452" s="43" t="str">
        <f>IF(B1452="","",SUMIF(Transactions!$F$8:$F$3006,B1452,Transactions!$N$8:$N$3006))</f>
        <v/>
      </c>
      <c r="E1452" s="44" t="str">
        <f>IF(B1452="","",SUMIF(Transactions!$F$8:$F$3006,B1452,Transactions!$O$8:$O$3006))</f>
        <v/>
      </c>
      <c r="F1452" s="45" t="str">
        <f>IF(B1452="","",SUMIF(Transactions!$F$8:$F$3006,B1452,Transactions!$R$8:$R$3006))</f>
        <v/>
      </c>
      <c r="G1452" s="46" t="str">
        <f>IF(B1452="","",(C1452+F1452)-(D1452+E1452+SUMIF(Transactions!$F$8:$F$3006,B1452,Transactions!$Q$8:$Q$3006)))</f>
        <v/>
      </c>
      <c r="H1452" s="47" t="str">
        <f>IF(B1452="","",IF(G1452&gt;0,"OUTSTANDING",IF(G1452=0,"SETTLED",IF(SUMIF(Transactions!$F$8:$F$3006,B1452,Transactions!$Q$8:$Q$3006)&gt;SUMIF(Transactions!$F$8:$F$3006,B1452,Transactions!$R$8:$R$3006),"OWES","OVERPAID"))))</f>
        <v/>
      </c>
      <c r="I1452" s="1"/>
    </row>
    <row r="1453" spans="1:9" ht="18" customHeight="1" x14ac:dyDescent="0.25">
      <c r="A1453" s="48">
        <v>1438</v>
      </c>
      <c r="B1453" s="49" t="str">
        <f t="array" ref="B1453">IFERROR(IF(INDEX(Transactions!$F$8:$F$3006,MATCH(0,COUNTIF($B$11:B1452,Transactions!$F$8:$F$3006),0))="","",INDEX(Transactions!$F$8:$F$3006,MATCH(0,COUNTIF($B$11:B1452,Transactions!$F$8:$F$3006),0))),"")</f>
        <v/>
      </c>
      <c r="C1453" s="50" t="str">
        <f>IF(B1453="","",SUMIF(Transactions!$F$8:$F$3006,B1453,Transactions!$H$8:$H$3006))</f>
        <v/>
      </c>
      <c r="D1453" s="51" t="str">
        <f>IF(B1453="","",SUMIF(Transactions!$F$8:$F$3006,B1453,Transactions!$N$8:$N$3006))</f>
        <v/>
      </c>
      <c r="E1453" s="52" t="str">
        <f>IF(B1453="","",SUMIF(Transactions!$F$8:$F$3006,B1453,Transactions!$O$8:$O$3006))</f>
        <v/>
      </c>
      <c r="F1453" s="53" t="str">
        <f>IF(B1453="","",SUMIF(Transactions!$F$8:$F$3006,B1453,Transactions!$R$8:$R$3006))</f>
        <v/>
      </c>
      <c r="G1453" s="54" t="str">
        <f>IF(B1453="","",(C1453+F1453)-(D1453+E1453+SUMIF(Transactions!$F$8:$F$3006,B1453,Transactions!$Q$8:$Q$3006)))</f>
        <v/>
      </c>
      <c r="H1453" s="55" t="str">
        <f>IF(B1453="","",IF(G1453&gt;0,"OUTSTANDING",IF(G1453=0,"SETTLED",IF(SUMIF(Transactions!$F$8:$F$3006,B1453,Transactions!$Q$8:$Q$3006)&gt;SUMIF(Transactions!$F$8:$F$3006,B1453,Transactions!$R$8:$R$3006),"OWES","OVERPAID"))))</f>
        <v/>
      </c>
      <c r="I1453" s="1"/>
    </row>
    <row r="1454" spans="1:9" ht="18" customHeight="1" x14ac:dyDescent="0.25">
      <c r="A1454" s="40">
        <v>1439</v>
      </c>
      <c r="B1454" s="41" t="str">
        <f t="array" ref="B1454">IFERROR(IF(INDEX(Transactions!$F$8:$F$3006,MATCH(0,COUNTIF($B$11:B1453,Transactions!$F$8:$F$3006),0))="","",INDEX(Transactions!$F$8:$F$3006,MATCH(0,COUNTIF($B$11:B1453,Transactions!$F$8:$F$3006),0))),"")</f>
        <v/>
      </c>
      <c r="C1454" s="42" t="str">
        <f>IF(B1454="","",SUMIF(Transactions!$F$8:$F$3006,B1454,Transactions!$H$8:$H$3006))</f>
        <v/>
      </c>
      <c r="D1454" s="43" t="str">
        <f>IF(B1454="","",SUMIF(Transactions!$F$8:$F$3006,B1454,Transactions!$N$8:$N$3006))</f>
        <v/>
      </c>
      <c r="E1454" s="44" t="str">
        <f>IF(B1454="","",SUMIF(Transactions!$F$8:$F$3006,B1454,Transactions!$O$8:$O$3006))</f>
        <v/>
      </c>
      <c r="F1454" s="45" t="str">
        <f>IF(B1454="","",SUMIF(Transactions!$F$8:$F$3006,B1454,Transactions!$R$8:$R$3006))</f>
        <v/>
      </c>
      <c r="G1454" s="46" t="str">
        <f>IF(B1454="","",(C1454+F1454)-(D1454+E1454+SUMIF(Transactions!$F$8:$F$3006,B1454,Transactions!$Q$8:$Q$3006)))</f>
        <v/>
      </c>
      <c r="H1454" s="47" t="str">
        <f>IF(B1454="","",IF(G1454&gt;0,"OUTSTANDING",IF(G1454=0,"SETTLED",IF(SUMIF(Transactions!$F$8:$F$3006,B1454,Transactions!$Q$8:$Q$3006)&gt;SUMIF(Transactions!$F$8:$F$3006,B1454,Transactions!$R$8:$R$3006),"OWES","OVERPAID"))))</f>
        <v/>
      </c>
      <c r="I1454" s="1"/>
    </row>
    <row r="1455" spans="1:9" ht="18" customHeight="1" x14ac:dyDescent="0.25">
      <c r="A1455" s="48">
        <v>1440</v>
      </c>
      <c r="B1455" s="49" t="str">
        <f t="array" ref="B1455">IFERROR(IF(INDEX(Transactions!$F$8:$F$3006,MATCH(0,COUNTIF($B$11:B1454,Transactions!$F$8:$F$3006),0))="","",INDEX(Transactions!$F$8:$F$3006,MATCH(0,COUNTIF($B$11:B1454,Transactions!$F$8:$F$3006),0))),"")</f>
        <v/>
      </c>
      <c r="C1455" s="50" t="str">
        <f>IF(B1455="","",SUMIF(Transactions!$F$8:$F$3006,B1455,Transactions!$H$8:$H$3006))</f>
        <v/>
      </c>
      <c r="D1455" s="51" t="str">
        <f>IF(B1455="","",SUMIF(Transactions!$F$8:$F$3006,B1455,Transactions!$N$8:$N$3006))</f>
        <v/>
      </c>
      <c r="E1455" s="52" t="str">
        <f>IF(B1455="","",SUMIF(Transactions!$F$8:$F$3006,B1455,Transactions!$O$8:$O$3006))</f>
        <v/>
      </c>
      <c r="F1455" s="53" t="str">
        <f>IF(B1455="","",SUMIF(Transactions!$F$8:$F$3006,B1455,Transactions!$R$8:$R$3006))</f>
        <v/>
      </c>
      <c r="G1455" s="54" t="str">
        <f>IF(B1455="","",(C1455+F1455)-(D1455+E1455+SUMIF(Transactions!$F$8:$F$3006,B1455,Transactions!$Q$8:$Q$3006)))</f>
        <v/>
      </c>
      <c r="H1455" s="55" t="str">
        <f>IF(B1455="","",IF(G1455&gt;0,"OUTSTANDING",IF(G1455=0,"SETTLED",IF(SUMIF(Transactions!$F$8:$F$3006,B1455,Transactions!$Q$8:$Q$3006)&gt;SUMIF(Transactions!$F$8:$F$3006,B1455,Transactions!$R$8:$R$3006),"OWES","OVERPAID"))))</f>
        <v/>
      </c>
      <c r="I1455" s="1"/>
    </row>
    <row r="1456" spans="1:9" ht="18" customHeight="1" x14ac:dyDescent="0.25">
      <c r="A1456" s="40">
        <v>1441</v>
      </c>
      <c r="B1456" s="41" t="str">
        <f t="array" ref="B1456">IFERROR(IF(INDEX(Transactions!$F$8:$F$3006,MATCH(0,COUNTIF($B$11:B1455,Transactions!$F$8:$F$3006),0))="","",INDEX(Transactions!$F$8:$F$3006,MATCH(0,COUNTIF($B$11:B1455,Transactions!$F$8:$F$3006),0))),"")</f>
        <v/>
      </c>
      <c r="C1456" s="42" t="str">
        <f>IF(B1456="","",SUMIF(Transactions!$F$8:$F$3006,B1456,Transactions!$H$8:$H$3006))</f>
        <v/>
      </c>
      <c r="D1456" s="43" t="str">
        <f>IF(B1456="","",SUMIF(Transactions!$F$8:$F$3006,B1456,Transactions!$N$8:$N$3006))</f>
        <v/>
      </c>
      <c r="E1456" s="44" t="str">
        <f>IF(B1456="","",SUMIF(Transactions!$F$8:$F$3006,B1456,Transactions!$O$8:$O$3006))</f>
        <v/>
      </c>
      <c r="F1456" s="45" t="str">
        <f>IF(B1456="","",SUMIF(Transactions!$F$8:$F$3006,B1456,Transactions!$R$8:$R$3006))</f>
        <v/>
      </c>
      <c r="G1456" s="46" t="str">
        <f>IF(B1456="","",(C1456+F1456)-(D1456+E1456+SUMIF(Transactions!$F$8:$F$3006,B1456,Transactions!$Q$8:$Q$3006)))</f>
        <v/>
      </c>
      <c r="H1456" s="47" t="str">
        <f>IF(B1456="","",IF(G1456&gt;0,"OUTSTANDING",IF(G1456=0,"SETTLED",IF(SUMIF(Transactions!$F$8:$F$3006,B1456,Transactions!$Q$8:$Q$3006)&gt;SUMIF(Transactions!$F$8:$F$3006,B1456,Transactions!$R$8:$R$3006),"OWES","OVERPAID"))))</f>
        <v/>
      </c>
      <c r="I1456" s="1"/>
    </row>
    <row r="1457" spans="1:9" ht="18" customHeight="1" x14ac:dyDescent="0.25">
      <c r="A1457" s="48">
        <v>1442</v>
      </c>
      <c r="B1457" s="49" t="str">
        <f t="array" ref="B1457">IFERROR(IF(INDEX(Transactions!$F$8:$F$3006,MATCH(0,COUNTIF($B$11:B1456,Transactions!$F$8:$F$3006),0))="","",INDEX(Transactions!$F$8:$F$3006,MATCH(0,COUNTIF($B$11:B1456,Transactions!$F$8:$F$3006),0))),"")</f>
        <v/>
      </c>
      <c r="C1457" s="50" t="str">
        <f>IF(B1457="","",SUMIF(Transactions!$F$8:$F$3006,B1457,Transactions!$H$8:$H$3006))</f>
        <v/>
      </c>
      <c r="D1457" s="51" t="str">
        <f>IF(B1457="","",SUMIF(Transactions!$F$8:$F$3006,B1457,Transactions!$N$8:$N$3006))</f>
        <v/>
      </c>
      <c r="E1457" s="52" t="str">
        <f>IF(B1457="","",SUMIF(Transactions!$F$8:$F$3006,B1457,Transactions!$O$8:$O$3006))</f>
        <v/>
      </c>
      <c r="F1457" s="53" t="str">
        <f>IF(B1457="","",SUMIF(Transactions!$F$8:$F$3006,B1457,Transactions!$R$8:$R$3006))</f>
        <v/>
      </c>
      <c r="G1457" s="54" t="str">
        <f>IF(B1457="","",(C1457+F1457)-(D1457+E1457+SUMIF(Transactions!$F$8:$F$3006,B1457,Transactions!$Q$8:$Q$3006)))</f>
        <v/>
      </c>
      <c r="H1457" s="55" t="str">
        <f>IF(B1457="","",IF(G1457&gt;0,"OUTSTANDING",IF(G1457=0,"SETTLED",IF(SUMIF(Transactions!$F$8:$F$3006,B1457,Transactions!$Q$8:$Q$3006)&gt;SUMIF(Transactions!$F$8:$F$3006,B1457,Transactions!$R$8:$R$3006),"OWES","OVERPAID"))))</f>
        <v/>
      </c>
      <c r="I1457" s="1"/>
    </row>
    <row r="1458" spans="1:9" ht="18" customHeight="1" x14ac:dyDescent="0.25">
      <c r="A1458" s="40">
        <v>1443</v>
      </c>
      <c r="B1458" s="41" t="str">
        <f t="array" ref="B1458">IFERROR(IF(INDEX(Transactions!$F$8:$F$3006,MATCH(0,COUNTIF($B$11:B1457,Transactions!$F$8:$F$3006),0))="","",INDEX(Transactions!$F$8:$F$3006,MATCH(0,COUNTIF($B$11:B1457,Transactions!$F$8:$F$3006),0))),"")</f>
        <v/>
      </c>
      <c r="C1458" s="42" t="str">
        <f>IF(B1458="","",SUMIF(Transactions!$F$8:$F$3006,B1458,Transactions!$H$8:$H$3006))</f>
        <v/>
      </c>
      <c r="D1458" s="43" t="str">
        <f>IF(B1458="","",SUMIF(Transactions!$F$8:$F$3006,B1458,Transactions!$N$8:$N$3006))</f>
        <v/>
      </c>
      <c r="E1458" s="44" t="str">
        <f>IF(B1458="","",SUMIF(Transactions!$F$8:$F$3006,B1458,Transactions!$O$8:$O$3006))</f>
        <v/>
      </c>
      <c r="F1458" s="45" t="str">
        <f>IF(B1458="","",SUMIF(Transactions!$F$8:$F$3006,B1458,Transactions!$R$8:$R$3006))</f>
        <v/>
      </c>
      <c r="G1458" s="46" t="str">
        <f>IF(B1458="","",(C1458+F1458)-(D1458+E1458+SUMIF(Transactions!$F$8:$F$3006,B1458,Transactions!$Q$8:$Q$3006)))</f>
        <v/>
      </c>
      <c r="H1458" s="47" t="str">
        <f>IF(B1458="","",IF(G1458&gt;0,"OUTSTANDING",IF(G1458=0,"SETTLED",IF(SUMIF(Transactions!$F$8:$F$3006,B1458,Transactions!$Q$8:$Q$3006)&gt;SUMIF(Transactions!$F$8:$F$3006,B1458,Transactions!$R$8:$R$3006),"OWES","OVERPAID"))))</f>
        <v/>
      </c>
      <c r="I1458" s="1"/>
    </row>
    <row r="1459" spans="1:9" ht="18" customHeight="1" x14ac:dyDescent="0.25">
      <c r="A1459" s="48">
        <v>1444</v>
      </c>
      <c r="B1459" s="49" t="str">
        <f t="array" ref="B1459">IFERROR(IF(INDEX(Transactions!$F$8:$F$3006,MATCH(0,COUNTIF($B$11:B1458,Transactions!$F$8:$F$3006),0))="","",INDEX(Transactions!$F$8:$F$3006,MATCH(0,COUNTIF($B$11:B1458,Transactions!$F$8:$F$3006),0))),"")</f>
        <v/>
      </c>
      <c r="C1459" s="50" t="str">
        <f>IF(B1459="","",SUMIF(Transactions!$F$8:$F$3006,B1459,Transactions!$H$8:$H$3006))</f>
        <v/>
      </c>
      <c r="D1459" s="51" t="str">
        <f>IF(B1459="","",SUMIF(Transactions!$F$8:$F$3006,B1459,Transactions!$N$8:$N$3006))</f>
        <v/>
      </c>
      <c r="E1459" s="52" t="str">
        <f>IF(B1459="","",SUMIF(Transactions!$F$8:$F$3006,B1459,Transactions!$O$8:$O$3006))</f>
        <v/>
      </c>
      <c r="F1459" s="53" t="str">
        <f>IF(B1459="","",SUMIF(Transactions!$F$8:$F$3006,B1459,Transactions!$R$8:$R$3006))</f>
        <v/>
      </c>
      <c r="G1459" s="54" t="str">
        <f>IF(B1459="","",(C1459+F1459)-(D1459+E1459+SUMIF(Transactions!$F$8:$F$3006,B1459,Transactions!$Q$8:$Q$3006)))</f>
        <v/>
      </c>
      <c r="H1459" s="55" t="str">
        <f>IF(B1459="","",IF(G1459&gt;0,"OUTSTANDING",IF(G1459=0,"SETTLED",IF(SUMIF(Transactions!$F$8:$F$3006,B1459,Transactions!$Q$8:$Q$3006)&gt;SUMIF(Transactions!$F$8:$F$3006,B1459,Transactions!$R$8:$R$3006),"OWES","OVERPAID"))))</f>
        <v/>
      </c>
      <c r="I1459" s="1"/>
    </row>
    <row r="1460" spans="1:9" ht="18" customHeight="1" x14ac:dyDescent="0.25">
      <c r="A1460" s="40">
        <v>1445</v>
      </c>
      <c r="B1460" s="41" t="str">
        <f t="array" ref="B1460">IFERROR(IF(INDEX(Transactions!$F$8:$F$3006,MATCH(0,COUNTIF($B$11:B1459,Transactions!$F$8:$F$3006),0))="","",INDEX(Transactions!$F$8:$F$3006,MATCH(0,COUNTIF($B$11:B1459,Transactions!$F$8:$F$3006),0))),"")</f>
        <v/>
      </c>
      <c r="C1460" s="42" t="str">
        <f>IF(B1460="","",SUMIF(Transactions!$F$8:$F$3006,B1460,Transactions!$H$8:$H$3006))</f>
        <v/>
      </c>
      <c r="D1460" s="43" t="str">
        <f>IF(B1460="","",SUMIF(Transactions!$F$8:$F$3006,B1460,Transactions!$N$8:$N$3006))</f>
        <v/>
      </c>
      <c r="E1460" s="44" t="str">
        <f>IF(B1460="","",SUMIF(Transactions!$F$8:$F$3006,B1460,Transactions!$O$8:$O$3006))</f>
        <v/>
      </c>
      <c r="F1460" s="45" t="str">
        <f>IF(B1460="","",SUMIF(Transactions!$F$8:$F$3006,B1460,Transactions!$R$8:$R$3006))</f>
        <v/>
      </c>
      <c r="G1460" s="46" t="str">
        <f>IF(B1460="","",(C1460+F1460)-(D1460+E1460+SUMIF(Transactions!$F$8:$F$3006,B1460,Transactions!$Q$8:$Q$3006)))</f>
        <v/>
      </c>
      <c r="H1460" s="47" t="str">
        <f>IF(B1460="","",IF(G1460&gt;0,"OUTSTANDING",IF(G1460=0,"SETTLED",IF(SUMIF(Transactions!$F$8:$F$3006,B1460,Transactions!$Q$8:$Q$3006)&gt;SUMIF(Transactions!$F$8:$F$3006,B1460,Transactions!$R$8:$R$3006),"OWES","OVERPAID"))))</f>
        <v/>
      </c>
      <c r="I1460" s="1"/>
    </row>
    <row r="1461" spans="1:9" ht="18" customHeight="1" x14ac:dyDescent="0.25">
      <c r="A1461" s="48">
        <v>1446</v>
      </c>
      <c r="B1461" s="49" t="str">
        <f t="array" ref="B1461">IFERROR(IF(INDEX(Transactions!$F$8:$F$3006,MATCH(0,COUNTIF($B$11:B1460,Transactions!$F$8:$F$3006),0))="","",INDEX(Transactions!$F$8:$F$3006,MATCH(0,COUNTIF($B$11:B1460,Transactions!$F$8:$F$3006),0))),"")</f>
        <v/>
      </c>
      <c r="C1461" s="50" t="str">
        <f>IF(B1461="","",SUMIF(Transactions!$F$8:$F$3006,B1461,Transactions!$H$8:$H$3006))</f>
        <v/>
      </c>
      <c r="D1461" s="51" t="str">
        <f>IF(B1461="","",SUMIF(Transactions!$F$8:$F$3006,B1461,Transactions!$N$8:$N$3006))</f>
        <v/>
      </c>
      <c r="E1461" s="52" t="str">
        <f>IF(B1461="","",SUMIF(Transactions!$F$8:$F$3006,B1461,Transactions!$O$8:$O$3006))</f>
        <v/>
      </c>
      <c r="F1461" s="53" t="str">
        <f>IF(B1461="","",SUMIF(Transactions!$F$8:$F$3006,B1461,Transactions!$R$8:$R$3006))</f>
        <v/>
      </c>
      <c r="G1461" s="54" t="str">
        <f>IF(B1461="","",(C1461+F1461)-(D1461+E1461+SUMIF(Transactions!$F$8:$F$3006,B1461,Transactions!$Q$8:$Q$3006)))</f>
        <v/>
      </c>
      <c r="H1461" s="55" t="str">
        <f>IF(B1461="","",IF(G1461&gt;0,"OUTSTANDING",IF(G1461=0,"SETTLED",IF(SUMIF(Transactions!$F$8:$F$3006,B1461,Transactions!$Q$8:$Q$3006)&gt;SUMIF(Transactions!$F$8:$F$3006,B1461,Transactions!$R$8:$R$3006),"OWES","OVERPAID"))))</f>
        <v/>
      </c>
      <c r="I1461" s="1"/>
    </row>
    <row r="1462" spans="1:9" ht="18" customHeight="1" x14ac:dyDescent="0.25">
      <c r="A1462" s="40">
        <v>1447</v>
      </c>
      <c r="B1462" s="41" t="str">
        <f t="array" ref="B1462">IFERROR(IF(INDEX(Transactions!$F$8:$F$3006,MATCH(0,COUNTIF($B$11:B1461,Transactions!$F$8:$F$3006),0))="","",INDEX(Transactions!$F$8:$F$3006,MATCH(0,COUNTIF($B$11:B1461,Transactions!$F$8:$F$3006),0))),"")</f>
        <v/>
      </c>
      <c r="C1462" s="42" t="str">
        <f>IF(B1462="","",SUMIF(Transactions!$F$8:$F$3006,B1462,Transactions!$H$8:$H$3006))</f>
        <v/>
      </c>
      <c r="D1462" s="43" t="str">
        <f>IF(B1462="","",SUMIF(Transactions!$F$8:$F$3006,B1462,Transactions!$N$8:$N$3006))</f>
        <v/>
      </c>
      <c r="E1462" s="44" t="str">
        <f>IF(B1462="","",SUMIF(Transactions!$F$8:$F$3006,B1462,Transactions!$O$8:$O$3006))</f>
        <v/>
      </c>
      <c r="F1462" s="45" t="str">
        <f>IF(B1462="","",SUMIF(Transactions!$F$8:$F$3006,B1462,Transactions!$R$8:$R$3006))</f>
        <v/>
      </c>
      <c r="G1462" s="46" t="str">
        <f>IF(B1462="","",(C1462+F1462)-(D1462+E1462+SUMIF(Transactions!$F$8:$F$3006,B1462,Transactions!$Q$8:$Q$3006)))</f>
        <v/>
      </c>
      <c r="H1462" s="47" t="str">
        <f>IF(B1462="","",IF(G1462&gt;0,"OUTSTANDING",IF(G1462=0,"SETTLED",IF(SUMIF(Transactions!$F$8:$F$3006,B1462,Transactions!$Q$8:$Q$3006)&gt;SUMIF(Transactions!$F$8:$F$3006,B1462,Transactions!$R$8:$R$3006),"OWES","OVERPAID"))))</f>
        <v/>
      </c>
      <c r="I1462" s="1"/>
    </row>
    <row r="1463" spans="1:9" ht="18" customHeight="1" x14ac:dyDescent="0.25">
      <c r="A1463" s="48">
        <v>1448</v>
      </c>
      <c r="B1463" s="49" t="str">
        <f t="array" ref="B1463">IFERROR(IF(INDEX(Transactions!$F$8:$F$3006,MATCH(0,COUNTIF($B$11:B1462,Transactions!$F$8:$F$3006),0))="","",INDEX(Transactions!$F$8:$F$3006,MATCH(0,COUNTIF($B$11:B1462,Transactions!$F$8:$F$3006),0))),"")</f>
        <v/>
      </c>
      <c r="C1463" s="50" t="str">
        <f>IF(B1463="","",SUMIF(Transactions!$F$8:$F$3006,B1463,Transactions!$H$8:$H$3006))</f>
        <v/>
      </c>
      <c r="D1463" s="51" t="str">
        <f>IF(B1463="","",SUMIF(Transactions!$F$8:$F$3006,B1463,Transactions!$N$8:$N$3006))</f>
        <v/>
      </c>
      <c r="E1463" s="52" t="str">
        <f>IF(B1463="","",SUMIF(Transactions!$F$8:$F$3006,B1463,Transactions!$O$8:$O$3006))</f>
        <v/>
      </c>
      <c r="F1463" s="53" t="str">
        <f>IF(B1463="","",SUMIF(Transactions!$F$8:$F$3006,B1463,Transactions!$R$8:$R$3006))</f>
        <v/>
      </c>
      <c r="G1463" s="54" t="str">
        <f>IF(B1463="","",(C1463+F1463)-(D1463+E1463+SUMIF(Transactions!$F$8:$F$3006,B1463,Transactions!$Q$8:$Q$3006)))</f>
        <v/>
      </c>
      <c r="H1463" s="55" t="str">
        <f>IF(B1463="","",IF(G1463&gt;0,"OUTSTANDING",IF(G1463=0,"SETTLED",IF(SUMIF(Transactions!$F$8:$F$3006,B1463,Transactions!$Q$8:$Q$3006)&gt;SUMIF(Transactions!$F$8:$F$3006,B1463,Transactions!$R$8:$R$3006),"OWES","OVERPAID"))))</f>
        <v/>
      </c>
      <c r="I1463" s="1"/>
    </row>
    <row r="1464" spans="1:9" ht="18" customHeight="1" x14ac:dyDescent="0.25">
      <c r="A1464" s="40">
        <v>1449</v>
      </c>
      <c r="B1464" s="41" t="str">
        <f t="array" ref="B1464">IFERROR(IF(INDEX(Transactions!$F$8:$F$3006,MATCH(0,COUNTIF($B$11:B1463,Transactions!$F$8:$F$3006),0))="","",INDEX(Transactions!$F$8:$F$3006,MATCH(0,COUNTIF($B$11:B1463,Transactions!$F$8:$F$3006),0))),"")</f>
        <v/>
      </c>
      <c r="C1464" s="42" t="str">
        <f>IF(B1464="","",SUMIF(Transactions!$F$8:$F$3006,B1464,Transactions!$H$8:$H$3006))</f>
        <v/>
      </c>
      <c r="D1464" s="43" t="str">
        <f>IF(B1464="","",SUMIF(Transactions!$F$8:$F$3006,B1464,Transactions!$N$8:$N$3006))</f>
        <v/>
      </c>
      <c r="E1464" s="44" t="str">
        <f>IF(B1464="","",SUMIF(Transactions!$F$8:$F$3006,B1464,Transactions!$O$8:$O$3006))</f>
        <v/>
      </c>
      <c r="F1464" s="45" t="str">
        <f>IF(B1464="","",SUMIF(Transactions!$F$8:$F$3006,B1464,Transactions!$R$8:$R$3006))</f>
        <v/>
      </c>
      <c r="G1464" s="46" t="str">
        <f>IF(B1464="","",(C1464+F1464)-(D1464+E1464+SUMIF(Transactions!$F$8:$F$3006,B1464,Transactions!$Q$8:$Q$3006)))</f>
        <v/>
      </c>
      <c r="H1464" s="47" t="str">
        <f>IF(B1464="","",IF(G1464&gt;0,"OUTSTANDING",IF(G1464=0,"SETTLED",IF(SUMIF(Transactions!$F$8:$F$3006,B1464,Transactions!$Q$8:$Q$3006)&gt;SUMIF(Transactions!$F$8:$F$3006,B1464,Transactions!$R$8:$R$3006),"OWES","OVERPAID"))))</f>
        <v/>
      </c>
      <c r="I1464" s="1"/>
    </row>
    <row r="1465" spans="1:9" ht="18" customHeight="1" x14ac:dyDescent="0.25">
      <c r="A1465" s="48">
        <v>1450</v>
      </c>
      <c r="B1465" s="49" t="str">
        <f t="array" ref="B1465">IFERROR(IF(INDEX(Transactions!$F$8:$F$3006,MATCH(0,COUNTIF($B$11:B1464,Transactions!$F$8:$F$3006),0))="","",INDEX(Transactions!$F$8:$F$3006,MATCH(0,COUNTIF($B$11:B1464,Transactions!$F$8:$F$3006),0))),"")</f>
        <v/>
      </c>
      <c r="C1465" s="50" t="str">
        <f>IF(B1465="","",SUMIF(Transactions!$F$8:$F$3006,B1465,Transactions!$H$8:$H$3006))</f>
        <v/>
      </c>
      <c r="D1465" s="51" t="str">
        <f>IF(B1465="","",SUMIF(Transactions!$F$8:$F$3006,B1465,Transactions!$N$8:$N$3006))</f>
        <v/>
      </c>
      <c r="E1465" s="52" t="str">
        <f>IF(B1465="","",SUMIF(Transactions!$F$8:$F$3006,B1465,Transactions!$O$8:$O$3006))</f>
        <v/>
      </c>
      <c r="F1465" s="53" t="str">
        <f>IF(B1465="","",SUMIF(Transactions!$F$8:$F$3006,B1465,Transactions!$R$8:$R$3006))</f>
        <v/>
      </c>
      <c r="G1465" s="54" t="str">
        <f>IF(B1465="","",(C1465+F1465)-(D1465+E1465+SUMIF(Transactions!$F$8:$F$3006,B1465,Transactions!$Q$8:$Q$3006)))</f>
        <v/>
      </c>
      <c r="H1465" s="55" t="str">
        <f>IF(B1465="","",IF(G1465&gt;0,"OUTSTANDING",IF(G1465=0,"SETTLED",IF(SUMIF(Transactions!$F$8:$F$3006,B1465,Transactions!$Q$8:$Q$3006)&gt;SUMIF(Transactions!$F$8:$F$3006,B1465,Transactions!$R$8:$R$3006),"OWES","OVERPAID"))))</f>
        <v/>
      </c>
      <c r="I1465" s="1"/>
    </row>
    <row r="1466" spans="1:9" ht="18" customHeight="1" x14ac:dyDescent="0.25">
      <c r="A1466" s="40">
        <v>1451</v>
      </c>
      <c r="B1466" s="41" t="str">
        <f t="array" ref="B1466">IFERROR(IF(INDEX(Transactions!$F$8:$F$3006,MATCH(0,COUNTIF($B$11:B1465,Transactions!$F$8:$F$3006),0))="","",INDEX(Transactions!$F$8:$F$3006,MATCH(0,COUNTIF($B$11:B1465,Transactions!$F$8:$F$3006),0))),"")</f>
        <v/>
      </c>
      <c r="C1466" s="42" t="str">
        <f>IF(B1466="","",SUMIF(Transactions!$F$8:$F$3006,B1466,Transactions!$H$8:$H$3006))</f>
        <v/>
      </c>
      <c r="D1466" s="43" t="str">
        <f>IF(B1466="","",SUMIF(Transactions!$F$8:$F$3006,B1466,Transactions!$N$8:$N$3006))</f>
        <v/>
      </c>
      <c r="E1466" s="44" t="str">
        <f>IF(B1466="","",SUMIF(Transactions!$F$8:$F$3006,B1466,Transactions!$O$8:$O$3006))</f>
        <v/>
      </c>
      <c r="F1466" s="45" t="str">
        <f>IF(B1466="","",SUMIF(Transactions!$F$8:$F$3006,B1466,Transactions!$R$8:$R$3006))</f>
        <v/>
      </c>
      <c r="G1466" s="46" t="str">
        <f>IF(B1466="","",(C1466+F1466)-(D1466+E1466+SUMIF(Transactions!$F$8:$F$3006,B1466,Transactions!$Q$8:$Q$3006)))</f>
        <v/>
      </c>
      <c r="H1466" s="47" t="str">
        <f>IF(B1466="","",IF(G1466&gt;0,"OUTSTANDING",IF(G1466=0,"SETTLED",IF(SUMIF(Transactions!$F$8:$F$3006,B1466,Transactions!$Q$8:$Q$3006)&gt;SUMIF(Transactions!$F$8:$F$3006,B1466,Transactions!$R$8:$R$3006),"OWES","OVERPAID"))))</f>
        <v/>
      </c>
      <c r="I1466" s="1"/>
    </row>
    <row r="1467" spans="1:9" ht="18" customHeight="1" x14ac:dyDescent="0.25">
      <c r="A1467" s="48">
        <v>1452</v>
      </c>
      <c r="B1467" s="49" t="str">
        <f t="array" ref="B1467">IFERROR(IF(INDEX(Transactions!$F$8:$F$3006,MATCH(0,COUNTIF($B$11:B1466,Transactions!$F$8:$F$3006),0))="","",INDEX(Transactions!$F$8:$F$3006,MATCH(0,COUNTIF($B$11:B1466,Transactions!$F$8:$F$3006),0))),"")</f>
        <v/>
      </c>
      <c r="C1467" s="50" t="str">
        <f>IF(B1467="","",SUMIF(Transactions!$F$8:$F$3006,B1467,Transactions!$H$8:$H$3006))</f>
        <v/>
      </c>
      <c r="D1467" s="51" t="str">
        <f>IF(B1467="","",SUMIF(Transactions!$F$8:$F$3006,B1467,Transactions!$N$8:$N$3006))</f>
        <v/>
      </c>
      <c r="E1467" s="52" t="str">
        <f>IF(B1467="","",SUMIF(Transactions!$F$8:$F$3006,B1467,Transactions!$O$8:$O$3006))</f>
        <v/>
      </c>
      <c r="F1467" s="53" t="str">
        <f>IF(B1467="","",SUMIF(Transactions!$F$8:$F$3006,B1467,Transactions!$R$8:$R$3006))</f>
        <v/>
      </c>
      <c r="G1467" s="54" t="str">
        <f>IF(B1467="","",(C1467+F1467)-(D1467+E1467+SUMIF(Transactions!$F$8:$F$3006,B1467,Transactions!$Q$8:$Q$3006)))</f>
        <v/>
      </c>
      <c r="H1467" s="55" t="str">
        <f>IF(B1467="","",IF(G1467&gt;0,"OUTSTANDING",IF(G1467=0,"SETTLED",IF(SUMIF(Transactions!$F$8:$F$3006,B1467,Transactions!$Q$8:$Q$3006)&gt;SUMIF(Transactions!$F$8:$F$3006,B1467,Transactions!$R$8:$R$3006),"OWES","OVERPAID"))))</f>
        <v/>
      </c>
      <c r="I1467" s="1"/>
    </row>
    <row r="1468" spans="1:9" ht="18" customHeight="1" x14ac:dyDescent="0.25">
      <c r="A1468" s="40">
        <v>1453</v>
      </c>
      <c r="B1468" s="41" t="str">
        <f t="array" ref="B1468">IFERROR(IF(INDEX(Transactions!$F$8:$F$3006,MATCH(0,COUNTIF($B$11:B1467,Transactions!$F$8:$F$3006),0))="","",INDEX(Transactions!$F$8:$F$3006,MATCH(0,COUNTIF($B$11:B1467,Transactions!$F$8:$F$3006),0))),"")</f>
        <v/>
      </c>
      <c r="C1468" s="42" t="str">
        <f>IF(B1468="","",SUMIF(Transactions!$F$8:$F$3006,B1468,Transactions!$H$8:$H$3006))</f>
        <v/>
      </c>
      <c r="D1468" s="43" t="str">
        <f>IF(B1468="","",SUMIF(Transactions!$F$8:$F$3006,B1468,Transactions!$N$8:$N$3006))</f>
        <v/>
      </c>
      <c r="E1468" s="44" t="str">
        <f>IF(B1468="","",SUMIF(Transactions!$F$8:$F$3006,B1468,Transactions!$O$8:$O$3006))</f>
        <v/>
      </c>
      <c r="F1468" s="45" t="str">
        <f>IF(B1468="","",SUMIF(Transactions!$F$8:$F$3006,B1468,Transactions!$R$8:$R$3006))</f>
        <v/>
      </c>
      <c r="G1468" s="46" t="str">
        <f>IF(B1468="","",(C1468+F1468)-(D1468+E1468+SUMIF(Transactions!$F$8:$F$3006,B1468,Transactions!$Q$8:$Q$3006)))</f>
        <v/>
      </c>
      <c r="H1468" s="47" t="str">
        <f>IF(B1468="","",IF(G1468&gt;0,"OUTSTANDING",IF(G1468=0,"SETTLED",IF(SUMIF(Transactions!$F$8:$F$3006,B1468,Transactions!$Q$8:$Q$3006)&gt;SUMIF(Transactions!$F$8:$F$3006,B1468,Transactions!$R$8:$R$3006),"OWES","OVERPAID"))))</f>
        <v/>
      </c>
      <c r="I1468" s="1"/>
    </row>
    <row r="1469" spans="1:9" ht="18" customHeight="1" x14ac:dyDescent="0.25">
      <c r="A1469" s="48">
        <v>1454</v>
      </c>
      <c r="B1469" s="49" t="str">
        <f t="array" ref="B1469">IFERROR(IF(INDEX(Transactions!$F$8:$F$3006,MATCH(0,COUNTIF($B$11:B1468,Transactions!$F$8:$F$3006),0))="","",INDEX(Transactions!$F$8:$F$3006,MATCH(0,COUNTIF($B$11:B1468,Transactions!$F$8:$F$3006),0))),"")</f>
        <v/>
      </c>
      <c r="C1469" s="50" t="str">
        <f>IF(B1469="","",SUMIF(Transactions!$F$8:$F$3006,B1469,Transactions!$H$8:$H$3006))</f>
        <v/>
      </c>
      <c r="D1469" s="51" t="str">
        <f>IF(B1469="","",SUMIF(Transactions!$F$8:$F$3006,B1469,Transactions!$N$8:$N$3006))</f>
        <v/>
      </c>
      <c r="E1469" s="52" t="str">
        <f>IF(B1469="","",SUMIF(Transactions!$F$8:$F$3006,B1469,Transactions!$O$8:$O$3006))</f>
        <v/>
      </c>
      <c r="F1469" s="53" t="str">
        <f>IF(B1469="","",SUMIF(Transactions!$F$8:$F$3006,B1469,Transactions!$R$8:$R$3006))</f>
        <v/>
      </c>
      <c r="G1469" s="54" t="str">
        <f>IF(B1469="","",(C1469+F1469)-(D1469+E1469+SUMIF(Transactions!$F$8:$F$3006,B1469,Transactions!$Q$8:$Q$3006)))</f>
        <v/>
      </c>
      <c r="H1469" s="55" t="str">
        <f>IF(B1469="","",IF(G1469&gt;0,"OUTSTANDING",IF(G1469=0,"SETTLED",IF(SUMIF(Transactions!$F$8:$F$3006,B1469,Transactions!$Q$8:$Q$3006)&gt;SUMIF(Transactions!$F$8:$F$3006,B1469,Transactions!$R$8:$R$3006),"OWES","OVERPAID"))))</f>
        <v/>
      </c>
      <c r="I1469" s="1"/>
    </row>
    <row r="1470" spans="1:9" ht="18" customHeight="1" x14ac:dyDescent="0.25">
      <c r="A1470" s="40">
        <v>1455</v>
      </c>
      <c r="B1470" s="41" t="str">
        <f t="array" ref="B1470">IFERROR(IF(INDEX(Transactions!$F$8:$F$3006,MATCH(0,COUNTIF($B$11:B1469,Transactions!$F$8:$F$3006),0))="","",INDEX(Transactions!$F$8:$F$3006,MATCH(0,COUNTIF($B$11:B1469,Transactions!$F$8:$F$3006),0))),"")</f>
        <v/>
      </c>
      <c r="C1470" s="42" t="str">
        <f>IF(B1470="","",SUMIF(Transactions!$F$8:$F$3006,B1470,Transactions!$H$8:$H$3006))</f>
        <v/>
      </c>
      <c r="D1470" s="43" t="str">
        <f>IF(B1470="","",SUMIF(Transactions!$F$8:$F$3006,B1470,Transactions!$N$8:$N$3006))</f>
        <v/>
      </c>
      <c r="E1470" s="44" t="str">
        <f>IF(B1470="","",SUMIF(Transactions!$F$8:$F$3006,B1470,Transactions!$O$8:$O$3006))</f>
        <v/>
      </c>
      <c r="F1470" s="45" t="str">
        <f>IF(B1470="","",SUMIF(Transactions!$F$8:$F$3006,B1470,Transactions!$R$8:$R$3006))</f>
        <v/>
      </c>
      <c r="G1470" s="46" t="str">
        <f>IF(B1470="","",(C1470+F1470)-(D1470+E1470+SUMIF(Transactions!$F$8:$F$3006,B1470,Transactions!$Q$8:$Q$3006)))</f>
        <v/>
      </c>
      <c r="H1470" s="47" t="str">
        <f>IF(B1470="","",IF(G1470&gt;0,"OUTSTANDING",IF(G1470=0,"SETTLED",IF(SUMIF(Transactions!$F$8:$F$3006,B1470,Transactions!$Q$8:$Q$3006)&gt;SUMIF(Transactions!$F$8:$F$3006,B1470,Transactions!$R$8:$R$3006),"OWES","OVERPAID"))))</f>
        <v/>
      </c>
      <c r="I1470" s="1"/>
    </row>
    <row r="1471" spans="1:9" ht="18" customHeight="1" x14ac:dyDescent="0.25">
      <c r="A1471" s="48">
        <v>1456</v>
      </c>
      <c r="B1471" s="49" t="str">
        <f t="array" ref="B1471">IFERROR(IF(INDEX(Transactions!$F$8:$F$3006,MATCH(0,COUNTIF($B$11:B1470,Transactions!$F$8:$F$3006),0))="","",INDEX(Transactions!$F$8:$F$3006,MATCH(0,COUNTIF($B$11:B1470,Transactions!$F$8:$F$3006),0))),"")</f>
        <v/>
      </c>
      <c r="C1471" s="50" t="str">
        <f>IF(B1471="","",SUMIF(Transactions!$F$8:$F$3006,B1471,Transactions!$H$8:$H$3006))</f>
        <v/>
      </c>
      <c r="D1471" s="51" t="str">
        <f>IF(B1471="","",SUMIF(Transactions!$F$8:$F$3006,B1471,Transactions!$N$8:$N$3006))</f>
        <v/>
      </c>
      <c r="E1471" s="52" t="str">
        <f>IF(B1471="","",SUMIF(Transactions!$F$8:$F$3006,B1471,Transactions!$O$8:$O$3006))</f>
        <v/>
      </c>
      <c r="F1471" s="53" t="str">
        <f>IF(B1471="","",SUMIF(Transactions!$F$8:$F$3006,B1471,Transactions!$R$8:$R$3006))</f>
        <v/>
      </c>
      <c r="G1471" s="54" t="str">
        <f>IF(B1471="","",(C1471+F1471)-(D1471+E1471+SUMIF(Transactions!$F$8:$F$3006,B1471,Transactions!$Q$8:$Q$3006)))</f>
        <v/>
      </c>
      <c r="H1471" s="55" t="str">
        <f>IF(B1471="","",IF(G1471&gt;0,"OUTSTANDING",IF(G1471=0,"SETTLED",IF(SUMIF(Transactions!$F$8:$F$3006,B1471,Transactions!$Q$8:$Q$3006)&gt;SUMIF(Transactions!$F$8:$F$3006,B1471,Transactions!$R$8:$R$3006),"OWES","OVERPAID"))))</f>
        <v/>
      </c>
      <c r="I1471" s="1"/>
    </row>
    <row r="1472" spans="1:9" ht="18" customHeight="1" x14ac:dyDescent="0.25">
      <c r="A1472" s="40">
        <v>1457</v>
      </c>
      <c r="B1472" s="41" t="str">
        <f t="array" ref="B1472">IFERROR(IF(INDEX(Transactions!$F$8:$F$3006,MATCH(0,COUNTIF($B$11:B1471,Transactions!$F$8:$F$3006),0))="","",INDEX(Transactions!$F$8:$F$3006,MATCH(0,COUNTIF($B$11:B1471,Transactions!$F$8:$F$3006),0))),"")</f>
        <v/>
      </c>
      <c r="C1472" s="42" t="str">
        <f>IF(B1472="","",SUMIF(Transactions!$F$8:$F$3006,B1472,Transactions!$H$8:$H$3006))</f>
        <v/>
      </c>
      <c r="D1472" s="43" t="str">
        <f>IF(B1472="","",SUMIF(Transactions!$F$8:$F$3006,B1472,Transactions!$N$8:$N$3006))</f>
        <v/>
      </c>
      <c r="E1472" s="44" t="str">
        <f>IF(B1472="","",SUMIF(Transactions!$F$8:$F$3006,B1472,Transactions!$O$8:$O$3006))</f>
        <v/>
      </c>
      <c r="F1472" s="45" t="str">
        <f>IF(B1472="","",SUMIF(Transactions!$F$8:$F$3006,B1472,Transactions!$R$8:$R$3006))</f>
        <v/>
      </c>
      <c r="G1472" s="46" t="str">
        <f>IF(B1472="","",(C1472+F1472)-(D1472+E1472+SUMIF(Transactions!$F$8:$F$3006,B1472,Transactions!$Q$8:$Q$3006)))</f>
        <v/>
      </c>
      <c r="H1472" s="47" t="str">
        <f>IF(B1472="","",IF(G1472&gt;0,"OUTSTANDING",IF(G1472=0,"SETTLED",IF(SUMIF(Transactions!$F$8:$F$3006,B1472,Transactions!$Q$8:$Q$3006)&gt;SUMIF(Transactions!$F$8:$F$3006,B1472,Transactions!$R$8:$R$3006),"OWES","OVERPAID"))))</f>
        <v/>
      </c>
      <c r="I1472" s="1"/>
    </row>
    <row r="1473" spans="1:9" ht="18" customHeight="1" x14ac:dyDescent="0.25">
      <c r="A1473" s="48">
        <v>1458</v>
      </c>
      <c r="B1473" s="49" t="str">
        <f t="array" ref="B1473">IFERROR(IF(INDEX(Transactions!$F$8:$F$3006,MATCH(0,COUNTIF($B$11:B1472,Transactions!$F$8:$F$3006),0))="","",INDEX(Transactions!$F$8:$F$3006,MATCH(0,COUNTIF($B$11:B1472,Transactions!$F$8:$F$3006),0))),"")</f>
        <v/>
      </c>
      <c r="C1473" s="50" t="str">
        <f>IF(B1473="","",SUMIF(Transactions!$F$8:$F$3006,B1473,Transactions!$H$8:$H$3006))</f>
        <v/>
      </c>
      <c r="D1473" s="51" t="str">
        <f>IF(B1473="","",SUMIF(Transactions!$F$8:$F$3006,B1473,Transactions!$N$8:$N$3006))</f>
        <v/>
      </c>
      <c r="E1473" s="52" t="str">
        <f>IF(B1473="","",SUMIF(Transactions!$F$8:$F$3006,B1473,Transactions!$O$8:$O$3006))</f>
        <v/>
      </c>
      <c r="F1473" s="53" t="str">
        <f>IF(B1473="","",SUMIF(Transactions!$F$8:$F$3006,B1473,Transactions!$R$8:$R$3006))</f>
        <v/>
      </c>
      <c r="G1473" s="54" t="str">
        <f>IF(B1473="","",(C1473+F1473)-(D1473+E1473+SUMIF(Transactions!$F$8:$F$3006,B1473,Transactions!$Q$8:$Q$3006)))</f>
        <v/>
      </c>
      <c r="H1473" s="55" t="str">
        <f>IF(B1473="","",IF(G1473&gt;0,"OUTSTANDING",IF(G1473=0,"SETTLED",IF(SUMIF(Transactions!$F$8:$F$3006,B1473,Transactions!$Q$8:$Q$3006)&gt;SUMIF(Transactions!$F$8:$F$3006,B1473,Transactions!$R$8:$R$3006),"OWES","OVERPAID"))))</f>
        <v/>
      </c>
      <c r="I1473" s="1"/>
    </row>
    <row r="1474" spans="1:9" ht="18" customHeight="1" x14ac:dyDescent="0.25">
      <c r="A1474" s="40">
        <v>1459</v>
      </c>
      <c r="B1474" s="41" t="str">
        <f t="array" ref="B1474">IFERROR(IF(INDEX(Transactions!$F$8:$F$3006,MATCH(0,COUNTIF($B$11:B1473,Transactions!$F$8:$F$3006),0))="","",INDEX(Transactions!$F$8:$F$3006,MATCH(0,COUNTIF($B$11:B1473,Transactions!$F$8:$F$3006),0))),"")</f>
        <v/>
      </c>
      <c r="C1474" s="42" t="str">
        <f>IF(B1474="","",SUMIF(Transactions!$F$8:$F$3006,B1474,Transactions!$H$8:$H$3006))</f>
        <v/>
      </c>
      <c r="D1474" s="43" t="str">
        <f>IF(B1474="","",SUMIF(Transactions!$F$8:$F$3006,B1474,Transactions!$N$8:$N$3006))</f>
        <v/>
      </c>
      <c r="E1474" s="44" t="str">
        <f>IF(B1474="","",SUMIF(Transactions!$F$8:$F$3006,B1474,Transactions!$O$8:$O$3006))</f>
        <v/>
      </c>
      <c r="F1474" s="45" t="str">
        <f>IF(B1474="","",SUMIF(Transactions!$F$8:$F$3006,B1474,Transactions!$R$8:$R$3006))</f>
        <v/>
      </c>
      <c r="G1474" s="46" t="str">
        <f>IF(B1474="","",(C1474+F1474)-(D1474+E1474+SUMIF(Transactions!$F$8:$F$3006,B1474,Transactions!$Q$8:$Q$3006)))</f>
        <v/>
      </c>
      <c r="H1474" s="47" t="str">
        <f>IF(B1474="","",IF(G1474&gt;0,"OUTSTANDING",IF(G1474=0,"SETTLED",IF(SUMIF(Transactions!$F$8:$F$3006,B1474,Transactions!$Q$8:$Q$3006)&gt;SUMIF(Transactions!$F$8:$F$3006,B1474,Transactions!$R$8:$R$3006),"OWES","OVERPAID"))))</f>
        <v/>
      </c>
      <c r="I1474" s="1"/>
    </row>
    <row r="1475" spans="1:9" ht="18" customHeight="1" x14ac:dyDescent="0.25">
      <c r="A1475" s="48">
        <v>1460</v>
      </c>
      <c r="B1475" s="49" t="str">
        <f t="array" ref="B1475">IFERROR(IF(INDEX(Transactions!$F$8:$F$3006,MATCH(0,COUNTIF($B$11:B1474,Transactions!$F$8:$F$3006),0))="","",INDEX(Transactions!$F$8:$F$3006,MATCH(0,COUNTIF($B$11:B1474,Transactions!$F$8:$F$3006),0))),"")</f>
        <v/>
      </c>
      <c r="C1475" s="50" t="str">
        <f>IF(B1475="","",SUMIF(Transactions!$F$8:$F$3006,B1475,Transactions!$H$8:$H$3006))</f>
        <v/>
      </c>
      <c r="D1475" s="51" t="str">
        <f>IF(B1475="","",SUMIF(Transactions!$F$8:$F$3006,B1475,Transactions!$N$8:$N$3006))</f>
        <v/>
      </c>
      <c r="E1475" s="52" t="str">
        <f>IF(B1475="","",SUMIF(Transactions!$F$8:$F$3006,B1475,Transactions!$O$8:$O$3006))</f>
        <v/>
      </c>
      <c r="F1475" s="53" t="str">
        <f>IF(B1475="","",SUMIF(Transactions!$F$8:$F$3006,B1475,Transactions!$R$8:$R$3006))</f>
        <v/>
      </c>
      <c r="G1475" s="54" t="str">
        <f>IF(B1475="","",(C1475+F1475)-(D1475+E1475+SUMIF(Transactions!$F$8:$F$3006,B1475,Transactions!$Q$8:$Q$3006)))</f>
        <v/>
      </c>
      <c r="H1475" s="55" t="str">
        <f>IF(B1475="","",IF(G1475&gt;0,"OUTSTANDING",IF(G1475=0,"SETTLED",IF(SUMIF(Transactions!$F$8:$F$3006,B1475,Transactions!$Q$8:$Q$3006)&gt;SUMIF(Transactions!$F$8:$F$3006,B1475,Transactions!$R$8:$R$3006),"OWES","OVERPAID"))))</f>
        <v/>
      </c>
      <c r="I1475" s="1"/>
    </row>
    <row r="1476" spans="1:9" ht="18" customHeight="1" x14ac:dyDescent="0.25">
      <c r="A1476" s="40">
        <v>1461</v>
      </c>
      <c r="B1476" s="41" t="str">
        <f t="array" ref="B1476">IFERROR(IF(INDEX(Transactions!$F$8:$F$3006,MATCH(0,COUNTIF($B$11:B1475,Transactions!$F$8:$F$3006),0))="","",INDEX(Transactions!$F$8:$F$3006,MATCH(0,COUNTIF($B$11:B1475,Transactions!$F$8:$F$3006),0))),"")</f>
        <v/>
      </c>
      <c r="C1476" s="42" t="str">
        <f>IF(B1476="","",SUMIF(Transactions!$F$8:$F$3006,B1476,Transactions!$H$8:$H$3006))</f>
        <v/>
      </c>
      <c r="D1476" s="43" t="str">
        <f>IF(B1476="","",SUMIF(Transactions!$F$8:$F$3006,B1476,Transactions!$N$8:$N$3006))</f>
        <v/>
      </c>
      <c r="E1476" s="44" t="str">
        <f>IF(B1476="","",SUMIF(Transactions!$F$8:$F$3006,B1476,Transactions!$O$8:$O$3006))</f>
        <v/>
      </c>
      <c r="F1476" s="45" t="str">
        <f>IF(B1476="","",SUMIF(Transactions!$F$8:$F$3006,B1476,Transactions!$R$8:$R$3006))</f>
        <v/>
      </c>
      <c r="G1476" s="46" t="str">
        <f>IF(B1476="","",(C1476+F1476)-(D1476+E1476+SUMIF(Transactions!$F$8:$F$3006,B1476,Transactions!$Q$8:$Q$3006)))</f>
        <v/>
      </c>
      <c r="H1476" s="47" t="str">
        <f>IF(B1476="","",IF(G1476&gt;0,"OUTSTANDING",IF(G1476=0,"SETTLED",IF(SUMIF(Transactions!$F$8:$F$3006,B1476,Transactions!$Q$8:$Q$3006)&gt;SUMIF(Transactions!$F$8:$F$3006,B1476,Transactions!$R$8:$R$3006),"OWES","OVERPAID"))))</f>
        <v/>
      </c>
      <c r="I1476" s="1"/>
    </row>
    <row r="1477" spans="1:9" ht="18" customHeight="1" x14ac:dyDescent="0.25">
      <c r="A1477" s="48">
        <v>1462</v>
      </c>
      <c r="B1477" s="49" t="str">
        <f t="array" ref="B1477">IFERROR(IF(INDEX(Transactions!$F$8:$F$3006,MATCH(0,COUNTIF($B$11:B1476,Transactions!$F$8:$F$3006),0))="","",INDEX(Transactions!$F$8:$F$3006,MATCH(0,COUNTIF($B$11:B1476,Transactions!$F$8:$F$3006),0))),"")</f>
        <v/>
      </c>
      <c r="C1477" s="50" t="str">
        <f>IF(B1477="","",SUMIF(Transactions!$F$8:$F$3006,B1477,Transactions!$H$8:$H$3006))</f>
        <v/>
      </c>
      <c r="D1477" s="51" t="str">
        <f>IF(B1477="","",SUMIF(Transactions!$F$8:$F$3006,B1477,Transactions!$N$8:$N$3006))</f>
        <v/>
      </c>
      <c r="E1477" s="52" t="str">
        <f>IF(B1477="","",SUMIF(Transactions!$F$8:$F$3006,B1477,Transactions!$O$8:$O$3006))</f>
        <v/>
      </c>
      <c r="F1477" s="53" t="str">
        <f>IF(B1477="","",SUMIF(Transactions!$F$8:$F$3006,B1477,Transactions!$R$8:$R$3006))</f>
        <v/>
      </c>
      <c r="G1477" s="54" t="str">
        <f>IF(B1477="","",(C1477+F1477)-(D1477+E1477+SUMIF(Transactions!$F$8:$F$3006,B1477,Transactions!$Q$8:$Q$3006)))</f>
        <v/>
      </c>
      <c r="H1477" s="55" t="str">
        <f>IF(B1477="","",IF(G1477&gt;0,"OUTSTANDING",IF(G1477=0,"SETTLED",IF(SUMIF(Transactions!$F$8:$F$3006,B1477,Transactions!$Q$8:$Q$3006)&gt;SUMIF(Transactions!$F$8:$F$3006,B1477,Transactions!$R$8:$R$3006),"OWES","OVERPAID"))))</f>
        <v/>
      </c>
      <c r="I1477" s="1"/>
    </row>
    <row r="1478" spans="1:9" ht="18" customHeight="1" x14ac:dyDescent="0.25">
      <c r="A1478" s="40">
        <v>1463</v>
      </c>
      <c r="B1478" s="41" t="str">
        <f t="array" ref="B1478">IFERROR(IF(INDEX(Transactions!$F$8:$F$3006,MATCH(0,COUNTIF($B$11:B1477,Transactions!$F$8:$F$3006),0))="","",INDEX(Transactions!$F$8:$F$3006,MATCH(0,COUNTIF($B$11:B1477,Transactions!$F$8:$F$3006),0))),"")</f>
        <v/>
      </c>
      <c r="C1478" s="42" t="str">
        <f>IF(B1478="","",SUMIF(Transactions!$F$8:$F$3006,B1478,Transactions!$H$8:$H$3006))</f>
        <v/>
      </c>
      <c r="D1478" s="43" t="str">
        <f>IF(B1478="","",SUMIF(Transactions!$F$8:$F$3006,B1478,Transactions!$N$8:$N$3006))</f>
        <v/>
      </c>
      <c r="E1478" s="44" t="str">
        <f>IF(B1478="","",SUMIF(Transactions!$F$8:$F$3006,B1478,Transactions!$O$8:$O$3006))</f>
        <v/>
      </c>
      <c r="F1478" s="45" t="str">
        <f>IF(B1478="","",SUMIF(Transactions!$F$8:$F$3006,B1478,Transactions!$R$8:$R$3006))</f>
        <v/>
      </c>
      <c r="G1478" s="46" t="str">
        <f>IF(B1478="","",(C1478+F1478)-(D1478+E1478+SUMIF(Transactions!$F$8:$F$3006,B1478,Transactions!$Q$8:$Q$3006)))</f>
        <v/>
      </c>
      <c r="H1478" s="47" t="str">
        <f>IF(B1478="","",IF(G1478&gt;0,"OUTSTANDING",IF(G1478=0,"SETTLED",IF(SUMIF(Transactions!$F$8:$F$3006,B1478,Transactions!$Q$8:$Q$3006)&gt;SUMIF(Transactions!$F$8:$F$3006,B1478,Transactions!$R$8:$R$3006),"OWES","OVERPAID"))))</f>
        <v/>
      </c>
      <c r="I1478" s="1"/>
    </row>
    <row r="1479" spans="1:9" ht="18" customHeight="1" x14ac:dyDescent="0.25">
      <c r="A1479" s="48">
        <v>1464</v>
      </c>
      <c r="B1479" s="49" t="str">
        <f t="array" ref="B1479">IFERROR(IF(INDEX(Transactions!$F$8:$F$3006,MATCH(0,COUNTIF($B$11:B1478,Transactions!$F$8:$F$3006),0))="","",INDEX(Transactions!$F$8:$F$3006,MATCH(0,COUNTIF($B$11:B1478,Transactions!$F$8:$F$3006),0))),"")</f>
        <v/>
      </c>
      <c r="C1479" s="50" t="str">
        <f>IF(B1479="","",SUMIF(Transactions!$F$8:$F$3006,B1479,Transactions!$H$8:$H$3006))</f>
        <v/>
      </c>
      <c r="D1479" s="51" t="str">
        <f>IF(B1479="","",SUMIF(Transactions!$F$8:$F$3006,B1479,Transactions!$N$8:$N$3006))</f>
        <v/>
      </c>
      <c r="E1479" s="52" t="str">
        <f>IF(B1479="","",SUMIF(Transactions!$F$8:$F$3006,B1479,Transactions!$O$8:$O$3006))</f>
        <v/>
      </c>
      <c r="F1479" s="53" t="str">
        <f>IF(B1479="","",SUMIF(Transactions!$F$8:$F$3006,B1479,Transactions!$R$8:$R$3006))</f>
        <v/>
      </c>
      <c r="G1479" s="54" t="str">
        <f>IF(B1479="","",(C1479+F1479)-(D1479+E1479+SUMIF(Transactions!$F$8:$F$3006,B1479,Transactions!$Q$8:$Q$3006)))</f>
        <v/>
      </c>
      <c r="H1479" s="55" t="str">
        <f>IF(B1479="","",IF(G1479&gt;0,"OUTSTANDING",IF(G1479=0,"SETTLED",IF(SUMIF(Transactions!$F$8:$F$3006,B1479,Transactions!$Q$8:$Q$3006)&gt;SUMIF(Transactions!$F$8:$F$3006,B1479,Transactions!$R$8:$R$3006),"OWES","OVERPAID"))))</f>
        <v/>
      </c>
      <c r="I1479" s="1"/>
    </row>
    <row r="1480" spans="1:9" ht="18" customHeight="1" x14ac:dyDescent="0.25">
      <c r="A1480" s="40">
        <v>1465</v>
      </c>
      <c r="B1480" s="41" t="str">
        <f t="array" ref="B1480">IFERROR(IF(INDEX(Transactions!$F$8:$F$3006,MATCH(0,COUNTIF($B$11:B1479,Transactions!$F$8:$F$3006),0))="","",INDEX(Transactions!$F$8:$F$3006,MATCH(0,COUNTIF($B$11:B1479,Transactions!$F$8:$F$3006),0))),"")</f>
        <v/>
      </c>
      <c r="C1480" s="42" t="str">
        <f>IF(B1480="","",SUMIF(Transactions!$F$8:$F$3006,B1480,Transactions!$H$8:$H$3006))</f>
        <v/>
      </c>
      <c r="D1480" s="43" t="str">
        <f>IF(B1480="","",SUMIF(Transactions!$F$8:$F$3006,B1480,Transactions!$N$8:$N$3006))</f>
        <v/>
      </c>
      <c r="E1480" s="44" t="str">
        <f>IF(B1480="","",SUMIF(Transactions!$F$8:$F$3006,B1480,Transactions!$O$8:$O$3006))</f>
        <v/>
      </c>
      <c r="F1480" s="45" t="str">
        <f>IF(B1480="","",SUMIF(Transactions!$F$8:$F$3006,B1480,Transactions!$R$8:$R$3006))</f>
        <v/>
      </c>
      <c r="G1480" s="46" t="str">
        <f>IF(B1480="","",(C1480+F1480)-(D1480+E1480+SUMIF(Transactions!$F$8:$F$3006,B1480,Transactions!$Q$8:$Q$3006)))</f>
        <v/>
      </c>
      <c r="H1480" s="47" t="str">
        <f>IF(B1480="","",IF(G1480&gt;0,"OUTSTANDING",IF(G1480=0,"SETTLED",IF(SUMIF(Transactions!$F$8:$F$3006,B1480,Transactions!$Q$8:$Q$3006)&gt;SUMIF(Transactions!$F$8:$F$3006,B1480,Transactions!$R$8:$R$3006),"OWES","OVERPAID"))))</f>
        <v/>
      </c>
      <c r="I1480" s="1"/>
    </row>
    <row r="1481" spans="1:9" ht="18" customHeight="1" x14ac:dyDescent="0.25">
      <c r="A1481" s="48">
        <v>1466</v>
      </c>
      <c r="B1481" s="49" t="str">
        <f t="array" ref="B1481">IFERROR(IF(INDEX(Transactions!$F$8:$F$3006,MATCH(0,COUNTIF($B$11:B1480,Transactions!$F$8:$F$3006),0))="","",INDEX(Transactions!$F$8:$F$3006,MATCH(0,COUNTIF($B$11:B1480,Transactions!$F$8:$F$3006),0))),"")</f>
        <v/>
      </c>
      <c r="C1481" s="50" t="str">
        <f>IF(B1481="","",SUMIF(Transactions!$F$8:$F$3006,B1481,Transactions!$H$8:$H$3006))</f>
        <v/>
      </c>
      <c r="D1481" s="51" t="str">
        <f>IF(B1481="","",SUMIF(Transactions!$F$8:$F$3006,B1481,Transactions!$N$8:$N$3006))</f>
        <v/>
      </c>
      <c r="E1481" s="52" t="str">
        <f>IF(B1481="","",SUMIF(Transactions!$F$8:$F$3006,B1481,Transactions!$O$8:$O$3006))</f>
        <v/>
      </c>
      <c r="F1481" s="53" t="str">
        <f>IF(B1481="","",SUMIF(Transactions!$F$8:$F$3006,B1481,Transactions!$R$8:$R$3006))</f>
        <v/>
      </c>
      <c r="G1481" s="54" t="str">
        <f>IF(B1481="","",(C1481+F1481)-(D1481+E1481+SUMIF(Transactions!$F$8:$F$3006,B1481,Transactions!$Q$8:$Q$3006)))</f>
        <v/>
      </c>
      <c r="H1481" s="55" t="str">
        <f>IF(B1481="","",IF(G1481&gt;0,"OUTSTANDING",IF(G1481=0,"SETTLED",IF(SUMIF(Transactions!$F$8:$F$3006,B1481,Transactions!$Q$8:$Q$3006)&gt;SUMIF(Transactions!$F$8:$F$3006,B1481,Transactions!$R$8:$R$3006),"OWES","OVERPAID"))))</f>
        <v/>
      </c>
      <c r="I1481" s="1"/>
    </row>
    <row r="1482" spans="1:9" ht="18" customHeight="1" x14ac:dyDescent="0.25">
      <c r="A1482" s="40">
        <v>1467</v>
      </c>
      <c r="B1482" s="41" t="str">
        <f t="array" ref="B1482">IFERROR(IF(INDEX(Transactions!$F$8:$F$3006,MATCH(0,COUNTIF($B$11:B1481,Transactions!$F$8:$F$3006),0))="","",INDEX(Transactions!$F$8:$F$3006,MATCH(0,COUNTIF($B$11:B1481,Transactions!$F$8:$F$3006),0))),"")</f>
        <v/>
      </c>
      <c r="C1482" s="42" t="str">
        <f>IF(B1482="","",SUMIF(Transactions!$F$8:$F$3006,B1482,Transactions!$H$8:$H$3006))</f>
        <v/>
      </c>
      <c r="D1482" s="43" t="str">
        <f>IF(B1482="","",SUMIF(Transactions!$F$8:$F$3006,B1482,Transactions!$N$8:$N$3006))</f>
        <v/>
      </c>
      <c r="E1482" s="44" t="str">
        <f>IF(B1482="","",SUMIF(Transactions!$F$8:$F$3006,B1482,Transactions!$O$8:$O$3006))</f>
        <v/>
      </c>
      <c r="F1482" s="45" t="str">
        <f>IF(B1482="","",SUMIF(Transactions!$F$8:$F$3006,B1482,Transactions!$R$8:$R$3006))</f>
        <v/>
      </c>
      <c r="G1482" s="46" t="str">
        <f>IF(B1482="","",(C1482+F1482)-(D1482+E1482+SUMIF(Transactions!$F$8:$F$3006,B1482,Transactions!$Q$8:$Q$3006)))</f>
        <v/>
      </c>
      <c r="H1482" s="47" t="str">
        <f>IF(B1482="","",IF(G1482&gt;0,"OUTSTANDING",IF(G1482=0,"SETTLED",IF(SUMIF(Transactions!$F$8:$F$3006,B1482,Transactions!$Q$8:$Q$3006)&gt;SUMIF(Transactions!$F$8:$F$3006,B1482,Transactions!$R$8:$R$3006),"OWES","OVERPAID"))))</f>
        <v/>
      </c>
      <c r="I1482" s="1"/>
    </row>
    <row r="1483" spans="1:9" ht="18" customHeight="1" x14ac:dyDescent="0.25">
      <c r="A1483" s="48">
        <v>1468</v>
      </c>
      <c r="B1483" s="49" t="str">
        <f t="array" ref="B1483">IFERROR(IF(INDEX(Transactions!$F$8:$F$3006,MATCH(0,COUNTIF($B$11:B1482,Transactions!$F$8:$F$3006),0))="","",INDEX(Transactions!$F$8:$F$3006,MATCH(0,COUNTIF($B$11:B1482,Transactions!$F$8:$F$3006),0))),"")</f>
        <v/>
      </c>
      <c r="C1483" s="50" t="str">
        <f>IF(B1483="","",SUMIF(Transactions!$F$8:$F$3006,B1483,Transactions!$H$8:$H$3006))</f>
        <v/>
      </c>
      <c r="D1483" s="51" t="str">
        <f>IF(B1483="","",SUMIF(Transactions!$F$8:$F$3006,B1483,Transactions!$N$8:$N$3006))</f>
        <v/>
      </c>
      <c r="E1483" s="52" t="str">
        <f>IF(B1483="","",SUMIF(Transactions!$F$8:$F$3006,B1483,Transactions!$O$8:$O$3006))</f>
        <v/>
      </c>
      <c r="F1483" s="53" t="str">
        <f>IF(B1483="","",SUMIF(Transactions!$F$8:$F$3006,B1483,Transactions!$R$8:$R$3006))</f>
        <v/>
      </c>
      <c r="G1483" s="54" t="str">
        <f>IF(B1483="","",(C1483+F1483)-(D1483+E1483+SUMIF(Transactions!$F$8:$F$3006,B1483,Transactions!$Q$8:$Q$3006)))</f>
        <v/>
      </c>
      <c r="H1483" s="55" t="str">
        <f>IF(B1483="","",IF(G1483&gt;0,"OUTSTANDING",IF(G1483=0,"SETTLED",IF(SUMIF(Transactions!$F$8:$F$3006,B1483,Transactions!$Q$8:$Q$3006)&gt;SUMIF(Transactions!$F$8:$F$3006,B1483,Transactions!$R$8:$R$3006),"OWES","OVERPAID"))))</f>
        <v/>
      </c>
      <c r="I1483" s="1"/>
    </row>
    <row r="1484" spans="1:9" ht="18" customHeight="1" x14ac:dyDescent="0.25">
      <c r="A1484" s="40">
        <v>1469</v>
      </c>
      <c r="B1484" s="41" t="str">
        <f t="array" ref="B1484">IFERROR(IF(INDEX(Transactions!$F$8:$F$3006,MATCH(0,COUNTIF($B$11:B1483,Transactions!$F$8:$F$3006),0))="","",INDEX(Transactions!$F$8:$F$3006,MATCH(0,COUNTIF($B$11:B1483,Transactions!$F$8:$F$3006),0))),"")</f>
        <v/>
      </c>
      <c r="C1484" s="42" t="str">
        <f>IF(B1484="","",SUMIF(Transactions!$F$8:$F$3006,B1484,Transactions!$H$8:$H$3006))</f>
        <v/>
      </c>
      <c r="D1484" s="43" t="str">
        <f>IF(B1484="","",SUMIF(Transactions!$F$8:$F$3006,B1484,Transactions!$N$8:$N$3006))</f>
        <v/>
      </c>
      <c r="E1484" s="44" t="str">
        <f>IF(B1484="","",SUMIF(Transactions!$F$8:$F$3006,B1484,Transactions!$O$8:$O$3006))</f>
        <v/>
      </c>
      <c r="F1484" s="45" t="str">
        <f>IF(B1484="","",SUMIF(Transactions!$F$8:$F$3006,B1484,Transactions!$R$8:$R$3006))</f>
        <v/>
      </c>
      <c r="G1484" s="46" t="str">
        <f>IF(B1484="","",(C1484+F1484)-(D1484+E1484+SUMIF(Transactions!$F$8:$F$3006,B1484,Transactions!$Q$8:$Q$3006)))</f>
        <v/>
      </c>
      <c r="H1484" s="47" t="str">
        <f>IF(B1484="","",IF(G1484&gt;0,"OUTSTANDING",IF(G1484=0,"SETTLED",IF(SUMIF(Transactions!$F$8:$F$3006,B1484,Transactions!$Q$8:$Q$3006)&gt;SUMIF(Transactions!$F$8:$F$3006,B1484,Transactions!$R$8:$R$3006),"OWES","OVERPAID"))))</f>
        <v/>
      </c>
      <c r="I1484" s="1"/>
    </row>
    <row r="1485" spans="1:9" ht="18" customHeight="1" x14ac:dyDescent="0.25">
      <c r="A1485" s="48">
        <v>1470</v>
      </c>
      <c r="B1485" s="49" t="str">
        <f t="array" ref="B1485">IFERROR(IF(INDEX(Transactions!$F$8:$F$3006,MATCH(0,COUNTIF($B$11:B1484,Transactions!$F$8:$F$3006),0))="","",INDEX(Transactions!$F$8:$F$3006,MATCH(0,COUNTIF($B$11:B1484,Transactions!$F$8:$F$3006),0))),"")</f>
        <v/>
      </c>
      <c r="C1485" s="50" t="str">
        <f>IF(B1485="","",SUMIF(Transactions!$F$8:$F$3006,B1485,Transactions!$H$8:$H$3006))</f>
        <v/>
      </c>
      <c r="D1485" s="51" t="str">
        <f>IF(B1485="","",SUMIF(Transactions!$F$8:$F$3006,B1485,Transactions!$N$8:$N$3006))</f>
        <v/>
      </c>
      <c r="E1485" s="52" t="str">
        <f>IF(B1485="","",SUMIF(Transactions!$F$8:$F$3006,B1485,Transactions!$O$8:$O$3006))</f>
        <v/>
      </c>
      <c r="F1485" s="53" t="str">
        <f>IF(B1485="","",SUMIF(Transactions!$F$8:$F$3006,B1485,Transactions!$R$8:$R$3006))</f>
        <v/>
      </c>
      <c r="G1485" s="54" t="str">
        <f>IF(B1485="","",(C1485+F1485)-(D1485+E1485+SUMIF(Transactions!$F$8:$F$3006,B1485,Transactions!$Q$8:$Q$3006)))</f>
        <v/>
      </c>
      <c r="H1485" s="55" t="str">
        <f>IF(B1485="","",IF(G1485&gt;0,"OUTSTANDING",IF(G1485=0,"SETTLED",IF(SUMIF(Transactions!$F$8:$F$3006,B1485,Transactions!$Q$8:$Q$3006)&gt;SUMIF(Transactions!$F$8:$F$3006,B1485,Transactions!$R$8:$R$3006),"OWES","OVERPAID"))))</f>
        <v/>
      </c>
      <c r="I1485" s="1"/>
    </row>
    <row r="1486" spans="1:9" ht="18" customHeight="1" x14ac:dyDescent="0.25">
      <c r="A1486" s="40">
        <v>1471</v>
      </c>
      <c r="B1486" s="41" t="str">
        <f t="array" ref="B1486">IFERROR(IF(INDEX(Transactions!$F$8:$F$3006,MATCH(0,COUNTIF($B$11:B1485,Transactions!$F$8:$F$3006),0))="","",INDEX(Transactions!$F$8:$F$3006,MATCH(0,COUNTIF($B$11:B1485,Transactions!$F$8:$F$3006),0))),"")</f>
        <v/>
      </c>
      <c r="C1486" s="42" t="str">
        <f>IF(B1486="","",SUMIF(Transactions!$F$8:$F$3006,B1486,Transactions!$H$8:$H$3006))</f>
        <v/>
      </c>
      <c r="D1486" s="43" t="str">
        <f>IF(B1486="","",SUMIF(Transactions!$F$8:$F$3006,B1486,Transactions!$N$8:$N$3006))</f>
        <v/>
      </c>
      <c r="E1486" s="44" t="str">
        <f>IF(B1486="","",SUMIF(Transactions!$F$8:$F$3006,B1486,Transactions!$O$8:$O$3006))</f>
        <v/>
      </c>
      <c r="F1486" s="45" t="str">
        <f>IF(B1486="","",SUMIF(Transactions!$F$8:$F$3006,B1486,Transactions!$R$8:$R$3006))</f>
        <v/>
      </c>
      <c r="G1486" s="46" t="str">
        <f>IF(B1486="","",(C1486+F1486)-(D1486+E1486+SUMIF(Transactions!$F$8:$F$3006,B1486,Transactions!$Q$8:$Q$3006)))</f>
        <v/>
      </c>
      <c r="H1486" s="47" t="str">
        <f>IF(B1486="","",IF(G1486&gt;0,"OUTSTANDING",IF(G1486=0,"SETTLED",IF(SUMIF(Transactions!$F$8:$F$3006,B1486,Transactions!$Q$8:$Q$3006)&gt;SUMIF(Transactions!$F$8:$F$3006,B1486,Transactions!$R$8:$R$3006),"OWES","OVERPAID"))))</f>
        <v/>
      </c>
      <c r="I1486" s="1"/>
    </row>
    <row r="1487" spans="1:9" ht="18" customHeight="1" x14ac:dyDescent="0.25">
      <c r="A1487" s="48">
        <v>1472</v>
      </c>
      <c r="B1487" s="49" t="str">
        <f t="array" ref="B1487">IFERROR(IF(INDEX(Transactions!$F$8:$F$3006,MATCH(0,COUNTIF($B$11:B1486,Transactions!$F$8:$F$3006),0))="","",INDEX(Transactions!$F$8:$F$3006,MATCH(0,COUNTIF($B$11:B1486,Transactions!$F$8:$F$3006),0))),"")</f>
        <v/>
      </c>
      <c r="C1487" s="50" t="str">
        <f>IF(B1487="","",SUMIF(Transactions!$F$8:$F$3006,B1487,Transactions!$H$8:$H$3006))</f>
        <v/>
      </c>
      <c r="D1487" s="51" t="str">
        <f>IF(B1487="","",SUMIF(Transactions!$F$8:$F$3006,B1487,Transactions!$N$8:$N$3006))</f>
        <v/>
      </c>
      <c r="E1487" s="52" t="str">
        <f>IF(B1487="","",SUMIF(Transactions!$F$8:$F$3006,B1487,Transactions!$O$8:$O$3006))</f>
        <v/>
      </c>
      <c r="F1487" s="53" t="str">
        <f>IF(B1487="","",SUMIF(Transactions!$F$8:$F$3006,B1487,Transactions!$R$8:$R$3006))</f>
        <v/>
      </c>
      <c r="G1487" s="54" t="str">
        <f>IF(B1487="","",(C1487+F1487)-(D1487+E1487+SUMIF(Transactions!$F$8:$F$3006,B1487,Transactions!$Q$8:$Q$3006)))</f>
        <v/>
      </c>
      <c r="H1487" s="55" t="str">
        <f>IF(B1487="","",IF(G1487&gt;0,"OUTSTANDING",IF(G1487=0,"SETTLED",IF(SUMIF(Transactions!$F$8:$F$3006,B1487,Transactions!$Q$8:$Q$3006)&gt;SUMIF(Transactions!$F$8:$F$3006,B1487,Transactions!$R$8:$R$3006),"OWES","OVERPAID"))))</f>
        <v/>
      </c>
      <c r="I1487" s="1"/>
    </row>
    <row r="1488" spans="1:9" ht="18" customHeight="1" x14ac:dyDescent="0.25">
      <c r="A1488" s="40">
        <v>1473</v>
      </c>
      <c r="B1488" s="41" t="str">
        <f t="array" ref="B1488">IFERROR(IF(INDEX(Transactions!$F$8:$F$3006,MATCH(0,COUNTIF($B$11:B1487,Transactions!$F$8:$F$3006),0))="","",INDEX(Transactions!$F$8:$F$3006,MATCH(0,COUNTIF($B$11:B1487,Transactions!$F$8:$F$3006),0))),"")</f>
        <v/>
      </c>
      <c r="C1488" s="42" t="str">
        <f>IF(B1488="","",SUMIF(Transactions!$F$8:$F$3006,B1488,Transactions!$H$8:$H$3006))</f>
        <v/>
      </c>
      <c r="D1488" s="43" t="str">
        <f>IF(B1488="","",SUMIF(Transactions!$F$8:$F$3006,B1488,Transactions!$N$8:$N$3006))</f>
        <v/>
      </c>
      <c r="E1488" s="44" t="str">
        <f>IF(B1488="","",SUMIF(Transactions!$F$8:$F$3006,B1488,Transactions!$O$8:$O$3006))</f>
        <v/>
      </c>
      <c r="F1488" s="45" t="str">
        <f>IF(B1488="","",SUMIF(Transactions!$F$8:$F$3006,B1488,Transactions!$R$8:$R$3006))</f>
        <v/>
      </c>
      <c r="G1488" s="46" t="str">
        <f>IF(B1488="","",(C1488+F1488)-(D1488+E1488+SUMIF(Transactions!$F$8:$F$3006,B1488,Transactions!$Q$8:$Q$3006)))</f>
        <v/>
      </c>
      <c r="H1488" s="47" t="str">
        <f>IF(B1488="","",IF(G1488&gt;0,"OUTSTANDING",IF(G1488=0,"SETTLED",IF(SUMIF(Transactions!$F$8:$F$3006,B1488,Transactions!$Q$8:$Q$3006)&gt;SUMIF(Transactions!$F$8:$F$3006,B1488,Transactions!$R$8:$R$3006),"OWES","OVERPAID"))))</f>
        <v/>
      </c>
      <c r="I1488" s="1"/>
    </row>
    <row r="1489" spans="1:9" ht="18" customHeight="1" x14ac:dyDescent="0.25">
      <c r="A1489" s="48">
        <v>1474</v>
      </c>
      <c r="B1489" s="49" t="str">
        <f t="array" ref="B1489">IFERROR(IF(INDEX(Transactions!$F$8:$F$3006,MATCH(0,COUNTIF($B$11:B1488,Transactions!$F$8:$F$3006),0))="","",INDEX(Transactions!$F$8:$F$3006,MATCH(0,COUNTIF($B$11:B1488,Transactions!$F$8:$F$3006),0))),"")</f>
        <v/>
      </c>
      <c r="C1489" s="50" t="str">
        <f>IF(B1489="","",SUMIF(Transactions!$F$8:$F$3006,B1489,Transactions!$H$8:$H$3006))</f>
        <v/>
      </c>
      <c r="D1489" s="51" t="str">
        <f>IF(B1489="","",SUMIF(Transactions!$F$8:$F$3006,B1489,Transactions!$N$8:$N$3006))</f>
        <v/>
      </c>
      <c r="E1489" s="52" t="str">
        <f>IF(B1489="","",SUMIF(Transactions!$F$8:$F$3006,B1489,Transactions!$O$8:$O$3006))</f>
        <v/>
      </c>
      <c r="F1489" s="53" t="str">
        <f>IF(B1489="","",SUMIF(Transactions!$F$8:$F$3006,B1489,Transactions!$R$8:$R$3006))</f>
        <v/>
      </c>
      <c r="G1489" s="54" t="str">
        <f>IF(B1489="","",(C1489+F1489)-(D1489+E1489+SUMIF(Transactions!$F$8:$F$3006,B1489,Transactions!$Q$8:$Q$3006)))</f>
        <v/>
      </c>
      <c r="H1489" s="55" t="str">
        <f>IF(B1489="","",IF(G1489&gt;0,"OUTSTANDING",IF(G1489=0,"SETTLED",IF(SUMIF(Transactions!$F$8:$F$3006,B1489,Transactions!$Q$8:$Q$3006)&gt;SUMIF(Transactions!$F$8:$F$3006,B1489,Transactions!$R$8:$R$3006),"OWES","OVERPAID"))))</f>
        <v/>
      </c>
      <c r="I1489" s="1"/>
    </row>
    <row r="1490" spans="1:9" ht="18" customHeight="1" x14ac:dyDescent="0.25">
      <c r="A1490" s="40">
        <v>1475</v>
      </c>
      <c r="B1490" s="41" t="str">
        <f t="array" ref="B1490">IFERROR(IF(INDEX(Transactions!$F$8:$F$3006,MATCH(0,COUNTIF($B$11:B1489,Transactions!$F$8:$F$3006),0))="","",INDEX(Transactions!$F$8:$F$3006,MATCH(0,COUNTIF($B$11:B1489,Transactions!$F$8:$F$3006),0))),"")</f>
        <v/>
      </c>
      <c r="C1490" s="42" t="str">
        <f>IF(B1490="","",SUMIF(Transactions!$F$8:$F$3006,B1490,Transactions!$H$8:$H$3006))</f>
        <v/>
      </c>
      <c r="D1490" s="43" t="str">
        <f>IF(B1490="","",SUMIF(Transactions!$F$8:$F$3006,B1490,Transactions!$N$8:$N$3006))</f>
        <v/>
      </c>
      <c r="E1490" s="44" t="str">
        <f>IF(B1490="","",SUMIF(Transactions!$F$8:$F$3006,B1490,Transactions!$O$8:$O$3006))</f>
        <v/>
      </c>
      <c r="F1490" s="45" t="str">
        <f>IF(B1490="","",SUMIF(Transactions!$F$8:$F$3006,B1490,Transactions!$R$8:$R$3006))</f>
        <v/>
      </c>
      <c r="G1490" s="46" t="str">
        <f>IF(B1490="","",(C1490+F1490)-(D1490+E1490+SUMIF(Transactions!$F$8:$F$3006,B1490,Transactions!$Q$8:$Q$3006)))</f>
        <v/>
      </c>
      <c r="H1490" s="47" t="str">
        <f>IF(B1490="","",IF(G1490&gt;0,"OUTSTANDING",IF(G1490=0,"SETTLED",IF(SUMIF(Transactions!$F$8:$F$3006,B1490,Transactions!$Q$8:$Q$3006)&gt;SUMIF(Transactions!$F$8:$F$3006,B1490,Transactions!$R$8:$R$3006),"OWES","OVERPAID"))))</f>
        <v/>
      </c>
      <c r="I1490" s="1"/>
    </row>
    <row r="1491" spans="1:9" ht="18" customHeight="1" x14ac:dyDescent="0.25">
      <c r="A1491" s="48">
        <v>1476</v>
      </c>
      <c r="B1491" s="49" t="str">
        <f t="array" ref="B1491">IFERROR(IF(INDEX(Transactions!$F$8:$F$3006,MATCH(0,COUNTIF($B$11:B1490,Transactions!$F$8:$F$3006),0))="","",INDEX(Transactions!$F$8:$F$3006,MATCH(0,COUNTIF($B$11:B1490,Transactions!$F$8:$F$3006),0))),"")</f>
        <v/>
      </c>
      <c r="C1491" s="50" t="str">
        <f>IF(B1491="","",SUMIF(Transactions!$F$8:$F$3006,B1491,Transactions!$H$8:$H$3006))</f>
        <v/>
      </c>
      <c r="D1491" s="51" t="str">
        <f>IF(B1491="","",SUMIF(Transactions!$F$8:$F$3006,B1491,Transactions!$N$8:$N$3006))</f>
        <v/>
      </c>
      <c r="E1491" s="52" t="str">
        <f>IF(B1491="","",SUMIF(Transactions!$F$8:$F$3006,B1491,Transactions!$O$8:$O$3006))</f>
        <v/>
      </c>
      <c r="F1491" s="53" t="str">
        <f>IF(B1491="","",SUMIF(Transactions!$F$8:$F$3006,B1491,Transactions!$R$8:$R$3006))</f>
        <v/>
      </c>
      <c r="G1491" s="54" t="str">
        <f>IF(B1491="","",(C1491+F1491)-(D1491+E1491+SUMIF(Transactions!$F$8:$F$3006,B1491,Transactions!$Q$8:$Q$3006)))</f>
        <v/>
      </c>
      <c r="H1491" s="55" t="str">
        <f>IF(B1491="","",IF(G1491&gt;0,"OUTSTANDING",IF(G1491=0,"SETTLED",IF(SUMIF(Transactions!$F$8:$F$3006,B1491,Transactions!$Q$8:$Q$3006)&gt;SUMIF(Transactions!$F$8:$F$3006,B1491,Transactions!$R$8:$R$3006),"OWES","OVERPAID"))))</f>
        <v/>
      </c>
      <c r="I1491" s="1"/>
    </row>
    <row r="1492" spans="1:9" ht="18" customHeight="1" x14ac:dyDescent="0.25">
      <c r="A1492" s="40">
        <v>1477</v>
      </c>
      <c r="B1492" s="41" t="str">
        <f t="array" ref="B1492">IFERROR(IF(INDEX(Transactions!$F$8:$F$3006,MATCH(0,COUNTIF($B$11:B1491,Transactions!$F$8:$F$3006),0))="","",INDEX(Transactions!$F$8:$F$3006,MATCH(0,COUNTIF($B$11:B1491,Transactions!$F$8:$F$3006),0))),"")</f>
        <v/>
      </c>
      <c r="C1492" s="42" t="str">
        <f>IF(B1492="","",SUMIF(Transactions!$F$8:$F$3006,B1492,Transactions!$H$8:$H$3006))</f>
        <v/>
      </c>
      <c r="D1492" s="43" t="str">
        <f>IF(B1492="","",SUMIF(Transactions!$F$8:$F$3006,B1492,Transactions!$N$8:$N$3006))</f>
        <v/>
      </c>
      <c r="E1492" s="44" t="str">
        <f>IF(B1492="","",SUMIF(Transactions!$F$8:$F$3006,B1492,Transactions!$O$8:$O$3006))</f>
        <v/>
      </c>
      <c r="F1492" s="45" t="str">
        <f>IF(B1492="","",SUMIF(Transactions!$F$8:$F$3006,B1492,Transactions!$R$8:$R$3006))</f>
        <v/>
      </c>
      <c r="G1492" s="46" t="str">
        <f>IF(B1492="","",(C1492+F1492)-(D1492+E1492+SUMIF(Transactions!$F$8:$F$3006,B1492,Transactions!$Q$8:$Q$3006)))</f>
        <v/>
      </c>
      <c r="H1492" s="47" t="str">
        <f>IF(B1492="","",IF(G1492&gt;0,"OUTSTANDING",IF(G1492=0,"SETTLED",IF(SUMIF(Transactions!$F$8:$F$3006,B1492,Transactions!$Q$8:$Q$3006)&gt;SUMIF(Transactions!$F$8:$F$3006,B1492,Transactions!$R$8:$R$3006),"OWES","OVERPAID"))))</f>
        <v/>
      </c>
      <c r="I1492" s="1"/>
    </row>
    <row r="1493" spans="1:9" ht="18" customHeight="1" x14ac:dyDescent="0.25">
      <c r="A1493" s="48">
        <v>1478</v>
      </c>
      <c r="B1493" s="49" t="str">
        <f t="array" ref="B1493">IFERROR(IF(INDEX(Transactions!$F$8:$F$3006,MATCH(0,COUNTIF($B$11:B1492,Transactions!$F$8:$F$3006),0))="","",INDEX(Transactions!$F$8:$F$3006,MATCH(0,COUNTIF($B$11:B1492,Transactions!$F$8:$F$3006),0))),"")</f>
        <v/>
      </c>
      <c r="C1493" s="50" t="str">
        <f>IF(B1493="","",SUMIF(Transactions!$F$8:$F$3006,B1493,Transactions!$H$8:$H$3006))</f>
        <v/>
      </c>
      <c r="D1493" s="51" t="str">
        <f>IF(B1493="","",SUMIF(Transactions!$F$8:$F$3006,B1493,Transactions!$N$8:$N$3006))</f>
        <v/>
      </c>
      <c r="E1493" s="52" t="str">
        <f>IF(B1493="","",SUMIF(Transactions!$F$8:$F$3006,B1493,Transactions!$O$8:$O$3006))</f>
        <v/>
      </c>
      <c r="F1493" s="53" t="str">
        <f>IF(B1493="","",SUMIF(Transactions!$F$8:$F$3006,B1493,Transactions!$R$8:$R$3006))</f>
        <v/>
      </c>
      <c r="G1493" s="54" t="str">
        <f>IF(B1493="","",(C1493+F1493)-(D1493+E1493+SUMIF(Transactions!$F$8:$F$3006,B1493,Transactions!$Q$8:$Q$3006)))</f>
        <v/>
      </c>
      <c r="H1493" s="55" t="str">
        <f>IF(B1493="","",IF(G1493&gt;0,"OUTSTANDING",IF(G1493=0,"SETTLED",IF(SUMIF(Transactions!$F$8:$F$3006,B1493,Transactions!$Q$8:$Q$3006)&gt;SUMIF(Transactions!$F$8:$F$3006,B1493,Transactions!$R$8:$R$3006),"OWES","OVERPAID"))))</f>
        <v/>
      </c>
      <c r="I1493" s="1"/>
    </row>
    <row r="1494" spans="1:9" ht="18" customHeight="1" x14ac:dyDescent="0.25">
      <c r="A1494" s="40">
        <v>1479</v>
      </c>
      <c r="B1494" s="41" t="str">
        <f t="array" ref="B1494">IFERROR(IF(INDEX(Transactions!$F$8:$F$3006,MATCH(0,COUNTIF($B$11:B1493,Transactions!$F$8:$F$3006),0))="","",INDEX(Transactions!$F$8:$F$3006,MATCH(0,COUNTIF($B$11:B1493,Transactions!$F$8:$F$3006),0))),"")</f>
        <v/>
      </c>
      <c r="C1494" s="42" t="str">
        <f>IF(B1494="","",SUMIF(Transactions!$F$8:$F$3006,B1494,Transactions!$H$8:$H$3006))</f>
        <v/>
      </c>
      <c r="D1494" s="43" t="str">
        <f>IF(B1494="","",SUMIF(Transactions!$F$8:$F$3006,B1494,Transactions!$N$8:$N$3006))</f>
        <v/>
      </c>
      <c r="E1494" s="44" t="str">
        <f>IF(B1494="","",SUMIF(Transactions!$F$8:$F$3006,B1494,Transactions!$O$8:$O$3006))</f>
        <v/>
      </c>
      <c r="F1494" s="45" t="str">
        <f>IF(B1494="","",SUMIF(Transactions!$F$8:$F$3006,B1494,Transactions!$R$8:$R$3006))</f>
        <v/>
      </c>
      <c r="G1494" s="46" t="str">
        <f>IF(B1494="","",(C1494+F1494)-(D1494+E1494+SUMIF(Transactions!$F$8:$F$3006,B1494,Transactions!$Q$8:$Q$3006)))</f>
        <v/>
      </c>
      <c r="H1494" s="47" t="str">
        <f>IF(B1494="","",IF(G1494&gt;0,"OUTSTANDING",IF(G1494=0,"SETTLED",IF(SUMIF(Transactions!$F$8:$F$3006,B1494,Transactions!$Q$8:$Q$3006)&gt;SUMIF(Transactions!$F$8:$F$3006,B1494,Transactions!$R$8:$R$3006),"OWES","OVERPAID"))))</f>
        <v/>
      </c>
      <c r="I1494" s="1"/>
    </row>
    <row r="1495" spans="1:9" ht="18" customHeight="1" x14ac:dyDescent="0.25">
      <c r="A1495" s="48">
        <v>1480</v>
      </c>
      <c r="B1495" s="49" t="str">
        <f t="array" ref="B1495">IFERROR(IF(INDEX(Transactions!$F$8:$F$3006,MATCH(0,COUNTIF($B$11:B1494,Transactions!$F$8:$F$3006),0))="","",INDEX(Transactions!$F$8:$F$3006,MATCH(0,COUNTIF($B$11:B1494,Transactions!$F$8:$F$3006),0))),"")</f>
        <v/>
      </c>
      <c r="C1495" s="50" t="str">
        <f>IF(B1495="","",SUMIF(Transactions!$F$8:$F$3006,B1495,Transactions!$H$8:$H$3006))</f>
        <v/>
      </c>
      <c r="D1495" s="51" t="str">
        <f>IF(B1495="","",SUMIF(Transactions!$F$8:$F$3006,B1495,Transactions!$N$8:$N$3006))</f>
        <v/>
      </c>
      <c r="E1495" s="52" t="str">
        <f>IF(B1495="","",SUMIF(Transactions!$F$8:$F$3006,B1495,Transactions!$O$8:$O$3006))</f>
        <v/>
      </c>
      <c r="F1495" s="53" t="str">
        <f>IF(B1495="","",SUMIF(Transactions!$F$8:$F$3006,B1495,Transactions!$R$8:$R$3006))</f>
        <v/>
      </c>
      <c r="G1495" s="54" t="str">
        <f>IF(B1495="","",(C1495+F1495)-(D1495+E1495+SUMIF(Transactions!$F$8:$F$3006,B1495,Transactions!$Q$8:$Q$3006)))</f>
        <v/>
      </c>
      <c r="H1495" s="55" t="str">
        <f>IF(B1495="","",IF(G1495&gt;0,"OUTSTANDING",IF(G1495=0,"SETTLED",IF(SUMIF(Transactions!$F$8:$F$3006,B1495,Transactions!$Q$8:$Q$3006)&gt;SUMIF(Transactions!$F$8:$F$3006,B1495,Transactions!$R$8:$R$3006),"OWES","OVERPAID"))))</f>
        <v/>
      </c>
      <c r="I1495" s="1"/>
    </row>
    <row r="1496" spans="1:9" ht="18" customHeight="1" x14ac:dyDescent="0.25">
      <c r="A1496" s="40">
        <v>1481</v>
      </c>
      <c r="B1496" s="41" t="str">
        <f t="array" ref="B1496">IFERROR(IF(INDEX(Transactions!$F$8:$F$3006,MATCH(0,COUNTIF($B$11:B1495,Transactions!$F$8:$F$3006),0))="","",INDEX(Transactions!$F$8:$F$3006,MATCH(0,COUNTIF($B$11:B1495,Transactions!$F$8:$F$3006),0))),"")</f>
        <v/>
      </c>
      <c r="C1496" s="42" t="str">
        <f>IF(B1496="","",SUMIF(Transactions!$F$8:$F$3006,B1496,Transactions!$H$8:$H$3006))</f>
        <v/>
      </c>
      <c r="D1496" s="43" t="str">
        <f>IF(B1496="","",SUMIF(Transactions!$F$8:$F$3006,B1496,Transactions!$N$8:$N$3006))</f>
        <v/>
      </c>
      <c r="E1496" s="44" t="str">
        <f>IF(B1496="","",SUMIF(Transactions!$F$8:$F$3006,B1496,Transactions!$O$8:$O$3006))</f>
        <v/>
      </c>
      <c r="F1496" s="45" t="str">
        <f>IF(B1496="","",SUMIF(Transactions!$F$8:$F$3006,B1496,Transactions!$R$8:$R$3006))</f>
        <v/>
      </c>
      <c r="G1496" s="46" t="str">
        <f>IF(B1496="","",(C1496+F1496)-(D1496+E1496+SUMIF(Transactions!$F$8:$F$3006,B1496,Transactions!$Q$8:$Q$3006)))</f>
        <v/>
      </c>
      <c r="H1496" s="47" t="str">
        <f>IF(B1496="","",IF(G1496&gt;0,"OUTSTANDING",IF(G1496=0,"SETTLED",IF(SUMIF(Transactions!$F$8:$F$3006,B1496,Transactions!$Q$8:$Q$3006)&gt;SUMIF(Transactions!$F$8:$F$3006,B1496,Transactions!$R$8:$R$3006),"OWES","OVERPAID"))))</f>
        <v/>
      </c>
      <c r="I1496" s="1"/>
    </row>
    <row r="1497" spans="1:9" ht="18" customHeight="1" x14ac:dyDescent="0.25">
      <c r="A1497" s="48">
        <v>1482</v>
      </c>
      <c r="B1497" s="49" t="str">
        <f t="array" ref="B1497">IFERROR(IF(INDEX(Transactions!$F$8:$F$3006,MATCH(0,COUNTIF($B$11:B1496,Transactions!$F$8:$F$3006),0))="","",INDEX(Transactions!$F$8:$F$3006,MATCH(0,COUNTIF($B$11:B1496,Transactions!$F$8:$F$3006),0))),"")</f>
        <v/>
      </c>
      <c r="C1497" s="50" t="str">
        <f>IF(B1497="","",SUMIF(Transactions!$F$8:$F$3006,B1497,Transactions!$H$8:$H$3006))</f>
        <v/>
      </c>
      <c r="D1497" s="51" t="str">
        <f>IF(B1497="","",SUMIF(Transactions!$F$8:$F$3006,B1497,Transactions!$N$8:$N$3006))</f>
        <v/>
      </c>
      <c r="E1497" s="52" t="str">
        <f>IF(B1497="","",SUMIF(Transactions!$F$8:$F$3006,B1497,Transactions!$O$8:$O$3006))</f>
        <v/>
      </c>
      <c r="F1497" s="53" t="str">
        <f>IF(B1497="","",SUMIF(Transactions!$F$8:$F$3006,B1497,Transactions!$R$8:$R$3006))</f>
        <v/>
      </c>
      <c r="G1497" s="54" t="str">
        <f>IF(B1497="","",(C1497+F1497)-(D1497+E1497+SUMIF(Transactions!$F$8:$F$3006,B1497,Transactions!$Q$8:$Q$3006)))</f>
        <v/>
      </c>
      <c r="H1497" s="55" t="str">
        <f>IF(B1497="","",IF(G1497&gt;0,"OUTSTANDING",IF(G1497=0,"SETTLED",IF(SUMIF(Transactions!$F$8:$F$3006,B1497,Transactions!$Q$8:$Q$3006)&gt;SUMIF(Transactions!$F$8:$F$3006,B1497,Transactions!$R$8:$R$3006),"OWES","OVERPAID"))))</f>
        <v/>
      </c>
      <c r="I1497" s="1"/>
    </row>
    <row r="1498" spans="1:9" ht="18" customHeight="1" x14ac:dyDescent="0.25">
      <c r="A1498" s="40">
        <v>1483</v>
      </c>
      <c r="B1498" s="41" t="str">
        <f t="array" ref="B1498">IFERROR(IF(INDEX(Transactions!$F$8:$F$3006,MATCH(0,COUNTIF($B$11:B1497,Transactions!$F$8:$F$3006),0))="","",INDEX(Transactions!$F$8:$F$3006,MATCH(0,COUNTIF($B$11:B1497,Transactions!$F$8:$F$3006),0))),"")</f>
        <v/>
      </c>
      <c r="C1498" s="42" t="str">
        <f>IF(B1498="","",SUMIF(Transactions!$F$8:$F$3006,B1498,Transactions!$H$8:$H$3006))</f>
        <v/>
      </c>
      <c r="D1498" s="43" t="str">
        <f>IF(B1498="","",SUMIF(Transactions!$F$8:$F$3006,B1498,Transactions!$N$8:$N$3006))</f>
        <v/>
      </c>
      <c r="E1498" s="44" t="str">
        <f>IF(B1498="","",SUMIF(Transactions!$F$8:$F$3006,B1498,Transactions!$O$8:$O$3006))</f>
        <v/>
      </c>
      <c r="F1498" s="45" t="str">
        <f>IF(B1498="","",SUMIF(Transactions!$F$8:$F$3006,B1498,Transactions!$R$8:$R$3006))</f>
        <v/>
      </c>
      <c r="G1498" s="46" t="str">
        <f>IF(B1498="","",(C1498+F1498)-(D1498+E1498+SUMIF(Transactions!$F$8:$F$3006,B1498,Transactions!$Q$8:$Q$3006)))</f>
        <v/>
      </c>
      <c r="H1498" s="47" t="str">
        <f>IF(B1498="","",IF(G1498&gt;0,"OUTSTANDING",IF(G1498=0,"SETTLED",IF(SUMIF(Transactions!$F$8:$F$3006,B1498,Transactions!$Q$8:$Q$3006)&gt;SUMIF(Transactions!$F$8:$F$3006,B1498,Transactions!$R$8:$R$3006),"OWES","OVERPAID"))))</f>
        <v/>
      </c>
      <c r="I1498" s="1"/>
    </row>
    <row r="1499" spans="1:9" ht="18" customHeight="1" x14ac:dyDescent="0.25">
      <c r="A1499" s="48">
        <v>1484</v>
      </c>
      <c r="B1499" s="49" t="str">
        <f t="array" ref="B1499">IFERROR(IF(INDEX(Transactions!$F$8:$F$3006,MATCH(0,COUNTIF($B$11:B1498,Transactions!$F$8:$F$3006),0))="","",INDEX(Transactions!$F$8:$F$3006,MATCH(0,COUNTIF($B$11:B1498,Transactions!$F$8:$F$3006),0))),"")</f>
        <v/>
      </c>
      <c r="C1499" s="50" t="str">
        <f>IF(B1499="","",SUMIF(Transactions!$F$8:$F$3006,B1499,Transactions!$H$8:$H$3006))</f>
        <v/>
      </c>
      <c r="D1499" s="51" t="str">
        <f>IF(B1499="","",SUMIF(Transactions!$F$8:$F$3006,B1499,Transactions!$N$8:$N$3006))</f>
        <v/>
      </c>
      <c r="E1499" s="52" t="str">
        <f>IF(B1499="","",SUMIF(Transactions!$F$8:$F$3006,B1499,Transactions!$O$8:$O$3006))</f>
        <v/>
      </c>
      <c r="F1499" s="53" t="str">
        <f>IF(B1499="","",SUMIF(Transactions!$F$8:$F$3006,B1499,Transactions!$R$8:$R$3006))</f>
        <v/>
      </c>
      <c r="G1499" s="54" t="str">
        <f>IF(B1499="","",(C1499+F1499)-(D1499+E1499+SUMIF(Transactions!$F$8:$F$3006,B1499,Transactions!$Q$8:$Q$3006)))</f>
        <v/>
      </c>
      <c r="H1499" s="55" t="str">
        <f>IF(B1499="","",IF(G1499&gt;0,"OUTSTANDING",IF(G1499=0,"SETTLED",IF(SUMIF(Transactions!$F$8:$F$3006,B1499,Transactions!$Q$8:$Q$3006)&gt;SUMIF(Transactions!$F$8:$F$3006,B1499,Transactions!$R$8:$R$3006),"OWES","OVERPAID"))))</f>
        <v/>
      </c>
      <c r="I1499" s="1"/>
    </row>
    <row r="1500" spans="1:9" ht="18" customHeight="1" x14ac:dyDescent="0.25">
      <c r="A1500" s="40">
        <v>1485</v>
      </c>
      <c r="B1500" s="41" t="str">
        <f t="array" ref="B1500">IFERROR(IF(INDEX(Transactions!$F$8:$F$3006,MATCH(0,COUNTIF($B$11:B1499,Transactions!$F$8:$F$3006),0))="","",INDEX(Transactions!$F$8:$F$3006,MATCH(0,COUNTIF($B$11:B1499,Transactions!$F$8:$F$3006),0))),"")</f>
        <v/>
      </c>
      <c r="C1500" s="42" t="str">
        <f>IF(B1500="","",SUMIF(Transactions!$F$8:$F$3006,B1500,Transactions!$H$8:$H$3006))</f>
        <v/>
      </c>
      <c r="D1500" s="43" t="str">
        <f>IF(B1500="","",SUMIF(Transactions!$F$8:$F$3006,B1500,Transactions!$N$8:$N$3006))</f>
        <v/>
      </c>
      <c r="E1500" s="44" t="str">
        <f>IF(B1500="","",SUMIF(Transactions!$F$8:$F$3006,B1500,Transactions!$O$8:$O$3006))</f>
        <v/>
      </c>
      <c r="F1500" s="45" t="str">
        <f>IF(B1500="","",SUMIF(Transactions!$F$8:$F$3006,B1500,Transactions!$R$8:$R$3006))</f>
        <v/>
      </c>
      <c r="G1500" s="46" t="str">
        <f>IF(B1500="","",(C1500+F1500)-(D1500+E1500+SUMIF(Transactions!$F$8:$F$3006,B1500,Transactions!$Q$8:$Q$3006)))</f>
        <v/>
      </c>
      <c r="H1500" s="47" t="str">
        <f>IF(B1500="","",IF(G1500&gt;0,"OUTSTANDING",IF(G1500=0,"SETTLED",IF(SUMIF(Transactions!$F$8:$F$3006,B1500,Transactions!$Q$8:$Q$3006)&gt;SUMIF(Transactions!$F$8:$F$3006,B1500,Transactions!$R$8:$R$3006),"OWES","OVERPAID"))))</f>
        <v/>
      </c>
      <c r="I1500" s="1"/>
    </row>
    <row r="1501" spans="1:9" ht="18" customHeight="1" x14ac:dyDescent="0.25">
      <c r="A1501" s="48">
        <v>1486</v>
      </c>
      <c r="B1501" s="49" t="str">
        <f t="array" ref="B1501">IFERROR(IF(INDEX(Transactions!$F$8:$F$3006,MATCH(0,COUNTIF($B$11:B1500,Transactions!$F$8:$F$3006),0))="","",INDEX(Transactions!$F$8:$F$3006,MATCH(0,COUNTIF($B$11:B1500,Transactions!$F$8:$F$3006),0))),"")</f>
        <v/>
      </c>
      <c r="C1501" s="50" t="str">
        <f>IF(B1501="","",SUMIF(Transactions!$F$8:$F$3006,B1501,Transactions!$H$8:$H$3006))</f>
        <v/>
      </c>
      <c r="D1501" s="51" t="str">
        <f>IF(B1501="","",SUMIF(Transactions!$F$8:$F$3006,B1501,Transactions!$N$8:$N$3006))</f>
        <v/>
      </c>
      <c r="E1501" s="52" t="str">
        <f>IF(B1501="","",SUMIF(Transactions!$F$8:$F$3006,B1501,Transactions!$O$8:$O$3006))</f>
        <v/>
      </c>
      <c r="F1501" s="53" t="str">
        <f>IF(B1501="","",SUMIF(Transactions!$F$8:$F$3006,B1501,Transactions!$R$8:$R$3006))</f>
        <v/>
      </c>
      <c r="G1501" s="54" t="str">
        <f>IF(B1501="","",(C1501+F1501)-(D1501+E1501+SUMIF(Transactions!$F$8:$F$3006,B1501,Transactions!$Q$8:$Q$3006)))</f>
        <v/>
      </c>
      <c r="H1501" s="55" t="str">
        <f>IF(B1501="","",IF(G1501&gt;0,"OUTSTANDING",IF(G1501=0,"SETTLED",IF(SUMIF(Transactions!$F$8:$F$3006,B1501,Transactions!$Q$8:$Q$3006)&gt;SUMIF(Transactions!$F$8:$F$3006,B1501,Transactions!$R$8:$R$3006),"OWES","OVERPAID"))))</f>
        <v/>
      </c>
      <c r="I1501" s="1"/>
    </row>
    <row r="1502" spans="1:9" ht="18" customHeight="1" x14ac:dyDescent="0.25">
      <c r="A1502" s="40">
        <v>1487</v>
      </c>
      <c r="B1502" s="41" t="str">
        <f t="array" ref="B1502">IFERROR(IF(INDEX(Transactions!$F$8:$F$3006,MATCH(0,COUNTIF($B$11:B1501,Transactions!$F$8:$F$3006),0))="","",INDEX(Transactions!$F$8:$F$3006,MATCH(0,COUNTIF($B$11:B1501,Transactions!$F$8:$F$3006),0))),"")</f>
        <v/>
      </c>
      <c r="C1502" s="42" t="str">
        <f>IF(B1502="","",SUMIF(Transactions!$F$8:$F$3006,B1502,Transactions!$H$8:$H$3006))</f>
        <v/>
      </c>
      <c r="D1502" s="43" t="str">
        <f>IF(B1502="","",SUMIF(Transactions!$F$8:$F$3006,B1502,Transactions!$N$8:$N$3006))</f>
        <v/>
      </c>
      <c r="E1502" s="44" t="str">
        <f>IF(B1502="","",SUMIF(Transactions!$F$8:$F$3006,B1502,Transactions!$O$8:$O$3006))</f>
        <v/>
      </c>
      <c r="F1502" s="45" t="str">
        <f>IF(B1502="","",SUMIF(Transactions!$F$8:$F$3006,B1502,Transactions!$R$8:$R$3006))</f>
        <v/>
      </c>
      <c r="G1502" s="46" t="str">
        <f>IF(B1502="","",(C1502+F1502)-(D1502+E1502+SUMIF(Transactions!$F$8:$F$3006,B1502,Transactions!$Q$8:$Q$3006)))</f>
        <v/>
      </c>
      <c r="H1502" s="47" t="str">
        <f>IF(B1502="","",IF(G1502&gt;0,"OUTSTANDING",IF(G1502=0,"SETTLED",IF(SUMIF(Transactions!$F$8:$F$3006,B1502,Transactions!$Q$8:$Q$3006)&gt;SUMIF(Transactions!$F$8:$F$3006,B1502,Transactions!$R$8:$R$3006),"OWES","OVERPAID"))))</f>
        <v/>
      </c>
      <c r="I1502" s="1"/>
    </row>
    <row r="1503" spans="1:9" ht="18" customHeight="1" x14ac:dyDescent="0.25">
      <c r="A1503" s="48">
        <v>1488</v>
      </c>
      <c r="B1503" s="49" t="str">
        <f t="array" ref="B1503">IFERROR(IF(INDEX(Transactions!$F$8:$F$3006,MATCH(0,COUNTIF($B$11:B1502,Transactions!$F$8:$F$3006),0))="","",INDEX(Transactions!$F$8:$F$3006,MATCH(0,COUNTIF($B$11:B1502,Transactions!$F$8:$F$3006),0))),"")</f>
        <v/>
      </c>
      <c r="C1503" s="50" t="str">
        <f>IF(B1503="","",SUMIF(Transactions!$F$8:$F$3006,B1503,Transactions!$H$8:$H$3006))</f>
        <v/>
      </c>
      <c r="D1503" s="51" t="str">
        <f>IF(B1503="","",SUMIF(Transactions!$F$8:$F$3006,B1503,Transactions!$N$8:$N$3006))</f>
        <v/>
      </c>
      <c r="E1503" s="52" t="str">
        <f>IF(B1503="","",SUMIF(Transactions!$F$8:$F$3006,B1503,Transactions!$O$8:$O$3006))</f>
        <v/>
      </c>
      <c r="F1503" s="53" t="str">
        <f>IF(B1503="","",SUMIF(Transactions!$F$8:$F$3006,B1503,Transactions!$R$8:$R$3006))</f>
        <v/>
      </c>
      <c r="G1503" s="54" t="str">
        <f>IF(B1503="","",(C1503+F1503)-(D1503+E1503+SUMIF(Transactions!$F$8:$F$3006,B1503,Transactions!$Q$8:$Q$3006)))</f>
        <v/>
      </c>
      <c r="H1503" s="55" t="str">
        <f>IF(B1503="","",IF(G1503&gt;0,"OUTSTANDING",IF(G1503=0,"SETTLED",IF(SUMIF(Transactions!$F$8:$F$3006,B1503,Transactions!$Q$8:$Q$3006)&gt;SUMIF(Transactions!$F$8:$F$3006,B1503,Transactions!$R$8:$R$3006),"OWES","OVERPAID"))))</f>
        <v/>
      </c>
      <c r="I1503" s="1"/>
    </row>
    <row r="1504" spans="1:9" ht="18" customHeight="1" x14ac:dyDescent="0.25">
      <c r="A1504" s="40">
        <v>1489</v>
      </c>
      <c r="B1504" s="41" t="str">
        <f t="array" ref="B1504">IFERROR(IF(INDEX(Transactions!$F$8:$F$3006,MATCH(0,COUNTIF($B$11:B1503,Transactions!$F$8:$F$3006),0))="","",INDEX(Transactions!$F$8:$F$3006,MATCH(0,COUNTIF($B$11:B1503,Transactions!$F$8:$F$3006),0))),"")</f>
        <v/>
      </c>
      <c r="C1504" s="42" t="str">
        <f>IF(B1504="","",SUMIF(Transactions!$F$8:$F$3006,B1504,Transactions!$H$8:$H$3006))</f>
        <v/>
      </c>
      <c r="D1504" s="43" t="str">
        <f>IF(B1504="","",SUMIF(Transactions!$F$8:$F$3006,B1504,Transactions!$N$8:$N$3006))</f>
        <v/>
      </c>
      <c r="E1504" s="44" t="str">
        <f>IF(B1504="","",SUMIF(Transactions!$F$8:$F$3006,B1504,Transactions!$O$8:$O$3006))</f>
        <v/>
      </c>
      <c r="F1504" s="45" t="str">
        <f>IF(B1504="","",SUMIF(Transactions!$F$8:$F$3006,B1504,Transactions!$R$8:$R$3006))</f>
        <v/>
      </c>
      <c r="G1504" s="46" t="str">
        <f>IF(B1504="","",(C1504+F1504)-(D1504+E1504+SUMIF(Transactions!$F$8:$F$3006,B1504,Transactions!$Q$8:$Q$3006)))</f>
        <v/>
      </c>
      <c r="H1504" s="47" t="str">
        <f>IF(B1504="","",IF(G1504&gt;0,"OUTSTANDING",IF(G1504=0,"SETTLED",IF(SUMIF(Transactions!$F$8:$F$3006,B1504,Transactions!$Q$8:$Q$3006)&gt;SUMIF(Transactions!$F$8:$F$3006,B1504,Transactions!$R$8:$R$3006),"OWES","OVERPAID"))))</f>
        <v/>
      </c>
      <c r="I1504" s="1"/>
    </row>
    <row r="1505" spans="1:9" ht="18" customHeight="1" x14ac:dyDescent="0.25">
      <c r="A1505" s="48">
        <v>1490</v>
      </c>
      <c r="B1505" s="49" t="str">
        <f t="array" ref="B1505">IFERROR(IF(INDEX(Transactions!$F$8:$F$3006,MATCH(0,COUNTIF($B$11:B1504,Transactions!$F$8:$F$3006),0))="","",INDEX(Transactions!$F$8:$F$3006,MATCH(0,COUNTIF($B$11:B1504,Transactions!$F$8:$F$3006),0))),"")</f>
        <v/>
      </c>
      <c r="C1505" s="50" t="str">
        <f>IF(B1505="","",SUMIF(Transactions!$F$8:$F$3006,B1505,Transactions!$H$8:$H$3006))</f>
        <v/>
      </c>
      <c r="D1505" s="51" t="str">
        <f>IF(B1505="","",SUMIF(Transactions!$F$8:$F$3006,B1505,Transactions!$N$8:$N$3006))</f>
        <v/>
      </c>
      <c r="E1505" s="52" t="str">
        <f>IF(B1505="","",SUMIF(Transactions!$F$8:$F$3006,B1505,Transactions!$O$8:$O$3006))</f>
        <v/>
      </c>
      <c r="F1505" s="53" t="str">
        <f>IF(B1505="","",SUMIF(Transactions!$F$8:$F$3006,B1505,Transactions!$R$8:$R$3006))</f>
        <v/>
      </c>
      <c r="G1505" s="54" t="str">
        <f>IF(B1505="","",(C1505+F1505)-(D1505+E1505+SUMIF(Transactions!$F$8:$F$3006,B1505,Transactions!$Q$8:$Q$3006)))</f>
        <v/>
      </c>
      <c r="H1505" s="55" t="str">
        <f>IF(B1505="","",IF(G1505&gt;0,"OUTSTANDING",IF(G1505=0,"SETTLED",IF(SUMIF(Transactions!$F$8:$F$3006,B1505,Transactions!$Q$8:$Q$3006)&gt;SUMIF(Transactions!$F$8:$F$3006,B1505,Transactions!$R$8:$R$3006),"OWES","OVERPAID"))))</f>
        <v/>
      </c>
      <c r="I1505" s="1"/>
    </row>
    <row r="1506" spans="1:9" ht="18" customHeight="1" x14ac:dyDescent="0.25">
      <c r="A1506" s="40">
        <v>1491</v>
      </c>
      <c r="B1506" s="41" t="str">
        <f t="array" ref="B1506">IFERROR(IF(INDEX(Transactions!$F$8:$F$3006,MATCH(0,COUNTIF($B$11:B1505,Transactions!$F$8:$F$3006),0))="","",INDEX(Transactions!$F$8:$F$3006,MATCH(0,COUNTIF($B$11:B1505,Transactions!$F$8:$F$3006),0))),"")</f>
        <v/>
      </c>
      <c r="C1506" s="42" t="str">
        <f>IF(B1506="","",SUMIF(Transactions!$F$8:$F$3006,B1506,Transactions!$H$8:$H$3006))</f>
        <v/>
      </c>
      <c r="D1506" s="43" t="str">
        <f>IF(B1506="","",SUMIF(Transactions!$F$8:$F$3006,B1506,Transactions!$N$8:$N$3006))</f>
        <v/>
      </c>
      <c r="E1506" s="44" t="str">
        <f>IF(B1506="","",SUMIF(Transactions!$F$8:$F$3006,B1506,Transactions!$O$8:$O$3006))</f>
        <v/>
      </c>
      <c r="F1506" s="45" t="str">
        <f>IF(B1506="","",SUMIF(Transactions!$F$8:$F$3006,B1506,Transactions!$R$8:$R$3006))</f>
        <v/>
      </c>
      <c r="G1506" s="46" t="str">
        <f>IF(B1506="","",(C1506+F1506)-(D1506+E1506+SUMIF(Transactions!$F$8:$F$3006,B1506,Transactions!$Q$8:$Q$3006)))</f>
        <v/>
      </c>
      <c r="H1506" s="47" t="str">
        <f>IF(B1506="","",IF(G1506&gt;0,"OUTSTANDING",IF(G1506=0,"SETTLED",IF(SUMIF(Transactions!$F$8:$F$3006,B1506,Transactions!$Q$8:$Q$3006)&gt;SUMIF(Transactions!$F$8:$F$3006,B1506,Transactions!$R$8:$R$3006),"OWES","OVERPAID"))))</f>
        <v/>
      </c>
      <c r="I1506" s="1"/>
    </row>
    <row r="1507" spans="1:9" ht="18" customHeight="1" x14ac:dyDescent="0.25">
      <c r="A1507" s="48">
        <v>1492</v>
      </c>
      <c r="B1507" s="49" t="str">
        <f t="array" ref="B1507">IFERROR(IF(INDEX(Transactions!$F$8:$F$3006,MATCH(0,COUNTIF($B$11:B1506,Transactions!$F$8:$F$3006),0))="","",INDEX(Transactions!$F$8:$F$3006,MATCH(0,COUNTIF($B$11:B1506,Transactions!$F$8:$F$3006),0))),"")</f>
        <v/>
      </c>
      <c r="C1507" s="50" t="str">
        <f>IF(B1507="","",SUMIF(Transactions!$F$8:$F$3006,B1507,Transactions!$H$8:$H$3006))</f>
        <v/>
      </c>
      <c r="D1507" s="51" t="str">
        <f>IF(B1507="","",SUMIF(Transactions!$F$8:$F$3006,B1507,Transactions!$N$8:$N$3006))</f>
        <v/>
      </c>
      <c r="E1507" s="52" t="str">
        <f>IF(B1507="","",SUMIF(Transactions!$F$8:$F$3006,B1507,Transactions!$O$8:$O$3006))</f>
        <v/>
      </c>
      <c r="F1507" s="53" t="str">
        <f>IF(B1507="","",SUMIF(Transactions!$F$8:$F$3006,B1507,Transactions!$R$8:$R$3006))</f>
        <v/>
      </c>
      <c r="G1507" s="54" t="str">
        <f>IF(B1507="","",(C1507+F1507)-(D1507+E1507+SUMIF(Transactions!$F$8:$F$3006,B1507,Transactions!$Q$8:$Q$3006)))</f>
        <v/>
      </c>
      <c r="H1507" s="55" t="str">
        <f>IF(B1507="","",IF(G1507&gt;0,"OUTSTANDING",IF(G1507=0,"SETTLED",IF(SUMIF(Transactions!$F$8:$F$3006,B1507,Transactions!$Q$8:$Q$3006)&gt;SUMIF(Transactions!$F$8:$F$3006,B1507,Transactions!$R$8:$R$3006),"OWES","OVERPAID"))))</f>
        <v/>
      </c>
      <c r="I1507" s="1"/>
    </row>
    <row r="1508" spans="1:9" ht="18" customHeight="1" x14ac:dyDescent="0.25">
      <c r="A1508" s="40">
        <v>1493</v>
      </c>
      <c r="B1508" s="41" t="str">
        <f t="array" ref="B1508">IFERROR(IF(INDEX(Transactions!$F$8:$F$3006,MATCH(0,COUNTIF($B$11:B1507,Transactions!$F$8:$F$3006),0))="","",INDEX(Transactions!$F$8:$F$3006,MATCH(0,COUNTIF($B$11:B1507,Transactions!$F$8:$F$3006),0))),"")</f>
        <v/>
      </c>
      <c r="C1508" s="42" t="str">
        <f>IF(B1508="","",SUMIF(Transactions!$F$8:$F$3006,B1508,Transactions!$H$8:$H$3006))</f>
        <v/>
      </c>
      <c r="D1508" s="43" t="str">
        <f>IF(B1508="","",SUMIF(Transactions!$F$8:$F$3006,B1508,Transactions!$N$8:$N$3006))</f>
        <v/>
      </c>
      <c r="E1508" s="44" t="str">
        <f>IF(B1508="","",SUMIF(Transactions!$F$8:$F$3006,B1508,Transactions!$O$8:$O$3006))</f>
        <v/>
      </c>
      <c r="F1508" s="45" t="str">
        <f>IF(B1508="","",SUMIF(Transactions!$F$8:$F$3006,B1508,Transactions!$R$8:$R$3006))</f>
        <v/>
      </c>
      <c r="G1508" s="46" t="str">
        <f>IF(B1508="","",(C1508+F1508)-(D1508+E1508+SUMIF(Transactions!$F$8:$F$3006,B1508,Transactions!$Q$8:$Q$3006)))</f>
        <v/>
      </c>
      <c r="H1508" s="47" t="str">
        <f>IF(B1508="","",IF(G1508&gt;0,"OUTSTANDING",IF(G1508=0,"SETTLED",IF(SUMIF(Transactions!$F$8:$F$3006,B1508,Transactions!$Q$8:$Q$3006)&gt;SUMIF(Transactions!$F$8:$F$3006,B1508,Transactions!$R$8:$R$3006),"OWES","OVERPAID"))))</f>
        <v/>
      </c>
      <c r="I1508" s="1"/>
    </row>
    <row r="1509" spans="1:9" ht="18" customHeight="1" x14ac:dyDescent="0.25">
      <c r="A1509" s="48">
        <v>1494</v>
      </c>
      <c r="B1509" s="49" t="str">
        <f t="array" ref="B1509">IFERROR(IF(INDEX(Transactions!$F$8:$F$3006,MATCH(0,COUNTIF($B$11:B1508,Transactions!$F$8:$F$3006),0))="","",INDEX(Transactions!$F$8:$F$3006,MATCH(0,COUNTIF($B$11:B1508,Transactions!$F$8:$F$3006),0))),"")</f>
        <v/>
      </c>
      <c r="C1509" s="50" t="str">
        <f>IF(B1509="","",SUMIF(Transactions!$F$8:$F$3006,B1509,Transactions!$H$8:$H$3006))</f>
        <v/>
      </c>
      <c r="D1509" s="51" t="str">
        <f>IF(B1509="","",SUMIF(Transactions!$F$8:$F$3006,B1509,Transactions!$N$8:$N$3006))</f>
        <v/>
      </c>
      <c r="E1509" s="52" t="str">
        <f>IF(B1509="","",SUMIF(Transactions!$F$8:$F$3006,B1509,Transactions!$O$8:$O$3006))</f>
        <v/>
      </c>
      <c r="F1509" s="53" t="str">
        <f>IF(B1509="","",SUMIF(Transactions!$F$8:$F$3006,B1509,Transactions!$R$8:$R$3006))</f>
        <v/>
      </c>
      <c r="G1509" s="54" t="str">
        <f>IF(B1509="","",(C1509+F1509)-(D1509+E1509+SUMIF(Transactions!$F$8:$F$3006,B1509,Transactions!$Q$8:$Q$3006)))</f>
        <v/>
      </c>
      <c r="H1509" s="55" t="str">
        <f>IF(B1509="","",IF(G1509&gt;0,"OUTSTANDING",IF(G1509=0,"SETTLED",IF(SUMIF(Transactions!$F$8:$F$3006,B1509,Transactions!$Q$8:$Q$3006)&gt;SUMIF(Transactions!$F$8:$F$3006,B1509,Transactions!$R$8:$R$3006),"OWES","OVERPAID"))))</f>
        <v/>
      </c>
      <c r="I1509" s="1"/>
    </row>
    <row r="1510" spans="1:9" ht="18" customHeight="1" x14ac:dyDescent="0.25">
      <c r="A1510" s="40">
        <v>1495</v>
      </c>
      <c r="B1510" s="41" t="str">
        <f t="array" ref="B1510">IFERROR(IF(INDEX(Transactions!$F$8:$F$3006,MATCH(0,COUNTIF($B$11:B1509,Transactions!$F$8:$F$3006),0))="","",INDEX(Transactions!$F$8:$F$3006,MATCH(0,COUNTIF($B$11:B1509,Transactions!$F$8:$F$3006),0))),"")</f>
        <v/>
      </c>
      <c r="C1510" s="42" t="str">
        <f>IF(B1510="","",SUMIF(Transactions!$F$8:$F$3006,B1510,Transactions!$H$8:$H$3006))</f>
        <v/>
      </c>
      <c r="D1510" s="43" t="str">
        <f>IF(B1510="","",SUMIF(Transactions!$F$8:$F$3006,B1510,Transactions!$N$8:$N$3006))</f>
        <v/>
      </c>
      <c r="E1510" s="44" t="str">
        <f>IF(B1510="","",SUMIF(Transactions!$F$8:$F$3006,B1510,Transactions!$O$8:$O$3006))</f>
        <v/>
      </c>
      <c r="F1510" s="45" t="str">
        <f>IF(B1510="","",SUMIF(Transactions!$F$8:$F$3006,B1510,Transactions!$R$8:$R$3006))</f>
        <v/>
      </c>
      <c r="G1510" s="46" t="str">
        <f>IF(B1510="","",(C1510+F1510)-(D1510+E1510+SUMIF(Transactions!$F$8:$F$3006,B1510,Transactions!$Q$8:$Q$3006)))</f>
        <v/>
      </c>
      <c r="H1510" s="47" t="str">
        <f>IF(B1510="","",IF(G1510&gt;0,"OUTSTANDING",IF(G1510=0,"SETTLED",IF(SUMIF(Transactions!$F$8:$F$3006,B1510,Transactions!$Q$8:$Q$3006)&gt;SUMIF(Transactions!$F$8:$F$3006,B1510,Transactions!$R$8:$R$3006),"OWES","OVERPAID"))))</f>
        <v/>
      </c>
      <c r="I1510" s="1"/>
    </row>
    <row r="1511" spans="1:9" ht="18" customHeight="1" x14ac:dyDescent="0.25">
      <c r="A1511" s="48">
        <v>1496</v>
      </c>
      <c r="B1511" s="49" t="str">
        <f t="array" ref="B1511">IFERROR(IF(INDEX(Transactions!$F$8:$F$3006,MATCH(0,COUNTIF($B$11:B1510,Transactions!$F$8:$F$3006),0))="","",INDEX(Transactions!$F$8:$F$3006,MATCH(0,COUNTIF($B$11:B1510,Transactions!$F$8:$F$3006),0))),"")</f>
        <v/>
      </c>
      <c r="C1511" s="50" t="str">
        <f>IF(B1511="","",SUMIF(Transactions!$F$8:$F$3006,B1511,Transactions!$H$8:$H$3006))</f>
        <v/>
      </c>
      <c r="D1511" s="51" t="str">
        <f>IF(B1511="","",SUMIF(Transactions!$F$8:$F$3006,B1511,Transactions!$N$8:$N$3006))</f>
        <v/>
      </c>
      <c r="E1511" s="52" t="str">
        <f>IF(B1511="","",SUMIF(Transactions!$F$8:$F$3006,B1511,Transactions!$O$8:$O$3006))</f>
        <v/>
      </c>
      <c r="F1511" s="53" t="str">
        <f>IF(B1511="","",SUMIF(Transactions!$F$8:$F$3006,B1511,Transactions!$R$8:$R$3006))</f>
        <v/>
      </c>
      <c r="G1511" s="54" t="str">
        <f>IF(B1511="","",(C1511+F1511)-(D1511+E1511+SUMIF(Transactions!$F$8:$F$3006,B1511,Transactions!$Q$8:$Q$3006)))</f>
        <v/>
      </c>
      <c r="H1511" s="55" t="str">
        <f>IF(B1511="","",IF(G1511&gt;0,"OUTSTANDING",IF(G1511=0,"SETTLED",IF(SUMIF(Transactions!$F$8:$F$3006,B1511,Transactions!$Q$8:$Q$3006)&gt;SUMIF(Transactions!$F$8:$F$3006,B1511,Transactions!$R$8:$R$3006),"OWES","OVERPAID"))))</f>
        <v/>
      </c>
      <c r="I1511" s="1"/>
    </row>
    <row r="1512" spans="1:9" ht="18" customHeight="1" x14ac:dyDescent="0.25">
      <c r="A1512" s="40">
        <v>1497</v>
      </c>
      <c r="B1512" s="41" t="str">
        <f t="array" ref="B1512">IFERROR(IF(INDEX(Transactions!$F$8:$F$3006,MATCH(0,COUNTIF($B$11:B1511,Transactions!$F$8:$F$3006),0))="","",INDEX(Transactions!$F$8:$F$3006,MATCH(0,COUNTIF($B$11:B1511,Transactions!$F$8:$F$3006),0))),"")</f>
        <v/>
      </c>
      <c r="C1512" s="42" t="str">
        <f>IF(B1512="","",SUMIF(Transactions!$F$8:$F$3006,B1512,Transactions!$H$8:$H$3006))</f>
        <v/>
      </c>
      <c r="D1512" s="43" t="str">
        <f>IF(B1512="","",SUMIF(Transactions!$F$8:$F$3006,B1512,Transactions!$N$8:$N$3006))</f>
        <v/>
      </c>
      <c r="E1512" s="44" t="str">
        <f>IF(B1512="","",SUMIF(Transactions!$F$8:$F$3006,B1512,Transactions!$O$8:$O$3006))</f>
        <v/>
      </c>
      <c r="F1512" s="45" t="str">
        <f>IF(B1512="","",SUMIF(Transactions!$F$8:$F$3006,B1512,Transactions!$R$8:$R$3006))</f>
        <v/>
      </c>
      <c r="G1512" s="46" t="str">
        <f>IF(B1512="","",(C1512+F1512)-(D1512+E1512+SUMIF(Transactions!$F$8:$F$3006,B1512,Transactions!$Q$8:$Q$3006)))</f>
        <v/>
      </c>
      <c r="H1512" s="47" t="str">
        <f>IF(B1512="","",IF(G1512&gt;0,"OUTSTANDING",IF(G1512=0,"SETTLED",IF(SUMIF(Transactions!$F$8:$F$3006,B1512,Transactions!$Q$8:$Q$3006)&gt;SUMIF(Transactions!$F$8:$F$3006,B1512,Transactions!$R$8:$R$3006),"OWES","OVERPAID"))))</f>
        <v/>
      </c>
      <c r="I1512" s="1"/>
    </row>
    <row r="1513" spans="1:9" ht="18" customHeight="1" x14ac:dyDescent="0.25">
      <c r="A1513" s="48">
        <v>1498</v>
      </c>
      <c r="B1513" s="49" t="str">
        <f t="array" ref="B1513">IFERROR(IF(INDEX(Transactions!$F$8:$F$3006,MATCH(0,COUNTIF($B$11:B1512,Transactions!$F$8:$F$3006),0))="","",INDEX(Transactions!$F$8:$F$3006,MATCH(0,COUNTIF($B$11:B1512,Transactions!$F$8:$F$3006),0))),"")</f>
        <v/>
      </c>
      <c r="C1513" s="50" t="str">
        <f>IF(B1513="","",SUMIF(Transactions!$F$8:$F$3006,B1513,Transactions!$H$8:$H$3006))</f>
        <v/>
      </c>
      <c r="D1513" s="51" t="str">
        <f>IF(B1513="","",SUMIF(Transactions!$F$8:$F$3006,B1513,Transactions!$N$8:$N$3006))</f>
        <v/>
      </c>
      <c r="E1513" s="52" t="str">
        <f>IF(B1513="","",SUMIF(Transactions!$F$8:$F$3006,B1513,Transactions!$O$8:$O$3006))</f>
        <v/>
      </c>
      <c r="F1513" s="53" t="str">
        <f>IF(B1513="","",SUMIF(Transactions!$F$8:$F$3006,B1513,Transactions!$R$8:$R$3006))</f>
        <v/>
      </c>
      <c r="G1513" s="54" t="str">
        <f>IF(B1513="","",(C1513+F1513)-(D1513+E1513+SUMIF(Transactions!$F$8:$F$3006,B1513,Transactions!$Q$8:$Q$3006)))</f>
        <v/>
      </c>
      <c r="H1513" s="55" t="str">
        <f>IF(B1513="","",IF(G1513&gt;0,"OUTSTANDING",IF(G1513=0,"SETTLED",IF(SUMIF(Transactions!$F$8:$F$3006,B1513,Transactions!$Q$8:$Q$3006)&gt;SUMIF(Transactions!$F$8:$F$3006,B1513,Transactions!$R$8:$R$3006),"OWES","OVERPAID"))))</f>
        <v/>
      </c>
      <c r="I1513" s="1"/>
    </row>
    <row r="1514" spans="1:9" ht="18" customHeight="1" x14ac:dyDescent="0.25">
      <c r="A1514" s="40">
        <v>1499</v>
      </c>
      <c r="B1514" s="41" t="str">
        <f t="array" ref="B1514">IFERROR(IF(INDEX(Transactions!$F$8:$F$3006,MATCH(0,COUNTIF($B$11:B1513,Transactions!$F$8:$F$3006),0))="","",INDEX(Transactions!$F$8:$F$3006,MATCH(0,COUNTIF($B$11:B1513,Transactions!$F$8:$F$3006),0))),"")</f>
        <v/>
      </c>
      <c r="C1514" s="42" t="str">
        <f>IF(B1514="","",SUMIF(Transactions!$F$8:$F$3006,B1514,Transactions!$H$8:$H$3006))</f>
        <v/>
      </c>
      <c r="D1514" s="43" t="str">
        <f>IF(B1514="","",SUMIF(Transactions!$F$8:$F$3006,B1514,Transactions!$N$8:$N$3006))</f>
        <v/>
      </c>
      <c r="E1514" s="44" t="str">
        <f>IF(B1514="","",SUMIF(Transactions!$F$8:$F$3006,B1514,Transactions!$O$8:$O$3006))</f>
        <v/>
      </c>
      <c r="F1514" s="45" t="str">
        <f>IF(B1514="","",SUMIF(Transactions!$F$8:$F$3006,B1514,Transactions!$R$8:$R$3006))</f>
        <v/>
      </c>
      <c r="G1514" s="46" t="str">
        <f>IF(B1514="","",(C1514+F1514)-(D1514+E1514+SUMIF(Transactions!$F$8:$F$3006,B1514,Transactions!$Q$8:$Q$3006)))</f>
        <v/>
      </c>
      <c r="H1514" s="47" t="str">
        <f>IF(B1514="","",IF(G1514&gt;0,"OUTSTANDING",IF(G1514=0,"SETTLED",IF(SUMIF(Transactions!$F$8:$F$3006,B1514,Transactions!$Q$8:$Q$3006)&gt;SUMIF(Transactions!$F$8:$F$3006,B1514,Transactions!$R$8:$R$3006),"OWES","OVERPAID"))))</f>
        <v/>
      </c>
      <c r="I1514" s="1"/>
    </row>
    <row r="1515" spans="1:9" ht="18" customHeight="1" x14ac:dyDescent="0.25">
      <c r="A1515" s="48">
        <v>1500</v>
      </c>
      <c r="B1515" s="49" t="str">
        <f t="array" ref="B1515">IFERROR(IF(INDEX(Transactions!$F$8:$F$3006,MATCH(0,COUNTIF($B$11:B1514,Transactions!$F$8:$F$3006),0))="","",INDEX(Transactions!$F$8:$F$3006,MATCH(0,COUNTIF($B$11:B1514,Transactions!$F$8:$F$3006),0))),"")</f>
        <v/>
      </c>
      <c r="C1515" s="50" t="str">
        <f>IF(B1515="","",SUMIF(Transactions!$F$8:$F$3006,B1515,Transactions!$H$8:$H$3006))</f>
        <v/>
      </c>
      <c r="D1515" s="51" t="str">
        <f>IF(B1515="","",SUMIF(Transactions!$F$8:$F$3006,B1515,Transactions!$N$8:$N$3006))</f>
        <v/>
      </c>
      <c r="E1515" s="52" t="str">
        <f>IF(B1515="","",SUMIF(Transactions!$F$8:$F$3006,B1515,Transactions!$O$8:$O$3006))</f>
        <v/>
      </c>
      <c r="F1515" s="53" t="str">
        <f>IF(B1515="","",SUMIF(Transactions!$F$8:$F$3006,B1515,Transactions!$R$8:$R$3006))</f>
        <v/>
      </c>
      <c r="G1515" s="54" t="str">
        <f>IF(B1515="","",(C1515+F1515)-(D1515+E1515+SUMIF(Transactions!$F$8:$F$3006,B1515,Transactions!$Q$8:$Q$3006)))</f>
        <v/>
      </c>
      <c r="H1515" s="55" t="str">
        <f>IF(B1515="","",IF(G1515&gt;0,"OUTSTANDING",IF(G1515=0,"SETTLED",IF(SUMIF(Transactions!$F$8:$F$3006,B1515,Transactions!$Q$8:$Q$3006)&gt;SUMIF(Transactions!$F$8:$F$3006,B1515,Transactions!$R$8:$R$3006),"OWES","OVERPAID"))))</f>
        <v/>
      </c>
      <c r="I1515" s="1"/>
    </row>
    <row r="1516" spans="1:9" ht="18" customHeight="1" x14ac:dyDescent="0.25">
      <c r="A1516" s="40">
        <v>1501</v>
      </c>
      <c r="B1516" s="41" t="str">
        <f t="array" ref="B1516">IFERROR(IF(INDEX(Transactions!$F$8:$F$3006,MATCH(0,COUNTIF($B$11:B1515,Transactions!$F$8:$F$3006),0))="","",INDEX(Transactions!$F$8:$F$3006,MATCH(0,COUNTIF($B$11:B1515,Transactions!$F$8:$F$3006),0))),"")</f>
        <v/>
      </c>
      <c r="C1516" s="42" t="str">
        <f>IF(B1516="","",SUMIF(Transactions!$F$8:$F$3006,B1516,Transactions!$H$8:$H$3006))</f>
        <v/>
      </c>
      <c r="D1516" s="43" t="str">
        <f>IF(B1516="","",SUMIF(Transactions!$F$8:$F$3006,B1516,Transactions!$N$8:$N$3006))</f>
        <v/>
      </c>
      <c r="E1516" s="44" t="str">
        <f>IF(B1516="","",SUMIF(Transactions!$F$8:$F$3006,B1516,Transactions!$O$8:$O$3006))</f>
        <v/>
      </c>
      <c r="F1516" s="45" t="str">
        <f>IF(B1516="","",SUMIF(Transactions!$F$8:$F$3006,B1516,Transactions!$R$8:$R$3006))</f>
        <v/>
      </c>
      <c r="G1516" s="46" t="str">
        <f>IF(B1516="","",(C1516+F1516)-(D1516+E1516+SUMIF(Transactions!$F$8:$F$3006,B1516,Transactions!$Q$8:$Q$3006)))</f>
        <v/>
      </c>
      <c r="H1516" s="47" t="str">
        <f>IF(B1516="","",IF(G1516&gt;0,"OUTSTANDING",IF(G1516=0,"SETTLED",IF(SUMIF(Transactions!$F$8:$F$3006,B1516,Transactions!$Q$8:$Q$3006)&gt;SUMIF(Transactions!$F$8:$F$3006,B1516,Transactions!$R$8:$R$3006),"OWES","OVERPAID"))))</f>
        <v/>
      </c>
      <c r="I1516" s="1"/>
    </row>
    <row r="1517" spans="1:9" ht="18" customHeight="1" x14ac:dyDescent="0.25">
      <c r="A1517" s="48">
        <v>1502</v>
      </c>
      <c r="B1517" s="49" t="str">
        <f t="array" ref="B1517">IFERROR(IF(INDEX(Transactions!$F$8:$F$3006,MATCH(0,COUNTIF($B$11:B1516,Transactions!$F$8:$F$3006),0))="","",INDEX(Transactions!$F$8:$F$3006,MATCH(0,COUNTIF($B$11:B1516,Transactions!$F$8:$F$3006),0))),"")</f>
        <v/>
      </c>
      <c r="C1517" s="50" t="str">
        <f>IF(B1517="","",SUMIF(Transactions!$F$8:$F$3006,B1517,Transactions!$H$8:$H$3006))</f>
        <v/>
      </c>
      <c r="D1517" s="51" t="str">
        <f>IF(B1517="","",SUMIF(Transactions!$F$8:$F$3006,B1517,Transactions!$N$8:$N$3006))</f>
        <v/>
      </c>
      <c r="E1517" s="52" t="str">
        <f>IF(B1517="","",SUMIF(Transactions!$F$8:$F$3006,B1517,Transactions!$O$8:$O$3006))</f>
        <v/>
      </c>
      <c r="F1517" s="53" t="str">
        <f>IF(B1517="","",SUMIF(Transactions!$F$8:$F$3006,B1517,Transactions!$R$8:$R$3006))</f>
        <v/>
      </c>
      <c r="G1517" s="54" t="str">
        <f>IF(B1517="","",(C1517+F1517)-(D1517+E1517+SUMIF(Transactions!$F$8:$F$3006,B1517,Transactions!$Q$8:$Q$3006)))</f>
        <v/>
      </c>
      <c r="H1517" s="55" t="str">
        <f>IF(B1517="","",IF(G1517&gt;0,"OUTSTANDING",IF(G1517=0,"SETTLED",IF(SUMIF(Transactions!$F$8:$F$3006,B1517,Transactions!$Q$8:$Q$3006)&gt;SUMIF(Transactions!$F$8:$F$3006,B1517,Transactions!$R$8:$R$3006),"OWES","OVERPAID"))))</f>
        <v/>
      </c>
      <c r="I1517" s="1"/>
    </row>
    <row r="1518" spans="1:9" ht="18" customHeight="1" x14ac:dyDescent="0.25">
      <c r="A1518" s="40">
        <v>1503</v>
      </c>
      <c r="B1518" s="41" t="str">
        <f t="array" ref="B1518">IFERROR(IF(INDEX(Transactions!$F$8:$F$3006,MATCH(0,COUNTIF($B$11:B1517,Transactions!$F$8:$F$3006),0))="","",INDEX(Transactions!$F$8:$F$3006,MATCH(0,COUNTIF($B$11:B1517,Transactions!$F$8:$F$3006),0))),"")</f>
        <v/>
      </c>
      <c r="C1518" s="42" t="str">
        <f>IF(B1518="","",SUMIF(Transactions!$F$8:$F$3006,B1518,Transactions!$H$8:$H$3006))</f>
        <v/>
      </c>
      <c r="D1518" s="43" t="str">
        <f>IF(B1518="","",SUMIF(Transactions!$F$8:$F$3006,B1518,Transactions!$N$8:$N$3006))</f>
        <v/>
      </c>
      <c r="E1518" s="44" t="str">
        <f>IF(B1518="","",SUMIF(Transactions!$F$8:$F$3006,B1518,Transactions!$O$8:$O$3006))</f>
        <v/>
      </c>
      <c r="F1518" s="45" t="str">
        <f>IF(B1518="","",SUMIF(Transactions!$F$8:$F$3006,B1518,Transactions!$R$8:$R$3006))</f>
        <v/>
      </c>
      <c r="G1518" s="46" t="str">
        <f>IF(B1518="","",(C1518+F1518)-(D1518+E1518+SUMIF(Transactions!$F$8:$F$3006,B1518,Transactions!$Q$8:$Q$3006)))</f>
        <v/>
      </c>
      <c r="H1518" s="47" t="str">
        <f>IF(B1518="","",IF(G1518&gt;0,"OUTSTANDING",IF(G1518=0,"SETTLED",IF(SUMIF(Transactions!$F$8:$F$3006,B1518,Transactions!$Q$8:$Q$3006)&gt;SUMIF(Transactions!$F$8:$F$3006,B1518,Transactions!$R$8:$R$3006),"OWES","OVERPAID"))))</f>
        <v/>
      </c>
      <c r="I1518" s="1"/>
    </row>
    <row r="1519" spans="1:9" ht="18" customHeight="1" x14ac:dyDescent="0.25">
      <c r="A1519" s="48">
        <v>1504</v>
      </c>
      <c r="B1519" s="49" t="str">
        <f t="array" ref="B1519">IFERROR(IF(INDEX(Transactions!$F$8:$F$3006,MATCH(0,COUNTIF($B$11:B1518,Transactions!$F$8:$F$3006),0))="","",INDEX(Transactions!$F$8:$F$3006,MATCH(0,COUNTIF($B$11:B1518,Transactions!$F$8:$F$3006),0))),"")</f>
        <v/>
      </c>
      <c r="C1519" s="50" t="str">
        <f>IF(B1519="","",SUMIF(Transactions!$F$8:$F$3006,B1519,Transactions!$H$8:$H$3006))</f>
        <v/>
      </c>
      <c r="D1519" s="51" t="str">
        <f>IF(B1519="","",SUMIF(Transactions!$F$8:$F$3006,B1519,Transactions!$N$8:$N$3006))</f>
        <v/>
      </c>
      <c r="E1519" s="52" t="str">
        <f>IF(B1519="","",SUMIF(Transactions!$F$8:$F$3006,B1519,Transactions!$O$8:$O$3006))</f>
        <v/>
      </c>
      <c r="F1519" s="53" t="str">
        <f>IF(B1519="","",SUMIF(Transactions!$F$8:$F$3006,B1519,Transactions!$R$8:$R$3006))</f>
        <v/>
      </c>
      <c r="G1519" s="54" t="str">
        <f>IF(B1519="","",(C1519+F1519)-(D1519+E1519+SUMIF(Transactions!$F$8:$F$3006,B1519,Transactions!$Q$8:$Q$3006)))</f>
        <v/>
      </c>
      <c r="H1519" s="55" t="str">
        <f>IF(B1519="","",IF(G1519&gt;0,"OUTSTANDING",IF(G1519=0,"SETTLED",IF(SUMIF(Transactions!$F$8:$F$3006,B1519,Transactions!$Q$8:$Q$3006)&gt;SUMIF(Transactions!$F$8:$F$3006,B1519,Transactions!$R$8:$R$3006),"OWES","OVERPAID"))))</f>
        <v/>
      </c>
      <c r="I1519" s="1"/>
    </row>
    <row r="1520" spans="1:9" ht="18" customHeight="1" x14ac:dyDescent="0.25">
      <c r="A1520" s="40">
        <v>1505</v>
      </c>
      <c r="B1520" s="41" t="str">
        <f t="array" ref="B1520">IFERROR(IF(INDEX(Transactions!$F$8:$F$3006,MATCH(0,COUNTIF($B$11:B1519,Transactions!$F$8:$F$3006),0))="","",INDEX(Transactions!$F$8:$F$3006,MATCH(0,COUNTIF($B$11:B1519,Transactions!$F$8:$F$3006),0))),"")</f>
        <v/>
      </c>
      <c r="C1520" s="42" t="str">
        <f>IF(B1520="","",SUMIF(Transactions!$F$8:$F$3006,B1520,Transactions!$H$8:$H$3006))</f>
        <v/>
      </c>
      <c r="D1520" s="43" t="str">
        <f>IF(B1520="","",SUMIF(Transactions!$F$8:$F$3006,B1520,Transactions!$N$8:$N$3006))</f>
        <v/>
      </c>
      <c r="E1520" s="44" t="str">
        <f>IF(B1520="","",SUMIF(Transactions!$F$8:$F$3006,B1520,Transactions!$O$8:$O$3006))</f>
        <v/>
      </c>
      <c r="F1520" s="45" t="str">
        <f>IF(B1520="","",SUMIF(Transactions!$F$8:$F$3006,B1520,Transactions!$R$8:$R$3006))</f>
        <v/>
      </c>
      <c r="G1520" s="46" t="str">
        <f>IF(B1520="","",(C1520+F1520)-(D1520+E1520+SUMIF(Transactions!$F$8:$F$3006,B1520,Transactions!$Q$8:$Q$3006)))</f>
        <v/>
      </c>
      <c r="H1520" s="47" t="str">
        <f>IF(B1520="","",IF(G1520&gt;0,"OUTSTANDING",IF(G1520=0,"SETTLED",IF(SUMIF(Transactions!$F$8:$F$3006,B1520,Transactions!$Q$8:$Q$3006)&gt;SUMIF(Transactions!$F$8:$F$3006,B1520,Transactions!$R$8:$R$3006),"OWES","OVERPAID"))))</f>
        <v/>
      </c>
      <c r="I1520" s="1"/>
    </row>
    <row r="1521" spans="1:9" ht="18" customHeight="1" x14ac:dyDescent="0.25">
      <c r="A1521" s="48">
        <v>1506</v>
      </c>
      <c r="B1521" s="49" t="str">
        <f t="array" ref="B1521">IFERROR(IF(INDEX(Transactions!$F$8:$F$3006,MATCH(0,COUNTIF($B$11:B1520,Transactions!$F$8:$F$3006),0))="","",INDEX(Transactions!$F$8:$F$3006,MATCH(0,COUNTIF($B$11:B1520,Transactions!$F$8:$F$3006),0))),"")</f>
        <v/>
      </c>
      <c r="C1521" s="50" t="str">
        <f>IF(B1521="","",SUMIF(Transactions!$F$8:$F$3006,B1521,Transactions!$H$8:$H$3006))</f>
        <v/>
      </c>
      <c r="D1521" s="51" t="str">
        <f>IF(B1521="","",SUMIF(Transactions!$F$8:$F$3006,B1521,Transactions!$N$8:$N$3006))</f>
        <v/>
      </c>
      <c r="E1521" s="52" t="str">
        <f>IF(B1521="","",SUMIF(Transactions!$F$8:$F$3006,B1521,Transactions!$O$8:$O$3006))</f>
        <v/>
      </c>
      <c r="F1521" s="53" t="str">
        <f>IF(B1521="","",SUMIF(Transactions!$F$8:$F$3006,B1521,Transactions!$R$8:$R$3006))</f>
        <v/>
      </c>
      <c r="G1521" s="54" t="str">
        <f>IF(B1521="","",(C1521+F1521)-(D1521+E1521+SUMIF(Transactions!$F$8:$F$3006,B1521,Transactions!$Q$8:$Q$3006)))</f>
        <v/>
      </c>
      <c r="H1521" s="55" t="str">
        <f>IF(B1521="","",IF(G1521&gt;0,"OUTSTANDING",IF(G1521=0,"SETTLED",IF(SUMIF(Transactions!$F$8:$F$3006,B1521,Transactions!$Q$8:$Q$3006)&gt;SUMIF(Transactions!$F$8:$F$3006,B1521,Transactions!$R$8:$R$3006),"OWES","OVERPAID"))))</f>
        <v/>
      </c>
      <c r="I1521" s="1"/>
    </row>
    <row r="1522" spans="1:9" ht="18" customHeight="1" x14ac:dyDescent="0.25">
      <c r="A1522" s="40">
        <v>1507</v>
      </c>
      <c r="B1522" s="41" t="str">
        <f t="array" ref="B1522">IFERROR(IF(INDEX(Transactions!$F$8:$F$3006,MATCH(0,COUNTIF($B$11:B1521,Transactions!$F$8:$F$3006),0))="","",INDEX(Transactions!$F$8:$F$3006,MATCH(0,COUNTIF($B$11:B1521,Transactions!$F$8:$F$3006),0))),"")</f>
        <v/>
      </c>
      <c r="C1522" s="42" t="str">
        <f>IF(B1522="","",SUMIF(Transactions!$F$8:$F$3006,B1522,Transactions!$H$8:$H$3006))</f>
        <v/>
      </c>
      <c r="D1522" s="43" t="str">
        <f>IF(B1522="","",SUMIF(Transactions!$F$8:$F$3006,B1522,Transactions!$N$8:$N$3006))</f>
        <v/>
      </c>
      <c r="E1522" s="44" t="str">
        <f>IF(B1522="","",SUMIF(Transactions!$F$8:$F$3006,B1522,Transactions!$O$8:$O$3006))</f>
        <v/>
      </c>
      <c r="F1522" s="45" t="str">
        <f>IF(B1522="","",SUMIF(Transactions!$F$8:$F$3006,B1522,Transactions!$R$8:$R$3006))</f>
        <v/>
      </c>
      <c r="G1522" s="46" t="str">
        <f>IF(B1522="","",(C1522+F1522)-(D1522+E1522+SUMIF(Transactions!$F$8:$F$3006,B1522,Transactions!$Q$8:$Q$3006)))</f>
        <v/>
      </c>
      <c r="H1522" s="47" t="str">
        <f>IF(B1522="","",IF(G1522&gt;0,"OUTSTANDING",IF(G1522=0,"SETTLED",IF(SUMIF(Transactions!$F$8:$F$3006,B1522,Transactions!$Q$8:$Q$3006)&gt;SUMIF(Transactions!$F$8:$F$3006,B1522,Transactions!$R$8:$R$3006),"OWES","OVERPAID"))))</f>
        <v/>
      </c>
      <c r="I1522" s="1"/>
    </row>
    <row r="1523" spans="1:9" ht="18" customHeight="1" x14ac:dyDescent="0.25">
      <c r="A1523" s="48">
        <v>1508</v>
      </c>
      <c r="B1523" s="49" t="str">
        <f t="array" ref="B1523">IFERROR(IF(INDEX(Transactions!$F$8:$F$3006,MATCH(0,COUNTIF($B$11:B1522,Transactions!$F$8:$F$3006),0))="","",INDEX(Transactions!$F$8:$F$3006,MATCH(0,COUNTIF($B$11:B1522,Transactions!$F$8:$F$3006),0))),"")</f>
        <v/>
      </c>
      <c r="C1523" s="50" t="str">
        <f>IF(B1523="","",SUMIF(Transactions!$F$8:$F$3006,B1523,Transactions!$H$8:$H$3006))</f>
        <v/>
      </c>
      <c r="D1523" s="51" t="str">
        <f>IF(B1523="","",SUMIF(Transactions!$F$8:$F$3006,B1523,Transactions!$N$8:$N$3006))</f>
        <v/>
      </c>
      <c r="E1523" s="52" t="str">
        <f>IF(B1523="","",SUMIF(Transactions!$F$8:$F$3006,B1523,Transactions!$O$8:$O$3006))</f>
        <v/>
      </c>
      <c r="F1523" s="53" t="str">
        <f>IF(B1523="","",SUMIF(Transactions!$F$8:$F$3006,B1523,Transactions!$R$8:$R$3006))</f>
        <v/>
      </c>
      <c r="G1523" s="54" t="str">
        <f>IF(B1523="","",(C1523+F1523)-(D1523+E1523+SUMIF(Transactions!$F$8:$F$3006,B1523,Transactions!$Q$8:$Q$3006)))</f>
        <v/>
      </c>
      <c r="H1523" s="55" t="str">
        <f>IF(B1523="","",IF(G1523&gt;0,"OUTSTANDING",IF(G1523=0,"SETTLED",IF(SUMIF(Transactions!$F$8:$F$3006,B1523,Transactions!$Q$8:$Q$3006)&gt;SUMIF(Transactions!$F$8:$F$3006,B1523,Transactions!$R$8:$R$3006),"OWES","OVERPAID"))))</f>
        <v/>
      </c>
      <c r="I1523" s="1"/>
    </row>
    <row r="1524" spans="1:9" ht="18" customHeight="1" x14ac:dyDescent="0.25">
      <c r="A1524" s="40">
        <v>1509</v>
      </c>
      <c r="B1524" s="41" t="str">
        <f t="array" ref="B1524">IFERROR(IF(INDEX(Transactions!$F$8:$F$3006,MATCH(0,COUNTIF($B$11:B1523,Transactions!$F$8:$F$3006),0))="","",INDEX(Transactions!$F$8:$F$3006,MATCH(0,COUNTIF($B$11:B1523,Transactions!$F$8:$F$3006),0))),"")</f>
        <v/>
      </c>
      <c r="C1524" s="42" t="str">
        <f>IF(B1524="","",SUMIF(Transactions!$F$8:$F$3006,B1524,Transactions!$H$8:$H$3006))</f>
        <v/>
      </c>
      <c r="D1524" s="43" t="str">
        <f>IF(B1524="","",SUMIF(Transactions!$F$8:$F$3006,B1524,Transactions!$N$8:$N$3006))</f>
        <v/>
      </c>
      <c r="E1524" s="44" t="str">
        <f>IF(B1524="","",SUMIF(Transactions!$F$8:$F$3006,B1524,Transactions!$O$8:$O$3006))</f>
        <v/>
      </c>
      <c r="F1524" s="45" t="str">
        <f>IF(B1524="","",SUMIF(Transactions!$F$8:$F$3006,B1524,Transactions!$R$8:$R$3006))</f>
        <v/>
      </c>
      <c r="G1524" s="46" t="str">
        <f>IF(B1524="","",(C1524+F1524)-(D1524+E1524+SUMIF(Transactions!$F$8:$F$3006,B1524,Transactions!$Q$8:$Q$3006)))</f>
        <v/>
      </c>
      <c r="H1524" s="47" t="str">
        <f>IF(B1524="","",IF(G1524&gt;0,"OUTSTANDING",IF(G1524=0,"SETTLED",IF(SUMIF(Transactions!$F$8:$F$3006,B1524,Transactions!$Q$8:$Q$3006)&gt;SUMIF(Transactions!$F$8:$F$3006,B1524,Transactions!$R$8:$R$3006),"OWES","OVERPAID"))))</f>
        <v/>
      </c>
      <c r="I1524" s="1"/>
    </row>
    <row r="1525" spans="1:9" ht="18" customHeight="1" x14ac:dyDescent="0.25">
      <c r="A1525" s="48">
        <v>1510</v>
      </c>
      <c r="B1525" s="49" t="str">
        <f t="array" ref="B1525">IFERROR(IF(INDEX(Transactions!$F$8:$F$3006,MATCH(0,COUNTIF($B$11:B1524,Transactions!$F$8:$F$3006),0))="","",INDEX(Transactions!$F$8:$F$3006,MATCH(0,COUNTIF($B$11:B1524,Transactions!$F$8:$F$3006),0))),"")</f>
        <v/>
      </c>
      <c r="C1525" s="50" t="str">
        <f>IF(B1525="","",SUMIF(Transactions!$F$8:$F$3006,B1525,Transactions!$H$8:$H$3006))</f>
        <v/>
      </c>
      <c r="D1525" s="51" t="str">
        <f>IF(B1525="","",SUMIF(Transactions!$F$8:$F$3006,B1525,Transactions!$N$8:$N$3006))</f>
        <v/>
      </c>
      <c r="E1525" s="52" t="str">
        <f>IF(B1525="","",SUMIF(Transactions!$F$8:$F$3006,B1525,Transactions!$O$8:$O$3006))</f>
        <v/>
      </c>
      <c r="F1525" s="53" t="str">
        <f>IF(B1525="","",SUMIF(Transactions!$F$8:$F$3006,B1525,Transactions!$R$8:$R$3006))</f>
        <v/>
      </c>
      <c r="G1525" s="54" t="str">
        <f>IF(B1525="","",(C1525+F1525)-(D1525+E1525+SUMIF(Transactions!$F$8:$F$3006,B1525,Transactions!$Q$8:$Q$3006)))</f>
        <v/>
      </c>
      <c r="H1525" s="55" t="str">
        <f>IF(B1525="","",IF(G1525&gt;0,"OUTSTANDING",IF(G1525=0,"SETTLED",IF(SUMIF(Transactions!$F$8:$F$3006,B1525,Transactions!$Q$8:$Q$3006)&gt;SUMIF(Transactions!$F$8:$F$3006,B1525,Transactions!$R$8:$R$3006),"OWES","OVERPAID"))))</f>
        <v/>
      </c>
      <c r="I1525" s="1"/>
    </row>
    <row r="1526" spans="1:9" ht="18" customHeight="1" x14ac:dyDescent="0.25">
      <c r="A1526" s="40">
        <v>1511</v>
      </c>
      <c r="B1526" s="41" t="str">
        <f t="array" ref="B1526">IFERROR(IF(INDEX(Transactions!$F$8:$F$3006,MATCH(0,COUNTIF($B$11:B1525,Transactions!$F$8:$F$3006),0))="","",INDEX(Transactions!$F$8:$F$3006,MATCH(0,COUNTIF($B$11:B1525,Transactions!$F$8:$F$3006),0))),"")</f>
        <v/>
      </c>
      <c r="C1526" s="42" t="str">
        <f>IF(B1526="","",SUMIF(Transactions!$F$8:$F$3006,B1526,Transactions!$H$8:$H$3006))</f>
        <v/>
      </c>
      <c r="D1526" s="43" t="str">
        <f>IF(B1526="","",SUMIF(Transactions!$F$8:$F$3006,B1526,Transactions!$N$8:$N$3006))</f>
        <v/>
      </c>
      <c r="E1526" s="44" t="str">
        <f>IF(B1526="","",SUMIF(Transactions!$F$8:$F$3006,B1526,Transactions!$O$8:$O$3006))</f>
        <v/>
      </c>
      <c r="F1526" s="45" t="str">
        <f>IF(B1526="","",SUMIF(Transactions!$F$8:$F$3006,B1526,Transactions!$R$8:$R$3006))</f>
        <v/>
      </c>
      <c r="G1526" s="46" t="str">
        <f>IF(B1526="","",(C1526+F1526)-(D1526+E1526+SUMIF(Transactions!$F$8:$F$3006,B1526,Transactions!$Q$8:$Q$3006)))</f>
        <v/>
      </c>
      <c r="H1526" s="47" t="str">
        <f>IF(B1526="","",IF(G1526&gt;0,"OUTSTANDING",IF(G1526=0,"SETTLED",IF(SUMIF(Transactions!$F$8:$F$3006,B1526,Transactions!$Q$8:$Q$3006)&gt;SUMIF(Transactions!$F$8:$F$3006,B1526,Transactions!$R$8:$R$3006),"OWES","OVERPAID"))))</f>
        <v/>
      </c>
      <c r="I1526" s="1"/>
    </row>
    <row r="1527" spans="1:9" ht="18" customHeight="1" x14ac:dyDescent="0.25">
      <c r="A1527" s="48">
        <v>1512</v>
      </c>
      <c r="B1527" s="49" t="str">
        <f t="array" ref="B1527">IFERROR(IF(INDEX(Transactions!$F$8:$F$3006,MATCH(0,COUNTIF($B$11:B1526,Transactions!$F$8:$F$3006),0))="","",INDEX(Transactions!$F$8:$F$3006,MATCH(0,COUNTIF($B$11:B1526,Transactions!$F$8:$F$3006),0))),"")</f>
        <v/>
      </c>
      <c r="C1527" s="50" t="str">
        <f>IF(B1527="","",SUMIF(Transactions!$F$8:$F$3006,B1527,Transactions!$H$8:$H$3006))</f>
        <v/>
      </c>
      <c r="D1527" s="51" t="str">
        <f>IF(B1527="","",SUMIF(Transactions!$F$8:$F$3006,B1527,Transactions!$N$8:$N$3006))</f>
        <v/>
      </c>
      <c r="E1527" s="52" t="str">
        <f>IF(B1527="","",SUMIF(Transactions!$F$8:$F$3006,B1527,Transactions!$O$8:$O$3006))</f>
        <v/>
      </c>
      <c r="F1527" s="53" t="str">
        <f>IF(B1527="","",SUMIF(Transactions!$F$8:$F$3006,B1527,Transactions!$R$8:$R$3006))</f>
        <v/>
      </c>
      <c r="G1527" s="54" t="str">
        <f>IF(B1527="","",(C1527+F1527)-(D1527+E1527+SUMIF(Transactions!$F$8:$F$3006,B1527,Transactions!$Q$8:$Q$3006)))</f>
        <v/>
      </c>
      <c r="H1527" s="55" t="str">
        <f>IF(B1527="","",IF(G1527&gt;0,"OUTSTANDING",IF(G1527=0,"SETTLED",IF(SUMIF(Transactions!$F$8:$F$3006,B1527,Transactions!$Q$8:$Q$3006)&gt;SUMIF(Transactions!$F$8:$F$3006,B1527,Transactions!$R$8:$R$3006),"OWES","OVERPAID"))))</f>
        <v/>
      </c>
      <c r="I1527" s="1"/>
    </row>
    <row r="1528" spans="1:9" ht="18" customHeight="1" x14ac:dyDescent="0.25">
      <c r="A1528" s="40">
        <v>1513</v>
      </c>
      <c r="B1528" s="41" t="str">
        <f t="array" ref="B1528">IFERROR(IF(INDEX(Transactions!$F$8:$F$3006,MATCH(0,COUNTIF($B$11:B1527,Transactions!$F$8:$F$3006),0))="","",INDEX(Transactions!$F$8:$F$3006,MATCH(0,COUNTIF($B$11:B1527,Transactions!$F$8:$F$3006),0))),"")</f>
        <v/>
      </c>
      <c r="C1528" s="42" t="str">
        <f>IF(B1528="","",SUMIF(Transactions!$F$8:$F$3006,B1528,Transactions!$H$8:$H$3006))</f>
        <v/>
      </c>
      <c r="D1528" s="43" t="str">
        <f>IF(B1528="","",SUMIF(Transactions!$F$8:$F$3006,B1528,Transactions!$N$8:$N$3006))</f>
        <v/>
      </c>
      <c r="E1528" s="44" t="str">
        <f>IF(B1528="","",SUMIF(Transactions!$F$8:$F$3006,B1528,Transactions!$O$8:$O$3006))</f>
        <v/>
      </c>
      <c r="F1528" s="45" t="str">
        <f>IF(B1528="","",SUMIF(Transactions!$F$8:$F$3006,B1528,Transactions!$R$8:$R$3006))</f>
        <v/>
      </c>
      <c r="G1528" s="46" t="str">
        <f>IF(B1528="","",(C1528+F1528)-(D1528+E1528+SUMIF(Transactions!$F$8:$F$3006,B1528,Transactions!$Q$8:$Q$3006)))</f>
        <v/>
      </c>
      <c r="H1528" s="47" t="str">
        <f>IF(B1528="","",IF(G1528&gt;0,"OUTSTANDING",IF(G1528=0,"SETTLED",IF(SUMIF(Transactions!$F$8:$F$3006,B1528,Transactions!$Q$8:$Q$3006)&gt;SUMIF(Transactions!$F$8:$F$3006,B1528,Transactions!$R$8:$R$3006),"OWES","OVERPAID"))))</f>
        <v/>
      </c>
      <c r="I1528" s="1"/>
    </row>
    <row r="1529" spans="1:9" ht="18" customHeight="1" x14ac:dyDescent="0.25">
      <c r="A1529" s="48">
        <v>1514</v>
      </c>
      <c r="B1529" s="49" t="str">
        <f t="array" ref="B1529">IFERROR(IF(INDEX(Transactions!$F$8:$F$3006,MATCH(0,COUNTIF($B$11:B1528,Transactions!$F$8:$F$3006),0))="","",INDEX(Transactions!$F$8:$F$3006,MATCH(0,COUNTIF($B$11:B1528,Transactions!$F$8:$F$3006),0))),"")</f>
        <v/>
      </c>
      <c r="C1529" s="50" t="str">
        <f>IF(B1529="","",SUMIF(Transactions!$F$8:$F$3006,B1529,Transactions!$H$8:$H$3006))</f>
        <v/>
      </c>
      <c r="D1529" s="51" t="str">
        <f>IF(B1529="","",SUMIF(Transactions!$F$8:$F$3006,B1529,Transactions!$N$8:$N$3006))</f>
        <v/>
      </c>
      <c r="E1529" s="52" t="str">
        <f>IF(B1529="","",SUMIF(Transactions!$F$8:$F$3006,B1529,Transactions!$O$8:$O$3006))</f>
        <v/>
      </c>
      <c r="F1529" s="53" t="str">
        <f>IF(B1529="","",SUMIF(Transactions!$F$8:$F$3006,B1529,Transactions!$R$8:$R$3006))</f>
        <v/>
      </c>
      <c r="G1529" s="54" t="str">
        <f>IF(B1529="","",(C1529+F1529)-(D1529+E1529+SUMIF(Transactions!$F$8:$F$3006,B1529,Transactions!$Q$8:$Q$3006)))</f>
        <v/>
      </c>
      <c r="H1529" s="55" t="str">
        <f>IF(B1529="","",IF(G1529&gt;0,"OUTSTANDING",IF(G1529=0,"SETTLED",IF(SUMIF(Transactions!$F$8:$F$3006,B1529,Transactions!$Q$8:$Q$3006)&gt;SUMIF(Transactions!$F$8:$F$3006,B1529,Transactions!$R$8:$R$3006),"OWES","OVERPAID"))))</f>
        <v/>
      </c>
      <c r="I1529" s="1"/>
    </row>
    <row r="1530" spans="1:9" ht="18" customHeight="1" x14ac:dyDescent="0.25">
      <c r="A1530" s="40">
        <v>1515</v>
      </c>
      <c r="B1530" s="41" t="str">
        <f t="array" ref="B1530">IFERROR(IF(INDEX(Transactions!$F$8:$F$3006,MATCH(0,COUNTIF($B$11:B1529,Transactions!$F$8:$F$3006),0))="","",INDEX(Transactions!$F$8:$F$3006,MATCH(0,COUNTIF($B$11:B1529,Transactions!$F$8:$F$3006),0))),"")</f>
        <v/>
      </c>
      <c r="C1530" s="42" t="str">
        <f>IF(B1530="","",SUMIF(Transactions!$F$8:$F$3006,B1530,Transactions!$H$8:$H$3006))</f>
        <v/>
      </c>
      <c r="D1530" s="43" t="str">
        <f>IF(B1530="","",SUMIF(Transactions!$F$8:$F$3006,B1530,Transactions!$N$8:$N$3006))</f>
        <v/>
      </c>
      <c r="E1530" s="44" t="str">
        <f>IF(B1530="","",SUMIF(Transactions!$F$8:$F$3006,B1530,Transactions!$O$8:$O$3006))</f>
        <v/>
      </c>
      <c r="F1530" s="45" t="str">
        <f>IF(B1530="","",SUMIF(Transactions!$F$8:$F$3006,B1530,Transactions!$R$8:$R$3006))</f>
        <v/>
      </c>
      <c r="G1530" s="46" t="str">
        <f>IF(B1530="","",(C1530+F1530)-(D1530+E1530+SUMIF(Transactions!$F$8:$F$3006,B1530,Transactions!$Q$8:$Q$3006)))</f>
        <v/>
      </c>
      <c r="H1530" s="47" t="str">
        <f>IF(B1530="","",IF(G1530&gt;0,"OUTSTANDING",IF(G1530=0,"SETTLED",IF(SUMIF(Transactions!$F$8:$F$3006,B1530,Transactions!$Q$8:$Q$3006)&gt;SUMIF(Transactions!$F$8:$F$3006,B1530,Transactions!$R$8:$R$3006),"OWES","OVERPAID"))))</f>
        <v/>
      </c>
      <c r="I1530" s="1"/>
    </row>
    <row r="1531" spans="1:9" ht="18" customHeight="1" x14ac:dyDescent="0.25">
      <c r="A1531" s="48">
        <v>1516</v>
      </c>
      <c r="B1531" s="49" t="str">
        <f t="array" ref="B1531">IFERROR(IF(INDEX(Transactions!$F$8:$F$3006,MATCH(0,COUNTIF($B$11:B1530,Transactions!$F$8:$F$3006),0))="","",INDEX(Transactions!$F$8:$F$3006,MATCH(0,COUNTIF($B$11:B1530,Transactions!$F$8:$F$3006),0))),"")</f>
        <v/>
      </c>
      <c r="C1531" s="50" t="str">
        <f>IF(B1531="","",SUMIF(Transactions!$F$8:$F$3006,B1531,Transactions!$H$8:$H$3006))</f>
        <v/>
      </c>
      <c r="D1531" s="51" t="str">
        <f>IF(B1531="","",SUMIF(Transactions!$F$8:$F$3006,B1531,Transactions!$N$8:$N$3006))</f>
        <v/>
      </c>
      <c r="E1531" s="52" t="str">
        <f>IF(B1531="","",SUMIF(Transactions!$F$8:$F$3006,B1531,Transactions!$O$8:$O$3006))</f>
        <v/>
      </c>
      <c r="F1531" s="53" t="str">
        <f>IF(B1531="","",SUMIF(Transactions!$F$8:$F$3006,B1531,Transactions!$R$8:$R$3006))</f>
        <v/>
      </c>
      <c r="G1531" s="54" t="str">
        <f>IF(B1531="","",(C1531+F1531)-(D1531+E1531+SUMIF(Transactions!$F$8:$F$3006,B1531,Transactions!$Q$8:$Q$3006)))</f>
        <v/>
      </c>
      <c r="H1531" s="55" t="str">
        <f>IF(B1531="","",IF(G1531&gt;0,"OUTSTANDING",IF(G1531=0,"SETTLED",IF(SUMIF(Transactions!$F$8:$F$3006,B1531,Transactions!$Q$8:$Q$3006)&gt;SUMIF(Transactions!$F$8:$F$3006,B1531,Transactions!$R$8:$R$3006),"OWES","OVERPAID"))))</f>
        <v/>
      </c>
      <c r="I1531" s="1"/>
    </row>
    <row r="1532" spans="1:9" ht="18" customHeight="1" x14ac:dyDescent="0.25">
      <c r="A1532" s="40">
        <v>1517</v>
      </c>
      <c r="B1532" s="41" t="str">
        <f t="array" ref="B1532">IFERROR(IF(INDEX(Transactions!$F$8:$F$3006,MATCH(0,COUNTIF($B$11:B1531,Transactions!$F$8:$F$3006),0))="","",INDEX(Transactions!$F$8:$F$3006,MATCH(0,COUNTIF($B$11:B1531,Transactions!$F$8:$F$3006),0))),"")</f>
        <v/>
      </c>
      <c r="C1532" s="42" t="str">
        <f>IF(B1532="","",SUMIF(Transactions!$F$8:$F$3006,B1532,Transactions!$H$8:$H$3006))</f>
        <v/>
      </c>
      <c r="D1532" s="43" t="str">
        <f>IF(B1532="","",SUMIF(Transactions!$F$8:$F$3006,B1532,Transactions!$N$8:$N$3006))</f>
        <v/>
      </c>
      <c r="E1532" s="44" t="str">
        <f>IF(B1532="","",SUMIF(Transactions!$F$8:$F$3006,B1532,Transactions!$O$8:$O$3006))</f>
        <v/>
      </c>
      <c r="F1532" s="45" t="str">
        <f>IF(B1532="","",SUMIF(Transactions!$F$8:$F$3006,B1532,Transactions!$R$8:$R$3006))</f>
        <v/>
      </c>
      <c r="G1532" s="46" t="str">
        <f>IF(B1532="","",(C1532+F1532)-(D1532+E1532+SUMIF(Transactions!$F$8:$F$3006,B1532,Transactions!$Q$8:$Q$3006)))</f>
        <v/>
      </c>
      <c r="H1532" s="47" t="str">
        <f>IF(B1532="","",IF(G1532&gt;0,"OUTSTANDING",IF(G1532=0,"SETTLED",IF(SUMIF(Transactions!$F$8:$F$3006,B1532,Transactions!$Q$8:$Q$3006)&gt;SUMIF(Transactions!$F$8:$F$3006,B1532,Transactions!$R$8:$R$3006),"OWES","OVERPAID"))))</f>
        <v/>
      </c>
      <c r="I1532" s="1"/>
    </row>
    <row r="1533" spans="1:9" ht="18" customHeight="1" x14ac:dyDescent="0.25">
      <c r="A1533" s="48">
        <v>1518</v>
      </c>
      <c r="B1533" s="49" t="str">
        <f t="array" ref="B1533">IFERROR(IF(INDEX(Transactions!$F$8:$F$3006,MATCH(0,COUNTIF($B$11:B1532,Transactions!$F$8:$F$3006),0))="","",INDEX(Transactions!$F$8:$F$3006,MATCH(0,COUNTIF($B$11:B1532,Transactions!$F$8:$F$3006),0))),"")</f>
        <v/>
      </c>
      <c r="C1533" s="50" t="str">
        <f>IF(B1533="","",SUMIF(Transactions!$F$8:$F$3006,B1533,Transactions!$H$8:$H$3006))</f>
        <v/>
      </c>
      <c r="D1533" s="51" t="str">
        <f>IF(B1533="","",SUMIF(Transactions!$F$8:$F$3006,B1533,Transactions!$N$8:$N$3006))</f>
        <v/>
      </c>
      <c r="E1533" s="52" t="str">
        <f>IF(B1533="","",SUMIF(Transactions!$F$8:$F$3006,B1533,Transactions!$O$8:$O$3006))</f>
        <v/>
      </c>
      <c r="F1533" s="53" t="str">
        <f>IF(B1533="","",SUMIF(Transactions!$F$8:$F$3006,B1533,Transactions!$R$8:$R$3006))</f>
        <v/>
      </c>
      <c r="G1533" s="54" t="str">
        <f>IF(B1533="","",(C1533+F1533)-(D1533+E1533+SUMIF(Transactions!$F$8:$F$3006,B1533,Transactions!$Q$8:$Q$3006)))</f>
        <v/>
      </c>
      <c r="H1533" s="55" t="str">
        <f>IF(B1533="","",IF(G1533&gt;0,"OUTSTANDING",IF(G1533=0,"SETTLED",IF(SUMIF(Transactions!$F$8:$F$3006,B1533,Transactions!$Q$8:$Q$3006)&gt;SUMIF(Transactions!$F$8:$F$3006,B1533,Transactions!$R$8:$R$3006),"OWES","OVERPAID"))))</f>
        <v/>
      </c>
      <c r="I1533" s="1"/>
    </row>
    <row r="1534" spans="1:9" ht="18" customHeight="1" x14ac:dyDescent="0.25">
      <c r="A1534" s="40">
        <v>1519</v>
      </c>
      <c r="B1534" s="41" t="str">
        <f t="array" ref="B1534">IFERROR(IF(INDEX(Transactions!$F$8:$F$3006,MATCH(0,COUNTIF($B$11:B1533,Transactions!$F$8:$F$3006),0))="","",INDEX(Transactions!$F$8:$F$3006,MATCH(0,COUNTIF($B$11:B1533,Transactions!$F$8:$F$3006),0))),"")</f>
        <v/>
      </c>
      <c r="C1534" s="42" t="str">
        <f>IF(B1534="","",SUMIF(Transactions!$F$8:$F$3006,B1534,Transactions!$H$8:$H$3006))</f>
        <v/>
      </c>
      <c r="D1534" s="43" t="str">
        <f>IF(B1534="","",SUMIF(Transactions!$F$8:$F$3006,B1534,Transactions!$N$8:$N$3006))</f>
        <v/>
      </c>
      <c r="E1534" s="44" t="str">
        <f>IF(B1534="","",SUMIF(Transactions!$F$8:$F$3006,B1534,Transactions!$O$8:$O$3006))</f>
        <v/>
      </c>
      <c r="F1534" s="45" t="str">
        <f>IF(B1534="","",SUMIF(Transactions!$F$8:$F$3006,B1534,Transactions!$R$8:$R$3006))</f>
        <v/>
      </c>
      <c r="G1534" s="46" t="str">
        <f>IF(B1534="","",(C1534+F1534)-(D1534+E1534+SUMIF(Transactions!$F$8:$F$3006,B1534,Transactions!$Q$8:$Q$3006)))</f>
        <v/>
      </c>
      <c r="H1534" s="47" t="str">
        <f>IF(B1534="","",IF(G1534&gt;0,"OUTSTANDING",IF(G1534=0,"SETTLED",IF(SUMIF(Transactions!$F$8:$F$3006,B1534,Transactions!$Q$8:$Q$3006)&gt;SUMIF(Transactions!$F$8:$F$3006,B1534,Transactions!$R$8:$R$3006),"OWES","OVERPAID"))))</f>
        <v/>
      </c>
      <c r="I1534" s="1"/>
    </row>
    <row r="1535" spans="1:9" ht="18" customHeight="1" x14ac:dyDescent="0.25">
      <c r="A1535" s="48">
        <v>1520</v>
      </c>
      <c r="B1535" s="49" t="str">
        <f t="array" ref="B1535">IFERROR(IF(INDEX(Transactions!$F$8:$F$3006,MATCH(0,COUNTIF($B$11:B1534,Transactions!$F$8:$F$3006),0))="","",INDEX(Transactions!$F$8:$F$3006,MATCH(0,COUNTIF($B$11:B1534,Transactions!$F$8:$F$3006),0))),"")</f>
        <v/>
      </c>
      <c r="C1535" s="50" t="str">
        <f>IF(B1535="","",SUMIF(Transactions!$F$8:$F$3006,B1535,Transactions!$H$8:$H$3006))</f>
        <v/>
      </c>
      <c r="D1535" s="51" t="str">
        <f>IF(B1535="","",SUMIF(Transactions!$F$8:$F$3006,B1535,Transactions!$N$8:$N$3006))</f>
        <v/>
      </c>
      <c r="E1535" s="52" t="str">
        <f>IF(B1535="","",SUMIF(Transactions!$F$8:$F$3006,B1535,Transactions!$O$8:$O$3006))</f>
        <v/>
      </c>
      <c r="F1535" s="53" t="str">
        <f>IF(B1535="","",SUMIF(Transactions!$F$8:$F$3006,B1535,Transactions!$R$8:$R$3006))</f>
        <v/>
      </c>
      <c r="G1535" s="54" t="str">
        <f>IF(B1535="","",(C1535+F1535)-(D1535+E1535+SUMIF(Transactions!$F$8:$F$3006,B1535,Transactions!$Q$8:$Q$3006)))</f>
        <v/>
      </c>
      <c r="H1535" s="55" t="str">
        <f>IF(B1535="","",IF(G1535&gt;0,"OUTSTANDING",IF(G1535=0,"SETTLED",IF(SUMIF(Transactions!$F$8:$F$3006,B1535,Transactions!$Q$8:$Q$3006)&gt;SUMIF(Transactions!$F$8:$F$3006,B1535,Transactions!$R$8:$R$3006),"OWES","OVERPAID"))))</f>
        <v/>
      </c>
      <c r="I1535" s="1"/>
    </row>
    <row r="1536" spans="1:9" ht="18" customHeight="1" x14ac:dyDescent="0.25">
      <c r="A1536" s="40">
        <v>1521</v>
      </c>
      <c r="B1536" s="41" t="str">
        <f t="array" ref="B1536">IFERROR(IF(INDEX(Transactions!$F$8:$F$3006,MATCH(0,COUNTIF($B$11:B1535,Transactions!$F$8:$F$3006),0))="","",INDEX(Transactions!$F$8:$F$3006,MATCH(0,COUNTIF($B$11:B1535,Transactions!$F$8:$F$3006),0))),"")</f>
        <v/>
      </c>
      <c r="C1536" s="42" t="str">
        <f>IF(B1536="","",SUMIF(Transactions!$F$8:$F$3006,B1536,Transactions!$H$8:$H$3006))</f>
        <v/>
      </c>
      <c r="D1536" s="43" t="str">
        <f>IF(B1536="","",SUMIF(Transactions!$F$8:$F$3006,B1536,Transactions!$N$8:$N$3006))</f>
        <v/>
      </c>
      <c r="E1536" s="44" t="str">
        <f>IF(B1536="","",SUMIF(Transactions!$F$8:$F$3006,B1536,Transactions!$O$8:$O$3006))</f>
        <v/>
      </c>
      <c r="F1536" s="45" t="str">
        <f>IF(B1536="","",SUMIF(Transactions!$F$8:$F$3006,B1536,Transactions!$R$8:$R$3006))</f>
        <v/>
      </c>
      <c r="G1536" s="46" t="str">
        <f>IF(B1536="","",(C1536+F1536)-(D1536+E1536+SUMIF(Transactions!$F$8:$F$3006,B1536,Transactions!$Q$8:$Q$3006)))</f>
        <v/>
      </c>
      <c r="H1536" s="47" t="str">
        <f>IF(B1536="","",IF(G1536&gt;0,"OUTSTANDING",IF(G1536=0,"SETTLED",IF(SUMIF(Transactions!$F$8:$F$3006,B1536,Transactions!$Q$8:$Q$3006)&gt;SUMIF(Transactions!$F$8:$F$3006,B1536,Transactions!$R$8:$R$3006),"OWES","OVERPAID"))))</f>
        <v/>
      </c>
      <c r="I1536" s="1"/>
    </row>
    <row r="1537" spans="1:9" ht="18" customHeight="1" x14ac:dyDescent="0.25">
      <c r="A1537" s="48">
        <v>1522</v>
      </c>
      <c r="B1537" s="49" t="str">
        <f t="array" ref="B1537">IFERROR(IF(INDEX(Transactions!$F$8:$F$3006,MATCH(0,COUNTIF($B$11:B1536,Transactions!$F$8:$F$3006),0))="","",INDEX(Transactions!$F$8:$F$3006,MATCH(0,COUNTIF($B$11:B1536,Transactions!$F$8:$F$3006),0))),"")</f>
        <v/>
      </c>
      <c r="C1537" s="50" t="str">
        <f>IF(B1537="","",SUMIF(Transactions!$F$8:$F$3006,B1537,Transactions!$H$8:$H$3006))</f>
        <v/>
      </c>
      <c r="D1537" s="51" t="str">
        <f>IF(B1537="","",SUMIF(Transactions!$F$8:$F$3006,B1537,Transactions!$N$8:$N$3006))</f>
        <v/>
      </c>
      <c r="E1537" s="52" t="str">
        <f>IF(B1537="","",SUMIF(Transactions!$F$8:$F$3006,B1537,Transactions!$O$8:$O$3006))</f>
        <v/>
      </c>
      <c r="F1537" s="53" t="str">
        <f>IF(B1537="","",SUMIF(Transactions!$F$8:$F$3006,B1537,Transactions!$R$8:$R$3006))</f>
        <v/>
      </c>
      <c r="G1537" s="54" t="str">
        <f>IF(B1537="","",(C1537+F1537)-(D1537+E1537+SUMIF(Transactions!$F$8:$F$3006,B1537,Transactions!$Q$8:$Q$3006)))</f>
        <v/>
      </c>
      <c r="H1537" s="55" t="str">
        <f>IF(B1537="","",IF(G1537&gt;0,"OUTSTANDING",IF(G1537=0,"SETTLED",IF(SUMIF(Transactions!$F$8:$F$3006,B1537,Transactions!$Q$8:$Q$3006)&gt;SUMIF(Transactions!$F$8:$F$3006,B1537,Transactions!$R$8:$R$3006),"OWES","OVERPAID"))))</f>
        <v/>
      </c>
      <c r="I1537" s="1"/>
    </row>
    <row r="1538" spans="1:9" ht="18" customHeight="1" x14ac:dyDescent="0.25">
      <c r="A1538" s="40">
        <v>1523</v>
      </c>
      <c r="B1538" s="41" t="str">
        <f t="array" ref="B1538">IFERROR(IF(INDEX(Transactions!$F$8:$F$3006,MATCH(0,COUNTIF($B$11:B1537,Transactions!$F$8:$F$3006),0))="","",INDEX(Transactions!$F$8:$F$3006,MATCH(0,COUNTIF($B$11:B1537,Transactions!$F$8:$F$3006),0))),"")</f>
        <v/>
      </c>
      <c r="C1538" s="42" t="str">
        <f>IF(B1538="","",SUMIF(Transactions!$F$8:$F$3006,B1538,Transactions!$H$8:$H$3006))</f>
        <v/>
      </c>
      <c r="D1538" s="43" t="str">
        <f>IF(B1538="","",SUMIF(Transactions!$F$8:$F$3006,B1538,Transactions!$N$8:$N$3006))</f>
        <v/>
      </c>
      <c r="E1538" s="44" t="str">
        <f>IF(B1538="","",SUMIF(Transactions!$F$8:$F$3006,B1538,Transactions!$O$8:$O$3006))</f>
        <v/>
      </c>
      <c r="F1538" s="45" t="str">
        <f>IF(B1538="","",SUMIF(Transactions!$F$8:$F$3006,B1538,Transactions!$R$8:$R$3006))</f>
        <v/>
      </c>
      <c r="G1538" s="46" t="str">
        <f>IF(B1538="","",(C1538+F1538)-(D1538+E1538+SUMIF(Transactions!$F$8:$F$3006,B1538,Transactions!$Q$8:$Q$3006)))</f>
        <v/>
      </c>
      <c r="H1538" s="47" t="str">
        <f>IF(B1538="","",IF(G1538&gt;0,"OUTSTANDING",IF(G1538=0,"SETTLED",IF(SUMIF(Transactions!$F$8:$F$3006,B1538,Transactions!$Q$8:$Q$3006)&gt;SUMIF(Transactions!$F$8:$F$3006,B1538,Transactions!$R$8:$R$3006),"OWES","OVERPAID"))))</f>
        <v/>
      </c>
      <c r="I1538" s="1"/>
    </row>
    <row r="1539" spans="1:9" ht="18" customHeight="1" x14ac:dyDescent="0.25">
      <c r="A1539" s="48">
        <v>1524</v>
      </c>
      <c r="B1539" s="49" t="str">
        <f t="array" ref="B1539">IFERROR(IF(INDEX(Transactions!$F$8:$F$3006,MATCH(0,COUNTIF($B$11:B1538,Transactions!$F$8:$F$3006),0))="","",INDEX(Transactions!$F$8:$F$3006,MATCH(0,COUNTIF($B$11:B1538,Transactions!$F$8:$F$3006),0))),"")</f>
        <v/>
      </c>
      <c r="C1539" s="50" t="str">
        <f>IF(B1539="","",SUMIF(Transactions!$F$8:$F$3006,B1539,Transactions!$H$8:$H$3006))</f>
        <v/>
      </c>
      <c r="D1539" s="51" t="str">
        <f>IF(B1539="","",SUMIF(Transactions!$F$8:$F$3006,B1539,Transactions!$N$8:$N$3006))</f>
        <v/>
      </c>
      <c r="E1539" s="52" t="str">
        <f>IF(B1539="","",SUMIF(Transactions!$F$8:$F$3006,B1539,Transactions!$O$8:$O$3006))</f>
        <v/>
      </c>
      <c r="F1539" s="53" t="str">
        <f>IF(B1539="","",SUMIF(Transactions!$F$8:$F$3006,B1539,Transactions!$R$8:$R$3006))</f>
        <v/>
      </c>
      <c r="G1539" s="54" t="str">
        <f>IF(B1539="","",(C1539+F1539)-(D1539+E1539+SUMIF(Transactions!$F$8:$F$3006,B1539,Transactions!$Q$8:$Q$3006)))</f>
        <v/>
      </c>
      <c r="H1539" s="55" t="str">
        <f>IF(B1539="","",IF(G1539&gt;0,"OUTSTANDING",IF(G1539=0,"SETTLED",IF(SUMIF(Transactions!$F$8:$F$3006,B1539,Transactions!$Q$8:$Q$3006)&gt;SUMIF(Transactions!$F$8:$F$3006,B1539,Transactions!$R$8:$R$3006),"OWES","OVERPAID"))))</f>
        <v/>
      </c>
      <c r="I1539" s="1"/>
    </row>
    <row r="1540" spans="1:9" ht="18" customHeight="1" x14ac:dyDescent="0.25">
      <c r="A1540" s="40">
        <v>1525</v>
      </c>
      <c r="B1540" s="41" t="str">
        <f t="array" ref="B1540">IFERROR(IF(INDEX(Transactions!$F$8:$F$3006,MATCH(0,COUNTIF($B$11:B1539,Transactions!$F$8:$F$3006),0))="","",INDEX(Transactions!$F$8:$F$3006,MATCH(0,COUNTIF($B$11:B1539,Transactions!$F$8:$F$3006),0))),"")</f>
        <v/>
      </c>
      <c r="C1540" s="42" t="str">
        <f>IF(B1540="","",SUMIF(Transactions!$F$8:$F$3006,B1540,Transactions!$H$8:$H$3006))</f>
        <v/>
      </c>
      <c r="D1540" s="43" t="str">
        <f>IF(B1540="","",SUMIF(Transactions!$F$8:$F$3006,B1540,Transactions!$N$8:$N$3006))</f>
        <v/>
      </c>
      <c r="E1540" s="44" t="str">
        <f>IF(B1540="","",SUMIF(Transactions!$F$8:$F$3006,B1540,Transactions!$O$8:$O$3006))</f>
        <v/>
      </c>
      <c r="F1540" s="45" t="str">
        <f>IF(B1540="","",SUMIF(Transactions!$F$8:$F$3006,B1540,Transactions!$R$8:$R$3006))</f>
        <v/>
      </c>
      <c r="G1540" s="46" t="str">
        <f>IF(B1540="","",(C1540+F1540)-(D1540+E1540+SUMIF(Transactions!$F$8:$F$3006,B1540,Transactions!$Q$8:$Q$3006)))</f>
        <v/>
      </c>
      <c r="H1540" s="47" t="str">
        <f>IF(B1540="","",IF(G1540&gt;0,"OUTSTANDING",IF(G1540=0,"SETTLED",IF(SUMIF(Transactions!$F$8:$F$3006,B1540,Transactions!$Q$8:$Q$3006)&gt;SUMIF(Transactions!$F$8:$F$3006,B1540,Transactions!$R$8:$R$3006),"OWES","OVERPAID"))))</f>
        <v/>
      </c>
      <c r="I1540" s="1"/>
    </row>
    <row r="1541" spans="1:9" ht="18" customHeight="1" x14ac:dyDescent="0.25">
      <c r="A1541" s="48">
        <v>1526</v>
      </c>
      <c r="B1541" s="49" t="str">
        <f t="array" ref="B1541">IFERROR(IF(INDEX(Transactions!$F$8:$F$3006,MATCH(0,COUNTIF($B$11:B1540,Transactions!$F$8:$F$3006),0))="","",INDEX(Transactions!$F$8:$F$3006,MATCH(0,COUNTIF($B$11:B1540,Transactions!$F$8:$F$3006),0))),"")</f>
        <v/>
      </c>
      <c r="C1541" s="50" t="str">
        <f>IF(B1541="","",SUMIF(Transactions!$F$8:$F$3006,B1541,Transactions!$H$8:$H$3006))</f>
        <v/>
      </c>
      <c r="D1541" s="51" t="str">
        <f>IF(B1541="","",SUMIF(Transactions!$F$8:$F$3006,B1541,Transactions!$N$8:$N$3006))</f>
        <v/>
      </c>
      <c r="E1541" s="52" t="str">
        <f>IF(B1541="","",SUMIF(Transactions!$F$8:$F$3006,B1541,Transactions!$O$8:$O$3006))</f>
        <v/>
      </c>
      <c r="F1541" s="53" t="str">
        <f>IF(B1541="","",SUMIF(Transactions!$F$8:$F$3006,B1541,Transactions!$R$8:$R$3006))</f>
        <v/>
      </c>
      <c r="G1541" s="54" t="str">
        <f>IF(B1541="","",(C1541+F1541)-(D1541+E1541+SUMIF(Transactions!$F$8:$F$3006,B1541,Transactions!$Q$8:$Q$3006)))</f>
        <v/>
      </c>
      <c r="H1541" s="55" t="str">
        <f>IF(B1541="","",IF(G1541&gt;0,"OUTSTANDING",IF(G1541=0,"SETTLED",IF(SUMIF(Transactions!$F$8:$F$3006,B1541,Transactions!$Q$8:$Q$3006)&gt;SUMIF(Transactions!$F$8:$F$3006,B1541,Transactions!$R$8:$R$3006),"OWES","OVERPAID"))))</f>
        <v/>
      </c>
      <c r="I1541" s="1"/>
    </row>
    <row r="1542" spans="1:9" ht="18" customHeight="1" x14ac:dyDescent="0.25">
      <c r="A1542" s="40">
        <v>1527</v>
      </c>
      <c r="B1542" s="41" t="str">
        <f t="array" ref="B1542">IFERROR(IF(INDEX(Transactions!$F$8:$F$3006,MATCH(0,COUNTIF($B$11:B1541,Transactions!$F$8:$F$3006),0))="","",INDEX(Transactions!$F$8:$F$3006,MATCH(0,COUNTIF($B$11:B1541,Transactions!$F$8:$F$3006),0))),"")</f>
        <v/>
      </c>
      <c r="C1542" s="42" t="str">
        <f>IF(B1542="","",SUMIF(Transactions!$F$8:$F$3006,B1542,Transactions!$H$8:$H$3006))</f>
        <v/>
      </c>
      <c r="D1542" s="43" t="str">
        <f>IF(B1542="","",SUMIF(Transactions!$F$8:$F$3006,B1542,Transactions!$N$8:$N$3006))</f>
        <v/>
      </c>
      <c r="E1542" s="44" t="str">
        <f>IF(B1542="","",SUMIF(Transactions!$F$8:$F$3006,B1542,Transactions!$O$8:$O$3006))</f>
        <v/>
      </c>
      <c r="F1542" s="45" t="str">
        <f>IF(B1542="","",SUMIF(Transactions!$F$8:$F$3006,B1542,Transactions!$R$8:$R$3006))</f>
        <v/>
      </c>
      <c r="G1542" s="46" t="str">
        <f>IF(B1542="","",(C1542+F1542)-(D1542+E1542+SUMIF(Transactions!$F$8:$F$3006,B1542,Transactions!$Q$8:$Q$3006)))</f>
        <v/>
      </c>
      <c r="H1542" s="47" t="str">
        <f>IF(B1542="","",IF(G1542&gt;0,"OUTSTANDING",IF(G1542=0,"SETTLED",IF(SUMIF(Transactions!$F$8:$F$3006,B1542,Transactions!$Q$8:$Q$3006)&gt;SUMIF(Transactions!$F$8:$F$3006,B1542,Transactions!$R$8:$R$3006),"OWES","OVERPAID"))))</f>
        <v/>
      </c>
      <c r="I1542" s="1"/>
    </row>
    <row r="1543" spans="1:9" ht="18" customHeight="1" x14ac:dyDescent="0.25">
      <c r="A1543" s="48">
        <v>1528</v>
      </c>
      <c r="B1543" s="49" t="str">
        <f t="array" ref="B1543">IFERROR(IF(INDEX(Transactions!$F$8:$F$3006,MATCH(0,COUNTIF($B$11:B1542,Transactions!$F$8:$F$3006),0))="","",INDEX(Transactions!$F$8:$F$3006,MATCH(0,COUNTIF($B$11:B1542,Transactions!$F$8:$F$3006),0))),"")</f>
        <v/>
      </c>
      <c r="C1543" s="50" t="str">
        <f>IF(B1543="","",SUMIF(Transactions!$F$8:$F$3006,B1543,Transactions!$H$8:$H$3006))</f>
        <v/>
      </c>
      <c r="D1543" s="51" t="str">
        <f>IF(B1543="","",SUMIF(Transactions!$F$8:$F$3006,B1543,Transactions!$N$8:$N$3006))</f>
        <v/>
      </c>
      <c r="E1543" s="52" t="str">
        <f>IF(B1543="","",SUMIF(Transactions!$F$8:$F$3006,B1543,Transactions!$O$8:$O$3006))</f>
        <v/>
      </c>
      <c r="F1543" s="53" t="str">
        <f>IF(B1543="","",SUMIF(Transactions!$F$8:$F$3006,B1543,Transactions!$R$8:$R$3006))</f>
        <v/>
      </c>
      <c r="G1543" s="54" t="str">
        <f>IF(B1543="","",(C1543+F1543)-(D1543+E1543+SUMIF(Transactions!$F$8:$F$3006,B1543,Transactions!$Q$8:$Q$3006)))</f>
        <v/>
      </c>
      <c r="H1543" s="55" t="str">
        <f>IF(B1543="","",IF(G1543&gt;0,"OUTSTANDING",IF(G1543=0,"SETTLED",IF(SUMIF(Transactions!$F$8:$F$3006,B1543,Transactions!$Q$8:$Q$3006)&gt;SUMIF(Transactions!$F$8:$F$3006,B1543,Transactions!$R$8:$R$3006),"OWES","OVERPAID"))))</f>
        <v/>
      </c>
      <c r="I1543" s="1"/>
    </row>
    <row r="1544" spans="1:9" ht="18" customHeight="1" x14ac:dyDescent="0.25">
      <c r="A1544" s="40">
        <v>1529</v>
      </c>
      <c r="B1544" s="41" t="str">
        <f t="array" ref="B1544">IFERROR(IF(INDEX(Transactions!$F$8:$F$3006,MATCH(0,COUNTIF($B$11:B1543,Transactions!$F$8:$F$3006),0))="","",INDEX(Transactions!$F$8:$F$3006,MATCH(0,COUNTIF($B$11:B1543,Transactions!$F$8:$F$3006),0))),"")</f>
        <v/>
      </c>
      <c r="C1544" s="42" t="str">
        <f>IF(B1544="","",SUMIF(Transactions!$F$8:$F$3006,B1544,Transactions!$H$8:$H$3006))</f>
        <v/>
      </c>
      <c r="D1544" s="43" t="str">
        <f>IF(B1544="","",SUMIF(Transactions!$F$8:$F$3006,B1544,Transactions!$N$8:$N$3006))</f>
        <v/>
      </c>
      <c r="E1544" s="44" t="str">
        <f>IF(B1544="","",SUMIF(Transactions!$F$8:$F$3006,B1544,Transactions!$O$8:$O$3006))</f>
        <v/>
      </c>
      <c r="F1544" s="45" t="str">
        <f>IF(B1544="","",SUMIF(Transactions!$F$8:$F$3006,B1544,Transactions!$R$8:$R$3006))</f>
        <v/>
      </c>
      <c r="G1544" s="46" t="str">
        <f>IF(B1544="","",(C1544+F1544)-(D1544+E1544+SUMIF(Transactions!$F$8:$F$3006,B1544,Transactions!$Q$8:$Q$3006)))</f>
        <v/>
      </c>
      <c r="H1544" s="47" t="str">
        <f>IF(B1544="","",IF(G1544&gt;0,"OUTSTANDING",IF(G1544=0,"SETTLED",IF(SUMIF(Transactions!$F$8:$F$3006,B1544,Transactions!$Q$8:$Q$3006)&gt;SUMIF(Transactions!$F$8:$F$3006,B1544,Transactions!$R$8:$R$3006),"OWES","OVERPAID"))))</f>
        <v/>
      </c>
      <c r="I1544" s="1"/>
    </row>
    <row r="1545" spans="1:9" ht="18" customHeight="1" x14ac:dyDescent="0.25">
      <c r="A1545" s="48">
        <v>1530</v>
      </c>
      <c r="B1545" s="49" t="str">
        <f t="array" ref="B1545">IFERROR(IF(INDEX(Transactions!$F$8:$F$3006,MATCH(0,COUNTIF($B$11:B1544,Transactions!$F$8:$F$3006),0))="","",INDEX(Transactions!$F$8:$F$3006,MATCH(0,COUNTIF($B$11:B1544,Transactions!$F$8:$F$3006),0))),"")</f>
        <v/>
      </c>
      <c r="C1545" s="50" t="str">
        <f>IF(B1545="","",SUMIF(Transactions!$F$8:$F$3006,B1545,Transactions!$H$8:$H$3006))</f>
        <v/>
      </c>
      <c r="D1545" s="51" t="str">
        <f>IF(B1545="","",SUMIF(Transactions!$F$8:$F$3006,B1545,Transactions!$N$8:$N$3006))</f>
        <v/>
      </c>
      <c r="E1545" s="52" t="str">
        <f>IF(B1545="","",SUMIF(Transactions!$F$8:$F$3006,B1545,Transactions!$O$8:$O$3006))</f>
        <v/>
      </c>
      <c r="F1545" s="53" t="str">
        <f>IF(B1545="","",SUMIF(Transactions!$F$8:$F$3006,B1545,Transactions!$R$8:$R$3006))</f>
        <v/>
      </c>
      <c r="G1545" s="54" t="str">
        <f>IF(B1545="","",(C1545+F1545)-(D1545+E1545+SUMIF(Transactions!$F$8:$F$3006,B1545,Transactions!$Q$8:$Q$3006)))</f>
        <v/>
      </c>
      <c r="H1545" s="55" t="str">
        <f>IF(B1545="","",IF(G1545&gt;0,"OUTSTANDING",IF(G1545=0,"SETTLED",IF(SUMIF(Transactions!$F$8:$F$3006,B1545,Transactions!$Q$8:$Q$3006)&gt;SUMIF(Transactions!$F$8:$F$3006,B1545,Transactions!$R$8:$R$3006),"OWES","OVERPAID"))))</f>
        <v/>
      </c>
      <c r="I1545" s="1"/>
    </row>
    <row r="1546" spans="1:9" ht="18" customHeight="1" x14ac:dyDescent="0.25">
      <c r="A1546" s="40">
        <v>1531</v>
      </c>
      <c r="B1546" s="41" t="str">
        <f t="array" ref="B1546">IFERROR(IF(INDEX(Transactions!$F$8:$F$3006,MATCH(0,COUNTIF($B$11:B1545,Transactions!$F$8:$F$3006),0))="","",INDEX(Transactions!$F$8:$F$3006,MATCH(0,COUNTIF($B$11:B1545,Transactions!$F$8:$F$3006),0))),"")</f>
        <v/>
      </c>
      <c r="C1546" s="42" t="str">
        <f>IF(B1546="","",SUMIF(Transactions!$F$8:$F$3006,B1546,Transactions!$H$8:$H$3006))</f>
        <v/>
      </c>
      <c r="D1546" s="43" t="str">
        <f>IF(B1546="","",SUMIF(Transactions!$F$8:$F$3006,B1546,Transactions!$N$8:$N$3006))</f>
        <v/>
      </c>
      <c r="E1546" s="44" t="str">
        <f>IF(B1546="","",SUMIF(Transactions!$F$8:$F$3006,B1546,Transactions!$O$8:$O$3006))</f>
        <v/>
      </c>
      <c r="F1546" s="45" t="str">
        <f>IF(B1546="","",SUMIF(Transactions!$F$8:$F$3006,B1546,Transactions!$R$8:$R$3006))</f>
        <v/>
      </c>
      <c r="G1546" s="46" t="str">
        <f>IF(B1546="","",(C1546+F1546)-(D1546+E1546+SUMIF(Transactions!$F$8:$F$3006,B1546,Transactions!$Q$8:$Q$3006)))</f>
        <v/>
      </c>
      <c r="H1546" s="47" t="str">
        <f>IF(B1546="","",IF(G1546&gt;0,"OUTSTANDING",IF(G1546=0,"SETTLED",IF(SUMIF(Transactions!$F$8:$F$3006,B1546,Transactions!$Q$8:$Q$3006)&gt;SUMIF(Transactions!$F$8:$F$3006,B1546,Transactions!$R$8:$R$3006),"OWES","OVERPAID"))))</f>
        <v/>
      </c>
      <c r="I1546" s="1"/>
    </row>
    <row r="1547" spans="1:9" ht="18" customHeight="1" x14ac:dyDescent="0.25">
      <c r="A1547" s="48">
        <v>1532</v>
      </c>
      <c r="B1547" s="49" t="str">
        <f t="array" ref="B1547">IFERROR(IF(INDEX(Transactions!$F$8:$F$3006,MATCH(0,COUNTIF($B$11:B1546,Transactions!$F$8:$F$3006),0))="","",INDEX(Transactions!$F$8:$F$3006,MATCH(0,COUNTIF($B$11:B1546,Transactions!$F$8:$F$3006),0))),"")</f>
        <v/>
      </c>
      <c r="C1547" s="50" t="str">
        <f>IF(B1547="","",SUMIF(Transactions!$F$8:$F$3006,B1547,Transactions!$H$8:$H$3006))</f>
        <v/>
      </c>
      <c r="D1547" s="51" t="str">
        <f>IF(B1547="","",SUMIF(Transactions!$F$8:$F$3006,B1547,Transactions!$N$8:$N$3006))</f>
        <v/>
      </c>
      <c r="E1547" s="52" t="str">
        <f>IF(B1547="","",SUMIF(Transactions!$F$8:$F$3006,B1547,Transactions!$O$8:$O$3006))</f>
        <v/>
      </c>
      <c r="F1547" s="53" t="str">
        <f>IF(B1547="","",SUMIF(Transactions!$F$8:$F$3006,B1547,Transactions!$R$8:$R$3006))</f>
        <v/>
      </c>
      <c r="G1547" s="54" t="str">
        <f>IF(B1547="","",(C1547+F1547)-(D1547+E1547+SUMIF(Transactions!$F$8:$F$3006,B1547,Transactions!$Q$8:$Q$3006)))</f>
        <v/>
      </c>
      <c r="H1547" s="55" t="str">
        <f>IF(B1547="","",IF(G1547&gt;0,"OUTSTANDING",IF(G1547=0,"SETTLED",IF(SUMIF(Transactions!$F$8:$F$3006,B1547,Transactions!$Q$8:$Q$3006)&gt;SUMIF(Transactions!$F$8:$F$3006,B1547,Transactions!$R$8:$R$3006),"OWES","OVERPAID"))))</f>
        <v/>
      </c>
      <c r="I1547" s="1"/>
    </row>
    <row r="1548" spans="1:9" ht="18" customHeight="1" x14ac:dyDescent="0.25">
      <c r="A1548" s="40">
        <v>1533</v>
      </c>
      <c r="B1548" s="41" t="str">
        <f t="array" ref="B1548">IFERROR(IF(INDEX(Transactions!$F$8:$F$3006,MATCH(0,COUNTIF($B$11:B1547,Transactions!$F$8:$F$3006),0))="","",INDEX(Transactions!$F$8:$F$3006,MATCH(0,COUNTIF($B$11:B1547,Transactions!$F$8:$F$3006),0))),"")</f>
        <v/>
      </c>
      <c r="C1548" s="42" t="str">
        <f>IF(B1548="","",SUMIF(Transactions!$F$8:$F$3006,B1548,Transactions!$H$8:$H$3006))</f>
        <v/>
      </c>
      <c r="D1548" s="43" t="str">
        <f>IF(B1548="","",SUMIF(Transactions!$F$8:$F$3006,B1548,Transactions!$N$8:$N$3006))</f>
        <v/>
      </c>
      <c r="E1548" s="44" t="str">
        <f>IF(B1548="","",SUMIF(Transactions!$F$8:$F$3006,B1548,Transactions!$O$8:$O$3006))</f>
        <v/>
      </c>
      <c r="F1548" s="45" t="str">
        <f>IF(B1548="","",SUMIF(Transactions!$F$8:$F$3006,B1548,Transactions!$R$8:$R$3006))</f>
        <v/>
      </c>
      <c r="G1548" s="46" t="str">
        <f>IF(B1548="","",(C1548+F1548)-(D1548+E1548+SUMIF(Transactions!$F$8:$F$3006,B1548,Transactions!$Q$8:$Q$3006)))</f>
        <v/>
      </c>
      <c r="H1548" s="47" t="str">
        <f>IF(B1548="","",IF(G1548&gt;0,"OUTSTANDING",IF(G1548=0,"SETTLED",IF(SUMIF(Transactions!$F$8:$F$3006,B1548,Transactions!$Q$8:$Q$3006)&gt;SUMIF(Transactions!$F$8:$F$3006,B1548,Transactions!$R$8:$R$3006),"OWES","OVERPAID"))))</f>
        <v/>
      </c>
      <c r="I1548" s="1"/>
    </row>
    <row r="1549" spans="1:9" ht="18" customHeight="1" x14ac:dyDescent="0.25">
      <c r="A1549" s="48">
        <v>1534</v>
      </c>
      <c r="B1549" s="49" t="str">
        <f t="array" ref="B1549">IFERROR(IF(INDEX(Transactions!$F$8:$F$3006,MATCH(0,COUNTIF($B$11:B1548,Transactions!$F$8:$F$3006),0))="","",INDEX(Transactions!$F$8:$F$3006,MATCH(0,COUNTIF($B$11:B1548,Transactions!$F$8:$F$3006),0))),"")</f>
        <v/>
      </c>
      <c r="C1549" s="50" t="str">
        <f>IF(B1549="","",SUMIF(Transactions!$F$8:$F$3006,B1549,Transactions!$H$8:$H$3006))</f>
        <v/>
      </c>
      <c r="D1549" s="51" t="str">
        <f>IF(B1549="","",SUMIF(Transactions!$F$8:$F$3006,B1549,Transactions!$N$8:$N$3006))</f>
        <v/>
      </c>
      <c r="E1549" s="52" t="str">
        <f>IF(B1549="","",SUMIF(Transactions!$F$8:$F$3006,B1549,Transactions!$O$8:$O$3006))</f>
        <v/>
      </c>
      <c r="F1549" s="53" t="str">
        <f>IF(B1549="","",SUMIF(Transactions!$F$8:$F$3006,B1549,Transactions!$R$8:$R$3006))</f>
        <v/>
      </c>
      <c r="G1549" s="54" t="str">
        <f>IF(B1549="","",(C1549+F1549)-(D1549+E1549+SUMIF(Transactions!$F$8:$F$3006,B1549,Transactions!$Q$8:$Q$3006)))</f>
        <v/>
      </c>
      <c r="H1549" s="55" t="str">
        <f>IF(B1549="","",IF(G1549&gt;0,"OUTSTANDING",IF(G1549=0,"SETTLED",IF(SUMIF(Transactions!$F$8:$F$3006,B1549,Transactions!$Q$8:$Q$3006)&gt;SUMIF(Transactions!$F$8:$F$3006,B1549,Transactions!$R$8:$R$3006),"OWES","OVERPAID"))))</f>
        <v/>
      </c>
      <c r="I1549" s="1"/>
    </row>
    <row r="1550" spans="1:9" ht="18" customHeight="1" x14ac:dyDescent="0.25">
      <c r="A1550" s="40">
        <v>1535</v>
      </c>
      <c r="B1550" s="41" t="str">
        <f t="array" ref="B1550">IFERROR(IF(INDEX(Transactions!$F$8:$F$3006,MATCH(0,COUNTIF($B$11:B1549,Transactions!$F$8:$F$3006),0))="","",INDEX(Transactions!$F$8:$F$3006,MATCH(0,COUNTIF($B$11:B1549,Transactions!$F$8:$F$3006),0))),"")</f>
        <v/>
      </c>
      <c r="C1550" s="42" t="str">
        <f>IF(B1550="","",SUMIF(Transactions!$F$8:$F$3006,B1550,Transactions!$H$8:$H$3006))</f>
        <v/>
      </c>
      <c r="D1550" s="43" t="str">
        <f>IF(B1550="","",SUMIF(Transactions!$F$8:$F$3006,B1550,Transactions!$N$8:$N$3006))</f>
        <v/>
      </c>
      <c r="E1550" s="44" t="str">
        <f>IF(B1550="","",SUMIF(Transactions!$F$8:$F$3006,B1550,Transactions!$O$8:$O$3006))</f>
        <v/>
      </c>
      <c r="F1550" s="45" t="str">
        <f>IF(B1550="","",SUMIF(Transactions!$F$8:$F$3006,B1550,Transactions!$R$8:$R$3006))</f>
        <v/>
      </c>
      <c r="G1550" s="46" t="str">
        <f>IF(B1550="","",(C1550+F1550)-(D1550+E1550+SUMIF(Transactions!$F$8:$F$3006,B1550,Transactions!$Q$8:$Q$3006)))</f>
        <v/>
      </c>
      <c r="H1550" s="47" t="str">
        <f>IF(B1550="","",IF(G1550&gt;0,"OUTSTANDING",IF(G1550=0,"SETTLED",IF(SUMIF(Transactions!$F$8:$F$3006,B1550,Transactions!$Q$8:$Q$3006)&gt;SUMIF(Transactions!$F$8:$F$3006,B1550,Transactions!$R$8:$R$3006),"OWES","OVERPAID"))))</f>
        <v/>
      </c>
      <c r="I1550" s="1"/>
    </row>
    <row r="1551" spans="1:9" ht="18" customHeight="1" x14ac:dyDescent="0.25">
      <c r="A1551" s="48">
        <v>1536</v>
      </c>
      <c r="B1551" s="49" t="str">
        <f t="array" ref="B1551">IFERROR(IF(INDEX(Transactions!$F$8:$F$3006,MATCH(0,COUNTIF($B$11:B1550,Transactions!$F$8:$F$3006),0))="","",INDEX(Transactions!$F$8:$F$3006,MATCH(0,COUNTIF($B$11:B1550,Transactions!$F$8:$F$3006),0))),"")</f>
        <v/>
      </c>
      <c r="C1551" s="50" t="str">
        <f>IF(B1551="","",SUMIF(Transactions!$F$8:$F$3006,B1551,Transactions!$H$8:$H$3006))</f>
        <v/>
      </c>
      <c r="D1551" s="51" t="str">
        <f>IF(B1551="","",SUMIF(Transactions!$F$8:$F$3006,B1551,Transactions!$N$8:$N$3006))</f>
        <v/>
      </c>
      <c r="E1551" s="52" t="str">
        <f>IF(B1551="","",SUMIF(Transactions!$F$8:$F$3006,B1551,Transactions!$O$8:$O$3006))</f>
        <v/>
      </c>
      <c r="F1551" s="53" t="str">
        <f>IF(B1551="","",SUMIF(Transactions!$F$8:$F$3006,B1551,Transactions!$R$8:$R$3006))</f>
        <v/>
      </c>
      <c r="G1551" s="54" t="str">
        <f>IF(B1551="","",(C1551+F1551)-(D1551+E1551+SUMIF(Transactions!$F$8:$F$3006,B1551,Transactions!$Q$8:$Q$3006)))</f>
        <v/>
      </c>
      <c r="H1551" s="55" t="str">
        <f>IF(B1551="","",IF(G1551&gt;0,"OUTSTANDING",IF(G1551=0,"SETTLED",IF(SUMIF(Transactions!$F$8:$F$3006,B1551,Transactions!$Q$8:$Q$3006)&gt;SUMIF(Transactions!$F$8:$F$3006,B1551,Transactions!$R$8:$R$3006),"OWES","OVERPAID"))))</f>
        <v/>
      </c>
      <c r="I1551" s="1"/>
    </row>
    <row r="1552" spans="1:9" ht="18" customHeight="1" x14ac:dyDescent="0.25">
      <c r="A1552" s="40">
        <v>1537</v>
      </c>
      <c r="B1552" s="41" t="str">
        <f t="array" ref="B1552">IFERROR(IF(INDEX(Transactions!$F$8:$F$3006,MATCH(0,COUNTIF($B$11:B1551,Transactions!$F$8:$F$3006),0))="","",INDEX(Transactions!$F$8:$F$3006,MATCH(0,COUNTIF($B$11:B1551,Transactions!$F$8:$F$3006),0))),"")</f>
        <v/>
      </c>
      <c r="C1552" s="42" t="str">
        <f>IF(B1552="","",SUMIF(Transactions!$F$8:$F$3006,B1552,Transactions!$H$8:$H$3006))</f>
        <v/>
      </c>
      <c r="D1552" s="43" t="str">
        <f>IF(B1552="","",SUMIF(Transactions!$F$8:$F$3006,B1552,Transactions!$N$8:$N$3006))</f>
        <v/>
      </c>
      <c r="E1552" s="44" t="str">
        <f>IF(B1552="","",SUMIF(Transactions!$F$8:$F$3006,B1552,Transactions!$O$8:$O$3006))</f>
        <v/>
      </c>
      <c r="F1552" s="45" t="str">
        <f>IF(B1552="","",SUMIF(Transactions!$F$8:$F$3006,B1552,Transactions!$R$8:$R$3006))</f>
        <v/>
      </c>
      <c r="G1552" s="46" t="str">
        <f>IF(B1552="","",(C1552+F1552)-(D1552+E1552+SUMIF(Transactions!$F$8:$F$3006,B1552,Transactions!$Q$8:$Q$3006)))</f>
        <v/>
      </c>
      <c r="H1552" s="47" t="str">
        <f>IF(B1552="","",IF(G1552&gt;0,"OUTSTANDING",IF(G1552=0,"SETTLED",IF(SUMIF(Transactions!$F$8:$F$3006,B1552,Transactions!$Q$8:$Q$3006)&gt;SUMIF(Transactions!$F$8:$F$3006,B1552,Transactions!$R$8:$R$3006),"OWES","OVERPAID"))))</f>
        <v/>
      </c>
      <c r="I1552" s="1"/>
    </row>
    <row r="1553" spans="1:9" ht="18" customHeight="1" x14ac:dyDescent="0.25">
      <c r="A1553" s="48">
        <v>1538</v>
      </c>
      <c r="B1553" s="49" t="str">
        <f t="array" ref="B1553">IFERROR(IF(INDEX(Transactions!$F$8:$F$3006,MATCH(0,COUNTIF($B$11:B1552,Transactions!$F$8:$F$3006),0))="","",INDEX(Transactions!$F$8:$F$3006,MATCH(0,COUNTIF($B$11:B1552,Transactions!$F$8:$F$3006),0))),"")</f>
        <v/>
      </c>
      <c r="C1553" s="50" t="str">
        <f>IF(B1553="","",SUMIF(Transactions!$F$8:$F$3006,B1553,Transactions!$H$8:$H$3006))</f>
        <v/>
      </c>
      <c r="D1553" s="51" t="str">
        <f>IF(B1553="","",SUMIF(Transactions!$F$8:$F$3006,B1553,Transactions!$N$8:$N$3006))</f>
        <v/>
      </c>
      <c r="E1553" s="52" t="str">
        <f>IF(B1553="","",SUMIF(Transactions!$F$8:$F$3006,B1553,Transactions!$O$8:$O$3006))</f>
        <v/>
      </c>
      <c r="F1553" s="53" t="str">
        <f>IF(B1553="","",SUMIF(Transactions!$F$8:$F$3006,B1553,Transactions!$R$8:$R$3006))</f>
        <v/>
      </c>
      <c r="G1553" s="54" t="str">
        <f>IF(B1553="","",(C1553+F1553)-(D1553+E1553+SUMIF(Transactions!$F$8:$F$3006,B1553,Transactions!$Q$8:$Q$3006)))</f>
        <v/>
      </c>
      <c r="H1553" s="55" t="str">
        <f>IF(B1553="","",IF(G1553&gt;0,"OUTSTANDING",IF(G1553=0,"SETTLED",IF(SUMIF(Transactions!$F$8:$F$3006,B1553,Transactions!$Q$8:$Q$3006)&gt;SUMIF(Transactions!$F$8:$F$3006,B1553,Transactions!$R$8:$R$3006),"OWES","OVERPAID"))))</f>
        <v/>
      </c>
      <c r="I1553" s="1"/>
    </row>
    <row r="1554" spans="1:9" ht="18" customHeight="1" x14ac:dyDescent="0.25">
      <c r="A1554" s="40">
        <v>1539</v>
      </c>
      <c r="B1554" s="41" t="str">
        <f t="array" ref="B1554">IFERROR(IF(INDEX(Transactions!$F$8:$F$3006,MATCH(0,COUNTIF($B$11:B1553,Transactions!$F$8:$F$3006),0))="","",INDEX(Transactions!$F$8:$F$3006,MATCH(0,COUNTIF($B$11:B1553,Transactions!$F$8:$F$3006),0))),"")</f>
        <v/>
      </c>
      <c r="C1554" s="42" t="str">
        <f>IF(B1554="","",SUMIF(Transactions!$F$8:$F$3006,B1554,Transactions!$H$8:$H$3006))</f>
        <v/>
      </c>
      <c r="D1554" s="43" t="str">
        <f>IF(B1554="","",SUMIF(Transactions!$F$8:$F$3006,B1554,Transactions!$N$8:$N$3006))</f>
        <v/>
      </c>
      <c r="E1554" s="44" t="str">
        <f>IF(B1554="","",SUMIF(Transactions!$F$8:$F$3006,B1554,Transactions!$O$8:$O$3006))</f>
        <v/>
      </c>
      <c r="F1554" s="45" t="str">
        <f>IF(B1554="","",SUMIF(Transactions!$F$8:$F$3006,B1554,Transactions!$R$8:$R$3006))</f>
        <v/>
      </c>
      <c r="G1554" s="46" t="str">
        <f>IF(B1554="","",(C1554+F1554)-(D1554+E1554+SUMIF(Transactions!$F$8:$F$3006,B1554,Transactions!$Q$8:$Q$3006)))</f>
        <v/>
      </c>
      <c r="H1554" s="47" t="str">
        <f>IF(B1554="","",IF(G1554&gt;0,"OUTSTANDING",IF(G1554=0,"SETTLED",IF(SUMIF(Transactions!$F$8:$F$3006,B1554,Transactions!$Q$8:$Q$3006)&gt;SUMIF(Transactions!$F$8:$F$3006,B1554,Transactions!$R$8:$R$3006),"OWES","OVERPAID"))))</f>
        <v/>
      </c>
      <c r="I1554" s="1"/>
    </row>
    <row r="1555" spans="1:9" ht="18" customHeight="1" x14ac:dyDescent="0.25">
      <c r="A1555" s="48">
        <v>1540</v>
      </c>
      <c r="B1555" s="49" t="str">
        <f t="array" ref="B1555">IFERROR(IF(INDEX(Transactions!$F$8:$F$3006,MATCH(0,COUNTIF($B$11:B1554,Transactions!$F$8:$F$3006),0))="","",INDEX(Transactions!$F$8:$F$3006,MATCH(0,COUNTIF($B$11:B1554,Transactions!$F$8:$F$3006),0))),"")</f>
        <v/>
      </c>
      <c r="C1555" s="50" t="str">
        <f>IF(B1555="","",SUMIF(Transactions!$F$8:$F$3006,B1555,Transactions!$H$8:$H$3006))</f>
        <v/>
      </c>
      <c r="D1555" s="51" t="str">
        <f>IF(B1555="","",SUMIF(Transactions!$F$8:$F$3006,B1555,Transactions!$N$8:$N$3006))</f>
        <v/>
      </c>
      <c r="E1555" s="52" t="str">
        <f>IF(B1555="","",SUMIF(Transactions!$F$8:$F$3006,B1555,Transactions!$O$8:$O$3006))</f>
        <v/>
      </c>
      <c r="F1555" s="53" t="str">
        <f>IF(B1555="","",SUMIF(Transactions!$F$8:$F$3006,B1555,Transactions!$R$8:$R$3006))</f>
        <v/>
      </c>
      <c r="G1555" s="54" t="str">
        <f>IF(B1555="","",(C1555+F1555)-(D1555+E1555+SUMIF(Transactions!$F$8:$F$3006,B1555,Transactions!$Q$8:$Q$3006)))</f>
        <v/>
      </c>
      <c r="H1555" s="55" t="str">
        <f>IF(B1555="","",IF(G1555&gt;0,"OUTSTANDING",IF(G1555=0,"SETTLED",IF(SUMIF(Transactions!$F$8:$F$3006,B1555,Transactions!$Q$8:$Q$3006)&gt;SUMIF(Transactions!$F$8:$F$3006,B1555,Transactions!$R$8:$R$3006),"OWES","OVERPAID"))))</f>
        <v/>
      </c>
      <c r="I1555" s="1"/>
    </row>
    <row r="1556" spans="1:9" ht="18" customHeight="1" x14ac:dyDescent="0.25">
      <c r="A1556" s="40">
        <v>1541</v>
      </c>
      <c r="B1556" s="41" t="str">
        <f t="array" ref="B1556">IFERROR(IF(INDEX(Transactions!$F$8:$F$3006,MATCH(0,COUNTIF($B$11:B1555,Transactions!$F$8:$F$3006),0))="","",INDEX(Transactions!$F$8:$F$3006,MATCH(0,COUNTIF($B$11:B1555,Transactions!$F$8:$F$3006),0))),"")</f>
        <v/>
      </c>
      <c r="C1556" s="42" t="str">
        <f>IF(B1556="","",SUMIF(Transactions!$F$8:$F$3006,B1556,Transactions!$H$8:$H$3006))</f>
        <v/>
      </c>
      <c r="D1556" s="43" t="str">
        <f>IF(B1556="","",SUMIF(Transactions!$F$8:$F$3006,B1556,Transactions!$N$8:$N$3006))</f>
        <v/>
      </c>
      <c r="E1556" s="44" t="str">
        <f>IF(B1556="","",SUMIF(Transactions!$F$8:$F$3006,B1556,Transactions!$O$8:$O$3006))</f>
        <v/>
      </c>
      <c r="F1556" s="45" t="str">
        <f>IF(B1556="","",SUMIF(Transactions!$F$8:$F$3006,B1556,Transactions!$R$8:$R$3006))</f>
        <v/>
      </c>
      <c r="G1556" s="46" t="str">
        <f>IF(B1556="","",(C1556+F1556)-(D1556+E1556+SUMIF(Transactions!$F$8:$F$3006,B1556,Transactions!$Q$8:$Q$3006)))</f>
        <v/>
      </c>
      <c r="H1556" s="47" t="str">
        <f>IF(B1556="","",IF(G1556&gt;0,"OUTSTANDING",IF(G1556=0,"SETTLED",IF(SUMIF(Transactions!$F$8:$F$3006,B1556,Transactions!$Q$8:$Q$3006)&gt;SUMIF(Transactions!$F$8:$F$3006,B1556,Transactions!$R$8:$R$3006),"OWES","OVERPAID"))))</f>
        <v/>
      </c>
      <c r="I1556" s="1"/>
    </row>
    <row r="1557" spans="1:9" ht="18" customHeight="1" x14ac:dyDescent="0.25">
      <c r="A1557" s="48">
        <v>1542</v>
      </c>
      <c r="B1557" s="49" t="str">
        <f t="array" ref="B1557">IFERROR(IF(INDEX(Transactions!$F$8:$F$3006,MATCH(0,COUNTIF($B$11:B1556,Transactions!$F$8:$F$3006),0))="","",INDEX(Transactions!$F$8:$F$3006,MATCH(0,COUNTIF($B$11:B1556,Transactions!$F$8:$F$3006),0))),"")</f>
        <v/>
      </c>
      <c r="C1557" s="50" t="str">
        <f>IF(B1557="","",SUMIF(Transactions!$F$8:$F$3006,B1557,Transactions!$H$8:$H$3006))</f>
        <v/>
      </c>
      <c r="D1557" s="51" t="str">
        <f>IF(B1557="","",SUMIF(Transactions!$F$8:$F$3006,B1557,Transactions!$N$8:$N$3006))</f>
        <v/>
      </c>
      <c r="E1557" s="52" t="str">
        <f>IF(B1557="","",SUMIF(Transactions!$F$8:$F$3006,B1557,Transactions!$O$8:$O$3006))</f>
        <v/>
      </c>
      <c r="F1557" s="53" t="str">
        <f>IF(B1557="","",SUMIF(Transactions!$F$8:$F$3006,B1557,Transactions!$R$8:$R$3006))</f>
        <v/>
      </c>
      <c r="G1557" s="54" t="str">
        <f>IF(B1557="","",(C1557+F1557)-(D1557+E1557+SUMIF(Transactions!$F$8:$F$3006,B1557,Transactions!$Q$8:$Q$3006)))</f>
        <v/>
      </c>
      <c r="H1557" s="55" t="str">
        <f>IF(B1557="","",IF(G1557&gt;0,"OUTSTANDING",IF(G1557=0,"SETTLED",IF(SUMIF(Transactions!$F$8:$F$3006,B1557,Transactions!$Q$8:$Q$3006)&gt;SUMIF(Transactions!$F$8:$F$3006,B1557,Transactions!$R$8:$R$3006),"OWES","OVERPAID"))))</f>
        <v/>
      </c>
      <c r="I1557" s="1"/>
    </row>
    <row r="1558" spans="1:9" ht="18" customHeight="1" x14ac:dyDescent="0.25">
      <c r="A1558" s="40">
        <v>1543</v>
      </c>
      <c r="B1558" s="41" t="str">
        <f t="array" ref="B1558">IFERROR(IF(INDEX(Transactions!$F$8:$F$3006,MATCH(0,COUNTIF($B$11:B1557,Transactions!$F$8:$F$3006),0))="","",INDEX(Transactions!$F$8:$F$3006,MATCH(0,COUNTIF($B$11:B1557,Transactions!$F$8:$F$3006),0))),"")</f>
        <v/>
      </c>
      <c r="C1558" s="42" t="str">
        <f>IF(B1558="","",SUMIF(Transactions!$F$8:$F$3006,B1558,Transactions!$H$8:$H$3006))</f>
        <v/>
      </c>
      <c r="D1558" s="43" t="str">
        <f>IF(B1558="","",SUMIF(Transactions!$F$8:$F$3006,B1558,Transactions!$N$8:$N$3006))</f>
        <v/>
      </c>
      <c r="E1558" s="44" t="str">
        <f>IF(B1558="","",SUMIF(Transactions!$F$8:$F$3006,B1558,Transactions!$O$8:$O$3006))</f>
        <v/>
      </c>
      <c r="F1558" s="45" t="str">
        <f>IF(B1558="","",SUMIF(Transactions!$F$8:$F$3006,B1558,Transactions!$R$8:$R$3006))</f>
        <v/>
      </c>
      <c r="G1558" s="46" t="str">
        <f>IF(B1558="","",(C1558+F1558)-(D1558+E1558+SUMIF(Transactions!$F$8:$F$3006,B1558,Transactions!$Q$8:$Q$3006)))</f>
        <v/>
      </c>
      <c r="H1558" s="47" t="str">
        <f>IF(B1558="","",IF(G1558&gt;0,"OUTSTANDING",IF(G1558=0,"SETTLED",IF(SUMIF(Transactions!$F$8:$F$3006,B1558,Transactions!$Q$8:$Q$3006)&gt;SUMIF(Transactions!$F$8:$F$3006,B1558,Transactions!$R$8:$R$3006),"OWES","OVERPAID"))))</f>
        <v/>
      </c>
      <c r="I1558" s="1"/>
    </row>
    <row r="1559" spans="1:9" ht="18" customHeight="1" x14ac:dyDescent="0.25">
      <c r="A1559" s="48">
        <v>1544</v>
      </c>
      <c r="B1559" s="49" t="str">
        <f t="array" ref="B1559">IFERROR(IF(INDEX(Transactions!$F$8:$F$3006,MATCH(0,COUNTIF($B$11:B1558,Transactions!$F$8:$F$3006),0))="","",INDEX(Transactions!$F$8:$F$3006,MATCH(0,COUNTIF($B$11:B1558,Transactions!$F$8:$F$3006),0))),"")</f>
        <v/>
      </c>
      <c r="C1559" s="50" t="str">
        <f>IF(B1559="","",SUMIF(Transactions!$F$8:$F$3006,B1559,Transactions!$H$8:$H$3006))</f>
        <v/>
      </c>
      <c r="D1559" s="51" t="str">
        <f>IF(B1559="","",SUMIF(Transactions!$F$8:$F$3006,B1559,Transactions!$N$8:$N$3006))</f>
        <v/>
      </c>
      <c r="E1559" s="52" t="str">
        <f>IF(B1559="","",SUMIF(Transactions!$F$8:$F$3006,B1559,Transactions!$O$8:$O$3006))</f>
        <v/>
      </c>
      <c r="F1559" s="53" t="str">
        <f>IF(B1559="","",SUMIF(Transactions!$F$8:$F$3006,B1559,Transactions!$R$8:$R$3006))</f>
        <v/>
      </c>
      <c r="G1559" s="54" t="str">
        <f>IF(B1559="","",(C1559+F1559)-(D1559+E1559+SUMIF(Transactions!$F$8:$F$3006,B1559,Transactions!$Q$8:$Q$3006)))</f>
        <v/>
      </c>
      <c r="H1559" s="55" t="str">
        <f>IF(B1559="","",IF(G1559&gt;0,"OUTSTANDING",IF(G1559=0,"SETTLED",IF(SUMIF(Transactions!$F$8:$F$3006,B1559,Transactions!$Q$8:$Q$3006)&gt;SUMIF(Transactions!$F$8:$F$3006,B1559,Transactions!$R$8:$R$3006),"OWES","OVERPAID"))))</f>
        <v/>
      </c>
      <c r="I1559" s="1"/>
    </row>
    <row r="1560" spans="1:9" ht="18" customHeight="1" x14ac:dyDescent="0.25">
      <c r="A1560" s="40">
        <v>1545</v>
      </c>
      <c r="B1560" s="41" t="str">
        <f t="array" ref="B1560">IFERROR(IF(INDEX(Transactions!$F$8:$F$3006,MATCH(0,COUNTIF($B$11:B1559,Transactions!$F$8:$F$3006),0))="","",INDEX(Transactions!$F$8:$F$3006,MATCH(0,COUNTIF($B$11:B1559,Transactions!$F$8:$F$3006),0))),"")</f>
        <v/>
      </c>
      <c r="C1560" s="42" t="str">
        <f>IF(B1560="","",SUMIF(Transactions!$F$8:$F$3006,B1560,Transactions!$H$8:$H$3006))</f>
        <v/>
      </c>
      <c r="D1560" s="43" t="str">
        <f>IF(B1560="","",SUMIF(Transactions!$F$8:$F$3006,B1560,Transactions!$N$8:$N$3006))</f>
        <v/>
      </c>
      <c r="E1560" s="44" t="str">
        <f>IF(B1560="","",SUMIF(Transactions!$F$8:$F$3006,B1560,Transactions!$O$8:$O$3006))</f>
        <v/>
      </c>
      <c r="F1560" s="45" t="str">
        <f>IF(B1560="","",SUMIF(Transactions!$F$8:$F$3006,B1560,Transactions!$R$8:$R$3006))</f>
        <v/>
      </c>
      <c r="G1560" s="46" t="str">
        <f>IF(B1560="","",(C1560+F1560)-(D1560+E1560+SUMIF(Transactions!$F$8:$F$3006,B1560,Transactions!$Q$8:$Q$3006)))</f>
        <v/>
      </c>
      <c r="H1560" s="47" t="str">
        <f>IF(B1560="","",IF(G1560&gt;0,"OUTSTANDING",IF(G1560=0,"SETTLED",IF(SUMIF(Transactions!$F$8:$F$3006,B1560,Transactions!$Q$8:$Q$3006)&gt;SUMIF(Transactions!$F$8:$F$3006,B1560,Transactions!$R$8:$R$3006),"OWES","OVERPAID"))))</f>
        <v/>
      </c>
      <c r="I1560" s="1"/>
    </row>
    <row r="1561" spans="1:9" ht="18" customHeight="1" x14ac:dyDescent="0.25">
      <c r="A1561" s="48">
        <v>1546</v>
      </c>
      <c r="B1561" s="49" t="str">
        <f t="array" ref="B1561">IFERROR(IF(INDEX(Transactions!$F$8:$F$3006,MATCH(0,COUNTIF($B$11:B1560,Transactions!$F$8:$F$3006),0))="","",INDEX(Transactions!$F$8:$F$3006,MATCH(0,COUNTIF($B$11:B1560,Transactions!$F$8:$F$3006),0))),"")</f>
        <v/>
      </c>
      <c r="C1561" s="50" t="str">
        <f>IF(B1561="","",SUMIF(Transactions!$F$8:$F$3006,B1561,Transactions!$H$8:$H$3006))</f>
        <v/>
      </c>
      <c r="D1561" s="51" t="str">
        <f>IF(B1561="","",SUMIF(Transactions!$F$8:$F$3006,B1561,Transactions!$N$8:$N$3006))</f>
        <v/>
      </c>
      <c r="E1561" s="52" t="str">
        <f>IF(B1561="","",SUMIF(Transactions!$F$8:$F$3006,B1561,Transactions!$O$8:$O$3006))</f>
        <v/>
      </c>
      <c r="F1561" s="53" t="str">
        <f>IF(B1561="","",SUMIF(Transactions!$F$8:$F$3006,B1561,Transactions!$R$8:$R$3006))</f>
        <v/>
      </c>
      <c r="G1561" s="54" t="str">
        <f>IF(B1561="","",(C1561+F1561)-(D1561+E1561+SUMIF(Transactions!$F$8:$F$3006,B1561,Transactions!$Q$8:$Q$3006)))</f>
        <v/>
      </c>
      <c r="H1561" s="55" t="str">
        <f>IF(B1561="","",IF(G1561&gt;0,"OUTSTANDING",IF(G1561=0,"SETTLED",IF(SUMIF(Transactions!$F$8:$F$3006,B1561,Transactions!$Q$8:$Q$3006)&gt;SUMIF(Transactions!$F$8:$F$3006,B1561,Transactions!$R$8:$R$3006),"OWES","OVERPAID"))))</f>
        <v/>
      </c>
      <c r="I1561" s="1"/>
    </row>
    <row r="1562" spans="1:9" ht="18" customHeight="1" x14ac:dyDescent="0.25">
      <c r="A1562" s="40">
        <v>1547</v>
      </c>
      <c r="B1562" s="41" t="str">
        <f t="array" ref="B1562">IFERROR(IF(INDEX(Transactions!$F$8:$F$3006,MATCH(0,COUNTIF($B$11:B1561,Transactions!$F$8:$F$3006),0))="","",INDEX(Transactions!$F$8:$F$3006,MATCH(0,COUNTIF($B$11:B1561,Transactions!$F$8:$F$3006),0))),"")</f>
        <v/>
      </c>
      <c r="C1562" s="42" t="str">
        <f>IF(B1562="","",SUMIF(Transactions!$F$8:$F$3006,B1562,Transactions!$H$8:$H$3006))</f>
        <v/>
      </c>
      <c r="D1562" s="43" t="str">
        <f>IF(B1562="","",SUMIF(Transactions!$F$8:$F$3006,B1562,Transactions!$N$8:$N$3006))</f>
        <v/>
      </c>
      <c r="E1562" s="44" t="str">
        <f>IF(B1562="","",SUMIF(Transactions!$F$8:$F$3006,B1562,Transactions!$O$8:$O$3006))</f>
        <v/>
      </c>
      <c r="F1562" s="45" t="str">
        <f>IF(B1562="","",SUMIF(Transactions!$F$8:$F$3006,B1562,Transactions!$R$8:$R$3006))</f>
        <v/>
      </c>
      <c r="G1562" s="46" t="str">
        <f>IF(B1562="","",(C1562+F1562)-(D1562+E1562+SUMIF(Transactions!$F$8:$F$3006,B1562,Transactions!$Q$8:$Q$3006)))</f>
        <v/>
      </c>
      <c r="H1562" s="47" t="str">
        <f>IF(B1562="","",IF(G1562&gt;0,"OUTSTANDING",IF(G1562=0,"SETTLED",IF(SUMIF(Transactions!$F$8:$F$3006,B1562,Transactions!$Q$8:$Q$3006)&gt;SUMIF(Transactions!$F$8:$F$3006,B1562,Transactions!$R$8:$R$3006),"OWES","OVERPAID"))))</f>
        <v/>
      </c>
      <c r="I1562" s="1"/>
    </row>
    <row r="1563" spans="1:9" ht="18" customHeight="1" x14ac:dyDescent="0.25">
      <c r="A1563" s="48">
        <v>1548</v>
      </c>
      <c r="B1563" s="49" t="str">
        <f t="array" ref="B1563">IFERROR(IF(INDEX(Transactions!$F$8:$F$3006,MATCH(0,COUNTIF($B$11:B1562,Transactions!$F$8:$F$3006),0))="","",INDEX(Transactions!$F$8:$F$3006,MATCH(0,COUNTIF($B$11:B1562,Transactions!$F$8:$F$3006),0))),"")</f>
        <v/>
      </c>
      <c r="C1563" s="50" t="str">
        <f>IF(B1563="","",SUMIF(Transactions!$F$8:$F$3006,B1563,Transactions!$H$8:$H$3006))</f>
        <v/>
      </c>
      <c r="D1563" s="51" t="str">
        <f>IF(B1563="","",SUMIF(Transactions!$F$8:$F$3006,B1563,Transactions!$N$8:$N$3006))</f>
        <v/>
      </c>
      <c r="E1563" s="52" t="str">
        <f>IF(B1563="","",SUMIF(Transactions!$F$8:$F$3006,B1563,Transactions!$O$8:$O$3006))</f>
        <v/>
      </c>
      <c r="F1563" s="53" t="str">
        <f>IF(B1563="","",SUMIF(Transactions!$F$8:$F$3006,B1563,Transactions!$R$8:$R$3006))</f>
        <v/>
      </c>
      <c r="G1563" s="54" t="str">
        <f>IF(B1563="","",(C1563+F1563)-(D1563+E1563+SUMIF(Transactions!$F$8:$F$3006,B1563,Transactions!$Q$8:$Q$3006)))</f>
        <v/>
      </c>
      <c r="H1563" s="55" t="str">
        <f>IF(B1563="","",IF(G1563&gt;0,"OUTSTANDING",IF(G1563=0,"SETTLED",IF(SUMIF(Transactions!$F$8:$F$3006,B1563,Transactions!$Q$8:$Q$3006)&gt;SUMIF(Transactions!$F$8:$F$3006,B1563,Transactions!$R$8:$R$3006),"OWES","OVERPAID"))))</f>
        <v/>
      </c>
      <c r="I1563" s="1"/>
    </row>
    <row r="1564" spans="1:9" ht="18" customHeight="1" x14ac:dyDescent="0.25">
      <c r="A1564" s="40">
        <v>1549</v>
      </c>
      <c r="B1564" s="41" t="str">
        <f t="array" ref="B1564">IFERROR(IF(INDEX(Transactions!$F$8:$F$3006,MATCH(0,COUNTIF($B$11:B1563,Transactions!$F$8:$F$3006),0))="","",INDEX(Transactions!$F$8:$F$3006,MATCH(0,COUNTIF($B$11:B1563,Transactions!$F$8:$F$3006),0))),"")</f>
        <v/>
      </c>
      <c r="C1564" s="42" t="str">
        <f>IF(B1564="","",SUMIF(Transactions!$F$8:$F$3006,B1564,Transactions!$H$8:$H$3006))</f>
        <v/>
      </c>
      <c r="D1564" s="43" t="str">
        <f>IF(B1564="","",SUMIF(Transactions!$F$8:$F$3006,B1564,Transactions!$N$8:$N$3006))</f>
        <v/>
      </c>
      <c r="E1564" s="44" t="str">
        <f>IF(B1564="","",SUMIF(Transactions!$F$8:$F$3006,B1564,Transactions!$O$8:$O$3006))</f>
        <v/>
      </c>
      <c r="F1564" s="45" t="str">
        <f>IF(B1564="","",SUMIF(Transactions!$F$8:$F$3006,B1564,Transactions!$R$8:$R$3006))</f>
        <v/>
      </c>
      <c r="G1564" s="46" t="str">
        <f>IF(B1564="","",(C1564+F1564)-(D1564+E1564+SUMIF(Transactions!$F$8:$F$3006,B1564,Transactions!$Q$8:$Q$3006)))</f>
        <v/>
      </c>
      <c r="H1564" s="47" t="str">
        <f>IF(B1564="","",IF(G1564&gt;0,"OUTSTANDING",IF(G1564=0,"SETTLED",IF(SUMIF(Transactions!$F$8:$F$3006,B1564,Transactions!$Q$8:$Q$3006)&gt;SUMIF(Transactions!$F$8:$F$3006,B1564,Transactions!$R$8:$R$3006),"OWES","OVERPAID"))))</f>
        <v/>
      </c>
      <c r="I1564" s="1"/>
    </row>
    <row r="1565" spans="1:9" ht="18" customHeight="1" x14ac:dyDescent="0.25">
      <c r="A1565" s="48">
        <v>1550</v>
      </c>
      <c r="B1565" s="49" t="str">
        <f t="array" ref="B1565">IFERROR(IF(INDEX(Transactions!$F$8:$F$3006,MATCH(0,COUNTIF($B$11:B1564,Transactions!$F$8:$F$3006),0))="","",INDEX(Transactions!$F$8:$F$3006,MATCH(0,COUNTIF($B$11:B1564,Transactions!$F$8:$F$3006),0))),"")</f>
        <v/>
      </c>
      <c r="C1565" s="50" t="str">
        <f>IF(B1565="","",SUMIF(Transactions!$F$8:$F$3006,B1565,Transactions!$H$8:$H$3006))</f>
        <v/>
      </c>
      <c r="D1565" s="51" t="str">
        <f>IF(B1565="","",SUMIF(Transactions!$F$8:$F$3006,B1565,Transactions!$N$8:$N$3006))</f>
        <v/>
      </c>
      <c r="E1565" s="52" t="str">
        <f>IF(B1565="","",SUMIF(Transactions!$F$8:$F$3006,B1565,Transactions!$O$8:$O$3006))</f>
        <v/>
      </c>
      <c r="F1565" s="53" t="str">
        <f>IF(B1565="","",SUMIF(Transactions!$F$8:$F$3006,B1565,Transactions!$R$8:$R$3006))</f>
        <v/>
      </c>
      <c r="G1565" s="54" t="str">
        <f>IF(B1565="","",(C1565+F1565)-(D1565+E1565+SUMIF(Transactions!$F$8:$F$3006,B1565,Transactions!$Q$8:$Q$3006)))</f>
        <v/>
      </c>
      <c r="H1565" s="55" t="str">
        <f>IF(B1565="","",IF(G1565&gt;0,"OUTSTANDING",IF(G1565=0,"SETTLED",IF(SUMIF(Transactions!$F$8:$F$3006,B1565,Transactions!$Q$8:$Q$3006)&gt;SUMIF(Transactions!$F$8:$F$3006,B1565,Transactions!$R$8:$R$3006),"OWES","OVERPAID"))))</f>
        <v/>
      </c>
      <c r="I1565" s="1"/>
    </row>
    <row r="1566" spans="1:9" ht="18" customHeight="1" x14ac:dyDescent="0.25">
      <c r="A1566" s="40">
        <v>1551</v>
      </c>
      <c r="B1566" s="41" t="str">
        <f t="array" ref="B1566">IFERROR(IF(INDEX(Transactions!$F$8:$F$3006,MATCH(0,COUNTIF($B$11:B1565,Transactions!$F$8:$F$3006),0))="","",INDEX(Transactions!$F$8:$F$3006,MATCH(0,COUNTIF($B$11:B1565,Transactions!$F$8:$F$3006),0))),"")</f>
        <v/>
      </c>
      <c r="C1566" s="42" t="str">
        <f>IF(B1566="","",SUMIF(Transactions!$F$8:$F$3006,B1566,Transactions!$H$8:$H$3006))</f>
        <v/>
      </c>
      <c r="D1566" s="43" t="str">
        <f>IF(B1566="","",SUMIF(Transactions!$F$8:$F$3006,B1566,Transactions!$N$8:$N$3006))</f>
        <v/>
      </c>
      <c r="E1566" s="44" t="str">
        <f>IF(B1566="","",SUMIF(Transactions!$F$8:$F$3006,B1566,Transactions!$O$8:$O$3006))</f>
        <v/>
      </c>
      <c r="F1566" s="45" t="str">
        <f>IF(B1566="","",SUMIF(Transactions!$F$8:$F$3006,B1566,Transactions!$R$8:$R$3006))</f>
        <v/>
      </c>
      <c r="G1566" s="46" t="str">
        <f>IF(B1566="","",(C1566+F1566)-(D1566+E1566+SUMIF(Transactions!$F$8:$F$3006,B1566,Transactions!$Q$8:$Q$3006)))</f>
        <v/>
      </c>
      <c r="H1566" s="47" t="str">
        <f>IF(B1566="","",IF(G1566&gt;0,"OUTSTANDING",IF(G1566=0,"SETTLED",IF(SUMIF(Transactions!$F$8:$F$3006,B1566,Transactions!$Q$8:$Q$3006)&gt;SUMIF(Transactions!$F$8:$F$3006,B1566,Transactions!$R$8:$R$3006),"OWES","OVERPAID"))))</f>
        <v/>
      </c>
      <c r="I1566" s="1"/>
    </row>
    <row r="1567" spans="1:9" ht="18" customHeight="1" x14ac:dyDescent="0.25">
      <c r="A1567" s="48">
        <v>1552</v>
      </c>
      <c r="B1567" s="49" t="str">
        <f t="array" ref="B1567">IFERROR(IF(INDEX(Transactions!$F$8:$F$3006,MATCH(0,COUNTIF($B$11:B1566,Transactions!$F$8:$F$3006),0))="","",INDEX(Transactions!$F$8:$F$3006,MATCH(0,COUNTIF($B$11:B1566,Transactions!$F$8:$F$3006),0))),"")</f>
        <v/>
      </c>
      <c r="C1567" s="50" t="str">
        <f>IF(B1567="","",SUMIF(Transactions!$F$8:$F$3006,B1567,Transactions!$H$8:$H$3006))</f>
        <v/>
      </c>
      <c r="D1567" s="51" t="str">
        <f>IF(B1567="","",SUMIF(Transactions!$F$8:$F$3006,B1567,Transactions!$N$8:$N$3006))</f>
        <v/>
      </c>
      <c r="E1567" s="52" t="str">
        <f>IF(B1567="","",SUMIF(Transactions!$F$8:$F$3006,B1567,Transactions!$O$8:$O$3006))</f>
        <v/>
      </c>
      <c r="F1567" s="53" t="str">
        <f>IF(B1567="","",SUMIF(Transactions!$F$8:$F$3006,B1567,Transactions!$R$8:$R$3006))</f>
        <v/>
      </c>
      <c r="G1567" s="54" t="str">
        <f>IF(B1567="","",(C1567+F1567)-(D1567+E1567+SUMIF(Transactions!$F$8:$F$3006,B1567,Transactions!$Q$8:$Q$3006)))</f>
        <v/>
      </c>
      <c r="H1567" s="55" t="str">
        <f>IF(B1567="","",IF(G1567&gt;0,"OUTSTANDING",IF(G1567=0,"SETTLED",IF(SUMIF(Transactions!$F$8:$F$3006,B1567,Transactions!$Q$8:$Q$3006)&gt;SUMIF(Transactions!$F$8:$F$3006,B1567,Transactions!$R$8:$R$3006),"OWES","OVERPAID"))))</f>
        <v/>
      </c>
      <c r="I1567" s="1"/>
    </row>
    <row r="1568" spans="1:9" ht="18" customHeight="1" x14ac:dyDescent="0.25">
      <c r="A1568" s="40">
        <v>1553</v>
      </c>
      <c r="B1568" s="41" t="str">
        <f t="array" ref="B1568">IFERROR(IF(INDEX(Transactions!$F$8:$F$3006,MATCH(0,COUNTIF($B$11:B1567,Transactions!$F$8:$F$3006),0))="","",INDEX(Transactions!$F$8:$F$3006,MATCH(0,COUNTIF($B$11:B1567,Transactions!$F$8:$F$3006),0))),"")</f>
        <v/>
      </c>
      <c r="C1568" s="42" t="str">
        <f>IF(B1568="","",SUMIF(Transactions!$F$8:$F$3006,B1568,Transactions!$H$8:$H$3006))</f>
        <v/>
      </c>
      <c r="D1568" s="43" t="str">
        <f>IF(B1568="","",SUMIF(Transactions!$F$8:$F$3006,B1568,Transactions!$N$8:$N$3006))</f>
        <v/>
      </c>
      <c r="E1568" s="44" t="str">
        <f>IF(B1568="","",SUMIF(Transactions!$F$8:$F$3006,B1568,Transactions!$O$8:$O$3006))</f>
        <v/>
      </c>
      <c r="F1568" s="45" t="str">
        <f>IF(B1568="","",SUMIF(Transactions!$F$8:$F$3006,B1568,Transactions!$R$8:$R$3006))</f>
        <v/>
      </c>
      <c r="G1568" s="46" t="str">
        <f>IF(B1568="","",(C1568+F1568)-(D1568+E1568+SUMIF(Transactions!$F$8:$F$3006,B1568,Transactions!$Q$8:$Q$3006)))</f>
        <v/>
      </c>
      <c r="H1568" s="47" t="str">
        <f>IF(B1568="","",IF(G1568&gt;0,"OUTSTANDING",IF(G1568=0,"SETTLED",IF(SUMIF(Transactions!$F$8:$F$3006,B1568,Transactions!$Q$8:$Q$3006)&gt;SUMIF(Transactions!$F$8:$F$3006,B1568,Transactions!$R$8:$R$3006),"OWES","OVERPAID"))))</f>
        <v/>
      </c>
      <c r="I1568" s="1"/>
    </row>
    <row r="1569" spans="1:9" ht="18" customHeight="1" x14ac:dyDescent="0.25">
      <c r="A1569" s="48">
        <v>1554</v>
      </c>
      <c r="B1569" s="49" t="str">
        <f t="array" ref="B1569">IFERROR(IF(INDEX(Transactions!$F$8:$F$3006,MATCH(0,COUNTIF($B$11:B1568,Transactions!$F$8:$F$3006),0))="","",INDEX(Transactions!$F$8:$F$3006,MATCH(0,COUNTIF($B$11:B1568,Transactions!$F$8:$F$3006),0))),"")</f>
        <v/>
      </c>
      <c r="C1569" s="50" t="str">
        <f>IF(B1569="","",SUMIF(Transactions!$F$8:$F$3006,B1569,Transactions!$H$8:$H$3006))</f>
        <v/>
      </c>
      <c r="D1569" s="51" t="str">
        <f>IF(B1569="","",SUMIF(Transactions!$F$8:$F$3006,B1569,Transactions!$N$8:$N$3006))</f>
        <v/>
      </c>
      <c r="E1569" s="52" t="str">
        <f>IF(B1569="","",SUMIF(Transactions!$F$8:$F$3006,B1569,Transactions!$O$8:$O$3006))</f>
        <v/>
      </c>
      <c r="F1569" s="53" t="str">
        <f>IF(B1569="","",SUMIF(Transactions!$F$8:$F$3006,B1569,Transactions!$R$8:$R$3006))</f>
        <v/>
      </c>
      <c r="G1569" s="54" t="str">
        <f>IF(B1569="","",(C1569+F1569)-(D1569+E1569+SUMIF(Transactions!$F$8:$F$3006,B1569,Transactions!$Q$8:$Q$3006)))</f>
        <v/>
      </c>
      <c r="H1569" s="55" t="str">
        <f>IF(B1569="","",IF(G1569&gt;0,"OUTSTANDING",IF(G1569=0,"SETTLED",IF(SUMIF(Transactions!$F$8:$F$3006,B1569,Transactions!$Q$8:$Q$3006)&gt;SUMIF(Transactions!$F$8:$F$3006,B1569,Transactions!$R$8:$R$3006),"OWES","OVERPAID"))))</f>
        <v/>
      </c>
      <c r="I1569" s="1"/>
    </row>
    <row r="1570" spans="1:9" ht="18" customHeight="1" x14ac:dyDescent="0.25">
      <c r="A1570" s="40">
        <v>1555</v>
      </c>
      <c r="B1570" s="41" t="str">
        <f t="array" ref="B1570">IFERROR(IF(INDEX(Transactions!$F$8:$F$3006,MATCH(0,COUNTIF($B$11:B1569,Transactions!$F$8:$F$3006),0))="","",INDEX(Transactions!$F$8:$F$3006,MATCH(0,COUNTIF($B$11:B1569,Transactions!$F$8:$F$3006),0))),"")</f>
        <v/>
      </c>
      <c r="C1570" s="42" t="str">
        <f>IF(B1570="","",SUMIF(Transactions!$F$8:$F$3006,B1570,Transactions!$H$8:$H$3006))</f>
        <v/>
      </c>
      <c r="D1570" s="43" t="str">
        <f>IF(B1570="","",SUMIF(Transactions!$F$8:$F$3006,B1570,Transactions!$N$8:$N$3006))</f>
        <v/>
      </c>
      <c r="E1570" s="44" t="str">
        <f>IF(B1570="","",SUMIF(Transactions!$F$8:$F$3006,B1570,Transactions!$O$8:$O$3006))</f>
        <v/>
      </c>
      <c r="F1570" s="45" t="str">
        <f>IF(B1570="","",SUMIF(Transactions!$F$8:$F$3006,B1570,Transactions!$R$8:$R$3006))</f>
        <v/>
      </c>
      <c r="G1570" s="46" t="str">
        <f>IF(B1570="","",(C1570+F1570)-(D1570+E1570+SUMIF(Transactions!$F$8:$F$3006,B1570,Transactions!$Q$8:$Q$3006)))</f>
        <v/>
      </c>
      <c r="H1570" s="47" t="str">
        <f>IF(B1570="","",IF(G1570&gt;0,"OUTSTANDING",IF(G1570=0,"SETTLED",IF(SUMIF(Transactions!$F$8:$F$3006,B1570,Transactions!$Q$8:$Q$3006)&gt;SUMIF(Transactions!$F$8:$F$3006,B1570,Transactions!$R$8:$R$3006),"OWES","OVERPAID"))))</f>
        <v/>
      </c>
      <c r="I1570" s="1"/>
    </row>
    <row r="1571" spans="1:9" ht="18" customHeight="1" x14ac:dyDescent="0.25">
      <c r="A1571" s="48">
        <v>1556</v>
      </c>
      <c r="B1571" s="49" t="str">
        <f t="array" ref="B1571">IFERROR(IF(INDEX(Transactions!$F$8:$F$3006,MATCH(0,COUNTIF($B$11:B1570,Transactions!$F$8:$F$3006),0))="","",INDEX(Transactions!$F$8:$F$3006,MATCH(0,COUNTIF($B$11:B1570,Transactions!$F$8:$F$3006),0))),"")</f>
        <v/>
      </c>
      <c r="C1571" s="50" t="str">
        <f>IF(B1571="","",SUMIF(Transactions!$F$8:$F$3006,B1571,Transactions!$H$8:$H$3006))</f>
        <v/>
      </c>
      <c r="D1571" s="51" t="str">
        <f>IF(B1571="","",SUMIF(Transactions!$F$8:$F$3006,B1571,Transactions!$N$8:$N$3006))</f>
        <v/>
      </c>
      <c r="E1571" s="52" t="str">
        <f>IF(B1571="","",SUMIF(Transactions!$F$8:$F$3006,B1571,Transactions!$O$8:$O$3006))</f>
        <v/>
      </c>
      <c r="F1571" s="53" t="str">
        <f>IF(B1571="","",SUMIF(Transactions!$F$8:$F$3006,B1571,Transactions!$R$8:$R$3006))</f>
        <v/>
      </c>
      <c r="G1571" s="54" t="str">
        <f>IF(B1571="","",(C1571+F1571)-(D1571+E1571+SUMIF(Transactions!$F$8:$F$3006,B1571,Transactions!$Q$8:$Q$3006)))</f>
        <v/>
      </c>
      <c r="H1571" s="55" t="str">
        <f>IF(B1571="","",IF(G1571&gt;0,"OUTSTANDING",IF(G1571=0,"SETTLED",IF(SUMIF(Transactions!$F$8:$F$3006,B1571,Transactions!$Q$8:$Q$3006)&gt;SUMIF(Transactions!$F$8:$F$3006,B1571,Transactions!$R$8:$R$3006),"OWES","OVERPAID"))))</f>
        <v/>
      </c>
      <c r="I1571" s="1"/>
    </row>
    <row r="1572" spans="1:9" ht="18" customHeight="1" x14ac:dyDescent="0.25">
      <c r="A1572" s="40">
        <v>1557</v>
      </c>
      <c r="B1572" s="41" t="str">
        <f t="array" ref="B1572">IFERROR(IF(INDEX(Transactions!$F$8:$F$3006,MATCH(0,COUNTIF($B$11:B1571,Transactions!$F$8:$F$3006),0))="","",INDEX(Transactions!$F$8:$F$3006,MATCH(0,COUNTIF($B$11:B1571,Transactions!$F$8:$F$3006),0))),"")</f>
        <v/>
      </c>
      <c r="C1572" s="42" t="str">
        <f>IF(B1572="","",SUMIF(Transactions!$F$8:$F$3006,B1572,Transactions!$H$8:$H$3006))</f>
        <v/>
      </c>
      <c r="D1572" s="43" t="str">
        <f>IF(B1572="","",SUMIF(Transactions!$F$8:$F$3006,B1572,Transactions!$N$8:$N$3006))</f>
        <v/>
      </c>
      <c r="E1572" s="44" t="str">
        <f>IF(B1572="","",SUMIF(Transactions!$F$8:$F$3006,B1572,Transactions!$O$8:$O$3006))</f>
        <v/>
      </c>
      <c r="F1572" s="45" t="str">
        <f>IF(B1572="","",SUMIF(Transactions!$F$8:$F$3006,B1572,Transactions!$R$8:$R$3006))</f>
        <v/>
      </c>
      <c r="G1572" s="46" t="str">
        <f>IF(B1572="","",(C1572+F1572)-(D1572+E1572+SUMIF(Transactions!$F$8:$F$3006,B1572,Transactions!$Q$8:$Q$3006)))</f>
        <v/>
      </c>
      <c r="H1572" s="47" t="str">
        <f>IF(B1572="","",IF(G1572&gt;0,"OUTSTANDING",IF(G1572=0,"SETTLED",IF(SUMIF(Transactions!$F$8:$F$3006,B1572,Transactions!$Q$8:$Q$3006)&gt;SUMIF(Transactions!$F$8:$F$3006,B1572,Transactions!$R$8:$R$3006),"OWES","OVERPAID"))))</f>
        <v/>
      </c>
      <c r="I1572" s="1"/>
    </row>
    <row r="1573" spans="1:9" ht="18" customHeight="1" x14ac:dyDescent="0.25">
      <c r="A1573" s="48">
        <v>1558</v>
      </c>
      <c r="B1573" s="49" t="str">
        <f t="array" ref="B1573">IFERROR(IF(INDEX(Transactions!$F$8:$F$3006,MATCH(0,COUNTIF($B$11:B1572,Transactions!$F$8:$F$3006),0))="","",INDEX(Transactions!$F$8:$F$3006,MATCH(0,COUNTIF($B$11:B1572,Transactions!$F$8:$F$3006),0))),"")</f>
        <v/>
      </c>
      <c r="C1573" s="50" t="str">
        <f>IF(B1573="","",SUMIF(Transactions!$F$8:$F$3006,B1573,Transactions!$H$8:$H$3006))</f>
        <v/>
      </c>
      <c r="D1573" s="51" t="str">
        <f>IF(B1573="","",SUMIF(Transactions!$F$8:$F$3006,B1573,Transactions!$N$8:$N$3006))</f>
        <v/>
      </c>
      <c r="E1573" s="52" t="str">
        <f>IF(B1573="","",SUMIF(Transactions!$F$8:$F$3006,B1573,Transactions!$O$8:$O$3006))</f>
        <v/>
      </c>
      <c r="F1573" s="53" t="str">
        <f>IF(B1573="","",SUMIF(Transactions!$F$8:$F$3006,B1573,Transactions!$R$8:$R$3006))</f>
        <v/>
      </c>
      <c r="G1573" s="54" t="str">
        <f>IF(B1573="","",(C1573+F1573)-(D1573+E1573+SUMIF(Transactions!$F$8:$F$3006,B1573,Transactions!$Q$8:$Q$3006)))</f>
        <v/>
      </c>
      <c r="H1573" s="55" t="str">
        <f>IF(B1573="","",IF(G1573&gt;0,"OUTSTANDING",IF(G1573=0,"SETTLED",IF(SUMIF(Transactions!$F$8:$F$3006,B1573,Transactions!$Q$8:$Q$3006)&gt;SUMIF(Transactions!$F$8:$F$3006,B1573,Transactions!$R$8:$R$3006),"OWES","OVERPAID"))))</f>
        <v/>
      </c>
      <c r="I1573" s="1"/>
    </row>
    <row r="1574" spans="1:9" ht="18" customHeight="1" x14ac:dyDescent="0.25">
      <c r="A1574" s="40">
        <v>1559</v>
      </c>
      <c r="B1574" s="41" t="str">
        <f t="array" ref="B1574">IFERROR(IF(INDEX(Transactions!$F$8:$F$3006,MATCH(0,COUNTIF($B$11:B1573,Transactions!$F$8:$F$3006),0))="","",INDEX(Transactions!$F$8:$F$3006,MATCH(0,COUNTIF($B$11:B1573,Transactions!$F$8:$F$3006),0))),"")</f>
        <v/>
      </c>
      <c r="C1574" s="42" t="str">
        <f>IF(B1574="","",SUMIF(Transactions!$F$8:$F$3006,B1574,Transactions!$H$8:$H$3006))</f>
        <v/>
      </c>
      <c r="D1574" s="43" t="str">
        <f>IF(B1574="","",SUMIF(Transactions!$F$8:$F$3006,B1574,Transactions!$N$8:$N$3006))</f>
        <v/>
      </c>
      <c r="E1574" s="44" t="str">
        <f>IF(B1574="","",SUMIF(Transactions!$F$8:$F$3006,B1574,Transactions!$O$8:$O$3006))</f>
        <v/>
      </c>
      <c r="F1574" s="45" t="str">
        <f>IF(B1574="","",SUMIF(Transactions!$F$8:$F$3006,B1574,Transactions!$R$8:$R$3006))</f>
        <v/>
      </c>
      <c r="G1574" s="46" t="str">
        <f>IF(B1574="","",(C1574+F1574)-(D1574+E1574+SUMIF(Transactions!$F$8:$F$3006,B1574,Transactions!$Q$8:$Q$3006)))</f>
        <v/>
      </c>
      <c r="H1574" s="47" t="str">
        <f>IF(B1574="","",IF(G1574&gt;0,"OUTSTANDING",IF(G1574=0,"SETTLED",IF(SUMIF(Transactions!$F$8:$F$3006,B1574,Transactions!$Q$8:$Q$3006)&gt;SUMIF(Transactions!$F$8:$F$3006,B1574,Transactions!$R$8:$R$3006),"OWES","OVERPAID"))))</f>
        <v/>
      </c>
      <c r="I1574" s="1"/>
    </row>
    <row r="1575" spans="1:9" ht="18" customHeight="1" x14ac:dyDescent="0.25">
      <c r="A1575" s="48">
        <v>1560</v>
      </c>
      <c r="B1575" s="49" t="str">
        <f t="array" ref="B1575">IFERROR(IF(INDEX(Transactions!$F$8:$F$3006,MATCH(0,COUNTIF($B$11:B1574,Transactions!$F$8:$F$3006),0))="","",INDEX(Transactions!$F$8:$F$3006,MATCH(0,COUNTIF($B$11:B1574,Transactions!$F$8:$F$3006),0))),"")</f>
        <v/>
      </c>
      <c r="C1575" s="50" t="str">
        <f>IF(B1575="","",SUMIF(Transactions!$F$8:$F$3006,B1575,Transactions!$H$8:$H$3006))</f>
        <v/>
      </c>
      <c r="D1575" s="51" t="str">
        <f>IF(B1575="","",SUMIF(Transactions!$F$8:$F$3006,B1575,Transactions!$N$8:$N$3006))</f>
        <v/>
      </c>
      <c r="E1575" s="52" t="str">
        <f>IF(B1575="","",SUMIF(Transactions!$F$8:$F$3006,B1575,Transactions!$O$8:$O$3006))</f>
        <v/>
      </c>
      <c r="F1575" s="53" t="str">
        <f>IF(B1575="","",SUMIF(Transactions!$F$8:$F$3006,B1575,Transactions!$R$8:$R$3006))</f>
        <v/>
      </c>
      <c r="G1575" s="54" t="str">
        <f>IF(B1575="","",(C1575+F1575)-(D1575+E1575+SUMIF(Transactions!$F$8:$F$3006,B1575,Transactions!$Q$8:$Q$3006)))</f>
        <v/>
      </c>
      <c r="H1575" s="55" t="str">
        <f>IF(B1575="","",IF(G1575&gt;0,"OUTSTANDING",IF(G1575=0,"SETTLED",IF(SUMIF(Transactions!$F$8:$F$3006,B1575,Transactions!$Q$8:$Q$3006)&gt;SUMIF(Transactions!$F$8:$F$3006,B1575,Transactions!$R$8:$R$3006),"OWES","OVERPAID"))))</f>
        <v/>
      </c>
      <c r="I1575" s="1"/>
    </row>
    <row r="1576" spans="1:9" ht="18" customHeight="1" x14ac:dyDescent="0.25">
      <c r="A1576" s="40">
        <v>1561</v>
      </c>
      <c r="B1576" s="41" t="str">
        <f t="array" ref="B1576">IFERROR(IF(INDEX(Transactions!$F$8:$F$3006,MATCH(0,COUNTIF($B$11:B1575,Transactions!$F$8:$F$3006),0))="","",INDEX(Transactions!$F$8:$F$3006,MATCH(0,COUNTIF($B$11:B1575,Transactions!$F$8:$F$3006),0))),"")</f>
        <v/>
      </c>
      <c r="C1576" s="42" t="str">
        <f>IF(B1576="","",SUMIF(Transactions!$F$8:$F$3006,B1576,Transactions!$H$8:$H$3006))</f>
        <v/>
      </c>
      <c r="D1576" s="43" t="str">
        <f>IF(B1576="","",SUMIF(Transactions!$F$8:$F$3006,B1576,Transactions!$N$8:$N$3006))</f>
        <v/>
      </c>
      <c r="E1576" s="44" t="str">
        <f>IF(B1576="","",SUMIF(Transactions!$F$8:$F$3006,B1576,Transactions!$O$8:$O$3006))</f>
        <v/>
      </c>
      <c r="F1576" s="45" t="str">
        <f>IF(B1576="","",SUMIF(Transactions!$F$8:$F$3006,B1576,Transactions!$R$8:$R$3006))</f>
        <v/>
      </c>
      <c r="G1576" s="46" t="str">
        <f>IF(B1576="","",(C1576+F1576)-(D1576+E1576+SUMIF(Transactions!$F$8:$F$3006,B1576,Transactions!$Q$8:$Q$3006)))</f>
        <v/>
      </c>
      <c r="H1576" s="47" t="str">
        <f>IF(B1576="","",IF(G1576&gt;0,"OUTSTANDING",IF(G1576=0,"SETTLED",IF(SUMIF(Transactions!$F$8:$F$3006,B1576,Transactions!$Q$8:$Q$3006)&gt;SUMIF(Transactions!$F$8:$F$3006,B1576,Transactions!$R$8:$R$3006),"OWES","OVERPAID"))))</f>
        <v/>
      </c>
      <c r="I1576" s="1"/>
    </row>
    <row r="1577" spans="1:9" ht="18" customHeight="1" x14ac:dyDescent="0.25">
      <c r="A1577" s="48">
        <v>1562</v>
      </c>
      <c r="B1577" s="49" t="str">
        <f t="array" ref="B1577">IFERROR(IF(INDEX(Transactions!$F$8:$F$3006,MATCH(0,COUNTIF($B$11:B1576,Transactions!$F$8:$F$3006),0))="","",INDEX(Transactions!$F$8:$F$3006,MATCH(0,COUNTIF($B$11:B1576,Transactions!$F$8:$F$3006),0))),"")</f>
        <v/>
      </c>
      <c r="C1577" s="50" t="str">
        <f>IF(B1577="","",SUMIF(Transactions!$F$8:$F$3006,B1577,Transactions!$H$8:$H$3006))</f>
        <v/>
      </c>
      <c r="D1577" s="51" t="str">
        <f>IF(B1577="","",SUMIF(Transactions!$F$8:$F$3006,B1577,Transactions!$N$8:$N$3006))</f>
        <v/>
      </c>
      <c r="E1577" s="52" t="str">
        <f>IF(B1577="","",SUMIF(Transactions!$F$8:$F$3006,B1577,Transactions!$O$8:$O$3006))</f>
        <v/>
      </c>
      <c r="F1577" s="53" t="str">
        <f>IF(B1577="","",SUMIF(Transactions!$F$8:$F$3006,B1577,Transactions!$R$8:$R$3006))</f>
        <v/>
      </c>
      <c r="G1577" s="54" t="str">
        <f>IF(B1577="","",(C1577+F1577)-(D1577+E1577+SUMIF(Transactions!$F$8:$F$3006,B1577,Transactions!$Q$8:$Q$3006)))</f>
        <v/>
      </c>
      <c r="H1577" s="55" t="str">
        <f>IF(B1577="","",IF(G1577&gt;0,"OUTSTANDING",IF(G1577=0,"SETTLED",IF(SUMIF(Transactions!$F$8:$F$3006,B1577,Transactions!$Q$8:$Q$3006)&gt;SUMIF(Transactions!$F$8:$F$3006,B1577,Transactions!$R$8:$R$3006),"OWES","OVERPAID"))))</f>
        <v/>
      </c>
      <c r="I1577" s="1"/>
    </row>
    <row r="1578" spans="1:9" ht="18" customHeight="1" x14ac:dyDescent="0.25">
      <c r="A1578" s="40">
        <v>1563</v>
      </c>
      <c r="B1578" s="41" t="str">
        <f t="array" ref="B1578">IFERROR(IF(INDEX(Transactions!$F$8:$F$3006,MATCH(0,COUNTIF($B$11:B1577,Transactions!$F$8:$F$3006),0))="","",INDEX(Transactions!$F$8:$F$3006,MATCH(0,COUNTIF($B$11:B1577,Transactions!$F$8:$F$3006),0))),"")</f>
        <v/>
      </c>
      <c r="C1578" s="42" t="str">
        <f>IF(B1578="","",SUMIF(Transactions!$F$8:$F$3006,B1578,Transactions!$H$8:$H$3006))</f>
        <v/>
      </c>
      <c r="D1578" s="43" t="str">
        <f>IF(B1578="","",SUMIF(Transactions!$F$8:$F$3006,B1578,Transactions!$N$8:$N$3006))</f>
        <v/>
      </c>
      <c r="E1578" s="44" t="str">
        <f>IF(B1578="","",SUMIF(Transactions!$F$8:$F$3006,B1578,Transactions!$O$8:$O$3006))</f>
        <v/>
      </c>
      <c r="F1578" s="45" t="str">
        <f>IF(B1578="","",SUMIF(Transactions!$F$8:$F$3006,B1578,Transactions!$R$8:$R$3006))</f>
        <v/>
      </c>
      <c r="G1578" s="46" t="str">
        <f>IF(B1578="","",(C1578+F1578)-(D1578+E1578+SUMIF(Transactions!$F$8:$F$3006,B1578,Transactions!$Q$8:$Q$3006)))</f>
        <v/>
      </c>
      <c r="H1578" s="47" t="str">
        <f>IF(B1578="","",IF(G1578&gt;0,"OUTSTANDING",IF(G1578=0,"SETTLED",IF(SUMIF(Transactions!$F$8:$F$3006,B1578,Transactions!$Q$8:$Q$3006)&gt;SUMIF(Transactions!$F$8:$F$3006,B1578,Transactions!$R$8:$R$3006),"OWES","OVERPAID"))))</f>
        <v/>
      </c>
      <c r="I1578" s="1"/>
    </row>
    <row r="1579" spans="1:9" ht="18" customHeight="1" x14ac:dyDescent="0.25">
      <c r="A1579" s="48">
        <v>1564</v>
      </c>
      <c r="B1579" s="49" t="str">
        <f t="array" ref="B1579">IFERROR(IF(INDEX(Transactions!$F$8:$F$3006,MATCH(0,COUNTIF($B$11:B1578,Transactions!$F$8:$F$3006),0))="","",INDEX(Transactions!$F$8:$F$3006,MATCH(0,COUNTIF($B$11:B1578,Transactions!$F$8:$F$3006),0))),"")</f>
        <v/>
      </c>
      <c r="C1579" s="50" t="str">
        <f>IF(B1579="","",SUMIF(Transactions!$F$8:$F$3006,B1579,Transactions!$H$8:$H$3006))</f>
        <v/>
      </c>
      <c r="D1579" s="51" t="str">
        <f>IF(B1579="","",SUMIF(Transactions!$F$8:$F$3006,B1579,Transactions!$N$8:$N$3006))</f>
        <v/>
      </c>
      <c r="E1579" s="52" t="str">
        <f>IF(B1579="","",SUMIF(Transactions!$F$8:$F$3006,B1579,Transactions!$O$8:$O$3006))</f>
        <v/>
      </c>
      <c r="F1579" s="53" t="str">
        <f>IF(B1579="","",SUMIF(Transactions!$F$8:$F$3006,B1579,Transactions!$R$8:$R$3006))</f>
        <v/>
      </c>
      <c r="G1579" s="54" t="str">
        <f>IF(B1579="","",(C1579+F1579)-(D1579+E1579+SUMIF(Transactions!$F$8:$F$3006,B1579,Transactions!$Q$8:$Q$3006)))</f>
        <v/>
      </c>
      <c r="H1579" s="55" t="str">
        <f>IF(B1579="","",IF(G1579&gt;0,"OUTSTANDING",IF(G1579=0,"SETTLED",IF(SUMIF(Transactions!$F$8:$F$3006,B1579,Transactions!$Q$8:$Q$3006)&gt;SUMIF(Transactions!$F$8:$F$3006,B1579,Transactions!$R$8:$R$3006),"OWES","OVERPAID"))))</f>
        <v/>
      </c>
      <c r="I1579" s="1"/>
    </row>
    <row r="1580" spans="1:9" ht="18" customHeight="1" x14ac:dyDescent="0.25">
      <c r="A1580" s="40">
        <v>1565</v>
      </c>
      <c r="B1580" s="41" t="str">
        <f t="array" ref="B1580">IFERROR(IF(INDEX(Transactions!$F$8:$F$3006,MATCH(0,COUNTIF($B$11:B1579,Transactions!$F$8:$F$3006),0))="","",INDEX(Transactions!$F$8:$F$3006,MATCH(0,COUNTIF($B$11:B1579,Transactions!$F$8:$F$3006),0))),"")</f>
        <v/>
      </c>
      <c r="C1580" s="42" t="str">
        <f>IF(B1580="","",SUMIF(Transactions!$F$8:$F$3006,B1580,Transactions!$H$8:$H$3006))</f>
        <v/>
      </c>
      <c r="D1580" s="43" t="str">
        <f>IF(B1580="","",SUMIF(Transactions!$F$8:$F$3006,B1580,Transactions!$N$8:$N$3006))</f>
        <v/>
      </c>
      <c r="E1580" s="44" t="str">
        <f>IF(B1580="","",SUMIF(Transactions!$F$8:$F$3006,B1580,Transactions!$O$8:$O$3006))</f>
        <v/>
      </c>
      <c r="F1580" s="45" t="str">
        <f>IF(B1580="","",SUMIF(Transactions!$F$8:$F$3006,B1580,Transactions!$R$8:$R$3006))</f>
        <v/>
      </c>
      <c r="G1580" s="46" t="str">
        <f>IF(B1580="","",(C1580+F1580)-(D1580+E1580+SUMIF(Transactions!$F$8:$F$3006,B1580,Transactions!$Q$8:$Q$3006)))</f>
        <v/>
      </c>
      <c r="H1580" s="47" t="str">
        <f>IF(B1580="","",IF(G1580&gt;0,"OUTSTANDING",IF(G1580=0,"SETTLED",IF(SUMIF(Transactions!$F$8:$F$3006,B1580,Transactions!$Q$8:$Q$3006)&gt;SUMIF(Transactions!$F$8:$F$3006,B1580,Transactions!$R$8:$R$3006),"OWES","OVERPAID"))))</f>
        <v/>
      </c>
      <c r="I1580" s="1"/>
    </row>
    <row r="1581" spans="1:9" ht="18" customHeight="1" x14ac:dyDescent="0.25">
      <c r="A1581" s="48">
        <v>1566</v>
      </c>
      <c r="B1581" s="49" t="str">
        <f t="array" ref="B1581">IFERROR(IF(INDEX(Transactions!$F$8:$F$3006,MATCH(0,COUNTIF($B$11:B1580,Transactions!$F$8:$F$3006),0))="","",INDEX(Transactions!$F$8:$F$3006,MATCH(0,COUNTIF($B$11:B1580,Transactions!$F$8:$F$3006),0))),"")</f>
        <v/>
      </c>
      <c r="C1581" s="50" t="str">
        <f>IF(B1581="","",SUMIF(Transactions!$F$8:$F$3006,B1581,Transactions!$H$8:$H$3006))</f>
        <v/>
      </c>
      <c r="D1581" s="51" t="str">
        <f>IF(B1581="","",SUMIF(Transactions!$F$8:$F$3006,B1581,Transactions!$N$8:$N$3006))</f>
        <v/>
      </c>
      <c r="E1581" s="52" t="str">
        <f>IF(B1581="","",SUMIF(Transactions!$F$8:$F$3006,B1581,Transactions!$O$8:$O$3006))</f>
        <v/>
      </c>
      <c r="F1581" s="53" t="str">
        <f>IF(B1581="","",SUMIF(Transactions!$F$8:$F$3006,B1581,Transactions!$R$8:$R$3006))</f>
        <v/>
      </c>
      <c r="G1581" s="54" t="str">
        <f>IF(B1581="","",(C1581+F1581)-(D1581+E1581+SUMIF(Transactions!$F$8:$F$3006,B1581,Transactions!$Q$8:$Q$3006)))</f>
        <v/>
      </c>
      <c r="H1581" s="55" t="str">
        <f>IF(B1581="","",IF(G1581&gt;0,"OUTSTANDING",IF(G1581=0,"SETTLED",IF(SUMIF(Transactions!$F$8:$F$3006,B1581,Transactions!$Q$8:$Q$3006)&gt;SUMIF(Transactions!$F$8:$F$3006,B1581,Transactions!$R$8:$R$3006),"OWES","OVERPAID"))))</f>
        <v/>
      </c>
      <c r="I1581" s="1"/>
    </row>
    <row r="1582" spans="1:9" ht="18" customHeight="1" x14ac:dyDescent="0.25">
      <c r="A1582" s="40">
        <v>1567</v>
      </c>
      <c r="B1582" s="41" t="str">
        <f t="array" ref="B1582">IFERROR(IF(INDEX(Transactions!$F$8:$F$3006,MATCH(0,COUNTIF($B$11:B1581,Transactions!$F$8:$F$3006),0))="","",INDEX(Transactions!$F$8:$F$3006,MATCH(0,COUNTIF($B$11:B1581,Transactions!$F$8:$F$3006),0))),"")</f>
        <v/>
      </c>
      <c r="C1582" s="42" t="str">
        <f>IF(B1582="","",SUMIF(Transactions!$F$8:$F$3006,B1582,Transactions!$H$8:$H$3006))</f>
        <v/>
      </c>
      <c r="D1582" s="43" t="str">
        <f>IF(B1582="","",SUMIF(Transactions!$F$8:$F$3006,B1582,Transactions!$N$8:$N$3006))</f>
        <v/>
      </c>
      <c r="E1582" s="44" t="str">
        <f>IF(B1582="","",SUMIF(Transactions!$F$8:$F$3006,B1582,Transactions!$O$8:$O$3006))</f>
        <v/>
      </c>
      <c r="F1582" s="45" t="str">
        <f>IF(B1582="","",SUMIF(Transactions!$F$8:$F$3006,B1582,Transactions!$R$8:$R$3006))</f>
        <v/>
      </c>
      <c r="G1582" s="46" t="str">
        <f>IF(B1582="","",(C1582+F1582)-(D1582+E1582+SUMIF(Transactions!$F$8:$F$3006,B1582,Transactions!$Q$8:$Q$3006)))</f>
        <v/>
      </c>
      <c r="H1582" s="47" t="str">
        <f>IF(B1582="","",IF(G1582&gt;0,"OUTSTANDING",IF(G1582=0,"SETTLED",IF(SUMIF(Transactions!$F$8:$F$3006,B1582,Transactions!$Q$8:$Q$3006)&gt;SUMIF(Transactions!$F$8:$F$3006,B1582,Transactions!$R$8:$R$3006),"OWES","OVERPAID"))))</f>
        <v/>
      </c>
      <c r="I1582" s="1"/>
    </row>
    <row r="1583" spans="1:9" ht="18" customHeight="1" x14ac:dyDescent="0.25">
      <c r="A1583" s="48">
        <v>1568</v>
      </c>
      <c r="B1583" s="49" t="str">
        <f t="array" ref="B1583">IFERROR(IF(INDEX(Transactions!$F$8:$F$3006,MATCH(0,COUNTIF($B$11:B1582,Transactions!$F$8:$F$3006),0))="","",INDEX(Transactions!$F$8:$F$3006,MATCH(0,COUNTIF($B$11:B1582,Transactions!$F$8:$F$3006),0))),"")</f>
        <v/>
      </c>
      <c r="C1583" s="50" t="str">
        <f>IF(B1583="","",SUMIF(Transactions!$F$8:$F$3006,B1583,Transactions!$H$8:$H$3006))</f>
        <v/>
      </c>
      <c r="D1583" s="51" t="str">
        <f>IF(B1583="","",SUMIF(Transactions!$F$8:$F$3006,B1583,Transactions!$N$8:$N$3006))</f>
        <v/>
      </c>
      <c r="E1583" s="52" t="str">
        <f>IF(B1583="","",SUMIF(Transactions!$F$8:$F$3006,B1583,Transactions!$O$8:$O$3006))</f>
        <v/>
      </c>
      <c r="F1583" s="53" t="str">
        <f>IF(B1583="","",SUMIF(Transactions!$F$8:$F$3006,B1583,Transactions!$R$8:$R$3006))</f>
        <v/>
      </c>
      <c r="G1583" s="54" t="str">
        <f>IF(B1583="","",(C1583+F1583)-(D1583+E1583+SUMIF(Transactions!$F$8:$F$3006,B1583,Transactions!$Q$8:$Q$3006)))</f>
        <v/>
      </c>
      <c r="H1583" s="55" t="str">
        <f>IF(B1583="","",IF(G1583&gt;0,"OUTSTANDING",IF(G1583=0,"SETTLED",IF(SUMIF(Transactions!$F$8:$F$3006,B1583,Transactions!$Q$8:$Q$3006)&gt;SUMIF(Transactions!$F$8:$F$3006,B1583,Transactions!$R$8:$R$3006),"OWES","OVERPAID"))))</f>
        <v/>
      </c>
      <c r="I1583" s="1"/>
    </row>
    <row r="1584" spans="1:9" ht="18" customHeight="1" x14ac:dyDescent="0.25">
      <c r="A1584" s="40">
        <v>1569</v>
      </c>
      <c r="B1584" s="41" t="str">
        <f t="array" ref="B1584">IFERROR(IF(INDEX(Transactions!$F$8:$F$3006,MATCH(0,COUNTIF($B$11:B1583,Transactions!$F$8:$F$3006),0))="","",INDEX(Transactions!$F$8:$F$3006,MATCH(0,COUNTIF($B$11:B1583,Transactions!$F$8:$F$3006),0))),"")</f>
        <v/>
      </c>
      <c r="C1584" s="42" t="str">
        <f>IF(B1584="","",SUMIF(Transactions!$F$8:$F$3006,B1584,Transactions!$H$8:$H$3006))</f>
        <v/>
      </c>
      <c r="D1584" s="43" t="str">
        <f>IF(B1584="","",SUMIF(Transactions!$F$8:$F$3006,B1584,Transactions!$N$8:$N$3006))</f>
        <v/>
      </c>
      <c r="E1584" s="44" t="str">
        <f>IF(B1584="","",SUMIF(Transactions!$F$8:$F$3006,B1584,Transactions!$O$8:$O$3006))</f>
        <v/>
      </c>
      <c r="F1584" s="45" t="str">
        <f>IF(B1584="","",SUMIF(Transactions!$F$8:$F$3006,B1584,Transactions!$R$8:$R$3006))</f>
        <v/>
      </c>
      <c r="G1584" s="46" t="str">
        <f>IF(B1584="","",(C1584+F1584)-(D1584+E1584+SUMIF(Transactions!$F$8:$F$3006,B1584,Transactions!$Q$8:$Q$3006)))</f>
        <v/>
      </c>
      <c r="H1584" s="47" t="str">
        <f>IF(B1584="","",IF(G1584&gt;0,"OUTSTANDING",IF(G1584=0,"SETTLED",IF(SUMIF(Transactions!$F$8:$F$3006,B1584,Transactions!$Q$8:$Q$3006)&gt;SUMIF(Transactions!$F$8:$F$3006,B1584,Transactions!$R$8:$R$3006),"OWES","OVERPAID"))))</f>
        <v/>
      </c>
      <c r="I1584" s="1"/>
    </row>
    <row r="1585" spans="1:9" ht="18" customHeight="1" x14ac:dyDescent="0.25">
      <c r="A1585" s="48">
        <v>1570</v>
      </c>
      <c r="B1585" s="49" t="str">
        <f t="array" ref="B1585">IFERROR(IF(INDEX(Transactions!$F$8:$F$3006,MATCH(0,COUNTIF($B$11:B1584,Transactions!$F$8:$F$3006),0))="","",INDEX(Transactions!$F$8:$F$3006,MATCH(0,COUNTIF($B$11:B1584,Transactions!$F$8:$F$3006),0))),"")</f>
        <v/>
      </c>
      <c r="C1585" s="50" t="str">
        <f>IF(B1585="","",SUMIF(Transactions!$F$8:$F$3006,B1585,Transactions!$H$8:$H$3006))</f>
        <v/>
      </c>
      <c r="D1585" s="51" t="str">
        <f>IF(B1585="","",SUMIF(Transactions!$F$8:$F$3006,B1585,Transactions!$N$8:$N$3006))</f>
        <v/>
      </c>
      <c r="E1585" s="52" t="str">
        <f>IF(B1585="","",SUMIF(Transactions!$F$8:$F$3006,B1585,Transactions!$O$8:$O$3006))</f>
        <v/>
      </c>
      <c r="F1585" s="53" t="str">
        <f>IF(B1585="","",SUMIF(Transactions!$F$8:$F$3006,B1585,Transactions!$R$8:$R$3006))</f>
        <v/>
      </c>
      <c r="G1585" s="54" t="str">
        <f>IF(B1585="","",(C1585+F1585)-(D1585+E1585+SUMIF(Transactions!$F$8:$F$3006,B1585,Transactions!$Q$8:$Q$3006)))</f>
        <v/>
      </c>
      <c r="H1585" s="55" t="str">
        <f>IF(B1585="","",IF(G1585&gt;0,"OUTSTANDING",IF(G1585=0,"SETTLED",IF(SUMIF(Transactions!$F$8:$F$3006,B1585,Transactions!$Q$8:$Q$3006)&gt;SUMIF(Transactions!$F$8:$F$3006,B1585,Transactions!$R$8:$R$3006),"OWES","OVERPAID"))))</f>
        <v/>
      </c>
      <c r="I1585" s="1"/>
    </row>
    <row r="1586" spans="1:9" ht="18" customHeight="1" x14ac:dyDescent="0.25">
      <c r="A1586" s="40">
        <v>1571</v>
      </c>
      <c r="B1586" s="41" t="str">
        <f t="array" ref="B1586">IFERROR(IF(INDEX(Transactions!$F$8:$F$3006,MATCH(0,COUNTIF($B$11:B1585,Transactions!$F$8:$F$3006),0))="","",INDEX(Transactions!$F$8:$F$3006,MATCH(0,COUNTIF($B$11:B1585,Transactions!$F$8:$F$3006),0))),"")</f>
        <v/>
      </c>
      <c r="C1586" s="42" t="str">
        <f>IF(B1586="","",SUMIF(Transactions!$F$8:$F$3006,B1586,Transactions!$H$8:$H$3006))</f>
        <v/>
      </c>
      <c r="D1586" s="43" t="str">
        <f>IF(B1586="","",SUMIF(Transactions!$F$8:$F$3006,B1586,Transactions!$N$8:$N$3006))</f>
        <v/>
      </c>
      <c r="E1586" s="44" t="str">
        <f>IF(B1586="","",SUMIF(Transactions!$F$8:$F$3006,B1586,Transactions!$O$8:$O$3006))</f>
        <v/>
      </c>
      <c r="F1586" s="45" t="str">
        <f>IF(B1586="","",SUMIF(Transactions!$F$8:$F$3006,B1586,Transactions!$R$8:$R$3006))</f>
        <v/>
      </c>
      <c r="G1586" s="46" t="str">
        <f>IF(B1586="","",(C1586+F1586)-(D1586+E1586+SUMIF(Transactions!$F$8:$F$3006,B1586,Transactions!$Q$8:$Q$3006)))</f>
        <v/>
      </c>
      <c r="H1586" s="47" t="str">
        <f>IF(B1586="","",IF(G1586&gt;0,"OUTSTANDING",IF(G1586=0,"SETTLED",IF(SUMIF(Transactions!$F$8:$F$3006,B1586,Transactions!$Q$8:$Q$3006)&gt;SUMIF(Transactions!$F$8:$F$3006,B1586,Transactions!$R$8:$R$3006),"OWES","OVERPAID"))))</f>
        <v/>
      </c>
      <c r="I1586" s="1"/>
    </row>
    <row r="1587" spans="1:9" ht="18" customHeight="1" x14ac:dyDescent="0.25">
      <c r="A1587" s="48">
        <v>1572</v>
      </c>
      <c r="B1587" s="49" t="str">
        <f t="array" ref="B1587">IFERROR(IF(INDEX(Transactions!$F$8:$F$3006,MATCH(0,COUNTIF($B$11:B1586,Transactions!$F$8:$F$3006),0))="","",INDEX(Transactions!$F$8:$F$3006,MATCH(0,COUNTIF($B$11:B1586,Transactions!$F$8:$F$3006),0))),"")</f>
        <v/>
      </c>
      <c r="C1587" s="50" t="str">
        <f>IF(B1587="","",SUMIF(Transactions!$F$8:$F$3006,B1587,Transactions!$H$8:$H$3006))</f>
        <v/>
      </c>
      <c r="D1587" s="51" t="str">
        <f>IF(B1587="","",SUMIF(Transactions!$F$8:$F$3006,B1587,Transactions!$N$8:$N$3006))</f>
        <v/>
      </c>
      <c r="E1587" s="52" t="str">
        <f>IF(B1587="","",SUMIF(Transactions!$F$8:$F$3006,B1587,Transactions!$O$8:$O$3006))</f>
        <v/>
      </c>
      <c r="F1587" s="53" t="str">
        <f>IF(B1587="","",SUMIF(Transactions!$F$8:$F$3006,B1587,Transactions!$R$8:$R$3006))</f>
        <v/>
      </c>
      <c r="G1587" s="54" t="str">
        <f>IF(B1587="","",(C1587+F1587)-(D1587+E1587+SUMIF(Transactions!$F$8:$F$3006,B1587,Transactions!$Q$8:$Q$3006)))</f>
        <v/>
      </c>
      <c r="H1587" s="55" t="str">
        <f>IF(B1587="","",IF(G1587&gt;0,"OUTSTANDING",IF(G1587=0,"SETTLED",IF(SUMIF(Transactions!$F$8:$F$3006,B1587,Transactions!$Q$8:$Q$3006)&gt;SUMIF(Transactions!$F$8:$F$3006,B1587,Transactions!$R$8:$R$3006),"OWES","OVERPAID"))))</f>
        <v/>
      </c>
      <c r="I1587" s="1"/>
    </row>
    <row r="1588" spans="1:9" ht="18" customHeight="1" x14ac:dyDescent="0.25">
      <c r="A1588" s="40">
        <v>1573</v>
      </c>
      <c r="B1588" s="41" t="str">
        <f t="array" ref="B1588">IFERROR(IF(INDEX(Transactions!$F$8:$F$3006,MATCH(0,COUNTIF($B$11:B1587,Transactions!$F$8:$F$3006),0))="","",INDEX(Transactions!$F$8:$F$3006,MATCH(0,COUNTIF($B$11:B1587,Transactions!$F$8:$F$3006),0))),"")</f>
        <v/>
      </c>
      <c r="C1588" s="42" t="str">
        <f>IF(B1588="","",SUMIF(Transactions!$F$8:$F$3006,B1588,Transactions!$H$8:$H$3006))</f>
        <v/>
      </c>
      <c r="D1588" s="43" t="str">
        <f>IF(B1588="","",SUMIF(Transactions!$F$8:$F$3006,B1588,Transactions!$N$8:$N$3006))</f>
        <v/>
      </c>
      <c r="E1588" s="44" t="str">
        <f>IF(B1588="","",SUMIF(Transactions!$F$8:$F$3006,B1588,Transactions!$O$8:$O$3006))</f>
        <v/>
      </c>
      <c r="F1588" s="45" t="str">
        <f>IF(B1588="","",SUMIF(Transactions!$F$8:$F$3006,B1588,Transactions!$R$8:$R$3006))</f>
        <v/>
      </c>
      <c r="G1588" s="46" t="str">
        <f>IF(B1588="","",(C1588+F1588)-(D1588+E1588+SUMIF(Transactions!$F$8:$F$3006,B1588,Transactions!$Q$8:$Q$3006)))</f>
        <v/>
      </c>
      <c r="H1588" s="47" t="str">
        <f>IF(B1588="","",IF(G1588&gt;0,"OUTSTANDING",IF(G1588=0,"SETTLED",IF(SUMIF(Transactions!$F$8:$F$3006,B1588,Transactions!$Q$8:$Q$3006)&gt;SUMIF(Transactions!$F$8:$F$3006,B1588,Transactions!$R$8:$R$3006),"OWES","OVERPAID"))))</f>
        <v/>
      </c>
      <c r="I1588" s="1"/>
    </row>
    <row r="1589" spans="1:9" ht="18" customHeight="1" x14ac:dyDescent="0.25">
      <c r="A1589" s="48">
        <v>1574</v>
      </c>
      <c r="B1589" s="49" t="str">
        <f t="array" ref="B1589">IFERROR(IF(INDEX(Transactions!$F$8:$F$3006,MATCH(0,COUNTIF($B$11:B1588,Transactions!$F$8:$F$3006),0))="","",INDEX(Transactions!$F$8:$F$3006,MATCH(0,COUNTIF($B$11:B1588,Transactions!$F$8:$F$3006),0))),"")</f>
        <v/>
      </c>
      <c r="C1589" s="50" t="str">
        <f>IF(B1589="","",SUMIF(Transactions!$F$8:$F$3006,B1589,Transactions!$H$8:$H$3006))</f>
        <v/>
      </c>
      <c r="D1589" s="51" t="str">
        <f>IF(B1589="","",SUMIF(Transactions!$F$8:$F$3006,B1589,Transactions!$N$8:$N$3006))</f>
        <v/>
      </c>
      <c r="E1589" s="52" t="str">
        <f>IF(B1589="","",SUMIF(Transactions!$F$8:$F$3006,B1589,Transactions!$O$8:$O$3006))</f>
        <v/>
      </c>
      <c r="F1589" s="53" t="str">
        <f>IF(B1589="","",SUMIF(Transactions!$F$8:$F$3006,B1589,Transactions!$R$8:$R$3006))</f>
        <v/>
      </c>
      <c r="G1589" s="54" t="str">
        <f>IF(B1589="","",(C1589+F1589)-(D1589+E1589+SUMIF(Transactions!$F$8:$F$3006,B1589,Transactions!$Q$8:$Q$3006)))</f>
        <v/>
      </c>
      <c r="H1589" s="55" t="str">
        <f>IF(B1589="","",IF(G1589&gt;0,"OUTSTANDING",IF(G1589=0,"SETTLED",IF(SUMIF(Transactions!$F$8:$F$3006,B1589,Transactions!$Q$8:$Q$3006)&gt;SUMIF(Transactions!$F$8:$F$3006,B1589,Transactions!$R$8:$R$3006),"OWES","OVERPAID"))))</f>
        <v/>
      </c>
      <c r="I1589" s="1"/>
    </row>
    <row r="1590" spans="1:9" ht="18" customHeight="1" x14ac:dyDescent="0.25">
      <c r="A1590" s="40">
        <v>1575</v>
      </c>
      <c r="B1590" s="41" t="str">
        <f t="array" ref="B1590">IFERROR(IF(INDEX(Transactions!$F$8:$F$3006,MATCH(0,COUNTIF($B$11:B1589,Transactions!$F$8:$F$3006),0))="","",INDEX(Transactions!$F$8:$F$3006,MATCH(0,COUNTIF($B$11:B1589,Transactions!$F$8:$F$3006),0))),"")</f>
        <v/>
      </c>
      <c r="C1590" s="42" t="str">
        <f>IF(B1590="","",SUMIF(Transactions!$F$8:$F$3006,B1590,Transactions!$H$8:$H$3006))</f>
        <v/>
      </c>
      <c r="D1590" s="43" t="str">
        <f>IF(B1590="","",SUMIF(Transactions!$F$8:$F$3006,B1590,Transactions!$N$8:$N$3006))</f>
        <v/>
      </c>
      <c r="E1590" s="44" t="str">
        <f>IF(B1590="","",SUMIF(Transactions!$F$8:$F$3006,B1590,Transactions!$O$8:$O$3006))</f>
        <v/>
      </c>
      <c r="F1590" s="45" t="str">
        <f>IF(B1590="","",SUMIF(Transactions!$F$8:$F$3006,B1590,Transactions!$R$8:$R$3006))</f>
        <v/>
      </c>
      <c r="G1590" s="46" t="str">
        <f>IF(B1590="","",(C1590+F1590)-(D1590+E1590+SUMIF(Transactions!$F$8:$F$3006,B1590,Transactions!$Q$8:$Q$3006)))</f>
        <v/>
      </c>
      <c r="H1590" s="47" t="str">
        <f>IF(B1590="","",IF(G1590&gt;0,"OUTSTANDING",IF(G1590=0,"SETTLED",IF(SUMIF(Transactions!$F$8:$F$3006,B1590,Transactions!$Q$8:$Q$3006)&gt;SUMIF(Transactions!$F$8:$F$3006,B1590,Transactions!$R$8:$R$3006),"OWES","OVERPAID"))))</f>
        <v/>
      </c>
      <c r="I1590" s="1"/>
    </row>
    <row r="1591" spans="1:9" ht="18" customHeight="1" x14ac:dyDescent="0.25">
      <c r="A1591" s="48">
        <v>1576</v>
      </c>
      <c r="B1591" s="49" t="str">
        <f t="array" ref="B1591">IFERROR(IF(INDEX(Transactions!$F$8:$F$3006,MATCH(0,COUNTIF($B$11:B1590,Transactions!$F$8:$F$3006),0))="","",INDEX(Transactions!$F$8:$F$3006,MATCH(0,COUNTIF($B$11:B1590,Transactions!$F$8:$F$3006),0))),"")</f>
        <v/>
      </c>
      <c r="C1591" s="50" t="str">
        <f>IF(B1591="","",SUMIF(Transactions!$F$8:$F$3006,B1591,Transactions!$H$8:$H$3006))</f>
        <v/>
      </c>
      <c r="D1591" s="51" t="str">
        <f>IF(B1591="","",SUMIF(Transactions!$F$8:$F$3006,B1591,Transactions!$N$8:$N$3006))</f>
        <v/>
      </c>
      <c r="E1591" s="52" t="str">
        <f>IF(B1591="","",SUMIF(Transactions!$F$8:$F$3006,B1591,Transactions!$O$8:$O$3006))</f>
        <v/>
      </c>
      <c r="F1591" s="53" t="str">
        <f>IF(B1591="","",SUMIF(Transactions!$F$8:$F$3006,B1591,Transactions!$R$8:$R$3006))</f>
        <v/>
      </c>
      <c r="G1591" s="54" t="str">
        <f>IF(B1591="","",(C1591+F1591)-(D1591+E1591+SUMIF(Transactions!$F$8:$F$3006,B1591,Transactions!$Q$8:$Q$3006)))</f>
        <v/>
      </c>
      <c r="H1591" s="55" t="str">
        <f>IF(B1591="","",IF(G1591&gt;0,"OUTSTANDING",IF(G1591=0,"SETTLED",IF(SUMIF(Transactions!$F$8:$F$3006,B1591,Transactions!$Q$8:$Q$3006)&gt;SUMIF(Transactions!$F$8:$F$3006,B1591,Transactions!$R$8:$R$3006),"OWES","OVERPAID"))))</f>
        <v/>
      </c>
      <c r="I1591" s="1"/>
    </row>
    <row r="1592" spans="1:9" ht="18" customHeight="1" x14ac:dyDescent="0.25">
      <c r="A1592" s="40">
        <v>1577</v>
      </c>
      <c r="B1592" s="41" t="str">
        <f t="array" ref="B1592">IFERROR(IF(INDEX(Transactions!$F$8:$F$3006,MATCH(0,COUNTIF($B$11:B1591,Transactions!$F$8:$F$3006),0))="","",INDEX(Transactions!$F$8:$F$3006,MATCH(0,COUNTIF($B$11:B1591,Transactions!$F$8:$F$3006),0))),"")</f>
        <v/>
      </c>
      <c r="C1592" s="42" t="str">
        <f>IF(B1592="","",SUMIF(Transactions!$F$8:$F$3006,B1592,Transactions!$H$8:$H$3006))</f>
        <v/>
      </c>
      <c r="D1592" s="43" t="str">
        <f>IF(B1592="","",SUMIF(Transactions!$F$8:$F$3006,B1592,Transactions!$N$8:$N$3006))</f>
        <v/>
      </c>
      <c r="E1592" s="44" t="str">
        <f>IF(B1592="","",SUMIF(Transactions!$F$8:$F$3006,B1592,Transactions!$O$8:$O$3006))</f>
        <v/>
      </c>
      <c r="F1592" s="45" t="str">
        <f>IF(B1592="","",SUMIF(Transactions!$F$8:$F$3006,B1592,Transactions!$R$8:$R$3006))</f>
        <v/>
      </c>
      <c r="G1592" s="46" t="str">
        <f>IF(B1592="","",(C1592+F1592)-(D1592+E1592+SUMIF(Transactions!$F$8:$F$3006,B1592,Transactions!$Q$8:$Q$3006)))</f>
        <v/>
      </c>
      <c r="H1592" s="47" t="str">
        <f>IF(B1592="","",IF(G1592&gt;0,"OUTSTANDING",IF(G1592=0,"SETTLED",IF(SUMIF(Transactions!$F$8:$F$3006,B1592,Transactions!$Q$8:$Q$3006)&gt;SUMIF(Transactions!$F$8:$F$3006,B1592,Transactions!$R$8:$R$3006),"OWES","OVERPAID"))))</f>
        <v/>
      </c>
      <c r="I1592" s="1"/>
    </row>
    <row r="1593" spans="1:9" ht="18" customHeight="1" x14ac:dyDescent="0.25">
      <c r="A1593" s="48">
        <v>1578</v>
      </c>
      <c r="B1593" s="49" t="str">
        <f t="array" ref="B1593">IFERROR(IF(INDEX(Transactions!$F$8:$F$3006,MATCH(0,COUNTIF($B$11:B1592,Transactions!$F$8:$F$3006),0))="","",INDEX(Transactions!$F$8:$F$3006,MATCH(0,COUNTIF($B$11:B1592,Transactions!$F$8:$F$3006),0))),"")</f>
        <v/>
      </c>
      <c r="C1593" s="50" t="str">
        <f>IF(B1593="","",SUMIF(Transactions!$F$8:$F$3006,B1593,Transactions!$H$8:$H$3006))</f>
        <v/>
      </c>
      <c r="D1593" s="51" t="str">
        <f>IF(B1593="","",SUMIF(Transactions!$F$8:$F$3006,B1593,Transactions!$N$8:$N$3006))</f>
        <v/>
      </c>
      <c r="E1593" s="52" t="str">
        <f>IF(B1593="","",SUMIF(Transactions!$F$8:$F$3006,B1593,Transactions!$O$8:$O$3006))</f>
        <v/>
      </c>
      <c r="F1593" s="53" t="str">
        <f>IF(B1593="","",SUMIF(Transactions!$F$8:$F$3006,B1593,Transactions!$R$8:$R$3006))</f>
        <v/>
      </c>
      <c r="G1593" s="54" t="str">
        <f>IF(B1593="","",(C1593+F1593)-(D1593+E1593+SUMIF(Transactions!$F$8:$F$3006,B1593,Transactions!$Q$8:$Q$3006)))</f>
        <v/>
      </c>
      <c r="H1593" s="55" t="str">
        <f>IF(B1593="","",IF(G1593&gt;0,"OUTSTANDING",IF(G1593=0,"SETTLED",IF(SUMIF(Transactions!$F$8:$F$3006,B1593,Transactions!$Q$8:$Q$3006)&gt;SUMIF(Transactions!$F$8:$F$3006,B1593,Transactions!$R$8:$R$3006),"OWES","OVERPAID"))))</f>
        <v/>
      </c>
      <c r="I1593" s="1"/>
    </row>
    <row r="1594" spans="1:9" ht="18" customHeight="1" x14ac:dyDescent="0.25">
      <c r="A1594" s="40">
        <v>1579</v>
      </c>
      <c r="B1594" s="41" t="str">
        <f t="array" ref="B1594">IFERROR(IF(INDEX(Transactions!$F$8:$F$3006,MATCH(0,COUNTIF($B$11:B1593,Transactions!$F$8:$F$3006),0))="","",INDEX(Transactions!$F$8:$F$3006,MATCH(0,COUNTIF($B$11:B1593,Transactions!$F$8:$F$3006),0))),"")</f>
        <v/>
      </c>
      <c r="C1594" s="42" t="str">
        <f>IF(B1594="","",SUMIF(Transactions!$F$8:$F$3006,B1594,Transactions!$H$8:$H$3006))</f>
        <v/>
      </c>
      <c r="D1594" s="43" t="str">
        <f>IF(B1594="","",SUMIF(Transactions!$F$8:$F$3006,B1594,Transactions!$N$8:$N$3006))</f>
        <v/>
      </c>
      <c r="E1594" s="44" t="str">
        <f>IF(B1594="","",SUMIF(Transactions!$F$8:$F$3006,B1594,Transactions!$O$8:$O$3006))</f>
        <v/>
      </c>
      <c r="F1594" s="45" t="str">
        <f>IF(B1594="","",SUMIF(Transactions!$F$8:$F$3006,B1594,Transactions!$R$8:$R$3006))</f>
        <v/>
      </c>
      <c r="G1594" s="46" t="str">
        <f>IF(B1594="","",(C1594+F1594)-(D1594+E1594+SUMIF(Transactions!$F$8:$F$3006,B1594,Transactions!$Q$8:$Q$3006)))</f>
        <v/>
      </c>
      <c r="H1594" s="47" t="str">
        <f>IF(B1594="","",IF(G1594&gt;0,"OUTSTANDING",IF(G1594=0,"SETTLED",IF(SUMIF(Transactions!$F$8:$F$3006,B1594,Transactions!$Q$8:$Q$3006)&gt;SUMIF(Transactions!$F$8:$F$3006,B1594,Transactions!$R$8:$R$3006),"OWES","OVERPAID"))))</f>
        <v/>
      </c>
      <c r="I1594" s="1"/>
    </row>
    <row r="1595" spans="1:9" ht="18" customHeight="1" x14ac:dyDescent="0.25">
      <c r="A1595" s="48">
        <v>1580</v>
      </c>
      <c r="B1595" s="49" t="str">
        <f t="array" ref="B1595">IFERROR(IF(INDEX(Transactions!$F$8:$F$3006,MATCH(0,COUNTIF($B$11:B1594,Transactions!$F$8:$F$3006),0))="","",INDEX(Transactions!$F$8:$F$3006,MATCH(0,COUNTIF($B$11:B1594,Transactions!$F$8:$F$3006),0))),"")</f>
        <v/>
      </c>
      <c r="C1595" s="50" t="str">
        <f>IF(B1595="","",SUMIF(Transactions!$F$8:$F$3006,B1595,Transactions!$H$8:$H$3006))</f>
        <v/>
      </c>
      <c r="D1595" s="51" t="str">
        <f>IF(B1595="","",SUMIF(Transactions!$F$8:$F$3006,B1595,Transactions!$N$8:$N$3006))</f>
        <v/>
      </c>
      <c r="E1595" s="52" t="str">
        <f>IF(B1595="","",SUMIF(Transactions!$F$8:$F$3006,B1595,Transactions!$O$8:$O$3006))</f>
        <v/>
      </c>
      <c r="F1595" s="53" t="str">
        <f>IF(B1595="","",SUMIF(Transactions!$F$8:$F$3006,B1595,Transactions!$R$8:$R$3006))</f>
        <v/>
      </c>
      <c r="G1595" s="54" t="str">
        <f>IF(B1595="","",(C1595+F1595)-(D1595+E1595+SUMIF(Transactions!$F$8:$F$3006,B1595,Transactions!$Q$8:$Q$3006)))</f>
        <v/>
      </c>
      <c r="H1595" s="55" t="str">
        <f>IF(B1595="","",IF(G1595&gt;0,"OUTSTANDING",IF(G1595=0,"SETTLED",IF(SUMIF(Transactions!$F$8:$F$3006,B1595,Transactions!$Q$8:$Q$3006)&gt;SUMIF(Transactions!$F$8:$F$3006,B1595,Transactions!$R$8:$R$3006),"OWES","OVERPAID"))))</f>
        <v/>
      </c>
      <c r="I1595" s="1"/>
    </row>
    <row r="1596" spans="1:9" ht="18" customHeight="1" x14ac:dyDescent="0.25">
      <c r="A1596" s="40">
        <v>1581</v>
      </c>
      <c r="B1596" s="41" t="str">
        <f t="array" ref="B1596">IFERROR(IF(INDEX(Transactions!$F$8:$F$3006,MATCH(0,COUNTIF($B$11:B1595,Transactions!$F$8:$F$3006),0))="","",INDEX(Transactions!$F$8:$F$3006,MATCH(0,COUNTIF($B$11:B1595,Transactions!$F$8:$F$3006),0))),"")</f>
        <v/>
      </c>
      <c r="C1596" s="42" t="str">
        <f>IF(B1596="","",SUMIF(Transactions!$F$8:$F$3006,B1596,Transactions!$H$8:$H$3006))</f>
        <v/>
      </c>
      <c r="D1596" s="43" t="str">
        <f>IF(B1596="","",SUMIF(Transactions!$F$8:$F$3006,B1596,Transactions!$N$8:$N$3006))</f>
        <v/>
      </c>
      <c r="E1596" s="44" t="str">
        <f>IF(B1596="","",SUMIF(Transactions!$F$8:$F$3006,B1596,Transactions!$O$8:$O$3006))</f>
        <v/>
      </c>
      <c r="F1596" s="45" t="str">
        <f>IF(B1596="","",SUMIF(Transactions!$F$8:$F$3006,B1596,Transactions!$R$8:$R$3006))</f>
        <v/>
      </c>
      <c r="G1596" s="46" t="str">
        <f>IF(B1596="","",(C1596+F1596)-(D1596+E1596+SUMIF(Transactions!$F$8:$F$3006,B1596,Transactions!$Q$8:$Q$3006)))</f>
        <v/>
      </c>
      <c r="H1596" s="47" t="str">
        <f>IF(B1596="","",IF(G1596&gt;0,"OUTSTANDING",IF(G1596=0,"SETTLED",IF(SUMIF(Transactions!$F$8:$F$3006,B1596,Transactions!$Q$8:$Q$3006)&gt;SUMIF(Transactions!$F$8:$F$3006,B1596,Transactions!$R$8:$R$3006),"OWES","OVERPAID"))))</f>
        <v/>
      </c>
      <c r="I1596" s="1"/>
    </row>
    <row r="1597" spans="1:9" ht="18" customHeight="1" x14ac:dyDescent="0.25">
      <c r="A1597" s="48">
        <v>1582</v>
      </c>
      <c r="B1597" s="49" t="str">
        <f t="array" ref="B1597">IFERROR(IF(INDEX(Transactions!$F$8:$F$3006,MATCH(0,COUNTIF($B$11:B1596,Transactions!$F$8:$F$3006),0))="","",INDEX(Transactions!$F$8:$F$3006,MATCH(0,COUNTIF($B$11:B1596,Transactions!$F$8:$F$3006),0))),"")</f>
        <v/>
      </c>
      <c r="C1597" s="50" t="str">
        <f>IF(B1597="","",SUMIF(Transactions!$F$8:$F$3006,B1597,Transactions!$H$8:$H$3006))</f>
        <v/>
      </c>
      <c r="D1597" s="51" t="str">
        <f>IF(B1597="","",SUMIF(Transactions!$F$8:$F$3006,B1597,Transactions!$N$8:$N$3006))</f>
        <v/>
      </c>
      <c r="E1597" s="52" t="str">
        <f>IF(B1597="","",SUMIF(Transactions!$F$8:$F$3006,B1597,Transactions!$O$8:$O$3006))</f>
        <v/>
      </c>
      <c r="F1597" s="53" t="str">
        <f>IF(B1597="","",SUMIF(Transactions!$F$8:$F$3006,B1597,Transactions!$R$8:$R$3006))</f>
        <v/>
      </c>
      <c r="G1597" s="54" t="str">
        <f>IF(B1597="","",(C1597+F1597)-(D1597+E1597+SUMIF(Transactions!$F$8:$F$3006,B1597,Transactions!$Q$8:$Q$3006)))</f>
        <v/>
      </c>
      <c r="H1597" s="55" t="str">
        <f>IF(B1597="","",IF(G1597&gt;0,"OUTSTANDING",IF(G1597=0,"SETTLED",IF(SUMIF(Transactions!$F$8:$F$3006,B1597,Transactions!$Q$8:$Q$3006)&gt;SUMIF(Transactions!$F$8:$F$3006,B1597,Transactions!$R$8:$R$3006),"OWES","OVERPAID"))))</f>
        <v/>
      </c>
      <c r="I1597" s="1"/>
    </row>
    <row r="1598" spans="1:9" ht="18" customHeight="1" x14ac:dyDescent="0.25">
      <c r="A1598" s="40">
        <v>1583</v>
      </c>
      <c r="B1598" s="41" t="str">
        <f t="array" ref="B1598">IFERROR(IF(INDEX(Transactions!$F$8:$F$3006,MATCH(0,COUNTIF($B$11:B1597,Transactions!$F$8:$F$3006),0))="","",INDEX(Transactions!$F$8:$F$3006,MATCH(0,COUNTIF($B$11:B1597,Transactions!$F$8:$F$3006),0))),"")</f>
        <v/>
      </c>
      <c r="C1598" s="42" t="str">
        <f>IF(B1598="","",SUMIF(Transactions!$F$8:$F$3006,B1598,Transactions!$H$8:$H$3006))</f>
        <v/>
      </c>
      <c r="D1598" s="43" t="str">
        <f>IF(B1598="","",SUMIF(Transactions!$F$8:$F$3006,B1598,Transactions!$N$8:$N$3006))</f>
        <v/>
      </c>
      <c r="E1598" s="44" t="str">
        <f>IF(B1598="","",SUMIF(Transactions!$F$8:$F$3006,B1598,Transactions!$O$8:$O$3006))</f>
        <v/>
      </c>
      <c r="F1598" s="45" t="str">
        <f>IF(B1598="","",SUMIF(Transactions!$F$8:$F$3006,B1598,Transactions!$R$8:$R$3006))</f>
        <v/>
      </c>
      <c r="G1598" s="46" t="str">
        <f>IF(B1598="","",(C1598+F1598)-(D1598+E1598+SUMIF(Transactions!$F$8:$F$3006,B1598,Transactions!$Q$8:$Q$3006)))</f>
        <v/>
      </c>
      <c r="H1598" s="47" t="str">
        <f>IF(B1598="","",IF(G1598&gt;0,"OUTSTANDING",IF(G1598=0,"SETTLED",IF(SUMIF(Transactions!$F$8:$F$3006,B1598,Transactions!$Q$8:$Q$3006)&gt;SUMIF(Transactions!$F$8:$F$3006,B1598,Transactions!$R$8:$R$3006),"OWES","OVERPAID"))))</f>
        <v/>
      </c>
      <c r="I1598" s="1"/>
    </row>
    <row r="1599" spans="1:9" ht="18" customHeight="1" x14ac:dyDescent="0.25">
      <c r="A1599" s="48">
        <v>1584</v>
      </c>
      <c r="B1599" s="49" t="str">
        <f t="array" ref="B1599">IFERROR(IF(INDEX(Transactions!$F$8:$F$3006,MATCH(0,COUNTIF($B$11:B1598,Transactions!$F$8:$F$3006),0))="","",INDEX(Transactions!$F$8:$F$3006,MATCH(0,COUNTIF($B$11:B1598,Transactions!$F$8:$F$3006),0))),"")</f>
        <v/>
      </c>
      <c r="C1599" s="50" t="str">
        <f>IF(B1599="","",SUMIF(Transactions!$F$8:$F$3006,B1599,Transactions!$H$8:$H$3006))</f>
        <v/>
      </c>
      <c r="D1599" s="51" t="str">
        <f>IF(B1599="","",SUMIF(Transactions!$F$8:$F$3006,B1599,Transactions!$N$8:$N$3006))</f>
        <v/>
      </c>
      <c r="E1599" s="52" t="str">
        <f>IF(B1599="","",SUMIF(Transactions!$F$8:$F$3006,B1599,Transactions!$O$8:$O$3006))</f>
        <v/>
      </c>
      <c r="F1599" s="53" t="str">
        <f>IF(B1599="","",SUMIF(Transactions!$F$8:$F$3006,B1599,Transactions!$R$8:$R$3006))</f>
        <v/>
      </c>
      <c r="G1599" s="54" t="str">
        <f>IF(B1599="","",(C1599+F1599)-(D1599+E1599+SUMIF(Transactions!$F$8:$F$3006,B1599,Transactions!$Q$8:$Q$3006)))</f>
        <v/>
      </c>
      <c r="H1599" s="55" t="str">
        <f>IF(B1599="","",IF(G1599&gt;0,"OUTSTANDING",IF(G1599=0,"SETTLED",IF(SUMIF(Transactions!$F$8:$F$3006,B1599,Transactions!$Q$8:$Q$3006)&gt;SUMIF(Transactions!$F$8:$F$3006,B1599,Transactions!$R$8:$R$3006),"OWES","OVERPAID"))))</f>
        <v/>
      </c>
      <c r="I1599" s="1"/>
    </row>
    <row r="1600" spans="1:9" ht="18" customHeight="1" x14ac:dyDescent="0.25">
      <c r="A1600" s="40">
        <v>1585</v>
      </c>
      <c r="B1600" s="41" t="str">
        <f t="array" ref="B1600">IFERROR(IF(INDEX(Transactions!$F$8:$F$3006,MATCH(0,COUNTIF($B$11:B1599,Transactions!$F$8:$F$3006),0))="","",INDEX(Transactions!$F$8:$F$3006,MATCH(0,COUNTIF($B$11:B1599,Transactions!$F$8:$F$3006),0))),"")</f>
        <v/>
      </c>
      <c r="C1600" s="42" t="str">
        <f>IF(B1600="","",SUMIF(Transactions!$F$8:$F$3006,B1600,Transactions!$H$8:$H$3006))</f>
        <v/>
      </c>
      <c r="D1600" s="43" t="str">
        <f>IF(B1600="","",SUMIF(Transactions!$F$8:$F$3006,B1600,Transactions!$N$8:$N$3006))</f>
        <v/>
      </c>
      <c r="E1600" s="44" t="str">
        <f>IF(B1600="","",SUMIF(Transactions!$F$8:$F$3006,B1600,Transactions!$O$8:$O$3006))</f>
        <v/>
      </c>
      <c r="F1600" s="45" t="str">
        <f>IF(B1600="","",SUMIF(Transactions!$F$8:$F$3006,B1600,Transactions!$R$8:$R$3006))</f>
        <v/>
      </c>
      <c r="G1600" s="46" t="str">
        <f>IF(B1600="","",(C1600+F1600)-(D1600+E1600+SUMIF(Transactions!$F$8:$F$3006,B1600,Transactions!$Q$8:$Q$3006)))</f>
        <v/>
      </c>
      <c r="H1600" s="47" t="str">
        <f>IF(B1600="","",IF(G1600&gt;0,"OUTSTANDING",IF(G1600=0,"SETTLED",IF(SUMIF(Transactions!$F$8:$F$3006,B1600,Transactions!$Q$8:$Q$3006)&gt;SUMIF(Transactions!$F$8:$F$3006,B1600,Transactions!$R$8:$R$3006),"OWES","OVERPAID"))))</f>
        <v/>
      </c>
      <c r="I1600" s="1"/>
    </row>
    <row r="1601" spans="1:9" ht="18" customHeight="1" x14ac:dyDescent="0.25">
      <c r="A1601" s="48">
        <v>1586</v>
      </c>
      <c r="B1601" s="49" t="str">
        <f t="array" ref="B1601">IFERROR(IF(INDEX(Transactions!$F$8:$F$3006,MATCH(0,COUNTIF($B$11:B1600,Transactions!$F$8:$F$3006),0))="","",INDEX(Transactions!$F$8:$F$3006,MATCH(0,COUNTIF($B$11:B1600,Transactions!$F$8:$F$3006),0))),"")</f>
        <v/>
      </c>
      <c r="C1601" s="50" t="str">
        <f>IF(B1601="","",SUMIF(Transactions!$F$8:$F$3006,B1601,Transactions!$H$8:$H$3006))</f>
        <v/>
      </c>
      <c r="D1601" s="51" t="str">
        <f>IF(B1601="","",SUMIF(Transactions!$F$8:$F$3006,B1601,Transactions!$N$8:$N$3006))</f>
        <v/>
      </c>
      <c r="E1601" s="52" t="str">
        <f>IF(B1601="","",SUMIF(Transactions!$F$8:$F$3006,B1601,Transactions!$O$8:$O$3006))</f>
        <v/>
      </c>
      <c r="F1601" s="53" t="str">
        <f>IF(B1601="","",SUMIF(Transactions!$F$8:$F$3006,B1601,Transactions!$R$8:$R$3006))</f>
        <v/>
      </c>
      <c r="G1601" s="54" t="str">
        <f>IF(B1601="","",(C1601+F1601)-(D1601+E1601+SUMIF(Transactions!$F$8:$F$3006,B1601,Transactions!$Q$8:$Q$3006)))</f>
        <v/>
      </c>
      <c r="H1601" s="55" t="str">
        <f>IF(B1601="","",IF(G1601&gt;0,"OUTSTANDING",IF(G1601=0,"SETTLED",IF(SUMIF(Transactions!$F$8:$F$3006,B1601,Transactions!$Q$8:$Q$3006)&gt;SUMIF(Transactions!$F$8:$F$3006,B1601,Transactions!$R$8:$R$3006),"OWES","OVERPAID"))))</f>
        <v/>
      </c>
      <c r="I1601" s="1"/>
    </row>
    <row r="1602" spans="1:9" ht="18" customHeight="1" x14ac:dyDescent="0.25">
      <c r="A1602" s="40">
        <v>1587</v>
      </c>
      <c r="B1602" s="41" t="str">
        <f t="array" ref="B1602">IFERROR(IF(INDEX(Transactions!$F$8:$F$3006,MATCH(0,COUNTIF($B$11:B1601,Transactions!$F$8:$F$3006),0))="","",INDEX(Transactions!$F$8:$F$3006,MATCH(0,COUNTIF($B$11:B1601,Transactions!$F$8:$F$3006),0))),"")</f>
        <v/>
      </c>
      <c r="C1602" s="42" t="str">
        <f>IF(B1602="","",SUMIF(Transactions!$F$8:$F$3006,B1602,Transactions!$H$8:$H$3006))</f>
        <v/>
      </c>
      <c r="D1602" s="43" t="str">
        <f>IF(B1602="","",SUMIF(Transactions!$F$8:$F$3006,B1602,Transactions!$N$8:$N$3006))</f>
        <v/>
      </c>
      <c r="E1602" s="44" t="str">
        <f>IF(B1602="","",SUMIF(Transactions!$F$8:$F$3006,B1602,Transactions!$O$8:$O$3006))</f>
        <v/>
      </c>
      <c r="F1602" s="45" t="str">
        <f>IF(B1602="","",SUMIF(Transactions!$F$8:$F$3006,B1602,Transactions!$R$8:$R$3006))</f>
        <v/>
      </c>
      <c r="G1602" s="46" t="str">
        <f>IF(B1602="","",(C1602+F1602)-(D1602+E1602+SUMIF(Transactions!$F$8:$F$3006,B1602,Transactions!$Q$8:$Q$3006)))</f>
        <v/>
      </c>
      <c r="H1602" s="47" t="str">
        <f>IF(B1602="","",IF(G1602&gt;0,"OUTSTANDING",IF(G1602=0,"SETTLED",IF(SUMIF(Transactions!$F$8:$F$3006,B1602,Transactions!$Q$8:$Q$3006)&gt;SUMIF(Transactions!$F$8:$F$3006,B1602,Transactions!$R$8:$R$3006),"OWES","OVERPAID"))))</f>
        <v/>
      </c>
      <c r="I1602" s="1"/>
    </row>
    <row r="1603" spans="1:9" ht="18" customHeight="1" x14ac:dyDescent="0.25">
      <c r="A1603" s="48">
        <v>1588</v>
      </c>
      <c r="B1603" s="49" t="str">
        <f t="array" ref="B1603">IFERROR(IF(INDEX(Transactions!$F$8:$F$3006,MATCH(0,COUNTIF($B$11:B1602,Transactions!$F$8:$F$3006),0))="","",INDEX(Transactions!$F$8:$F$3006,MATCH(0,COUNTIF($B$11:B1602,Transactions!$F$8:$F$3006),0))),"")</f>
        <v/>
      </c>
      <c r="C1603" s="50" t="str">
        <f>IF(B1603="","",SUMIF(Transactions!$F$8:$F$3006,B1603,Transactions!$H$8:$H$3006))</f>
        <v/>
      </c>
      <c r="D1603" s="51" t="str">
        <f>IF(B1603="","",SUMIF(Transactions!$F$8:$F$3006,B1603,Transactions!$N$8:$N$3006))</f>
        <v/>
      </c>
      <c r="E1603" s="52" t="str">
        <f>IF(B1603="","",SUMIF(Transactions!$F$8:$F$3006,B1603,Transactions!$O$8:$O$3006))</f>
        <v/>
      </c>
      <c r="F1603" s="53" t="str">
        <f>IF(B1603="","",SUMIF(Transactions!$F$8:$F$3006,B1603,Transactions!$R$8:$R$3006))</f>
        <v/>
      </c>
      <c r="G1603" s="54" t="str">
        <f>IF(B1603="","",(C1603+F1603)-(D1603+E1603+SUMIF(Transactions!$F$8:$F$3006,B1603,Transactions!$Q$8:$Q$3006)))</f>
        <v/>
      </c>
      <c r="H1603" s="55" t="str">
        <f>IF(B1603="","",IF(G1603&gt;0,"OUTSTANDING",IF(G1603=0,"SETTLED",IF(SUMIF(Transactions!$F$8:$F$3006,B1603,Transactions!$Q$8:$Q$3006)&gt;SUMIF(Transactions!$F$8:$F$3006,B1603,Transactions!$R$8:$R$3006),"OWES","OVERPAID"))))</f>
        <v/>
      </c>
      <c r="I1603" s="1"/>
    </row>
    <row r="1604" spans="1:9" ht="18" customHeight="1" x14ac:dyDescent="0.25">
      <c r="A1604" s="40">
        <v>1589</v>
      </c>
      <c r="B1604" s="41" t="str">
        <f t="array" ref="B1604">IFERROR(IF(INDEX(Transactions!$F$8:$F$3006,MATCH(0,COUNTIF($B$11:B1603,Transactions!$F$8:$F$3006),0))="","",INDEX(Transactions!$F$8:$F$3006,MATCH(0,COUNTIF($B$11:B1603,Transactions!$F$8:$F$3006),0))),"")</f>
        <v/>
      </c>
      <c r="C1604" s="42" t="str">
        <f>IF(B1604="","",SUMIF(Transactions!$F$8:$F$3006,B1604,Transactions!$H$8:$H$3006))</f>
        <v/>
      </c>
      <c r="D1604" s="43" t="str">
        <f>IF(B1604="","",SUMIF(Transactions!$F$8:$F$3006,B1604,Transactions!$N$8:$N$3006))</f>
        <v/>
      </c>
      <c r="E1604" s="44" t="str">
        <f>IF(B1604="","",SUMIF(Transactions!$F$8:$F$3006,B1604,Transactions!$O$8:$O$3006))</f>
        <v/>
      </c>
      <c r="F1604" s="45" t="str">
        <f>IF(B1604="","",SUMIF(Transactions!$F$8:$F$3006,B1604,Transactions!$R$8:$R$3006))</f>
        <v/>
      </c>
      <c r="G1604" s="46" t="str">
        <f>IF(B1604="","",(C1604+F1604)-(D1604+E1604+SUMIF(Transactions!$F$8:$F$3006,B1604,Transactions!$Q$8:$Q$3006)))</f>
        <v/>
      </c>
      <c r="H1604" s="47" t="str">
        <f>IF(B1604="","",IF(G1604&gt;0,"OUTSTANDING",IF(G1604=0,"SETTLED",IF(SUMIF(Transactions!$F$8:$F$3006,B1604,Transactions!$Q$8:$Q$3006)&gt;SUMIF(Transactions!$F$8:$F$3006,B1604,Transactions!$R$8:$R$3006),"OWES","OVERPAID"))))</f>
        <v/>
      </c>
      <c r="I1604" s="1"/>
    </row>
    <row r="1605" spans="1:9" ht="18" customHeight="1" x14ac:dyDescent="0.25">
      <c r="A1605" s="48">
        <v>1590</v>
      </c>
      <c r="B1605" s="49" t="str">
        <f t="array" ref="B1605">IFERROR(IF(INDEX(Transactions!$F$8:$F$3006,MATCH(0,COUNTIF($B$11:B1604,Transactions!$F$8:$F$3006),0))="","",INDEX(Transactions!$F$8:$F$3006,MATCH(0,COUNTIF($B$11:B1604,Transactions!$F$8:$F$3006),0))),"")</f>
        <v/>
      </c>
      <c r="C1605" s="50" t="str">
        <f>IF(B1605="","",SUMIF(Transactions!$F$8:$F$3006,B1605,Transactions!$H$8:$H$3006))</f>
        <v/>
      </c>
      <c r="D1605" s="51" t="str">
        <f>IF(B1605="","",SUMIF(Transactions!$F$8:$F$3006,B1605,Transactions!$N$8:$N$3006))</f>
        <v/>
      </c>
      <c r="E1605" s="52" t="str">
        <f>IF(B1605="","",SUMIF(Transactions!$F$8:$F$3006,B1605,Transactions!$O$8:$O$3006))</f>
        <v/>
      </c>
      <c r="F1605" s="53" t="str">
        <f>IF(B1605="","",SUMIF(Transactions!$F$8:$F$3006,B1605,Transactions!$R$8:$R$3006))</f>
        <v/>
      </c>
      <c r="G1605" s="54" t="str">
        <f>IF(B1605="","",(C1605+F1605)-(D1605+E1605+SUMIF(Transactions!$F$8:$F$3006,B1605,Transactions!$Q$8:$Q$3006)))</f>
        <v/>
      </c>
      <c r="H1605" s="55" t="str">
        <f>IF(B1605="","",IF(G1605&gt;0,"OUTSTANDING",IF(G1605=0,"SETTLED",IF(SUMIF(Transactions!$F$8:$F$3006,B1605,Transactions!$Q$8:$Q$3006)&gt;SUMIF(Transactions!$F$8:$F$3006,B1605,Transactions!$R$8:$R$3006),"OWES","OVERPAID"))))</f>
        <v/>
      </c>
      <c r="I1605" s="1"/>
    </row>
    <row r="1606" spans="1:9" ht="18" customHeight="1" x14ac:dyDescent="0.25">
      <c r="A1606" s="40">
        <v>1591</v>
      </c>
      <c r="B1606" s="41" t="str">
        <f t="array" ref="B1606">IFERROR(IF(INDEX(Transactions!$F$8:$F$3006,MATCH(0,COUNTIF($B$11:B1605,Transactions!$F$8:$F$3006),0))="","",INDEX(Transactions!$F$8:$F$3006,MATCH(0,COUNTIF($B$11:B1605,Transactions!$F$8:$F$3006),0))),"")</f>
        <v/>
      </c>
      <c r="C1606" s="42" t="str">
        <f>IF(B1606="","",SUMIF(Transactions!$F$8:$F$3006,B1606,Transactions!$H$8:$H$3006))</f>
        <v/>
      </c>
      <c r="D1606" s="43" t="str">
        <f>IF(B1606="","",SUMIF(Transactions!$F$8:$F$3006,B1606,Transactions!$N$8:$N$3006))</f>
        <v/>
      </c>
      <c r="E1606" s="44" t="str">
        <f>IF(B1606="","",SUMIF(Transactions!$F$8:$F$3006,B1606,Transactions!$O$8:$O$3006))</f>
        <v/>
      </c>
      <c r="F1606" s="45" t="str">
        <f>IF(B1606="","",SUMIF(Transactions!$F$8:$F$3006,B1606,Transactions!$R$8:$R$3006))</f>
        <v/>
      </c>
      <c r="G1606" s="46" t="str">
        <f>IF(B1606="","",(C1606+F1606)-(D1606+E1606+SUMIF(Transactions!$F$8:$F$3006,B1606,Transactions!$Q$8:$Q$3006)))</f>
        <v/>
      </c>
      <c r="H1606" s="47" t="str">
        <f>IF(B1606="","",IF(G1606&gt;0,"OUTSTANDING",IF(G1606=0,"SETTLED",IF(SUMIF(Transactions!$F$8:$F$3006,B1606,Transactions!$Q$8:$Q$3006)&gt;SUMIF(Transactions!$F$8:$F$3006,B1606,Transactions!$R$8:$R$3006),"OWES","OVERPAID"))))</f>
        <v/>
      </c>
      <c r="I1606" s="1"/>
    </row>
    <row r="1607" spans="1:9" ht="18" customHeight="1" x14ac:dyDescent="0.25">
      <c r="A1607" s="48">
        <v>1592</v>
      </c>
      <c r="B1607" s="49" t="str">
        <f t="array" ref="B1607">IFERROR(IF(INDEX(Transactions!$F$8:$F$3006,MATCH(0,COUNTIF($B$11:B1606,Transactions!$F$8:$F$3006),0))="","",INDEX(Transactions!$F$8:$F$3006,MATCH(0,COUNTIF($B$11:B1606,Transactions!$F$8:$F$3006),0))),"")</f>
        <v/>
      </c>
      <c r="C1607" s="50" t="str">
        <f>IF(B1607="","",SUMIF(Transactions!$F$8:$F$3006,B1607,Transactions!$H$8:$H$3006))</f>
        <v/>
      </c>
      <c r="D1607" s="51" t="str">
        <f>IF(B1607="","",SUMIF(Transactions!$F$8:$F$3006,B1607,Transactions!$N$8:$N$3006))</f>
        <v/>
      </c>
      <c r="E1607" s="52" t="str">
        <f>IF(B1607="","",SUMIF(Transactions!$F$8:$F$3006,B1607,Transactions!$O$8:$O$3006))</f>
        <v/>
      </c>
      <c r="F1607" s="53" t="str">
        <f>IF(B1607="","",SUMIF(Transactions!$F$8:$F$3006,B1607,Transactions!$R$8:$R$3006))</f>
        <v/>
      </c>
      <c r="G1607" s="54" t="str">
        <f>IF(B1607="","",(C1607+F1607)-(D1607+E1607+SUMIF(Transactions!$F$8:$F$3006,B1607,Transactions!$Q$8:$Q$3006)))</f>
        <v/>
      </c>
      <c r="H1607" s="55" t="str">
        <f>IF(B1607="","",IF(G1607&gt;0,"OUTSTANDING",IF(G1607=0,"SETTLED",IF(SUMIF(Transactions!$F$8:$F$3006,B1607,Transactions!$Q$8:$Q$3006)&gt;SUMIF(Transactions!$F$8:$F$3006,B1607,Transactions!$R$8:$R$3006),"OWES","OVERPAID"))))</f>
        <v/>
      </c>
      <c r="I1607" s="1"/>
    </row>
    <row r="1608" spans="1:9" ht="18" customHeight="1" x14ac:dyDescent="0.25">
      <c r="A1608" s="40">
        <v>1593</v>
      </c>
      <c r="B1608" s="41" t="str">
        <f t="array" ref="B1608">IFERROR(IF(INDEX(Transactions!$F$8:$F$3006,MATCH(0,COUNTIF($B$11:B1607,Transactions!$F$8:$F$3006),0))="","",INDEX(Transactions!$F$8:$F$3006,MATCH(0,COUNTIF($B$11:B1607,Transactions!$F$8:$F$3006),0))),"")</f>
        <v/>
      </c>
      <c r="C1608" s="42" t="str">
        <f>IF(B1608="","",SUMIF(Transactions!$F$8:$F$3006,B1608,Transactions!$H$8:$H$3006))</f>
        <v/>
      </c>
      <c r="D1608" s="43" t="str">
        <f>IF(B1608="","",SUMIF(Transactions!$F$8:$F$3006,B1608,Transactions!$N$8:$N$3006))</f>
        <v/>
      </c>
      <c r="E1608" s="44" t="str">
        <f>IF(B1608="","",SUMIF(Transactions!$F$8:$F$3006,B1608,Transactions!$O$8:$O$3006))</f>
        <v/>
      </c>
      <c r="F1608" s="45" t="str">
        <f>IF(B1608="","",SUMIF(Transactions!$F$8:$F$3006,B1608,Transactions!$R$8:$R$3006))</f>
        <v/>
      </c>
      <c r="G1608" s="46" t="str">
        <f>IF(B1608="","",(C1608+F1608)-(D1608+E1608+SUMIF(Transactions!$F$8:$F$3006,B1608,Transactions!$Q$8:$Q$3006)))</f>
        <v/>
      </c>
      <c r="H1608" s="47" t="str">
        <f>IF(B1608="","",IF(G1608&gt;0,"OUTSTANDING",IF(G1608=0,"SETTLED",IF(SUMIF(Transactions!$F$8:$F$3006,B1608,Transactions!$Q$8:$Q$3006)&gt;SUMIF(Transactions!$F$8:$F$3006,B1608,Transactions!$R$8:$R$3006),"OWES","OVERPAID"))))</f>
        <v/>
      </c>
      <c r="I1608" s="1"/>
    </row>
    <row r="1609" spans="1:9" ht="18" customHeight="1" x14ac:dyDescent="0.25">
      <c r="A1609" s="48">
        <v>1594</v>
      </c>
      <c r="B1609" s="49" t="str">
        <f t="array" ref="B1609">IFERROR(IF(INDEX(Transactions!$F$8:$F$3006,MATCH(0,COUNTIF($B$11:B1608,Transactions!$F$8:$F$3006),0))="","",INDEX(Transactions!$F$8:$F$3006,MATCH(0,COUNTIF($B$11:B1608,Transactions!$F$8:$F$3006),0))),"")</f>
        <v/>
      </c>
      <c r="C1609" s="50" t="str">
        <f>IF(B1609="","",SUMIF(Transactions!$F$8:$F$3006,B1609,Transactions!$H$8:$H$3006))</f>
        <v/>
      </c>
      <c r="D1609" s="51" t="str">
        <f>IF(B1609="","",SUMIF(Transactions!$F$8:$F$3006,B1609,Transactions!$N$8:$N$3006))</f>
        <v/>
      </c>
      <c r="E1609" s="52" t="str">
        <f>IF(B1609="","",SUMIF(Transactions!$F$8:$F$3006,B1609,Transactions!$O$8:$O$3006))</f>
        <v/>
      </c>
      <c r="F1609" s="53" t="str">
        <f>IF(B1609="","",SUMIF(Transactions!$F$8:$F$3006,B1609,Transactions!$R$8:$R$3006))</f>
        <v/>
      </c>
      <c r="G1609" s="54" t="str">
        <f>IF(B1609="","",(C1609+F1609)-(D1609+E1609+SUMIF(Transactions!$F$8:$F$3006,B1609,Transactions!$Q$8:$Q$3006)))</f>
        <v/>
      </c>
      <c r="H1609" s="55" t="str">
        <f>IF(B1609="","",IF(G1609&gt;0,"OUTSTANDING",IF(G1609=0,"SETTLED",IF(SUMIF(Transactions!$F$8:$F$3006,B1609,Transactions!$Q$8:$Q$3006)&gt;SUMIF(Transactions!$F$8:$F$3006,B1609,Transactions!$R$8:$R$3006),"OWES","OVERPAID"))))</f>
        <v/>
      </c>
      <c r="I1609" s="1"/>
    </row>
    <row r="1610" spans="1:9" ht="18" customHeight="1" x14ac:dyDescent="0.25">
      <c r="A1610" s="40">
        <v>1595</v>
      </c>
      <c r="B1610" s="41" t="str">
        <f t="array" ref="B1610">IFERROR(IF(INDEX(Transactions!$F$8:$F$3006,MATCH(0,COUNTIF($B$11:B1609,Transactions!$F$8:$F$3006),0))="","",INDEX(Transactions!$F$8:$F$3006,MATCH(0,COUNTIF($B$11:B1609,Transactions!$F$8:$F$3006),0))),"")</f>
        <v/>
      </c>
      <c r="C1610" s="42" t="str">
        <f>IF(B1610="","",SUMIF(Transactions!$F$8:$F$3006,B1610,Transactions!$H$8:$H$3006))</f>
        <v/>
      </c>
      <c r="D1610" s="43" t="str">
        <f>IF(B1610="","",SUMIF(Transactions!$F$8:$F$3006,B1610,Transactions!$N$8:$N$3006))</f>
        <v/>
      </c>
      <c r="E1610" s="44" t="str">
        <f>IF(B1610="","",SUMIF(Transactions!$F$8:$F$3006,B1610,Transactions!$O$8:$O$3006))</f>
        <v/>
      </c>
      <c r="F1610" s="45" t="str">
        <f>IF(B1610="","",SUMIF(Transactions!$F$8:$F$3006,B1610,Transactions!$R$8:$R$3006))</f>
        <v/>
      </c>
      <c r="G1610" s="46" t="str">
        <f>IF(B1610="","",(C1610+F1610)-(D1610+E1610+SUMIF(Transactions!$F$8:$F$3006,B1610,Transactions!$Q$8:$Q$3006)))</f>
        <v/>
      </c>
      <c r="H1610" s="47" t="str">
        <f>IF(B1610="","",IF(G1610&gt;0,"OUTSTANDING",IF(G1610=0,"SETTLED",IF(SUMIF(Transactions!$F$8:$F$3006,B1610,Transactions!$Q$8:$Q$3006)&gt;SUMIF(Transactions!$F$8:$F$3006,B1610,Transactions!$R$8:$R$3006),"OWES","OVERPAID"))))</f>
        <v/>
      </c>
      <c r="I1610" s="1"/>
    </row>
    <row r="1611" spans="1:9" ht="18" customHeight="1" x14ac:dyDescent="0.25">
      <c r="A1611" s="48">
        <v>1596</v>
      </c>
      <c r="B1611" s="49" t="str">
        <f t="array" ref="B1611">IFERROR(IF(INDEX(Transactions!$F$8:$F$3006,MATCH(0,COUNTIF($B$11:B1610,Transactions!$F$8:$F$3006),0))="","",INDEX(Transactions!$F$8:$F$3006,MATCH(0,COUNTIF($B$11:B1610,Transactions!$F$8:$F$3006),0))),"")</f>
        <v/>
      </c>
      <c r="C1611" s="50" t="str">
        <f>IF(B1611="","",SUMIF(Transactions!$F$8:$F$3006,B1611,Transactions!$H$8:$H$3006))</f>
        <v/>
      </c>
      <c r="D1611" s="51" t="str">
        <f>IF(B1611="","",SUMIF(Transactions!$F$8:$F$3006,B1611,Transactions!$N$8:$N$3006))</f>
        <v/>
      </c>
      <c r="E1611" s="52" t="str">
        <f>IF(B1611="","",SUMIF(Transactions!$F$8:$F$3006,B1611,Transactions!$O$8:$O$3006))</f>
        <v/>
      </c>
      <c r="F1611" s="53" t="str">
        <f>IF(B1611="","",SUMIF(Transactions!$F$8:$F$3006,B1611,Transactions!$R$8:$R$3006))</f>
        <v/>
      </c>
      <c r="G1611" s="54" t="str">
        <f>IF(B1611="","",(C1611+F1611)-(D1611+E1611+SUMIF(Transactions!$F$8:$F$3006,B1611,Transactions!$Q$8:$Q$3006)))</f>
        <v/>
      </c>
      <c r="H1611" s="55" t="str">
        <f>IF(B1611="","",IF(G1611&gt;0,"OUTSTANDING",IF(G1611=0,"SETTLED",IF(SUMIF(Transactions!$F$8:$F$3006,B1611,Transactions!$Q$8:$Q$3006)&gt;SUMIF(Transactions!$F$8:$F$3006,B1611,Transactions!$R$8:$R$3006),"OWES","OVERPAID"))))</f>
        <v/>
      </c>
      <c r="I1611" s="1"/>
    </row>
    <row r="1612" spans="1:9" ht="18" customHeight="1" x14ac:dyDescent="0.25">
      <c r="A1612" s="40">
        <v>1597</v>
      </c>
      <c r="B1612" s="41" t="str">
        <f t="array" ref="B1612">IFERROR(IF(INDEX(Transactions!$F$8:$F$3006,MATCH(0,COUNTIF($B$11:B1611,Transactions!$F$8:$F$3006),0))="","",INDEX(Transactions!$F$8:$F$3006,MATCH(0,COUNTIF($B$11:B1611,Transactions!$F$8:$F$3006),0))),"")</f>
        <v/>
      </c>
      <c r="C1612" s="42" t="str">
        <f>IF(B1612="","",SUMIF(Transactions!$F$8:$F$3006,B1612,Transactions!$H$8:$H$3006))</f>
        <v/>
      </c>
      <c r="D1612" s="43" t="str">
        <f>IF(B1612="","",SUMIF(Transactions!$F$8:$F$3006,B1612,Transactions!$N$8:$N$3006))</f>
        <v/>
      </c>
      <c r="E1612" s="44" t="str">
        <f>IF(B1612="","",SUMIF(Transactions!$F$8:$F$3006,B1612,Transactions!$O$8:$O$3006))</f>
        <v/>
      </c>
      <c r="F1612" s="45" t="str">
        <f>IF(B1612="","",SUMIF(Transactions!$F$8:$F$3006,B1612,Transactions!$R$8:$R$3006))</f>
        <v/>
      </c>
      <c r="G1612" s="46" t="str">
        <f>IF(B1612="","",(C1612+F1612)-(D1612+E1612+SUMIF(Transactions!$F$8:$F$3006,B1612,Transactions!$Q$8:$Q$3006)))</f>
        <v/>
      </c>
      <c r="H1612" s="47" t="str">
        <f>IF(B1612="","",IF(G1612&gt;0,"OUTSTANDING",IF(G1612=0,"SETTLED",IF(SUMIF(Transactions!$F$8:$F$3006,B1612,Transactions!$Q$8:$Q$3006)&gt;SUMIF(Transactions!$F$8:$F$3006,B1612,Transactions!$R$8:$R$3006),"OWES","OVERPAID"))))</f>
        <v/>
      </c>
      <c r="I1612" s="1"/>
    </row>
    <row r="1613" spans="1:9" ht="18" customHeight="1" x14ac:dyDescent="0.25">
      <c r="A1613" s="48">
        <v>1598</v>
      </c>
      <c r="B1613" s="49" t="str">
        <f t="array" ref="B1613">IFERROR(IF(INDEX(Transactions!$F$8:$F$3006,MATCH(0,COUNTIF($B$11:B1612,Transactions!$F$8:$F$3006),0))="","",INDEX(Transactions!$F$8:$F$3006,MATCH(0,COUNTIF($B$11:B1612,Transactions!$F$8:$F$3006),0))),"")</f>
        <v/>
      </c>
      <c r="C1613" s="50" t="str">
        <f>IF(B1613="","",SUMIF(Transactions!$F$8:$F$3006,B1613,Transactions!$H$8:$H$3006))</f>
        <v/>
      </c>
      <c r="D1613" s="51" t="str">
        <f>IF(B1613="","",SUMIF(Transactions!$F$8:$F$3006,B1613,Transactions!$N$8:$N$3006))</f>
        <v/>
      </c>
      <c r="E1613" s="52" t="str">
        <f>IF(B1613="","",SUMIF(Transactions!$F$8:$F$3006,B1613,Transactions!$O$8:$O$3006))</f>
        <v/>
      </c>
      <c r="F1613" s="53" t="str">
        <f>IF(B1613="","",SUMIF(Transactions!$F$8:$F$3006,B1613,Transactions!$R$8:$R$3006))</f>
        <v/>
      </c>
      <c r="G1613" s="54" t="str">
        <f>IF(B1613="","",(C1613+F1613)-(D1613+E1613+SUMIF(Transactions!$F$8:$F$3006,B1613,Transactions!$Q$8:$Q$3006)))</f>
        <v/>
      </c>
      <c r="H1613" s="55" t="str">
        <f>IF(B1613="","",IF(G1613&gt;0,"OUTSTANDING",IF(G1613=0,"SETTLED",IF(SUMIF(Transactions!$F$8:$F$3006,B1613,Transactions!$Q$8:$Q$3006)&gt;SUMIF(Transactions!$F$8:$F$3006,B1613,Transactions!$R$8:$R$3006),"OWES","OVERPAID"))))</f>
        <v/>
      </c>
      <c r="I1613" s="1"/>
    </row>
    <row r="1614" spans="1:9" ht="18" customHeight="1" x14ac:dyDescent="0.25">
      <c r="A1614" s="40">
        <v>1599</v>
      </c>
      <c r="B1614" s="41" t="str">
        <f t="array" ref="B1614">IFERROR(IF(INDEX(Transactions!$F$8:$F$3006,MATCH(0,COUNTIF($B$11:B1613,Transactions!$F$8:$F$3006),0))="","",INDEX(Transactions!$F$8:$F$3006,MATCH(0,COUNTIF($B$11:B1613,Transactions!$F$8:$F$3006),0))),"")</f>
        <v/>
      </c>
      <c r="C1614" s="42" t="str">
        <f>IF(B1614="","",SUMIF(Transactions!$F$8:$F$3006,B1614,Transactions!$H$8:$H$3006))</f>
        <v/>
      </c>
      <c r="D1614" s="43" t="str">
        <f>IF(B1614="","",SUMIF(Transactions!$F$8:$F$3006,B1614,Transactions!$N$8:$N$3006))</f>
        <v/>
      </c>
      <c r="E1614" s="44" t="str">
        <f>IF(B1614="","",SUMIF(Transactions!$F$8:$F$3006,B1614,Transactions!$O$8:$O$3006))</f>
        <v/>
      </c>
      <c r="F1614" s="45" t="str">
        <f>IF(B1614="","",SUMIF(Transactions!$F$8:$F$3006,B1614,Transactions!$R$8:$R$3006))</f>
        <v/>
      </c>
      <c r="G1614" s="46" t="str">
        <f>IF(B1614="","",(C1614+F1614)-(D1614+E1614+SUMIF(Transactions!$F$8:$F$3006,B1614,Transactions!$Q$8:$Q$3006)))</f>
        <v/>
      </c>
      <c r="H1614" s="47" t="str">
        <f>IF(B1614="","",IF(G1614&gt;0,"OUTSTANDING",IF(G1614=0,"SETTLED",IF(SUMIF(Transactions!$F$8:$F$3006,B1614,Transactions!$Q$8:$Q$3006)&gt;SUMIF(Transactions!$F$8:$F$3006,B1614,Transactions!$R$8:$R$3006),"OWES","OVERPAID"))))</f>
        <v/>
      </c>
      <c r="I1614" s="1"/>
    </row>
    <row r="1615" spans="1:9" ht="18" customHeight="1" x14ac:dyDescent="0.25">
      <c r="A1615" s="48">
        <v>1600</v>
      </c>
      <c r="B1615" s="49" t="str">
        <f t="array" ref="B1615">IFERROR(IF(INDEX(Transactions!$F$8:$F$3006,MATCH(0,COUNTIF($B$11:B1614,Transactions!$F$8:$F$3006),0))="","",INDEX(Transactions!$F$8:$F$3006,MATCH(0,COUNTIF($B$11:B1614,Transactions!$F$8:$F$3006),0))),"")</f>
        <v/>
      </c>
      <c r="C1615" s="50" t="str">
        <f>IF(B1615="","",SUMIF(Transactions!$F$8:$F$3006,B1615,Transactions!$H$8:$H$3006))</f>
        <v/>
      </c>
      <c r="D1615" s="51" t="str">
        <f>IF(B1615="","",SUMIF(Transactions!$F$8:$F$3006,B1615,Transactions!$N$8:$N$3006))</f>
        <v/>
      </c>
      <c r="E1615" s="52" t="str">
        <f>IF(B1615="","",SUMIF(Transactions!$F$8:$F$3006,B1615,Transactions!$O$8:$O$3006))</f>
        <v/>
      </c>
      <c r="F1615" s="53" t="str">
        <f>IF(B1615="","",SUMIF(Transactions!$F$8:$F$3006,B1615,Transactions!$R$8:$R$3006))</f>
        <v/>
      </c>
      <c r="G1615" s="54" t="str">
        <f>IF(B1615="","",(C1615+F1615)-(D1615+E1615+SUMIF(Transactions!$F$8:$F$3006,B1615,Transactions!$Q$8:$Q$3006)))</f>
        <v/>
      </c>
      <c r="H1615" s="55" t="str">
        <f>IF(B1615="","",IF(G1615&gt;0,"OUTSTANDING",IF(G1615=0,"SETTLED",IF(SUMIF(Transactions!$F$8:$F$3006,B1615,Transactions!$Q$8:$Q$3006)&gt;SUMIF(Transactions!$F$8:$F$3006,B1615,Transactions!$R$8:$R$3006),"OWES","OVERPAID"))))</f>
        <v/>
      </c>
      <c r="I1615" s="1"/>
    </row>
    <row r="1616" spans="1:9" ht="18" customHeight="1" x14ac:dyDescent="0.25">
      <c r="A1616" s="40">
        <v>1601</v>
      </c>
      <c r="B1616" s="41" t="str">
        <f t="array" ref="B1616">IFERROR(IF(INDEX(Transactions!$F$8:$F$3006,MATCH(0,COUNTIF($B$11:B1615,Transactions!$F$8:$F$3006),0))="","",INDEX(Transactions!$F$8:$F$3006,MATCH(0,COUNTIF($B$11:B1615,Transactions!$F$8:$F$3006),0))),"")</f>
        <v/>
      </c>
      <c r="C1616" s="42" t="str">
        <f>IF(B1616="","",SUMIF(Transactions!$F$8:$F$3006,B1616,Transactions!$H$8:$H$3006))</f>
        <v/>
      </c>
      <c r="D1616" s="43" t="str">
        <f>IF(B1616="","",SUMIF(Transactions!$F$8:$F$3006,B1616,Transactions!$N$8:$N$3006))</f>
        <v/>
      </c>
      <c r="E1616" s="44" t="str">
        <f>IF(B1616="","",SUMIF(Transactions!$F$8:$F$3006,B1616,Transactions!$O$8:$O$3006))</f>
        <v/>
      </c>
      <c r="F1616" s="45" t="str">
        <f>IF(B1616="","",SUMIF(Transactions!$F$8:$F$3006,B1616,Transactions!$R$8:$R$3006))</f>
        <v/>
      </c>
      <c r="G1616" s="46" t="str">
        <f>IF(B1616="","",(C1616+F1616)-(D1616+E1616+SUMIF(Transactions!$F$8:$F$3006,B1616,Transactions!$Q$8:$Q$3006)))</f>
        <v/>
      </c>
      <c r="H1616" s="47" t="str">
        <f>IF(B1616="","",IF(G1616&gt;0,"OUTSTANDING",IF(G1616=0,"SETTLED",IF(SUMIF(Transactions!$F$8:$F$3006,B1616,Transactions!$Q$8:$Q$3006)&gt;SUMIF(Transactions!$F$8:$F$3006,B1616,Transactions!$R$8:$R$3006),"OWES","OVERPAID"))))</f>
        <v/>
      </c>
      <c r="I1616" s="1"/>
    </row>
    <row r="1617" spans="1:9" ht="18" customHeight="1" x14ac:dyDescent="0.25">
      <c r="A1617" s="48">
        <v>1602</v>
      </c>
      <c r="B1617" s="49" t="str">
        <f t="array" ref="B1617">IFERROR(IF(INDEX(Transactions!$F$8:$F$3006,MATCH(0,COUNTIF($B$11:B1616,Transactions!$F$8:$F$3006),0))="","",INDEX(Transactions!$F$8:$F$3006,MATCH(0,COUNTIF($B$11:B1616,Transactions!$F$8:$F$3006),0))),"")</f>
        <v/>
      </c>
      <c r="C1617" s="50" t="str">
        <f>IF(B1617="","",SUMIF(Transactions!$F$8:$F$3006,B1617,Transactions!$H$8:$H$3006))</f>
        <v/>
      </c>
      <c r="D1617" s="51" t="str">
        <f>IF(B1617="","",SUMIF(Transactions!$F$8:$F$3006,B1617,Transactions!$N$8:$N$3006))</f>
        <v/>
      </c>
      <c r="E1617" s="52" t="str">
        <f>IF(B1617="","",SUMIF(Transactions!$F$8:$F$3006,B1617,Transactions!$O$8:$O$3006))</f>
        <v/>
      </c>
      <c r="F1617" s="53" t="str">
        <f>IF(B1617="","",SUMIF(Transactions!$F$8:$F$3006,B1617,Transactions!$R$8:$R$3006))</f>
        <v/>
      </c>
      <c r="G1617" s="54" t="str">
        <f>IF(B1617="","",(C1617+F1617)-(D1617+E1617+SUMIF(Transactions!$F$8:$F$3006,B1617,Transactions!$Q$8:$Q$3006)))</f>
        <v/>
      </c>
      <c r="H1617" s="55" t="str">
        <f>IF(B1617="","",IF(G1617&gt;0,"OUTSTANDING",IF(G1617=0,"SETTLED",IF(SUMIF(Transactions!$F$8:$F$3006,B1617,Transactions!$Q$8:$Q$3006)&gt;SUMIF(Transactions!$F$8:$F$3006,B1617,Transactions!$R$8:$R$3006),"OWES","OVERPAID"))))</f>
        <v/>
      </c>
      <c r="I1617" s="1"/>
    </row>
    <row r="1618" spans="1:9" ht="18" customHeight="1" x14ac:dyDescent="0.25">
      <c r="A1618" s="40">
        <v>1603</v>
      </c>
      <c r="B1618" s="41" t="str">
        <f t="array" ref="B1618">IFERROR(IF(INDEX(Transactions!$F$8:$F$3006,MATCH(0,COUNTIF($B$11:B1617,Transactions!$F$8:$F$3006),0))="","",INDEX(Transactions!$F$8:$F$3006,MATCH(0,COUNTIF($B$11:B1617,Transactions!$F$8:$F$3006),0))),"")</f>
        <v/>
      </c>
      <c r="C1618" s="42" t="str">
        <f>IF(B1618="","",SUMIF(Transactions!$F$8:$F$3006,B1618,Transactions!$H$8:$H$3006))</f>
        <v/>
      </c>
      <c r="D1618" s="43" t="str">
        <f>IF(B1618="","",SUMIF(Transactions!$F$8:$F$3006,B1618,Transactions!$N$8:$N$3006))</f>
        <v/>
      </c>
      <c r="E1618" s="44" t="str">
        <f>IF(B1618="","",SUMIF(Transactions!$F$8:$F$3006,B1618,Transactions!$O$8:$O$3006))</f>
        <v/>
      </c>
      <c r="F1618" s="45" t="str">
        <f>IF(B1618="","",SUMIF(Transactions!$F$8:$F$3006,B1618,Transactions!$R$8:$R$3006))</f>
        <v/>
      </c>
      <c r="G1618" s="46" t="str">
        <f>IF(B1618="","",(C1618+F1618)-(D1618+E1618+SUMIF(Transactions!$F$8:$F$3006,B1618,Transactions!$Q$8:$Q$3006)))</f>
        <v/>
      </c>
      <c r="H1618" s="47" t="str">
        <f>IF(B1618="","",IF(G1618&gt;0,"OUTSTANDING",IF(G1618=0,"SETTLED",IF(SUMIF(Transactions!$F$8:$F$3006,B1618,Transactions!$Q$8:$Q$3006)&gt;SUMIF(Transactions!$F$8:$F$3006,B1618,Transactions!$R$8:$R$3006),"OWES","OVERPAID"))))</f>
        <v/>
      </c>
      <c r="I1618" s="1"/>
    </row>
    <row r="1619" spans="1:9" ht="18" customHeight="1" x14ac:dyDescent="0.25">
      <c r="A1619" s="48">
        <v>1604</v>
      </c>
      <c r="B1619" s="49" t="str">
        <f t="array" ref="B1619">IFERROR(IF(INDEX(Transactions!$F$8:$F$3006,MATCH(0,COUNTIF($B$11:B1618,Transactions!$F$8:$F$3006),0))="","",INDEX(Transactions!$F$8:$F$3006,MATCH(0,COUNTIF($B$11:B1618,Transactions!$F$8:$F$3006),0))),"")</f>
        <v/>
      </c>
      <c r="C1619" s="50" t="str">
        <f>IF(B1619="","",SUMIF(Transactions!$F$8:$F$3006,B1619,Transactions!$H$8:$H$3006))</f>
        <v/>
      </c>
      <c r="D1619" s="51" t="str">
        <f>IF(B1619="","",SUMIF(Transactions!$F$8:$F$3006,B1619,Transactions!$N$8:$N$3006))</f>
        <v/>
      </c>
      <c r="E1619" s="52" t="str">
        <f>IF(B1619="","",SUMIF(Transactions!$F$8:$F$3006,B1619,Transactions!$O$8:$O$3006))</f>
        <v/>
      </c>
      <c r="F1619" s="53" t="str">
        <f>IF(B1619="","",SUMIF(Transactions!$F$8:$F$3006,B1619,Transactions!$R$8:$R$3006))</f>
        <v/>
      </c>
      <c r="G1619" s="54" t="str">
        <f>IF(B1619="","",(C1619+F1619)-(D1619+E1619+SUMIF(Transactions!$F$8:$F$3006,B1619,Transactions!$Q$8:$Q$3006)))</f>
        <v/>
      </c>
      <c r="H1619" s="55" t="str">
        <f>IF(B1619="","",IF(G1619&gt;0,"OUTSTANDING",IF(G1619=0,"SETTLED",IF(SUMIF(Transactions!$F$8:$F$3006,B1619,Transactions!$Q$8:$Q$3006)&gt;SUMIF(Transactions!$F$8:$F$3006,B1619,Transactions!$R$8:$R$3006),"OWES","OVERPAID"))))</f>
        <v/>
      </c>
      <c r="I1619" s="1"/>
    </row>
    <row r="1620" spans="1:9" ht="18" customHeight="1" x14ac:dyDescent="0.25">
      <c r="A1620" s="40">
        <v>1605</v>
      </c>
      <c r="B1620" s="41" t="str">
        <f t="array" ref="B1620">IFERROR(IF(INDEX(Transactions!$F$8:$F$3006,MATCH(0,COUNTIF($B$11:B1619,Transactions!$F$8:$F$3006),0))="","",INDEX(Transactions!$F$8:$F$3006,MATCH(0,COUNTIF($B$11:B1619,Transactions!$F$8:$F$3006),0))),"")</f>
        <v/>
      </c>
      <c r="C1620" s="42" t="str">
        <f>IF(B1620="","",SUMIF(Transactions!$F$8:$F$3006,B1620,Transactions!$H$8:$H$3006))</f>
        <v/>
      </c>
      <c r="D1620" s="43" t="str">
        <f>IF(B1620="","",SUMIF(Transactions!$F$8:$F$3006,B1620,Transactions!$N$8:$N$3006))</f>
        <v/>
      </c>
      <c r="E1620" s="44" t="str">
        <f>IF(B1620="","",SUMIF(Transactions!$F$8:$F$3006,B1620,Transactions!$O$8:$O$3006))</f>
        <v/>
      </c>
      <c r="F1620" s="45" t="str">
        <f>IF(B1620="","",SUMIF(Transactions!$F$8:$F$3006,B1620,Transactions!$R$8:$R$3006))</f>
        <v/>
      </c>
      <c r="G1620" s="46" t="str">
        <f>IF(B1620="","",(C1620+F1620)-(D1620+E1620+SUMIF(Transactions!$F$8:$F$3006,B1620,Transactions!$Q$8:$Q$3006)))</f>
        <v/>
      </c>
      <c r="H1620" s="47" t="str">
        <f>IF(B1620="","",IF(G1620&gt;0,"OUTSTANDING",IF(G1620=0,"SETTLED",IF(SUMIF(Transactions!$F$8:$F$3006,B1620,Transactions!$Q$8:$Q$3006)&gt;SUMIF(Transactions!$F$8:$F$3006,B1620,Transactions!$R$8:$R$3006),"OWES","OVERPAID"))))</f>
        <v/>
      </c>
      <c r="I1620" s="1"/>
    </row>
    <row r="1621" spans="1:9" ht="18" customHeight="1" x14ac:dyDescent="0.25">
      <c r="A1621" s="48">
        <v>1606</v>
      </c>
      <c r="B1621" s="49" t="str">
        <f t="array" ref="B1621">IFERROR(IF(INDEX(Transactions!$F$8:$F$3006,MATCH(0,COUNTIF($B$11:B1620,Transactions!$F$8:$F$3006),0))="","",INDEX(Transactions!$F$8:$F$3006,MATCH(0,COUNTIF($B$11:B1620,Transactions!$F$8:$F$3006),0))),"")</f>
        <v/>
      </c>
      <c r="C1621" s="50" t="str">
        <f>IF(B1621="","",SUMIF(Transactions!$F$8:$F$3006,B1621,Transactions!$H$8:$H$3006))</f>
        <v/>
      </c>
      <c r="D1621" s="51" t="str">
        <f>IF(B1621="","",SUMIF(Transactions!$F$8:$F$3006,B1621,Transactions!$N$8:$N$3006))</f>
        <v/>
      </c>
      <c r="E1621" s="52" t="str">
        <f>IF(B1621="","",SUMIF(Transactions!$F$8:$F$3006,B1621,Transactions!$O$8:$O$3006))</f>
        <v/>
      </c>
      <c r="F1621" s="53" t="str">
        <f>IF(B1621="","",SUMIF(Transactions!$F$8:$F$3006,B1621,Transactions!$R$8:$R$3006))</f>
        <v/>
      </c>
      <c r="G1621" s="54" t="str">
        <f>IF(B1621="","",(C1621+F1621)-(D1621+E1621+SUMIF(Transactions!$F$8:$F$3006,B1621,Transactions!$Q$8:$Q$3006)))</f>
        <v/>
      </c>
      <c r="H1621" s="55" t="str">
        <f>IF(B1621="","",IF(G1621&gt;0,"OUTSTANDING",IF(G1621=0,"SETTLED",IF(SUMIF(Transactions!$F$8:$F$3006,B1621,Transactions!$Q$8:$Q$3006)&gt;SUMIF(Transactions!$F$8:$F$3006,B1621,Transactions!$R$8:$R$3006),"OWES","OVERPAID"))))</f>
        <v/>
      </c>
      <c r="I1621" s="1"/>
    </row>
    <row r="1622" spans="1:9" ht="18" customHeight="1" x14ac:dyDescent="0.25">
      <c r="A1622" s="40">
        <v>1607</v>
      </c>
      <c r="B1622" s="41" t="str">
        <f t="array" ref="B1622">IFERROR(IF(INDEX(Transactions!$F$8:$F$3006,MATCH(0,COUNTIF($B$11:B1621,Transactions!$F$8:$F$3006),0))="","",INDEX(Transactions!$F$8:$F$3006,MATCH(0,COUNTIF($B$11:B1621,Transactions!$F$8:$F$3006),0))),"")</f>
        <v/>
      </c>
      <c r="C1622" s="42" t="str">
        <f>IF(B1622="","",SUMIF(Transactions!$F$8:$F$3006,B1622,Transactions!$H$8:$H$3006))</f>
        <v/>
      </c>
      <c r="D1622" s="43" t="str">
        <f>IF(B1622="","",SUMIF(Transactions!$F$8:$F$3006,B1622,Transactions!$N$8:$N$3006))</f>
        <v/>
      </c>
      <c r="E1622" s="44" t="str">
        <f>IF(B1622="","",SUMIF(Transactions!$F$8:$F$3006,B1622,Transactions!$O$8:$O$3006))</f>
        <v/>
      </c>
      <c r="F1622" s="45" t="str">
        <f>IF(B1622="","",SUMIF(Transactions!$F$8:$F$3006,B1622,Transactions!$R$8:$R$3006))</f>
        <v/>
      </c>
      <c r="G1622" s="46" t="str">
        <f>IF(B1622="","",(C1622+F1622)-(D1622+E1622+SUMIF(Transactions!$F$8:$F$3006,B1622,Transactions!$Q$8:$Q$3006)))</f>
        <v/>
      </c>
      <c r="H1622" s="47" t="str">
        <f>IF(B1622="","",IF(G1622&gt;0,"OUTSTANDING",IF(G1622=0,"SETTLED",IF(SUMIF(Transactions!$F$8:$F$3006,B1622,Transactions!$Q$8:$Q$3006)&gt;SUMIF(Transactions!$F$8:$F$3006,B1622,Transactions!$R$8:$R$3006),"OWES","OVERPAID"))))</f>
        <v/>
      </c>
      <c r="I1622" s="1"/>
    </row>
    <row r="1623" spans="1:9" ht="18" customHeight="1" x14ac:dyDescent="0.25">
      <c r="A1623" s="48">
        <v>1608</v>
      </c>
      <c r="B1623" s="49" t="str">
        <f t="array" ref="B1623">IFERROR(IF(INDEX(Transactions!$F$8:$F$3006,MATCH(0,COUNTIF($B$11:B1622,Transactions!$F$8:$F$3006),0))="","",INDEX(Transactions!$F$8:$F$3006,MATCH(0,COUNTIF($B$11:B1622,Transactions!$F$8:$F$3006),0))),"")</f>
        <v/>
      </c>
      <c r="C1623" s="50" t="str">
        <f>IF(B1623="","",SUMIF(Transactions!$F$8:$F$3006,B1623,Transactions!$H$8:$H$3006))</f>
        <v/>
      </c>
      <c r="D1623" s="51" t="str">
        <f>IF(B1623="","",SUMIF(Transactions!$F$8:$F$3006,B1623,Transactions!$N$8:$N$3006))</f>
        <v/>
      </c>
      <c r="E1623" s="52" t="str">
        <f>IF(B1623="","",SUMIF(Transactions!$F$8:$F$3006,B1623,Transactions!$O$8:$O$3006))</f>
        <v/>
      </c>
      <c r="F1623" s="53" t="str">
        <f>IF(B1623="","",SUMIF(Transactions!$F$8:$F$3006,B1623,Transactions!$R$8:$R$3006))</f>
        <v/>
      </c>
      <c r="G1623" s="54" t="str">
        <f>IF(B1623="","",(C1623+F1623)-(D1623+E1623+SUMIF(Transactions!$F$8:$F$3006,B1623,Transactions!$Q$8:$Q$3006)))</f>
        <v/>
      </c>
      <c r="H1623" s="55" t="str">
        <f>IF(B1623="","",IF(G1623&gt;0,"OUTSTANDING",IF(G1623=0,"SETTLED",IF(SUMIF(Transactions!$F$8:$F$3006,B1623,Transactions!$Q$8:$Q$3006)&gt;SUMIF(Transactions!$F$8:$F$3006,B1623,Transactions!$R$8:$R$3006),"OWES","OVERPAID"))))</f>
        <v/>
      </c>
      <c r="I1623" s="1"/>
    </row>
    <row r="1624" spans="1:9" ht="18" customHeight="1" x14ac:dyDescent="0.25">
      <c r="A1624" s="40">
        <v>1609</v>
      </c>
      <c r="B1624" s="41" t="str">
        <f t="array" ref="B1624">IFERROR(IF(INDEX(Transactions!$F$8:$F$3006,MATCH(0,COUNTIF($B$11:B1623,Transactions!$F$8:$F$3006),0))="","",INDEX(Transactions!$F$8:$F$3006,MATCH(0,COUNTIF($B$11:B1623,Transactions!$F$8:$F$3006),0))),"")</f>
        <v/>
      </c>
      <c r="C1624" s="42" t="str">
        <f>IF(B1624="","",SUMIF(Transactions!$F$8:$F$3006,B1624,Transactions!$H$8:$H$3006))</f>
        <v/>
      </c>
      <c r="D1624" s="43" t="str">
        <f>IF(B1624="","",SUMIF(Transactions!$F$8:$F$3006,B1624,Transactions!$N$8:$N$3006))</f>
        <v/>
      </c>
      <c r="E1624" s="44" t="str">
        <f>IF(B1624="","",SUMIF(Transactions!$F$8:$F$3006,B1624,Transactions!$O$8:$O$3006))</f>
        <v/>
      </c>
      <c r="F1624" s="45" t="str">
        <f>IF(B1624="","",SUMIF(Transactions!$F$8:$F$3006,B1624,Transactions!$R$8:$R$3006))</f>
        <v/>
      </c>
      <c r="G1624" s="46" t="str">
        <f>IF(B1624="","",(C1624+F1624)-(D1624+E1624+SUMIF(Transactions!$F$8:$F$3006,B1624,Transactions!$Q$8:$Q$3006)))</f>
        <v/>
      </c>
      <c r="H1624" s="47" t="str">
        <f>IF(B1624="","",IF(G1624&gt;0,"OUTSTANDING",IF(G1624=0,"SETTLED",IF(SUMIF(Transactions!$F$8:$F$3006,B1624,Transactions!$Q$8:$Q$3006)&gt;SUMIF(Transactions!$F$8:$F$3006,B1624,Transactions!$R$8:$R$3006),"OWES","OVERPAID"))))</f>
        <v/>
      </c>
      <c r="I1624" s="1"/>
    </row>
    <row r="1625" spans="1:9" ht="18" customHeight="1" x14ac:dyDescent="0.25">
      <c r="A1625" s="48">
        <v>1610</v>
      </c>
      <c r="B1625" s="49" t="str">
        <f t="array" ref="B1625">IFERROR(IF(INDEX(Transactions!$F$8:$F$3006,MATCH(0,COUNTIF($B$11:B1624,Transactions!$F$8:$F$3006),0))="","",INDEX(Transactions!$F$8:$F$3006,MATCH(0,COUNTIF($B$11:B1624,Transactions!$F$8:$F$3006),0))),"")</f>
        <v/>
      </c>
      <c r="C1625" s="50" t="str">
        <f>IF(B1625="","",SUMIF(Transactions!$F$8:$F$3006,B1625,Transactions!$H$8:$H$3006))</f>
        <v/>
      </c>
      <c r="D1625" s="51" t="str">
        <f>IF(B1625="","",SUMIF(Transactions!$F$8:$F$3006,B1625,Transactions!$N$8:$N$3006))</f>
        <v/>
      </c>
      <c r="E1625" s="52" t="str">
        <f>IF(B1625="","",SUMIF(Transactions!$F$8:$F$3006,B1625,Transactions!$O$8:$O$3006))</f>
        <v/>
      </c>
      <c r="F1625" s="53" t="str">
        <f>IF(B1625="","",SUMIF(Transactions!$F$8:$F$3006,B1625,Transactions!$R$8:$R$3006))</f>
        <v/>
      </c>
      <c r="G1625" s="54" t="str">
        <f>IF(B1625="","",(C1625+F1625)-(D1625+E1625+SUMIF(Transactions!$F$8:$F$3006,B1625,Transactions!$Q$8:$Q$3006)))</f>
        <v/>
      </c>
      <c r="H1625" s="55" t="str">
        <f>IF(B1625="","",IF(G1625&gt;0,"OUTSTANDING",IF(G1625=0,"SETTLED",IF(SUMIF(Transactions!$F$8:$F$3006,B1625,Transactions!$Q$8:$Q$3006)&gt;SUMIF(Transactions!$F$8:$F$3006,B1625,Transactions!$R$8:$R$3006),"OWES","OVERPAID"))))</f>
        <v/>
      </c>
      <c r="I1625" s="1"/>
    </row>
    <row r="1626" spans="1:9" ht="18" customHeight="1" x14ac:dyDescent="0.25">
      <c r="A1626" s="40">
        <v>1611</v>
      </c>
      <c r="B1626" s="41" t="str">
        <f t="array" ref="B1626">IFERROR(IF(INDEX(Transactions!$F$8:$F$3006,MATCH(0,COUNTIF($B$11:B1625,Transactions!$F$8:$F$3006),0))="","",INDEX(Transactions!$F$8:$F$3006,MATCH(0,COUNTIF($B$11:B1625,Transactions!$F$8:$F$3006),0))),"")</f>
        <v/>
      </c>
      <c r="C1626" s="42" t="str">
        <f>IF(B1626="","",SUMIF(Transactions!$F$8:$F$3006,B1626,Transactions!$H$8:$H$3006))</f>
        <v/>
      </c>
      <c r="D1626" s="43" t="str">
        <f>IF(B1626="","",SUMIF(Transactions!$F$8:$F$3006,B1626,Transactions!$N$8:$N$3006))</f>
        <v/>
      </c>
      <c r="E1626" s="44" t="str">
        <f>IF(B1626="","",SUMIF(Transactions!$F$8:$F$3006,B1626,Transactions!$O$8:$O$3006))</f>
        <v/>
      </c>
      <c r="F1626" s="45" t="str">
        <f>IF(B1626="","",SUMIF(Transactions!$F$8:$F$3006,B1626,Transactions!$R$8:$R$3006))</f>
        <v/>
      </c>
      <c r="G1626" s="46" t="str">
        <f>IF(B1626="","",(C1626+F1626)-(D1626+E1626+SUMIF(Transactions!$F$8:$F$3006,B1626,Transactions!$Q$8:$Q$3006)))</f>
        <v/>
      </c>
      <c r="H1626" s="47" t="str">
        <f>IF(B1626="","",IF(G1626&gt;0,"OUTSTANDING",IF(G1626=0,"SETTLED",IF(SUMIF(Transactions!$F$8:$F$3006,B1626,Transactions!$Q$8:$Q$3006)&gt;SUMIF(Transactions!$F$8:$F$3006,B1626,Transactions!$R$8:$R$3006),"OWES","OVERPAID"))))</f>
        <v/>
      </c>
      <c r="I1626" s="1"/>
    </row>
    <row r="1627" spans="1:9" ht="18" customHeight="1" x14ac:dyDescent="0.25">
      <c r="A1627" s="48">
        <v>1612</v>
      </c>
      <c r="B1627" s="49" t="str">
        <f t="array" ref="B1627">IFERROR(IF(INDEX(Transactions!$F$8:$F$3006,MATCH(0,COUNTIF($B$11:B1626,Transactions!$F$8:$F$3006),0))="","",INDEX(Transactions!$F$8:$F$3006,MATCH(0,COUNTIF($B$11:B1626,Transactions!$F$8:$F$3006),0))),"")</f>
        <v/>
      </c>
      <c r="C1627" s="50" t="str">
        <f>IF(B1627="","",SUMIF(Transactions!$F$8:$F$3006,B1627,Transactions!$H$8:$H$3006))</f>
        <v/>
      </c>
      <c r="D1627" s="51" t="str">
        <f>IF(B1627="","",SUMIF(Transactions!$F$8:$F$3006,B1627,Transactions!$N$8:$N$3006))</f>
        <v/>
      </c>
      <c r="E1627" s="52" t="str">
        <f>IF(B1627="","",SUMIF(Transactions!$F$8:$F$3006,B1627,Transactions!$O$8:$O$3006))</f>
        <v/>
      </c>
      <c r="F1627" s="53" t="str">
        <f>IF(B1627="","",SUMIF(Transactions!$F$8:$F$3006,B1627,Transactions!$R$8:$R$3006))</f>
        <v/>
      </c>
      <c r="G1627" s="54" t="str">
        <f>IF(B1627="","",(C1627+F1627)-(D1627+E1627+SUMIF(Transactions!$F$8:$F$3006,B1627,Transactions!$Q$8:$Q$3006)))</f>
        <v/>
      </c>
      <c r="H1627" s="55" t="str">
        <f>IF(B1627="","",IF(G1627&gt;0,"OUTSTANDING",IF(G1627=0,"SETTLED",IF(SUMIF(Transactions!$F$8:$F$3006,B1627,Transactions!$Q$8:$Q$3006)&gt;SUMIF(Transactions!$F$8:$F$3006,B1627,Transactions!$R$8:$R$3006),"OWES","OVERPAID"))))</f>
        <v/>
      </c>
      <c r="I1627" s="1"/>
    </row>
    <row r="1628" spans="1:9" ht="18" customHeight="1" x14ac:dyDescent="0.25">
      <c r="A1628" s="40">
        <v>1613</v>
      </c>
      <c r="B1628" s="41" t="str">
        <f t="array" ref="B1628">IFERROR(IF(INDEX(Transactions!$F$8:$F$3006,MATCH(0,COUNTIF($B$11:B1627,Transactions!$F$8:$F$3006),0))="","",INDEX(Transactions!$F$8:$F$3006,MATCH(0,COUNTIF($B$11:B1627,Transactions!$F$8:$F$3006),0))),"")</f>
        <v/>
      </c>
      <c r="C1628" s="42" t="str">
        <f>IF(B1628="","",SUMIF(Transactions!$F$8:$F$3006,B1628,Transactions!$H$8:$H$3006))</f>
        <v/>
      </c>
      <c r="D1628" s="43" t="str">
        <f>IF(B1628="","",SUMIF(Transactions!$F$8:$F$3006,B1628,Transactions!$N$8:$N$3006))</f>
        <v/>
      </c>
      <c r="E1628" s="44" t="str">
        <f>IF(B1628="","",SUMIF(Transactions!$F$8:$F$3006,B1628,Transactions!$O$8:$O$3006))</f>
        <v/>
      </c>
      <c r="F1628" s="45" t="str">
        <f>IF(B1628="","",SUMIF(Transactions!$F$8:$F$3006,B1628,Transactions!$R$8:$R$3006))</f>
        <v/>
      </c>
      <c r="G1628" s="46" t="str">
        <f>IF(B1628="","",(C1628+F1628)-(D1628+E1628+SUMIF(Transactions!$F$8:$F$3006,B1628,Transactions!$Q$8:$Q$3006)))</f>
        <v/>
      </c>
      <c r="H1628" s="47" t="str">
        <f>IF(B1628="","",IF(G1628&gt;0,"OUTSTANDING",IF(G1628=0,"SETTLED",IF(SUMIF(Transactions!$F$8:$F$3006,B1628,Transactions!$Q$8:$Q$3006)&gt;SUMIF(Transactions!$F$8:$F$3006,B1628,Transactions!$R$8:$R$3006),"OWES","OVERPAID"))))</f>
        <v/>
      </c>
      <c r="I1628" s="1"/>
    </row>
    <row r="1629" spans="1:9" ht="18" customHeight="1" x14ac:dyDescent="0.25">
      <c r="A1629" s="48">
        <v>1614</v>
      </c>
      <c r="B1629" s="49" t="str">
        <f t="array" ref="B1629">IFERROR(IF(INDEX(Transactions!$F$8:$F$3006,MATCH(0,COUNTIF($B$11:B1628,Transactions!$F$8:$F$3006),0))="","",INDEX(Transactions!$F$8:$F$3006,MATCH(0,COUNTIF($B$11:B1628,Transactions!$F$8:$F$3006),0))),"")</f>
        <v/>
      </c>
      <c r="C1629" s="50" t="str">
        <f>IF(B1629="","",SUMIF(Transactions!$F$8:$F$3006,B1629,Transactions!$H$8:$H$3006))</f>
        <v/>
      </c>
      <c r="D1629" s="51" t="str">
        <f>IF(B1629="","",SUMIF(Transactions!$F$8:$F$3006,B1629,Transactions!$N$8:$N$3006))</f>
        <v/>
      </c>
      <c r="E1629" s="52" t="str">
        <f>IF(B1629="","",SUMIF(Transactions!$F$8:$F$3006,B1629,Transactions!$O$8:$O$3006))</f>
        <v/>
      </c>
      <c r="F1629" s="53" t="str">
        <f>IF(B1629="","",SUMIF(Transactions!$F$8:$F$3006,B1629,Transactions!$R$8:$R$3006))</f>
        <v/>
      </c>
      <c r="G1629" s="54" t="str">
        <f>IF(B1629="","",(C1629+F1629)-(D1629+E1629+SUMIF(Transactions!$F$8:$F$3006,B1629,Transactions!$Q$8:$Q$3006)))</f>
        <v/>
      </c>
      <c r="H1629" s="55" t="str">
        <f>IF(B1629="","",IF(G1629&gt;0,"OUTSTANDING",IF(G1629=0,"SETTLED",IF(SUMIF(Transactions!$F$8:$F$3006,B1629,Transactions!$Q$8:$Q$3006)&gt;SUMIF(Transactions!$F$8:$F$3006,B1629,Transactions!$R$8:$R$3006),"OWES","OVERPAID"))))</f>
        <v/>
      </c>
      <c r="I1629" s="1"/>
    </row>
    <row r="1630" spans="1:9" ht="18" customHeight="1" x14ac:dyDescent="0.25">
      <c r="A1630" s="40">
        <v>1615</v>
      </c>
      <c r="B1630" s="41" t="str">
        <f t="array" ref="B1630">IFERROR(IF(INDEX(Transactions!$F$8:$F$3006,MATCH(0,COUNTIF($B$11:B1629,Transactions!$F$8:$F$3006),0))="","",INDEX(Transactions!$F$8:$F$3006,MATCH(0,COUNTIF($B$11:B1629,Transactions!$F$8:$F$3006),0))),"")</f>
        <v/>
      </c>
      <c r="C1630" s="42" t="str">
        <f>IF(B1630="","",SUMIF(Transactions!$F$8:$F$3006,B1630,Transactions!$H$8:$H$3006))</f>
        <v/>
      </c>
      <c r="D1630" s="43" t="str">
        <f>IF(B1630="","",SUMIF(Transactions!$F$8:$F$3006,B1630,Transactions!$N$8:$N$3006))</f>
        <v/>
      </c>
      <c r="E1630" s="44" t="str">
        <f>IF(B1630="","",SUMIF(Transactions!$F$8:$F$3006,B1630,Transactions!$O$8:$O$3006))</f>
        <v/>
      </c>
      <c r="F1630" s="45" t="str">
        <f>IF(B1630="","",SUMIF(Transactions!$F$8:$F$3006,B1630,Transactions!$R$8:$R$3006))</f>
        <v/>
      </c>
      <c r="G1630" s="46" t="str">
        <f>IF(B1630="","",(C1630+F1630)-(D1630+E1630+SUMIF(Transactions!$F$8:$F$3006,B1630,Transactions!$Q$8:$Q$3006)))</f>
        <v/>
      </c>
      <c r="H1630" s="47" t="str">
        <f>IF(B1630="","",IF(G1630&gt;0,"OUTSTANDING",IF(G1630=0,"SETTLED",IF(SUMIF(Transactions!$F$8:$F$3006,B1630,Transactions!$Q$8:$Q$3006)&gt;SUMIF(Transactions!$F$8:$F$3006,B1630,Transactions!$R$8:$R$3006),"OWES","OVERPAID"))))</f>
        <v/>
      </c>
      <c r="I1630" s="1"/>
    </row>
    <row r="1631" spans="1:9" ht="18" customHeight="1" x14ac:dyDescent="0.25">
      <c r="A1631" s="48">
        <v>1616</v>
      </c>
      <c r="B1631" s="49" t="str">
        <f t="array" ref="B1631">IFERROR(IF(INDEX(Transactions!$F$8:$F$3006,MATCH(0,COUNTIF($B$11:B1630,Transactions!$F$8:$F$3006),0))="","",INDEX(Transactions!$F$8:$F$3006,MATCH(0,COUNTIF($B$11:B1630,Transactions!$F$8:$F$3006),0))),"")</f>
        <v/>
      </c>
      <c r="C1631" s="50" t="str">
        <f>IF(B1631="","",SUMIF(Transactions!$F$8:$F$3006,B1631,Transactions!$H$8:$H$3006))</f>
        <v/>
      </c>
      <c r="D1631" s="51" t="str">
        <f>IF(B1631="","",SUMIF(Transactions!$F$8:$F$3006,B1631,Transactions!$N$8:$N$3006))</f>
        <v/>
      </c>
      <c r="E1631" s="52" t="str">
        <f>IF(B1631="","",SUMIF(Transactions!$F$8:$F$3006,B1631,Transactions!$O$8:$O$3006))</f>
        <v/>
      </c>
      <c r="F1631" s="53" t="str">
        <f>IF(B1631="","",SUMIF(Transactions!$F$8:$F$3006,B1631,Transactions!$R$8:$R$3006))</f>
        <v/>
      </c>
      <c r="G1631" s="54" t="str">
        <f>IF(B1631="","",(C1631+F1631)-(D1631+E1631+SUMIF(Transactions!$F$8:$F$3006,B1631,Transactions!$Q$8:$Q$3006)))</f>
        <v/>
      </c>
      <c r="H1631" s="55" t="str">
        <f>IF(B1631="","",IF(G1631&gt;0,"OUTSTANDING",IF(G1631=0,"SETTLED",IF(SUMIF(Transactions!$F$8:$F$3006,B1631,Transactions!$Q$8:$Q$3006)&gt;SUMIF(Transactions!$F$8:$F$3006,B1631,Transactions!$R$8:$R$3006),"OWES","OVERPAID"))))</f>
        <v/>
      </c>
      <c r="I1631" s="1"/>
    </row>
    <row r="1632" spans="1:9" ht="18" customHeight="1" x14ac:dyDescent="0.25">
      <c r="A1632" s="40">
        <v>1617</v>
      </c>
      <c r="B1632" s="41" t="str">
        <f t="array" ref="B1632">IFERROR(IF(INDEX(Transactions!$F$8:$F$3006,MATCH(0,COUNTIF($B$11:B1631,Transactions!$F$8:$F$3006),0))="","",INDEX(Transactions!$F$8:$F$3006,MATCH(0,COUNTIF($B$11:B1631,Transactions!$F$8:$F$3006),0))),"")</f>
        <v/>
      </c>
      <c r="C1632" s="42" t="str">
        <f>IF(B1632="","",SUMIF(Transactions!$F$8:$F$3006,B1632,Transactions!$H$8:$H$3006))</f>
        <v/>
      </c>
      <c r="D1632" s="43" t="str">
        <f>IF(B1632="","",SUMIF(Transactions!$F$8:$F$3006,B1632,Transactions!$N$8:$N$3006))</f>
        <v/>
      </c>
      <c r="E1632" s="44" t="str">
        <f>IF(B1632="","",SUMIF(Transactions!$F$8:$F$3006,B1632,Transactions!$O$8:$O$3006))</f>
        <v/>
      </c>
      <c r="F1632" s="45" t="str">
        <f>IF(B1632="","",SUMIF(Transactions!$F$8:$F$3006,B1632,Transactions!$R$8:$R$3006))</f>
        <v/>
      </c>
      <c r="G1632" s="46" t="str">
        <f>IF(B1632="","",(C1632+F1632)-(D1632+E1632+SUMIF(Transactions!$F$8:$F$3006,B1632,Transactions!$Q$8:$Q$3006)))</f>
        <v/>
      </c>
      <c r="H1632" s="47" t="str">
        <f>IF(B1632="","",IF(G1632&gt;0,"OUTSTANDING",IF(G1632=0,"SETTLED",IF(SUMIF(Transactions!$F$8:$F$3006,B1632,Transactions!$Q$8:$Q$3006)&gt;SUMIF(Transactions!$F$8:$F$3006,B1632,Transactions!$R$8:$R$3006),"OWES","OVERPAID"))))</f>
        <v/>
      </c>
      <c r="I1632" s="1"/>
    </row>
    <row r="1633" spans="1:9" ht="18" customHeight="1" x14ac:dyDescent="0.25">
      <c r="A1633" s="48">
        <v>1618</v>
      </c>
      <c r="B1633" s="49" t="str">
        <f t="array" ref="B1633">IFERROR(IF(INDEX(Transactions!$F$8:$F$3006,MATCH(0,COUNTIF($B$11:B1632,Transactions!$F$8:$F$3006),0))="","",INDEX(Transactions!$F$8:$F$3006,MATCH(0,COUNTIF($B$11:B1632,Transactions!$F$8:$F$3006),0))),"")</f>
        <v/>
      </c>
      <c r="C1633" s="50" t="str">
        <f>IF(B1633="","",SUMIF(Transactions!$F$8:$F$3006,B1633,Transactions!$H$8:$H$3006))</f>
        <v/>
      </c>
      <c r="D1633" s="51" t="str">
        <f>IF(B1633="","",SUMIF(Transactions!$F$8:$F$3006,B1633,Transactions!$N$8:$N$3006))</f>
        <v/>
      </c>
      <c r="E1633" s="52" t="str">
        <f>IF(B1633="","",SUMIF(Transactions!$F$8:$F$3006,B1633,Transactions!$O$8:$O$3006))</f>
        <v/>
      </c>
      <c r="F1633" s="53" t="str">
        <f>IF(B1633="","",SUMIF(Transactions!$F$8:$F$3006,B1633,Transactions!$R$8:$R$3006))</f>
        <v/>
      </c>
      <c r="G1633" s="54" t="str">
        <f>IF(B1633="","",(C1633+F1633)-(D1633+E1633+SUMIF(Transactions!$F$8:$F$3006,B1633,Transactions!$Q$8:$Q$3006)))</f>
        <v/>
      </c>
      <c r="H1633" s="55" t="str">
        <f>IF(B1633="","",IF(G1633&gt;0,"OUTSTANDING",IF(G1633=0,"SETTLED",IF(SUMIF(Transactions!$F$8:$F$3006,B1633,Transactions!$Q$8:$Q$3006)&gt;SUMIF(Transactions!$F$8:$F$3006,B1633,Transactions!$R$8:$R$3006),"OWES","OVERPAID"))))</f>
        <v/>
      </c>
      <c r="I1633" s="1"/>
    </row>
    <row r="1634" spans="1:9" ht="18" customHeight="1" x14ac:dyDescent="0.25">
      <c r="A1634" s="40">
        <v>1619</v>
      </c>
      <c r="B1634" s="41" t="str">
        <f t="array" ref="B1634">IFERROR(IF(INDEX(Transactions!$F$8:$F$3006,MATCH(0,COUNTIF($B$11:B1633,Transactions!$F$8:$F$3006),0))="","",INDEX(Transactions!$F$8:$F$3006,MATCH(0,COUNTIF($B$11:B1633,Transactions!$F$8:$F$3006),0))),"")</f>
        <v/>
      </c>
      <c r="C1634" s="42" t="str">
        <f>IF(B1634="","",SUMIF(Transactions!$F$8:$F$3006,B1634,Transactions!$H$8:$H$3006))</f>
        <v/>
      </c>
      <c r="D1634" s="43" t="str">
        <f>IF(B1634="","",SUMIF(Transactions!$F$8:$F$3006,B1634,Transactions!$N$8:$N$3006))</f>
        <v/>
      </c>
      <c r="E1634" s="44" t="str">
        <f>IF(B1634="","",SUMIF(Transactions!$F$8:$F$3006,B1634,Transactions!$O$8:$O$3006))</f>
        <v/>
      </c>
      <c r="F1634" s="45" t="str">
        <f>IF(B1634="","",SUMIF(Transactions!$F$8:$F$3006,B1634,Transactions!$R$8:$R$3006))</f>
        <v/>
      </c>
      <c r="G1634" s="46" t="str">
        <f>IF(B1634="","",(C1634+F1634)-(D1634+E1634+SUMIF(Transactions!$F$8:$F$3006,B1634,Transactions!$Q$8:$Q$3006)))</f>
        <v/>
      </c>
      <c r="H1634" s="47" t="str">
        <f>IF(B1634="","",IF(G1634&gt;0,"OUTSTANDING",IF(G1634=0,"SETTLED",IF(SUMIF(Transactions!$F$8:$F$3006,B1634,Transactions!$Q$8:$Q$3006)&gt;SUMIF(Transactions!$F$8:$F$3006,B1634,Transactions!$R$8:$R$3006),"OWES","OVERPAID"))))</f>
        <v/>
      </c>
      <c r="I1634" s="1"/>
    </row>
    <row r="1635" spans="1:9" ht="18" customHeight="1" x14ac:dyDescent="0.25">
      <c r="A1635" s="48">
        <v>1620</v>
      </c>
      <c r="B1635" s="49" t="str">
        <f t="array" ref="B1635">IFERROR(IF(INDEX(Transactions!$F$8:$F$3006,MATCH(0,COUNTIF($B$11:B1634,Transactions!$F$8:$F$3006),0))="","",INDEX(Transactions!$F$8:$F$3006,MATCH(0,COUNTIF($B$11:B1634,Transactions!$F$8:$F$3006),0))),"")</f>
        <v/>
      </c>
      <c r="C1635" s="50" t="str">
        <f>IF(B1635="","",SUMIF(Transactions!$F$8:$F$3006,B1635,Transactions!$H$8:$H$3006))</f>
        <v/>
      </c>
      <c r="D1635" s="51" t="str">
        <f>IF(B1635="","",SUMIF(Transactions!$F$8:$F$3006,B1635,Transactions!$N$8:$N$3006))</f>
        <v/>
      </c>
      <c r="E1635" s="52" t="str">
        <f>IF(B1635="","",SUMIF(Transactions!$F$8:$F$3006,B1635,Transactions!$O$8:$O$3006))</f>
        <v/>
      </c>
      <c r="F1635" s="53" t="str">
        <f>IF(B1635="","",SUMIF(Transactions!$F$8:$F$3006,B1635,Transactions!$R$8:$R$3006))</f>
        <v/>
      </c>
      <c r="G1635" s="54" t="str">
        <f>IF(B1635="","",(C1635+F1635)-(D1635+E1635+SUMIF(Transactions!$F$8:$F$3006,B1635,Transactions!$Q$8:$Q$3006)))</f>
        <v/>
      </c>
      <c r="H1635" s="55" t="str">
        <f>IF(B1635="","",IF(G1635&gt;0,"OUTSTANDING",IF(G1635=0,"SETTLED",IF(SUMIF(Transactions!$F$8:$F$3006,B1635,Transactions!$Q$8:$Q$3006)&gt;SUMIF(Transactions!$F$8:$F$3006,B1635,Transactions!$R$8:$R$3006),"OWES","OVERPAID"))))</f>
        <v/>
      </c>
      <c r="I1635" s="1"/>
    </row>
    <row r="1636" spans="1:9" ht="18" customHeight="1" x14ac:dyDescent="0.25">
      <c r="A1636" s="40">
        <v>1621</v>
      </c>
      <c r="B1636" s="41" t="str">
        <f t="array" ref="B1636">IFERROR(IF(INDEX(Transactions!$F$8:$F$3006,MATCH(0,COUNTIF($B$11:B1635,Transactions!$F$8:$F$3006),0))="","",INDEX(Transactions!$F$8:$F$3006,MATCH(0,COUNTIF($B$11:B1635,Transactions!$F$8:$F$3006),0))),"")</f>
        <v/>
      </c>
      <c r="C1636" s="42" t="str">
        <f>IF(B1636="","",SUMIF(Transactions!$F$8:$F$3006,B1636,Transactions!$H$8:$H$3006))</f>
        <v/>
      </c>
      <c r="D1636" s="43" t="str">
        <f>IF(B1636="","",SUMIF(Transactions!$F$8:$F$3006,B1636,Transactions!$N$8:$N$3006))</f>
        <v/>
      </c>
      <c r="E1636" s="44" t="str">
        <f>IF(B1636="","",SUMIF(Transactions!$F$8:$F$3006,B1636,Transactions!$O$8:$O$3006))</f>
        <v/>
      </c>
      <c r="F1636" s="45" t="str">
        <f>IF(B1636="","",SUMIF(Transactions!$F$8:$F$3006,B1636,Transactions!$R$8:$R$3006))</f>
        <v/>
      </c>
      <c r="G1636" s="46" t="str">
        <f>IF(B1636="","",(C1636+F1636)-(D1636+E1636+SUMIF(Transactions!$F$8:$F$3006,B1636,Transactions!$Q$8:$Q$3006)))</f>
        <v/>
      </c>
      <c r="H1636" s="47" t="str">
        <f>IF(B1636="","",IF(G1636&gt;0,"OUTSTANDING",IF(G1636=0,"SETTLED",IF(SUMIF(Transactions!$F$8:$F$3006,B1636,Transactions!$Q$8:$Q$3006)&gt;SUMIF(Transactions!$F$8:$F$3006,B1636,Transactions!$R$8:$R$3006),"OWES","OVERPAID"))))</f>
        <v/>
      </c>
      <c r="I1636" s="1"/>
    </row>
    <row r="1637" spans="1:9" ht="18" customHeight="1" x14ac:dyDescent="0.25">
      <c r="A1637" s="48">
        <v>1622</v>
      </c>
      <c r="B1637" s="49" t="str">
        <f t="array" ref="B1637">IFERROR(IF(INDEX(Transactions!$F$8:$F$3006,MATCH(0,COUNTIF($B$11:B1636,Transactions!$F$8:$F$3006),0))="","",INDEX(Transactions!$F$8:$F$3006,MATCH(0,COUNTIF($B$11:B1636,Transactions!$F$8:$F$3006),0))),"")</f>
        <v/>
      </c>
      <c r="C1637" s="50" t="str">
        <f>IF(B1637="","",SUMIF(Transactions!$F$8:$F$3006,B1637,Transactions!$H$8:$H$3006))</f>
        <v/>
      </c>
      <c r="D1637" s="51" t="str">
        <f>IF(B1637="","",SUMIF(Transactions!$F$8:$F$3006,B1637,Transactions!$N$8:$N$3006))</f>
        <v/>
      </c>
      <c r="E1637" s="52" t="str">
        <f>IF(B1637="","",SUMIF(Transactions!$F$8:$F$3006,B1637,Transactions!$O$8:$O$3006))</f>
        <v/>
      </c>
      <c r="F1637" s="53" t="str">
        <f>IF(B1637="","",SUMIF(Transactions!$F$8:$F$3006,B1637,Transactions!$R$8:$R$3006))</f>
        <v/>
      </c>
      <c r="G1637" s="54" t="str">
        <f>IF(B1637="","",(C1637+F1637)-(D1637+E1637+SUMIF(Transactions!$F$8:$F$3006,B1637,Transactions!$Q$8:$Q$3006)))</f>
        <v/>
      </c>
      <c r="H1637" s="55" t="str">
        <f>IF(B1637="","",IF(G1637&gt;0,"OUTSTANDING",IF(G1637=0,"SETTLED",IF(SUMIF(Transactions!$F$8:$F$3006,B1637,Transactions!$Q$8:$Q$3006)&gt;SUMIF(Transactions!$F$8:$F$3006,B1637,Transactions!$R$8:$R$3006),"OWES","OVERPAID"))))</f>
        <v/>
      </c>
      <c r="I1637" s="1"/>
    </row>
    <row r="1638" spans="1:9" ht="18" customHeight="1" x14ac:dyDescent="0.25">
      <c r="A1638" s="40">
        <v>1623</v>
      </c>
      <c r="B1638" s="41" t="str">
        <f t="array" ref="B1638">IFERROR(IF(INDEX(Transactions!$F$8:$F$3006,MATCH(0,COUNTIF($B$11:B1637,Transactions!$F$8:$F$3006),0))="","",INDEX(Transactions!$F$8:$F$3006,MATCH(0,COUNTIF($B$11:B1637,Transactions!$F$8:$F$3006),0))),"")</f>
        <v/>
      </c>
      <c r="C1638" s="42" t="str">
        <f>IF(B1638="","",SUMIF(Transactions!$F$8:$F$3006,B1638,Transactions!$H$8:$H$3006))</f>
        <v/>
      </c>
      <c r="D1638" s="43" t="str">
        <f>IF(B1638="","",SUMIF(Transactions!$F$8:$F$3006,B1638,Transactions!$N$8:$N$3006))</f>
        <v/>
      </c>
      <c r="E1638" s="44" t="str">
        <f>IF(B1638="","",SUMIF(Transactions!$F$8:$F$3006,B1638,Transactions!$O$8:$O$3006))</f>
        <v/>
      </c>
      <c r="F1638" s="45" t="str">
        <f>IF(B1638="","",SUMIF(Transactions!$F$8:$F$3006,B1638,Transactions!$R$8:$R$3006))</f>
        <v/>
      </c>
      <c r="G1638" s="46" t="str">
        <f>IF(B1638="","",(C1638+F1638)-(D1638+E1638+SUMIF(Transactions!$F$8:$F$3006,B1638,Transactions!$Q$8:$Q$3006)))</f>
        <v/>
      </c>
      <c r="H1638" s="47" t="str">
        <f>IF(B1638="","",IF(G1638&gt;0,"OUTSTANDING",IF(G1638=0,"SETTLED",IF(SUMIF(Transactions!$F$8:$F$3006,B1638,Transactions!$Q$8:$Q$3006)&gt;SUMIF(Transactions!$F$8:$F$3006,B1638,Transactions!$R$8:$R$3006),"OWES","OVERPAID"))))</f>
        <v/>
      </c>
      <c r="I1638" s="1"/>
    </row>
    <row r="1639" spans="1:9" ht="18" customHeight="1" x14ac:dyDescent="0.25">
      <c r="A1639" s="48">
        <v>1624</v>
      </c>
      <c r="B1639" s="49" t="str">
        <f t="array" ref="B1639">IFERROR(IF(INDEX(Transactions!$F$8:$F$3006,MATCH(0,COUNTIF($B$11:B1638,Transactions!$F$8:$F$3006),0))="","",INDEX(Transactions!$F$8:$F$3006,MATCH(0,COUNTIF($B$11:B1638,Transactions!$F$8:$F$3006),0))),"")</f>
        <v/>
      </c>
      <c r="C1639" s="50" t="str">
        <f>IF(B1639="","",SUMIF(Transactions!$F$8:$F$3006,B1639,Transactions!$H$8:$H$3006))</f>
        <v/>
      </c>
      <c r="D1639" s="51" t="str">
        <f>IF(B1639="","",SUMIF(Transactions!$F$8:$F$3006,B1639,Transactions!$N$8:$N$3006))</f>
        <v/>
      </c>
      <c r="E1639" s="52" t="str">
        <f>IF(B1639="","",SUMIF(Transactions!$F$8:$F$3006,B1639,Transactions!$O$8:$O$3006))</f>
        <v/>
      </c>
      <c r="F1639" s="53" t="str">
        <f>IF(B1639="","",SUMIF(Transactions!$F$8:$F$3006,B1639,Transactions!$R$8:$R$3006))</f>
        <v/>
      </c>
      <c r="G1639" s="54" t="str">
        <f>IF(B1639="","",(C1639+F1639)-(D1639+E1639+SUMIF(Transactions!$F$8:$F$3006,B1639,Transactions!$Q$8:$Q$3006)))</f>
        <v/>
      </c>
      <c r="H1639" s="55" t="str">
        <f>IF(B1639="","",IF(G1639&gt;0,"OUTSTANDING",IF(G1639=0,"SETTLED",IF(SUMIF(Transactions!$F$8:$F$3006,B1639,Transactions!$Q$8:$Q$3006)&gt;SUMIF(Transactions!$F$8:$F$3006,B1639,Transactions!$R$8:$R$3006),"OWES","OVERPAID"))))</f>
        <v/>
      </c>
      <c r="I1639" s="1"/>
    </row>
    <row r="1640" spans="1:9" ht="18" customHeight="1" x14ac:dyDescent="0.25">
      <c r="A1640" s="40">
        <v>1625</v>
      </c>
      <c r="B1640" s="41" t="str">
        <f t="array" ref="B1640">IFERROR(IF(INDEX(Transactions!$F$8:$F$3006,MATCH(0,COUNTIF($B$11:B1639,Transactions!$F$8:$F$3006),0))="","",INDEX(Transactions!$F$8:$F$3006,MATCH(0,COUNTIF($B$11:B1639,Transactions!$F$8:$F$3006),0))),"")</f>
        <v/>
      </c>
      <c r="C1640" s="42" t="str">
        <f>IF(B1640="","",SUMIF(Transactions!$F$8:$F$3006,B1640,Transactions!$H$8:$H$3006))</f>
        <v/>
      </c>
      <c r="D1640" s="43" t="str">
        <f>IF(B1640="","",SUMIF(Transactions!$F$8:$F$3006,B1640,Transactions!$N$8:$N$3006))</f>
        <v/>
      </c>
      <c r="E1640" s="44" t="str">
        <f>IF(B1640="","",SUMIF(Transactions!$F$8:$F$3006,B1640,Transactions!$O$8:$O$3006))</f>
        <v/>
      </c>
      <c r="F1640" s="45" t="str">
        <f>IF(B1640="","",SUMIF(Transactions!$F$8:$F$3006,B1640,Transactions!$R$8:$R$3006))</f>
        <v/>
      </c>
      <c r="G1640" s="46" t="str">
        <f>IF(B1640="","",(C1640+F1640)-(D1640+E1640+SUMIF(Transactions!$F$8:$F$3006,B1640,Transactions!$Q$8:$Q$3006)))</f>
        <v/>
      </c>
      <c r="H1640" s="47" t="str">
        <f>IF(B1640="","",IF(G1640&gt;0,"OUTSTANDING",IF(G1640=0,"SETTLED",IF(SUMIF(Transactions!$F$8:$F$3006,B1640,Transactions!$Q$8:$Q$3006)&gt;SUMIF(Transactions!$F$8:$F$3006,B1640,Transactions!$R$8:$R$3006),"OWES","OVERPAID"))))</f>
        <v/>
      </c>
      <c r="I1640" s="1"/>
    </row>
    <row r="1641" spans="1:9" ht="18" customHeight="1" x14ac:dyDescent="0.25">
      <c r="A1641" s="48">
        <v>1626</v>
      </c>
      <c r="B1641" s="49" t="str">
        <f t="array" ref="B1641">IFERROR(IF(INDEX(Transactions!$F$8:$F$3006,MATCH(0,COUNTIF($B$11:B1640,Transactions!$F$8:$F$3006),0))="","",INDEX(Transactions!$F$8:$F$3006,MATCH(0,COUNTIF($B$11:B1640,Transactions!$F$8:$F$3006),0))),"")</f>
        <v/>
      </c>
      <c r="C1641" s="50" t="str">
        <f>IF(B1641="","",SUMIF(Transactions!$F$8:$F$3006,B1641,Transactions!$H$8:$H$3006))</f>
        <v/>
      </c>
      <c r="D1641" s="51" t="str">
        <f>IF(B1641="","",SUMIF(Transactions!$F$8:$F$3006,B1641,Transactions!$N$8:$N$3006))</f>
        <v/>
      </c>
      <c r="E1641" s="52" t="str">
        <f>IF(B1641="","",SUMIF(Transactions!$F$8:$F$3006,B1641,Transactions!$O$8:$O$3006))</f>
        <v/>
      </c>
      <c r="F1641" s="53" t="str">
        <f>IF(B1641="","",SUMIF(Transactions!$F$8:$F$3006,B1641,Transactions!$R$8:$R$3006))</f>
        <v/>
      </c>
      <c r="G1641" s="54" t="str">
        <f>IF(B1641="","",(C1641+F1641)-(D1641+E1641+SUMIF(Transactions!$F$8:$F$3006,B1641,Transactions!$Q$8:$Q$3006)))</f>
        <v/>
      </c>
      <c r="H1641" s="55" t="str">
        <f>IF(B1641="","",IF(G1641&gt;0,"OUTSTANDING",IF(G1641=0,"SETTLED",IF(SUMIF(Transactions!$F$8:$F$3006,B1641,Transactions!$Q$8:$Q$3006)&gt;SUMIF(Transactions!$F$8:$F$3006,B1641,Transactions!$R$8:$R$3006),"OWES","OVERPAID"))))</f>
        <v/>
      </c>
      <c r="I1641" s="1"/>
    </row>
    <row r="1642" spans="1:9" ht="18" customHeight="1" x14ac:dyDescent="0.25">
      <c r="A1642" s="40">
        <v>1627</v>
      </c>
      <c r="B1642" s="41" t="str">
        <f t="array" ref="B1642">IFERROR(IF(INDEX(Transactions!$F$8:$F$3006,MATCH(0,COUNTIF($B$11:B1641,Transactions!$F$8:$F$3006),0))="","",INDEX(Transactions!$F$8:$F$3006,MATCH(0,COUNTIF($B$11:B1641,Transactions!$F$8:$F$3006),0))),"")</f>
        <v/>
      </c>
      <c r="C1642" s="42" t="str">
        <f>IF(B1642="","",SUMIF(Transactions!$F$8:$F$3006,B1642,Transactions!$H$8:$H$3006))</f>
        <v/>
      </c>
      <c r="D1642" s="43" t="str">
        <f>IF(B1642="","",SUMIF(Transactions!$F$8:$F$3006,B1642,Transactions!$N$8:$N$3006))</f>
        <v/>
      </c>
      <c r="E1642" s="44" t="str">
        <f>IF(B1642="","",SUMIF(Transactions!$F$8:$F$3006,B1642,Transactions!$O$8:$O$3006))</f>
        <v/>
      </c>
      <c r="F1642" s="45" t="str">
        <f>IF(B1642="","",SUMIF(Transactions!$F$8:$F$3006,B1642,Transactions!$R$8:$R$3006))</f>
        <v/>
      </c>
      <c r="G1642" s="46" t="str">
        <f>IF(B1642="","",(C1642+F1642)-(D1642+E1642+SUMIF(Transactions!$F$8:$F$3006,B1642,Transactions!$Q$8:$Q$3006)))</f>
        <v/>
      </c>
      <c r="H1642" s="47" t="str">
        <f>IF(B1642="","",IF(G1642&gt;0,"OUTSTANDING",IF(G1642=0,"SETTLED",IF(SUMIF(Transactions!$F$8:$F$3006,B1642,Transactions!$Q$8:$Q$3006)&gt;SUMIF(Transactions!$F$8:$F$3006,B1642,Transactions!$R$8:$R$3006),"OWES","OVERPAID"))))</f>
        <v/>
      </c>
      <c r="I1642" s="1"/>
    </row>
    <row r="1643" spans="1:9" ht="18" customHeight="1" x14ac:dyDescent="0.25">
      <c r="A1643" s="48">
        <v>1628</v>
      </c>
      <c r="B1643" s="49" t="str">
        <f t="array" ref="B1643">IFERROR(IF(INDEX(Transactions!$F$8:$F$3006,MATCH(0,COUNTIF($B$11:B1642,Transactions!$F$8:$F$3006),0))="","",INDEX(Transactions!$F$8:$F$3006,MATCH(0,COUNTIF($B$11:B1642,Transactions!$F$8:$F$3006),0))),"")</f>
        <v/>
      </c>
      <c r="C1643" s="50" t="str">
        <f>IF(B1643="","",SUMIF(Transactions!$F$8:$F$3006,B1643,Transactions!$H$8:$H$3006))</f>
        <v/>
      </c>
      <c r="D1643" s="51" t="str">
        <f>IF(B1643="","",SUMIF(Transactions!$F$8:$F$3006,B1643,Transactions!$N$8:$N$3006))</f>
        <v/>
      </c>
      <c r="E1643" s="52" t="str">
        <f>IF(B1643="","",SUMIF(Transactions!$F$8:$F$3006,B1643,Transactions!$O$8:$O$3006))</f>
        <v/>
      </c>
      <c r="F1643" s="53" t="str">
        <f>IF(B1643="","",SUMIF(Transactions!$F$8:$F$3006,B1643,Transactions!$R$8:$R$3006))</f>
        <v/>
      </c>
      <c r="G1643" s="54" t="str">
        <f>IF(B1643="","",(C1643+F1643)-(D1643+E1643+SUMIF(Transactions!$F$8:$F$3006,B1643,Transactions!$Q$8:$Q$3006)))</f>
        <v/>
      </c>
      <c r="H1643" s="55" t="str">
        <f>IF(B1643="","",IF(G1643&gt;0,"OUTSTANDING",IF(G1643=0,"SETTLED",IF(SUMIF(Transactions!$F$8:$F$3006,B1643,Transactions!$Q$8:$Q$3006)&gt;SUMIF(Transactions!$F$8:$F$3006,B1643,Transactions!$R$8:$R$3006),"OWES","OVERPAID"))))</f>
        <v/>
      </c>
      <c r="I1643" s="1"/>
    </row>
    <row r="1644" spans="1:9" ht="18" customHeight="1" x14ac:dyDescent="0.25">
      <c r="A1644" s="40">
        <v>1629</v>
      </c>
      <c r="B1644" s="41" t="str">
        <f t="array" ref="B1644">IFERROR(IF(INDEX(Transactions!$F$8:$F$3006,MATCH(0,COUNTIF($B$11:B1643,Transactions!$F$8:$F$3006),0))="","",INDEX(Transactions!$F$8:$F$3006,MATCH(0,COUNTIF($B$11:B1643,Transactions!$F$8:$F$3006),0))),"")</f>
        <v/>
      </c>
      <c r="C1644" s="42" t="str">
        <f>IF(B1644="","",SUMIF(Transactions!$F$8:$F$3006,B1644,Transactions!$H$8:$H$3006))</f>
        <v/>
      </c>
      <c r="D1644" s="43" t="str">
        <f>IF(B1644="","",SUMIF(Transactions!$F$8:$F$3006,B1644,Transactions!$N$8:$N$3006))</f>
        <v/>
      </c>
      <c r="E1644" s="44" t="str">
        <f>IF(B1644="","",SUMIF(Transactions!$F$8:$F$3006,B1644,Transactions!$O$8:$O$3006))</f>
        <v/>
      </c>
      <c r="F1644" s="45" t="str">
        <f>IF(B1644="","",SUMIF(Transactions!$F$8:$F$3006,B1644,Transactions!$R$8:$R$3006))</f>
        <v/>
      </c>
      <c r="G1644" s="46" t="str">
        <f>IF(B1644="","",(C1644+F1644)-(D1644+E1644+SUMIF(Transactions!$F$8:$F$3006,B1644,Transactions!$Q$8:$Q$3006)))</f>
        <v/>
      </c>
      <c r="H1644" s="47" t="str">
        <f>IF(B1644="","",IF(G1644&gt;0,"OUTSTANDING",IF(G1644=0,"SETTLED",IF(SUMIF(Transactions!$F$8:$F$3006,B1644,Transactions!$Q$8:$Q$3006)&gt;SUMIF(Transactions!$F$8:$F$3006,B1644,Transactions!$R$8:$R$3006),"OWES","OVERPAID"))))</f>
        <v/>
      </c>
      <c r="I1644" s="1"/>
    </row>
    <row r="1645" spans="1:9" ht="18" customHeight="1" x14ac:dyDescent="0.25">
      <c r="A1645" s="48">
        <v>1630</v>
      </c>
      <c r="B1645" s="49" t="str">
        <f t="array" ref="B1645">IFERROR(IF(INDEX(Transactions!$F$8:$F$3006,MATCH(0,COUNTIF($B$11:B1644,Transactions!$F$8:$F$3006),0))="","",INDEX(Transactions!$F$8:$F$3006,MATCH(0,COUNTIF($B$11:B1644,Transactions!$F$8:$F$3006),0))),"")</f>
        <v/>
      </c>
      <c r="C1645" s="50" t="str">
        <f>IF(B1645="","",SUMIF(Transactions!$F$8:$F$3006,B1645,Transactions!$H$8:$H$3006))</f>
        <v/>
      </c>
      <c r="D1645" s="51" t="str">
        <f>IF(B1645="","",SUMIF(Transactions!$F$8:$F$3006,B1645,Transactions!$N$8:$N$3006))</f>
        <v/>
      </c>
      <c r="E1645" s="52" t="str">
        <f>IF(B1645="","",SUMIF(Transactions!$F$8:$F$3006,B1645,Transactions!$O$8:$O$3006))</f>
        <v/>
      </c>
      <c r="F1645" s="53" t="str">
        <f>IF(B1645="","",SUMIF(Transactions!$F$8:$F$3006,B1645,Transactions!$R$8:$R$3006))</f>
        <v/>
      </c>
      <c r="G1645" s="54" t="str">
        <f>IF(B1645="","",(C1645+F1645)-(D1645+E1645+SUMIF(Transactions!$F$8:$F$3006,B1645,Transactions!$Q$8:$Q$3006)))</f>
        <v/>
      </c>
      <c r="H1645" s="55" t="str">
        <f>IF(B1645="","",IF(G1645&gt;0,"OUTSTANDING",IF(G1645=0,"SETTLED",IF(SUMIF(Transactions!$F$8:$F$3006,B1645,Transactions!$Q$8:$Q$3006)&gt;SUMIF(Transactions!$F$8:$F$3006,B1645,Transactions!$R$8:$R$3006),"OWES","OVERPAID"))))</f>
        <v/>
      </c>
      <c r="I1645" s="1"/>
    </row>
    <row r="1646" spans="1:9" ht="18" customHeight="1" x14ac:dyDescent="0.25">
      <c r="A1646" s="40">
        <v>1631</v>
      </c>
      <c r="B1646" s="41" t="str">
        <f t="array" ref="B1646">IFERROR(IF(INDEX(Transactions!$F$8:$F$3006,MATCH(0,COUNTIF($B$11:B1645,Transactions!$F$8:$F$3006),0))="","",INDEX(Transactions!$F$8:$F$3006,MATCH(0,COUNTIF($B$11:B1645,Transactions!$F$8:$F$3006),0))),"")</f>
        <v/>
      </c>
      <c r="C1646" s="42" t="str">
        <f>IF(B1646="","",SUMIF(Transactions!$F$8:$F$3006,B1646,Transactions!$H$8:$H$3006))</f>
        <v/>
      </c>
      <c r="D1646" s="43" t="str">
        <f>IF(B1646="","",SUMIF(Transactions!$F$8:$F$3006,B1646,Transactions!$N$8:$N$3006))</f>
        <v/>
      </c>
      <c r="E1646" s="44" t="str">
        <f>IF(B1646="","",SUMIF(Transactions!$F$8:$F$3006,B1646,Transactions!$O$8:$O$3006))</f>
        <v/>
      </c>
      <c r="F1646" s="45" t="str">
        <f>IF(B1646="","",SUMIF(Transactions!$F$8:$F$3006,B1646,Transactions!$R$8:$R$3006))</f>
        <v/>
      </c>
      <c r="G1646" s="46" t="str">
        <f>IF(B1646="","",(C1646+F1646)-(D1646+E1646+SUMIF(Transactions!$F$8:$F$3006,B1646,Transactions!$Q$8:$Q$3006)))</f>
        <v/>
      </c>
      <c r="H1646" s="47" t="str">
        <f>IF(B1646="","",IF(G1646&gt;0,"OUTSTANDING",IF(G1646=0,"SETTLED",IF(SUMIF(Transactions!$F$8:$F$3006,B1646,Transactions!$Q$8:$Q$3006)&gt;SUMIF(Transactions!$F$8:$F$3006,B1646,Transactions!$R$8:$R$3006),"OWES","OVERPAID"))))</f>
        <v/>
      </c>
      <c r="I1646" s="1"/>
    </row>
    <row r="1647" spans="1:9" ht="18" customHeight="1" x14ac:dyDescent="0.25">
      <c r="A1647" s="48">
        <v>1632</v>
      </c>
      <c r="B1647" s="49" t="str">
        <f t="array" ref="B1647">IFERROR(IF(INDEX(Transactions!$F$8:$F$3006,MATCH(0,COUNTIF($B$11:B1646,Transactions!$F$8:$F$3006),0))="","",INDEX(Transactions!$F$8:$F$3006,MATCH(0,COUNTIF($B$11:B1646,Transactions!$F$8:$F$3006),0))),"")</f>
        <v/>
      </c>
      <c r="C1647" s="50" t="str">
        <f>IF(B1647="","",SUMIF(Transactions!$F$8:$F$3006,B1647,Transactions!$H$8:$H$3006))</f>
        <v/>
      </c>
      <c r="D1647" s="51" t="str">
        <f>IF(B1647="","",SUMIF(Transactions!$F$8:$F$3006,B1647,Transactions!$N$8:$N$3006))</f>
        <v/>
      </c>
      <c r="E1647" s="52" t="str">
        <f>IF(B1647="","",SUMIF(Transactions!$F$8:$F$3006,B1647,Transactions!$O$8:$O$3006))</f>
        <v/>
      </c>
      <c r="F1647" s="53" t="str">
        <f>IF(B1647="","",SUMIF(Transactions!$F$8:$F$3006,B1647,Transactions!$R$8:$R$3006))</f>
        <v/>
      </c>
      <c r="G1647" s="54" t="str">
        <f>IF(B1647="","",(C1647+F1647)-(D1647+E1647+SUMIF(Transactions!$F$8:$F$3006,B1647,Transactions!$Q$8:$Q$3006)))</f>
        <v/>
      </c>
      <c r="H1647" s="55" t="str">
        <f>IF(B1647="","",IF(G1647&gt;0,"OUTSTANDING",IF(G1647=0,"SETTLED",IF(SUMIF(Transactions!$F$8:$F$3006,B1647,Transactions!$Q$8:$Q$3006)&gt;SUMIF(Transactions!$F$8:$F$3006,B1647,Transactions!$R$8:$R$3006),"OWES","OVERPAID"))))</f>
        <v/>
      </c>
      <c r="I1647" s="1"/>
    </row>
    <row r="1648" spans="1:9" ht="18" customHeight="1" x14ac:dyDescent="0.25">
      <c r="A1648" s="40">
        <v>1633</v>
      </c>
      <c r="B1648" s="41" t="str">
        <f t="array" ref="B1648">IFERROR(IF(INDEX(Transactions!$F$8:$F$3006,MATCH(0,COUNTIF($B$11:B1647,Transactions!$F$8:$F$3006),0))="","",INDEX(Transactions!$F$8:$F$3006,MATCH(0,COUNTIF($B$11:B1647,Transactions!$F$8:$F$3006),0))),"")</f>
        <v/>
      </c>
      <c r="C1648" s="42" t="str">
        <f>IF(B1648="","",SUMIF(Transactions!$F$8:$F$3006,B1648,Transactions!$H$8:$H$3006))</f>
        <v/>
      </c>
      <c r="D1648" s="43" t="str">
        <f>IF(B1648="","",SUMIF(Transactions!$F$8:$F$3006,B1648,Transactions!$N$8:$N$3006))</f>
        <v/>
      </c>
      <c r="E1648" s="44" t="str">
        <f>IF(B1648="","",SUMIF(Transactions!$F$8:$F$3006,B1648,Transactions!$O$8:$O$3006))</f>
        <v/>
      </c>
      <c r="F1648" s="45" t="str">
        <f>IF(B1648="","",SUMIF(Transactions!$F$8:$F$3006,B1648,Transactions!$R$8:$R$3006))</f>
        <v/>
      </c>
      <c r="G1648" s="46" t="str">
        <f>IF(B1648="","",(C1648+F1648)-(D1648+E1648+SUMIF(Transactions!$F$8:$F$3006,B1648,Transactions!$Q$8:$Q$3006)))</f>
        <v/>
      </c>
      <c r="H1648" s="47" t="str">
        <f>IF(B1648="","",IF(G1648&gt;0,"OUTSTANDING",IF(G1648=0,"SETTLED",IF(SUMIF(Transactions!$F$8:$F$3006,B1648,Transactions!$Q$8:$Q$3006)&gt;SUMIF(Transactions!$F$8:$F$3006,B1648,Transactions!$R$8:$R$3006),"OWES","OVERPAID"))))</f>
        <v/>
      </c>
      <c r="I1648" s="1"/>
    </row>
    <row r="1649" spans="1:9" ht="18" customHeight="1" x14ac:dyDescent="0.25">
      <c r="A1649" s="48">
        <v>1634</v>
      </c>
      <c r="B1649" s="49" t="str">
        <f t="array" ref="B1649">IFERROR(IF(INDEX(Transactions!$F$8:$F$3006,MATCH(0,COUNTIF($B$11:B1648,Transactions!$F$8:$F$3006),0))="","",INDEX(Transactions!$F$8:$F$3006,MATCH(0,COUNTIF($B$11:B1648,Transactions!$F$8:$F$3006),0))),"")</f>
        <v/>
      </c>
      <c r="C1649" s="50" t="str">
        <f>IF(B1649="","",SUMIF(Transactions!$F$8:$F$3006,B1649,Transactions!$H$8:$H$3006))</f>
        <v/>
      </c>
      <c r="D1649" s="51" t="str">
        <f>IF(B1649="","",SUMIF(Transactions!$F$8:$F$3006,B1649,Transactions!$N$8:$N$3006))</f>
        <v/>
      </c>
      <c r="E1649" s="52" t="str">
        <f>IF(B1649="","",SUMIF(Transactions!$F$8:$F$3006,B1649,Transactions!$O$8:$O$3006))</f>
        <v/>
      </c>
      <c r="F1649" s="53" t="str">
        <f>IF(B1649="","",SUMIF(Transactions!$F$8:$F$3006,B1649,Transactions!$R$8:$R$3006))</f>
        <v/>
      </c>
      <c r="G1649" s="54" t="str">
        <f>IF(B1649="","",(C1649+F1649)-(D1649+E1649+SUMIF(Transactions!$F$8:$F$3006,B1649,Transactions!$Q$8:$Q$3006)))</f>
        <v/>
      </c>
      <c r="H1649" s="55" t="str">
        <f>IF(B1649="","",IF(G1649&gt;0,"OUTSTANDING",IF(G1649=0,"SETTLED",IF(SUMIF(Transactions!$F$8:$F$3006,B1649,Transactions!$Q$8:$Q$3006)&gt;SUMIF(Transactions!$F$8:$F$3006,B1649,Transactions!$R$8:$R$3006),"OWES","OVERPAID"))))</f>
        <v/>
      </c>
      <c r="I1649" s="1"/>
    </row>
    <row r="1650" spans="1:9" ht="18" customHeight="1" x14ac:dyDescent="0.25">
      <c r="A1650" s="40">
        <v>1635</v>
      </c>
      <c r="B1650" s="41" t="str">
        <f t="array" ref="B1650">IFERROR(IF(INDEX(Transactions!$F$8:$F$3006,MATCH(0,COUNTIF($B$11:B1649,Transactions!$F$8:$F$3006),0))="","",INDEX(Transactions!$F$8:$F$3006,MATCH(0,COUNTIF($B$11:B1649,Transactions!$F$8:$F$3006),0))),"")</f>
        <v/>
      </c>
      <c r="C1650" s="42" t="str">
        <f>IF(B1650="","",SUMIF(Transactions!$F$8:$F$3006,B1650,Transactions!$H$8:$H$3006))</f>
        <v/>
      </c>
      <c r="D1650" s="43" t="str">
        <f>IF(B1650="","",SUMIF(Transactions!$F$8:$F$3006,B1650,Transactions!$N$8:$N$3006))</f>
        <v/>
      </c>
      <c r="E1650" s="44" t="str">
        <f>IF(B1650="","",SUMIF(Transactions!$F$8:$F$3006,B1650,Transactions!$O$8:$O$3006))</f>
        <v/>
      </c>
      <c r="F1650" s="45" t="str">
        <f>IF(B1650="","",SUMIF(Transactions!$F$8:$F$3006,B1650,Transactions!$R$8:$R$3006))</f>
        <v/>
      </c>
      <c r="G1650" s="46" t="str">
        <f>IF(B1650="","",(C1650+F1650)-(D1650+E1650+SUMIF(Transactions!$F$8:$F$3006,B1650,Transactions!$Q$8:$Q$3006)))</f>
        <v/>
      </c>
      <c r="H1650" s="47" t="str">
        <f>IF(B1650="","",IF(G1650&gt;0,"OUTSTANDING",IF(G1650=0,"SETTLED",IF(SUMIF(Transactions!$F$8:$F$3006,B1650,Transactions!$Q$8:$Q$3006)&gt;SUMIF(Transactions!$F$8:$F$3006,B1650,Transactions!$R$8:$R$3006),"OWES","OVERPAID"))))</f>
        <v/>
      </c>
      <c r="I1650" s="1"/>
    </row>
    <row r="1651" spans="1:9" ht="18" customHeight="1" x14ac:dyDescent="0.25">
      <c r="A1651" s="48">
        <v>1636</v>
      </c>
      <c r="B1651" s="49" t="str">
        <f t="array" ref="B1651">IFERROR(IF(INDEX(Transactions!$F$8:$F$3006,MATCH(0,COUNTIF($B$11:B1650,Transactions!$F$8:$F$3006),0))="","",INDEX(Transactions!$F$8:$F$3006,MATCH(0,COUNTIF($B$11:B1650,Transactions!$F$8:$F$3006),0))),"")</f>
        <v/>
      </c>
      <c r="C1651" s="50" t="str">
        <f>IF(B1651="","",SUMIF(Transactions!$F$8:$F$3006,B1651,Transactions!$H$8:$H$3006))</f>
        <v/>
      </c>
      <c r="D1651" s="51" t="str">
        <f>IF(B1651="","",SUMIF(Transactions!$F$8:$F$3006,B1651,Transactions!$N$8:$N$3006))</f>
        <v/>
      </c>
      <c r="E1651" s="52" t="str">
        <f>IF(B1651="","",SUMIF(Transactions!$F$8:$F$3006,B1651,Transactions!$O$8:$O$3006))</f>
        <v/>
      </c>
      <c r="F1651" s="53" t="str">
        <f>IF(B1651="","",SUMIF(Transactions!$F$8:$F$3006,B1651,Transactions!$R$8:$R$3006))</f>
        <v/>
      </c>
      <c r="G1651" s="54" t="str">
        <f>IF(B1651="","",(C1651+F1651)-(D1651+E1651+SUMIF(Transactions!$F$8:$F$3006,B1651,Transactions!$Q$8:$Q$3006)))</f>
        <v/>
      </c>
      <c r="H1651" s="55" t="str">
        <f>IF(B1651="","",IF(G1651&gt;0,"OUTSTANDING",IF(G1651=0,"SETTLED",IF(SUMIF(Transactions!$F$8:$F$3006,B1651,Transactions!$Q$8:$Q$3006)&gt;SUMIF(Transactions!$F$8:$F$3006,B1651,Transactions!$R$8:$R$3006),"OWES","OVERPAID"))))</f>
        <v/>
      </c>
      <c r="I1651" s="1"/>
    </row>
    <row r="1652" spans="1:9" ht="18" customHeight="1" x14ac:dyDescent="0.25">
      <c r="A1652" s="40">
        <v>1637</v>
      </c>
      <c r="B1652" s="41" t="str">
        <f t="array" ref="B1652">IFERROR(IF(INDEX(Transactions!$F$8:$F$3006,MATCH(0,COUNTIF($B$11:B1651,Transactions!$F$8:$F$3006),0))="","",INDEX(Transactions!$F$8:$F$3006,MATCH(0,COUNTIF($B$11:B1651,Transactions!$F$8:$F$3006),0))),"")</f>
        <v/>
      </c>
      <c r="C1652" s="42" t="str">
        <f>IF(B1652="","",SUMIF(Transactions!$F$8:$F$3006,B1652,Transactions!$H$8:$H$3006))</f>
        <v/>
      </c>
      <c r="D1652" s="43" t="str">
        <f>IF(B1652="","",SUMIF(Transactions!$F$8:$F$3006,B1652,Transactions!$N$8:$N$3006))</f>
        <v/>
      </c>
      <c r="E1652" s="44" t="str">
        <f>IF(B1652="","",SUMIF(Transactions!$F$8:$F$3006,B1652,Transactions!$O$8:$O$3006))</f>
        <v/>
      </c>
      <c r="F1652" s="45" t="str">
        <f>IF(B1652="","",SUMIF(Transactions!$F$8:$F$3006,B1652,Transactions!$R$8:$R$3006))</f>
        <v/>
      </c>
      <c r="G1652" s="46" t="str">
        <f>IF(B1652="","",(C1652+F1652)-(D1652+E1652+SUMIF(Transactions!$F$8:$F$3006,B1652,Transactions!$Q$8:$Q$3006)))</f>
        <v/>
      </c>
      <c r="H1652" s="47" t="str">
        <f>IF(B1652="","",IF(G1652&gt;0,"OUTSTANDING",IF(G1652=0,"SETTLED",IF(SUMIF(Transactions!$F$8:$F$3006,B1652,Transactions!$Q$8:$Q$3006)&gt;SUMIF(Transactions!$F$8:$F$3006,B1652,Transactions!$R$8:$R$3006),"OWES","OVERPAID"))))</f>
        <v/>
      </c>
      <c r="I1652" s="1"/>
    </row>
    <row r="1653" spans="1:9" ht="18" customHeight="1" x14ac:dyDescent="0.25">
      <c r="A1653" s="48">
        <v>1638</v>
      </c>
      <c r="B1653" s="49" t="str">
        <f t="array" ref="B1653">IFERROR(IF(INDEX(Transactions!$F$8:$F$3006,MATCH(0,COUNTIF($B$11:B1652,Transactions!$F$8:$F$3006),0))="","",INDEX(Transactions!$F$8:$F$3006,MATCH(0,COUNTIF($B$11:B1652,Transactions!$F$8:$F$3006),0))),"")</f>
        <v/>
      </c>
      <c r="C1653" s="50" t="str">
        <f>IF(B1653="","",SUMIF(Transactions!$F$8:$F$3006,B1653,Transactions!$H$8:$H$3006))</f>
        <v/>
      </c>
      <c r="D1653" s="51" t="str">
        <f>IF(B1653="","",SUMIF(Transactions!$F$8:$F$3006,B1653,Transactions!$N$8:$N$3006))</f>
        <v/>
      </c>
      <c r="E1653" s="52" t="str">
        <f>IF(B1653="","",SUMIF(Transactions!$F$8:$F$3006,B1653,Transactions!$O$8:$O$3006))</f>
        <v/>
      </c>
      <c r="F1653" s="53" t="str">
        <f>IF(B1653="","",SUMIF(Transactions!$F$8:$F$3006,B1653,Transactions!$R$8:$R$3006))</f>
        <v/>
      </c>
      <c r="G1653" s="54" t="str">
        <f>IF(B1653="","",(C1653+F1653)-(D1653+E1653+SUMIF(Transactions!$F$8:$F$3006,B1653,Transactions!$Q$8:$Q$3006)))</f>
        <v/>
      </c>
      <c r="H1653" s="55" t="str">
        <f>IF(B1653="","",IF(G1653&gt;0,"OUTSTANDING",IF(G1653=0,"SETTLED",IF(SUMIF(Transactions!$F$8:$F$3006,B1653,Transactions!$Q$8:$Q$3006)&gt;SUMIF(Transactions!$F$8:$F$3006,B1653,Transactions!$R$8:$R$3006),"OWES","OVERPAID"))))</f>
        <v/>
      </c>
      <c r="I1653" s="1"/>
    </row>
    <row r="1654" spans="1:9" ht="18" customHeight="1" x14ac:dyDescent="0.25">
      <c r="A1654" s="40">
        <v>1639</v>
      </c>
      <c r="B1654" s="41" t="str">
        <f t="array" ref="B1654">IFERROR(IF(INDEX(Transactions!$F$8:$F$3006,MATCH(0,COUNTIF($B$11:B1653,Transactions!$F$8:$F$3006),0))="","",INDEX(Transactions!$F$8:$F$3006,MATCH(0,COUNTIF($B$11:B1653,Transactions!$F$8:$F$3006),0))),"")</f>
        <v/>
      </c>
      <c r="C1654" s="42" t="str">
        <f>IF(B1654="","",SUMIF(Transactions!$F$8:$F$3006,B1654,Transactions!$H$8:$H$3006))</f>
        <v/>
      </c>
      <c r="D1654" s="43" t="str">
        <f>IF(B1654="","",SUMIF(Transactions!$F$8:$F$3006,B1654,Transactions!$N$8:$N$3006))</f>
        <v/>
      </c>
      <c r="E1654" s="44" t="str">
        <f>IF(B1654="","",SUMIF(Transactions!$F$8:$F$3006,B1654,Transactions!$O$8:$O$3006))</f>
        <v/>
      </c>
      <c r="F1654" s="45" t="str">
        <f>IF(B1654="","",SUMIF(Transactions!$F$8:$F$3006,B1654,Transactions!$R$8:$R$3006))</f>
        <v/>
      </c>
      <c r="G1654" s="46" t="str">
        <f>IF(B1654="","",(C1654+F1654)-(D1654+E1654+SUMIF(Transactions!$F$8:$F$3006,B1654,Transactions!$Q$8:$Q$3006)))</f>
        <v/>
      </c>
      <c r="H1654" s="47" t="str">
        <f>IF(B1654="","",IF(G1654&gt;0,"OUTSTANDING",IF(G1654=0,"SETTLED",IF(SUMIF(Transactions!$F$8:$F$3006,B1654,Transactions!$Q$8:$Q$3006)&gt;SUMIF(Transactions!$F$8:$F$3006,B1654,Transactions!$R$8:$R$3006),"OWES","OVERPAID"))))</f>
        <v/>
      </c>
      <c r="I1654" s="1"/>
    </row>
    <row r="1655" spans="1:9" ht="18" customHeight="1" x14ac:dyDescent="0.25">
      <c r="A1655" s="48">
        <v>1640</v>
      </c>
      <c r="B1655" s="49" t="str">
        <f t="array" ref="B1655">IFERROR(IF(INDEX(Transactions!$F$8:$F$3006,MATCH(0,COUNTIF($B$11:B1654,Transactions!$F$8:$F$3006),0))="","",INDEX(Transactions!$F$8:$F$3006,MATCH(0,COUNTIF($B$11:B1654,Transactions!$F$8:$F$3006),0))),"")</f>
        <v/>
      </c>
      <c r="C1655" s="50" t="str">
        <f>IF(B1655="","",SUMIF(Transactions!$F$8:$F$3006,B1655,Transactions!$H$8:$H$3006))</f>
        <v/>
      </c>
      <c r="D1655" s="51" t="str">
        <f>IF(B1655="","",SUMIF(Transactions!$F$8:$F$3006,B1655,Transactions!$N$8:$N$3006))</f>
        <v/>
      </c>
      <c r="E1655" s="52" t="str">
        <f>IF(B1655="","",SUMIF(Transactions!$F$8:$F$3006,B1655,Transactions!$O$8:$O$3006))</f>
        <v/>
      </c>
      <c r="F1655" s="53" t="str">
        <f>IF(B1655="","",SUMIF(Transactions!$F$8:$F$3006,B1655,Transactions!$R$8:$R$3006))</f>
        <v/>
      </c>
      <c r="G1655" s="54" t="str">
        <f>IF(B1655="","",(C1655+F1655)-(D1655+E1655+SUMIF(Transactions!$F$8:$F$3006,B1655,Transactions!$Q$8:$Q$3006)))</f>
        <v/>
      </c>
      <c r="H1655" s="55" t="str">
        <f>IF(B1655="","",IF(G1655&gt;0,"OUTSTANDING",IF(G1655=0,"SETTLED",IF(SUMIF(Transactions!$F$8:$F$3006,B1655,Transactions!$Q$8:$Q$3006)&gt;SUMIF(Transactions!$F$8:$F$3006,B1655,Transactions!$R$8:$R$3006),"OWES","OVERPAID"))))</f>
        <v/>
      </c>
      <c r="I1655" s="1"/>
    </row>
    <row r="1656" spans="1:9" ht="18" customHeight="1" x14ac:dyDescent="0.25">
      <c r="A1656" s="40">
        <v>1641</v>
      </c>
      <c r="B1656" s="41" t="str">
        <f t="array" ref="B1656">IFERROR(IF(INDEX(Transactions!$F$8:$F$3006,MATCH(0,COUNTIF($B$11:B1655,Transactions!$F$8:$F$3006),0))="","",INDEX(Transactions!$F$8:$F$3006,MATCH(0,COUNTIF($B$11:B1655,Transactions!$F$8:$F$3006),0))),"")</f>
        <v/>
      </c>
      <c r="C1656" s="42" t="str">
        <f>IF(B1656="","",SUMIF(Transactions!$F$8:$F$3006,B1656,Transactions!$H$8:$H$3006))</f>
        <v/>
      </c>
      <c r="D1656" s="43" t="str">
        <f>IF(B1656="","",SUMIF(Transactions!$F$8:$F$3006,B1656,Transactions!$N$8:$N$3006))</f>
        <v/>
      </c>
      <c r="E1656" s="44" t="str">
        <f>IF(B1656="","",SUMIF(Transactions!$F$8:$F$3006,B1656,Transactions!$O$8:$O$3006))</f>
        <v/>
      </c>
      <c r="F1656" s="45" t="str">
        <f>IF(B1656="","",SUMIF(Transactions!$F$8:$F$3006,B1656,Transactions!$R$8:$R$3006))</f>
        <v/>
      </c>
      <c r="G1656" s="46" t="str">
        <f>IF(B1656="","",(C1656+F1656)-(D1656+E1656+SUMIF(Transactions!$F$8:$F$3006,B1656,Transactions!$Q$8:$Q$3006)))</f>
        <v/>
      </c>
      <c r="H1656" s="47" t="str">
        <f>IF(B1656="","",IF(G1656&gt;0,"OUTSTANDING",IF(G1656=0,"SETTLED",IF(SUMIF(Transactions!$F$8:$F$3006,B1656,Transactions!$Q$8:$Q$3006)&gt;SUMIF(Transactions!$F$8:$F$3006,B1656,Transactions!$R$8:$R$3006),"OWES","OVERPAID"))))</f>
        <v/>
      </c>
      <c r="I1656" s="1"/>
    </row>
    <row r="1657" spans="1:9" ht="18" customHeight="1" x14ac:dyDescent="0.25">
      <c r="A1657" s="48">
        <v>1642</v>
      </c>
      <c r="B1657" s="49" t="str">
        <f t="array" ref="B1657">IFERROR(IF(INDEX(Transactions!$F$8:$F$3006,MATCH(0,COUNTIF($B$11:B1656,Transactions!$F$8:$F$3006),0))="","",INDEX(Transactions!$F$8:$F$3006,MATCH(0,COUNTIF($B$11:B1656,Transactions!$F$8:$F$3006),0))),"")</f>
        <v/>
      </c>
      <c r="C1657" s="50" t="str">
        <f>IF(B1657="","",SUMIF(Transactions!$F$8:$F$3006,B1657,Transactions!$H$8:$H$3006))</f>
        <v/>
      </c>
      <c r="D1657" s="51" t="str">
        <f>IF(B1657="","",SUMIF(Transactions!$F$8:$F$3006,B1657,Transactions!$N$8:$N$3006))</f>
        <v/>
      </c>
      <c r="E1657" s="52" t="str">
        <f>IF(B1657="","",SUMIF(Transactions!$F$8:$F$3006,B1657,Transactions!$O$8:$O$3006))</f>
        <v/>
      </c>
      <c r="F1657" s="53" t="str">
        <f>IF(B1657="","",SUMIF(Transactions!$F$8:$F$3006,B1657,Transactions!$R$8:$R$3006))</f>
        <v/>
      </c>
      <c r="G1657" s="54" t="str">
        <f>IF(B1657="","",(C1657+F1657)-(D1657+E1657+SUMIF(Transactions!$F$8:$F$3006,B1657,Transactions!$Q$8:$Q$3006)))</f>
        <v/>
      </c>
      <c r="H1657" s="55" t="str">
        <f>IF(B1657="","",IF(G1657&gt;0,"OUTSTANDING",IF(G1657=0,"SETTLED",IF(SUMIF(Transactions!$F$8:$F$3006,B1657,Transactions!$Q$8:$Q$3006)&gt;SUMIF(Transactions!$F$8:$F$3006,B1657,Transactions!$R$8:$R$3006),"OWES","OVERPAID"))))</f>
        <v/>
      </c>
      <c r="I1657" s="1"/>
    </row>
    <row r="1658" spans="1:9" ht="18" customHeight="1" x14ac:dyDescent="0.25">
      <c r="A1658" s="40">
        <v>1643</v>
      </c>
      <c r="B1658" s="41" t="str">
        <f t="array" ref="B1658">IFERROR(IF(INDEX(Transactions!$F$8:$F$3006,MATCH(0,COUNTIF($B$11:B1657,Transactions!$F$8:$F$3006),0))="","",INDEX(Transactions!$F$8:$F$3006,MATCH(0,COUNTIF($B$11:B1657,Transactions!$F$8:$F$3006),0))),"")</f>
        <v/>
      </c>
      <c r="C1658" s="42" t="str">
        <f>IF(B1658="","",SUMIF(Transactions!$F$8:$F$3006,B1658,Transactions!$H$8:$H$3006))</f>
        <v/>
      </c>
      <c r="D1658" s="43" t="str">
        <f>IF(B1658="","",SUMIF(Transactions!$F$8:$F$3006,B1658,Transactions!$N$8:$N$3006))</f>
        <v/>
      </c>
      <c r="E1658" s="44" t="str">
        <f>IF(B1658="","",SUMIF(Transactions!$F$8:$F$3006,B1658,Transactions!$O$8:$O$3006))</f>
        <v/>
      </c>
      <c r="F1658" s="45" t="str">
        <f>IF(B1658="","",SUMIF(Transactions!$F$8:$F$3006,B1658,Transactions!$R$8:$R$3006))</f>
        <v/>
      </c>
      <c r="G1658" s="46" t="str">
        <f>IF(B1658="","",(C1658+F1658)-(D1658+E1658+SUMIF(Transactions!$F$8:$F$3006,B1658,Transactions!$Q$8:$Q$3006)))</f>
        <v/>
      </c>
      <c r="H1658" s="47" t="str">
        <f>IF(B1658="","",IF(G1658&gt;0,"OUTSTANDING",IF(G1658=0,"SETTLED",IF(SUMIF(Transactions!$F$8:$F$3006,B1658,Transactions!$Q$8:$Q$3006)&gt;SUMIF(Transactions!$F$8:$F$3006,B1658,Transactions!$R$8:$R$3006),"OWES","OVERPAID"))))</f>
        <v/>
      </c>
      <c r="I1658" s="1"/>
    </row>
    <row r="1659" spans="1:9" ht="18" customHeight="1" x14ac:dyDescent="0.25">
      <c r="A1659" s="48">
        <v>1644</v>
      </c>
      <c r="B1659" s="49" t="str">
        <f t="array" ref="B1659">IFERROR(IF(INDEX(Transactions!$F$8:$F$3006,MATCH(0,COUNTIF($B$11:B1658,Transactions!$F$8:$F$3006),0))="","",INDEX(Transactions!$F$8:$F$3006,MATCH(0,COUNTIF($B$11:B1658,Transactions!$F$8:$F$3006),0))),"")</f>
        <v/>
      </c>
      <c r="C1659" s="50" t="str">
        <f>IF(B1659="","",SUMIF(Transactions!$F$8:$F$3006,B1659,Transactions!$H$8:$H$3006))</f>
        <v/>
      </c>
      <c r="D1659" s="51" t="str">
        <f>IF(B1659="","",SUMIF(Transactions!$F$8:$F$3006,B1659,Transactions!$N$8:$N$3006))</f>
        <v/>
      </c>
      <c r="E1659" s="52" t="str">
        <f>IF(B1659="","",SUMIF(Transactions!$F$8:$F$3006,B1659,Transactions!$O$8:$O$3006))</f>
        <v/>
      </c>
      <c r="F1659" s="53" t="str">
        <f>IF(B1659="","",SUMIF(Transactions!$F$8:$F$3006,B1659,Transactions!$R$8:$R$3006))</f>
        <v/>
      </c>
      <c r="G1659" s="54" t="str">
        <f>IF(B1659="","",(C1659+F1659)-(D1659+E1659+SUMIF(Transactions!$F$8:$F$3006,B1659,Transactions!$Q$8:$Q$3006)))</f>
        <v/>
      </c>
      <c r="H1659" s="55" t="str">
        <f>IF(B1659="","",IF(G1659&gt;0,"OUTSTANDING",IF(G1659=0,"SETTLED",IF(SUMIF(Transactions!$F$8:$F$3006,B1659,Transactions!$Q$8:$Q$3006)&gt;SUMIF(Transactions!$F$8:$F$3006,B1659,Transactions!$R$8:$R$3006),"OWES","OVERPAID"))))</f>
        <v/>
      </c>
      <c r="I1659" s="1"/>
    </row>
    <row r="1660" spans="1:9" ht="18" customHeight="1" x14ac:dyDescent="0.25">
      <c r="A1660" s="40">
        <v>1645</v>
      </c>
      <c r="B1660" s="41" t="str">
        <f t="array" ref="B1660">IFERROR(IF(INDEX(Transactions!$F$8:$F$3006,MATCH(0,COUNTIF($B$11:B1659,Transactions!$F$8:$F$3006),0))="","",INDEX(Transactions!$F$8:$F$3006,MATCH(0,COUNTIF($B$11:B1659,Transactions!$F$8:$F$3006),0))),"")</f>
        <v/>
      </c>
      <c r="C1660" s="42" t="str">
        <f>IF(B1660="","",SUMIF(Transactions!$F$8:$F$3006,B1660,Transactions!$H$8:$H$3006))</f>
        <v/>
      </c>
      <c r="D1660" s="43" t="str">
        <f>IF(B1660="","",SUMIF(Transactions!$F$8:$F$3006,B1660,Transactions!$N$8:$N$3006))</f>
        <v/>
      </c>
      <c r="E1660" s="44" t="str">
        <f>IF(B1660="","",SUMIF(Transactions!$F$8:$F$3006,B1660,Transactions!$O$8:$O$3006))</f>
        <v/>
      </c>
      <c r="F1660" s="45" t="str">
        <f>IF(B1660="","",SUMIF(Transactions!$F$8:$F$3006,B1660,Transactions!$R$8:$R$3006))</f>
        <v/>
      </c>
      <c r="G1660" s="46" t="str">
        <f>IF(B1660="","",(C1660+F1660)-(D1660+E1660+SUMIF(Transactions!$F$8:$F$3006,B1660,Transactions!$Q$8:$Q$3006)))</f>
        <v/>
      </c>
      <c r="H1660" s="47" t="str">
        <f>IF(B1660="","",IF(G1660&gt;0,"OUTSTANDING",IF(G1660=0,"SETTLED",IF(SUMIF(Transactions!$F$8:$F$3006,B1660,Transactions!$Q$8:$Q$3006)&gt;SUMIF(Transactions!$F$8:$F$3006,B1660,Transactions!$R$8:$R$3006),"OWES","OVERPAID"))))</f>
        <v/>
      </c>
      <c r="I1660" s="1"/>
    </row>
    <row r="1661" spans="1:9" ht="18" customHeight="1" x14ac:dyDescent="0.25">
      <c r="A1661" s="48">
        <v>1646</v>
      </c>
      <c r="B1661" s="49" t="str">
        <f t="array" ref="B1661">IFERROR(IF(INDEX(Transactions!$F$8:$F$3006,MATCH(0,COUNTIF($B$11:B1660,Transactions!$F$8:$F$3006),0))="","",INDEX(Transactions!$F$8:$F$3006,MATCH(0,COUNTIF($B$11:B1660,Transactions!$F$8:$F$3006),0))),"")</f>
        <v/>
      </c>
      <c r="C1661" s="50" t="str">
        <f>IF(B1661="","",SUMIF(Transactions!$F$8:$F$3006,B1661,Transactions!$H$8:$H$3006))</f>
        <v/>
      </c>
      <c r="D1661" s="51" t="str">
        <f>IF(B1661="","",SUMIF(Transactions!$F$8:$F$3006,B1661,Transactions!$N$8:$N$3006))</f>
        <v/>
      </c>
      <c r="E1661" s="52" t="str">
        <f>IF(B1661="","",SUMIF(Transactions!$F$8:$F$3006,B1661,Transactions!$O$8:$O$3006))</f>
        <v/>
      </c>
      <c r="F1661" s="53" t="str">
        <f>IF(B1661="","",SUMIF(Transactions!$F$8:$F$3006,B1661,Transactions!$R$8:$R$3006))</f>
        <v/>
      </c>
      <c r="G1661" s="54" t="str">
        <f>IF(B1661="","",(C1661+F1661)-(D1661+E1661+SUMIF(Transactions!$F$8:$F$3006,B1661,Transactions!$Q$8:$Q$3006)))</f>
        <v/>
      </c>
      <c r="H1661" s="55" t="str">
        <f>IF(B1661="","",IF(G1661&gt;0,"OUTSTANDING",IF(G1661=0,"SETTLED",IF(SUMIF(Transactions!$F$8:$F$3006,B1661,Transactions!$Q$8:$Q$3006)&gt;SUMIF(Transactions!$F$8:$F$3006,B1661,Transactions!$R$8:$R$3006),"OWES","OVERPAID"))))</f>
        <v/>
      </c>
      <c r="I1661" s="1"/>
    </row>
    <row r="1662" spans="1:9" ht="18" customHeight="1" x14ac:dyDescent="0.25">
      <c r="A1662" s="40">
        <v>1647</v>
      </c>
      <c r="B1662" s="41" t="str">
        <f t="array" ref="B1662">IFERROR(IF(INDEX(Transactions!$F$8:$F$3006,MATCH(0,COUNTIF($B$11:B1661,Transactions!$F$8:$F$3006),0))="","",INDEX(Transactions!$F$8:$F$3006,MATCH(0,COUNTIF($B$11:B1661,Transactions!$F$8:$F$3006),0))),"")</f>
        <v/>
      </c>
      <c r="C1662" s="42" t="str">
        <f>IF(B1662="","",SUMIF(Transactions!$F$8:$F$3006,B1662,Transactions!$H$8:$H$3006))</f>
        <v/>
      </c>
      <c r="D1662" s="43" t="str">
        <f>IF(B1662="","",SUMIF(Transactions!$F$8:$F$3006,B1662,Transactions!$N$8:$N$3006))</f>
        <v/>
      </c>
      <c r="E1662" s="44" t="str">
        <f>IF(B1662="","",SUMIF(Transactions!$F$8:$F$3006,B1662,Transactions!$O$8:$O$3006))</f>
        <v/>
      </c>
      <c r="F1662" s="45" t="str">
        <f>IF(B1662="","",SUMIF(Transactions!$F$8:$F$3006,B1662,Transactions!$R$8:$R$3006))</f>
        <v/>
      </c>
      <c r="G1662" s="46" t="str">
        <f>IF(B1662="","",(C1662+F1662)-(D1662+E1662+SUMIF(Transactions!$F$8:$F$3006,B1662,Transactions!$Q$8:$Q$3006)))</f>
        <v/>
      </c>
      <c r="H1662" s="47" t="str">
        <f>IF(B1662="","",IF(G1662&gt;0,"OUTSTANDING",IF(G1662=0,"SETTLED",IF(SUMIF(Transactions!$F$8:$F$3006,B1662,Transactions!$Q$8:$Q$3006)&gt;SUMIF(Transactions!$F$8:$F$3006,B1662,Transactions!$R$8:$R$3006),"OWES","OVERPAID"))))</f>
        <v/>
      </c>
      <c r="I1662" s="1"/>
    </row>
    <row r="1663" spans="1:9" ht="18" customHeight="1" x14ac:dyDescent="0.25">
      <c r="A1663" s="48">
        <v>1648</v>
      </c>
      <c r="B1663" s="49" t="str">
        <f t="array" ref="B1663">IFERROR(IF(INDEX(Transactions!$F$8:$F$3006,MATCH(0,COUNTIF($B$11:B1662,Transactions!$F$8:$F$3006),0))="","",INDEX(Transactions!$F$8:$F$3006,MATCH(0,COUNTIF($B$11:B1662,Transactions!$F$8:$F$3006),0))),"")</f>
        <v/>
      </c>
      <c r="C1663" s="50" t="str">
        <f>IF(B1663="","",SUMIF(Transactions!$F$8:$F$3006,B1663,Transactions!$H$8:$H$3006))</f>
        <v/>
      </c>
      <c r="D1663" s="51" t="str">
        <f>IF(B1663="","",SUMIF(Transactions!$F$8:$F$3006,B1663,Transactions!$N$8:$N$3006))</f>
        <v/>
      </c>
      <c r="E1663" s="52" t="str">
        <f>IF(B1663="","",SUMIF(Transactions!$F$8:$F$3006,B1663,Transactions!$O$8:$O$3006))</f>
        <v/>
      </c>
      <c r="F1663" s="53" t="str">
        <f>IF(B1663="","",SUMIF(Transactions!$F$8:$F$3006,B1663,Transactions!$R$8:$R$3006))</f>
        <v/>
      </c>
      <c r="G1663" s="54" t="str">
        <f>IF(B1663="","",(C1663+F1663)-(D1663+E1663+SUMIF(Transactions!$F$8:$F$3006,B1663,Transactions!$Q$8:$Q$3006)))</f>
        <v/>
      </c>
      <c r="H1663" s="55" t="str">
        <f>IF(B1663="","",IF(G1663&gt;0,"OUTSTANDING",IF(G1663=0,"SETTLED",IF(SUMIF(Transactions!$F$8:$F$3006,B1663,Transactions!$Q$8:$Q$3006)&gt;SUMIF(Transactions!$F$8:$F$3006,B1663,Transactions!$R$8:$R$3006),"OWES","OVERPAID"))))</f>
        <v/>
      </c>
      <c r="I1663" s="1"/>
    </row>
    <row r="1664" spans="1:9" ht="18" customHeight="1" x14ac:dyDescent="0.25">
      <c r="A1664" s="40">
        <v>1649</v>
      </c>
      <c r="B1664" s="41" t="str">
        <f t="array" ref="B1664">IFERROR(IF(INDEX(Transactions!$F$8:$F$3006,MATCH(0,COUNTIF($B$11:B1663,Transactions!$F$8:$F$3006),0))="","",INDEX(Transactions!$F$8:$F$3006,MATCH(0,COUNTIF($B$11:B1663,Transactions!$F$8:$F$3006),0))),"")</f>
        <v/>
      </c>
      <c r="C1664" s="42" t="str">
        <f>IF(B1664="","",SUMIF(Transactions!$F$8:$F$3006,B1664,Transactions!$H$8:$H$3006))</f>
        <v/>
      </c>
      <c r="D1664" s="43" t="str">
        <f>IF(B1664="","",SUMIF(Transactions!$F$8:$F$3006,B1664,Transactions!$N$8:$N$3006))</f>
        <v/>
      </c>
      <c r="E1664" s="44" t="str">
        <f>IF(B1664="","",SUMIF(Transactions!$F$8:$F$3006,B1664,Transactions!$O$8:$O$3006))</f>
        <v/>
      </c>
      <c r="F1664" s="45" t="str">
        <f>IF(B1664="","",SUMIF(Transactions!$F$8:$F$3006,B1664,Transactions!$R$8:$R$3006))</f>
        <v/>
      </c>
      <c r="G1664" s="46" t="str">
        <f>IF(B1664="","",(C1664+F1664)-(D1664+E1664+SUMIF(Transactions!$F$8:$F$3006,B1664,Transactions!$Q$8:$Q$3006)))</f>
        <v/>
      </c>
      <c r="H1664" s="47" t="str">
        <f>IF(B1664="","",IF(G1664&gt;0,"OUTSTANDING",IF(G1664=0,"SETTLED",IF(SUMIF(Transactions!$F$8:$F$3006,B1664,Transactions!$Q$8:$Q$3006)&gt;SUMIF(Transactions!$F$8:$F$3006,B1664,Transactions!$R$8:$R$3006),"OWES","OVERPAID"))))</f>
        <v/>
      </c>
      <c r="I1664" s="1"/>
    </row>
    <row r="1665" spans="1:9" ht="18" customHeight="1" x14ac:dyDescent="0.25">
      <c r="A1665" s="48">
        <v>1650</v>
      </c>
      <c r="B1665" s="49" t="str">
        <f t="array" ref="B1665">IFERROR(IF(INDEX(Transactions!$F$8:$F$3006,MATCH(0,COUNTIF($B$11:B1664,Transactions!$F$8:$F$3006),0))="","",INDEX(Transactions!$F$8:$F$3006,MATCH(0,COUNTIF($B$11:B1664,Transactions!$F$8:$F$3006),0))),"")</f>
        <v/>
      </c>
      <c r="C1665" s="50" t="str">
        <f>IF(B1665="","",SUMIF(Transactions!$F$8:$F$3006,B1665,Transactions!$H$8:$H$3006))</f>
        <v/>
      </c>
      <c r="D1665" s="51" t="str">
        <f>IF(B1665="","",SUMIF(Transactions!$F$8:$F$3006,B1665,Transactions!$N$8:$N$3006))</f>
        <v/>
      </c>
      <c r="E1665" s="52" t="str">
        <f>IF(B1665="","",SUMIF(Transactions!$F$8:$F$3006,B1665,Transactions!$O$8:$O$3006))</f>
        <v/>
      </c>
      <c r="F1665" s="53" t="str">
        <f>IF(B1665="","",SUMIF(Transactions!$F$8:$F$3006,B1665,Transactions!$R$8:$R$3006))</f>
        <v/>
      </c>
      <c r="G1665" s="54" t="str">
        <f>IF(B1665="","",(C1665+F1665)-(D1665+E1665+SUMIF(Transactions!$F$8:$F$3006,B1665,Transactions!$Q$8:$Q$3006)))</f>
        <v/>
      </c>
      <c r="H1665" s="55" t="str">
        <f>IF(B1665="","",IF(G1665&gt;0,"OUTSTANDING",IF(G1665=0,"SETTLED",IF(SUMIF(Transactions!$F$8:$F$3006,B1665,Transactions!$Q$8:$Q$3006)&gt;SUMIF(Transactions!$F$8:$F$3006,B1665,Transactions!$R$8:$R$3006),"OWES","OVERPAID"))))</f>
        <v/>
      </c>
      <c r="I1665" s="1"/>
    </row>
    <row r="1666" spans="1:9" ht="18" customHeight="1" x14ac:dyDescent="0.25">
      <c r="A1666" s="40">
        <v>1651</v>
      </c>
      <c r="B1666" s="41" t="str">
        <f t="array" ref="B1666">IFERROR(IF(INDEX(Transactions!$F$8:$F$3006,MATCH(0,COUNTIF($B$11:B1665,Transactions!$F$8:$F$3006),0))="","",INDEX(Transactions!$F$8:$F$3006,MATCH(0,COUNTIF($B$11:B1665,Transactions!$F$8:$F$3006),0))),"")</f>
        <v/>
      </c>
      <c r="C1666" s="42" t="str">
        <f>IF(B1666="","",SUMIF(Transactions!$F$8:$F$3006,B1666,Transactions!$H$8:$H$3006))</f>
        <v/>
      </c>
      <c r="D1666" s="43" t="str">
        <f>IF(B1666="","",SUMIF(Transactions!$F$8:$F$3006,B1666,Transactions!$N$8:$N$3006))</f>
        <v/>
      </c>
      <c r="E1666" s="44" t="str">
        <f>IF(B1666="","",SUMIF(Transactions!$F$8:$F$3006,B1666,Transactions!$O$8:$O$3006))</f>
        <v/>
      </c>
      <c r="F1666" s="45" t="str">
        <f>IF(B1666="","",SUMIF(Transactions!$F$8:$F$3006,B1666,Transactions!$R$8:$R$3006))</f>
        <v/>
      </c>
      <c r="G1666" s="46" t="str">
        <f>IF(B1666="","",(C1666+F1666)-(D1666+E1666+SUMIF(Transactions!$F$8:$F$3006,B1666,Transactions!$Q$8:$Q$3006)))</f>
        <v/>
      </c>
      <c r="H1666" s="47" t="str">
        <f>IF(B1666="","",IF(G1666&gt;0,"OUTSTANDING",IF(G1666=0,"SETTLED",IF(SUMIF(Transactions!$F$8:$F$3006,B1666,Transactions!$Q$8:$Q$3006)&gt;SUMIF(Transactions!$F$8:$F$3006,B1666,Transactions!$R$8:$R$3006),"OWES","OVERPAID"))))</f>
        <v/>
      </c>
      <c r="I1666" s="1"/>
    </row>
    <row r="1667" spans="1:9" ht="18" customHeight="1" x14ac:dyDescent="0.25">
      <c r="A1667" s="48">
        <v>1652</v>
      </c>
      <c r="B1667" s="49" t="str">
        <f t="array" ref="B1667">IFERROR(IF(INDEX(Transactions!$F$8:$F$3006,MATCH(0,COUNTIF($B$11:B1666,Transactions!$F$8:$F$3006),0))="","",INDEX(Transactions!$F$8:$F$3006,MATCH(0,COUNTIF($B$11:B1666,Transactions!$F$8:$F$3006),0))),"")</f>
        <v/>
      </c>
      <c r="C1667" s="50" t="str">
        <f>IF(B1667="","",SUMIF(Transactions!$F$8:$F$3006,B1667,Transactions!$H$8:$H$3006))</f>
        <v/>
      </c>
      <c r="D1667" s="51" t="str">
        <f>IF(B1667="","",SUMIF(Transactions!$F$8:$F$3006,B1667,Transactions!$N$8:$N$3006))</f>
        <v/>
      </c>
      <c r="E1667" s="52" t="str">
        <f>IF(B1667="","",SUMIF(Transactions!$F$8:$F$3006,B1667,Transactions!$O$8:$O$3006))</f>
        <v/>
      </c>
      <c r="F1667" s="53" t="str">
        <f>IF(B1667="","",SUMIF(Transactions!$F$8:$F$3006,B1667,Transactions!$R$8:$R$3006))</f>
        <v/>
      </c>
      <c r="G1667" s="54" t="str">
        <f>IF(B1667="","",(C1667+F1667)-(D1667+E1667+SUMIF(Transactions!$F$8:$F$3006,B1667,Transactions!$Q$8:$Q$3006)))</f>
        <v/>
      </c>
      <c r="H1667" s="55" t="str">
        <f>IF(B1667="","",IF(G1667&gt;0,"OUTSTANDING",IF(G1667=0,"SETTLED",IF(SUMIF(Transactions!$F$8:$F$3006,B1667,Transactions!$Q$8:$Q$3006)&gt;SUMIF(Transactions!$F$8:$F$3006,B1667,Transactions!$R$8:$R$3006),"OWES","OVERPAID"))))</f>
        <v/>
      </c>
      <c r="I1667" s="1"/>
    </row>
    <row r="1668" spans="1:9" ht="18" customHeight="1" x14ac:dyDescent="0.25">
      <c r="A1668" s="40">
        <v>1653</v>
      </c>
      <c r="B1668" s="41" t="str">
        <f t="array" ref="B1668">IFERROR(IF(INDEX(Transactions!$F$8:$F$3006,MATCH(0,COUNTIF($B$11:B1667,Transactions!$F$8:$F$3006),0))="","",INDEX(Transactions!$F$8:$F$3006,MATCH(0,COUNTIF($B$11:B1667,Transactions!$F$8:$F$3006),0))),"")</f>
        <v/>
      </c>
      <c r="C1668" s="42" t="str">
        <f>IF(B1668="","",SUMIF(Transactions!$F$8:$F$3006,B1668,Transactions!$H$8:$H$3006))</f>
        <v/>
      </c>
      <c r="D1668" s="43" t="str">
        <f>IF(B1668="","",SUMIF(Transactions!$F$8:$F$3006,B1668,Transactions!$N$8:$N$3006))</f>
        <v/>
      </c>
      <c r="E1668" s="44" t="str">
        <f>IF(B1668="","",SUMIF(Transactions!$F$8:$F$3006,B1668,Transactions!$O$8:$O$3006))</f>
        <v/>
      </c>
      <c r="F1668" s="45" t="str">
        <f>IF(B1668="","",SUMIF(Transactions!$F$8:$F$3006,B1668,Transactions!$R$8:$R$3006))</f>
        <v/>
      </c>
      <c r="G1668" s="46" t="str">
        <f>IF(B1668="","",(C1668+F1668)-(D1668+E1668+SUMIF(Transactions!$F$8:$F$3006,B1668,Transactions!$Q$8:$Q$3006)))</f>
        <v/>
      </c>
      <c r="H1668" s="47" t="str">
        <f>IF(B1668="","",IF(G1668&gt;0,"OUTSTANDING",IF(G1668=0,"SETTLED",IF(SUMIF(Transactions!$F$8:$F$3006,B1668,Transactions!$Q$8:$Q$3006)&gt;SUMIF(Transactions!$F$8:$F$3006,B1668,Transactions!$R$8:$R$3006),"OWES","OVERPAID"))))</f>
        <v/>
      </c>
      <c r="I1668" s="1"/>
    </row>
    <row r="1669" spans="1:9" ht="18" customHeight="1" x14ac:dyDescent="0.25">
      <c r="A1669" s="48">
        <v>1654</v>
      </c>
      <c r="B1669" s="49" t="str">
        <f t="array" ref="B1669">IFERROR(IF(INDEX(Transactions!$F$8:$F$3006,MATCH(0,COUNTIF($B$11:B1668,Transactions!$F$8:$F$3006),0))="","",INDEX(Transactions!$F$8:$F$3006,MATCH(0,COUNTIF($B$11:B1668,Transactions!$F$8:$F$3006),0))),"")</f>
        <v/>
      </c>
      <c r="C1669" s="50" t="str">
        <f>IF(B1669="","",SUMIF(Transactions!$F$8:$F$3006,B1669,Transactions!$H$8:$H$3006))</f>
        <v/>
      </c>
      <c r="D1669" s="51" t="str">
        <f>IF(B1669="","",SUMIF(Transactions!$F$8:$F$3006,B1669,Transactions!$N$8:$N$3006))</f>
        <v/>
      </c>
      <c r="E1669" s="52" t="str">
        <f>IF(B1669="","",SUMIF(Transactions!$F$8:$F$3006,B1669,Transactions!$O$8:$O$3006))</f>
        <v/>
      </c>
      <c r="F1669" s="53" t="str">
        <f>IF(B1669="","",SUMIF(Transactions!$F$8:$F$3006,B1669,Transactions!$R$8:$R$3006))</f>
        <v/>
      </c>
      <c r="G1669" s="54" t="str">
        <f>IF(B1669="","",(C1669+F1669)-(D1669+E1669+SUMIF(Transactions!$F$8:$F$3006,B1669,Transactions!$Q$8:$Q$3006)))</f>
        <v/>
      </c>
      <c r="H1669" s="55" t="str">
        <f>IF(B1669="","",IF(G1669&gt;0,"OUTSTANDING",IF(G1669=0,"SETTLED",IF(SUMIF(Transactions!$F$8:$F$3006,B1669,Transactions!$Q$8:$Q$3006)&gt;SUMIF(Transactions!$F$8:$F$3006,B1669,Transactions!$R$8:$R$3006),"OWES","OVERPAID"))))</f>
        <v/>
      </c>
      <c r="I1669" s="1"/>
    </row>
    <row r="1670" spans="1:9" ht="18" customHeight="1" x14ac:dyDescent="0.25">
      <c r="A1670" s="40">
        <v>1655</v>
      </c>
      <c r="B1670" s="41" t="str">
        <f t="array" ref="B1670">IFERROR(IF(INDEX(Transactions!$F$8:$F$3006,MATCH(0,COUNTIF($B$11:B1669,Transactions!$F$8:$F$3006),0))="","",INDEX(Transactions!$F$8:$F$3006,MATCH(0,COUNTIF($B$11:B1669,Transactions!$F$8:$F$3006),0))),"")</f>
        <v/>
      </c>
      <c r="C1670" s="42" t="str">
        <f>IF(B1670="","",SUMIF(Transactions!$F$8:$F$3006,B1670,Transactions!$H$8:$H$3006))</f>
        <v/>
      </c>
      <c r="D1670" s="43" t="str">
        <f>IF(B1670="","",SUMIF(Transactions!$F$8:$F$3006,B1670,Transactions!$N$8:$N$3006))</f>
        <v/>
      </c>
      <c r="E1670" s="44" t="str">
        <f>IF(B1670="","",SUMIF(Transactions!$F$8:$F$3006,B1670,Transactions!$O$8:$O$3006))</f>
        <v/>
      </c>
      <c r="F1670" s="45" t="str">
        <f>IF(B1670="","",SUMIF(Transactions!$F$8:$F$3006,B1670,Transactions!$R$8:$R$3006))</f>
        <v/>
      </c>
      <c r="G1670" s="46" t="str">
        <f>IF(B1670="","",(C1670+F1670)-(D1670+E1670+SUMIF(Transactions!$F$8:$F$3006,B1670,Transactions!$Q$8:$Q$3006)))</f>
        <v/>
      </c>
      <c r="H1670" s="47" t="str">
        <f>IF(B1670="","",IF(G1670&gt;0,"OUTSTANDING",IF(G1670=0,"SETTLED",IF(SUMIF(Transactions!$F$8:$F$3006,B1670,Transactions!$Q$8:$Q$3006)&gt;SUMIF(Transactions!$F$8:$F$3006,B1670,Transactions!$R$8:$R$3006),"OWES","OVERPAID"))))</f>
        <v/>
      </c>
      <c r="I1670" s="1"/>
    </row>
    <row r="1671" spans="1:9" ht="18" customHeight="1" x14ac:dyDescent="0.25">
      <c r="A1671" s="48">
        <v>1656</v>
      </c>
      <c r="B1671" s="49" t="str">
        <f t="array" ref="B1671">IFERROR(IF(INDEX(Transactions!$F$8:$F$3006,MATCH(0,COUNTIF($B$11:B1670,Transactions!$F$8:$F$3006),0))="","",INDEX(Transactions!$F$8:$F$3006,MATCH(0,COUNTIF($B$11:B1670,Transactions!$F$8:$F$3006),0))),"")</f>
        <v/>
      </c>
      <c r="C1671" s="50" t="str">
        <f>IF(B1671="","",SUMIF(Transactions!$F$8:$F$3006,B1671,Transactions!$H$8:$H$3006))</f>
        <v/>
      </c>
      <c r="D1671" s="51" t="str">
        <f>IF(B1671="","",SUMIF(Transactions!$F$8:$F$3006,B1671,Transactions!$N$8:$N$3006))</f>
        <v/>
      </c>
      <c r="E1671" s="52" t="str">
        <f>IF(B1671="","",SUMIF(Transactions!$F$8:$F$3006,B1671,Transactions!$O$8:$O$3006))</f>
        <v/>
      </c>
      <c r="F1671" s="53" t="str">
        <f>IF(B1671="","",SUMIF(Transactions!$F$8:$F$3006,B1671,Transactions!$R$8:$R$3006))</f>
        <v/>
      </c>
      <c r="G1671" s="54" t="str">
        <f>IF(B1671="","",(C1671+F1671)-(D1671+E1671+SUMIF(Transactions!$F$8:$F$3006,B1671,Transactions!$Q$8:$Q$3006)))</f>
        <v/>
      </c>
      <c r="H1671" s="55" t="str">
        <f>IF(B1671="","",IF(G1671&gt;0,"OUTSTANDING",IF(G1671=0,"SETTLED",IF(SUMIF(Transactions!$F$8:$F$3006,B1671,Transactions!$Q$8:$Q$3006)&gt;SUMIF(Transactions!$F$8:$F$3006,B1671,Transactions!$R$8:$R$3006),"OWES","OVERPAID"))))</f>
        <v/>
      </c>
      <c r="I1671" s="1"/>
    </row>
    <row r="1672" spans="1:9" ht="18" customHeight="1" x14ac:dyDescent="0.25">
      <c r="A1672" s="40">
        <v>1657</v>
      </c>
      <c r="B1672" s="41" t="str">
        <f t="array" ref="B1672">IFERROR(IF(INDEX(Transactions!$F$8:$F$3006,MATCH(0,COUNTIF($B$11:B1671,Transactions!$F$8:$F$3006),0))="","",INDEX(Transactions!$F$8:$F$3006,MATCH(0,COUNTIF($B$11:B1671,Transactions!$F$8:$F$3006),0))),"")</f>
        <v/>
      </c>
      <c r="C1672" s="42" t="str">
        <f>IF(B1672="","",SUMIF(Transactions!$F$8:$F$3006,B1672,Transactions!$H$8:$H$3006))</f>
        <v/>
      </c>
      <c r="D1672" s="43" t="str">
        <f>IF(B1672="","",SUMIF(Transactions!$F$8:$F$3006,B1672,Transactions!$N$8:$N$3006))</f>
        <v/>
      </c>
      <c r="E1672" s="44" t="str">
        <f>IF(B1672="","",SUMIF(Transactions!$F$8:$F$3006,B1672,Transactions!$O$8:$O$3006))</f>
        <v/>
      </c>
      <c r="F1672" s="45" t="str">
        <f>IF(B1672="","",SUMIF(Transactions!$F$8:$F$3006,B1672,Transactions!$R$8:$R$3006))</f>
        <v/>
      </c>
      <c r="G1672" s="46" t="str">
        <f>IF(B1672="","",(C1672+F1672)-(D1672+E1672+SUMIF(Transactions!$F$8:$F$3006,B1672,Transactions!$Q$8:$Q$3006)))</f>
        <v/>
      </c>
      <c r="H1672" s="47" t="str">
        <f>IF(B1672="","",IF(G1672&gt;0,"OUTSTANDING",IF(G1672=0,"SETTLED",IF(SUMIF(Transactions!$F$8:$F$3006,B1672,Transactions!$Q$8:$Q$3006)&gt;SUMIF(Transactions!$F$8:$F$3006,B1672,Transactions!$R$8:$R$3006),"OWES","OVERPAID"))))</f>
        <v/>
      </c>
      <c r="I1672" s="1"/>
    </row>
    <row r="1673" spans="1:9" ht="18" customHeight="1" x14ac:dyDescent="0.25">
      <c r="A1673" s="48">
        <v>1658</v>
      </c>
      <c r="B1673" s="49" t="str">
        <f t="array" ref="B1673">IFERROR(IF(INDEX(Transactions!$F$8:$F$3006,MATCH(0,COUNTIF($B$11:B1672,Transactions!$F$8:$F$3006),0))="","",INDEX(Transactions!$F$8:$F$3006,MATCH(0,COUNTIF($B$11:B1672,Transactions!$F$8:$F$3006),0))),"")</f>
        <v/>
      </c>
      <c r="C1673" s="50" t="str">
        <f>IF(B1673="","",SUMIF(Transactions!$F$8:$F$3006,B1673,Transactions!$H$8:$H$3006))</f>
        <v/>
      </c>
      <c r="D1673" s="51" t="str">
        <f>IF(B1673="","",SUMIF(Transactions!$F$8:$F$3006,B1673,Transactions!$N$8:$N$3006))</f>
        <v/>
      </c>
      <c r="E1673" s="52" t="str">
        <f>IF(B1673="","",SUMIF(Transactions!$F$8:$F$3006,B1673,Transactions!$O$8:$O$3006))</f>
        <v/>
      </c>
      <c r="F1673" s="53" t="str">
        <f>IF(B1673="","",SUMIF(Transactions!$F$8:$F$3006,B1673,Transactions!$R$8:$R$3006))</f>
        <v/>
      </c>
      <c r="G1673" s="54" t="str">
        <f>IF(B1673="","",(C1673+F1673)-(D1673+E1673+SUMIF(Transactions!$F$8:$F$3006,B1673,Transactions!$Q$8:$Q$3006)))</f>
        <v/>
      </c>
      <c r="H1673" s="55" t="str">
        <f>IF(B1673="","",IF(G1673&gt;0,"OUTSTANDING",IF(G1673=0,"SETTLED",IF(SUMIF(Transactions!$F$8:$F$3006,B1673,Transactions!$Q$8:$Q$3006)&gt;SUMIF(Transactions!$F$8:$F$3006,B1673,Transactions!$R$8:$R$3006),"OWES","OVERPAID"))))</f>
        <v/>
      </c>
      <c r="I1673" s="1"/>
    </row>
    <row r="1674" spans="1:9" ht="18" customHeight="1" x14ac:dyDescent="0.25">
      <c r="A1674" s="40">
        <v>1659</v>
      </c>
      <c r="B1674" s="41" t="str">
        <f t="array" ref="B1674">IFERROR(IF(INDEX(Transactions!$F$8:$F$3006,MATCH(0,COUNTIF($B$11:B1673,Transactions!$F$8:$F$3006),0))="","",INDEX(Transactions!$F$8:$F$3006,MATCH(0,COUNTIF($B$11:B1673,Transactions!$F$8:$F$3006),0))),"")</f>
        <v/>
      </c>
      <c r="C1674" s="42" t="str">
        <f>IF(B1674="","",SUMIF(Transactions!$F$8:$F$3006,B1674,Transactions!$H$8:$H$3006))</f>
        <v/>
      </c>
      <c r="D1674" s="43" t="str">
        <f>IF(B1674="","",SUMIF(Transactions!$F$8:$F$3006,B1674,Transactions!$N$8:$N$3006))</f>
        <v/>
      </c>
      <c r="E1674" s="44" t="str">
        <f>IF(B1674="","",SUMIF(Transactions!$F$8:$F$3006,B1674,Transactions!$O$8:$O$3006))</f>
        <v/>
      </c>
      <c r="F1674" s="45" t="str">
        <f>IF(B1674="","",SUMIF(Transactions!$F$8:$F$3006,B1674,Transactions!$R$8:$R$3006))</f>
        <v/>
      </c>
      <c r="G1674" s="46" t="str">
        <f>IF(B1674="","",(C1674+F1674)-(D1674+E1674+SUMIF(Transactions!$F$8:$F$3006,B1674,Transactions!$Q$8:$Q$3006)))</f>
        <v/>
      </c>
      <c r="H1674" s="47" t="str">
        <f>IF(B1674="","",IF(G1674&gt;0,"OUTSTANDING",IF(G1674=0,"SETTLED",IF(SUMIF(Transactions!$F$8:$F$3006,B1674,Transactions!$Q$8:$Q$3006)&gt;SUMIF(Transactions!$F$8:$F$3006,B1674,Transactions!$R$8:$R$3006),"OWES","OVERPAID"))))</f>
        <v/>
      </c>
      <c r="I1674" s="1"/>
    </row>
    <row r="1675" spans="1:9" ht="18" customHeight="1" x14ac:dyDescent="0.25">
      <c r="A1675" s="48">
        <v>1660</v>
      </c>
      <c r="B1675" s="49" t="str">
        <f t="array" ref="B1675">IFERROR(IF(INDEX(Transactions!$F$8:$F$3006,MATCH(0,COUNTIF($B$11:B1674,Transactions!$F$8:$F$3006),0))="","",INDEX(Transactions!$F$8:$F$3006,MATCH(0,COUNTIF($B$11:B1674,Transactions!$F$8:$F$3006),0))),"")</f>
        <v/>
      </c>
      <c r="C1675" s="50" t="str">
        <f>IF(B1675="","",SUMIF(Transactions!$F$8:$F$3006,B1675,Transactions!$H$8:$H$3006))</f>
        <v/>
      </c>
      <c r="D1675" s="51" t="str">
        <f>IF(B1675="","",SUMIF(Transactions!$F$8:$F$3006,B1675,Transactions!$N$8:$N$3006))</f>
        <v/>
      </c>
      <c r="E1675" s="52" t="str">
        <f>IF(B1675="","",SUMIF(Transactions!$F$8:$F$3006,B1675,Transactions!$O$8:$O$3006))</f>
        <v/>
      </c>
      <c r="F1675" s="53" t="str">
        <f>IF(B1675="","",SUMIF(Transactions!$F$8:$F$3006,B1675,Transactions!$R$8:$R$3006))</f>
        <v/>
      </c>
      <c r="G1675" s="54" t="str">
        <f>IF(B1675="","",(C1675+F1675)-(D1675+E1675+SUMIF(Transactions!$F$8:$F$3006,B1675,Transactions!$Q$8:$Q$3006)))</f>
        <v/>
      </c>
      <c r="H1675" s="55" t="str">
        <f>IF(B1675="","",IF(G1675&gt;0,"OUTSTANDING",IF(G1675=0,"SETTLED",IF(SUMIF(Transactions!$F$8:$F$3006,B1675,Transactions!$Q$8:$Q$3006)&gt;SUMIF(Transactions!$F$8:$F$3006,B1675,Transactions!$R$8:$R$3006),"OWES","OVERPAID"))))</f>
        <v/>
      </c>
      <c r="I1675" s="1"/>
    </row>
    <row r="1676" spans="1:9" ht="18" customHeight="1" x14ac:dyDescent="0.25">
      <c r="A1676" s="40">
        <v>1661</v>
      </c>
      <c r="B1676" s="41" t="str">
        <f t="array" ref="B1676">IFERROR(IF(INDEX(Transactions!$F$8:$F$3006,MATCH(0,COUNTIF($B$11:B1675,Transactions!$F$8:$F$3006),0))="","",INDEX(Transactions!$F$8:$F$3006,MATCH(0,COUNTIF($B$11:B1675,Transactions!$F$8:$F$3006),0))),"")</f>
        <v/>
      </c>
      <c r="C1676" s="42" t="str">
        <f>IF(B1676="","",SUMIF(Transactions!$F$8:$F$3006,B1676,Transactions!$H$8:$H$3006))</f>
        <v/>
      </c>
      <c r="D1676" s="43" t="str">
        <f>IF(B1676="","",SUMIF(Transactions!$F$8:$F$3006,B1676,Transactions!$N$8:$N$3006))</f>
        <v/>
      </c>
      <c r="E1676" s="44" t="str">
        <f>IF(B1676="","",SUMIF(Transactions!$F$8:$F$3006,B1676,Transactions!$O$8:$O$3006))</f>
        <v/>
      </c>
      <c r="F1676" s="45" t="str">
        <f>IF(B1676="","",SUMIF(Transactions!$F$8:$F$3006,B1676,Transactions!$R$8:$R$3006))</f>
        <v/>
      </c>
      <c r="G1676" s="46" t="str">
        <f>IF(B1676="","",(C1676+F1676)-(D1676+E1676+SUMIF(Transactions!$F$8:$F$3006,B1676,Transactions!$Q$8:$Q$3006)))</f>
        <v/>
      </c>
      <c r="H1676" s="47" t="str">
        <f>IF(B1676="","",IF(G1676&gt;0,"OUTSTANDING",IF(G1676=0,"SETTLED",IF(SUMIF(Transactions!$F$8:$F$3006,B1676,Transactions!$Q$8:$Q$3006)&gt;SUMIF(Transactions!$F$8:$F$3006,B1676,Transactions!$R$8:$R$3006),"OWES","OVERPAID"))))</f>
        <v/>
      </c>
      <c r="I1676" s="1"/>
    </row>
    <row r="1677" spans="1:9" ht="18" customHeight="1" x14ac:dyDescent="0.25">
      <c r="A1677" s="48">
        <v>1662</v>
      </c>
      <c r="B1677" s="49" t="str">
        <f t="array" ref="B1677">IFERROR(IF(INDEX(Transactions!$F$8:$F$3006,MATCH(0,COUNTIF($B$11:B1676,Transactions!$F$8:$F$3006),0))="","",INDEX(Transactions!$F$8:$F$3006,MATCH(0,COUNTIF($B$11:B1676,Transactions!$F$8:$F$3006),0))),"")</f>
        <v/>
      </c>
      <c r="C1677" s="50" t="str">
        <f>IF(B1677="","",SUMIF(Transactions!$F$8:$F$3006,B1677,Transactions!$H$8:$H$3006))</f>
        <v/>
      </c>
      <c r="D1677" s="51" t="str">
        <f>IF(B1677="","",SUMIF(Transactions!$F$8:$F$3006,B1677,Transactions!$N$8:$N$3006))</f>
        <v/>
      </c>
      <c r="E1677" s="52" t="str">
        <f>IF(B1677="","",SUMIF(Transactions!$F$8:$F$3006,B1677,Transactions!$O$8:$O$3006))</f>
        <v/>
      </c>
      <c r="F1677" s="53" t="str">
        <f>IF(B1677="","",SUMIF(Transactions!$F$8:$F$3006,B1677,Transactions!$R$8:$R$3006))</f>
        <v/>
      </c>
      <c r="G1677" s="54" t="str">
        <f>IF(B1677="","",(C1677+F1677)-(D1677+E1677+SUMIF(Transactions!$F$8:$F$3006,B1677,Transactions!$Q$8:$Q$3006)))</f>
        <v/>
      </c>
      <c r="H1677" s="55" t="str">
        <f>IF(B1677="","",IF(G1677&gt;0,"OUTSTANDING",IF(G1677=0,"SETTLED",IF(SUMIF(Transactions!$F$8:$F$3006,B1677,Transactions!$Q$8:$Q$3006)&gt;SUMIF(Transactions!$F$8:$F$3006,B1677,Transactions!$R$8:$R$3006),"OWES","OVERPAID"))))</f>
        <v/>
      </c>
      <c r="I1677" s="1"/>
    </row>
    <row r="1678" spans="1:9" ht="18" customHeight="1" x14ac:dyDescent="0.25">
      <c r="A1678" s="40">
        <v>1663</v>
      </c>
      <c r="B1678" s="41" t="str">
        <f t="array" ref="B1678">IFERROR(IF(INDEX(Transactions!$F$8:$F$3006,MATCH(0,COUNTIF($B$11:B1677,Transactions!$F$8:$F$3006),0))="","",INDEX(Transactions!$F$8:$F$3006,MATCH(0,COUNTIF($B$11:B1677,Transactions!$F$8:$F$3006),0))),"")</f>
        <v/>
      </c>
      <c r="C1678" s="42" t="str">
        <f>IF(B1678="","",SUMIF(Transactions!$F$8:$F$3006,B1678,Transactions!$H$8:$H$3006))</f>
        <v/>
      </c>
      <c r="D1678" s="43" t="str">
        <f>IF(B1678="","",SUMIF(Transactions!$F$8:$F$3006,B1678,Transactions!$N$8:$N$3006))</f>
        <v/>
      </c>
      <c r="E1678" s="44" t="str">
        <f>IF(B1678="","",SUMIF(Transactions!$F$8:$F$3006,B1678,Transactions!$O$8:$O$3006))</f>
        <v/>
      </c>
      <c r="F1678" s="45" t="str">
        <f>IF(B1678="","",SUMIF(Transactions!$F$8:$F$3006,B1678,Transactions!$R$8:$R$3006))</f>
        <v/>
      </c>
      <c r="G1678" s="46" t="str">
        <f>IF(B1678="","",(C1678+F1678)-(D1678+E1678+SUMIF(Transactions!$F$8:$F$3006,B1678,Transactions!$Q$8:$Q$3006)))</f>
        <v/>
      </c>
      <c r="H1678" s="47" t="str">
        <f>IF(B1678="","",IF(G1678&gt;0,"OUTSTANDING",IF(G1678=0,"SETTLED",IF(SUMIF(Transactions!$F$8:$F$3006,B1678,Transactions!$Q$8:$Q$3006)&gt;SUMIF(Transactions!$F$8:$F$3006,B1678,Transactions!$R$8:$R$3006),"OWES","OVERPAID"))))</f>
        <v/>
      </c>
      <c r="I1678" s="1"/>
    </row>
    <row r="1679" spans="1:9" ht="18" customHeight="1" x14ac:dyDescent="0.25">
      <c r="A1679" s="48">
        <v>1664</v>
      </c>
      <c r="B1679" s="49" t="str">
        <f t="array" ref="B1679">IFERROR(IF(INDEX(Transactions!$F$8:$F$3006,MATCH(0,COUNTIF($B$11:B1678,Transactions!$F$8:$F$3006),0))="","",INDEX(Transactions!$F$8:$F$3006,MATCH(0,COUNTIF($B$11:B1678,Transactions!$F$8:$F$3006),0))),"")</f>
        <v/>
      </c>
      <c r="C1679" s="50" t="str">
        <f>IF(B1679="","",SUMIF(Transactions!$F$8:$F$3006,B1679,Transactions!$H$8:$H$3006))</f>
        <v/>
      </c>
      <c r="D1679" s="51" t="str">
        <f>IF(B1679="","",SUMIF(Transactions!$F$8:$F$3006,B1679,Transactions!$N$8:$N$3006))</f>
        <v/>
      </c>
      <c r="E1679" s="52" t="str">
        <f>IF(B1679="","",SUMIF(Transactions!$F$8:$F$3006,B1679,Transactions!$O$8:$O$3006))</f>
        <v/>
      </c>
      <c r="F1679" s="53" t="str">
        <f>IF(B1679="","",SUMIF(Transactions!$F$8:$F$3006,B1679,Transactions!$R$8:$R$3006))</f>
        <v/>
      </c>
      <c r="G1679" s="54" t="str">
        <f>IF(B1679="","",(C1679+F1679)-(D1679+E1679+SUMIF(Transactions!$F$8:$F$3006,B1679,Transactions!$Q$8:$Q$3006)))</f>
        <v/>
      </c>
      <c r="H1679" s="55" t="str">
        <f>IF(B1679="","",IF(G1679&gt;0,"OUTSTANDING",IF(G1679=0,"SETTLED",IF(SUMIF(Transactions!$F$8:$F$3006,B1679,Transactions!$Q$8:$Q$3006)&gt;SUMIF(Transactions!$F$8:$F$3006,B1679,Transactions!$R$8:$R$3006),"OWES","OVERPAID"))))</f>
        <v/>
      </c>
      <c r="I1679" s="1"/>
    </row>
    <row r="1680" spans="1:9" ht="18" customHeight="1" x14ac:dyDescent="0.25">
      <c r="A1680" s="40">
        <v>1665</v>
      </c>
      <c r="B1680" s="41" t="str">
        <f t="array" ref="B1680">IFERROR(IF(INDEX(Transactions!$F$8:$F$3006,MATCH(0,COUNTIF($B$11:B1679,Transactions!$F$8:$F$3006),0))="","",INDEX(Transactions!$F$8:$F$3006,MATCH(0,COUNTIF($B$11:B1679,Transactions!$F$8:$F$3006),0))),"")</f>
        <v/>
      </c>
      <c r="C1680" s="42" t="str">
        <f>IF(B1680="","",SUMIF(Transactions!$F$8:$F$3006,B1680,Transactions!$H$8:$H$3006))</f>
        <v/>
      </c>
      <c r="D1680" s="43" t="str">
        <f>IF(B1680="","",SUMIF(Transactions!$F$8:$F$3006,B1680,Transactions!$N$8:$N$3006))</f>
        <v/>
      </c>
      <c r="E1680" s="44" t="str">
        <f>IF(B1680="","",SUMIF(Transactions!$F$8:$F$3006,B1680,Transactions!$O$8:$O$3006))</f>
        <v/>
      </c>
      <c r="F1680" s="45" t="str">
        <f>IF(B1680="","",SUMIF(Transactions!$F$8:$F$3006,B1680,Transactions!$R$8:$R$3006))</f>
        <v/>
      </c>
      <c r="G1680" s="46" t="str">
        <f>IF(B1680="","",(C1680+F1680)-(D1680+E1680+SUMIF(Transactions!$F$8:$F$3006,B1680,Transactions!$Q$8:$Q$3006)))</f>
        <v/>
      </c>
      <c r="H1680" s="47" t="str">
        <f>IF(B1680="","",IF(G1680&gt;0,"OUTSTANDING",IF(G1680=0,"SETTLED",IF(SUMIF(Transactions!$F$8:$F$3006,B1680,Transactions!$Q$8:$Q$3006)&gt;SUMIF(Transactions!$F$8:$F$3006,B1680,Transactions!$R$8:$R$3006),"OWES","OVERPAID"))))</f>
        <v/>
      </c>
      <c r="I1680" s="1"/>
    </row>
    <row r="1681" spans="1:9" ht="18" customHeight="1" x14ac:dyDescent="0.25">
      <c r="A1681" s="48">
        <v>1666</v>
      </c>
      <c r="B1681" s="49" t="str">
        <f t="array" ref="B1681">IFERROR(IF(INDEX(Transactions!$F$8:$F$3006,MATCH(0,COUNTIF($B$11:B1680,Transactions!$F$8:$F$3006),0))="","",INDEX(Transactions!$F$8:$F$3006,MATCH(0,COUNTIF($B$11:B1680,Transactions!$F$8:$F$3006),0))),"")</f>
        <v/>
      </c>
      <c r="C1681" s="50" t="str">
        <f>IF(B1681="","",SUMIF(Transactions!$F$8:$F$3006,B1681,Transactions!$H$8:$H$3006))</f>
        <v/>
      </c>
      <c r="D1681" s="51" t="str">
        <f>IF(B1681="","",SUMIF(Transactions!$F$8:$F$3006,B1681,Transactions!$N$8:$N$3006))</f>
        <v/>
      </c>
      <c r="E1681" s="52" t="str">
        <f>IF(B1681="","",SUMIF(Transactions!$F$8:$F$3006,B1681,Transactions!$O$8:$O$3006))</f>
        <v/>
      </c>
      <c r="F1681" s="53" t="str">
        <f>IF(B1681="","",SUMIF(Transactions!$F$8:$F$3006,B1681,Transactions!$R$8:$R$3006))</f>
        <v/>
      </c>
      <c r="G1681" s="54" t="str">
        <f>IF(B1681="","",(C1681+F1681)-(D1681+E1681+SUMIF(Transactions!$F$8:$F$3006,B1681,Transactions!$Q$8:$Q$3006)))</f>
        <v/>
      </c>
      <c r="H1681" s="55" t="str">
        <f>IF(B1681="","",IF(G1681&gt;0,"OUTSTANDING",IF(G1681=0,"SETTLED",IF(SUMIF(Transactions!$F$8:$F$3006,B1681,Transactions!$Q$8:$Q$3006)&gt;SUMIF(Transactions!$F$8:$F$3006,B1681,Transactions!$R$8:$R$3006),"OWES","OVERPAID"))))</f>
        <v/>
      </c>
      <c r="I1681" s="1"/>
    </row>
    <row r="1682" spans="1:9" ht="18" customHeight="1" x14ac:dyDescent="0.25">
      <c r="A1682" s="40">
        <v>1667</v>
      </c>
      <c r="B1682" s="41" t="str">
        <f t="array" ref="B1682">IFERROR(IF(INDEX(Transactions!$F$8:$F$3006,MATCH(0,COUNTIF($B$11:B1681,Transactions!$F$8:$F$3006),0))="","",INDEX(Transactions!$F$8:$F$3006,MATCH(0,COUNTIF($B$11:B1681,Transactions!$F$8:$F$3006),0))),"")</f>
        <v/>
      </c>
      <c r="C1682" s="42" t="str">
        <f>IF(B1682="","",SUMIF(Transactions!$F$8:$F$3006,B1682,Transactions!$H$8:$H$3006))</f>
        <v/>
      </c>
      <c r="D1682" s="43" t="str">
        <f>IF(B1682="","",SUMIF(Transactions!$F$8:$F$3006,B1682,Transactions!$N$8:$N$3006))</f>
        <v/>
      </c>
      <c r="E1682" s="44" t="str">
        <f>IF(B1682="","",SUMIF(Transactions!$F$8:$F$3006,B1682,Transactions!$O$8:$O$3006))</f>
        <v/>
      </c>
      <c r="F1682" s="45" t="str">
        <f>IF(B1682="","",SUMIF(Transactions!$F$8:$F$3006,B1682,Transactions!$R$8:$R$3006))</f>
        <v/>
      </c>
      <c r="G1682" s="46" t="str">
        <f>IF(B1682="","",(C1682+F1682)-(D1682+E1682+SUMIF(Transactions!$F$8:$F$3006,B1682,Transactions!$Q$8:$Q$3006)))</f>
        <v/>
      </c>
      <c r="H1682" s="47" t="str">
        <f>IF(B1682="","",IF(G1682&gt;0,"OUTSTANDING",IF(G1682=0,"SETTLED",IF(SUMIF(Transactions!$F$8:$F$3006,B1682,Transactions!$Q$8:$Q$3006)&gt;SUMIF(Transactions!$F$8:$F$3006,B1682,Transactions!$R$8:$R$3006),"OWES","OVERPAID"))))</f>
        <v/>
      </c>
      <c r="I1682" s="1"/>
    </row>
    <row r="1683" spans="1:9" ht="18" customHeight="1" x14ac:dyDescent="0.25">
      <c r="A1683" s="48">
        <v>1668</v>
      </c>
      <c r="B1683" s="49" t="str">
        <f t="array" ref="B1683">IFERROR(IF(INDEX(Transactions!$F$8:$F$3006,MATCH(0,COUNTIF($B$11:B1682,Transactions!$F$8:$F$3006),0))="","",INDEX(Transactions!$F$8:$F$3006,MATCH(0,COUNTIF($B$11:B1682,Transactions!$F$8:$F$3006),0))),"")</f>
        <v/>
      </c>
      <c r="C1683" s="50" t="str">
        <f>IF(B1683="","",SUMIF(Transactions!$F$8:$F$3006,B1683,Transactions!$H$8:$H$3006))</f>
        <v/>
      </c>
      <c r="D1683" s="51" t="str">
        <f>IF(B1683="","",SUMIF(Transactions!$F$8:$F$3006,B1683,Transactions!$N$8:$N$3006))</f>
        <v/>
      </c>
      <c r="E1683" s="52" t="str">
        <f>IF(B1683="","",SUMIF(Transactions!$F$8:$F$3006,B1683,Transactions!$O$8:$O$3006))</f>
        <v/>
      </c>
      <c r="F1683" s="53" t="str">
        <f>IF(B1683="","",SUMIF(Transactions!$F$8:$F$3006,B1683,Transactions!$R$8:$R$3006))</f>
        <v/>
      </c>
      <c r="G1683" s="54" t="str">
        <f>IF(B1683="","",(C1683+F1683)-(D1683+E1683+SUMIF(Transactions!$F$8:$F$3006,B1683,Transactions!$Q$8:$Q$3006)))</f>
        <v/>
      </c>
      <c r="H1683" s="55" t="str">
        <f>IF(B1683="","",IF(G1683&gt;0,"OUTSTANDING",IF(G1683=0,"SETTLED",IF(SUMIF(Transactions!$F$8:$F$3006,B1683,Transactions!$Q$8:$Q$3006)&gt;SUMIF(Transactions!$F$8:$F$3006,B1683,Transactions!$R$8:$R$3006),"OWES","OVERPAID"))))</f>
        <v/>
      </c>
      <c r="I1683" s="1"/>
    </row>
    <row r="1684" spans="1:9" ht="18" customHeight="1" x14ac:dyDescent="0.25">
      <c r="A1684" s="40">
        <v>1669</v>
      </c>
      <c r="B1684" s="41" t="str">
        <f t="array" ref="B1684">IFERROR(IF(INDEX(Transactions!$F$8:$F$3006,MATCH(0,COUNTIF($B$11:B1683,Transactions!$F$8:$F$3006),0))="","",INDEX(Transactions!$F$8:$F$3006,MATCH(0,COUNTIF($B$11:B1683,Transactions!$F$8:$F$3006),0))),"")</f>
        <v/>
      </c>
      <c r="C1684" s="42" t="str">
        <f>IF(B1684="","",SUMIF(Transactions!$F$8:$F$3006,B1684,Transactions!$H$8:$H$3006))</f>
        <v/>
      </c>
      <c r="D1684" s="43" t="str">
        <f>IF(B1684="","",SUMIF(Transactions!$F$8:$F$3006,B1684,Transactions!$N$8:$N$3006))</f>
        <v/>
      </c>
      <c r="E1684" s="44" t="str">
        <f>IF(B1684="","",SUMIF(Transactions!$F$8:$F$3006,B1684,Transactions!$O$8:$O$3006))</f>
        <v/>
      </c>
      <c r="F1684" s="45" t="str">
        <f>IF(B1684="","",SUMIF(Transactions!$F$8:$F$3006,B1684,Transactions!$R$8:$R$3006))</f>
        <v/>
      </c>
      <c r="G1684" s="46" t="str">
        <f>IF(B1684="","",(C1684+F1684)-(D1684+E1684+SUMIF(Transactions!$F$8:$F$3006,B1684,Transactions!$Q$8:$Q$3006)))</f>
        <v/>
      </c>
      <c r="H1684" s="47" t="str">
        <f>IF(B1684="","",IF(G1684&gt;0,"OUTSTANDING",IF(G1684=0,"SETTLED",IF(SUMIF(Transactions!$F$8:$F$3006,B1684,Transactions!$Q$8:$Q$3006)&gt;SUMIF(Transactions!$F$8:$F$3006,B1684,Transactions!$R$8:$R$3006),"OWES","OVERPAID"))))</f>
        <v/>
      </c>
      <c r="I1684" s="1"/>
    </row>
    <row r="1685" spans="1:9" ht="18" customHeight="1" x14ac:dyDescent="0.25">
      <c r="A1685" s="48">
        <v>1670</v>
      </c>
      <c r="B1685" s="49" t="str">
        <f t="array" ref="B1685">IFERROR(IF(INDEX(Transactions!$F$8:$F$3006,MATCH(0,COUNTIF($B$11:B1684,Transactions!$F$8:$F$3006),0))="","",INDEX(Transactions!$F$8:$F$3006,MATCH(0,COUNTIF($B$11:B1684,Transactions!$F$8:$F$3006),0))),"")</f>
        <v/>
      </c>
      <c r="C1685" s="50" t="str">
        <f>IF(B1685="","",SUMIF(Transactions!$F$8:$F$3006,B1685,Transactions!$H$8:$H$3006))</f>
        <v/>
      </c>
      <c r="D1685" s="51" t="str">
        <f>IF(B1685="","",SUMIF(Transactions!$F$8:$F$3006,B1685,Transactions!$N$8:$N$3006))</f>
        <v/>
      </c>
      <c r="E1685" s="52" t="str">
        <f>IF(B1685="","",SUMIF(Transactions!$F$8:$F$3006,B1685,Transactions!$O$8:$O$3006))</f>
        <v/>
      </c>
      <c r="F1685" s="53" t="str">
        <f>IF(B1685="","",SUMIF(Transactions!$F$8:$F$3006,B1685,Transactions!$R$8:$R$3006))</f>
        <v/>
      </c>
      <c r="G1685" s="54" t="str">
        <f>IF(B1685="","",(C1685+F1685)-(D1685+E1685+SUMIF(Transactions!$F$8:$F$3006,B1685,Transactions!$Q$8:$Q$3006)))</f>
        <v/>
      </c>
      <c r="H1685" s="55" t="str">
        <f>IF(B1685="","",IF(G1685&gt;0,"OUTSTANDING",IF(G1685=0,"SETTLED",IF(SUMIF(Transactions!$F$8:$F$3006,B1685,Transactions!$Q$8:$Q$3006)&gt;SUMIF(Transactions!$F$8:$F$3006,B1685,Transactions!$R$8:$R$3006),"OWES","OVERPAID"))))</f>
        <v/>
      </c>
      <c r="I1685" s="1"/>
    </row>
    <row r="1686" spans="1:9" ht="18" customHeight="1" x14ac:dyDescent="0.25">
      <c r="A1686" s="40">
        <v>1671</v>
      </c>
      <c r="B1686" s="41" t="str">
        <f t="array" ref="B1686">IFERROR(IF(INDEX(Transactions!$F$8:$F$3006,MATCH(0,COUNTIF($B$11:B1685,Transactions!$F$8:$F$3006),0))="","",INDEX(Transactions!$F$8:$F$3006,MATCH(0,COUNTIF($B$11:B1685,Transactions!$F$8:$F$3006),0))),"")</f>
        <v/>
      </c>
      <c r="C1686" s="42" t="str">
        <f>IF(B1686="","",SUMIF(Transactions!$F$8:$F$3006,B1686,Transactions!$H$8:$H$3006))</f>
        <v/>
      </c>
      <c r="D1686" s="43" t="str">
        <f>IF(B1686="","",SUMIF(Transactions!$F$8:$F$3006,B1686,Transactions!$N$8:$N$3006))</f>
        <v/>
      </c>
      <c r="E1686" s="44" t="str">
        <f>IF(B1686="","",SUMIF(Transactions!$F$8:$F$3006,B1686,Transactions!$O$8:$O$3006))</f>
        <v/>
      </c>
      <c r="F1686" s="45" t="str">
        <f>IF(B1686="","",SUMIF(Transactions!$F$8:$F$3006,B1686,Transactions!$R$8:$R$3006))</f>
        <v/>
      </c>
      <c r="G1686" s="46" t="str">
        <f>IF(B1686="","",(C1686+F1686)-(D1686+E1686+SUMIF(Transactions!$F$8:$F$3006,B1686,Transactions!$Q$8:$Q$3006)))</f>
        <v/>
      </c>
      <c r="H1686" s="47" t="str">
        <f>IF(B1686="","",IF(G1686&gt;0,"OUTSTANDING",IF(G1686=0,"SETTLED",IF(SUMIF(Transactions!$F$8:$F$3006,B1686,Transactions!$Q$8:$Q$3006)&gt;SUMIF(Transactions!$F$8:$F$3006,B1686,Transactions!$R$8:$R$3006),"OWES","OVERPAID"))))</f>
        <v/>
      </c>
      <c r="I1686" s="1"/>
    </row>
    <row r="1687" spans="1:9" ht="18" customHeight="1" x14ac:dyDescent="0.25">
      <c r="A1687" s="48">
        <v>1672</v>
      </c>
      <c r="B1687" s="49" t="str">
        <f t="array" ref="B1687">IFERROR(IF(INDEX(Transactions!$F$8:$F$3006,MATCH(0,COUNTIF($B$11:B1686,Transactions!$F$8:$F$3006),0))="","",INDEX(Transactions!$F$8:$F$3006,MATCH(0,COUNTIF($B$11:B1686,Transactions!$F$8:$F$3006),0))),"")</f>
        <v/>
      </c>
      <c r="C1687" s="50" t="str">
        <f>IF(B1687="","",SUMIF(Transactions!$F$8:$F$3006,B1687,Transactions!$H$8:$H$3006))</f>
        <v/>
      </c>
      <c r="D1687" s="51" t="str">
        <f>IF(B1687="","",SUMIF(Transactions!$F$8:$F$3006,B1687,Transactions!$N$8:$N$3006))</f>
        <v/>
      </c>
      <c r="E1687" s="52" t="str">
        <f>IF(B1687="","",SUMIF(Transactions!$F$8:$F$3006,B1687,Transactions!$O$8:$O$3006))</f>
        <v/>
      </c>
      <c r="F1687" s="53" t="str">
        <f>IF(B1687="","",SUMIF(Transactions!$F$8:$F$3006,B1687,Transactions!$R$8:$R$3006))</f>
        <v/>
      </c>
      <c r="G1687" s="54" t="str">
        <f>IF(B1687="","",(C1687+F1687)-(D1687+E1687+SUMIF(Transactions!$F$8:$F$3006,B1687,Transactions!$Q$8:$Q$3006)))</f>
        <v/>
      </c>
      <c r="H1687" s="55" t="str">
        <f>IF(B1687="","",IF(G1687&gt;0,"OUTSTANDING",IF(G1687=0,"SETTLED",IF(SUMIF(Transactions!$F$8:$F$3006,B1687,Transactions!$Q$8:$Q$3006)&gt;SUMIF(Transactions!$F$8:$F$3006,B1687,Transactions!$R$8:$R$3006),"OWES","OVERPAID"))))</f>
        <v/>
      </c>
      <c r="I1687" s="1"/>
    </row>
    <row r="1688" spans="1:9" ht="18" customHeight="1" x14ac:dyDescent="0.25">
      <c r="A1688" s="40">
        <v>1673</v>
      </c>
      <c r="B1688" s="41" t="str">
        <f t="array" ref="B1688">IFERROR(IF(INDEX(Transactions!$F$8:$F$3006,MATCH(0,COUNTIF($B$11:B1687,Transactions!$F$8:$F$3006),0))="","",INDEX(Transactions!$F$8:$F$3006,MATCH(0,COUNTIF($B$11:B1687,Transactions!$F$8:$F$3006),0))),"")</f>
        <v/>
      </c>
      <c r="C1688" s="42" t="str">
        <f>IF(B1688="","",SUMIF(Transactions!$F$8:$F$3006,B1688,Transactions!$H$8:$H$3006))</f>
        <v/>
      </c>
      <c r="D1688" s="43" t="str">
        <f>IF(B1688="","",SUMIF(Transactions!$F$8:$F$3006,B1688,Transactions!$N$8:$N$3006))</f>
        <v/>
      </c>
      <c r="E1688" s="44" t="str">
        <f>IF(B1688="","",SUMIF(Transactions!$F$8:$F$3006,B1688,Transactions!$O$8:$O$3006))</f>
        <v/>
      </c>
      <c r="F1688" s="45" t="str">
        <f>IF(B1688="","",SUMIF(Transactions!$F$8:$F$3006,B1688,Transactions!$R$8:$R$3006))</f>
        <v/>
      </c>
      <c r="G1688" s="46" t="str">
        <f>IF(B1688="","",(C1688+F1688)-(D1688+E1688+SUMIF(Transactions!$F$8:$F$3006,B1688,Transactions!$Q$8:$Q$3006)))</f>
        <v/>
      </c>
      <c r="H1688" s="47" t="str">
        <f>IF(B1688="","",IF(G1688&gt;0,"OUTSTANDING",IF(G1688=0,"SETTLED",IF(SUMIF(Transactions!$F$8:$F$3006,B1688,Transactions!$Q$8:$Q$3006)&gt;SUMIF(Transactions!$F$8:$F$3006,B1688,Transactions!$R$8:$R$3006),"OWES","OVERPAID"))))</f>
        <v/>
      </c>
      <c r="I1688" s="1"/>
    </row>
    <row r="1689" spans="1:9" ht="18" customHeight="1" x14ac:dyDescent="0.25">
      <c r="A1689" s="48">
        <v>1674</v>
      </c>
      <c r="B1689" s="49" t="str">
        <f t="array" ref="B1689">IFERROR(IF(INDEX(Transactions!$F$8:$F$3006,MATCH(0,COUNTIF($B$11:B1688,Transactions!$F$8:$F$3006),0))="","",INDEX(Transactions!$F$8:$F$3006,MATCH(0,COUNTIF($B$11:B1688,Transactions!$F$8:$F$3006),0))),"")</f>
        <v/>
      </c>
      <c r="C1689" s="50" t="str">
        <f>IF(B1689="","",SUMIF(Transactions!$F$8:$F$3006,B1689,Transactions!$H$8:$H$3006))</f>
        <v/>
      </c>
      <c r="D1689" s="51" t="str">
        <f>IF(B1689="","",SUMIF(Transactions!$F$8:$F$3006,B1689,Transactions!$N$8:$N$3006))</f>
        <v/>
      </c>
      <c r="E1689" s="52" t="str">
        <f>IF(B1689="","",SUMIF(Transactions!$F$8:$F$3006,B1689,Transactions!$O$8:$O$3006))</f>
        <v/>
      </c>
      <c r="F1689" s="53" t="str">
        <f>IF(B1689="","",SUMIF(Transactions!$F$8:$F$3006,B1689,Transactions!$R$8:$R$3006))</f>
        <v/>
      </c>
      <c r="G1689" s="54" t="str">
        <f>IF(B1689="","",(C1689+F1689)-(D1689+E1689+SUMIF(Transactions!$F$8:$F$3006,B1689,Transactions!$Q$8:$Q$3006)))</f>
        <v/>
      </c>
      <c r="H1689" s="55" t="str">
        <f>IF(B1689="","",IF(G1689&gt;0,"OUTSTANDING",IF(G1689=0,"SETTLED",IF(SUMIF(Transactions!$F$8:$F$3006,B1689,Transactions!$Q$8:$Q$3006)&gt;SUMIF(Transactions!$F$8:$F$3006,B1689,Transactions!$R$8:$R$3006),"OWES","OVERPAID"))))</f>
        <v/>
      </c>
      <c r="I1689" s="1"/>
    </row>
    <row r="1690" spans="1:9" ht="18" customHeight="1" x14ac:dyDescent="0.25">
      <c r="A1690" s="40">
        <v>1675</v>
      </c>
      <c r="B1690" s="41" t="str">
        <f t="array" ref="B1690">IFERROR(IF(INDEX(Transactions!$F$8:$F$3006,MATCH(0,COUNTIF($B$11:B1689,Transactions!$F$8:$F$3006),0))="","",INDEX(Transactions!$F$8:$F$3006,MATCH(0,COUNTIF($B$11:B1689,Transactions!$F$8:$F$3006),0))),"")</f>
        <v/>
      </c>
      <c r="C1690" s="42" t="str">
        <f>IF(B1690="","",SUMIF(Transactions!$F$8:$F$3006,B1690,Transactions!$H$8:$H$3006))</f>
        <v/>
      </c>
      <c r="D1690" s="43" t="str">
        <f>IF(B1690="","",SUMIF(Transactions!$F$8:$F$3006,B1690,Transactions!$N$8:$N$3006))</f>
        <v/>
      </c>
      <c r="E1690" s="44" t="str">
        <f>IF(B1690="","",SUMIF(Transactions!$F$8:$F$3006,B1690,Transactions!$O$8:$O$3006))</f>
        <v/>
      </c>
      <c r="F1690" s="45" t="str">
        <f>IF(B1690="","",SUMIF(Transactions!$F$8:$F$3006,B1690,Transactions!$R$8:$R$3006))</f>
        <v/>
      </c>
      <c r="G1690" s="46" t="str">
        <f>IF(B1690="","",(C1690+F1690)-(D1690+E1690+SUMIF(Transactions!$F$8:$F$3006,B1690,Transactions!$Q$8:$Q$3006)))</f>
        <v/>
      </c>
      <c r="H1690" s="47" t="str">
        <f>IF(B1690="","",IF(G1690&gt;0,"OUTSTANDING",IF(G1690=0,"SETTLED",IF(SUMIF(Transactions!$F$8:$F$3006,B1690,Transactions!$Q$8:$Q$3006)&gt;SUMIF(Transactions!$F$8:$F$3006,B1690,Transactions!$R$8:$R$3006),"OWES","OVERPAID"))))</f>
        <v/>
      </c>
      <c r="I1690" s="1"/>
    </row>
    <row r="1691" spans="1:9" ht="18" customHeight="1" x14ac:dyDescent="0.25">
      <c r="A1691" s="48">
        <v>1676</v>
      </c>
      <c r="B1691" s="49" t="str">
        <f t="array" ref="B1691">IFERROR(IF(INDEX(Transactions!$F$8:$F$3006,MATCH(0,COUNTIF($B$11:B1690,Transactions!$F$8:$F$3006),0))="","",INDEX(Transactions!$F$8:$F$3006,MATCH(0,COUNTIF($B$11:B1690,Transactions!$F$8:$F$3006),0))),"")</f>
        <v/>
      </c>
      <c r="C1691" s="50" t="str">
        <f>IF(B1691="","",SUMIF(Transactions!$F$8:$F$3006,B1691,Transactions!$H$8:$H$3006))</f>
        <v/>
      </c>
      <c r="D1691" s="51" t="str">
        <f>IF(B1691="","",SUMIF(Transactions!$F$8:$F$3006,B1691,Transactions!$N$8:$N$3006))</f>
        <v/>
      </c>
      <c r="E1691" s="52" t="str">
        <f>IF(B1691="","",SUMIF(Transactions!$F$8:$F$3006,B1691,Transactions!$O$8:$O$3006))</f>
        <v/>
      </c>
      <c r="F1691" s="53" t="str">
        <f>IF(B1691="","",SUMIF(Transactions!$F$8:$F$3006,B1691,Transactions!$R$8:$R$3006))</f>
        <v/>
      </c>
      <c r="G1691" s="54" t="str">
        <f>IF(B1691="","",(C1691+F1691)-(D1691+E1691+SUMIF(Transactions!$F$8:$F$3006,B1691,Transactions!$Q$8:$Q$3006)))</f>
        <v/>
      </c>
      <c r="H1691" s="55" t="str">
        <f>IF(B1691="","",IF(G1691&gt;0,"OUTSTANDING",IF(G1691=0,"SETTLED",IF(SUMIF(Transactions!$F$8:$F$3006,B1691,Transactions!$Q$8:$Q$3006)&gt;SUMIF(Transactions!$F$8:$F$3006,B1691,Transactions!$R$8:$R$3006),"OWES","OVERPAID"))))</f>
        <v/>
      </c>
      <c r="I1691" s="1"/>
    </row>
    <row r="1692" spans="1:9" ht="18" customHeight="1" x14ac:dyDescent="0.25">
      <c r="A1692" s="40">
        <v>1677</v>
      </c>
      <c r="B1692" s="41" t="str">
        <f t="array" ref="B1692">IFERROR(IF(INDEX(Transactions!$F$8:$F$3006,MATCH(0,COUNTIF($B$11:B1691,Transactions!$F$8:$F$3006),0))="","",INDEX(Transactions!$F$8:$F$3006,MATCH(0,COUNTIF($B$11:B1691,Transactions!$F$8:$F$3006),0))),"")</f>
        <v/>
      </c>
      <c r="C1692" s="42" t="str">
        <f>IF(B1692="","",SUMIF(Transactions!$F$8:$F$3006,B1692,Transactions!$H$8:$H$3006))</f>
        <v/>
      </c>
      <c r="D1692" s="43" t="str">
        <f>IF(B1692="","",SUMIF(Transactions!$F$8:$F$3006,B1692,Transactions!$N$8:$N$3006))</f>
        <v/>
      </c>
      <c r="E1692" s="44" t="str">
        <f>IF(B1692="","",SUMIF(Transactions!$F$8:$F$3006,B1692,Transactions!$O$8:$O$3006))</f>
        <v/>
      </c>
      <c r="F1692" s="45" t="str">
        <f>IF(B1692="","",SUMIF(Transactions!$F$8:$F$3006,B1692,Transactions!$R$8:$R$3006))</f>
        <v/>
      </c>
      <c r="G1692" s="46" t="str">
        <f>IF(B1692="","",(C1692+F1692)-(D1692+E1692+SUMIF(Transactions!$F$8:$F$3006,B1692,Transactions!$Q$8:$Q$3006)))</f>
        <v/>
      </c>
      <c r="H1692" s="47" t="str">
        <f>IF(B1692="","",IF(G1692&gt;0,"OUTSTANDING",IF(G1692=0,"SETTLED",IF(SUMIF(Transactions!$F$8:$F$3006,B1692,Transactions!$Q$8:$Q$3006)&gt;SUMIF(Transactions!$F$8:$F$3006,B1692,Transactions!$R$8:$R$3006),"OWES","OVERPAID"))))</f>
        <v/>
      </c>
      <c r="I1692" s="1"/>
    </row>
    <row r="1693" spans="1:9" ht="18" customHeight="1" x14ac:dyDescent="0.25">
      <c r="A1693" s="48">
        <v>1678</v>
      </c>
      <c r="B1693" s="49" t="str">
        <f t="array" ref="B1693">IFERROR(IF(INDEX(Transactions!$F$8:$F$3006,MATCH(0,COUNTIF($B$11:B1692,Transactions!$F$8:$F$3006),0))="","",INDEX(Transactions!$F$8:$F$3006,MATCH(0,COUNTIF($B$11:B1692,Transactions!$F$8:$F$3006),0))),"")</f>
        <v/>
      </c>
      <c r="C1693" s="50" t="str">
        <f>IF(B1693="","",SUMIF(Transactions!$F$8:$F$3006,B1693,Transactions!$H$8:$H$3006))</f>
        <v/>
      </c>
      <c r="D1693" s="51" t="str">
        <f>IF(B1693="","",SUMIF(Transactions!$F$8:$F$3006,B1693,Transactions!$N$8:$N$3006))</f>
        <v/>
      </c>
      <c r="E1693" s="52" t="str">
        <f>IF(B1693="","",SUMIF(Transactions!$F$8:$F$3006,B1693,Transactions!$O$8:$O$3006))</f>
        <v/>
      </c>
      <c r="F1693" s="53" t="str">
        <f>IF(B1693="","",SUMIF(Transactions!$F$8:$F$3006,B1693,Transactions!$R$8:$R$3006))</f>
        <v/>
      </c>
      <c r="G1693" s="54" t="str">
        <f>IF(B1693="","",(C1693+F1693)-(D1693+E1693+SUMIF(Transactions!$F$8:$F$3006,B1693,Transactions!$Q$8:$Q$3006)))</f>
        <v/>
      </c>
      <c r="H1693" s="55" t="str">
        <f>IF(B1693="","",IF(G1693&gt;0,"OUTSTANDING",IF(G1693=0,"SETTLED",IF(SUMIF(Transactions!$F$8:$F$3006,B1693,Transactions!$Q$8:$Q$3006)&gt;SUMIF(Transactions!$F$8:$F$3006,B1693,Transactions!$R$8:$R$3006),"OWES","OVERPAID"))))</f>
        <v/>
      </c>
      <c r="I1693" s="1"/>
    </row>
    <row r="1694" spans="1:9" ht="18" customHeight="1" x14ac:dyDescent="0.25">
      <c r="A1694" s="40">
        <v>1679</v>
      </c>
      <c r="B1694" s="41" t="str">
        <f t="array" ref="B1694">IFERROR(IF(INDEX(Transactions!$F$8:$F$3006,MATCH(0,COUNTIF($B$11:B1693,Transactions!$F$8:$F$3006),0))="","",INDEX(Transactions!$F$8:$F$3006,MATCH(0,COUNTIF($B$11:B1693,Transactions!$F$8:$F$3006),0))),"")</f>
        <v/>
      </c>
      <c r="C1694" s="42" t="str">
        <f>IF(B1694="","",SUMIF(Transactions!$F$8:$F$3006,B1694,Transactions!$H$8:$H$3006))</f>
        <v/>
      </c>
      <c r="D1694" s="43" t="str">
        <f>IF(B1694="","",SUMIF(Transactions!$F$8:$F$3006,B1694,Transactions!$N$8:$N$3006))</f>
        <v/>
      </c>
      <c r="E1694" s="44" t="str">
        <f>IF(B1694="","",SUMIF(Transactions!$F$8:$F$3006,B1694,Transactions!$O$8:$O$3006))</f>
        <v/>
      </c>
      <c r="F1694" s="45" t="str">
        <f>IF(B1694="","",SUMIF(Transactions!$F$8:$F$3006,B1694,Transactions!$R$8:$R$3006))</f>
        <v/>
      </c>
      <c r="G1694" s="46" t="str">
        <f>IF(B1694="","",(C1694+F1694)-(D1694+E1694+SUMIF(Transactions!$F$8:$F$3006,B1694,Transactions!$Q$8:$Q$3006)))</f>
        <v/>
      </c>
      <c r="H1694" s="47" t="str">
        <f>IF(B1694="","",IF(G1694&gt;0,"OUTSTANDING",IF(G1694=0,"SETTLED",IF(SUMIF(Transactions!$F$8:$F$3006,B1694,Transactions!$Q$8:$Q$3006)&gt;SUMIF(Transactions!$F$8:$F$3006,B1694,Transactions!$R$8:$R$3006),"OWES","OVERPAID"))))</f>
        <v/>
      </c>
      <c r="I1694" s="1"/>
    </row>
    <row r="1695" spans="1:9" ht="18" customHeight="1" x14ac:dyDescent="0.25">
      <c r="A1695" s="48">
        <v>1680</v>
      </c>
      <c r="B1695" s="49" t="str">
        <f t="array" ref="B1695">IFERROR(IF(INDEX(Transactions!$F$8:$F$3006,MATCH(0,COUNTIF($B$11:B1694,Transactions!$F$8:$F$3006),0))="","",INDEX(Transactions!$F$8:$F$3006,MATCH(0,COUNTIF($B$11:B1694,Transactions!$F$8:$F$3006),0))),"")</f>
        <v/>
      </c>
      <c r="C1695" s="50" t="str">
        <f>IF(B1695="","",SUMIF(Transactions!$F$8:$F$3006,B1695,Transactions!$H$8:$H$3006))</f>
        <v/>
      </c>
      <c r="D1695" s="51" t="str">
        <f>IF(B1695="","",SUMIF(Transactions!$F$8:$F$3006,B1695,Transactions!$N$8:$N$3006))</f>
        <v/>
      </c>
      <c r="E1695" s="52" t="str">
        <f>IF(B1695="","",SUMIF(Transactions!$F$8:$F$3006,B1695,Transactions!$O$8:$O$3006))</f>
        <v/>
      </c>
      <c r="F1695" s="53" t="str">
        <f>IF(B1695="","",SUMIF(Transactions!$F$8:$F$3006,B1695,Transactions!$R$8:$R$3006))</f>
        <v/>
      </c>
      <c r="G1695" s="54" t="str">
        <f>IF(B1695="","",(C1695+F1695)-(D1695+E1695+SUMIF(Transactions!$F$8:$F$3006,B1695,Transactions!$Q$8:$Q$3006)))</f>
        <v/>
      </c>
      <c r="H1695" s="55" t="str">
        <f>IF(B1695="","",IF(G1695&gt;0,"OUTSTANDING",IF(G1695=0,"SETTLED",IF(SUMIF(Transactions!$F$8:$F$3006,B1695,Transactions!$Q$8:$Q$3006)&gt;SUMIF(Transactions!$F$8:$F$3006,B1695,Transactions!$R$8:$R$3006),"OWES","OVERPAID"))))</f>
        <v/>
      </c>
      <c r="I1695" s="1"/>
    </row>
    <row r="1696" spans="1:9" ht="18" customHeight="1" x14ac:dyDescent="0.25">
      <c r="A1696" s="40">
        <v>1681</v>
      </c>
      <c r="B1696" s="41" t="str">
        <f t="array" ref="B1696">IFERROR(IF(INDEX(Transactions!$F$8:$F$3006,MATCH(0,COUNTIF($B$11:B1695,Transactions!$F$8:$F$3006),0))="","",INDEX(Transactions!$F$8:$F$3006,MATCH(0,COUNTIF($B$11:B1695,Transactions!$F$8:$F$3006),0))),"")</f>
        <v/>
      </c>
      <c r="C1696" s="42" t="str">
        <f>IF(B1696="","",SUMIF(Transactions!$F$8:$F$3006,B1696,Transactions!$H$8:$H$3006))</f>
        <v/>
      </c>
      <c r="D1696" s="43" t="str">
        <f>IF(B1696="","",SUMIF(Transactions!$F$8:$F$3006,B1696,Transactions!$N$8:$N$3006))</f>
        <v/>
      </c>
      <c r="E1696" s="44" t="str">
        <f>IF(B1696="","",SUMIF(Transactions!$F$8:$F$3006,B1696,Transactions!$O$8:$O$3006))</f>
        <v/>
      </c>
      <c r="F1696" s="45" t="str">
        <f>IF(B1696="","",SUMIF(Transactions!$F$8:$F$3006,B1696,Transactions!$R$8:$R$3006))</f>
        <v/>
      </c>
      <c r="G1696" s="46" t="str">
        <f>IF(B1696="","",(C1696+F1696)-(D1696+E1696+SUMIF(Transactions!$F$8:$F$3006,B1696,Transactions!$Q$8:$Q$3006)))</f>
        <v/>
      </c>
      <c r="H1696" s="47" t="str">
        <f>IF(B1696="","",IF(G1696&gt;0,"OUTSTANDING",IF(G1696=0,"SETTLED",IF(SUMIF(Transactions!$F$8:$F$3006,B1696,Transactions!$Q$8:$Q$3006)&gt;SUMIF(Transactions!$F$8:$F$3006,B1696,Transactions!$R$8:$R$3006),"OWES","OVERPAID"))))</f>
        <v/>
      </c>
      <c r="I1696" s="1"/>
    </row>
    <row r="1697" spans="1:9" ht="18" customHeight="1" x14ac:dyDescent="0.25">
      <c r="A1697" s="48">
        <v>1682</v>
      </c>
      <c r="B1697" s="49" t="str">
        <f t="array" ref="B1697">IFERROR(IF(INDEX(Transactions!$F$8:$F$3006,MATCH(0,COUNTIF($B$11:B1696,Transactions!$F$8:$F$3006),0))="","",INDEX(Transactions!$F$8:$F$3006,MATCH(0,COUNTIF($B$11:B1696,Transactions!$F$8:$F$3006),0))),"")</f>
        <v/>
      </c>
      <c r="C1697" s="50" t="str">
        <f>IF(B1697="","",SUMIF(Transactions!$F$8:$F$3006,B1697,Transactions!$H$8:$H$3006))</f>
        <v/>
      </c>
      <c r="D1697" s="51" t="str">
        <f>IF(B1697="","",SUMIF(Transactions!$F$8:$F$3006,B1697,Transactions!$N$8:$N$3006))</f>
        <v/>
      </c>
      <c r="E1697" s="52" t="str">
        <f>IF(B1697="","",SUMIF(Transactions!$F$8:$F$3006,B1697,Transactions!$O$8:$O$3006))</f>
        <v/>
      </c>
      <c r="F1697" s="53" t="str">
        <f>IF(B1697="","",SUMIF(Transactions!$F$8:$F$3006,B1697,Transactions!$R$8:$R$3006))</f>
        <v/>
      </c>
      <c r="G1697" s="54" t="str">
        <f>IF(B1697="","",(C1697+F1697)-(D1697+E1697+SUMIF(Transactions!$F$8:$F$3006,B1697,Transactions!$Q$8:$Q$3006)))</f>
        <v/>
      </c>
      <c r="H1697" s="55" t="str">
        <f>IF(B1697="","",IF(G1697&gt;0,"OUTSTANDING",IF(G1697=0,"SETTLED",IF(SUMIF(Transactions!$F$8:$F$3006,B1697,Transactions!$Q$8:$Q$3006)&gt;SUMIF(Transactions!$F$8:$F$3006,B1697,Transactions!$R$8:$R$3006),"OWES","OVERPAID"))))</f>
        <v/>
      </c>
      <c r="I1697" s="1"/>
    </row>
    <row r="1698" spans="1:9" ht="18" customHeight="1" x14ac:dyDescent="0.25">
      <c r="A1698" s="40">
        <v>1683</v>
      </c>
      <c r="B1698" s="41" t="str">
        <f t="array" ref="B1698">IFERROR(IF(INDEX(Transactions!$F$8:$F$3006,MATCH(0,COUNTIF($B$11:B1697,Transactions!$F$8:$F$3006),0))="","",INDEX(Transactions!$F$8:$F$3006,MATCH(0,COUNTIF($B$11:B1697,Transactions!$F$8:$F$3006),0))),"")</f>
        <v/>
      </c>
      <c r="C1698" s="42" t="str">
        <f>IF(B1698="","",SUMIF(Transactions!$F$8:$F$3006,B1698,Transactions!$H$8:$H$3006))</f>
        <v/>
      </c>
      <c r="D1698" s="43" t="str">
        <f>IF(B1698="","",SUMIF(Transactions!$F$8:$F$3006,B1698,Transactions!$N$8:$N$3006))</f>
        <v/>
      </c>
      <c r="E1698" s="44" t="str">
        <f>IF(B1698="","",SUMIF(Transactions!$F$8:$F$3006,B1698,Transactions!$O$8:$O$3006))</f>
        <v/>
      </c>
      <c r="F1698" s="45" t="str">
        <f>IF(B1698="","",SUMIF(Transactions!$F$8:$F$3006,B1698,Transactions!$R$8:$R$3006))</f>
        <v/>
      </c>
      <c r="G1698" s="46" t="str">
        <f>IF(B1698="","",(C1698+F1698)-(D1698+E1698+SUMIF(Transactions!$F$8:$F$3006,B1698,Transactions!$Q$8:$Q$3006)))</f>
        <v/>
      </c>
      <c r="H1698" s="47" t="str">
        <f>IF(B1698="","",IF(G1698&gt;0,"OUTSTANDING",IF(G1698=0,"SETTLED",IF(SUMIF(Transactions!$F$8:$F$3006,B1698,Transactions!$Q$8:$Q$3006)&gt;SUMIF(Transactions!$F$8:$F$3006,B1698,Transactions!$R$8:$R$3006),"OWES","OVERPAID"))))</f>
        <v/>
      </c>
      <c r="I1698" s="1"/>
    </row>
    <row r="1699" spans="1:9" ht="18" customHeight="1" x14ac:dyDescent="0.25">
      <c r="A1699" s="48">
        <v>1684</v>
      </c>
      <c r="B1699" s="49" t="str">
        <f t="array" ref="B1699">IFERROR(IF(INDEX(Transactions!$F$8:$F$3006,MATCH(0,COUNTIF($B$11:B1698,Transactions!$F$8:$F$3006),0))="","",INDEX(Transactions!$F$8:$F$3006,MATCH(0,COUNTIF($B$11:B1698,Transactions!$F$8:$F$3006),0))),"")</f>
        <v/>
      </c>
      <c r="C1699" s="50" t="str">
        <f>IF(B1699="","",SUMIF(Transactions!$F$8:$F$3006,B1699,Transactions!$H$8:$H$3006))</f>
        <v/>
      </c>
      <c r="D1699" s="51" t="str">
        <f>IF(B1699="","",SUMIF(Transactions!$F$8:$F$3006,B1699,Transactions!$N$8:$N$3006))</f>
        <v/>
      </c>
      <c r="E1699" s="52" t="str">
        <f>IF(B1699="","",SUMIF(Transactions!$F$8:$F$3006,B1699,Transactions!$O$8:$O$3006))</f>
        <v/>
      </c>
      <c r="F1699" s="53" t="str">
        <f>IF(B1699="","",SUMIF(Transactions!$F$8:$F$3006,B1699,Transactions!$R$8:$R$3006))</f>
        <v/>
      </c>
      <c r="G1699" s="54" t="str">
        <f>IF(B1699="","",(C1699+F1699)-(D1699+E1699+SUMIF(Transactions!$F$8:$F$3006,B1699,Transactions!$Q$8:$Q$3006)))</f>
        <v/>
      </c>
      <c r="H1699" s="55" t="str">
        <f>IF(B1699="","",IF(G1699&gt;0,"OUTSTANDING",IF(G1699=0,"SETTLED",IF(SUMIF(Transactions!$F$8:$F$3006,B1699,Transactions!$Q$8:$Q$3006)&gt;SUMIF(Transactions!$F$8:$F$3006,B1699,Transactions!$R$8:$R$3006),"OWES","OVERPAID"))))</f>
        <v/>
      </c>
      <c r="I1699" s="1"/>
    </row>
    <row r="1700" spans="1:9" ht="18" customHeight="1" x14ac:dyDescent="0.25">
      <c r="A1700" s="40">
        <v>1685</v>
      </c>
      <c r="B1700" s="41" t="str">
        <f t="array" ref="B1700">IFERROR(IF(INDEX(Transactions!$F$8:$F$3006,MATCH(0,COUNTIF($B$11:B1699,Transactions!$F$8:$F$3006),0))="","",INDEX(Transactions!$F$8:$F$3006,MATCH(0,COUNTIF($B$11:B1699,Transactions!$F$8:$F$3006),0))),"")</f>
        <v/>
      </c>
      <c r="C1700" s="42" t="str">
        <f>IF(B1700="","",SUMIF(Transactions!$F$8:$F$3006,B1700,Transactions!$H$8:$H$3006))</f>
        <v/>
      </c>
      <c r="D1700" s="43" t="str">
        <f>IF(B1700="","",SUMIF(Transactions!$F$8:$F$3006,B1700,Transactions!$N$8:$N$3006))</f>
        <v/>
      </c>
      <c r="E1700" s="44" t="str">
        <f>IF(B1700="","",SUMIF(Transactions!$F$8:$F$3006,B1700,Transactions!$O$8:$O$3006))</f>
        <v/>
      </c>
      <c r="F1700" s="45" t="str">
        <f>IF(B1700="","",SUMIF(Transactions!$F$8:$F$3006,B1700,Transactions!$R$8:$R$3006))</f>
        <v/>
      </c>
      <c r="G1700" s="46" t="str">
        <f>IF(B1700="","",(C1700+F1700)-(D1700+E1700+SUMIF(Transactions!$F$8:$F$3006,B1700,Transactions!$Q$8:$Q$3006)))</f>
        <v/>
      </c>
      <c r="H1700" s="47" t="str">
        <f>IF(B1700="","",IF(G1700&gt;0,"OUTSTANDING",IF(G1700=0,"SETTLED",IF(SUMIF(Transactions!$F$8:$F$3006,B1700,Transactions!$Q$8:$Q$3006)&gt;SUMIF(Transactions!$F$8:$F$3006,B1700,Transactions!$R$8:$R$3006),"OWES","OVERPAID"))))</f>
        <v/>
      </c>
      <c r="I1700" s="1"/>
    </row>
    <row r="1701" spans="1:9" ht="18" customHeight="1" x14ac:dyDescent="0.25">
      <c r="A1701" s="48">
        <v>1686</v>
      </c>
      <c r="B1701" s="49" t="str">
        <f t="array" ref="B1701">IFERROR(IF(INDEX(Transactions!$F$8:$F$3006,MATCH(0,COUNTIF($B$11:B1700,Transactions!$F$8:$F$3006),0))="","",INDEX(Transactions!$F$8:$F$3006,MATCH(0,COUNTIF($B$11:B1700,Transactions!$F$8:$F$3006),0))),"")</f>
        <v/>
      </c>
      <c r="C1701" s="50" t="str">
        <f>IF(B1701="","",SUMIF(Transactions!$F$8:$F$3006,B1701,Transactions!$H$8:$H$3006))</f>
        <v/>
      </c>
      <c r="D1701" s="51" t="str">
        <f>IF(B1701="","",SUMIF(Transactions!$F$8:$F$3006,B1701,Transactions!$N$8:$N$3006))</f>
        <v/>
      </c>
      <c r="E1701" s="52" t="str">
        <f>IF(B1701="","",SUMIF(Transactions!$F$8:$F$3006,B1701,Transactions!$O$8:$O$3006))</f>
        <v/>
      </c>
      <c r="F1701" s="53" t="str">
        <f>IF(B1701="","",SUMIF(Transactions!$F$8:$F$3006,B1701,Transactions!$R$8:$R$3006))</f>
        <v/>
      </c>
      <c r="G1701" s="54" t="str">
        <f>IF(B1701="","",(C1701+F1701)-(D1701+E1701+SUMIF(Transactions!$F$8:$F$3006,B1701,Transactions!$Q$8:$Q$3006)))</f>
        <v/>
      </c>
      <c r="H1701" s="55" t="str">
        <f>IF(B1701="","",IF(G1701&gt;0,"OUTSTANDING",IF(G1701=0,"SETTLED",IF(SUMIF(Transactions!$F$8:$F$3006,B1701,Transactions!$Q$8:$Q$3006)&gt;SUMIF(Transactions!$F$8:$F$3006,B1701,Transactions!$R$8:$R$3006),"OWES","OVERPAID"))))</f>
        <v/>
      </c>
      <c r="I1701" s="1"/>
    </row>
    <row r="1702" spans="1:9" ht="18" customHeight="1" x14ac:dyDescent="0.25">
      <c r="A1702" s="40">
        <v>1687</v>
      </c>
      <c r="B1702" s="41" t="str">
        <f t="array" ref="B1702">IFERROR(IF(INDEX(Transactions!$F$8:$F$3006,MATCH(0,COUNTIF($B$11:B1701,Transactions!$F$8:$F$3006),0))="","",INDEX(Transactions!$F$8:$F$3006,MATCH(0,COUNTIF($B$11:B1701,Transactions!$F$8:$F$3006),0))),"")</f>
        <v/>
      </c>
      <c r="C1702" s="42" t="str">
        <f>IF(B1702="","",SUMIF(Transactions!$F$8:$F$3006,B1702,Transactions!$H$8:$H$3006))</f>
        <v/>
      </c>
      <c r="D1702" s="43" t="str">
        <f>IF(B1702="","",SUMIF(Transactions!$F$8:$F$3006,B1702,Transactions!$N$8:$N$3006))</f>
        <v/>
      </c>
      <c r="E1702" s="44" t="str">
        <f>IF(B1702="","",SUMIF(Transactions!$F$8:$F$3006,B1702,Transactions!$O$8:$O$3006))</f>
        <v/>
      </c>
      <c r="F1702" s="45" t="str">
        <f>IF(B1702="","",SUMIF(Transactions!$F$8:$F$3006,B1702,Transactions!$R$8:$R$3006))</f>
        <v/>
      </c>
      <c r="G1702" s="46" t="str">
        <f>IF(B1702="","",(C1702+F1702)-(D1702+E1702+SUMIF(Transactions!$F$8:$F$3006,B1702,Transactions!$Q$8:$Q$3006)))</f>
        <v/>
      </c>
      <c r="H1702" s="47" t="str">
        <f>IF(B1702="","",IF(G1702&gt;0,"OUTSTANDING",IF(G1702=0,"SETTLED",IF(SUMIF(Transactions!$F$8:$F$3006,B1702,Transactions!$Q$8:$Q$3006)&gt;SUMIF(Transactions!$F$8:$F$3006,B1702,Transactions!$R$8:$R$3006),"OWES","OVERPAID"))))</f>
        <v/>
      </c>
      <c r="I1702" s="1"/>
    </row>
    <row r="1703" spans="1:9" ht="18" customHeight="1" x14ac:dyDescent="0.25">
      <c r="A1703" s="48">
        <v>1688</v>
      </c>
      <c r="B1703" s="49" t="str">
        <f t="array" ref="B1703">IFERROR(IF(INDEX(Transactions!$F$8:$F$3006,MATCH(0,COUNTIF($B$11:B1702,Transactions!$F$8:$F$3006),0))="","",INDEX(Transactions!$F$8:$F$3006,MATCH(0,COUNTIF($B$11:B1702,Transactions!$F$8:$F$3006),0))),"")</f>
        <v/>
      </c>
      <c r="C1703" s="50" t="str">
        <f>IF(B1703="","",SUMIF(Transactions!$F$8:$F$3006,B1703,Transactions!$H$8:$H$3006))</f>
        <v/>
      </c>
      <c r="D1703" s="51" t="str">
        <f>IF(B1703="","",SUMIF(Transactions!$F$8:$F$3006,B1703,Transactions!$N$8:$N$3006))</f>
        <v/>
      </c>
      <c r="E1703" s="52" t="str">
        <f>IF(B1703="","",SUMIF(Transactions!$F$8:$F$3006,B1703,Transactions!$O$8:$O$3006))</f>
        <v/>
      </c>
      <c r="F1703" s="53" t="str">
        <f>IF(B1703="","",SUMIF(Transactions!$F$8:$F$3006,B1703,Transactions!$R$8:$R$3006))</f>
        <v/>
      </c>
      <c r="G1703" s="54" t="str">
        <f>IF(B1703="","",(C1703+F1703)-(D1703+E1703+SUMIF(Transactions!$F$8:$F$3006,B1703,Transactions!$Q$8:$Q$3006)))</f>
        <v/>
      </c>
      <c r="H1703" s="55" t="str">
        <f>IF(B1703="","",IF(G1703&gt;0,"OUTSTANDING",IF(G1703=0,"SETTLED",IF(SUMIF(Transactions!$F$8:$F$3006,B1703,Transactions!$Q$8:$Q$3006)&gt;SUMIF(Transactions!$F$8:$F$3006,B1703,Transactions!$R$8:$R$3006),"OWES","OVERPAID"))))</f>
        <v/>
      </c>
      <c r="I1703" s="1"/>
    </row>
    <row r="1704" spans="1:9" ht="18" customHeight="1" x14ac:dyDescent="0.25">
      <c r="A1704" s="40">
        <v>1689</v>
      </c>
      <c r="B1704" s="41" t="str">
        <f t="array" ref="B1704">IFERROR(IF(INDEX(Transactions!$F$8:$F$3006,MATCH(0,COUNTIF($B$11:B1703,Transactions!$F$8:$F$3006),0))="","",INDEX(Transactions!$F$8:$F$3006,MATCH(0,COUNTIF($B$11:B1703,Transactions!$F$8:$F$3006),0))),"")</f>
        <v/>
      </c>
      <c r="C1704" s="42" t="str">
        <f>IF(B1704="","",SUMIF(Transactions!$F$8:$F$3006,B1704,Transactions!$H$8:$H$3006))</f>
        <v/>
      </c>
      <c r="D1704" s="43" t="str">
        <f>IF(B1704="","",SUMIF(Transactions!$F$8:$F$3006,B1704,Transactions!$N$8:$N$3006))</f>
        <v/>
      </c>
      <c r="E1704" s="44" t="str">
        <f>IF(B1704="","",SUMIF(Transactions!$F$8:$F$3006,B1704,Transactions!$O$8:$O$3006))</f>
        <v/>
      </c>
      <c r="F1704" s="45" t="str">
        <f>IF(B1704="","",SUMIF(Transactions!$F$8:$F$3006,B1704,Transactions!$R$8:$R$3006))</f>
        <v/>
      </c>
      <c r="G1704" s="46" t="str">
        <f>IF(B1704="","",(C1704+F1704)-(D1704+E1704+SUMIF(Transactions!$F$8:$F$3006,B1704,Transactions!$Q$8:$Q$3006)))</f>
        <v/>
      </c>
      <c r="H1704" s="47" t="str">
        <f>IF(B1704="","",IF(G1704&gt;0,"OUTSTANDING",IF(G1704=0,"SETTLED",IF(SUMIF(Transactions!$F$8:$F$3006,B1704,Transactions!$Q$8:$Q$3006)&gt;SUMIF(Transactions!$F$8:$F$3006,B1704,Transactions!$R$8:$R$3006),"OWES","OVERPAID"))))</f>
        <v/>
      </c>
      <c r="I1704" s="1"/>
    </row>
    <row r="1705" spans="1:9" ht="18" customHeight="1" x14ac:dyDescent="0.25">
      <c r="A1705" s="48">
        <v>1690</v>
      </c>
      <c r="B1705" s="49" t="str">
        <f t="array" ref="B1705">IFERROR(IF(INDEX(Transactions!$F$8:$F$3006,MATCH(0,COUNTIF($B$11:B1704,Transactions!$F$8:$F$3006),0))="","",INDEX(Transactions!$F$8:$F$3006,MATCH(0,COUNTIF($B$11:B1704,Transactions!$F$8:$F$3006),0))),"")</f>
        <v/>
      </c>
      <c r="C1705" s="50" t="str">
        <f>IF(B1705="","",SUMIF(Transactions!$F$8:$F$3006,B1705,Transactions!$H$8:$H$3006))</f>
        <v/>
      </c>
      <c r="D1705" s="51" t="str">
        <f>IF(B1705="","",SUMIF(Transactions!$F$8:$F$3006,B1705,Transactions!$N$8:$N$3006))</f>
        <v/>
      </c>
      <c r="E1705" s="52" t="str">
        <f>IF(B1705="","",SUMIF(Transactions!$F$8:$F$3006,B1705,Transactions!$O$8:$O$3006))</f>
        <v/>
      </c>
      <c r="F1705" s="53" t="str">
        <f>IF(B1705="","",SUMIF(Transactions!$F$8:$F$3006,B1705,Transactions!$R$8:$R$3006))</f>
        <v/>
      </c>
      <c r="G1705" s="54" t="str">
        <f>IF(B1705="","",(C1705+F1705)-(D1705+E1705+SUMIF(Transactions!$F$8:$F$3006,B1705,Transactions!$Q$8:$Q$3006)))</f>
        <v/>
      </c>
      <c r="H1705" s="55" t="str">
        <f>IF(B1705="","",IF(G1705&gt;0,"OUTSTANDING",IF(G1705=0,"SETTLED",IF(SUMIF(Transactions!$F$8:$F$3006,B1705,Transactions!$Q$8:$Q$3006)&gt;SUMIF(Transactions!$F$8:$F$3006,B1705,Transactions!$R$8:$R$3006),"OWES","OVERPAID"))))</f>
        <v/>
      </c>
      <c r="I1705" s="1"/>
    </row>
    <row r="1706" spans="1:9" ht="18" customHeight="1" x14ac:dyDescent="0.25">
      <c r="A1706" s="40">
        <v>1691</v>
      </c>
      <c r="B1706" s="41" t="str">
        <f t="array" ref="B1706">IFERROR(IF(INDEX(Transactions!$F$8:$F$3006,MATCH(0,COUNTIF($B$11:B1705,Transactions!$F$8:$F$3006),0))="","",INDEX(Transactions!$F$8:$F$3006,MATCH(0,COUNTIF($B$11:B1705,Transactions!$F$8:$F$3006),0))),"")</f>
        <v/>
      </c>
      <c r="C1706" s="42" t="str">
        <f>IF(B1706="","",SUMIF(Transactions!$F$8:$F$3006,B1706,Transactions!$H$8:$H$3006))</f>
        <v/>
      </c>
      <c r="D1706" s="43" t="str">
        <f>IF(B1706="","",SUMIF(Transactions!$F$8:$F$3006,B1706,Transactions!$N$8:$N$3006))</f>
        <v/>
      </c>
      <c r="E1706" s="44" t="str">
        <f>IF(B1706="","",SUMIF(Transactions!$F$8:$F$3006,B1706,Transactions!$O$8:$O$3006))</f>
        <v/>
      </c>
      <c r="F1706" s="45" t="str">
        <f>IF(B1706="","",SUMIF(Transactions!$F$8:$F$3006,B1706,Transactions!$R$8:$R$3006))</f>
        <v/>
      </c>
      <c r="G1706" s="46" t="str">
        <f>IF(B1706="","",(C1706+F1706)-(D1706+E1706+SUMIF(Transactions!$F$8:$F$3006,B1706,Transactions!$Q$8:$Q$3006)))</f>
        <v/>
      </c>
      <c r="H1706" s="47" t="str">
        <f>IF(B1706="","",IF(G1706&gt;0,"OUTSTANDING",IF(G1706=0,"SETTLED",IF(SUMIF(Transactions!$F$8:$F$3006,B1706,Transactions!$Q$8:$Q$3006)&gt;SUMIF(Transactions!$F$8:$F$3006,B1706,Transactions!$R$8:$R$3006),"OWES","OVERPAID"))))</f>
        <v/>
      </c>
      <c r="I1706" s="1"/>
    </row>
    <row r="1707" spans="1:9" ht="18" customHeight="1" x14ac:dyDescent="0.25">
      <c r="A1707" s="48">
        <v>1692</v>
      </c>
      <c r="B1707" s="49" t="str">
        <f t="array" ref="B1707">IFERROR(IF(INDEX(Transactions!$F$8:$F$3006,MATCH(0,COUNTIF($B$11:B1706,Transactions!$F$8:$F$3006),0))="","",INDEX(Transactions!$F$8:$F$3006,MATCH(0,COUNTIF($B$11:B1706,Transactions!$F$8:$F$3006),0))),"")</f>
        <v/>
      </c>
      <c r="C1707" s="50" t="str">
        <f>IF(B1707="","",SUMIF(Transactions!$F$8:$F$3006,B1707,Transactions!$H$8:$H$3006))</f>
        <v/>
      </c>
      <c r="D1707" s="51" t="str">
        <f>IF(B1707="","",SUMIF(Transactions!$F$8:$F$3006,B1707,Transactions!$N$8:$N$3006))</f>
        <v/>
      </c>
      <c r="E1707" s="52" t="str">
        <f>IF(B1707="","",SUMIF(Transactions!$F$8:$F$3006,B1707,Transactions!$O$8:$O$3006))</f>
        <v/>
      </c>
      <c r="F1707" s="53" t="str">
        <f>IF(B1707="","",SUMIF(Transactions!$F$8:$F$3006,B1707,Transactions!$R$8:$R$3006))</f>
        <v/>
      </c>
      <c r="G1707" s="54" t="str">
        <f>IF(B1707="","",(C1707+F1707)-(D1707+E1707+SUMIF(Transactions!$F$8:$F$3006,B1707,Transactions!$Q$8:$Q$3006)))</f>
        <v/>
      </c>
      <c r="H1707" s="55" t="str">
        <f>IF(B1707="","",IF(G1707&gt;0,"OUTSTANDING",IF(G1707=0,"SETTLED",IF(SUMIF(Transactions!$F$8:$F$3006,B1707,Transactions!$Q$8:$Q$3006)&gt;SUMIF(Transactions!$F$8:$F$3006,B1707,Transactions!$R$8:$R$3006),"OWES","OVERPAID"))))</f>
        <v/>
      </c>
      <c r="I1707" s="1"/>
    </row>
    <row r="1708" spans="1:9" ht="18" customHeight="1" x14ac:dyDescent="0.25">
      <c r="A1708" s="40">
        <v>1693</v>
      </c>
      <c r="B1708" s="41" t="str">
        <f t="array" ref="B1708">IFERROR(IF(INDEX(Transactions!$F$8:$F$3006,MATCH(0,COUNTIF($B$11:B1707,Transactions!$F$8:$F$3006),0))="","",INDEX(Transactions!$F$8:$F$3006,MATCH(0,COUNTIF($B$11:B1707,Transactions!$F$8:$F$3006),0))),"")</f>
        <v/>
      </c>
      <c r="C1708" s="42" t="str">
        <f>IF(B1708="","",SUMIF(Transactions!$F$8:$F$3006,B1708,Transactions!$H$8:$H$3006))</f>
        <v/>
      </c>
      <c r="D1708" s="43" t="str">
        <f>IF(B1708="","",SUMIF(Transactions!$F$8:$F$3006,B1708,Transactions!$N$8:$N$3006))</f>
        <v/>
      </c>
      <c r="E1708" s="44" t="str">
        <f>IF(B1708="","",SUMIF(Transactions!$F$8:$F$3006,B1708,Transactions!$O$8:$O$3006))</f>
        <v/>
      </c>
      <c r="F1708" s="45" t="str">
        <f>IF(B1708="","",SUMIF(Transactions!$F$8:$F$3006,B1708,Transactions!$R$8:$R$3006))</f>
        <v/>
      </c>
      <c r="G1708" s="46" t="str">
        <f>IF(B1708="","",(C1708+F1708)-(D1708+E1708+SUMIF(Transactions!$F$8:$F$3006,B1708,Transactions!$Q$8:$Q$3006)))</f>
        <v/>
      </c>
      <c r="H1708" s="47" t="str">
        <f>IF(B1708="","",IF(G1708&gt;0,"OUTSTANDING",IF(G1708=0,"SETTLED",IF(SUMIF(Transactions!$F$8:$F$3006,B1708,Transactions!$Q$8:$Q$3006)&gt;SUMIF(Transactions!$F$8:$F$3006,B1708,Transactions!$R$8:$R$3006),"OWES","OVERPAID"))))</f>
        <v/>
      </c>
      <c r="I1708" s="1"/>
    </row>
    <row r="1709" spans="1:9" ht="18" customHeight="1" x14ac:dyDescent="0.25">
      <c r="A1709" s="48">
        <v>1694</v>
      </c>
      <c r="B1709" s="49" t="str">
        <f t="array" ref="B1709">IFERROR(IF(INDEX(Transactions!$F$8:$F$3006,MATCH(0,COUNTIF($B$11:B1708,Transactions!$F$8:$F$3006),0))="","",INDEX(Transactions!$F$8:$F$3006,MATCH(0,COUNTIF($B$11:B1708,Transactions!$F$8:$F$3006),0))),"")</f>
        <v/>
      </c>
      <c r="C1709" s="50" t="str">
        <f>IF(B1709="","",SUMIF(Transactions!$F$8:$F$3006,B1709,Transactions!$H$8:$H$3006))</f>
        <v/>
      </c>
      <c r="D1709" s="51" t="str">
        <f>IF(B1709="","",SUMIF(Transactions!$F$8:$F$3006,B1709,Transactions!$N$8:$N$3006))</f>
        <v/>
      </c>
      <c r="E1709" s="52" t="str">
        <f>IF(B1709="","",SUMIF(Transactions!$F$8:$F$3006,B1709,Transactions!$O$8:$O$3006))</f>
        <v/>
      </c>
      <c r="F1709" s="53" t="str">
        <f>IF(B1709="","",SUMIF(Transactions!$F$8:$F$3006,B1709,Transactions!$R$8:$R$3006))</f>
        <v/>
      </c>
      <c r="G1709" s="54" t="str">
        <f>IF(B1709="","",(C1709+F1709)-(D1709+E1709+SUMIF(Transactions!$F$8:$F$3006,B1709,Transactions!$Q$8:$Q$3006)))</f>
        <v/>
      </c>
      <c r="H1709" s="55" t="str">
        <f>IF(B1709="","",IF(G1709&gt;0,"OUTSTANDING",IF(G1709=0,"SETTLED",IF(SUMIF(Transactions!$F$8:$F$3006,B1709,Transactions!$Q$8:$Q$3006)&gt;SUMIF(Transactions!$F$8:$F$3006,B1709,Transactions!$R$8:$R$3006),"OWES","OVERPAID"))))</f>
        <v/>
      </c>
      <c r="I1709" s="1"/>
    </row>
    <row r="1710" spans="1:9" ht="18" customHeight="1" x14ac:dyDescent="0.25">
      <c r="A1710" s="40">
        <v>1695</v>
      </c>
      <c r="B1710" s="41" t="str">
        <f t="array" ref="B1710">IFERROR(IF(INDEX(Transactions!$F$8:$F$3006,MATCH(0,COUNTIF($B$11:B1709,Transactions!$F$8:$F$3006),0))="","",INDEX(Transactions!$F$8:$F$3006,MATCH(0,COUNTIF($B$11:B1709,Transactions!$F$8:$F$3006),0))),"")</f>
        <v/>
      </c>
      <c r="C1710" s="42" t="str">
        <f>IF(B1710="","",SUMIF(Transactions!$F$8:$F$3006,B1710,Transactions!$H$8:$H$3006))</f>
        <v/>
      </c>
      <c r="D1710" s="43" t="str">
        <f>IF(B1710="","",SUMIF(Transactions!$F$8:$F$3006,B1710,Transactions!$N$8:$N$3006))</f>
        <v/>
      </c>
      <c r="E1710" s="44" t="str">
        <f>IF(B1710="","",SUMIF(Transactions!$F$8:$F$3006,B1710,Transactions!$O$8:$O$3006))</f>
        <v/>
      </c>
      <c r="F1710" s="45" t="str">
        <f>IF(B1710="","",SUMIF(Transactions!$F$8:$F$3006,B1710,Transactions!$R$8:$R$3006))</f>
        <v/>
      </c>
      <c r="G1710" s="46" t="str">
        <f>IF(B1710="","",(C1710+F1710)-(D1710+E1710+SUMIF(Transactions!$F$8:$F$3006,B1710,Transactions!$Q$8:$Q$3006)))</f>
        <v/>
      </c>
      <c r="H1710" s="47" t="str">
        <f>IF(B1710="","",IF(G1710&gt;0,"OUTSTANDING",IF(G1710=0,"SETTLED",IF(SUMIF(Transactions!$F$8:$F$3006,B1710,Transactions!$Q$8:$Q$3006)&gt;SUMIF(Transactions!$F$8:$F$3006,B1710,Transactions!$R$8:$R$3006),"OWES","OVERPAID"))))</f>
        <v/>
      </c>
      <c r="I1710" s="1"/>
    </row>
    <row r="1711" spans="1:9" ht="18" customHeight="1" x14ac:dyDescent="0.25">
      <c r="A1711" s="48">
        <v>1696</v>
      </c>
      <c r="B1711" s="49" t="str">
        <f t="array" ref="B1711">IFERROR(IF(INDEX(Transactions!$F$8:$F$3006,MATCH(0,COUNTIF($B$11:B1710,Transactions!$F$8:$F$3006),0))="","",INDEX(Transactions!$F$8:$F$3006,MATCH(0,COUNTIF($B$11:B1710,Transactions!$F$8:$F$3006),0))),"")</f>
        <v/>
      </c>
      <c r="C1711" s="50" t="str">
        <f>IF(B1711="","",SUMIF(Transactions!$F$8:$F$3006,B1711,Transactions!$H$8:$H$3006))</f>
        <v/>
      </c>
      <c r="D1711" s="51" t="str">
        <f>IF(B1711="","",SUMIF(Transactions!$F$8:$F$3006,B1711,Transactions!$N$8:$N$3006))</f>
        <v/>
      </c>
      <c r="E1711" s="52" t="str">
        <f>IF(B1711="","",SUMIF(Transactions!$F$8:$F$3006,B1711,Transactions!$O$8:$O$3006))</f>
        <v/>
      </c>
      <c r="F1711" s="53" t="str">
        <f>IF(B1711="","",SUMIF(Transactions!$F$8:$F$3006,B1711,Transactions!$R$8:$R$3006))</f>
        <v/>
      </c>
      <c r="G1711" s="54" t="str">
        <f>IF(B1711="","",(C1711+F1711)-(D1711+E1711+SUMIF(Transactions!$F$8:$F$3006,B1711,Transactions!$Q$8:$Q$3006)))</f>
        <v/>
      </c>
      <c r="H1711" s="55" t="str">
        <f>IF(B1711="","",IF(G1711&gt;0,"OUTSTANDING",IF(G1711=0,"SETTLED",IF(SUMIF(Transactions!$F$8:$F$3006,B1711,Transactions!$Q$8:$Q$3006)&gt;SUMIF(Transactions!$F$8:$F$3006,B1711,Transactions!$R$8:$R$3006),"OWES","OVERPAID"))))</f>
        <v/>
      </c>
      <c r="I1711" s="1"/>
    </row>
    <row r="1712" spans="1:9" ht="18" customHeight="1" x14ac:dyDescent="0.25">
      <c r="A1712" s="40">
        <v>1697</v>
      </c>
      <c r="B1712" s="41" t="str">
        <f t="array" ref="B1712">IFERROR(IF(INDEX(Transactions!$F$8:$F$3006,MATCH(0,COUNTIF($B$11:B1711,Transactions!$F$8:$F$3006),0))="","",INDEX(Transactions!$F$8:$F$3006,MATCH(0,COUNTIF($B$11:B1711,Transactions!$F$8:$F$3006),0))),"")</f>
        <v/>
      </c>
      <c r="C1712" s="42" t="str">
        <f>IF(B1712="","",SUMIF(Transactions!$F$8:$F$3006,B1712,Transactions!$H$8:$H$3006))</f>
        <v/>
      </c>
      <c r="D1712" s="43" t="str">
        <f>IF(B1712="","",SUMIF(Transactions!$F$8:$F$3006,B1712,Transactions!$N$8:$N$3006))</f>
        <v/>
      </c>
      <c r="E1712" s="44" t="str">
        <f>IF(B1712="","",SUMIF(Transactions!$F$8:$F$3006,B1712,Transactions!$O$8:$O$3006))</f>
        <v/>
      </c>
      <c r="F1712" s="45" t="str">
        <f>IF(B1712="","",SUMIF(Transactions!$F$8:$F$3006,B1712,Transactions!$R$8:$R$3006))</f>
        <v/>
      </c>
      <c r="G1712" s="46" t="str">
        <f>IF(B1712="","",(C1712+F1712)-(D1712+E1712+SUMIF(Transactions!$F$8:$F$3006,B1712,Transactions!$Q$8:$Q$3006)))</f>
        <v/>
      </c>
      <c r="H1712" s="47" t="str">
        <f>IF(B1712="","",IF(G1712&gt;0,"OUTSTANDING",IF(G1712=0,"SETTLED",IF(SUMIF(Transactions!$F$8:$F$3006,B1712,Transactions!$Q$8:$Q$3006)&gt;SUMIF(Transactions!$F$8:$F$3006,B1712,Transactions!$R$8:$R$3006),"OWES","OVERPAID"))))</f>
        <v/>
      </c>
      <c r="I1712" s="1"/>
    </row>
    <row r="1713" spans="1:9" ht="18" customHeight="1" x14ac:dyDescent="0.25">
      <c r="A1713" s="48">
        <v>1698</v>
      </c>
      <c r="B1713" s="49" t="str">
        <f t="array" ref="B1713">IFERROR(IF(INDEX(Transactions!$F$8:$F$3006,MATCH(0,COUNTIF($B$11:B1712,Transactions!$F$8:$F$3006),0))="","",INDEX(Transactions!$F$8:$F$3006,MATCH(0,COUNTIF($B$11:B1712,Transactions!$F$8:$F$3006),0))),"")</f>
        <v/>
      </c>
      <c r="C1713" s="50" t="str">
        <f>IF(B1713="","",SUMIF(Transactions!$F$8:$F$3006,B1713,Transactions!$H$8:$H$3006))</f>
        <v/>
      </c>
      <c r="D1713" s="51" t="str">
        <f>IF(B1713="","",SUMIF(Transactions!$F$8:$F$3006,B1713,Transactions!$N$8:$N$3006))</f>
        <v/>
      </c>
      <c r="E1713" s="52" t="str">
        <f>IF(B1713="","",SUMIF(Transactions!$F$8:$F$3006,B1713,Transactions!$O$8:$O$3006))</f>
        <v/>
      </c>
      <c r="F1713" s="53" t="str">
        <f>IF(B1713="","",SUMIF(Transactions!$F$8:$F$3006,B1713,Transactions!$R$8:$R$3006))</f>
        <v/>
      </c>
      <c r="G1713" s="54" t="str">
        <f>IF(B1713="","",(C1713+F1713)-(D1713+E1713+SUMIF(Transactions!$F$8:$F$3006,B1713,Transactions!$Q$8:$Q$3006)))</f>
        <v/>
      </c>
      <c r="H1713" s="55" t="str">
        <f>IF(B1713="","",IF(G1713&gt;0,"OUTSTANDING",IF(G1713=0,"SETTLED",IF(SUMIF(Transactions!$F$8:$F$3006,B1713,Transactions!$Q$8:$Q$3006)&gt;SUMIF(Transactions!$F$8:$F$3006,B1713,Transactions!$R$8:$R$3006),"OWES","OVERPAID"))))</f>
        <v/>
      </c>
      <c r="I1713" s="1"/>
    </row>
    <row r="1714" spans="1:9" ht="18" customHeight="1" x14ac:dyDescent="0.25">
      <c r="A1714" s="40">
        <v>1699</v>
      </c>
      <c r="B1714" s="41" t="str">
        <f t="array" ref="B1714">IFERROR(IF(INDEX(Transactions!$F$8:$F$3006,MATCH(0,COUNTIF($B$11:B1713,Transactions!$F$8:$F$3006),0))="","",INDEX(Transactions!$F$8:$F$3006,MATCH(0,COUNTIF($B$11:B1713,Transactions!$F$8:$F$3006),0))),"")</f>
        <v/>
      </c>
      <c r="C1714" s="42" t="str">
        <f>IF(B1714="","",SUMIF(Transactions!$F$8:$F$3006,B1714,Transactions!$H$8:$H$3006))</f>
        <v/>
      </c>
      <c r="D1714" s="43" t="str">
        <f>IF(B1714="","",SUMIF(Transactions!$F$8:$F$3006,B1714,Transactions!$N$8:$N$3006))</f>
        <v/>
      </c>
      <c r="E1714" s="44" t="str">
        <f>IF(B1714="","",SUMIF(Transactions!$F$8:$F$3006,B1714,Transactions!$O$8:$O$3006))</f>
        <v/>
      </c>
      <c r="F1714" s="45" t="str">
        <f>IF(B1714="","",SUMIF(Transactions!$F$8:$F$3006,B1714,Transactions!$R$8:$R$3006))</f>
        <v/>
      </c>
      <c r="G1714" s="46" t="str">
        <f>IF(B1714="","",(C1714+F1714)-(D1714+E1714+SUMIF(Transactions!$F$8:$F$3006,B1714,Transactions!$Q$8:$Q$3006)))</f>
        <v/>
      </c>
      <c r="H1714" s="47" t="str">
        <f>IF(B1714="","",IF(G1714&gt;0,"OUTSTANDING",IF(G1714=0,"SETTLED",IF(SUMIF(Transactions!$F$8:$F$3006,B1714,Transactions!$Q$8:$Q$3006)&gt;SUMIF(Transactions!$F$8:$F$3006,B1714,Transactions!$R$8:$R$3006),"OWES","OVERPAID"))))</f>
        <v/>
      </c>
      <c r="I1714" s="1"/>
    </row>
    <row r="1715" spans="1:9" ht="18" customHeight="1" x14ac:dyDescent="0.25">
      <c r="A1715" s="48">
        <v>1700</v>
      </c>
      <c r="B1715" s="49" t="str">
        <f t="array" ref="B1715">IFERROR(IF(INDEX(Transactions!$F$8:$F$3006,MATCH(0,COUNTIF($B$11:B1714,Transactions!$F$8:$F$3006),0))="","",INDEX(Transactions!$F$8:$F$3006,MATCH(0,COUNTIF($B$11:B1714,Transactions!$F$8:$F$3006),0))),"")</f>
        <v/>
      </c>
      <c r="C1715" s="50" t="str">
        <f>IF(B1715="","",SUMIF(Transactions!$F$8:$F$3006,B1715,Transactions!$H$8:$H$3006))</f>
        <v/>
      </c>
      <c r="D1715" s="51" t="str">
        <f>IF(B1715="","",SUMIF(Transactions!$F$8:$F$3006,B1715,Transactions!$N$8:$N$3006))</f>
        <v/>
      </c>
      <c r="E1715" s="52" t="str">
        <f>IF(B1715="","",SUMIF(Transactions!$F$8:$F$3006,B1715,Transactions!$O$8:$O$3006))</f>
        <v/>
      </c>
      <c r="F1715" s="53" t="str">
        <f>IF(B1715="","",SUMIF(Transactions!$F$8:$F$3006,B1715,Transactions!$R$8:$R$3006))</f>
        <v/>
      </c>
      <c r="G1715" s="54" t="str">
        <f>IF(B1715="","",(C1715+F1715)-(D1715+E1715+SUMIF(Transactions!$F$8:$F$3006,B1715,Transactions!$Q$8:$Q$3006)))</f>
        <v/>
      </c>
      <c r="H1715" s="55" t="str">
        <f>IF(B1715="","",IF(G1715&gt;0,"OUTSTANDING",IF(G1715=0,"SETTLED",IF(SUMIF(Transactions!$F$8:$F$3006,B1715,Transactions!$Q$8:$Q$3006)&gt;SUMIF(Transactions!$F$8:$F$3006,B1715,Transactions!$R$8:$R$3006),"OWES","OVERPAID"))))</f>
        <v/>
      </c>
      <c r="I1715" s="1"/>
    </row>
    <row r="1716" spans="1:9" ht="18" customHeight="1" x14ac:dyDescent="0.25">
      <c r="A1716" s="40">
        <v>1701</v>
      </c>
      <c r="B1716" s="41" t="str">
        <f t="array" ref="B1716">IFERROR(IF(INDEX(Transactions!$F$8:$F$3006,MATCH(0,COUNTIF($B$11:B1715,Transactions!$F$8:$F$3006),0))="","",INDEX(Transactions!$F$8:$F$3006,MATCH(0,COUNTIF($B$11:B1715,Transactions!$F$8:$F$3006),0))),"")</f>
        <v/>
      </c>
      <c r="C1716" s="42" t="str">
        <f>IF(B1716="","",SUMIF(Transactions!$F$8:$F$3006,B1716,Transactions!$H$8:$H$3006))</f>
        <v/>
      </c>
      <c r="D1716" s="43" t="str">
        <f>IF(B1716="","",SUMIF(Transactions!$F$8:$F$3006,B1716,Transactions!$N$8:$N$3006))</f>
        <v/>
      </c>
      <c r="E1716" s="44" t="str">
        <f>IF(B1716="","",SUMIF(Transactions!$F$8:$F$3006,B1716,Transactions!$O$8:$O$3006))</f>
        <v/>
      </c>
      <c r="F1716" s="45" t="str">
        <f>IF(B1716="","",SUMIF(Transactions!$F$8:$F$3006,B1716,Transactions!$R$8:$R$3006))</f>
        <v/>
      </c>
      <c r="G1716" s="46" t="str">
        <f>IF(B1716="","",(C1716+F1716)-(D1716+E1716+SUMIF(Transactions!$F$8:$F$3006,B1716,Transactions!$Q$8:$Q$3006)))</f>
        <v/>
      </c>
      <c r="H1716" s="47" t="str">
        <f>IF(B1716="","",IF(G1716&gt;0,"OUTSTANDING",IF(G1716=0,"SETTLED",IF(SUMIF(Transactions!$F$8:$F$3006,B1716,Transactions!$Q$8:$Q$3006)&gt;SUMIF(Transactions!$F$8:$F$3006,B1716,Transactions!$R$8:$R$3006),"OWES","OVERPAID"))))</f>
        <v/>
      </c>
      <c r="I1716" s="1"/>
    </row>
    <row r="1717" spans="1:9" ht="18" customHeight="1" x14ac:dyDescent="0.25">
      <c r="A1717" s="48">
        <v>1702</v>
      </c>
      <c r="B1717" s="49" t="str">
        <f t="array" ref="B1717">IFERROR(IF(INDEX(Transactions!$F$8:$F$3006,MATCH(0,COUNTIF($B$11:B1716,Transactions!$F$8:$F$3006),0))="","",INDEX(Transactions!$F$8:$F$3006,MATCH(0,COUNTIF($B$11:B1716,Transactions!$F$8:$F$3006),0))),"")</f>
        <v/>
      </c>
      <c r="C1717" s="50" t="str">
        <f>IF(B1717="","",SUMIF(Transactions!$F$8:$F$3006,B1717,Transactions!$H$8:$H$3006))</f>
        <v/>
      </c>
      <c r="D1717" s="51" t="str">
        <f>IF(B1717="","",SUMIF(Transactions!$F$8:$F$3006,B1717,Transactions!$N$8:$N$3006))</f>
        <v/>
      </c>
      <c r="E1717" s="52" t="str">
        <f>IF(B1717="","",SUMIF(Transactions!$F$8:$F$3006,B1717,Transactions!$O$8:$O$3006))</f>
        <v/>
      </c>
      <c r="F1717" s="53" t="str">
        <f>IF(B1717="","",SUMIF(Transactions!$F$8:$F$3006,B1717,Transactions!$R$8:$R$3006))</f>
        <v/>
      </c>
      <c r="G1717" s="54" t="str">
        <f>IF(B1717="","",(C1717+F1717)-(D1717+E1717+SUMIF(Transactions!$F$8:$F$3006,B1717,Transactions!$Q$8:$Q$3006)))</f>
        <v/>
      </c>
      <c r="H1717" s="55" t="str">
        <f>IF(B1717="","",IF(G1717&gt;0,"OUTSTANDING",IF(G1717=0,"SETTLED",IF(SUMIF(Transactions!$F$8:$F$3006,B1717,Transactions!$Q$8:$Q$3006)&gt;SUMIF(Transactions!$F$8:$F$3006,B1717,Transactions!$R$8:$R$3006),"OWES","OVERPAID"))))</f>
        <v/>
      </c>
      <c r="I1717" s="1"/>
    </row>
    <row r="1718" spans="1:9" ht="18" customHeight="1" x14ac:dyDescent="0.25">
      <c r="A1718" s="40">
        <v>1703</v>
      </c>
      <c r="B1718" s="41" t="str">
        <f t="array" ref="B1718">IFERROR(IF(INDEX(Transactions!$F$8:$F$3006,MATCH(0,COUNTIF($B$11:B1717,Transactions!$F$8:$F$3006),0))="","",INDEX(Transactions!$F$8:$F$3006,MATCH(0,COUNTIF($B$11:B1717,Transactions!$F$8:$F$3006),0))),"")</f>
        <v/>
      </c>
      <c r="C1718" s="42" t="str">
        <f>IF(B1718="","",SUMIF(Transactions!$F$8:$F$3006,B1718,Transactions!$H$8:$H$3006))</f>
        <v/>
      </c>
      <c r="D1718" s="43" t="str">
        <f>IF(B1718="","",SUMIF(Transactions!$F$8:$F$3006,B1718,Transactions!$N$8:$N$3006))</f>
        <v/>
      </c>
      <c r="E1718" s="44" t="str">
        <f>IF(B1718="","",SUMIF(Transactions!$F$8:$F$3006,B1718,Transactions!$O$8:$O$3006))</f>
        <v/>
      </c>
      <c r="F1718" s="45" t="str">
        <f>IF(B1718="","",SUMIF(Transactions!$F$8:$F$3006,B1718,Transactions!$R$8:$R$3006))</f>
        <v/>
      </c>
      <c r="G1718" s="46" t="str">
        <f>IF(B1718="","",(C1718+F1718)-(D1718+E1718+SUMIF(Transactions!$F$8:$F$3006,B1718,Transactions!$Q$8:$Q$3006)))</f>
        <v/>
      </c>
      <c r="H1718" s="47" t="str">
        <f>IF(B1718="","",IF(G1718&gt;0,"OUTSTANDING",IF(G1718=0,"SETTLED",IF(SUMIF(Transactions!$F$8:$F$3006,B1718,Transactions!$Q$8:$Q$3006)&gt;SUMIF(Transactions!$F$8:$F$3006,B1718,Transactions!$R$8:$R$3006),"OWES","OVERPAID"))))</f>
        <v/>
      </c>
      <c r="I1718" s="1"/>
    </row>
    <row r="1719" spans="1:9" ht="18" customHeight="1" x14ac:dyDescent="0.25">
      <c r="A1719" s="48">
        <v>1704</v>
      </c>
      <c r="B1719" s="49" t="str">
        <f t="array" ref="B1719">IFERROR(IF(INDEX(Transactions!$F$8:$F$3006,MATCH(0,COUNTIF($B$11:B1718,Transactions!$F$8:$F$3006),0))="","",INDEX(Transactions!$F$8:$F$3006,MATCH(0,COUNTIF($B$11:B1718,Transactions!$F$8:$F$3006),0))),"")</f>
        <v/>
      </c>
      <c r="C1719" s="50" t="str">
        <f>IF(B1719="","",SUMIF(Transactions!$F$8:$F$3006,B1719,Transactions!$H$8:$H$3006))</f>
        <v/>
      </c>
      <c r="D1719" s="51" t="str">
        <f>IF(B1719="","",SUMIF(Transactions!$F$8:$F$3006,B1719,Transactions!$N$8:$N$3006))</f>
        <v/>
      </c>
      <c r="E1719" s="52" t="str">
        <f>IF(B1719="","",SUMIF(Transactions!$F$8:$F$3006,B1719,Transactions!$O$8:$O$3006))</f>
        <v/>
      </c>
      <c r="F1719" s="53" t="str">
        <f>IF(B1719="","",SUMIF(Transactions!$F$8:$F$3006,B1719,Transactions!$R$8:$R$3006))</f>
        <v/>
      </c>
      <c r="G1719" s="54" t="str">
        <f>IF(B1719="","",(C1719+F1719)-(D1719+E1719+SUMIF(Transactions!$F$8:$F$3006,B1719,Transactions!$Q$8:$Q$3006)))</f>
        <v/>
      </c>
      <c r="H1719" s="55" t="str">
        <f>IF(B1719="","",IF(G1719&gt;0,"OUTSTANDING",IF(G1719=0,"SETTLED",IF(SUMIF(Transactions!$F$8:$F$3006,B1719,Transactions!$Q$8:$Q$3006)&gt;SUMIF(Transactions!$F$8:$F$3006,B1719,Transactions!$R$8:$R$3006),"OWES","OVERPAID"))))</f>
        <v/>
      </c>
      <c r="I1719" s="1"/>
    </row>
    <row r="1720" spans="1:9" ht="18" customHeight="1" x14ac:dyDescent="0.25">
      <c r="A1720" s="40">
        <v>1705</v>
      </c>
      <c r="B1720" s="41" t="str">
        <f t="array" ref="B1720">IFERROR(IF(INDEX(Transactions!$F$8:$F$3006,MATCH(0,COUNTIF($B$11:B1719,Transactions!$F$8:$F$3006),0))="","",INDEX(Transactions!$F$8:$F$3006,MATCH(0,COUNTIF($B$11:B1719,Transactions!$F$8:$F$3006),0))),"")</f>
        <v/>
      </c>
      <c r="C1720" s="42" t="str">
        <f>IF(B1720="","",SUMIF(Transactions!$F$8:$F$3006,B1720,Transactions!$H$8:$H$3006))</f>
        <v/>
      </c>
      <c r="D1720" s="43" t="str">
        <f>IF(B1720="","",SUMIF(Transactions!$F$8:$F$3006,B1720,Transactions!$N$8:$N$3006))</f>
        <v/>
      </c>
      <c r="E1720" s="44" t="str">
        <f>IF(B1720="","",SUMIF(Transactions!$F$8:$F$3006,B1720,Transactions!$O$8:$O$3006))</f>
        <v/>
      </c>
      <c r="F1720" s="45" t="str">
        <f>IF(B1720="","",SUMIF(Transactions!$F$8:$F$3006,B1720,Transactions!$R$8:$R$3006))</f>
        <v/>
      </c>
      <c r="G1720" s="46" t="str">
        <f>IF(B1720="","",(C1720+F1720)-(D1720+E1720+SUMIF(Transactions!$F$8:$F$3006,B1720,Transactions!$Q$8:$Q$3006)))</f>
        <v/>
      </c>
      <c r="H1720" s="47" t="str">
        <f>IF(B1720="","",IF(G1720&gt;0,"OUTSTANDING",IF(G1720=0,"SETTLED",IF(SUMIF(Transactions!$F$8:$F$3006,B1720,Transactions!$Q$8:$Q$3006)&gt;SUMIF(Transactions!$F$8:$F$3006,B1720,Transactions!$R$8:$R$3006),"OWES","OVERPAID"))))</f>
        <v/>
      </c>
      <c r="I1720" s="1"/>
    </row>
    <row r="1721" spans="1:9" ht="18" customHeight="1" x14ac:dyDescent="0.25">
      <c r="A1721" s="48">
        <v>1706</v>
      </c>
      <c r="B1721" s="49" t="str">
        <f t="array" ref="B1721">IFERROR(IF(INDEX(Transactions!$F$8:$F$3006,MATCH(0,COUNTIF($B$11:B1720,Transactions!$F$8:$F$3006),0))="","",INDEX(Transactions!$F$8:$F$3006,MATCH(0,COUNTIF($B$11:B1720,Transactions!$F$8:$F$3006),0))),"")</f>
        <v/>
      </c>
      <c r="C1721" s="50" t="str">
        <f>IF(B1721="","",SUMIF(Transactions!$F$8:$F$3006,B1721,Transactions!$H$8:$H$3006))</f>
        <v/>
      </c>
      <c r="D1721" s="51" t="str">
        <f>IF(B1721="","",SUMIF(Transactions!$F$8:$F$3006,B1721,Transactions!$N$8:$N$3006))</f>
        <v/>
      </c>
      <c r="E1721" s="52" t="str">
        <f>IF(B1721="","",SUMIF(Transactions!$F$8:$F$3006,B1721,Transactions!$O$8:$O$3006))</f>
        <v/>
      </c>
      <c r="F1721" s="53" t="str">
        <f>IF(B1721="","",SUMIF(Transactions!$F$8:$F$3006,B1721,Transactions!$R$8:$R$3006))</f>
        <v/>
      </c>
      <c r="G1721" s="54" t="str">
        <f>IF(B1721="","",(C1721+F1721)-(D1721+E1721+SUMIF(Transactions!$F$8:$F$3006,B1721,Transactions!$Q$8:$Q$3006)))</f>
        <v/>
      </c>
      <c r="H1721" s="55" t="str">
        <f>IF(B1721="","",IF(G1721&gt;0,"OUTSTANDING",IF(G1721=0,"SETTLED",IF(SUMIF(Transactions!$F$8:$F$3006,B1721,Transactions!$Q$8:$Q$3006)&gt;SUMIF(Transactions!$F$8:$F$3006,B1721,Transactions!$R$8:$R$3006),"OWES","OVERPAID"))))</f>
        <v/>
      </c>
      <c r="I1721" s="1"/>
    </row>
    <row r="1722" spans="1:9" ht="18" customHeight="1" x14ac:dyDescent="0.25">
      <c r="A1722" s="40">
        <v>1707</v>
      </c>
      <c r="B1722" s="41" t="str">
        <f t="array" ref="B1722">IFERROR(IF(INDEX(Transactions!$F$8:$F$3006,MATCH(0,COUNTIF($B$11:B1721,Transactions!$F$8:$F$3006),0))="","",INDEX(Transactions!$F$8:$F$3006,MATCH(0,COUNTIF($B$11:B1721,Transactions!$F$8:$F$3006),0))),"")</f>
        <v/>
      </c>
      <c r="C1722" s="42" t="str">
        <f>IF(B1722="","",SUMIF(Transactions!$F$8:$F$3006,B1722,Transactions!$H$8:$H$3006))</f>
        <v/>
      </c>
      <c r="D1722" s="43" t="str">
        <f>IF(B1722="","",SUMIF(Transactions!$F$8:$F$3006,B1722,Transactions!$N$8:$N$3006))</f>
        <v/>
      </c>
      <c r="E1722" s="44" t="str">
        <f>IF(B1722="","",SUMIF(Transactions!$F$8:$F$3006,B1722,Transactions!$O$8:$O$3006))</f>
        <v/>
      </c>
      <c r="F1722" s="45" t="str">
        <f>IF(B1722="","",SUMIF(Transactions!$F$8:$F$3006,B1722,Transactions!$R$8:$R$3006))</f>
        <v/>
      </c>
      <c r="G1722" s="46" t="str">
        <f>IF(B1722="","",(C1722+F1722)-(D1722+E1722+SUMIF(Transactions!$F$8:$F$3006,B1722,Transactions!$Q$8:$Q$3006)))</f>
        <v/>
      </c>
      <c r="H1722" s="47" t="str">
        <f>IF(B1722="","",IF(G1722&gt;0,"OUTSTANDING",IF(G1722=0,"SETTLED",IF(SUMIF(Transactions!$F$8:$F$3006,B1722,Transactions!$Q$8:$Q$3006)&gt;SUMIF(Transactions!$F$8:$F$3006,B1722,Transactions!$R$8:$R$3006),"OWES","OVERPAID"))))</f>
        <v/>
      </c>
      <c r="I1722" s="1"/>
    </row>
    <row r="1723" spans="1:9" ht="18" customHeight="1" x14ac:dyDescent="0.25">
      <c r="A1723" s="48">
        <v>1708</v>
      </c>
      <c r="B1723" s="49" t="str">
        <f t="array" ref="B1723">IFERROR(IF(INDEX(Transactions!$F$8:$F$3006,MATCH(0,COUNTIF($B$11:B1722,Transactions!$F$8:$F$3006),0))="","",INDEX(Transactions!$F$8:$F$3006,MATCH(0,COUNTIF($B$11:B1722,Transactions!$F$8:$F$3006),0))),"")</f>
        <v/>
      </c>
      <c r="C1723" s="50" t="str">
        <f>IF(B1723="","",SUMIF(Transactions!$F$8:$F$3006,B1723,Transactions!$H$8:$H$3006))</f>
        <v/>
      </c>
      <c r="D1723" s="51" t="str">
        <f>IF(B1723="","",SUMIF(Transactions!$F$8:$F$3006,B1723,Transactions!$N$8:$N$3006))</f>
        <v/>
      </c>
      <c r="E1723" s="52" t="str">
        <f>IF(B1723="","",SUMIF(Transactions!$F$8:$F$3006,B1723,Transactions!$O$8:$O$3006))</f>
        <v/>
      </c>
      <c r="F1723" s="53" t="str">
        <f>IF(B1723="","",SUMIF(Transactions!$F$8:$F$3006,B1723,Transactions!$R$8:$R$3006))</f>
        <v/>
      </c>
      <c r="G1723" s="54" t="str">
        <f>IF(B1723="","",(C1723+F1723)-(D1723+E1723+SUMIF(Transactions!$F$8:$F$3006,B1723,Transactions!$Q$8:$Q$3006)))</f>
        <v/>
      </c>
      <c r="H1723" s="55" t="str">
        <f>IF(B1723="","",IF(G1723&gt;0,"OUTSTANDING",IF(G1723=0,"SETTLED",IF(SUMIF(Transactions!$F$8:$F$3006,B1723,Transactions!$Q$8:$Q$3006)&gt;SUMIF(Transactions!$F$8:$F$3006,B1723,Transactions!$R$8:$R$3006),"OWES","OVERPAID"))))</f>
        <v/>
      </c>
      <c r="I1723" s="1"/>
    </row>
    <row r="1724" spans="1:9" ht="18" customHeight="1" x14ac:dyDescent="0.25">
      <c r="A1724" s="40">
        <v>1709</v>
      </c>
      <c r="B1724" s="41" t="str">
        <f t="array" ref="B1724">IFERROR(IF(INDEX(Transactions!$F$8:$F$3006,MATCH(0,COUNTIF($B$11:B1723,Transactions!$F$8:$F$3006),0))="","",INDEX(Transactions!$F$8:$F$3006,MATCH(0,COUNTIF($B$11:B1723,Transactions!$F$8:$F$3006),0))),"")</f>
        <v/>
      </c>
      <c r="C1724" s="42" t="str">
        <f>IF(B1724="","",SUMIF(Transactions!$F$8:$F$3006,B1724,Transactions!$H$8:$H$3006))</f>
        <v/>
      </c>
      <c r="D1724" s="43" t="str">
        <f>IF(B1724="","",SUMIF(Transactions!$F$8:$F$3006,B1724,Transactions!$N$8:$N$3006))</f>
        <v/>
      </c>
      <c r="E1724" s="44" t="str">
        <f>IF(B1724="","",SUMIF(Transactions!$F$8:$F$3006,B1724,Transactions!$O$8:$O$3006))</f>
        <v/>
      </c>
      <c r="F1724" s="45" t="str">
        <f>IF(B1724="","",SUMIF(Transactions!$F$8:$F$3006,B1724,Transactions!$R$8:$R$3006))</f>
        <v/>
      </c>
      <c r="G1724" s="46" t="str">
        <f>IF(B1724="","",(C1724+F1724)-(D1724+E1724+SUMIF(Transactions!$F$8:$F$3006,B1724,Transactions!$Q$8:$Q$3006)))</f>
        <v/>
      </c>
      <c r="H1724" s="47" t="str">
        <f>IF(B1724="","",IF(G1724&gt;0,"OUTSTANDING",IF(G1724=0,"SETTLED",IF(SUMIF(Transactions!$F$8:$F$3006,B1724,Transactions!$Q$8:$Q$3006)&gt;SUMIF(Transactions!$F$8:$F$3006,B1724,Transactions!$R$8:$R$3006),"OWES","OVERPAID"))))</f>
        <v/>
      </c>
      <c r="I1724" s="1"/>
    </row>
    <row r="1725" spans="1:9" ht="18" customHeight="1" x14ac:dyDescent="0.25">
      <c r="A1725" s="48">
        <v>1710</v>
      </c>
      <c r="B1725" s="49" t="str">
        <f t="array" ref="B1725">IFERROR(IF(INDEX(Transactions!$F$8:$F$3006,MATCH(0,COUNTIF($B$11:B1724,Transactions!$F$8:$F$3006),0))="","",INDEX(Transactions!$F$8:$F$3006,MATCH(0,COUNTIF($B$11:B1724,Transactions!$F$8:$F$3006),0))),"")</f>
        <v/>
      </c>
      <c r="C1725" s="50" t="str">
        <f>IF(B1725="","",SUMIF(Transactions!$F$8:$F$3006,B1725,Transactions!$H$8:$H$3006))</f>
        <v/>
      </c>
      <c r="D1725" s="51" t="str">
        <f>IF(B1725="","",SUMIF(Transactions!$F$8:$F$3006,B1725,Transactions!$N$8:$N$3006))</f>
        <v/>
      </c>
      <c r="E1725" s="52" t="str">
        <f>IF(B1725="","",SUMIF(Transactions!$F$8:$F$3006,B1725,Transactions!$O$8:$O$3006))</f>
        <v/>
      </c>
      <c r="F1725" s="53" t="str">
        <f>IF(B1725="","",SUMIF(Transactions!$F$8:$F$3006,B1725,Transactions!$R$8:$R$3006))</f>
        <v/>
      </c>
      <c r="G1725" s="54" t="str">
        <f>IF(B1725="","",(C1725+F1725)-(D1725+E1725+SUMIF(Transactions!$F$8:$F$3006,B1725,Transactions!$Q$8:$Q$3006)))</f>
        <v/>
      </c>
      <c r="H1725" s="55" t="str">
        <f>IF(B1725="","",IF(G1725&gt;0,"OUTSTANDING",IF(G1725=0,"SETTLED",IF(SUMIF(Transactions!$F$8:$F$3006,B1725,Transactions!$Q$8:$Q$3006)&gt;SUMIF(Transactions!$F$8:$F$3006,B1725,Transactions!$R$8:$R$3006),"OWES","OVERPAID"))))</f>
        <v/>
      </c>
      <c r="I1725" s="1"/>
    </row>
    <row r="1726" spans="1:9" ht="18" customHeight="1" x14ac:dyDescent="0.25">
      <c r="A1726" s="40">
        <v>1711</v>
      </c>
      <c r="B1726" s="41" t="str">
        <f t="array" ref="B1726">IFERROR(IF(INDEX(Transactions!$F$8:$F$3006,MATCH(0,COUNTIF($B$11:B1725,Transactions!$F$8:$F$3006),0))="","",INDEX(Transactions!$F$8:$F$3006,MATCH(0,COUNTIF($B$11:B1725,Transactions!$F$8:$F$3006),0))),"")</f>
        <v/>
      </c>
      <c r="C1726" s="42" t="str">
        <f>IF(B1726="","",SUMIF(Transactions!$F$8:$F$3006,B1726,Transactions!$H$8:$H$3006))</f>
        <v/>
      </c>
      <c r="D1726" s="43" t="str">
        <f>IF(B1726="","",SUMIF(Transactions!$F$8:$F$3006,B1726,Transactions!$N$8:$N$3006))</f>
        <v/>
      </c>
      <c r="E1726" s="44" t="str">
        <f>IF(B1726="","",SUMIF(Transactions!$F$8:$F$3006,B1726,Transactions!$O$8:$O$3006))</f>
        <v/>
      </c>
      <c r="F1726" s="45" t="str">
        <f>IF(B1726="","",SUMIF(Transactions!$F$8:$F$3006,B1726,Transactions!$R$8:$R$3006))</f>
        <v/>
      </c>
      <c r="G1726" s="46" t="str">
        <f>IF(B1726="","",(C1726+F1726)-(D1726+E1726+SUMIF(Transactions!$F$8:$F$3006,B1726,Transactions!$Q$8:$Q$3006)))</f>
        <v/>
      </c>
      <c r="H1726" s="47" t="str">
        <f>IF(B1726="","",IF(G1726&gt;0,"OUTSTANDING",IF(G1726=0,"SETTLED",IF(SUMIF(Transactions!$F$8:$F$3006,B1726,Transactions!$Q$8:$Q$3006)&gt;SUMIF(Transactions!$F$8:$F$3006,B1726,Transactions!$R$8:$R$3006),"OWES","OVERPAID"))))</f>
        <v/>
      </c>
      <c r="I1726" s="1"/>
    </row>
    <row r="1727" spans="1:9" ht="18" customHeight="1" x14ac:dyDescent="0.25">
      <c r="A1727" s="48">
        <v>1712</v>
      </c>
      <c r="B1727" s="49" t="str">
        <f t="array" ref="B1727">IFERROR(IF(INDEX(Transactions!$F$8:$F$3006,MATCH(0,COUNTIF($B$11:B1726,Transactions!$F$8:$F$3006),0))="","",INDEX(Transactions!$F$8:$F$3006,MATCH(0,COUNTIF($B$11:B1726,Transactions!$F$8:$F$3006),0))),"")</f>
        <v/>
      </c>
      <c r="C1727" s="50" t="str">
        <f>IF(B1727="","",SUMIF(Transactions!$F$8:$F$3006,B1727,Transactions!$H$8:$H$3006))</f>
        <v/>
      </c>
      <c r="D1727" s="51" t="str">
        <f>IF(B1727="","",SUMIF(Transactions!$F$8:$F$3006,B1727,Transactions!$N$8:$N$3006))</f>
        <v/>
      </c>
      <c r="E1727" s="52" t="str">
        <f>IF(B1727="","",SUMIF(Transactions!$F$8:$F$3006,B1727,Transactions!$O$8:$O$3006))</f>
        <v/>
      </c>
      <c r="F1727" s="53" t="str">
        <f>IF(B1727="","",SUMIF(Transactions!$F$8:$F$3006,B1727,Transactions!$R$8:$R$3006))</f>
        <v/>
      </c>
      <c r="G1727" s="54" t="str">
        <f>IF(B1727="","",(C1727+F1727)-(D1727+E1727+SUMIF(Transactions!$F$8:$F$3006,B1727,Transactions!$Q$8:$Q$3006)))</f>
        <v/>
      </c>
      <c r="H1727" s="55" t="str">
        <f>IF(B1727="","",IF(G1727&gt;0,"OUTSTANDING",IF(G1727=0,"SETTLED",IF(SUMIF(Transactions!$F$8:$F$3006,B1727,Transactions!$Q$8:$Q$3006)&gt;SUMIF(Transactions!$F$8:$F$3006,B1727,Transactions!$R$8:$R$3006),"OWES","OVERPAID"))))</f>
        <v/>
      </c>
      <c r="I1727" s="1"/>
    </row>
    <row r="1728" spans="1:9" ht="18" customHeight="1" x14ac:dyDescent="0.25">
      <c r="A1728" s="40">
        <v>1713</v>
      </c>
      <c r="B1728" s="41" t="str">
        <f t="array" ref="B1728">IFERROR(IF(INDEX(Transactions!$F$8:$F$3006,MATCH(0,COUNTIF($B$11:B1727,Transactions!$F$8:$F$3006),0))="","",INDEX(Transactions!$F$8:$F$3006,MATCH(0,COUNTIF($B$11:B1727,Transactions!$F$8:$F$3006),0))),"")</f>
        <v/>
      </c>
      <c r="C1728" s="42" t="str">
        <f>IF(B1728="","",SUMIF(Transactions!$F$8:$F$3006,B1728,Transactions!$H$8:$H$3006))</f>
        <v/>
      </c>
      <c r="D1728" s="43" t="str">
        <f>IF(B1728="","",SUMIF(Transactions!$F$8:$F$3006,B1728,Transactions!$N$8:$N$3006))</f>
        <v/>
      </c>
      <c r="E1728" s="44" t="str">
        <f>IF(B1728="","",SUMIF(Transactions!$F$8:$F$3006,B1728,Transactions!$O$8:$O$3006))</f>
        <v/>
      </c>
      <c r="F1728" s="45" t="str">
        <f>IF(B1728="","",SUMIF(Transactions!$F$8:$F$3006,B1728,Transactions!$R$8:$R$3006))</f>
        <v/>
      </c>
      <c r="G1728" s="46" t="str">
        <f>IF(B1728="","",(C1728+F1728)-(D1728+E1728+SUMIF(Transactions!$F$8:$F$3006,B1728,Transactions!$Q$8:$Q$3006)))</f>
        <v/>
      </c>
      <c r="H1728" s="47" t="str">
        <f>IF(B1728="","",IF(G1728&gt;0,"OUTSTANDING",IF(G1728=0,"SETTLED",IF(SUMIF(Transactions!$F$8:$F$3006,B1728,Transactions!$Q$8:$Q$3006)&gt;SUMIF(Transactions!$F$8:$F$3006,B1728,Transactions!$R$8:$R$3006),"OWES","OVERPAID"))))</f>
        <v/>
      </c>
      <c r="I1728" s="1"/>
    </row>
    <row r="1729" spans="1:9" ht="18" customHeight="1" x14ac:dyDescent="0.25">
      <c r="A1729" s="48">
        <v>1714</v>
      </c>
      <c r="B1729" s="49" t="str">
        <f t="array" ref="B1729">IFERROR(IF(INDEX(Transactions!$F$8:$F$3006,MATCH(0,COUNTIF($B$11:B1728,Transactions!$F$8:$F$3006),0))="","",INDEX(Transactions!$F$8:$F$3006,MATCH(0,COUNTIF($B$11:B1728,Transactions!$F$8:$F$3006),0))),"")</f>
        <v/>
      </c>
      <c r="C1729" s="50" t="str">
        <f>IF(B1729="","",SUMIF(Transactions!$F$8:$F$3006,B1729,Transactions!$H$8:$H$3006))</f>
        <v/>
      </c>
      <c r="D1729" s="51" t="str">
        <f>IF(B1729="","",SUMIF(Transactions!$F$8:$F$3006,B1729,Transactions!$N$8:$N$3006))</f>
        <v/>
      </c>
      <c r="E1729" s="52" t="str">
        <f>IF(B1729="","",SUMIF(Transactions!$F$8:$F$3006,B1729,Transactions!$O$8:$O$3006))</f>
        <v/>
      </c>
      <c r="F1729" s="53" t="str">
        <f>IF(B1729="","",SUMIF(Transactions!$F$8:$F$3006,B1729,Transactions!$R$8:$R$3006))</f>
        <v/>
      </c>
      <c r="G1729" s="54" t="str">
        <f>IF(B1729="","",(C1729+F1729)-(D1729+E1729+SUMIF(Transactions!$F$8:$F$3006,B1729,Transactions!$Q$8:$Q$3006)))</f>
        <v/>
      </c>
      <c r="H1729" s="55" t="str">
        <f>IF(B1729="","",IF(G1729&gt;0,"OUTSTANDING",IF(G1729=0,"SETTLED",IF(SUMIF(Transactions!$F$8:$F$3006,B1729,Transactions!$Q$8:$Q$3006)&gt;SUMIF(Transactions!$F$8:$F$3006,B1729,Transactions!$R$8:$R$3006),"OWES","OVERPAID"))))</f>
        <v/>
      </c>
      <c r="I1729" s="1"/>
    </row>
    <row r="1730" spans="1:9" ht="18" customHeight="1" x14ac:dyDescent="0.25">
      <c r="A1730" s="40">
        <v>1715</v>
      </c>
      <c r="B1730" s="41" t="str">
        <f t="array" ref="B1730">IFERROR(IF(INDEX(Transactions!$F$8:$F$3006,MATCH(0,COUNTIF($B$11:B1729,Transactions!$F$8:$F$3006),0))="","",INDEX(Transactions!$F$8:$F$3006,MATCH(0,COUNTIF($B$11:B1729,Transactions!$F$8:$F$3006),0))),"")</f>
        <v/>
      </c>
      <c r="C1730" s="42" t="str">
        <f>IF(B1730="","",SUMIF(Transactions!$F$8:$F$3006,B1730,Transactions!$H$8:$H$3006))</f>
        <v/>
      </c>
      <c r="D1730" s="43" t="str">
        <f>IF(B1730="","",SUMIF(Transactions!$F$8:$F$3006,B1730,Transactions!$N$8:$N$3006))</f>
        <v/>
      </c>
      <c r="E1730" s="44" t="str">
        <f>IF(B1730="","",SUMIF(Transactions!$F$8:$F$3006,B1730,Transactions!$O$8:$O$3006))</f>
        <v/>
      </c>
      <c r="F1730" s="45" t="str">
        <f>IF(B1730="","",SUMIF(Transactions!$F$8:$F$3006,B1730,Transactions!$R$8:$R$3006))</f>
        <v/>
      </c>
      <c r="G1730" s="46" t="str">
        <f>IF(B1730="","",(C1730+F1730)-(D1730+E1730+SUMIF(Transactions!$F$8:$F$3006,B1730,Transactions!$Q$8:$Q$3006)))</f>
        <v/>
      </c>
      <c r="H1730" s="47" t="str">
        <f>IF(B1730="","",IF(G1730&gt;0,"OUTSTANDING",IF(G1730=0,"SETTLED",IF(SUMIF(Transactions!$F$8:$F$3006,B1730,Transactions!$Q$8:$Q$3006)&gt;SUMIF(Transactions!$F$8:$F$3006,B1730,Transactions!$R$8:$R$3006),"OWES","OVERPAID"))))</f>
        <v/>
      </c>
      <c r="I1730" s="1"/>
    </row>
    <row r="1731" spans="1:9" ht="18" customHeight="1" x14ac:dyDescent="0.25">
      <c r="A1731" s="48">
        <v>1716</v>
      </c>
      <c r="B1731" s="49" t="str">
        <f t="array" ref="B1731">IFERROR(IF(INDEX(Transactions!$F$8:$F$3006,MATCH(0,COUNTIF($B$11:B1730,Transactions!$F$8:$F$3006),0))="","",INDEX(Transactions!$F$8:$F$3006,MATCH(0,COUNTIF($B$11:B1730,Transactions!$F$8:$F$3006),0))),"")</f>
        <v/>
      </c>
      <c r="C1731" s="50" t="str">
        <f>IF(B1731="","",SUMIF(Transactions!$F$8:$F$3006,B1731,Transactions!$H$8:$H$3006))</f>
        <v/>
      </c>
      <c r="D1731" s="51" t="str">
        <f>IF(B1731="","",SUMIF(Transactions!$F$8:$F$3006,B1731,Transactions!$N$8:$N$3006))</f>
        <v/>
      </c>
      <c r="E1731" s="52" t="str">
        <f>IF(B1731="","",SUMIF(Transactions!$F$8:$F$3006,B1731,Transactions!$O$8:$O$3006))</f>
        <v/>
      </c>
      <c r="F1731" s="53" t="str">
        <f>IF(B1731="","",SUMIF(Transactions!$F$8:$F$3006,B1731,Transactions!$R$8:$R$3006))</f>
        <v/>
      </c>
      <c r="G1731" s="54" t="str">
        <f>IF(B1731="","",(C1731+F1731)-(D1731+E1731+SUMIF(Transactions!$F$8:$F$3006,B1731,Transactions!$Q$8:$Q$3006)))</f>
        <v/>
      </c>
      <c r="H1731" s="55" t="str">
        <f>IF(B1731="","",IF(G1731&gt;0,"OUTSTANDING",IF(G1731=0,"SETTLED",IF(SUMIF(Transactions!$F$8:$F$3006,B1731,Transactions!$Q$8:$Q$3006)&gt;SUMIF(Transactions!$F$8:$F$3006,B1731,Transactions!$R$8:$R$3006),"OWES","OVERPAID"))))</f>
        <v/>
      </c>
      <c r="I1731" s="1"/>
    </row>
    <row r="1732" spans="1:9" ht="18" customHeight="1" x14ac:dyDescent="0.25">
      <c r="A1732" s="40">
        <v>1717</v>
      </c>
      <c r="B1732" s="41" t="str">
        <f t="array" ref="B1732">IFERROR(IF(INDEX(Transactions!$F$8:$F$3006,MATCH(0,COUNTIF($B$11:B1731,Transactions!$F$8:$F$3006),0))="","",INDEX(Transactions!$F$8:$F$3006,MATCH(0,COUNTIF($B$11:B1731,Transactions!$F$8:$F$3006),0))),"")</f>
        <v/>
      </c>
      <c r="C1732" s="42" t="str">
        <f>IF(B1732="","",SUMIF(Transactions!$F$8:$F$3006,B1732,Transactions!$H$8:$H$3006))</f>
        <v/>
      </c>
      <c r="D1732" s="43" t="str">
        <f>IF(B1732="","",SUMIF(Transactions!$F$8:$F$3006,B1732,Transactions!$N$8:$N$3006))</f>
        <v/>
      </c>
      <c r="E1732" s="44" t="str">
        <f>IF(B1732="","",SUMIF(Transactions!$F$8:$F$3006,B1732,Transactions!$O$8:$O$3006))</f>
        <v/>
      </c>
      <c r="F1732" s="45" t="str">
        <f>IF(B1732="","",SUMIF(Transactions!$F$8:$F$3006,B1732,Transactions!$R$8:$R$3006))</f>
        <v/>
      </c>
      <c r="G1732" s="46" t="str">
        <f>IF(B1732="","",(C1732+F1732)-(D1732+E1732+SUMIF(Transactions!$F$8:$F$3006,B1732,Transactions!$Q$8:$Q$3006)))</f>
        <v/>
      </c>
      <c r="H1732" s="47" t="str">
        <f>IF(B1732="","",IF(G1732&gt;0,"OUTSTANDING",IF(G1732=0,"SETTLED",IF(SUMIF(Transactions!$F$8:$F$3006,B1732,Transactions!$Q$8:$Q$3006)&gt;SUMIF(Transactions!$F$8:$F$3006,B1732,Transactions!$R$8:$R$3006),"OWES","OVERPAID"))))</f>
        <v/>
      </c>
      <c r="I1732" s="1"/>
    </row>
    <row r="1733" spans="1:9" ht="18" customHeight="1" x14ac:dyDescent="0.25">
      <c r="A1733" s="48">
        <v>1718</v>
      </c>
      <c r="B1733" s="49" t="str">
        <f t="array" ref="B1733">IFERROR(IF(INDEX(Transactions!$F$8:$F$3006,MATCH(0,COUNTIF($B$11:B1732,Transactions!$F$8:$F$3006),0))="","",INDEX(Transactions!$F$8:$F$3006,MATCH(0,COUNTIF($B$11:B1732,Transactions!$F$8:$F$3006),0))),"")</f>
        <v/>
      </c>
      <c r="C1733" s="50" t="str">
        <f>IF(B1733="","",SUMIF(Transactions!$F$8:$F$3006,B1733,Transactions!$H$8:$H$3006))</f>
        <v/>
      </c>
      <c r="D1733" s="51" t="str">
        <f>IF(B1733="","",SUMIF(Transactions!$F$8:$F$3006,B1733,Transactions!$N$8:$N$3006))</f>
        <v/>
      </c>
      <c r="E1733" s="52" t="str">
        <f>IF(B1733="","",SUMIF(Transactions!$F$8:$F$3006,B1733,Transactions!$O$8:$O$3006))</f>
        <v/>
      </c>
      <c r="F1733" s="53" t="str">
        <f>IF(B1733="","",SUMIF(Transactions!$F$8:$F$3006,B1733,Transactions!$R$8:$R$3006))</f>
        <v/>
      </c>
      <c r="G1733" s="54" t="str">
        <f>IF(B1733="","",(C1733+F1733)-(D1733+E1733+SUMIF(Transactions!$F$8:$F$3006,B1733,Transactions!$Q$8:$Q$3006)))</f>
        <v/>
      </c>
      <c r="H1733" s="55" t="str">
        <f>IF(B1733="","",IF(G1733&gt;0,"OUTSTANDING",IF(G1733=0,"SETTLED",IF(SUMIF(Transactions!$F$8:$F$3006,B1733,Transactions!$Q$8:$Q$3006)&gt;SUMIF(Transactions!$F$8:$F$3006,B1733,Transactions!$R$8:$R$3006),"OWES","OVERPAID"))))</f>
        <v/>
      </c>
      <c r="I1733" s="1"/>
    </row>
    <row r="1734" spans="1:9" ht="18" customHeight="1" x14ac:dyDescent="0.25">
      <c r="A1734" s="40">
        <v>1719</v>
      </c>
      <c r="B1734" s="41" t="str">
        <f t="array" ref="B1734">IFERROR(IF(INDEX(Transactions!$F$8:$F$3006,MATCH(0,COUNTIF($B$11:B1733,Transactions!$F$8:$F$3006),0))="","",INDEX(Transactions!$F$8:$F$3006,MATCH(0,COUNTIF($B$11:B1733,Transactions!$F$8:$F$3006),0))),"")</f>
        <v/>
      </c>
      <c r="C1734" s="42" t="str">
        <f>IF(B1734="","",SUMIF(Transactions!$F$8:$F$3006,B1734,Transactions!$H$8:$H$3006))</f>
        <v/>
      </c>
      <c r="D1734" s="43" t="str">
        <f>IF(B1734="","",SUMIF(Transactions!$F$8:$F$3006,B1734,Transactions!$N$8:$N$3006))</f>
        <v/>
      </c>
      <c r="E1734" s="44" t="str">
        <f>IF(B1734="","",SUMIF(Transactions!$F$8:$F$3006,B1734,Transactions!$O$8:$O$3006))</f>
        <v/>
      </c>
      <c r="F1734" s="45" t="str">
        <f>IF(B1734="","",SUMIF(Transactions!$F$8:$F$3006,B1734,Transactions!$R$8:$R$3006))</f>
        <v/>
      </c>
      <c r="G1734" s="46" t="str">
        <f>IF(B1734="","",(C1734+F1734)-(D1734+E1734+SUMIF(Transactions!$F$8:$F$3006,B1734,Transactions!$Q$8:$Q$3006)))</f>
        <v/>
      </c>
      <c r="H1734" s="47" t="str">
        <f>IF(B1734="","",IF(G1734&gt;0,"OUTSTANDING",IF(G1734=0,"SETTLED",IF(SUMIF(Transactions!$F$8:$F$3006,B1734,Transactions!$Q$8:$Q$3006)&gt;SUMIF(Transactions!$F$8:$F$3006,B1734,Transactions!$R$8:$R$3006),"OWES","OVERPAID"))))</f>
        <v/>
      </c>
      <c r="I1734" s="1"/>
    </row>
    <row r="1735" spans="1:9" ht="18" customHeight="1" x14ac:dyDescent="0.25">
      <c r="A1735" s="48">
        <v>1720</v>
      </c>
      <c r="B1735" s="49" t="str">
        <f t="array" ref="B1735">IFERROR(IF(INDEX(Transactions!$F$8:$F$3006,MATCH(0,COUNTIF($B$11:B1734,Transactions!$F$8:$F$3006),0))="","",INDEX(Transactions!$F$8:$F$3006,MATCH(0,COUNTIF($B$11:B1734,Transactions!$F$8:$F$3006),0))),"")</f>
        <v/>
      </c>
      <c r="C1735" s="50" t="str">
        <f>IF(B1735="","",SUMIF(Transactions!$F$8:$F$3006,B1735,Transactions!$H$8:$H$3006))</f>
        <v/>
      </c>
      <c r="D1735" s="51" t="str">
        <f>IF(B1735="","",SUMIF(Transactions!$F$8:$F$3006,B1735,Transactions!$N$8:$N$3006))</f>
        <v/>
      </c>
      <c r="E1735" s="52" t="str">
        <f>IF(B1735="","",SUMIF(Transactions!$F$8:$F$3006,B1735,Transactions!$O$8:$O$3006))</f>
        <v/>
      </c>
      <c r="F1735" s="53" t="str">
        <f>IF(B1735="","",SUMIF(Transactions!$F$8:$F$3006,B1735,Transactions!$R$8:$R$3006))</f>
        <v/>
      </c>
      <c r="G1735" s="54" t="str">
        <f>IF(B1735="","",(C1735+F1735)-(D1735+E1735+SUMIF(Transactions!$F$8:$F$3006,B1735,Transactions!$Q$8:$Q$3006)))</f>
        <v/>
      </c>
      <c r="H1735" s="55" t="str">
        <f>IF(B1735="","",IF(G1735&gt;0,"OUTSTANDING",IF(G1735=0,"SETTLED",IF(SUMIF(Transactions!$F$8:$F$3006,B1735,Transactions!$Q$8:$Q$3006)&gt;SUMIF(Transactions!$F$8:$F$3006,B1735,Transactions!$R$8:$R$3006),"OWES","OVERPAID"))))</f>
        <v/>
      </c>
      <c r="I1735" s="1"/>
    </row>
    <row r="1736" spans="1:9" ht="18" customHeight="1" x14ac:dyDescent="0.25">
      <c r="A1736" s="40">
        <v>1721</v>
      </c>
      <c r="B1736" s="41" t="str">
        <f t="array" ref="B1736">IFERROR(IF(INDEX(Transactions!$F$8:$F$3006,MATCH(0,COUNTIF($B$11:B1735,Transactions!$F$8:$F$3006),0))="","",INDEX(Transactions!$F$8:$F$3006,MATCH(0,COUNTIF($B$11:B1735,Transactions!$F$8:$F$3006),0))),"")</f>
        <v/>
      </c>
      <c r="C1736" s="42" t="str">
        <f>IF(B1736="","",SUMIF(Transactions!$F$8:$F$3006,B1736,Transactions!$H$8:$H$3006))</f>
        <v/>
      </c>
      <c r="D1736" s="43" t="str">
        <f>IF(B1736="","",SUMIF(Transactions!$F$8:$F$3006,B1736,Transactions!$N$8:$N$3006))</f>
        <v/>
      </c>
      <c r="E1736" s="44" t="str">
        <f>IF(B1736="","",SUMIF(Transactions!$F$8:$F$3006,B1736,Transactions!$O$8:$O$3006))</f>
        <v/>
      </c>
      <c r="F1736" s="45" t="str">
        <f>IF(B1736="","",SUMIF(Transactions!$F$8:$F$3006,B1736,Transactions!$R$8:$R$3006))</f>
        <v/>
      </c>
      <c r="G1736" s="46" t="str">
        <f>IF(B1736="","",(C1736+F1736)-(D1736+E1736+SUMIF(Transactions!$F$8:$F$3006,B1736,Transactions!$Q$8:$Q$3006)))</f>
        <v/>
      </c>
      <c r="H1736" s="47" t="str">
        <f>IF(B1736="","",IF(G1736&gt;0,"OUTSTANDING",IF(G1736=0,"SETTLED",IF(SUMIF(Transactions!$F$8:$F$3006,B1736,Transactions!$Q$8:$Q$3006)&gt;SUMIF(Transactions!$F$8:$F$3006,B1736,Transactions!$R$8:$R$3006),"OWES","OVERPAID"))))</f>
        <v/>
      </c>
      <c r="I1736" s="1"/>
    </row>
    <row r="1737" spans="1:9" ht="18" customHeight="1" x14ac:dyDescent="0.25">
      <c r="A1737" s="48">
        <v>1722</v>
      </c>
      <c r="B1737" s="49" t="str">
        <f t="array" ref="B1737">IFERROR(IF(INDEX(Transactions!$F$8:$F$3006,MATCH(0,COUNTIF($B$11:B1736,Transactions!$F$8:$F$3006),0))="","",INDEX(Transactions!$F$8:$F$3006,MATCH(0,COUNTIF($B$11:B1736,Transactions!$F$8:$F$3006),0))),"")</f>
        <v/>
      </c>
      <c r="C1737" s="50" t="str">
        <f>IF(B1737="","",SUMIF(Transactions!$F$8:$F$3006,B1737,Transactions!$H$8:$H$3006))</f>
        <v/>
      </c>
      <c r="D1737" s="51" t="str">
        <f>IF(B1737="","",SUMIF(Transactions!$F$8:$F$3006,B1737,Transactions!$N$8:$N$3006))</f>
        <v/>
      </c>
      <c r="E1737" s="52" t="str">
        <f>IF(B1737="","",SUMIF(Transactions!$F$8:$F$3006,B1737,Transactions!$O$8:$O$3006))</f>
        <v/>
      </c>
      <c r="F1737" s="53" t="str">
        <f>IF(B1737="","",SUMIF(Transactions!$F$8:$F$3006,B1737,Transactions!$R$8:$R$3006))</f>
        <v/>
      </c>
      <c r="G1737" s="54" t="str">
        <f>IF(B1737="","",(C1737+F1737)-(D1737+E1737+SUMIF(Transactions!$F$8:$F$3006,B1737,Transactions!$Q$8:$Q$3006)))</f>
        <v/>
      </c>
      <c r="H1737" s="55" t="str">
        <f>IF(B1737="","",IF(G1737&gt;0,"OUTSTANDING",IF(G1737=0,"SETTLED",IF(SUMIF(Transactions!$F$8:$F$3006,B1737,Transactions!$Q$8:$Q$3006)&gt;SUMIF(Transactions!$F$8:$F$3006,B1737,Transactions!$R$8:$R$3006),"OWES","OVERPAID"))))</f>
        <v/>
      </c>
      <c r="I1737" s="1"/>
    </row>
    <row r="1738" spans="1:9" ht="18" customHeight="1" x14ac:dyDescent="0.25">
      <c r="A1738" s="40">
        <v>1723</v>
      </c>
      <c r="B1738" s="41" t="str">
        <f t="array" ref="B1738">IFERROR(IF(INDEX(Transactions!$F$8:$F$3006,MATCH(0,COUNTIF($B$11:B1737,Transactions!$F$8:$F$3006),0))="","",INDEX(Transactions!$F$8:$F$3006,MATCH(0,COUNTIF($B$11:B1737,Transactions!$F$8:$F$3006),0))),"")</f>
        <v/>
      </c>
      <c r="C1738" s="42" t="str">
        <f>IF(B1738="","",SUMIF(Transactions!$F$8:$F$3006,B1738,Transactions!$H$8:$H$3006))</f>
        <v/>
      </c>
      <c r="D1738" s="43" t="str">
        <f>IF(B1738="","",SUMIF(Transactions!$F$8:$F$3006,B1738,Transactions!$N$8:$N$3006))</f>
        <v/>
      </c>
      <c r="E1738" s="44" t="str">
        <f>IF(B1738="","",SUMIF(Transactions!$F$8:$F$3006,B1738,Transactions!$O$8:$O$3006))</f>
        <v/>
      </c>
      <c r="F1738" s="45" t="str">
        <f>IF(B1738="","",SUMIF(Transactions!$F$8:$F$3006,B1738,Transactions!$R$8:$R$3006))</f>
        <v/>
      </c>
      <c r="G1738" s="46" t="str">
        <f>IF(B1738="","",(C1738+F1738)-(D1738+E1738+SUMIF(Transactions!$F$8:$F$3006,B1738,Transactions!$Q$8:$Q$3006)))</f>
        <v/>
      </c>
      <c r="H1738" s="47" t="str">
        <f>IF(B1738="","",IF(G1738&gt;0,"OUTSTANDING",IF(G1738=0,"SETTLED",IF(SUMIF(Transactions!$F$8:$F$3006,B1738,Transactions!$Q$8:$Q$3006)&gt;SUMIF(Transactions!$F$8:$F$3006,B1738,Transactions!$R$8:$R$3006),"OWES","OVERPAID"))))</f>
        <v/>
      </c>
      <c r="I1738" s="1"/>
    </row>
    <row r="1739" spans="1:9" ht="18" customHeight="1" x14ac:dyDescent="0.25">
      <c r="A1739" s="48">
        <v>1724</v>
      </c>
      <c r="B1739" s="49" t="str">
        <f t="array" ref="B1739">IFERROR(IF(INDEX(Transactions!$F$8:$F$3006,MATCH(0,COUNTIF($B$11:B1738,Transactions!$F$8:$F$3006),0))="","",INDEX(Transactions!$F$8:$F$3006,MATCH(0,COUNTIF($B$11:B1738,Transactions!$F$8:$F$3006),0))),"")</f>
        <v/>
      </c>
      <c r="C1739" s="50" t="str">
        <f>IF(B1739="","",SUMIF(Transactions!$F$8:$F$3006,B1739,Transactions!$H$8:$H$3006))</f>
        <v/>
      </c>
      <c r="D1739" s="51" t="str">
        <f>IF(B1739="","",SUMIF(Transactions!$F$8:$F$3006,B1739,Transactions!$N$8:$N$3006))</f>
        <v/>
      </c>
      <c r="E1739" s="52" t="str">
        <f>IF(B1739="","",SUMIF(Transactions!$F$8:$F$3006,B1739,Transactions!$O$8:$O$3006))</f>
        <v/>
      </c>
      <c r="F1739" s="53" t="str">
        <f>IF(B1739="","",SUMIF(Transactions!$F$8:$F$3006,B1739,Transactions!$R$8:$R$3006))</f>
        <v/>
      </c>
      <c r="G1739" s="54" t="str">
        <f>IF(B1739="","",(C1739+F1739)-(D1739+E1739+SUMIF(Transactions!$F$8:$F$3006,B1739,Transactions!$Q$8:$Q$3006)))</f>
        <v/>
      </c>
      <c r="H1739" s="55" t="str">
        <f>IF(B1739="","",IF(G1739&gt;0,"OUTSTANDING",IF(G1739=0,"SETTLED",IF(SUMIF(Transactions!$F$8:$F$3006,B1739,Transactions!$Q$8:$Q$3006)&gt;SUMIF(Transactions!$F$8:$F$3006,B1739,Transactions!$R$8:$R$3006),"OWES","OVERPAID"))))</f>
        <v/>
      </c>
      <c r="I1739" s="1"/>
    </row>
    <row r="1740" spans="1:9" ht="18" customHeight="1" x14ac:dyDescent="0.25">
      <c r="A1740" s="40">
        <v>1725</v>
      </c>
      <c r="B1740" s="41" t="str">
        <f t="array" ref="B1740">IFERROR(IF(INDEX(Transactions!$F$8:$F$3006,MATCH(0,COUNTIF($B$11:B1739,Transactions!$F$8:$F$3006),0))="","",INDEX(Transactions!$F$8:$F$3006,MATCH(0,COUNTIF($B$11:B1739,Transactions!$F$8:$F$3006),0))),"")</f>
        <v/>
      </c>
      <c r="C1740" s="42" t="str">
        <f>IF(B1740="","",SUMIF(Transactions!$F$8:$F$3006,B1740,Transactions!$H$8:$H$3006))</f>
        <v/>
      </c>
      <c r="D1740" s="43" t="str">
        <f>IF(B1740="","",SUMIF(Transactions!$F$8:$F$3006,B1740,Transactions!$N$8:$N$3006))</f>
        <v/>
      </c>
      <c r="E1740" s="44" t="str">
        <f>IF(B1740="","",SUMIF(Transactions!$F$8:$F$3006,B1740,Transactions!$O$8:$O$3006))</f>
        <v/>
      </c>
      <c r="F1740" s="45" t="str">
        <f>IF(B1740="","",SUMIF(Transactions!$F$8:$F$3006,B1740,Transactions!$R$8:$R$3006))</f>
        <v/>
      </c>
      <c r="G1740" s="46" t="str">
        <f>IF(B1740="","",(C1740+F1740)-(D1740+E1740+SUMIF(Transactions!$F$8:$F$3006,B1740,Transactions!$Q$8:$Q$3006)))</f>
        <v/>
      </c>
      <c r="H1740" s="47" t="str">
        <f>IF(B1740="","",IF(G1740&gt;0,"OUTSTANDING",IF(G1740=0,"SETTLED",IF(SUMIF(Transactions!$F$8:$F$3006,B1740,Transactions!$Q$8:$Q$3006)&gt;SUMIF(Transactions!$F$8:$F$3006,B1740,Transactions!$R$8:$R$3006),"OWES","OVERPAID"))))</f>
        <v/>
      </c>
      <c r="I1740" s="1"/>
    </row>
    <row r="1741" spans="1:9" ht="18" customHeight="1" x14ac:dyDescent="0.25">
      <c r="A1741" s="48">
        <v>1726</v>
      </c>
      <c r="B1741" s="49" t="str">
        <f t="array" ref="B1741">IFERROR(IF(INDEX(Transactions!$F$8:$F$3006,MATCH(0,COUNTIF($B$11:B1740,Transactions!$F$8:$F$3006),0))="","",INDEX(Transactions!$F$8:$F$3006,MATCH(0,COUNTIF($B$11:B1740,Transactions!$F$8:$F$3006),0))),"")</f>
        <v/>
      </c>
      <c r="C1741" s="50" t="str">
        <f>IF(B1741="","",SUMIF(Transactions!$F$8:$F$3006,B1741,Transactions!$H$8:$H$3006))</f>
        <v/>
      </c>
      <c r="D1741" s="51" t="str">
        <f>IF(B1741="","",SUMIF(Transactions!$F$8:$F$3006,B1741,Transactions!$N$8:$N$3006))</f>
        <v/>
      </c>
      <c r="E1741" s="52" t="str">
        <f>IF(B1741="","",SUMIF(Transactions!$F$8:$F$3006,B1741,Transactions!$O$8:$O$3006))</f>
        <v/>
      </c>
      <c r="F1741" s="53" t="str">
        <f>IF(B1741="","",SUMIF(Transactions!$F$8:$F$3006,B1741,Transactions!$R$8:$R$3006))</f>
        <v/>
      </c>
      <c r="G1741" s="54" t="str">
        <f>IF(B1741="","",(C1741+F1741)-(D1741+E1741+SUMIF(Transactions!$F$8:$F$3006,B1741,Transactions!$Q$8:$Q$3006)))</f>
        <v/>
      </c>
      <c r="H1741" s="55" t="str">
        <f>IF(B1741="","",IF(G1741&gt;0,"OUTSTANDING",IF(G1741=0,"SETTLED",IF(SUMIF(Transactions!$F$8:$F$3006,B1741,Transactions!$Q$8:$Q$3006)&gt;SUMIF(Transactions!$F$8:$F$3006,B1741,Transactions!$R$8:$R$3006),"OWES","OVERPAID"))))</f>
        <v/>
      </c>
      <c r="I1741" s="1"/>
    </row>
    <row r="1742" spans="1:9" ht="18" customHeight="1" x14ac:dyDescent="0.25">
      <c r="A1742" s="40">
        <v>1727</v>
      </c>
      <c r="B1742" s="41" t="str">
        <f t="array" ref="B1742">IFERROR(IF(INDEX(Transactions!$F$8:$F$3006,MATCH(0,COUNTIF($B$11:B1741,Transactions!$F$8:$F$3006),0))="","",INDEX(Transactions!$F$8:$F$3006,MATCH(0,COUNTIF($B$11:B1741,Transactions!$F$8:$F$3006),0))),"")</f>
        <v/>
      </c>
      <c r="C1742" s="42" t="str">
        <f>IF(B1742="","",SUMIF(Transactions!$F$8:$F$3006,B1742,Transactions!$H$8:$H$3006))</f>
        <v/>
      </c>
      <c r="D1742" s="43" t="str">
        <f>IF(B1742="","",SUMIF(Transactions!$F$8:$F$3006,B1742,Transactions!$N$8:$N$3006))</f>
        <v/>
      </c>
      <c r="E1742" s="44" t="str">
        <f>IF(B1742="","",SUMIF(Transactions!$F$8:$F$3006,B1742,Transactions!$O$8:$O$3006))</f>
        <v/>
      </c>
      <c r="F1742" s="45" t="str">
        <f>IF(B1742="","",SUMIF(Transactions!$F$8:$F$3006,B1742,Transactions!$R$8:$R$3006))</f>
        <v/>
      </c>
      <c r="G1742" s="46" t="str">
        <f>IF(B1742="","",(C1742+F1742)-(D1742+E1742+SUMIF(Transactions!$F$8:$F$3006,B1742,Transactions!$Q$8:$Q$3006)))</f>
        <v/>
      </c>
      <c r="H1742" s="47" t="str">
        <f>IF(B1742="","",IF(G1742&gt;0,"OUTSTANDING",IF(G1742=0,"SETTLED",IF(SUMIF(Transactions!$F$8:$F$3006,B1742,Transactions!$Q$8:$Q$3006)&gt;SUMIF(Transactions!$F$8:$F$3006,B1742,Transactions!$R$8:$R$3006),"OWES","OVERPAID"))))</f>
        <v/>
      </c>
      <c r="I1742" s="1"/>
    </row>
    <row r="1743" spans="1:9" ht="18" customHeight="1" x14ac:dyDescent="0.25">
      <c r="A1743" s="48">
        <v>1728</v>
      </c>
      <c r="B1743" s="49" t="str">
        <f t="array" ref="B1743">IFERROR(IF(INDEX(Transactions!$F$8:$F$3006,MATCH(0,COUNTIF($B$11:B1742,Transactions!$F$8:$F$3006),0))="","",INDEX(Transactions!$F$8:$F$3006,MATCH(0,COUNTIF($B$11:B1742,Transactions!$F$8:$F$3006),0))),"")</f>
        <v/>
      </c>
      <c r="C1743" s="50" t="str">
        <f>IF(B1743="","",SUMIF(Transactions!$F$8:$F$3006,B1743,Transactions!$H$8:$H$3006))</f>
        <v/>
      </c>
      <c r="D1743" s="51" t="str">
        <f>IF(B1743="","",SUMIF(Transactions!$F$8:$F$3006,B1743,Transactions!$N$8:$N$3006))</f>
        <v/>
      </c>
      <c r="E1743" s="52" t="str">
        <f>IF(B1743="","",SUMIF(Transactions!$F$8:$F$3006,B1743,Transactions!$O$8:$O$3006))</f>
        <v/>
      </c>
      <c r="F1743" s="53" t="str">
        <f>IF(B1743="","",SUMIF(Transactions!$F$8:$F$3006,B1743,Transactions!$R$8:$R$3006))</f>
        <v/>
      </c>
      <c r="G1743" s="54" t="str">
        <f>IF(B1743="","",(C1743+F1743)-(D1743+E1743+SUMIF(Transactions!$F$8:$F$3006,B1743,Transactions!$Q$8:$Q$3006)))</f>
        <v/>
      </c>
      <c r="H1743" s="55" t="str">
        <f>IF(B1743="","",IF(G1743&gt;0,"OUTSTANDING",IF(G1743=0,"SETTLED",IF(SUMIF(Transactions!$F$8:$F$3006,B1743,Transactions!$Q$8:$Q$3006)&gt;SUMIF(Transactions!$F$8:$F$3006,B1743,Transactions!$R$8:$R$3006),"OWES","OVERPAID"))))</f>
        <v/>
      </c>
      <c r="I1743" s="1"/>
    </row>
    <row r="1744" spans="1:9" ht="18" customHeight="1" x14ac:dyDescent="0.25">
      <c r="A1744" s="40">
        <v>1729</v>
      </c>
      <c r="B1744" s="41" t="str">
        <f t="array" ref="B1744">IFERROR(IF(INDEX(Transactions!$F$8:$F$3006,MATCH(0,COUNTIF($B$11:B1743,Transactions!$F$8:$F$3006),0))="","",INDEX(Transactions!$F$8:$F$3006,MATCH(0,COUNTIF($B$11:B1743,Transactions!$F$8:$F$3006),0))),"")</f>
        <v/>
      </c>
      <c r="C1744" s="42" t="str">
        <f>IF(B1744="","",SUMIF(Transactions!$F$8:$F$3006,B1744,Transactions!$H$8:$H$3006))</f>
        <v/>
      </c>
      <c r="D1744" s="43" t="str">
        <f>IF(B1744="","",SUMIF(Transactions!$F$8:$F$3006,B1744,Transactions!$N$8:$N$3006))</f>
        <v/>
      </c>
      <c r="E1744" s="44" t="str">
        <f>IF(B1744="","",SUMIF(Transactions!$F$8:$F$3006,B1744,Transactions!$O$8:$O$3006))</f>
        <v/>
      </c>
      <c r="F1744" s="45" t="str">
        <f>IF(B1744="","",SUMIF(Transactions!$F$8:$F$3006,B1744,Transactions!$R$8:$R$3006))</f>
        <v/>
      </c>
      <c r="G1744" s="46" t="str">
        <f>IF(B1744="","",(C1744+F1744)-(D1744+E1744+SUMIF(Transactions!$F$8:$F$3006,B1744,Transactions!$Q$8:$Q$3006)))</f>
        <v/>
      </c>
      <c r="H1744" s="47" t="str">
        <f>IF(B1744="","",IF(G1744&gt;0,"OUTSTANDING",IF(G1744=0,"SETTLED",IF(SUMIF(Transactions!$F$8:$F$3006,B1744,Transactions!$Q$8:$Q$3006)&gt;SUMIF(Transactions!$F$8:$F$3006,B1744,Transactions!$R$8:$R$3006),"OWES","OVERPAID"))))</f>
        <v/>
      </c>
      <c r="I1744" s="1"/>
    </row>
    <row r="1745" spans="1:9" ht="18" customHeight="1" x14ac:dyDescent="0.25">
      <c r="A1745" s="48">
        <v>1730</v>
      </c>
      <c r="B1745" s="49" t="str">
        <f t="array" ref="B1745">IFERROR(IF(INDEX(Transactions!$F$8:$F$3006,MATCH(0,COUNTIF($B$11:B1744,Transactions!$F$8:$F$3006),0))="","",INDEX(Transactions!$F$8:$F$3006,MATCH(0,COUNTIF($B$11:B1744,Transactions!$F$8:$F$3006),0))),"")</f>
        <v/>
      </c>
      <c r="C1745" s="50" t="str">
        <f>IF(B1745="","",SUMIF(Transactions!$F$8:$F$3006,B1745,Transactions!$H$8:$H$3006))</f>
        <v/>
      </c>
      <c r="D1745" s="51" t="str">
        <f>IF(B1745="","",SUMIF(Transactions!$F$8:$F$3006,B1745,Transactions!$N$8:$N$3006))</f>
        <v/>
      </c>
      <c r="E1745" s="52" t="str">
        <f>IF(B1745="","",SUMIF(Transactions!$F$8:$F$3006,B1745,Transactions!$O$8:$O$3006))</f>
        <v/>
      </c>
      <c r="F1745" s="53" t="str">
        <f>IF(B1745="","",SUMIF(Transactions!$F$8:$F$3006,B1745,Transactions!$R$8:$R$3006))</f>
        <v/>
      </c>
      <c r="G1745" s="54" t="str">
        <f>IF(B1745="","",(C1745+F1745)-(D1745+E1745+SUMIF(Transactions!$F$8:$F$3006,B1745,Transactions!$Q$8:$Q$3006)))</f>
        <v/>
      </c>
      <c r="H1745" s="55" t="str">
        <f>IF(B1745="","",IF(G1745&gt;0,"OUTSTANDING",IF(G1745=0,"SETTLED",IF(SUMIF(Transactions!$F$8:$F$3006,B1745,Transactions!$Q$8:$Q$3006)&gt;SUMIF(Transactions!$F$8:$F$3006,B1745,Transactions!$R$8:$R$3006),"OWES","OVERPAID"))))</f>
        <v/>
      </c>
      <c r="I1745" s="1"/>
    </row>
    <row r="1746" spans="1:9" ht="18" customHeight="1" x14ac:dyDescent="0.25">
      <c r="A1746" s="40">
        <v>1731</v>
      </c>
      <c r="B1746" s="41" t="str">
        <f t="array" ref="B1746">IFERROR(IF(INDEX(Transactions!$F$8:$F$3006,MATCH(0,COUNTIF($B$11:B1745,Transactions!$F$8:$F$3006),0))="","",INDEX(Transactions!$F$8:$F$3006,MATCH(0,COUNTIF($B$11:B1745,Transactions!$F$8:$F$3006),0))),"")</f>
        <v/>
      </c>
      <c r="C1746" s="42" t="str">
        <f>IF(B1746="","",SUMIF(Transactions!$F$8:$F$3006,B1746,Transactions!$H$8:$H$3006))</f>
        <v/>
      </c>
      <c r="D1746" s="43" t="str">
        <f>IF(B1746="","",SUMIF(Transactions!$F$8:$F$3006,B1746,Transactions!$N$8:$N$3006))</f>
        <v/>
      </c>
      <c r="E1746" s="44" t="str">
        <f>IF(B1746="","",SUMIF(Transactions!$F$8:$F$3006,B1746,Transactions!$O$8:$O$3006))</f>
        <v/>
      </c>
      <c r="F1746" s="45" t="str">
        <f>IF(B1746="","",SUMIF(Transactions!$F$8:$F$3006,B1746,Transactions!$R$8:$R$3006))</f>
        <v/>
      </c>
      <c r="G1746" s="46" t="str">
        <f>IF(B1746="","",(C1746+F1746)-(D1746+E1746+SUMIF(Transactions!$F$8:$F$3006,B1746,Transactions!$Q$8:$Q$3006)))</f>
        <v/>
      </c>
      <c r="H1746" s="47" t="str">
        <f>IF(B1746="","",IF(G1746&gt;0,"OUTSTANDING",IF(G1746=0,"SETTLED",IF(SUMIF(Transactions!$F$8:$F$3006,B1746,Transactions!$Q$8:$Q$3006)&gt;SUMIF(Transactions!$F$8:$F$3006,B1746,Transactions!$R$8:$R$3006),"OWES","OVERPAID"))))</f>
        <v/>
      </c>
      <c r="I1746" s="1"/>
    </row>
    <row r="1747" spans="1:9" ht="18" customHeight="1" x14ac:dyDescent="0.25">
      <c r="A1747" s="48">
        <v>1732</v>
      </c>
      <c r="B1747" s="49" t="str">
        <f t="array" ref="B1747">IFERROR(IF(INDEX(Transactions!$F$8:$F$3006,MATCH(0,COUNTIF($B$11:B1746,Transactions!$F$8:$F$3006),0))="","",INDEX(Transactions!$F$8:$F$3006,MATCH(0,COUNTIF($B$11:B1746,Transactions!$F$8:$F$3006),0))),"")</f>
        <v/>
      </c>
      <c r="C1747" s="50" t="str">
        <f>IF(B1747="","",SUMIF(Transactions!$F$8:$F$3006,B1747,Transactions!$H$8:$H$3006))</f>
        <v/>
      </c>
      <c r="D1747" s="51" t="str">
        <f>IF(B1747="","",SUMIF(Transactions!$F$8:$F$3006,B1747,Transactions!$N$8:$N$3006))</f>
        <v/>
      </c>
      <c r="E1747" s="52" t="str">
        <f>IF(B1747="","",SUMIF(Transactions!$F$8:$F$3006,B1747,Transactions!$O$8:$O$3006))</f>
        <v/>
      </c>
      <c r="F1747" s="53" t="str">
        <f>IF(B1747="","",SUMIF(Transactions!$F$8:$F$3006,B1747,Transactions!$R$8:$R$3006))</f>
        <v/>
      </c>
      <c r="G1747" s="54" t="str">
        <f>IF(B1747="","",(C1747+F1747)-(D1747+E1747+SUMIF(Transactions!$F$8:$F$3006,B1747,Transactions!$Q$8:$Q$3006)))</f>
        <v/>
      </c>
      <c r="H1747" s="55" t="str">
        <f>IF(B1747="","",IF(G1747&gt;0,"OUTSTANDING",IF(G1747=0,"SETTLED",IF(SUMIF(Transactions!$F$8:$F$3006,B1747,Transactions!$Q$8:$Q$3006)&gt;SUMIF(Transactions!$F$8:$F$3006,B1747,Transactions!$R$8:$R$3006),"OWES","OVERPAID"))))</f>
        <v/>
      </c>
      <c r="I1747" s="1"/>
    </row>
    <row r="1748" spans="1:9" ht="18" customHeight="1" x14ac:dyDescent="0.25">
      <c r="A1748" s="40">
        <v>1733</v>
      </c>
      <c r="B1748" s="41" t="str">
        <f t="array" ref="B1748">IFERROR(IF(INDEX(Transactions!$F$8:$F$3006,MATCH(0,COUNTIF($B$11:B1747,Transactions!$F$8:$F$3006),0))="","",INDEX(Transactions!$F$8:$F$3006,MATCH(0,COUNTIF($B$11:B1747,Transactions!$F$8:$F$3006),0))),"")</f>
        <v/>
      </c>
      <c r="C1748" s="42" t="str">
        <f>IF(B1748="","",SUMIF(Transactions!$F$8:$F$3006,B1748,Transactions!$H$8:$H$3006))</f>
        <v/>
      </c>
      <c r="D1748" s="43" t="str">
        <f>IF(B1748="","",SUMIF(Transactions!$F$8:$F$3006,B1748,Transactions!$N$8:$N$3006))</f>
        <v/>
      </c>
      <c r="E1748" s="44" t="str">
        <f>IF(B1748="","",SUMIF(Transactions!$F$8:$F$3006,B1748,Transactions!$O$8:$O$3006))</f>
        <v/>
      </c>
      <c r="F1748" s="45" t="str">
        <f>IF(B1748="","",SUMIF(Transactions!$F$8:$F$3006,B1748,Transactions!$R$8:$R$3006))</f>
        <v/>
      </c>
      <c r="G1748" s="46" t="str">
        <f>IF(B1748="","",(C1748+F1748)-(D1748+E1748+SUMIF(Transactions!$F$8:$F$3006,B1748,Transactions!$Q$8:$Q$3006)))</f>
        <v/>
      </c>
      <c r="H1748" s="47" t="str">
        <f>IF(B1748="","",IF(G1748&gt;0,"OUTSTANDING",IF(G1748=0,"SETTLED",IF(SUMIF(Transactions!$F$8:$F$3006,B1748,Transactions!$Q$8:$Q$3006)&gt;SUMIF(Transactions!$F$8:$F$3006,B1748,Transactions!$R$8:$R$3006),"OWES","OVERPAID"))))</f>
        <v/>
      </c>
      <c r="I1748" s="1"/>
    </row>
    <row r="1749" spans="1:9" ht="18" customHeight="1" x14ac:dyDescent="0.25">
      <c r="A1749" s="48">
        <v>1734</v>
      </c>
      <c r="B1749" s="49" t="str">
        <f t="array" ref="B1749">IFERROR(IF(INDEX(Transactions!$F$8:$F$3006,MATCH(0,COUNTIF($B$11:B1748,Transactions!$F$8:$F$3006),0))="","",INDEX(Transactions!$F$8:$F$3006,MATCH(0,COUNTIF($B$11:B1748,Transactions!$F$8:$F$3006),0))),"")</f>
        <v/>
      </c>
      <c r="C1749" s="50" t="str">
        <f>IF(B1749="","",SUMIF(Transactions!$F$8:$F$3006,B1749,Transactions!$H$8:$H$3006))</f>
        <v/>
      </c>
      <c r="D1749" s="51" t="str">
        <f>IF(B1749="","",SUMIF(Transactions!$F$8:$F$3006,B1749,Transactions!$N$8:$N$3006))</f>
        <v/>
      </c>
      <c r="E1749" s="52" t="str">
        <f>IF(B1749="","",SUMIF(Transactions!$F$8:$F$3006,B1749,Transactions!$O$8:$O$3006))</f>
        <v/>
      </c>
      <c r="F1749" s="53" t="str">
        <f>IF(B1749="","",SUMIF(Transactions!$F$8:$F$3006,B1749,Transactions!$R$8:$R$3006))</f>
        <v/>
      </c>
      <c r="G1749" s="54" t="str">
        <f>IF(B1749="","",(C1749+F1749)-(D1749+E1749+SUMIF(Transactions!$F$8:$F$3006,B1749,Transactions!$Q$8:$Q$3006)))</f>
        <v/>
      </c>
      <c r="H1749" s="55" t="str">
        <f>IF(B1749="","",IF(G1749&gt;0,"OUTSTANDING",IF(G1749=0,"SETTLED",IF(SUMIF(Transactions!$F$8:$F$3006,B1749,Transactions!$Q$8:$Q$3006)&gt;SUMIF(Transactions!$F$8:$F$3006,B1749,Transactions!$R$8:$R$3006),"OWES","OVERPAID"))))</f>
        <v/>
      </c>
      <c r="I1749" s="1"/>
    </row>
    <row r="1750" spans="1:9" ht="18" customHeight="1" x14ac:dyDescent="0.25">
      <c r="A1750" s="40">
        <v>1735</v>
      </c>
      <c r="B1750" s="41" t="str">
        <f t="array" ref="B1750">IFERROR(IF(INDEX(Transactions!$F$8:$F$3006,MATCH(0,COUNTIF($B$11:B1749,Transactions!$F$8:$F$3006),0))="","",INDEX(Transactions!$F$8:$F$3006,MATCH(0,COUNTIF($B$11:B1749,Transactions!$F$8:$F$3006),0))),"")</f>
        <v/>
      </c>
      <c r="C1750" s="42" t="str">
        <f>IF(B1750="","",SUMIF(Transactions!$F$8:$F$3006,B1750,Transactions!$H$8:$H$3006))</f>
        <v/>
      </c>
      <c r="D1750" s="43" t="str">
        <f>IF(B1750="","",SUMIF(Transactions!$F$8:$F$3006,B1750,Transactions!$N$8:$N$3006))</f>
        <v/>
      </c>
      <c r="E1750" s="44" t="str">
        <f>IF(B1750="","",SUMIF(Transactions!$F$8:$F$3006,B1750,Transactions!$O$8:$O$3006))</f>
        <v/>
      </c>
      <c r="F1750" s="45" t="str">
        <f>IF(B1750="","",SUMIF(Transactions!$F$8:$F$3006,B1750,Transactions!$R$8:$R$3006))</f>
        <v/>
      </c>
      <c r="G1750" s="46" t="str">
        <f>IF(B1750="","",(C1750+F1750)-(D1750+E1750+SUMIF(Transactions!$F$8:$F$3006,B1750,Transactions!$Q$8:$Q$3006)))</f>
        <v/>
      </c>
      <c r="H1750" s="47" t="str">
        <f>IF(B1750="","",IF(G1750&gt;0,"OUTSTANDING",IF(G1750=0,"SETTLED",IF(SUMIF(Transactions!$F$8:$F$3006,B1750,Transactions!$Q$8:$Q$3006)&gt;SUMIF(Transactions!$F$8:$F$3006,B1750,Transactions!$R$8:$R$3006),"OWES","OVERPAID"))))</f>
        <v/>
      </c>
      <c r="I1750" s="1"/>
    </row>
    <row r="1751" spans="1:9" ht="18" customHeight="1" x14ac:dyDescent="0.25">
      <c r="A1751" s="48">
        <v>1736</v>
      </c>
      <c r="B1751" s="49" t="str">
        <f t="array" ref="B1751">IFERROR(IF(INDEX(Transactions!$F$8:$F$3006,MATCH(0,COUNTIF($B$11:B1750,Transactions!$F$8:$F$3006),0))="","",INDEX(Transactions!$F$8:$F$3006,MATCH(0,COUNTIF($B$11:B1750,Transactions!$F$8:$F$3006),0))),"")</f>
        <v/>
      </c>
      <c r="C1751" s="50" t="str">
        <f>IF(B1751="","",SUMIF(Transactions!$F$8:$F$3006,B1751,Transactions!$H$8:$H$3006))</f>
        <v/>
      </c>
      <c r="D1751" s="51" t="str">
        <f>IF(B1751="","",SUMIF(Transactions!$F$8:$F$3006,B1751,Transactions!$N$8:$N$3006))</f>
        <v/>
      </c>
      <c r="E1751" s="52" t="str">
        <f>IF(B1751="","",SUMIF(Transactions!$F$8:$F$3006,B1751,Transactions!$O$8:$O$3006))</f>
        <v/>
      </c>
      <c r="F1751" s="53" t="str">
        <f>IF(B1751="","",SUMIF(Transactions!$F$8:$F$3006,B1751,Transactions!$R$8:$R$3006))</f>
        <v/>
      </c>
      <c r="G1751" s="54" t="str">
        <f>IF(B1751="","",(C1751+F1751)-(D1751+E1751+SUMIF(Transactions!$F$8:$F$3006,B1751,Transactions!$Q$8:$Q$3006)))</f>
        <v/>
      </c>
      <c r="H1751" s="55" t="str">
        <f>IF(B1751="","",IF(G1751&gt;0,"OUTSTANDING",IF(G1751=0,"SETTLED",IF(SUMIF(Transactions!$F$8:$F$3006,B1751,Transactions!$Q$8:$Q$3006)&gt;SUMIF(Transactions!$F$8:$F$3006,B1751,Transactions!$R$8:$R$3006),"OWES","OVERPAID"))))</f>
        <v/>
      </c>
      <c r="I1751" s="1"/>
    </row>
    <row r="1752" spans="1:9" ht="18" customHeight="1" x14ac:dyDescent="0.25">
      <c r="A1752" s="40">
        <v>1737</v>
      </c>
      <c r="B1752" s="41" t="str">
        <f t="array" ref="B1752">IFERROR(IF(INDEX(Transactions!$F$8:$F$3006,MATCH(0,COUNTIF($B$11:B1751,Transactions!$F$8:$F$3006),0))="","",INDEX(Transactions!$F$8:$F$3006,MATCH(0,COUNTIF($B$11:B1751,Transactions!$F$8:$F$3006),0))),"")</f>
        <v/>
      </c>
      <c r="C1752" s="42" t="str">
        <f>IF(B1752="","",SUMIF(Transactions!$F$8:$F$3006,B1752,Transactions!$H$8:$H$3006))</f>
        <v/>
      </c>
      <c r="D1752" s="43" t="str">
        <f>IF(B1752="","",SUMIF(Transactions!$F$8:$F$3006,B1752,Transactions!$N$8:$N$3006))</f>
        <v/>
      </c>
      <c r="E1752" s="44" t="str">
        <f>IF(B1752="","",SUMIF(Transactions!$F$8:$F$3006,B1752,Transactions!$O$8:$O$3006))</f>
        <v/>
      </c>
      <c r="F1752" s="45" t="str">
        <f>IF(B1752="","",SUMIF(Transactions!$F$8:$F$3006,B1752,Transactions!$R$8:$R$3006))</f>
        <v/>
      </c>
      <c r="G1752" s="46" t="str">
        <f>IF(B1752="","",(C1752+F1752)-(D1752+E1752+SUMIF(Transactions!$F$8:$F$3006,B1752,Transactions!$Q$8:$Q$3006)))</f>
        <v/>
      </c>
      <c r="H1752" s="47" t="str">
        <f>IF(B1752="","",IF(G1752&gt;0,"OUTSTANDING",IF(G1752=0,"SETTLED",IF(SUMIF(Transactions!$F$8:$F$3006,B1752,Transactions!$Q$8:$Q$3006)&gt;SUMIF(Transactions!$F$8:$F$3006,B1752,Transactions!$R$8:$R$3006),"OWES","OVERPAID"))))</f>
        <v/>
      </c>
      <c r="I1752" s="1"/>
    </row>
    <row r="1753" spans="1:9" ht="18" customHeight="1" x14ac:dyDescent="0.25">
      <c r="A1753" s="48">
        <v>1738</v>
      </c>
      <c r="B1753" s="49" t="str">
        <f t="array" ref="B1753">IFERROR(IF(INDEX(Transactions!$F$8:$F$3006,MATCH(0,COUNTIF($B$11:B1752,Transactions!$F$8:$F$3006),0))="","",INDEX(Transactions!$F$8:$F$3006,MATCH(0,COUNTIF($B$11:B1752,Transactions!$F$8:$F$3006),0))),"")</f>
        <v/>
      </c>
      <c r="C1753" s="50" t="str">
        <f>IF(B1753="","",SUMIF(Transactions!$F$8:$F$3006,B1753,Transactions!$H$8:$H$3006))</f>
        <v/>
      </c>
      <c r="D1753" s="51" t="str">
        <f>IF(B1753="","",SUMIF(Transactions!$F$8:$F$3006,B1753,Transactions!$N$8:$N$3006))</f>
        <v/>
      </c>
      <c r="E1753" s="52" t="str">
        <f>IF(B1753="","",SUMIF(Transactions!$F$8:$F$3006,B1753,Transactions!$O$8:$O$3006))</f>
        <v/>
      </c>
      <c r="F1753" s="53" t="str">
        <f>IF(B1753="","",SUMIF(Transactions!$F$8:$F$3006,B1753,Transactions!$R$8:$R$3006))</f>
        <v/>
      </c>
      <c r="G1753" s="54" t="str">
        <f>IF(B1753="","",(C1753+F1753)-(D1753+E1753+SUMIF(Transactions!$F$8:$F$3006,B1753,Transactions!$Q$8:$Q$3006)))</f>
        <v/>
      </c>
      <c r="H1753" s="55" t="str">
        <f>IF(B1753="","",IF(G1753&gt;0,"OUTSTANDING",IF(G1753=0,"SETTLED",IF(SUMIF(Transactions!$F$8:$F$3006,B1753,Transactions!$Q$8:$Q$3006)&gt;SUMIF(Transactions!$F$8:$F$3006,B1753,Transactions!$R$8:$R$3006),"OWES","OVERPAID"))))</f>
        <v/>
      </c>
      <c r="I1753" s="1"/>
    </row>
    <row r="1754" spans="1:9" ht="18" customHeight="1" x14ac:dyDescent="0.25">
      <c r="A1754" s="40">
        <v>1739</v>
      </c>
      <c r="B1754" s="41" t="str">
        <f t="array" ref="B1754">IFERROR(IF(INDEX(Transactions!$F$8:$F$3006,MATCH(0,COUNTIF($B$11:B1753,Transactions!$F$8:$F$3006),0))="","",INDEX(Transactions!$F$8:$F$3006,MATCH(0,COUNTIF($B$11:B1753,Transactions!$F$8:$F$3006),0))),"")</f>
        <v/>
      </c>
      <c r="C1754" s="42" t="str">
        <f>IF(B1754="","",SUMIF(Transactions!$F$8:$F$3006,B1754,Transactions!$H$8:$H$3006))</f>
        <v/>
      </c>
      <c r="D1754" s="43" t="str">
        <f>IF(B1754="","",SUMIF(Transactions!$F$8:$F$3006,B1754,Transactions!$N$8:$N$3006))</f>
        <v/>
      </c>
      <c r="E1754" s="44" t="str">
        <f>IF(B1754="","",SUMIF(Transactions!$F$8:$F$3006,B1754,Transactions!$O$8:$O$3006))</f>
        <v/>
      </c>
      <c r="F1754" s="45" t="str">
        <f>IF(B1754="","",SUMIF(Transactions!$F$8:$F$3006,B1754,Transactions!$R$8:$R$3006))</f>
        <v/>
      </c>
      <c r="G1754" s="46" t="str">
        <f>IF(B1754="","",(C1754+F1754)-(D1754+E1754+SUMIF(Transactions!$F$8:$F$3006,B1754,Transactions!$Q$8:$Q$3006)))</f>
        <v/>
      </c>
      <c r="H1754" s="47" t="str">
        <f>IF(B1754="","",IF(G1754&gt;0,"OUTSTANDING",IF(G1754=0,"SETTLED",IF(SUMIF(Transactions!$F$8:$F$3006,B1754,Transactions!$Q$8:$Q$3006)&gt;SUMIF(Transactions!$F$8:$F$3006,B1754,Transactions!$R$8:$R$3006),"OWES","OVERPAID"))))</f>
        <v/>
      </c>
      <c r="I1754" s="1"/>
    </row>
    <row r="1755" spans="1:9" ht="18" customHeight="1" x14ac:dyDescent="0.25">
      <c r="A1755" s="48">
        <v>1740</v>
      </c>
      <c r="B1755" s="49" t="str">
        <f t="array" ref="B1755">IFERROR(IF(INDEX(Transactions!$F$8:$F$3006,MATCH(0,COUNTIF($B$11:B1754,Transactions!$F$8:$F$3006),0))="","",INDEX(Transactions!$F$8:$F$3006,MATCH(0,COUNTIF($B$11:B1754,Transactions!$F$8:$F$3006),0))),"")</f>
        <v/>
      </c>
      <c r="C1755" s="50" t="str">
        <f>IF(B1755="","",SUMIF(Transactions!$F$8:$F$3006,B1755,Transactions!$H$8:$H$3006))</f>
        <v/>
      </c>
      <c r="D1755" s="51" t="str">
        <f>IF(B1755="","",SUMIF(Transactions!$F$8:$F$3006,B1755,Transactions!$N$8:$N$3006))</f>
        <v/>
      </c>
      <c r="E1755" s="52" t="str">
        <f>IF(B1755="","",SUMIF(Transactions!$F$8:$F$3006,B1755,Transactions!$O$8:$O$3006))</f>
        <v/>
      </c>
      <c r="F1755" s="53" t="str">
        <f>IF(B1755="","",SUMIF(Transactions!$F$8:$F$3006,B1755,Transactions!$R$8:$R$3006))</f>
        <v/>
      </c>
      <c r="G1755" s="54" t="str">
        <f>IF(B1755="","",(C1755+F1755)-(D1755+E1755+SUMIF(Transactions!$F$8:$F$3006,B1755,Transactions!$Q$8:$Q$3006)))</f>
        <v/>
      </c>
      <c r="H1755" s="55" t="str">
        <f>IF(B1755="","",IF(G1755&gt;0,"OUTSTANDING",IF(G1755=0,"SETTLED",IF(SUMIF(Transactions!$F$8:$F$3006,B1755,Transactions!$Q$8:$Q$3006)&gt;SUMIF(Transactions!$F$8:$F$3006,B1755,Transactions!$R$8:$R$3006),"OWES","OVERPAID"))))</f>
        <v/>
      </c>
      <c r="I1755" s="1"/>
    </row>
    <row r="1756" spans="1:9" ht="18" customHeight="1" x14ac:dyDescent="0.25">
      <c r="A1756" s="40">
        <v>1741</v>
      </c>
      <c r="B1756" s="41" t="str">
        <f t="array" ref="B1756">IFERROR(IF(INDEX(Transactions!$F$8:$F$3006,MATCH(0,COUNTIF($B$11:B1755,Transactions!$F$8:$F$3006),0))="","",INDEX(Transactions!$F$8:$F$3006,MATCH(0,COUNTIF($B$11:B1755,Transactions!$F$8:$F$3006),0))),"")</f>
        <v/>
      </c>
      <c r="C1756" s="42" t="str">
        <f>IF(B1756="","",SUMIF(Transactions!$F$8:$F$3006,B1756,Transactions!$H$8:$H$3006))</f>
        <v/>
      </c>
      <c r="D1756" s="43" t="str">
        <f>IF(B1756="","",SUMIF(Transactions!$F$8:$F$3006,B1756,Transactions!$N$8:$N$3006))</f>
        <v/>
      </c>
      <c r="E1756" s="44" t="str">
        <f>IF(B1756="","",SUMIF(Transactions!$F$8:$F$3006,B1756,Transactions!$O$8:$O$3006))</f>
        <v/>
      </c>
      <c r="F1756" s="45" t="str">
        <f>IF(B1756="","",SUMIF(Transactions!$F$8:$F$3006,B1756,Transactions!$R$8:$R$3006))</f>
        <v/>
      </c>
      <c r="G1756" s="46" t="str">
        <f>IF(B1756="","",(C1756+F1756)-(D1756+E1756+SUMIF(Transactions!$F$8:$F$3006,B1756,Transactions!$Q$8:$Q$3006)))</f>
        <v/>
      </c>
      <c r="H1756" s="47" t="str">
        <f>IF(B1756="","",IF(G1756&gt;0,"OUTSTANDING",IF(G1756=0,"SETTLED",IF(SUMIF(Transactions!$F$8:$F$3006,B1756,Transactions!$Q$8:$Q$3006)&gt;SUMIF(Transactions!$F$8:$F$3006,B1756,Transactions!$R$8:$R$3006),"OWES","OVERPAID"))))</f>
        <v/>
      </c>
      <c r="I1756" s="1"/>
    </row>
    <row r="1757" spans="1:9" ht="18" customHeight="1" x14ac:dyDescent="0.25">
      <c r="A1757" s="48">
        <v>1742</v>
      </c>
      <c r="B1757" s="49" t="str">
        <f t="array" ref="B1757">IFERROR(IF(INDEX(Transactions!$F$8:$F$3006,MATCH(0,COUNTIF($B$11:B1756,Transactions!$F$8:$F$3006),0))="","",INDEX(Transactions!$F$8:$F$3006,MATCH(0,COUNTIF($B$11:B1756,Transactions!$F$8:$F$3006),0))),"")</f>
        <v/>
      </c>
      <c r="C1757" s="50" t="str">
        <f>IF(B1757="","",SUMIF(Transactions!$F$8:$F$3006,B1757,Transactions!$H$8:$H$3006))</f>
        <v/>
      </c>
      <c r="D1757" s="51" t="str">
        <f>IF(B1757="","",SUMIF(Transactions!$F$8:$F$3006,B1757,Transactions!$N$8:$N$3006))</f>
        <v/>
      </c>
      <c r="E1757" s="52" t="str">
        <f>IF(B1757="","",SUMIF(Transactions!$F$8:$F$3006,B1757,Transactions!$O$8:$O$3006))</f>
        <v/>
      </c>
      <c r="F1757" s="53" t="str">
        <f>IF(B1757="","",SUMIF(Transactions!$F$8:$F$3006,B1757,Transactions!$R$8:$R$3006))</f>
        <v/>
      </c>
      <c r="G1757" s="54" t="str">
        <f>IF(B1757="","",(C1757+F1757)-(D1757+E1757+SUMIF(Transactions!$F$8:$F$3006,B1757,Transactions!$Q$8:$Q$3006)))</f>
        <v/>
      </c>
      <c r="H1757" s="55" t="str">
        <f>IF(B1757="","",IF(G1757&gt;0,"OUTSTANDING",IF(G1757=0,"SETTLED",IF(SUMIF(Transactions!$F$8:$F$3006,B1757,Transactions!$Q$8:$Q$3006)&gt;SUMIF(Transactions!$F$8:$F$3006,B1757,Transactions!$R$8:$R$3006),"OWES","OVERPAID"))))</f>
        <v/>
      </c>
      <c r="I1757" s="1"/>
    </row>
    <row r="1758" spans="1:9" ht="18" customHeight="1" x14ac:dyDescent="0.25">
      <c r="A1758" s="40">
        <v>1743</v>
      </c>
      <c r="B1758" s="41" t="str">
        <f t="array" ref="B1758">IFERROR(IF(INDEX(Transactions!$F$8:$F$3006,MATCH(0,COUNTIF($B$11:B1757,Transactions!$F$8:$F$3006),0))="","",INDEX(Transactions!$F$8:$F$3006,MATCH(0,COUNTIF($B$11:B1757,Transactions!$F$8:$F$3006),0))),"")</f>
        <v/>
      </c>
      <c r="C1758" s="42" t="str">
        <f>IF(B1758="","",SUMIF(Transactions!$F$8:$F$3006,B1758,Transactions!$H$8:$H$3006))</f>
        <v/>
      </c>
      <c r="D1758" s="43" t="str">
        <f>IF(B1758="","",SUMIF(Transactions!$F$8:$F$3006,B1758,Transactions!$N$8:$N$3006))</f>
        <v/>
      </c>
      <c r="E1758" s="44" t="str">
        <f>IF(B1758="","",SUMIF(Transactions!$F$8:$F$3006,B1758,Transactions!$O$8:$O$3006))</f>
        <v/>
      </c>
      <c r="F1758" s="45" t="str">
        <f>IF(B1758="","",SUMIF(Transactions!$F$8:$F$3006,B1758,Transactions!$R$8:$R$3006))</f>
        <v/>
      </c>
      <c r="G1758" s="46" t="str">
        <f>IF(B1758="","",(C1758+F1758)-(D1758+E1758+SUMIF(Transactions!$F$8:$F$3006,B1758,Transactions!$Q$8:$Q$3006)))</f>
        <v/>
      </c>
      <c r="H1758" s="47" t="str">
        <f>IF(B1758="","",IF(G1758&gt;0,"OUTSTANDING",IF(G1758=0,"SETTLED",IF(SUMIF(Transactions!$F$8:$F$3006,B1758,Transactions!$Q$8:$Q$3006)&gt;SUMIF(Transactions!$F$8:$F$3006,B1758,Transactions!$R$8:$R$3006),"OWES","OVERPAID"))))</f>
        <v/>
      </c>
      <c r="I1758" s="1"/>
    </row>
    <row r="1759" spans="1:9" ht="18" customHeight="1" x14ac:dyDescent="0.25">
      <c r="A1759" s="48">
        <v>1744</v>
      </c>
      <c r="B1759" s="49" t="str">
        <f t="array" ref="B1759">IFERROR(IF(INDEX(Transactions!$F$8:$F$3006,MATCH(0,COUNTIF($B$11:B1758,Transactions!$F$8:$F$3006),0))="","",INDEX(Transactions!$F$8:$F$3006,MATCH(0,COUNTIF($B$11:B1758,Transactions!$F$8:$F$3006),0))),"")</f>
        <v/>
      </c>
      <c r="C1759" s="50" t="str">
        <f>IF(B1759="","",SUMIF(Transactions!$F$8:$F$3006,B1759,Transactions!$H$8:$H$3006))</f>
        <v/>
      </c>
      <c r="D1759" s="51" t="str">
        <f>IF(B1759="","",SUMIF(Transactions!$F$8:$F$3006,B1759,Transactions!$N$8:$N$3006))</f>
        <v/>
      </c>
      <c r="E1759" s="52" t="str">
        <f>IF(B1759="","",SUMIF(Transactions!$F$8:$F$3006,B1759,Transactions!$O$8:$O$3006))</f>
        <v/>
      </c>
      <c r="F1759" s="53" t="str">
        <f>IF(B1759="","",SUMIF(Transactions!$F$8:$F$3006,B1759,Transactions!$R$8:$R$3006))</f>
        <v/>
      </c>
      <c r="G1759" s="54" t="str">
        <f>IF(B1759="","",(C1759+F1759)-(D1759+E1759+SUMIF(Transactions!$F$8:$F$3006,B1759,Transactions!$Q$8:$Q$3006)))</f>
        <v/>
      </c>
      <c r="H1759" s="55" t="str">
        <f>IF(B1759="","",IF(G1759&gt;0,"OUTSTANDING",IF(G1759=0,"SETTLED",IF(SUMIF(Transactions!$F$8:$F$3006,B1759,Transactions!$Q$8:$Q$3006)&gt;SUMIF(Transactions!$F$8:$F$3006,B1759,Transactions!$R$8:$R$3006),"OWES","OVERPAID"))))</f>
        <v/>
      </c>
      <c r="I1759" s="1"/>
    </row>
    <row r="1760" spans="1:9" ht="18" customHeight="1" x14ac:dyDescent="0.25">
      <c r="A1760" s="40">
        <v>1745</v>
      </c>
      <c r="B1760" s="41" t="str">
        <f t="array" ref="B1760">IFERROR(IF(INDEX(Transactions!$F$8:$F$3006,MATCH(0,COUNTIF($B$11:B1759,Transactions!$F$8:$F$3006),0))="","",INDEX(Transactions!$F$8:$F$3006,MATCH(0,COUNTIF($B$11:B1759,Transactions!$F$8:$F$3006),0))),"")</f>
        <v/>
      </c>
      <c r="C1760" s="42" t="str">
        <f>IF(B1760="","",SUMIF(Transactions!$F$8:$F$3006,B1760,Transactions!$H$8:$H$3006))</f>
        <v/>
      </c>
      <c r="D1760" s="43" t="str">
        <f>IF(B1760="","",SUMIF(Transactions!$F$8:$F$3006,B1760,Transactions!$N$8:$N$3006))</f>
        <v/>
      </c>
      <c r="E1760" s="44" t="str">
        <f>IF(B1760="","",SUMIF(Transactions!$F$8:$F$3006,B1760,Transactions!$O$8:$O$3006))</f>
        <v/>
      </c>
      <c r="F1760" s="45" t="str">
        <f>IF(B1760="","",SUMIF(Transactions!$F$8:$F$3006,B1760,Transactions!$R$8:$R$3006))</f>
        <v/>
      </c>
      <c r="G1760" s="46" t="str">
        <f>IF(B1760="","",(C1760+F1760)-(D1760+E1760+SUMIF(Transactions!$F$8:$F$3006,B1760,Transactions!$Q$8:$Q$3006)))</f>
        <v/>
      </c>
      <c r="H1760" s="47" t="str">
        <f>IF(B1760="","",IF(G1760&gt;0,"OUTSTANDING",IF(G1760=0,"SETTLED",IF(SUMIF(Transactions!$F$8:$F$3006,B1760,Transactions!$Q$8:$Q$3006)&gt;SUMIF(Transactions!$F$8:$F$3006,B1760,Transactions!$R$8:$R$3006),"OWES","OVERPAID"))))</f>
        <v/>
      </c>
      <c r="I1760" s="1"/>
    </row>
    <row r="1761" spans="1:9" ht="18" customHeight="1" x14ac:dyDescent="0.25">
      <c r="A1761" s="48">
        <v>1746</v>
      </c>
      <c r="B1761" s="49" t="str">
        <f t="array" ref="B1761">IFERROR(IF(INDEX(Transactions!$F$8:$F$3006,MATCH(0,COUNTIF($B$11:B1760,Transactions!$F$8:$F$3006),0))="","",INDEX(Transactions!$F$8:$F$3006,MATCH(0,COUNTIF($B$11:B1760,Transactions!$F$8:$F$3006),0))),"")</f>
        <v/>
      </c>
      <c r="C1761" s="50" t="str">
        <f>IF(B1761="","",SUMIF(Transactions!$F$8:$F$3006,B1761,Transactions!$H$8:$H$3006))</f>
        <v/>
      </c>
      <c r="D1761" s="51" t="str">
        <f>IF(B1761="","",SUMIF(Transactions!$F$8:$F$3006,B1761,Transactions!$N$8:$N$3006))</f>
        <v/>
      </c>
      <c r="E1761" s="52" t="str">
        <f>IF(B1761="","",SUMIF(Transactions!$F$8:$F$3006,B1761,Transactions!$O$8:$O$3006))</f>
        <v/>
      </c>
      <c r="F1761" s="53" t="str">
        <f>IF(B1761="","",SUMIF(Transactions!$F$8:$F$3006,B1761,Transactions!$R$8:$R$3006))</f>
        <v/>
      </c>
      <c r="G1761" s="54" t="str">
        <f>IF(B1761="","",(C1761+F1761)-(D1761+E1761+SUMIF(Transactions!$F$8:$F$3006,B1761,Transactions!$Q$8:$Q$3006)))</f>
        <v/>
      </c>
      <c r="H1761" s="55" t="str">
        <f>IF(B1761="","",IF(G1761&gt;0,"OUTSTANDING",IF(G1761=0,"SETTLED",IF(SUMIF(Transactions!$F$8:$F$3006,B1761,Transactions!$Q$8:$Q$3006)&gt;SUMIF(Transactions!$F$8:$F$3006,B1761,Transactions!$R$8:$R$3006),"OWES","OVERPAID"))))</f>
        <v/>
      </c>
      <c r="I1761" s="1"/>
    </row>
    <row r="1762" spans="1:9" ht="18" customHeight="1" x14ac:dyDescent="0.25">
      <c r="A1762" s="40">
        <v>1747</v>
      </c>
      <c r="B1762" s="41" t="str">
        <f t="array" ref="B1762">IFERROR(IF(INDEX(Transactions!$F$8:$F$3006,MATCH(0,COUNTIF($B$11:B1761,Transactions!$F$8:$F$3006),0))="","",INDEX(Transactions!$F$8:$F$3006,MATCH(0,COUNTIF($B$11:B1761,Transactions!$F$8:$F$3006),0))),"")</f>
        <v/>
      </c>
      <c r="C1762" s="42" t="str">
        <f>IF(B1762="","",SUMIF(Transactions!$F$8:$F$3006,B1762,Transactions!$H$8:$H$3006))</f>
        <v/>
      </c>
      <c r="D1762" s="43" t="str">
        <f>IF(B1762="","",SUMIF(Transactions!$F$8:$F$3006,B1762,Transactions!$N$8:$N$3006))</f>
        <v/>
      </c>
      <c r="E1762" s="44" t="str">
        <f>IF(B1762="","",SUMIF(Transactions!$F$8:$F$3006,B1762,Transactions!$O$8:$O$3006))</f>
        <v/>
      </c>
      <c r="F1762" s="45" t="str">
        <f>IF(B1762="","",SUMIF(Transactions!$F$8:$F$3006,B1762,Transactions!$R$8:$R$3006))</f>
        <v/>
      </c>
      <c r="G1762" s="46" t="str">
        <f>IF(B1762="","",(C1762+F1762)-(D1762+E1762+SUMIF(Transactions!$F$8:$F$3006,B1762,Transactions!$Q$8:$Q$3006)))</f>
        <v/>
      </c>
      <c r="H1762" s="47" t="str">
        <f>IF(B1762="","",IF(G1762&gt;0,"OUTSTANDING",IF(G1762=0,"SETTLED",IF(SUMIF(Transactions!$F$8:$F$3006,B1762,Transactions!$Q$8:$Q$3006)&gt;SUMIF(Transactions!$F$8:$F$3006,B1762,Transactions!$R$8:$R$3006),"OWES","OVERPAID"))))</f>
        <v/>
      </c>
      <c r="I1762" s="1"/>
    </row>
    <row r="1763" spans="1:9" ht="18" customHeight="1" x14ac:dyDescent="0.25">
      <c r="A1763" s="48">
        <v>1748</v>
      </c>
      <c r="B1763" s="49" t="str">
        <f t="array" ref="B1763">IFERROR(IF(INDEX(Transactions!$F$8:$F$3006,MATCH(0,COUNTIF($B$11:B1762,Transactions!$F$8:$F$3006),0))="","",INDEX(Transactions!$F$8:$F$3006,MATCH(0,COUNTIF($B$11:B1762,Transactions!$F$8:$F$3006),0))),"")</f>
        <v/>
      </c>
      <c r="C1763" s="50" t="str">
        <f>IF(B1763="","",SUMIF(Transactions!$F$8:$F$3006,B1763,Transactions!$H$8:$H$3006))</f>
        <v/>
      </c>
      <c r="D1763" s="51" t="str">
        <f>IF(B1763="","",SUMIF(Transactions!$F$8:$F$3006,B1763,Transactions!$N$8:$N$3006))</f>
        <v/>
      </c>
      <c r="E1763" s="52" t="str">
        <f>IF(B1763="","",SUMIF(Transactions!$F$8:$F$3006,B1763,Transactions!$O$8:$O$3006))</f>
        <v/>
      </c>
      <c r="F1763" s="53" t="str">
        <f>IF(B1763="","",SUMIF(Transactions!$F$8:$F$3006,B1763,Transactions!$R$8:$R$3006))</f>
        <v/>
      </c>
      <c r="G1763" s="54" t="str">
        <f>IF(B1763="","",(C1763+F1763)-(D1763+E1763+SUMIF(Transactions!$F$8:$F$3006,B1763,Transactions!$Q$8:$Q$3006)))</f>
        <v/>
      </c>
      <c r="H1763" s="55" t="str">
        <f>IF(B1763="","",IF(G1763&gt;0,"OUTSTANDING",IF(G1763=0,"SETTLED",IF(SUMIF(Transactions!$F$8:$F$3006,B1763,Transactions!$Q$8:$Q$3006)&gt;SUMIF(Transactions!$F$8:$F$3006,B1763,Transactions!$R$8:$R$3006),"OWES","OVERPAID"))))</f>
        <v/>
      </c>
      <c r="I1763" s="1"/>
    </row>
    <row r="1764" spans="1:9" ht="18" customHeight="1" x14ac:dyDescent="0.25">
      <c r="A1764" s="40">
        <v>1749</v>
      </c>
      <c r="B1764" s="41" t="str">
        <f t="array" ref="B1764">IFERROR(IF(INDEX(Transactions!$F$8:$F$3006,MATCH(0,COUNTIF($B$11:B1763,Transactions!$F$8:$F$3006),0))="","",INDEX(Transactions!$F$8:$F$3006,MATCH(0,COUNTIF($B$11:B1763,Transactions!$F$8:$F$3006),0))),"")</f>
        <v/>
      </c>
      <c r="C1764" s="42" t="str">
        <f>IF(B1764="","",SUMIF(Transactions!$F$8:$F$3006,B1764,Transactions!$H$8:$H$3006))</f>
        <v/>
      </c>
      <c r="D1764" s="43" t="str">
        <f>IF(B1764="","",SUMIF(Transactions!$F$8:$F$3006,B1764,Transactions!$N$8:$N$3006))</f>
        <v/>
      </c>
      <c r="E1764" s="44" t="str">
        <f>IF(B1764="","",SUMIF(Transactions!$F$8:$F$3006,B1764,Transactions!$O$8:$O$3006))</f>
        <v/>
      </c>
      <c r="F1764" s="45" t="str">
        <f>IF(B1764="","",SUMIF(Transactions!$F$8:$F$3006,B1764,Transactions!$R$8:$R$3006))</f>
        <v/>
      </c>
      <c r="G1764" s="46" t="str">
        <f>IF(B1764="","",(C1764+F1764)-(D1764+E1764+SUMIF(Transactions!$F$8:$F$3006,B1764,Transactions!$Q$8:$Q$3006)))</f>
        <v/>
      </c>
      <c r="H1764" s="47" t="str">
        <f>IF(B1764="","",IF(G1764&gt;0,"OUTSTANDING",IF(G1764=0,"SETTLED",IF(SUMIF(Transactions!$F$8:$F$3006,B1764,Transactions!$Q$8:$Q$3006)&gt;SUMIF(Transactions!$F$8:$F$3006,B1764,Transactions!$R$8:$R$3006),"OWES","OVERPAID"))))</f>
        <v/>
      </c>
      <c r="I1764" s="1"/>
    </row>
    <row r="1765" spans="1:9" ht="18" customHeight="1" x14ac:dyDescent="0.25">
      <c r="A1765" s="48">
        <v>1750</v>
      </c>
      <c r="B1765" s="49" t="str">
        <f t="array" ref="B1765">IFERROR(IF(INDEX(Transactions!$F$8:$F$3006,MATCH(0,COUNTIF($B$11:B1764,Transactions!$F$8:$F$3006),0))="","",INDEX(Transactions!$F$8:$F$3006,MATCH(0,COUNTIF($B$11:B1764,Transactions!$F$8:$F$3006),0))),"")</f>
        <v/>
      </c>
      <c r="C1765" s="50" t="str">
        <f>IF(B1765="","",SUMIF(Transactions!$F$8:$F$3006,B1765,Transactions!$H$8:$H$3006))</f>
        <v/>
      </c>
      <c r="D1765" s="51" t="str">
        <f>IF(B1765="","",SUMIF(Transactions!$F$8:$F$3006,B1765,Transactions!$N$8:$N$3006))</f>
        <v/>
      </c>
      <c r="E1765" s="52" t="str">
        <f>IF(B1765="","",SUMIF(Transactions!$F$8:$F$3006,B1765,Transactions!$O$8:$O$3006))</f>
        <v/>
      </c>
      <c r="F1765" s="53" t="str">
        <f>IF(B1765="","",SUMIF(Transactions!$F$8:$F$3006,B1765,Transactions!$R$8:$R$3006))</f>
        <v/>
      </c>
      <c r="G1765" s="54" t="str">
        <f>IF(B1765="","",(C1765+F1765)-(D1765+E1765+SUMIF(Transactions!$F$8:$F$3006,B1765,Transactions!$Q$8:$Q$3006)))</f>
        <v/>
      </c>
      <c r="H1765" s="55" t="str">
        <f>IF(B1765="","",IF(G1765&gt;0,"OUTSTANDING",IF(G1765=0,"SETTLED",IF(SUMIF(Transactions!$F$8:$F$3006,B1765,Transactions!$Q$8:$Q$3006)&gt;SUMIF(Transactions!$F$8:$F$3006,B1765,Transactions!$R$8:$R$3006),"OWES","OVERPAID"))))</f>
        <v/>
      </c>
      <c r="I1765" s="1"/>
    </row>
    <row r="1766" spans="1:9" ht="18" customHeight="1" x14ac:dyDescent="0.25">
      <c r="A1766" s="40">
        <v>1751</v>
      </c>
      <c r="B1766" s="41" t="str">
        <f t="array" ref="B1766">IFERROR(IF(INDEX(Transactions!$F$8:$F$3006,MATCH(0,COUNTIF($B$11:B1765,Transactions!$F$8:$F$3006),0))="","",INDEX(Transactions!$F$8:$F$3006,MATCH(0,COUNTIF($B$11:B1765,Transactions!$F$8:$F$3006),0))),"")</f>
        <v/>
      </c>
      <c r="C1766" s="42" t="str">
        <f>IF(B1766="","",SUMIF(Transactions!$F$8:$F$3006,B1766,Transactions!$H$8:$H$3006))</f>
        <v/>
      </c>
      <c r="D1766" s="43" t="str">
        <f>IF(B1766="","",SUMIF(Transactions!$F$8:$F$3006,B1766,Transactions!$N$8:$N$3006))</f>
        <v/>
      </c>
      <c r="E1766" s="44" t="str">
        <f>IF(B1766="","",SUMIF(Transactions!$F$8:$F$3006,B1766,Transactions!$O$8:$O$3006))</f>
        <v/>
      </c>
      <c r="F1766" s="45" t="str">
        <f>IF(B1766="","",SUMIF(Transactions!$F$8:$F$3006,B1766,Transactions!$R$8:$R$3006))</f>
        <v/>
      </c>
      <c r="G1766" s="46" t="str">
        <f>IF(B1766="","",(C1766+F1766)-(D1766+E1766+SUMIF(Transactions!$F$8:$F$3006,B1766,Transactions!$Q$8:$Q$3006)))</f>
        <v/>
      </c>
      <c r="H1766" s="47" t="str">
        <f>IF(B1766="","",IF(G1766&gt;0,"OUTSTANDING",IF(G1766=0,"SETTLED",IF(SUMIF(Transactions!$F$8:$F$3006,B1766,Transactions!$Q$8:$Q$3006)&gt;SUMIF(Transactions!$F$8:$F$3006,B1766,Transactions!$R$8:$R$3006),"OWES","OVERPAID"))))</f>
        <v/>
      </c>
      <c r="I1766" s="1"/>
    </row>
    <row r="1767" spans="1:9" ht="18" customHeight="1" x14ac:dyDescent="0.25">
      <c r="A1767" s="48">
        <v>1752</v>
      </c>
      <c r="B1767" s="49" t="str">
        <f t="array" ref="B1767">IFERROR(IF(INDEX(Transactions!$F$8:$F$3006,MATCH(0,COUNTIF($B$11:B1766,Transactions!$F$8:$F$3006),0))="","",INDEX(Transactions!$F$8:$F$3006,MATCH(0,COUNTIF($B$11:B1766,Transactions!$F$8:$F$3006),0))),"")</f>
        <v/>
      </c>
      <c r="C1767" s="50" t="str">
        <f>IF(B1767="","",SUMIF(Transactions!$F$8:$F$3006,B1767,Transactions!$H$8:$H$3006))</f>
        <v/>
      </c>
      <c r="D1767" s="51" t="str">
        <f>IF(B1767="","",SUMIF(Transactions!$F$8:$F$3006,B1767,Transactions!$N$8:$N$3006))</f>
        <v/>
      </c>
      <c r="E1767" s="52" t="str">
        <f>IF(B1767="","",SUMIF(Transactions!$F$8:$F$3006,B1767,Transactions!$O$8:$O$3006))</f>
        <v/>
      </c>
      <c r="F1767" s="53" t="str">
        <f>IF(B1767="","",SUMIF(Transactions!$F$8:$F$3006,B1767,Transactions!$R$8:$R$3006))</f>
        <v/>
      </c>
      <c r="G1767" s="54" t="str">
        <f>IF(B1767="","",(C1767+F1767)-(D1767+E1767+SUMIF(Transactions!$F$8:$F$3006,B1767,Transactions!$Q$8:$Q$3006)))</f>
        <v/>
      </c>
      <c r="H1767" s="55" t="str">
        <f>IF(B1767="","",IF(G1767&gt;0,"OUTSTANDING",IF(G1767=0,"SETTLED",IF(SUMIF(Transactions!$F$8:$F$3006,B1767,Transactions!$Q$8:$Q$3006)&gt;SUMIF(Transactions!$F$8:$F$3006,B1767,Transactions!$R$8:$R$3006),"OWES","OVERPAID"))))</f>
        <v/>
      </c>
      <c r="I1767" s="1"/>
    </row>
    <row r="1768" spans="1:9" ht="18" customHeight="1" x14ac:dyDescent="0.25">
      <c r="A1768" s="40">
        <v>1753</v>
      </c>
      <c r="B1768" s="41" t="str">
        <f t="array" ref="B1768">IFERROR(IF(INDEX(Transactions!$F$8:$F$3006,MATCH(0,COUNTIF($B$11:B1767,Transactions!$F$8:$F$3006),0))="","",INDEX(Transactions!$F$8:$F$3006,MATCH(0,COUNTIF($B$11:B1767,Transactions!$F$8:$F$3006),0))),"")</f>
        <v/>
      </c>
      <c r="C1768" s="42" t="str">
        <f>IF(B1768="","",SUMIF(Transactions!$F$8:$F$3006,B1768,Transactions!$H$8:$H$3006))</f>
        <v/>
      </c>
      <c r="D1768" s="43" t="str">
        <f>IF(B1768="","",SUMIF(Transactions!$F$8:$F$3006,B1768,Transactions!$N$8:$N$3006))</f>
        <v/>
      </c>
      <c r="E1768" s="44" t="str">
        <f>IF(B1768="","",SUMIF(Transactions!$F$8:$F$3006,B1768,Transactions!$O$8:$O$3006))</f>
        <v/>
      </c>
      <c r="F1768" s="45" t="str">
        <f>IF(B1768="","",SUMIF(Transactions!$F$8:$F$3006,B1768,Transactions!$R$8:$R$3006))</f>
        <v/>
      </c>
      <c r="G1768" s="46" t="str">
        <f>IF(B1768="","",(C1768+F1768)-(D1768+E1768+SUMIF(Transactions!$F$8:$F$3006,B1768,Transactions!$Q$8:$Q$3006)))</f>
        <v/>
      </c>
      <c r="H1768" s="47" t="str">
        <f>IF(B1768="","",IF(G1768&gt;0,"OUTSTANDING",IF(G1768=0,"SETTLED",IF(SUMIF(Transactions!$F$8:$F$3006,B1768,Transactions!$Q$8:$Q$3006)&gt;SUMIF(Transactions!$F$8:$F$3006,B1768,Transactions!$R$8:$R$3006),"OWES","OVERPAID"))))</f>
        <v/>
      </c>
      <c r="I1768" s="1"/>
    </row>
    <row r="1769" spans="1:9" ht="18" customHeight="1" x14ac:dyDescent="0.25">
      <c r="A1769" s="48">
        <v>1754</v>
      </c>
      <c r="B1769" s="49" t="str">
        <f t="array" ref="B1769">IFERROR(IF(INDEX(Transactions!$F$8:$F$3006,MATCH(0,COUNTIF($B$11:B1768,Transactions!$F$8:$F$3006),0))="","",INDEX(Transactions!$F$8:$F$3006,MATCH(0,COUNTIF($B$11:B1768,Transactions!$F$8:$F$3006),0))),"")</f>
        <v/>
      </c>
      <c r="C1769" s="50" t="str">
        <f>IF(B1769="","",SUMIF(Transactions!$F$8:$F$3006,B1769,Transactions!$H$8:$H$3006))</f>
        <v/>
      </c>
      <c r="D1769" s="51" t="str">
        <f>IF(B1769="","",SUMIF(Transactions!$F$8:$F$3006,B1769,Transactions!$N$8:$N$3006))</f>
        <v/>
      </c>
      <c r="E1769" s="52" t="str">
        <f>IF(B1769="","",SUMIF(Transactions!$F$8:$F$3006,B1769,Transactions!$O$8:$O$3006))</f>
        <v/>
      </c>
      <c r="F1769" s="53" t="str">
        <f>IF(B1769="","",SUMIF(Transactions!$F$8:$F$3006,B1769,Transactions!$R$8:$R$3006))</f>
        <v/>
      </c>
      <c r="G1769" s="54" t="str">
        <f>IF(B1769="","",(C1769+F1769)-(D1769+E1769+SUMIF(Transactions!$F$8:$F$3006,B1769,Transactions!$Q$8:$Q$3006)))</f>
        <v/>
      </c>
      <c r="H1769" s="55" t="str">
        <f>IF(B1769="","",IF(G1769&gt;0,"OUTSTANDING",IF(G1769=0,"SETTLED",IF(SUMIF(Transactions!$F$8:$F$3006,B1769,Transactions!$Q$8:$Q$3006)&gt;SUMIF(Transactions!$F$8:$F$3006,B1769,Transactions!$R$8:$R$3006),"OWES","OVERPAID"))))</f>
        <v/>
      </c>
      <c r="I1769" s="1"/>
    </row>
    <row r="1770" spans="1:9" ht="18" customHeight="1" x14ac:dyDescent="0.25">
      <c r="A1770" s="40">
        <v>1755</v>
      </c>
      <c r="B1770" s="41" t="str">
        <f t="array" ref="B1770">IFERROR(IF(INDEX(Transactions!$F$8:$F$3006,MATCH(0,COUNTIF($B$11:B1769,Transactions!$F$8:$F$3006),0))="","",INDEX(Transactions!$F$8:$F$3006,MATCH(0,COUNTIF($B$11:B1769,Transactions!$F$8:$F$3006),0))),"")</f>
        <v/>
      </c>
      <c r="C1770" s="42" t="str">
        <f>IF(B1770="","",SUMIF(Transactions!$F$8:$F$3006,B1770,Transactions!$H$8:$H$3006))</f>
        <v/>
      </c>
      <c r="D1770" s="43" t="str">
        <f>IF(B1770="","",SUMIF(Transactions!$F$8:$F$3006,B1770,Transactions!$N$8:$N$3006))</f>
        <v/>
      </c>
      <c r="E1770" s="44" t="str">
        <f>IF(B1770="","",SUMIF(Transactions!$F$8:$F$3006,B1770,Transactions!$O$8:$O$3006))</f>
        <v/>
      </c>
      <c r="F1770" s="45" t="str">
        <f>IF(B1770="","",SUMIF(Transactions!$F$8:$F$3006,B1770,Transactions!$R$8:$R$3006))</f>
        <v/>
      </c>
      <c r="G1770" s="46" t="str">
        <f>IF(B1770="","",(C1770+F1770)-(D1770+E1770+SUMIF(Transactions!$F$8:$F$3006,B1770,Transactions!$Q$8:$Q$3006)))</f>
        <v/>
      </c>
      <c r="H1770" s="47" t="str">
        <f>IF(B1770="","",IF(G1770&gt;0,"OUTSTANDING",IF(G1770=0,"SETTLED",IF(SUMIF(Transactions!$F$8:$F$3006,B1770,Transactions!$Q$8:$Q$3006)&gt;SUMIF(Transactions!$F$8:$F$3006,B1770,Transactions!$R$8:$R$3006),"OWES","OVERPAID"))))</f>
        <v/>
      </c>
      <c r="I1770" s="1"/>
    </row>
    <row r="1771" spans="1:9" ht="18" customHeight="1" x14ac:dyDescent="0.25">
      <c r="A1771" s="48">
        <v>1756</v>
      </c>
      <c r="B1771" s="49" t="str">
        <f t="array" ref="B1771">IFERROR(IF(INDEX(Transactions!$F$8:$F$3006,MATCH(0,COUNTIF($B$11:B1770,Transactions!$F$8:$F$3006),0))="","",INDEX(Transactions!$F$8:$F$3006,MATCH(0,COUNTIF($B$11:B1770,Transactions!$F$8:$F$3006),0))),"")</f>
        <v/>
      </c>
      <c r="C1771" s="50" t="str">
        <f>IF(B1771="","",SUMIF(Transactions!$F$8:$F$3006,B1771,Transactions!$H$8:$H$3006))</f>
        <v/>
      </c>
      <c r="D1771" s="51" t="str">
        <f>IF(B1771="","",SUMIF(Transactions!$F$8:$F$3006,B1771,Transactions!$N$8:$N$3006))</f>
        <v/>
      </c>
      <c r="E1771" s="52" t="str">
        <f>IF(B1771="","",SUMIF(Transactions!$F$8:$F$3006,B1771,Transactions!$O$8:$O$3006))</f>
        <v/>
      </c>
      <c r="F1771" s="53" t="str">
        <f>IF(B1771="","",SUMIF(Transactions!$F$8:$F$3006,B1771,Transactions!$R$8:$R$3006))</f>
        <v/>
      </c>
      <c r="G1771" s="54" t="str">
        <f>IF(B1771="","",(C1771+F1771)-(D1771+E1771+SUMIF(Transactions!$F$8:$F$3006,B1771,Transactions!$Q$8:$Q$3006)))</f>
        <v/>
      </c>
      <c r="H1771" s="55" t="str">
        <f>IF(B1771="","",IF(G1771&gt;0,"OUTSTANDING",IF(G1771=0,"SETTLED",IF(SUMIF(Transactions!$F$8:$F$3006,B1771,Transactions!$Q$8:$Q$3006)&gt;SUMIF(Transactions!$F$8:$F$3006,B1771,Transactions!$R$8:$R$3006),"OWES","OVERPAID"))))</f>
        <v/>
      </c>
      <c r="I1771" s="1"/>
    </row>
    <row r="1772" spans="1:9" ht="18" customHeight="1" x14ac:dyDescent="0.25">
      <c r="A1772" s="40">
        <v>1757</v>
      </c>
      <c r="B1772" s="41" t="str">
        <f t="array" ref="B1772">IFERROR(IF(INDEX(Transactions!$F$8:$F$3006,MATCH(0,COUNTIF($B$11:B1771,Transactions!$F$8:$F$3006),0))="","",INDEX(Transactions!$F$8:$F$3006,MATCH(0,COUNTIF($B$11:B1771,Transactions!$F$8:$F$3006),0))),"")</f>
        <v/>
      </c>
      <c r="C1772" s="42" t="str">
        <f>IF(B1772="","",SUMIF(Transactions!$F$8:$F$3006,B1772,Transactions!$H$8:$H$3006))</f>
        <v/>
      </c>
      <c r="D1772" s="43" t="str">
        <f>IF(B1772="","",SUMIF(Transactions!$F$8:$F$3006,B1772,Transactions!$N$8:$N$3006))</f>
        <v/>
      </c>
      <c r="E1772" s="44" t="str">
        <f>IF(B1772="","",SUMIF(Transactions!$F$8:$F$3006,B1772,Transactions!$O$8:$O$3006))</f>
        <v/>
      </c>
      <c r="F1772" s="45" t="str">
        <f>IF(B1772="","",SUMIF(Transactions!$F$8:$F$3006,B1772,Transactions!$R$8:$R$3006))</f>
        <v/>
      </c>
      <c r="G1772" s="46" t="str">
        <f>IF(B1772="","",(C1772+F1772)-(D1772+E1772+SUMIF(Transactions!$F$8:$F$3006,B1772,Transactions!$Q$8:$Q$3006)))</f>
        <v/>
      </c>
      <c r="H1772" s="47" t="str">
        <f>IF(B1772="","",IF(G1772&gt;0,"OUTSTANDING",IF(G1772=0,"SETTLED",IF(SUMIF(Transactions!$F$8:$F$3006,B1772,Transactions!$Q$8:$Q$3006)&gt;SUMIF(Transactions!$F$8:$F$3006,B1772,Transactions!$R$8:$R$3006),"OWES","OVERPAID"))))</f>
        <v/>
      </c>
      <c r="I1772" s="1"/>
    </row>
    <row r="1773" spans="1:9" ht="18" customHeight="1" x14ac:dyDescent="0.25">
      <c r="A1773" s="48">
        <v>1758</v>
      </c>
      <c r="B1773" s="49" t="str">
        <f t="array" ref="B1773">IFERROR(IF(INDEX(Transactions!$F$8:$F$3006,MATCH(0,COUNTIF($B$11:B1772,Transactions!$F$8:$F$3006),0))="","",INDEX(Transactions!$F$8:$F$3006,MATCH(0,COUNTIF($B$11:B1772,Transactions!$F$8:$F$3006),0))),"")</f>
        <v/>
      </c>
      <c r="C1773" s="50" t="str">
        <f>IF(B1773="","",SUMIF(Transactions!$F$8:$F$3006,B1773,Transactions!$H$8:$H$3006))</f>
        <v/>
      </c>
      <c r="D1773" s="51" t="str">
        <f>IF(B1773="","",SUMIF(Transactions!$F$8:$F$3006,B1773,Transactions!$N$8:$N$3006))</f>
        <v/>
      </c>
      <c r="E1773" s="52" t="str">
        <f>IF(B1773="","",SUMIF(Transactions!$F$8:$F$3006,B1773,Transactions!$O$8:$O$3006))</f>
        <v/>
      </c>
      <c r="F1773" s="53" t="str">
        <f>IF(B1773="","",SUMIF(Transactions!$F$8:$F$3006,B1773,Transactions!$R$8:$R$3006))</f>
        <v/>
      </c>
      <c r="G1773" s="54" t="str">
        <f>IF(B1773="","",(C1773+F1773)-(D1773+E1773+SUMIF(Transactions!$F$8:$F$3006,B1773,Transactions!$Q$8:$Q$3006)))</f>
        <v/>
      </c>
      <c r="H1773" s="55" t="str">
        <f>IF(B1773="","",IF(G1773&gt;0,"OUTSTANDING",IF(G1773=0,"SETTLED",IF(SUMIF(Transactions!$F$8:$F$3006,B1773,Transactions!$Q$8:$Q$3006)&gt;SUMIF(Transactions!$F$8:$F$3006,B1773,Transactions!$R$8:$R$3006),"OWES","OVERPAID"))))</f>
        <v/>
      </c>
      <c r="I1773" s="1"/>
    </row>
    <row r="1774" spans="1:9" ht="18" customHeight="1" x14ac:dyDescent="0.25">
      <c r="A1774" s="40">
        <v>1759</v>
      </c>
      <c r="B1774" s="41" t="str">
        <f t="array" ref="B1774">IFERROR(IF(INDEX(Transactions!$F$8:$F$3006,MATCH(0,COUNTIF($B$11:B1773,Transactions!$F$8:$F$3006),0))="","",INDEX(Transactions!$F$8:$F$3006,MATCH(0,COUNTIF($B$11:B1773,Transactions!$F$8:$F$3006),0))),"")</f>
        <v/>
      </c>
      <c r="C1774" s="42" t="str">
        <f>IF(B1774="","",SUMIF(Transactions!$F$8:$F$3006,B1774,Transactions!$H$8:$H$3006))</f>
        <v/>
      </c>
      <c r="D1774" s="43" t="str">
        <f>IF(B1774="","",SUMIF(Transactions!$F$8:$F$3006,B1774,Transactions!$N$8:$N$3006))</f>
        <v/>
      </c>
      <c r="E1774" s="44" t="str">
        <f>IF(B1774="","",SUMIF(Transactions!$F$8:$F$3006,B1774,Transactions!$O$8:$O$3006))</f>
        <v/>
      </c>
      <c r="F1774" s="45" t="str">
        <f>IF(B1774="","",SUMIF(Transactions!$F$8:$F$3006,B1774,Transactions!$R$8:$R$3006))</f>
        <v/>
      </c>
      <c r="G1774" s="46" t="str">
        <f>IF(B1774="","",(C1774+F1774)-(D1774+E1774+SUMIF(Transactions!$F$8:$F$3006,B1774,Transactions!$Q$8:$Q$3006)))</f>
        <v/>
      </c>
      <c r="H1774" s="47" t="str">
        <f>IF(B1774="","",IF(G1774&gt;0,"OUTSTANDING",IF(G1774=0,"SETTLED",IF(SUMIF(Transactions!$F$8:$F$3006,B1774,Transactions!$Q$8:$Q$3006)&gt;SUMIF(Transactions!$F$8:$F$3006,B1774,Transactions!$R$8:$R$3006),"OWES","OVERPAID"))))</f>
        <v/>
      </c>
      <c r="I1774" s="1"/>
    </row>
    <row r="1775" spans="1:9" ht="18" customHeight="1" x14ac:dyDescent="0.25">
      <c r="A1775" s="48">
        <v>1760</v>
      </c>
      <c r="B1775" s="49" t="str">
        <f t="array" ref="B1775">IFERROR(IF(INDEX(Transactions!$F$8:$F$3006,MATCH(0,COUNTIF($B$11:B1774,Transactions!$F$8:$F$3006),0))="","",INDEX(Transactions!$F$8:$F$3006,MATCH(0,COUNTIF($B$11:B1774,Transactions!$F$8:$F$3006),0))),"")</f>
        <v/>
      </c>
      <c r="C1775" s="50" t="str">
        <f>IF(B1775="","",SUMIF(Transactions!$F$8:$F$3006,B1775,Transactions!$H$8:$H$3006))</f>
        <v/>
      </c>
      <c r="D1775" s="51" t="str">
        <f>IF(B1775="","",SUMIF(Transactions!$F$8:$F$3006,B1775,Transactions!$N$8:$N$3006))</f>
        <v/>
      </c>
      <c r="E1775" s="52" t="str">
        <f>IF(B1775="","",SUMIF(Transactions!$F$8:$F$3006,B1775,Transactions!$O$8:$O$3006))</f>
        <v/>
      </c>
      <c r="F1775" s="53" t="str">
        <f>IF(B1775="","",SUMIF(Transactions!$F$8:$F$3006,B1775,Transactions!$R$8:$R$3006))</f>
        <v/>
      </c>
      <c r="G1775" s="54" t="str">
        <f>IF(B1775="","",(C1775+F1775)-(D1775+E1775+SUMIF(Transactions!$F$8:$F$3006,B1775,Transactions!$Q$8:$Q$3006)))</f>
        <v/>
      </c>
      <c r="H1775" s="55" t="str">
        <f>IF(B1775="","",IF(G1775&gt;0,"OUTSTANDING",IF(G1775=0,"SETTLED",IF(SUMIF(Transactions!$F$8:$F$3006,B1775,Transactions!$Q$8:$Q$3006)&gt;SUMIF(Transactions!$F$8:$F$3006,B1775,Transactions!$R$8:$R$3006),"OWES","OVERPAID"))))</f>
        <v/>
      </c>
      <c r="I1775" s="1"/>
    </row>
    <row r="1776" spans="1:9" ht="18" customHeight="1" x14ac:dyDescent="0.25">
      <c r="A1776" s="40">
        <v>1761</v>
      </c>
      <c r="B1776" s="41" t="str">
        <f t="array" ref="B1776">IFERROR(IF(INDEX(Transactions!$F$8:$F$3006,MATCH(0,COUNTIF($B$11:B1775,Transactions!$F$8:$F$3006),0))="","",INDEX(Transactions!$F$8:$F$3006,MATCH(0,COUNTIF($B$11:B1775,Transactions!$F$8:$F$3006),0))),"")</f>
        <v/>
      </c>
      <c r="C1776" s="42" t="str">
        <f>IF(B1776="","",SUMIF(Transactions!$F$8:$F$3006,B1776,Transactions!$H$8:$H$3006))</f>
        <v/>
      </c>
      <c r="D1776" s="43" t="str">
        <f>IF(B1776="","",SUMIF(Transactions!$F$8:$F$3006,B1776,Transactions!$N$8:$N$3006))</f>
        <v/>
      </c>
      <c r="E1776" s="44" t="str">
        <f>IF(B1776="","",SUMIF(Transactions!$F$8:$F$3006,B1776,Transactions!$O$8:$O$3006))</f>
        <v/>
      </c>
      <c r="F1776" s="45" t="str">
        <f>IF(B1776="","",SUMIF(Transactions!$F$8:$F$3006,B1776,Transactions!$R$8:$R$3006))</f>
        <v/>
      </c>
      <c r="G1776" s="46" t="str">
        <f>IF(B1776="","",(C1776+F1776)-(D1776+E1776+SUMIF(Transactions!$F$8:$F$3006,B1776,Transactions!$Q$8:$Q$3006)))</f>
        <v/>
      </c>
      <c r="H1776" s="47" t="str">
        <f>IF(B1776="","",IF(G1776&gt;0,"OUTSTANDING",IF(G1776=0,"SETTLED",IF(SUMIF(Transactions!$F$8:$F$3006,B1776,Transactions!$Q$8:$Q$3006)&gt;SUMIF(Transactions!$F$8:$F$3006,B1776,Transactions!$R$8:$R$3006),"OWES","OVERPAID"))))</f>
        <v/>
      </c>
      <c r="I1776" s="1"/>
    </row>
    <row r="1777" spans="1:9" ht="18" customHeight="1" x14ac:dyDescent="0.25">
      <c r="A1777" s="48">
        <v>1762</v>
      </c>
      <c r="B1777" s="49" t="str">
        <f t="array" ref="B1777">IFERROR(IF(INDEX(Transactions!$F$8:$F$3006,MATCH(0,COUNTIF($B$11:B1776,Transactions!$F$8:$F$3006),0))="","",INDEX(Transactions!$F$8:$F$3006,MATCH(0,COUNTIF($B$11:B1776,Transactions!$F$8:$F$3006),0))),"")</f>
        <v/>
      </c>
      <c r="C1777" s="50" t="str">
        <f>IF(B1777="","",SUMIF(Transactions!$F$8:$F$3006,B1777,Transactions!$H$8:$H$3006))</f>
        <v/>
      </c>
      <c r="D1777" s="51" t="str">
        <f>IF(B1777="","",SUMIF(Transactions!$F$8:$F$3006,B1777,Transactions!$N$8:$N$3006))</f>
        <v/>
      </c>
      <c r="E1777" s="52" t="str">
        <f>IF(B1777="","",SUMIF(Transactions!$F$8:$F$3006,B1777,Transactions!$O$8:$O$3006))</f>
        <v/>
      </c>
      <c r="F1777" s="53" t="str">
        <f>IF(B1777="","",SUMIF(Transactions!$F$8:$F$3006,B1777,Transactions!$R$8:$R$3006))</f>
        <v/>
      </c>
      <c r="G1777" s="54" t="str">
        <f>IF(B1777="","",(C1777+F1777)-(D1777+E1777+SUMIF(Transactions!$F$8:$F$3006,B1777,Transactions!$Q$8:$Q$3006)))</f>
        <v/>
      </c>
      <c r="H1777" s="55" t="str">
        <f>IF(B1777="","",IF(G1777&gt;0,"OUTSTANDING",IF(G1777=0,"SETTLED",IF(SUMIF(Transactions!$F$8:$F$3006,B1777,Transactions!$Q$8:$Q$3006)&gt;SUMIF(Transactions!$F$8:$F$3006,B1777,Transactions!$R$8:$R$3006),"OWES","OVERPAID"))))</f>
        <v/>
      </c>
      <c r="I1777" s="1"/>
    </row>
    <row r="1778" spans="1:9" ht="18" customHeight="1" x14ac:dyDescent="0.25">
      <c r="A1778" s="40">
        <v>1763</v>
      </c>
      <c r="B1778" s="41" t="str">
        <f t="array" ref="B1778">IFERROR(IF(INDEX(Transactions!$F$8:$F$3006,MATCH(0,COUNTIF($B$11:B1777,Transactions!$F$8:$F$3006),0))="","",INDEX(Transactions!$F$8:$F$3006,MATCH(0,COUNTIF($B$11:B1777,Transactions!$F$8:$F$3006),0))),"")</f>
        <v/>
      </c>
      <c r="C1778" s="42" t="str">
        <f>IF(B1778="","",SUMIF(Transactions!$F$8:$F$3006,B1778,Transactions!$H$8:$H$3006))</f>
        <v/>
      </c>
      <c r="D1778" s="43" t="str">
        <f>IF(B1778="","",SUMIF(Transactions!$F$8:$F$3006,B1778,Transactions!$N$8:$N$3006))</f>
        <v/>
      </c>
      <c r="E1778" s="44" t="str">
        <f>IF(B1778="","",SUMIF(Transactions!$F$8:$F$3006,B1778,Transactions!$O$8:$O$3006))</f>
        <v/>
      </c>
      <c r="F1778" s="45" t="str">
        <f>IF(B1778="","",SUMIF(Transactions!$F$8:$F$3006,B1778,Transactions!$R$8:$R$3006))</f>
        <v/>
      </c>
      <c r="G1778" s="46" t="str">
        <f>IF(B1778="","",(C1778+F1778)-(D1778+E1778+SUMIF(Transactions!$F$8:$F$3006,B1778,Transactions!$Q$8:$Q$3006)))</f>
        <v/>
      </c>
      <c r="H1778" s="47" t="str">
        <f>IF(B1778="","",IF(G1778&gt;0,"OUTSTANDING",IF(G1778=0,"SETTLED",IF(SUMIF(Transactions!$F$8:$F$3006,B1778,Transactions!$Q$8:$Q$3006)&gt;SUMIF(Transactions!$F$8:$F$3006,B1778,Transactions!$R$8:$R$3006),"OWES","OVERPAID"))))</f>
        <v/>
      </c>
      <c r="I1778" s="1"/>
    </row>
    <row r="1779" spans="1:9" ht="18" customHeight="1" x14ac:dyDescent="0.25">
      <c r="A1779" s="48">
        <v>1764</v>
      </c>
      <c r="B1779" s="49" t="str">
        <f t="array" ref="B1779">IFERROR(IF(INDEX(Transactions!$F$8:$F$3006,MATCH(0,COUNTIF($B$11:B1778,Transactions!$F$8:$F$3006),0))="","",INDEX(Transactions!$F$8:$F$3006,MATCH(0,COUNTIF($B$11:B1778,Transactions!$F$8:$F$3006),0))),"")</f>
        <v/>
      </c>
      <c r="C1779" s="50" t="str">
        <f>IF(B1779="","",SUMIF(Transactions!$F$8:$F$3006,B1779,Transactions!$H$8:$H$3006))</f>
        <v/>
      </c>
      <c r="D1779" s="51" t="str">
        <f>IF(B1779="","",SUMIF(Transactions!$F$8:$F$3006,B1779,Transactions!$N$8:$N$3006))</f>
        <v/>
      </c>
      <c r="E1779" s="52" t="str">
        <f>IF(B1779="","",SUMIF(Transactions!$F$8:$F$3006,B1779,Transactions!$O$8:$O$3006))</f>
        <v/>
      </c>
      <c r="F1779" s="53" t="str">
        <f>IF(B1779="","",SUMIF(Transactions!$F$8:$F$3006,B1779,Transactions!$R$8:$R$3006))</f>
        <v/>
      </c>
      <c r="G1779" s="54" t="str">
        <f>IF(B1779="","",(C1779+F1779)-(D1779+E1779+SUMIF(Transactions!$F$8:$F$3006,B1779,Transactions!$Q$8:$Q$3006)))</f>
        <v/>
      </c>
      <c r="H1779" s="55" t="str">
        <f>IF(B1779="","",IF(G1779&gt;0,"OUTSTANDING",IF(G1779=0,"SETTLED",IF(SUMIF(Transactions!$F$8:$F$3006,B1779,Transactions!$Q$8:$Q$3006)&gt;SUMIF(Transactions!$F$8:$F$3006,B1779,Transactions!$R$8:$R$3006),"OWES","OVERPAID"))))</f>
        <v/>
      </c>
      <c r="I1779" s="1"/>
    </row>
    <row r="1780" spans="1:9" ht="18" customHeight="1" x14ac:dyDescent="0.25">
      <c r="A1780" s="40">
        <v>1765</v>
      </c>
      <c r="B1780" s="41" t="str">
        <f t="array" ref="B1780">IFERROR(IF(INDEX(Transactions!$F$8:$F$3006,MATCH(0,COUNTIF($B$11:B1779,Transactions!$F$8:$F$3006),0))="","",INDEX(Transactions!$F$8:$F$3006,MATCH(0,COUNTIF($B$11:B1779,Transactions!$F$8:$F$3006),0))),"")</f>
        <v/>
      </c>
      <c r="C1780" s="42" t="str">
        <f>IF(B1780="","",SUMIF(Transactions!$F$8:$F$3006,B1780,Transactions!$H$8:$H$3006))</f>
        <v/>
      </c>
      <c r="D1780" s="43" t="str">
        <f>IF(B1780="","",SUMIF(Transactions!$F$8:$F$3006,B1780,Transactions!$N$8:$N$3006))</f>
        <v/>
      </c>
      <c r="E1780" s="44" t="str">
        <f>IF(B1780="","",SUMIF(Transactions!$F$8:$F$3006,B1780,Transactions!$O$8:$O$3006))</f>
        <v/>
      </c>
      <c r="F1780" s="45" t="str">
        <f>IF(B1780="","",SUMIF(Transactions!$F$8:$F$3006,B1780,Transactions!$R$8:$R$3006))</f>
        <v/>
      </c>
      <c r="G1780" s="46" t="str">
        <f>IF(B1780="","",(C1780+F1780)-(D1780+E1780+SUMIF(Transactions!$F$8:$F$3006,B1780,Transactions!$Q$8:$Q$3006)))</f>
        <v/>
      </c>
      <c r="H1780" s="47" t="str">
        <f>IF(B1780="","",IF(G1780&gt;0,"OUTSTANDING",IF(G1780=0,"SETTLED",IF(SUMIF(Transactions!$F$8:$F$3006,B1780,Transactions!$Q$8:$Q$3006)&gt;SUMIF(Transactions!$F$8:$F$3006,B1780,Transactions!$R$8:$R$3006),"OWES","OVERPAID"))))</f>
        <v/>
      </c>
      <c r="I1780" s="1"/>
    </row>
    <row r="1781" spans="1:9" ht="18" customHeight="1" x14ac:dyDescent="0.25">
      <c r="A1781" s="48">
        <v>1766</v>
      </c>
      <c r="B1781" s="49" t="str">
        <f t="array" ref="B1781">IFERROR(IF(INDEX(Transactions!$F$8:$F$3006,MATCH(0,COUNTIF($B$11:B1780,Transactions!$F$8:$F$3006),0))="","",INDEX(Transactions!$F$8:$F$3006,MATCH(0,COUNTIF($B$11:B1780,Transactions!$F$8:$F$3006),0))),"")</f>
        <v/>
      </c>
      <c r="C1781" s="50" t="str">
        <f>IF(B1781="","",SUMIF(Transactions!$F$8:$F$3006,B1781,Transactions!$H$8:$H$3006))</f>
        <v/>
      </c>
      <c r="D1781" s="51" t="str">
        <f>IF(B1781="","",SUMIF(Transactions!$F$8:$F$3006,B1781,Transactions!$N$8:$N$3006))</f>
        <v/>
      </c>
      <c r="E1781" s="52" t="str">
        <f>IF(B1781="","",SUMIF(Transactions!$F$8:$F$3006,B1781,Transactions!$O$8:$O$3006))</f>
        <v/>
      </c>
      <c r="F1781" s="53" t="str">
        <f>IF(B1781="","",SUMIF(Transactions!$F$8:$F$3006,B1781,Transactions!$R$8:$R$3006))</f>
        <v/>
      </c>
      <c r="G1781" s="54" t="str">
        <f>IF(B1781="","",(C1781+F1781)-(D1781+E1781+SUMIF(Transactions!$F$8:$F$3006,B1781,Transactions!$Q$8:$Q$3006)))</f>
        <v/>
      </c>
      <c r="H1781" s="55" t="str">
        <f>IF(B1781="","",IF(G1781&gt;0,"OUTSTANDING",IF(G1781=0,"SETTLED",IF(SUMIF(Transactions!$F$8:$F$3006,B1781,Transactions!$Q$8:$Q$3006)&gt;SUMIF(Transactions!$F$8:$F$3006,B1781,Transactions!$R$8:$R$3006),"OWES","OVERPAID"))))</f>
        <v/>
      </c>
      <c r="I1781" s="1"/>
    </row>
    <row r="1782" spans="1:9" ht="18" customHeight="1" x14ac:dyDescent="0.25">
      <c r="A1782" s="40">
        <v>1767</v>
      </c>
      <c r="B1782" s="41" t="str">
        <f t="array" ref="B1782">IFERROR(IF(INDEX(Transactions!$F$8:$F$3006,MATCH(0,COUNTIF($B$11:B1781,Transactions!$F$8:$F$3006),0))="","",INDEX(Transactions!$F$8:$F$3006,MATCH(0,COUNTIF($B$11:B1781,Transactions!$F$8:$F$3006),0))),"")</f>
        <v/>
      </c>
      <c r="C1782" s="42" t="str">
        <f>IF(B1782="","",SUMIF(Transactions!$F$8:$F$3006,B1782,Transactions!$H$8:$H$3006))</f>
        <v/>
      </c>
      <c r="D1782" s="43" t="str">
        <f>IF(B1782="","",SUMIF(Transactions!$F$8:$F$3006,B1782,Transactions!$N$8:$N$3006))</f>
        <v/>
      </c>
      <c r="E1782" s="44" t="str">
        <f>IF(B1782="","",SUMIF(Transactions!$F$8:$F$3006,B1782,Transactions!$O$8:$O$3006))</f>
        <v/>
      </c>
      <c r="F1782" s="45" t="str">
        <f>IF(B1782="","",SUMIF(Transactions!$F$8:$F$3006,B1782,Transactions!$R$8:$R$3006))</f>
        <v/>
      </c>
      <c r="G1782" s="46" t="str">
        <f>IF(B1782="","",(C1782+F1782)-(D1782+E1782+SUMIF(Transactions!$F$8:$F$3006,B1782,Transactions!$Q$8:$Q$3006)))</f>
        <v/>
      </c>
      <c r="H1782" s="47" t="str">
        <f>IF(B1782="","",IF(G1782&gt;0,"OUTSTANDING",IF(G1782=0,"SETTLED",IF(SUMIF(Transactions!$F$8:$F$3006,B1782,Transactions!$Q$8:$Q$3006)&gt;SUMIF(Transactions!$F$8:$F$3006,B1782,Transactions!$R$8:$R$3006),"OWES","OVERPAID"))))</f>
        <v/>
      </c>
      <c r="I1782" s="1"/>
    </row>
    <row r="1783" spans="1:9" ht="18" customHeight="1" x14ac:dyDescent="0.25">
      <c r="A1783" s="48">
        <v>1768</v>
      </c>
      <c r="B1783" s="49" t="str">
        <f t="array" ref="B1783">IFERROR(IF(INDEX(Transactions!$F$8:$F$3006,MATCH(0,COUNTIF($B$11:B1782,Transactions!$F$8:$F$3006),0))="","",INDEX(Transactions!$F$8:$F$3006,MATCH(0,COUNTIF($B$11:B1782,Transactions!$F$8:$F$3006),0))),"")</f>
        <v/>
      </c>
      <c r="C1783" s="50" t="str">
        <f>IF(B1783="","",SUMIF(Transactions!$F$8:$F$3006,B1783,Transactions!$H$8:$H$3006))</f>
        <v/>
      </c>
      <c r="D1783" s="51" t="str">
        <f>IF(B1783="","",SUMIF(Transactions!$F$8:$F$3006,B1783,Transactions!$N$8:$N$3006))</f>
        <v/>
      </c>
      <c r="E1783" s="52" t="str">
        <f>IF(B1783="","",SUMIF(Transactions!$F$8:$F$3006,B1783,Transactions!$O$8:$O$3006))</f>
        <v/>
      </c>
      <c r="F1783" s="53" t="str">
        <f>IF(B1783="","",SUMIF(Transactions!$F$8:$F$3006,B1783,Transactions!$R$8:$R$3006))</f>
        <v/>
      </c>
      <c r="G1783" s="54" t="str">
        <f>IF(B1783="","",(C1783+F1783)-(D1783+E1783+SUMIF(Transactions!$F$8:$F$3006,B1783,Transactions!$Q$8:$Q$3006)))</f>
        <v/>
      </c>
      <c r="H1783" s="55" t="str">
        <f>IF(B1783="","",IF(G1783&gt;0,"OUTSTANDING",IF(G1783=0,"SETTLED",IF(SUMIF(Transactions!$F$8:$F$3006,B1783,Transactions!$Q$8:$Q$3006)&gt;SUMIF(Transactions!$F$8:$F$3006,B1783,Transactions!$R$8:$R$3006),"OWES","OVERPAID"))))</f>
        <v/>
      </c>
      <c r="I1783" s="1"/>
    </row>
    <row r="1784" spans="1:9" ht="18" customHeight="1" x14ac:dyDescent="0.25">
      <c r="A1784" s="40">
        <v>1769</v>
      </c>
      <c r="B1784" s="41" t="str">
        <f t="array" ref="B1784">IFERROR(IF(INDEX(Transactions!$F$8:$F$3006,MATCH(0,COUNTIF($B$11:B1783,Transactions!$F$8:$F$3006),0))="","",INDEX(Transactions!$F$8:$F$3006,MATCH(0,COUNTIF($B$11:B1783,Transactions!$F$8:$F$3006),0))),"")</f>
        <v/>
      </c>
      <c r="C1784" s="42" t="str">
        <f>IF(B1784="","",SUMIF(Transactions!$F$8:$F$3006,B1784,Transactions!$H$8:$H$3006))</f>
        <v/>
      </c>
      <c r="D1784" s="43" t="str">
        <f>IF(B1784="","",SUMIF(Transactions!$F$8:$F$3006,B1784,Transactions!$N$8:$N$3006))</f>
        <v/>
      </c>
      <c r="E1784" s="44" t="str">
        <f>IF(B1784="","",SUMIF(Transactions!$F$8:$F$3006,B1784,Transactions!$O$8:$O$3006))</f>
        <v/>
      </c>
      <c r="F1784" s="45" t="str">
        <f>IF(B1784="","",SUMIF(Transactions!$F$8:$F$3006,B1784,Transactions!$R$8:$R$3006))</f>
        <v/>
      </c>
      <c r="G1784" s="46" t="str">
        <f>IF(B1784="","",(C1784+F1784)-(D1784+E1784+SUMIF(Transactions!$F$8:$F$3006,B1784,Transactions!$Q$8:$Q$3006)))</f>
        <v/>
      </c>
      <c r="H1784" s="47" t="str">
        <f>IF(B1784="","",IF(G1784&gt;0,"OUTSTANDING",IF(G1784=0,"SETTLED",IF(SUMIF(Transactions!$F$8:$F$3006,B1784,Transactions!$Q$8:$Q$3006)&gt;SUMIF(Transactions!$F$8:$F$3006,B1784,Transactions!$R$8:$R$3006),"OWES","OVERPAID"))))</f>
        <v/>
      </c>
      <c r="I1784" s="1"/>
    </row>
    <row r="1785" spans="1:9" ht="18" customHeight="1" x14ac:dyDescent="0.25">
      <c r="A1785" s="48">
        <v>1770</v>
      </c>
      <c r="B1785" s="49" t="str">
        <f t="array" ref="B1785">IFERROR(IF(INDEX(Transactions!$F$8:$F$3006,MATCH(0,COUNTIF($B$11:B1784,Transactions!$F$8:$F$3006),0))="","",INDEX(Transactions!$F$8:$F$3006,MATCH(0,COUNTIF($B$11:B1784,Transactions!$F$8:$F$3006),0))),"")</f>
        <v/>
      </c>
      <c r="C1785" s="50" t="str">
        <f>IF(B1785="","",SUMIF(Transactions!$F$8:$F$3006,B1785,Transactions!$H$8:$H$3006))</f>
        <v/>
      </c>
      <c r="D1785" s="51" t="str">
        <f>IF(B1785="","",SUMIF(Transactions!$F$8:$F$3006,B1785,Transactions!$N$8:$N$3006))</f>
        <v/>
      </c>
      <c r="E1785" s="52" t="str">
        <f>IF(B1785="","",SUMIF(Transactions!$F$8:$F$3006,B1785,Transactions!$O$8:$O$3006))</f>
        <v/>
      </c>
      <c r="F1785" s="53" t="str">
        <f>IF(B1785="","",SUMIF(Transactions!$F$8:$F$3006,B1785,Transactions!$R$8:$R$3006))</f>
        <v/>
      </c>
      <c r="G1785" s="54" t="str">
        <f>IF(B1785="","",(C1785+F1785)-(D1785+E1785+SUMIF(Transactions!$F$8:$F$3006,B1785,Transactions!$Q$8:$Q$3006)))</f>
        <v/>
      </c>
      <c r="H1785" s="55" t="str">
        <f>IF(B1785="","",IF(G1785&gt;0,"OUTSTANDING",IF(G1785=0,"SETTLED",IF(SUMIF(Transactions!$F$8:$F$3006,B1785,Transactions!$Q$8:$Q$3006)&gt;SUMIF(Transactions!$F$8:$F$3006,B1785,Transactions!$R$8:$R$3006),"OWES","OVERPAID"))))</f>
        <v/>
      </c>
      <c r="I1785" s="1"/>
    </row>
    <row r="1786" spans="1:9" ht="18" customHeight="1" x14ac:dyDescent="0.25">
      <c r="A1786" s="40">
        <v>1771</v>
      </c>
      <c r="B1786" s="41" t="str">
        <f t="array" ref="B1786">IFERROR(IF(INDEX(Transactions!$F$8:$F$3006,MATCH(0,COUNTIF($B$11:B1785,Transactions!$F$8:$F$3006),0))="","",INDEX(Transactions!$F$8:$F$3006,MATCH(0,COUNTIF($B$11:B1785,Transactions!$F$8:$F$3006),0))),"")</f>
        <v/>
      </c>
      <c r="C1786" s="42" t="str">
        <f>IF(B1786="","",SUMIF(Transactions!$F$8:$F$3006,B1786,Transactions!$H$8:$H$3006))</f>
        <v/>
      </c>
      <c r="D1786" s="43" t="str">
        <f>IF(B1786="","",SUMIF(Transactions!$F$8:$F$3006,B1786,Transactions!$N$8:$N$3006))</f>
        <v/>
      </c>
      <c r="E1786" s="44" t="str">
        <f>IF(B1786="","",SUMIF(Transactions!$F$8:$F$3006,B1786,Transactions!$O$8:$O$3006))</f>
        <v/>
      </c>
      <c r="F1786" s="45" t="str">
        <f>IF(B1786="","",SUMIF(Transactions!$F$8:$F$3006,B1786,Transactions!$R$8:$R$3006))</f>
        <v/>
      </c>
      <c r="G1786" s="46" t="str">
        <f>IF(B1786="","",(C1786+F1786)-(D1786+E1786+SUMIF(Transactions!$F$8:$F$3006,B1786,Transactions!$Q$8:$Q$3006)))</f>
        <v/>
      </c>
      <c r="H1786" s="47" t="str">
        <f>IF(B1786="","",IF(G1786&gt;0,"OUTSTANDING",IF(G1786=0,"SETTLED",IF(SUMIF(Transactions!$F$8:$F$3006,B1786,Transactions!$Q$8:$Q$3006)&gt;SUMIF(Transactions!$F$8:$F$3006,B1786,Transactions!$R$8:$R$3006),"OWES","OVERPAID"))))</f>
        <v/>
      </c>
      <c r="I1786" s="1"/>
    </row>
    <row r="1787" spans="1:9" ht="18" customHeight="1" x14ac:dyDescent="0.25">
      <c r="A1787" s="48">
        <v>1772</v>
      </c>
      <c r="B1787" s="49" t="str">
        <f t="array" ref="B1787">IFERROR(IF(INDEX(Transactions!$F$8:$F$3006,MATCH(0,COUNTIF($B$11:B1786,Transactions!$F$8:$F$3006),0))="","",INDEX(Transactions!$F$8:$F$3006,MATCH(0,COUNTIF($B$11:B1786,Transactions!$F$8:$F$3006),0))),"")</f>
        <v/>
      </c>
      <c r="C1787" s="50" t="str">
        <f>IF(B1787="","",SUMIF(Transactions!$F$8:$F$3006,B1787,Transactions!$H$8:$H$3006))</f>
        <v/>
      </c>
      <c r="D1787" s="51" t="str">
        <f>IF(B1787="","",SUMIF(Transactions!$F$8:$F$3006,B1787,Transactions!$N$8:$N$3006))</f>
        <v/>
      </c>
      <c r="E1787" s="52" t="str">
        <f>IF(B1787="","",SUMIF(Transactions!$F$8:$F$3006,B1787,Transactions!$O$8:$O$3006))</f>
        <v/>
      </c>
      <c r="F1787" s="53" t="str">
        <f>IF(B1787="","",SUMIF(Transactions!$F$8:$F$3006,B1787,Transactions!$R$8:$R$3006))</f>
        <v/>
      </c>
      <c r="G1787" s="54" t="str">
        <f>IF(B1787="","",(C1787+F1787)-(D1787+E1787+SUMIF(Transactions!$F$8:$F$3006,B1787,Transactions!$Q$8:$Q$3006)))</f>
        <v/>
      </c>
      <c r="H1787" s="55" t="str">
        <f>IF(B1787="","",IF(G1787&gt;0,"OUTSTANDING",IF(G1787=0,"SETTLED",IF(SUMIF(Transactions!$F$8:$F$3006,B1787,Transactions!$Q$8:$Q$3006)&gt;SUMIF(Transactions!$F$8:$F$3006,B1787,Transactions!$R$8:$R$3006),"OWES","OVERPAID"))))</f>
        <v/>
      </c>
      <c r="I1787" s="1"/>
    </row>
    <row r="1788" spans="1:9" ht="18" customHeight="1" x14ac:dyDescent="0.25">
      <c r="A1788" s="40">
        <v>1773</v>
      </c>
      <c r="B1788" s="41" t="str">
        <f t="array" ref="B1788">IFERROR(IF(INDEX(Transactions!$F$8:$F$3006,MATCH(0,COUNTIF($B$11:B1787,Transactions!$F$8:$F$3006),0))="","",INDEX(Transactions!$F$8:$F$3006,MATCH(0,COUNTIF($B$11:B1787,Transactions!$F$8:$F$3006),0))),"")</f>
        <v/>
      </c>
      <c r="C1788" s="42" t="str">
        <f>IF(B1788="","",SUMIF(Transactions!$F$8:$F$3006,B1788,Transactions!$H$8:$H$3006))</f>
        <v/>
      </c>
      <c r="D1788" s="43" t="str">
        <f>IF(B1788="","",SUMIF(Transactions!$F$8:$F$3006,B1788,Transactions!$N$8:$N$3006))</f>
        <v/>
      </c>
      <c r="E1788" s="44" t="str">
        <f>IF(B1788="","",SUMIF(Transactions!$F$8:$F$3006,B1788,Transactions!$O$8:$O$3006))</f>
        <v/>
      </c>
      <c r="F1788" s="45" t="str">
        <f>IF(B1788="","",SUMIF(Transactions!$F$8:$F$3006,B1788,Transactions!$R$8:$R$3006))</f>
        <v/>
      </c>
      <c r="G1788" s="46" t="str">
        <f>IF(B1788="","",(C1788+F1788)-(D1788+E1788+SUMIF(Transactions!$F$8:$F$3006,B1788,Transactions!$Q$8:$Q$3006)))</f>
        <v/>
      </c>
      <c r="H1788" s="47" t="str">
        <f>IF(B1788="","",IF(G1788&gt;0,"OUTSTANDING",IF(G1788=0,"SETTLED",IF(SUMIF(Transactions!$F$8:$F$3006,B1788,Transactions!$Q$8:$Q$3006)&gt;SUMIF(Transactions!$F$8:$F$3006,B1788,Transactions!$R$8:$R$3006),"OWES","OVERPAID"))))</f>
        <v/>
      </c>
      <c r="I1788" s="1"/>
    </row>
    <row r="1789" spans="1:9" ht="18" customHeight="1" x14ac:dyDescent="0.25">
      <c r="A1789" s="48">
        <v>1774</v>
      </c>
      <c r="B1789" s="49" t="str">
        <f t="array" ref="B1789">IFERROR(IF(INDEX(Transactions!$F$8:$F$3006,MATCH(0,COUNTIF($B$11:B1788,Transactions!$F$8:$F$3006),0))="","",INDEX(Transactions!$F$8:$F$3006,MATCH(0,COUNTIF($B$11:B1788,Transactions!$F$8:$F$3006),0))),"")</f>
        <v/>
      </c>
      <c r="C1789" s="50" t="str">
        <f>IF(B1789="","",SUMIF(Transactions!$F$8:$F$3006,B1789,Transactions!$H$8:$H$3006))</f>
        <v/>
      </c>
      <c r="D1789" s="51" t="str">
        <f>IF(B1789="","",SUMIF(Transactions!$F$8:$F$3006,B1789,Transactions!$N$8:$N$3006))</f>
        <v/>
      </c>
      <c r="E1789" s="52" t="str">
        <f>IF(B1789="","",SUMIF(Transactions!$F$8:$F$3006,B1789,Transactions!$O$8:$O$3006))</f>
        <v/>
      </c>
      <c r="F1789" s="53" t="str">
        <f>IF(B1789="","",SUMIF(Transactions!$F$8:$F$3006,B1789,Transactions!$R$8:$R$3006))</f>
        <v/>
      </c>
      <c r="G1789" s="54" t="str">
        <f>IF(B1789="","",(C1789+F1789)-(D1789+E1789+SUMIF(Transactions!$F$8:$F$3006,B1789,Transactions!$Q$8:$Q$3006)))</f>
        <v/>
      </c>
      <c r="H1789" s="55" t="str">
        <f>IF(B1789="","",IF(G1789&gt;0,"OUTSTANDING",IF(G1789=0,"SETTLED",IF(SUMIF(Transactions!$F$8:$F$3006,B1789,Transactions!$Q$8:$Q$3006)&gt;SUMIF(Transactions!$F$8:$F$3006,B1789,Transactions!$R$8:$R$3006),"OWES","OVERPAID"))))</f>
        <v/>
      </c>
      <c r="I1789" s="1"/>
    </row>
    <row r="1790" spans="1:9" ht="18" customHeight="1" x14ac:dyDescent="0.25">
      <c r="A1790" s="40">
        <v>1775</v>
      </c>
      <c r="B1790" s="41" t="str">
        <f t="array" ref="B1790">IFERROR(IF(INDEX(Transactions!$F$8:$F$3006,MATCH(0,COUNTIF($B$11:B1789,Transactions!$F$8:$F$3006),0))="","",INDEX(Transactions!$F$8:$F$3006,MATCH(0,COUNTIF($B$11:B1789,Transactions!$F$8:$F$3006),0))),"")</f>
        <v/>
      </c>
      <c r="C1790" s="42" t="str">
        <f>IF(B1790="","",SUMIF(Transactions!$F$8:$F$3006,B1790,Transactions!$H$8:$H$3006))</f>
        <v/>
      </c>
      <c r="D1790" s="43" t="str">
        <f>IF(B1790="","",SUMIF(Transactions!$F$8:$F$3006,B1790,Transactions!$N$8:$N$3006))</f>
        <v/>
      </c>
      <c r="E1790" s="44" t="str">
        <f>IF(B1790="","",SUMIF(Transactions!$F$8:$F$3006,B1790,Transactions!$O$8:$O$3006))</f>
        <v/>
      </c>
      <c r="F1790" s="45" t="str">
        <f>IF(B1790="","",SUMIF(Transactions!$F$8:$F$3006,B1790,Transactions!$R$8:$R$3006))</f>
        <v/>
      </c>
      <c r="G1790" s="46" t="str">
        <f>IF(B1790="","",(C1790+F1790)-(D1790+E1790+SUMIF(Transactions!$F$8:$F$3006,B1790,Transactions!$Q$8:$Q$3006)))</f>
        <v/>
      </c>
      <c r="H1790" s="47" t="str">
        <f>IF(B1790="","",IF(G1790&gt;0,"OUTSTANDING",IF(G1790=0,"SETTLED",IF(SUMIF(Transactions!$F$8:$F$3006,B1790,Transactions!$Q$8:$Q$3006)&gt;SUMIF(Transactions!$F$8:$F$3006,B1790,Transactions!$R$8:$R$3006),"OWES","OVERPAID"))))</f>
        <v/>
      </c>
      <c r="I1790" s="1"/>
    </row>
    <row r="1791" spans="1:9" ht="18" customHeight="1" x14ac:dyDescent="0.25">
      <c r="A1791" s="48">
        <v>1776</v>
      </c>
      <c r="B1791" s="49" t="str">
        <f t="array" ref="B1791">IFERROR(IF(INDEX(Transactions!$F$8:$F$3006,MATCH(0,COUNTIF($B$11:B1790,Transactions!$F$8:$F$3006),0))="","",INDEX(Transactions!$F$8:$F$3006,MATCH(0,COUNTIF($B$11:B1790,Transactions!$F$8:$F$3006),0))),"")</f>
        <v/>
      </c>
      <c r="C1791" s="50" t="str">
        <f>IF(B1791="","",SUMIF(Transactions!$F$8:$F$3006,B1791,Transactions!$H$8:$H$3006))</f>
        <v/>
      </c>
      <c r="D1791" s="51" t="str">
        <f>IF(B1791="","",SUMIF(Transactions!$F$8:$F$3006,B1791,Transactions!$N$8:$N$3006))</f>
        <v/>
      </c>
      <c r="E1791" s="52" t="str">
        <f>IF(B1791="","",SUMIF(Transactions!$F$8:$F$3006,B1791,Transactions!$O$8:$O$3006))</f>
        <v/>
      </c>
      <c r="F1791" s="53" t="str">
        <f>IF(B1791="","",SUMIF(Transactions!$F$8:$F$3006,B1791,Transactions!$R$8:$R$3006))</f>
        <v/>
      </c>
      <c r="G1791" s="54" t="str">
        <f>IF(B1791="","",(C1791+F1791)-(D1791+E1791+SUMIF(Transactions!$F$8:$F$3006,B1791,Transactions!$Q$8:$Q$3006)))</f>
        <v/>
      </c>
      <c r="H1791" s="55" t="str">
        <f>IF(B1791="","",IF(G1791&gt;0,"OUTSTANDING",IF(G1791=0,"SETTLED",IF(SUMIF(Transactions!$F$8:$F$3006,B1791,Transactions!$Q$8:$Q$3006)&gt;SUMIF(Transactions!$F$8:$F$3006,B1791,Transactions!$R$8:$R$3006),"OWES","OVERPAID"))))</f>
        <v/>
      </c>
      <c r="I1791" s="1"/>
    </row>
    <row r="1792" spans="1:9" ht="18" customHeight="1" x14ac:dyDescent="0.25">
      <c r="A1792" s="40">
        <v>1777</v>
      </c>
      <c r="B1792" s="41" t="str">
        <f t="array" ref="B1792">IFERROR(IF(INDEX(Transactions!$F$8:$F$3006,MATCH(0,COUNTIF($B$11:B1791,Transactions!$F$8:$F$3006),0))="","",INDEX(Transactions!$F$8:$F$3006,MATCH(0,COUNTIF($B$11:B1791,Transactions!$F$8:$F$3006),0))),"")</f>
        <v/>
      </c>
      <c r="C1792" s="42" t="str">
        <f>IF(B1792="","",SUMIF(Transactions!$F$8:$F$3006,B1792,Transactions!$H$8:$H$3006))</f>
        <v/>
      </c>
      <c r="D1792" s="43" t="str">
        <f>IF(B1792="","",SUMIF(Transactions!$F$8:$F$3006,B1792,Transactions!$N$8:$N$3006))</f>
        <v/>
      </c>
      <c r="E1792" s="44" t="str">
        <f>IF(B1792="","",SUMIF(Transactions!$F$8:$F$3006,B1792,Transactions!$O$8:$O$3006))</f>
        <v/>
      </c>
      <c r="F1792" s="45" t="str">
        <f>IF(B1792="","",SUMIF(Transactions!$F$8:$F$3006,B1792,Transactions!$R$8:$R$3006))</f>
        <v/>
      </c>
      <c r="G1792" s="46" t="str">
        <f>IF(B1792="","",(C1792+F1792)-(D1792+E1792+SUMIF(Transactions!$F$8:$F$3006,B1792,Transactions!$Q$8:$Q$3006)))</f>
        <v/>
      </c>
      <c r="H1792" s="47" t="str">
        <f>IF(B1792="","",IF(G1792&gt;0,"OUTSTANDING",IF(G1792=0,"SETTLED",IF(SUMIF(Transactions!$F$8:$F$3006,B1792,Transactions!$Q$8:$Q$3006)&gt;SUMIF(Transactions!$F$8:$F$3006,B1792,Transactions!$R$8:$R$3006),"OWES","OVERPAID"))))</f>
        <v/>
      </c>
      <c r="I1792" s="1"/>
    </row>
    <row r="1793" spans="1:9" ht="18" customHeight="1" x14ac:dyDescent="0.25">
      <c r="A1793" s="48">
        <v>1778</v>
      </c>
      <c r="B1793" s="49" t="str">
        <f t="array" ref="B1793">IFERROR(IF(INDEX(Transactions!$F$8:$F$3006,MATCH(0,COUNTIF($B$11:B1792,Transactions!$F$8:$F$3006),0))="","",INDEX(Transactions!$F$8:$F$3006,MATCH(0,COUNTIF($B$11:B1792,Transactions!$F$8:$F$3006),0))),"")</f>
        <v/>
      </c>
      <c r="C1793" s="50" t="str">
        <f>IF(B1793="","",SUMIF(Transactions!$F$8:$F$3006,B1793,Transactions!$H$8:$H$3006))</f>
        <v/>
      </c>
      <c r="D1793" s="51" t="str">
        <f>IF(B1793="","",SUMIF(Transactions!$F$8:$F$3006,B1793,Transactions!$N$8:$N$3006))</f>
        <v/>
      </c>
      <c r="E1793" s="52" t="str">
        <f>IF(B1793="","",SUMIF(Transactions!$F$8:$F$3006,B1793,Transactions!$O$8:$O$3006))</f>
        <v/>
      </c>
      <c r="F1793" s="53" t="str">
        <f>IF(B1793="","",SUMIF(Transactions!$F$8:$F$3006,B1793,Transactions!$R$8:$R$3006))</f>
        <v/>
      </c>
      <c r="G1793" s="54" t="str">
        <f>IF(B1793="","",(C1793+F1793)-(D1793+E1793+SUMIF(Transactions!$F$8:$F$3006,B1793,Transactions!$Q$8:$Q$3006)))</f>
        <v/>
      </c>
      <c r="H1793" s="55" t="str">
        <f>IF(B1793="","",IF(G1793&gt;0,"OUTSTANDING",IF(G1793=0,"SETTLED",IF(SUMIF(Transactions!$F$8:$F$3006,B1793,Transactions!$Q$8:$Q$3006)&gt;SUMIF(Transactions!$F$8:$F$3006,B1793,Transactions!$R$8:$R$3006),"OWES","OVERPAID"))))</f>
        <v/>
      </c>
      <c r="I1793" s="1"/>
    </row>
    <row r="1794" spans="1:9" ht="18" customHeight="1" x14ac:dyDescent="0.25">
      <c r="A1794" s="40">
        <v>1779</v>
      </c>
      <c r="B1794" s="41" t="str">
        <f t="array" ref="B1794">IFERROR(IF(INDEX(Transactions!$F$8:$F$3006,MATCH(0,COUNTIF($B$11:B1793,Transactions!$F$8:$F$3006),0))="","",INDEX(Transactions!$F$8:$F$3006,MATCH(0,COUNTIF($B$11:B1793,Transactions!$F$8:$F$3006),0))),"")</f>
        <v/>
      </c>
      <c r="C1794" s="42" t="str">
        <f>IF(B1794="","",SUMIF(Transactions!$F$8:$F$3006,B1794,Transactions!$H$8:$H$3006))</f>
        <v/>
      </c>
      <c r="D1794" s="43" t="str">
        <f>IF(B1794="","",SUMIF(Transactions!$F$8:$F$3006,B1794,Transactions!$N$8:$N$3006))</f>
        <v/>
      </c>
      <c r="E1794" s="44" t="str">
        <f>IF(B1794="","",SUMIF(Transactions!$F$8:$F$3006,B1794,Transactions!$O$8:$O$3006))</f>
        <v/>
      </c>
      <c r="F1794" s="45" t="str">
        <f>IF(B1794="","",SUMIF(Transactions!$F$8:$F$3006,B1794,Transactions!$R$8:$R$3006))</f>
        <v/>
      </c>
      <c r="G1794" s="46" t="str">
        <f>IF(B1794="","",(C1794+F1794)-(D1794+E1794+SUMIF(Transactions!$F$8:$F$3006,B1794,Transactions!$Q$8:$Q$3006)))</f>
        <v/>
      </c>
      <c r="H1794" s="47" t="str">
        <f>IF(B1794="","",IF(G1794&gt;0,"OUTSTANDING",IF(G1794=0,"SETTLED",IF(SUMIF(Transactions!$F$8:$F$3006,B1794,Transactions!$Q$8:$Q$3006)&gt;SUMIF(Transactions!$F$8:$F$3006,B1794,Transactions!$R$8:$R$3006),"OWES","OVERPAID"))))</f>
        <v/>
      </c>
      <c r="I1794" s="1"/>
    </row>
    <row r="1795" spans="1:9" ht="18" customHeight="1" x14ac:dyDescent="0.25">
      <c r="A1795" s="48">
        <v>1780</v>
      </c>
      <c r="B1795" s="49" t="str">
        <f t="array" ref="B1795">IFERROR(IF(INDEX(Transactions!$F$8:$F$3006,MATCH(0,COUNTIF($B$11:B1794,Transactions!$F$8:$F$3006),0))="","",INDEX(Transactions!$F$8:$F$3006,MATCH(0,COUNTIF($B$11:B1794,Transactions!$F$8:$F$3006),0))),"")</f>
        <v/>
      </c>
      <c r="C1795" s="50" t="str">
        <f>IF(B1795="","",SUMIF(Transactions!$F$8:$F$3006,B1795,Transactions!$H$8:$H$3006))</f>
        <v/>
      </c>
      <c r="D1795" s="51" t="str">
        <f>IF(B1795="","",SUMIF(Transactions!$F$8:$F$3006,B1795,Transactions!$N$8:$N$3006))</f>
        <v/>
      </c>
      <c r="E1795" s="52" t="str">
        <f>IF(B1795="","",SUMIF(Transactions!$F$8:$F$3006,B1795,Transactions!$O$8:$O$3006))</f>
        <v/>
      </c>
      <c r="F1795" s="53" t="str">
        <f>IF(B1795="","",SUMIF(Transactions!$F$8:$F$3006,B1795,Transactions!$R$8:$R$3006))</f>
        <v/>
      </c>
      <c r="G1795" s="54" t="str">
        <f>IF(B1795="","",(C1795+F1795)-(D1795+E1795+SUMIF(Transactions!$F$8:$F$3006,B1795,Transactions!$Q$8:$Q$3006)))</f>
        <v/>
      </c>
      <c r="H1795" s="55" t="str">
        <f>IF(B1795="","",IF(G1795&gt;0,"OUTSTANDING",IF(G1795=0,"SETTLED",IF(SUMIF(Transactions!$F$8:$F$3006,B1795,Transactions!$Q$8:$Q$3006)&gt;SUMIF(Transactions!$F$8:$F$3006,B1795,Transactions!$R$8:$R$3006),"OWES","OVERPAID"))))</f>
        <v/>
      </c>
      <c r="I1795" s="1"/>
    </row>
    <row r="1796" spans="1:9" ht="18" customHeight="1" x14ac:dyDescent="0.25">
      <c r="A1796" s="40">
        <v>1781</v>
      </c>
      <c r="B1796" s="41" t="str">
        <f t="array" ref="B1796">IFERROR(IF(INDEX(Transactions!$F$8:$F$3006,MATCH(0,COUNTIF($B$11:B1795,Transactions!$F$8:$F$3006),0))="","",INDEX(Transactions!$F$8:$F$3006,MATCH(0,COUNTIF($B$11:B1795,Transactions!$F$8:$F$3006),0))),"")</f>
        <v/>
      </c>
      <c r="C1796" s="42" t="str">
        <f>IF(B1796="","",SUMIF(Transactions!$F$8:$F$3006,B1796,Transactions!$H$8:$H$3006))</f>
        <v/>
      </c>
      <c r="D1796" s="43" t="str">
        <f>IF(B1796="","",SUMIF(Transactions!$F$8:$F$3006,B1796,Transactions!$N$8:$N$3006))</f>
        <v/>
      </c>
      <c r="E1796" s="44" t="str">
        <f>IF(B1796="","",SUMIF(Transactions!$F$8:$F$3006,B1796,Transactions!$O$8:$O$3006))</f>
        <v/>
      </c>
      <c r="F1796" s="45" t="str">
        <f>IF(B1796="","",SUMIF(Transactions!$F$8:$F$3006,B1796,Transactions!$R$8:$R$3006))</f>
        <v/>
      </c>
      <c r="G1796" s="46" t="str">
        <f>IF(B1796="","",(C1796+F1796)-(D1796+E1796+SUMIF(Transactions!$F$8:$F$3006,B1796,Transactions!$Q$8:$Q$3006)))</f>
        <v/>
      </c>
      <c r="H1796" s="47" t="str">
        <f>IF(B1796="","",IF(G1796&gt;0,"OUTSTANDING",IF(G1796=0,"SETTLED",IF(SUMIF(Transactions!$F$8:$F$3006,B1796,Transactions!$Q$8:$Q$3006)&gt;SUMIF(Transactions!$F$8:$F$3006,B1796,Transactions!$R$8:$R$3006),"OWES","OVERPAID"))))</f>
        <v/>
      </c>
      <c r="I1796" s="1"/>
    </row>
    <row r="1797" spans="1:9" ht="18" customHeight="1" x14ac:dyDescent="0.25">
      <c r="A1797" s="48">
        <v>1782</v>
      </c>
      <c r="B1797" s="49" t="str">
        <f t="array" ref="B1797">IFERROR(IF(INDEX(Transactions!$F$8:$F$3006,MATCH(0,COUNTIF($B$11:B1796,Transactions!$F$8:$F$3006),0))="","",INDEX(Transactions!$F$8:$F$3006,MATCH(0,COUNTIF($B$11:B1796,Transactions!$F$8:$F$3006),0))),"")</f>
        <v/>
      </c>
      <c r="C1797" s="50" t="str">
        <f>IF(B1797="","",SUMIF(Transactions!$F$8:$F$3006,B1797,Transactions!$H$8:$H$3006))</f>
        <v/>
      </c>
      <c r="D1797" s="51" t="str">
        <f>IF(B1797="","",SUMIF(Transactions!$F$8:$F$3006,B1797,Transactions!$N$8:$N$3006))</f>
        <v/>
      </c>
      <c r="E1797" s="52" t="str">
        <f>IF(B1797="","",SUMIF(Transactions!$F$8:$F$3006,B1797,Transactions!$O$8:$O$3006))</f>
        <v/>
      </c>
      <c r="F1797" s="53" t="str">
        <f>IF(B1797="","",SUMIF(Transactions!$F$8:$F$3006,B1797,Transactions!$R$8:$R$3006))</f>
        <v/>
      </c>
      <c r="G1797" s="54" t="str">
        <f>IF(B1797="","",(C1797+F1797)-(D1797+E1797+SUMIF(Transactions!$F$8:$F$3006,B1797,Transactions!$Q$8:$Q$3006)))</f>
        <v/>
      </c>
      <c r="H1797" s="55" t="str">
        <f>IF(B1797="","",IF(G1797&gt;0,"OUTSTANDING",IF(G1797=0,"SETTLED",IF(SUMIF(Transactions!$F$8:$F$3006,B1797,Transactions!$Q$8:$Q$3006)&gt;SUMIF(Transactions!$F$8:$F$3006,B1797,Transactions!$R$8:$R$3006),"OWES","OVERPAID"))))</f>
        <v/>
      </c>
      <c r="I1797" s="1"/>
    </row>
    <row r="1798" spans="1:9" ht="18" customHeight="1" x14ac:dyDescent="0.25">
      <c r="A1798" s="40">
        <v>1783</v>
      </c>
      <c r="B1798" s="41" t="str">
        <f t="array" ref="B1798">IFERROR(IF(INDEX(Transactions!$F$8:$F$3006,MATCH(0,COUNTIF($B$11:B1797,Transactions!$F$8:$F$3006),0))="","",INDEX(Transactions!$F$8:$F$3006,MATCH(0,COUNTIF($B$11:B1797,Transactions!$F$8:$F$3006),0))),"")</f>
        <v/>
      </c>
      <c r="C1798" s="42" t="str">
        <f>IF(B1798="","",SUMIF(Transactions!$F$8:$F$3006,B1798,Transactions!$H$8:$H$3006))</f>
        <v/>
      </c>
      <c r="D1798" s="43" t="str">
        <f>IF(B1798="","",SUMIF(Transactions!$F$8:$F$3006,B1798,Transactions!$N$8:$N$3006))</f>
        <v/>
      </c>
      <c r="E1798" s="44" t="str">
        <f>IF(B1798="","",SUMIF(Transactions!$F$8:$F$3006,B1798,Transactions!$O$8:$O$3006))</f>
        <v/>
      </c>
      <c r="F1798" s="45" t="str">
        <f>IF(B1798="","",SUMIF(Transactions!$F$8:$F$3006,B1798,Transactions!$R$8:$R$3006))</f>
        <v/>
      </c>
      <c r="G1798" s="46" t="str">
        <f>IF(B1798="","",(C1798+F1798)-(D1798+E1798+SUMIF(Transactions!$F$8:$F$3006,B1798,Transactions!$Q$8:$Q$3006)))</f>
        <v/>
      </c>
      <c r="H1798" s="47" t="str">
        <f>IF(B1798="","",IF(G1798&gt;0,"OUTSTANDING",IF(G1798=0,"SETTLED",IF(SUMIF(Transactions!$F$8:$F$3006,B1798,Transactions!$Q$8:$Q$3006)&gt;SUMIF(Transactions!$F$8:$F$3006,B1798,Transactions!$R$8:$R$3006),"OWES","OVERPAID"))))</f>
        <v/>
      </c>
      <c r="I1798" s="1"/>
    </row>
    <row r="1799" spans="1:9" ht="18" customHeight="1" x14ac:dyDescent="0.25">
      <c r="A1799" s="48">
        <v>1784</v>
      </c>
      <c r="B1799" s="49" t="str">
        <f t="array" ref="B1799">IFERROR(IF(INDEX(Transactions!$F$8:$F$3006,MATCH(0,COUNTIF($B$11:B1798,Transactions!$F$8:$F$3006),0))="","",INDEX(Transactions!$F$8:$F$3006,MATCH(0,COUNTIF($B$11:B1798,Transactions!$F$8:$F$3006),0))),"")</f>
        <v/>
      </c>
      <c r="C1799" s="50" t="str">
        <f>IF(B1799="","",SUMIF(Transactions!$F$8:$F$3006,B1799,Transactions!$H$8:$H$3006))</f>
        <v/>
      </c>
      <c r="D1799" s="51" t="str">
        <f>IF(B1799="","",SUMIF(Transactions!$F$8:$F$3006,B1799,Transactions!$N$8:$N$3006))</f>
        <v/>
      </c>
      <c r="E1799" s="52" t="str">
        <f>IF(B1799="","",SUMIF(Transactions!$F$8:$F$3006,B1799,Transactions!$O$8:$O$3006))</f>
        <v/>
      </c>
      <c r="F1799" s="53" t="str">
        <f>IF(B1799="","",SUMIF(Transactions!$F$8:$F$3006,B1799,Transactions!$R$8:$R$3006))</f>
        <v/>
      </c>
      <c r="G1799" s="54" t="str">
        <f>IF(B1799="","",(C1799+F1799)-(D1799+E1799+SUMIF(Transactions!$F$8:$F$3006,B1799,Transactions!$Q$8:$Q$3006)))</f>
        <v/>
      </c>
      <c r="H1799" s="55" t="str">
        <f>IF(B1799="","",IF(G1799&gt;0,"OUTSTANDING",IF(G1799=0,"SETTLED",IF(SUMIF(Transactions!$F$8:$F$3006,B1799,Transactions!$Q$8:$Q$3006)&gt;SUMIF(Transactions!$F$8:$F$3006,B1799,Transactions!$R$8:$R$3006),"OWES","OVERPAID"))))</f>
        <v/>
      </c>
      <c r="I1799" s="1"/>
    </row>
    <row r="1800" spans="1:9" ht="18" customHeight="1" x14ac:dyDescent="0.25">
      <c r="A1800" s="40">
        <v>1785</v>
      </c>
      <c r="B1800" s="41" t="str">
        <f t="array" ref="B1800">IFERROR(IF(INDEX(Transactions!$F$8:$F$3006,MATCH(0,COUNTIF($B$11:B1799,Transactions!$F$8:$F$3006),0))="","",INDEX(Transactions!$F$8:$F$3006,MATCH(0,COUNTIF($B$11:B1799,Transactions!$F$8:$F$3006),0))),"")</f>
        <v/>
      </c>
      <c r="C1800" s="42" t="str">
        <f>IF(B1800="","",SUMIF(Transactions!$F$8:$F$3006,B1800,Transactions!$H$8:$H$3006))</f>
        <v/>
      </c>
      <c r="D1800" s="43" t="str">
        <f>IF(B1800="","",SUMIF(Transactions!$F$8:$F$3006,B1800,Transactions!$N$8:$N$3006))</f>
        <v/>
      </c>
      <c r="E1800" s="44" t="str">
        <f>IF(B1800="","",SUMIF(Transactions!$F$8:$F$3006,B1800,Transactions!$O$8:$O$3006))</f>
        <v/>
      </c>
      <c r="F1800" s="45" t="str">
        <f>IF(B1800="","",SUMIF(Transactions!$F$8:$F$3006,B1800,Transactions!$R$8:$R$3006))</f>
        <v/>
      </c>
      <c r="G1800" s="46" t="str">
        <f>IF(B1800="","",(C1800+F1800)-(D1800+E1800+SUMIF(Transactions!$F$8:$F$3006,B1800,Transactions!$Q$8:$Q$3006)))</f>
        <v/>
      </c>
      <c r="H1800" s="47" t="str">
        <f>IF(B1800="","",IF(G1800&gt;0,"OUTSTANDING",IF(G1800=0,"SETTLED",IF(SUMIF(Transactions!$F$8:$F$3006,B1800,Transactions!$Q$8:$Q$3006)&gt;SUMIF(Transactions!$F$8:$F$3006,B1800,Transactions!$R$8:$R$3006),"OWES","OVERPAID"))))</f>
        <v/>
      </c>
      <c r="I1800" s="1"/>
    </row>
    <row r="1801" spans="1:9" ht="18" customHeight="1" x14ac:dyDescent="0.25">
      <c r="A1801" s="48">
        <v>1786</v>
      </c>
      <c r="B1801" s="49" t="str">
        <f t="array" ref="B1801">IFERROR(IF(INDEX(Transactions!$F$8:$F$3006,MATCH(0,COUNTIF($B$11:B1800,Transactions!$F$8:$F$3006),0))="","",INDEX(Transactions!$F$8:$F$3006,MATCH(0,COUNTIF($B$11:B1800,Transactions!$F$8:$F$3006),0))),"")</f>
        <v/>
      </c>
      <c r="C1801" s="50" t="str">
        <f>IF(B1801="","",SUMIF(Transactions!$F$8:$F$3006,B1801,Transactions!$H$8:$H$3006))</f>
        <v/>
      </c>
      <c r="D1801" s="51" t="str">
        <f>IF(B1801="","",SUMIF(Transactions!$F$8:$F$3006,B1801,Transactions!$N$8:$N$3006))</f>
        <v/>
      </c>
      <c r="E1801" s="52" t="str">
        <f>IF(B1801="","",SUMIF(Transactions!$F$8:$F$3006,B1801,Transactions!$O$8:$O$3006))</f>
        <v/>
      </c>
      <c r="F1801" s="53" t="str">
        <f>IF(B1801="","",SUMIF(Transactions!$F$8:$F$3006,B1801,Transactions!$R$8:$R$3006))</f>
        <v/>
      </c>
      <c r="G1801" s="54" t="str">
        <f>IF(B1801="","",(C1801+F1801)-(D1801+E1801+SUMIF(Transactions!$F$8:$F$3006,B1801,Transactions!$Q$8:$Q$3006)))</f>
        <v/>
      </c>
      <c r="H1801" s="55" t="str">
        <f>IF(B1801="","",IF(G1801&gt;0,"OUTSTANDING",IF(G1801=0,"SETTLED",IF(SUMIF(Transactions!$F$8:$F$3006,B1801,Transactions!$Q$8:$Q$3006)&gt;SUMIF(Transactions!$F$8:$F$3006,B1801,Transactions!$R$8:$R$3006),"OWES","OVERPAID"))))</f>
        <v/>
      </c>
      <c r="I1801" s="1"/>
    </row>
    <row r="1802" spans="1:9" ht="18" customHeight="1" x14ac:dyDescent="0.25">
      <c r="A1802" s="40">
        <v>1787</v>
      </c>
      <c r="B1802" s="41" t="str">
        <f t="array" ref="B1802">IFERROR(IF(INDEX(Transactions!$F$8:$F$3006,MATCH(0,COUNTIF($B$11:B1801,Transactions!$F$8:$F$3006),0))="","",INDEX(Transactions!$F$8:$F$3006,MATCH(0,COUNTIF($B$11:B1801,Transactions!$F$8:$F$3006),0))),"")</f>
        <v/>
      </c>
      <c r="C1802" s="42" t="str">
        <f>IF(B1802="","",SUMIF(Transactions!$F$8:$F$3006,B1802,Transactions!$H$8:$H$3006))</f>
        <v/>
      </c>
      <c r="D1802" s="43" t="str">
        <f>IF(B1802="","",SUMIF(Transactions!$F$8:$F$3006,B1802,Transactions!$N$8:$N$3006))</f>
        <v/>
      </c>
      <c r="E1802" s="44" t="str">
        <f>IF(B1802="","",SUMIF(Transactions!$F$8:$F$3006,B1802,Transactions!$O$8:$O$3006))</f>
        <v/>
      </c>
      <c r="F1802" s="45" t="str">
        <f>IF(B1802="","",SUMIF(Transactions!$F$8:$F$3006,B1802,Transactions!$R$8:$R$3006))</f>
        <v/>
      </c>
      <c r="G1802" s="46" t="str">
        <f>IF(B1802="","",(C1802+F1802)-(D1802+E1802+SUMIF(Transactions!$F$8:$F$3006,B1802,Transactions!$Q$8:$Q$3006)))</f>
        <v/>
      </c>
      <c r="H1802" s="47" t="str">
        <f>IF(B1802="","",IF(G1802&gt;0,"OUTSTANDING",IF(G1802=0,"SETTLED",IF(SUMIF(Transactions!$F$8:$F$3006,B1802,Transactions!$Q$8:$Q$3006)&gt;SUMIF(Transactions!$F$8:$F$3006,B1802,Transactions!$R$8:$R$3006),"OWES","OVERPAID"))))</f>
        <v/>
      </c>
      <c r="I1802" s="1"/>
    </row>
    <row r="1803" spans="1:9" ht="18" customHeight="1" x14ac:dyDescent="0.25">
      <c r="A1803" s="48">
        <v>1788</v>
      </c>
      <c r="B1803" s="49" t="str">
        <f t="array" ref="B1803">IFERROR(IF(INDEX(Transactions!$F$8:$F$3006,MATCH(0,COUNTIF($B$11:B1802,Transactions!$F$8:$F$3006),0))="","",INDEX(Transactions!$F$8:$F$3006,MATCH(0,COUNTIF($B$11:B1802,Transactions!$F$8:$F$3006),0))),"")</f>
        <v/>
      </c>
      <c r="C1803" s="50" t="str">
        <f>IF(B1803="","",SUMIF(Transactions!$F$8:$F$3006,B1803,Transactions!$H$8:$H$3006))</f>
        <v/>
      </c>
      <c r="D1803" s="51" t="str">
        <f>IF(B1803="","",SUMIF(Transactions!$F$8:$F$3006,B1803,Transactions!$N$8:$N$3006))</f>
        <v/>
      </c>
      <c r="E1803" s="52" t="str">
        <f>IF(B1803="","",SUMIF(Transactions!$F$8:$F$3006,B1803,Transactions!$O$8:$O$3006))</f>
        <v/>
      </c>
      <c r="F1803" s="53" t="str">
        <f>IF(B1803="","",SUMIF(Transactions!$F$8:$F$3006,B1803,Transactions!$R$8:$R$3006))</f>
        <v/>
      </c>
      <c r="G1803" s="54" t="str">
        <f>IF(B1803="","",(C1803+F1803)-(D1803+E1803+SUMIF(Transactions!$F$8:$F$3006,B1803,Transactions!$Q$8:$Q$3006)))</f>
        <v/>
      </c>
      <c r="H1803" s="55" t="str">
        <f>IF(B1803="","",IF(G1803&gt;0,"OUTSTANDING",IF(G1803=0,"SETTLED",IF(SUMIF(Transactions!$F$8:$F$3006,B1803,Transactions!$Q$8:$Q$3006)&gt;SUMIF(Transactions!$F$8:$F$3006,B1803,Transactions!$R$8:$R$3006),"OWES","OVERPAID"))))</f>
        <v/>
      </c>
      <c r="I1803" s="1"/>
    </row>
    <row r="1804" spans="1:9" ht="18" customHeight="1" x14ac:dyDescent="0.25">
      <c r="A1804" s="40">
        <v>1789</v>
      </c>
      <c r="B1804" s="41" t="str">
        <f t="array" ref="B1804">IFERROR(IF(INDEX(Transactions!$F$8:$F$3006,MATCH(0,COUNTIF($B$11:B1803,Transactions!$F$8:$F$3006),0))="","",INDEX(Transactions!$F$8:$F$3006,MATCH(0,COUNTIF($B$11:B1803,Transactions!$F$8:$F$3006),0))),"")</f>
        <v/>
      </c>
      <c r="C1804" s="42" t="str">
        <f>IF(B1804="","",SUMIF(Transactions!$F$8:$F$3006,B1804,Transactions!$H$8:$H$3006))</f>
        <v/>
      </c>
      <c r="D1804" s="43" t="str">
        <f>IF(B1804="","",SUMIF(Transactions!$F$8:$F$3006,B1804,Transactions!$N$8:$N$3006))</f>
        <v/>
      </c>
      <c r="E1804" s="44" t="str">
        <f>IF(B1804="","",SUMIF(Transactions!$F$8:$F$3006,B1804,Transactions!$O$8:$O$3006))</f>
        <v/>
      </c>
      <c r="F1804" s="45" t="str">
        <f>IF(B1804="","",SUMIF(Transactions!$F$8:$F$3006,B1804,Transactions!$R$8:$R$3006))</f>
        <v/>
      </c>
      <c r="G1804" s="46" t="str">
        <f>IF(B1804="","",(C1804+F1804)-(D1804+E1804+SUMIF(Transactions!$F$8:$F$3006,B1804,Transactions!$Q$8:$Q$3006)))</f>
        <v/>
      </c>
      <c r="H1804" s="47" t="str">
        <f>IF(B1804="","",IF(G1804&gt;0,"OUTSTANDING",IF(G1804=0,"SETTLED",IF(SUMIF(Transactions!$F$8:$F$3006,B1804,Transactions!$Q$8:$Q$3006)&gt;SUMIF(Transactions!$F$8:$F$3006,B1804,Transactions!$R$8:$R$3006),"OWES","OVERPAID"))))</f>
        <v/>
      </c>
      <c r="I1804" s="1"/>
    </row>
    <row r="1805" spans="1:9" ht="18" customHeight="1" x14ac:dyDescent="0.25">
      <c r="A1805" s="48">
        <v>1790</v>
      </c>
      <c r="B1805" s="49" t="str">
        <f t="array" ref="B1805">IFERROR(IF(INDEX(Transactions!$F$8:$F$3006,MATCH(0,COUNTIF($B$11:B1804,Transactions!$F$8:$F$3006),0))="","",INDEX(Transactions!$F$8:$F$3006,MATCH(0,COUNTIF($B$11:B1804,Transactions!$F$8:$F$3006),0))),"")</f>
        <v/>
      </c>
      <c r="C1805" s="50" t="str">
        <f>IF(B1805="","",SUMIF(Transactions!$F$8:$F$3006,B1805,Transactions!$H$8:$H$3006))</f>
        <v/>
      </c>
      <c r="D1805" s="51" t="str">
        <f>IF(B1805="","",SUMIF(Transactions!$F$8:$F$3006,B1805,Transactions!$N$8:$N$3006))</f>
        <v/>
      </c>
      <c r="E1805" s="52" t="str">
        <f>IF(B1805="","",SUMIF(Transactions!$F$8:$F$3006,B1805,Transactions!$O$8:$O$3006))</f>
        <v/>
      </c>
      <c r="F1805" s="53" t="str">
        <f>IF(B1805="","",SUMIF(Transactions!$F$8:$F$3006,B1805,Transactions!$R$8:$R$3006))</f>
        <v/>
      </c>
      <c r="G1805" s="54" t="str">
        <f>IF(B1805="","",(C1805+F1805)-(D1805+E1805+SUMIF(Transactions!$F$8:$F$3006,B1805,Transactions!$Q$8:$Q$3006)))</f>
        <v/>
      </c>
      <c r="H1805" s="55" t="str">
        <f>IF(B1805="","",IF(G1805&gt;0,"OUTSTANDING",IF(G1805=0,"SETTLED",IF(SUMIF(Transactions!$F$8:$F$3006,B1805,Transactions!$Q$8:$Q$3006)&gt;SUMIF(Transactions!$F$8:$F$3006,B1805,Transactions!$R$8:$R$3006),"OWES","OVERPAID"))))</f>
        <v/>
      </c>
      <c r="I1805" s="1"/>
    </row>
    <row r="1806" spans="1:9" ht="18" customHeight="1" x14ac:dyDescent="0.25">
      <c r="A1806" s="40">
        <v>1791</v>
      </c>
      <c r="B1806" s="41" t="str">
        <f t="array" ref="B1806">IFERROR(IF(INDEX(Transactions!$F$8:$F$3006,MATCH(0,COUNTIF($B$11:B1805,Transactions!$F$8:$F$3006),0))="","",INDEX(Transactions!$F$8:$F$3006,MATCH(0,COUNTIF($B$11:B1805,Transactions!$F$8:$F$3006),0))),"")</f>
        <v/>
      </c>
      <c r="C1806" s="42" t="str">
        <f>IF(B1806="","",SUMIF(Transactions!$F$8:$F$3006,B1806,Transactions!$H$8:$H$3006))</f>
        <v/>
      </c>
      <c r="D1806" s="43" t="str">
        <f>IF(B1806="","",SUMIF(Transactions!$F$8:$F$3006,B1806,Transactions!$N$8:$N$3006))</f>
        <v/>
      </c>
      <c r="E1806" s="44" t="str">
        <f>IF(B1806="","",SUMIF(Transactions!$F$8:$F$3006,B1806,Transactions!$O$8:$O$3006))</f>
        <v/>
      </c>
      <c r="F1806" s="45" t="str">
        <f>IF(B1806="","",SUMIF(Transactions!$F$8:$F$3006,B1806,Transactions!$R$8:$R$3006))</f>
        <v/>
      </c>
      <c r="G1806" s="46" t="str">
        <f>IF(B1806="","",(C1806+F1806)-(D1806+E1806+SUMIF(Transactions!$F$8:$F$3006,B1806,Transactions!$Q$8:$Q$3006)))</f>
        <v/>
      </c>
      <c r="H1806" s="47" t="str">
        <f>IF(B1806="","",IF(G1806&gt;0,"OUTSTANDING",IF(G1806=0,"SETTLED",IF(SUMIF(Transactions!$F$8:$F$3006,B1806,Transactions!$Q$8:$Q$3006)&gt;SUMIF(Transactions!$F$8:$F$3006,B1806,Transactions!$R$8:$R$3006),"OWES","OVERPAID"))))</f>
        <v/>
      </c>
      <c r="I1806" s="1"/>
    </row>
    <row r="1807" spans="1:9" ht="18" customHeight="1" x14ac:dyDescent="0.25">
      <c r="A1807" s="48">
        <v>1792</v>
      </c>
      <c r="B1807" s="49" t="str">
        <f t="array" ref="B1807">IFERROR(IF(INDEX(Transactions!$F$8:$F$3006,MATCH(0,COUNTIF($B$11:B1806,Transactions!$F$8:$F$3006),0))="","",INDEX(Transactions!$F$8:$F$3006,MATCH(0,COUNTIF($B$11:B1806,Transactions!$F$8:$F$3006),0))),"")</f>
        <v/>
      </c>
      <c r="C1807" s="50" t="str">
        <f>IF(B1807="","",SUMIF(Transactions!$F$8:$F$3006,B1807,Transactions!$H$8:$H$3006))</f>
        <v/>
      </c>
      <c r="D1807" s="51" t="str">
        <f>IF(B1807="","",SUMIF(Transactions!$F$8:$F$3006,B1807,Transactions!$N$8:$N$3006))</f>
        <v/>
      </c>
      <c r="E1807" s="52" t="str">
        <f>IF(B1807="","",SUMIF(Transactions!$F$8:$F$3006,B1807,Transactions!$O$8:$O$3006))</f>
        <v/>
      </c>
      <c r="F1807" s="53" t="str">
        <f>IF(B1807="","",SUMIF(Transactions!$F$8:$F$3006,B1807,Transactions!$R$8:$R$3006))</f>
        <v/>
      </c>
      <c r="G1807" s="54" t="str">
        <f>IF(B1807="","",(C1807+F1807)-(D1807+E1807+SUMIF(Transactions!$F$8:$F$3006,B1807,Transactions!$Q$8:$Q$3006)))</f>
        <v/>
      </c>
      <c r="H1807" s="55" t="str">
        <f>IF(B1807="","",IF(G1807&gt;0,"OUTSTANDING",IF(G1807=0,"SETTLED",IF(SUMIF(Transactions!$F$8:$F$3006,B1807,Transactions!$Q$8:$Q$3006)&gt;SUMIF(Transactions!$F$8:$F$3006,B1807,Transactions!$R$8:$R$3006),"OWES","OVERPAID"))))</f>
        <v/>
      </c>
      <c r="I1807" s="1"/>
    </row>
    <row r="1808" spans="1:9" ht="18" customHeight="1" x14ac:dyDescent="0.25">
      <c r="A1808" s="40">
        <v>1793</v>
      </c>
      <c r="B1808" s="41" t="str">
        <f t="array" ref="B1808">IFERROR(IF(INDEX(Transactions!$F$8:$F$3006,MATCH(0,COUNTIF($B$11:B1807,Transactions!$F$8:$F$3006),0))="","",INDEX(Transactions!$F$8:$F$3006,MATCH(0,COUNTIF($B$11:B1807,Transactions!$F$8:$F$3006),0))),"")</f>
        <v/>
      </c>
      <c r="C1808" s="42" t="str">
        <f>IF(B1808="","",SUMIF(Transactions!$F$8:$F$3006,B1808,Transactions!$H$8:$H$3006))</f>
        <v/>
      </c>
      <c r="D1808" s="43" t="str">
        <f>IF(B1808="","",SUMIF(Transactions!$F$8:$F$3006,B1808,Transactions!$N$8:$N$3006))</f>
        <v/>
      </c>
      <c r="E1808" s="44" t="str">
        <f>IF(B1808="","",SUMIF(Transactions!$F$8:$F$3006,B1808,Transactions!$O$8:$O$3006))</f>
        <v/>
      </c>
      <c r="F1808" s="45" t="str">
        <f>IF(B1808="","",SUMIF(Transactions!$F$8:$F$3006,B1808,Transactions!$R$8:$R$3006))</f>
        <v/>
      </c>
      <c r="G1808" s="46" t="str">
        <f>IF(B1808="","",(C1808+F1808)-(D1808+E1808+SUMIF(Transactions!$F$8:$F$3006,B1808,Transactions!$Q$8:$Q$3006)))</f>
        <v/>
      </c>
      <c r="H1808" s="47" t="str">
        <f>IF(B1808="","",IF(G1808&gt;0,"OUTSTANDING",IF(G1808=0,"SETTLED",IF(SUMIF(Transactions!$F$8:$F$3006,B1808,Transactions!$Q$8:$Q$3006)&gt;SUMIF(Transactions!$F$8:$F$3006,B1808,Transactions!$R$8:$R$3006),"OWES","OVERPAID"))))</f>
        <v/>
      </c>
      <c r="I1808" s="1"/>
    </row>
    <row r="1809" spans="1:9" ht="18" customHeight="1" x14ac:dyDescent="0.25">
      <c r="A1809" s="48">
        <v>1794</v>
      </c>
      <c r="B1809" s="49" t="str">
        <f t="array" ref="B1809">IFERROR(IF(INDEX(Transactions!$F$8:$F$3006,MATCH(0,COUNTIF($B$11:B1808,Transactions!$F$8:$F$3006),0))="","",INDEX(Transactions!$F$8:$F$3006,MATCH(0,COUNTIF($B$11:B1808,Transactions!$F$8:$F$3006),0))),"")</f>
        <v/>
      </c>
      <c r="C1809" s="50" t="str">
        <f>IF(B1809="","",SUMIF(Transactions!$F$8:$F$3006,B1809,Transactions!$H$8:$H$3006))</f>
        <v/>
      </c>
      <c r="D1809" s="51" t="str">
        <f>IF(B1809="","",SUMIF(Transactions!$F$8:$F$3006,B1809,Transactions!$N$8:$N$3006))</f>
        <v/>
      </c>
      <c r="E1809" s="52" t="str">
        <f>IF(B1809="","",SUMIF(Transactions!$F$8:$F$3006,B1809,Transactions!$O$8:$O$3006))</f>
        <v/>
      </c>
      <c r="F1809" s="53" t="str">
        <f>IF(B1809="","",SUMIF(Transactions!$F$8:$F$3006,B1809,Transactions!$R$8:$R$3006))</f>
        <v/>
      </c>
      <c r="G1809" s="54" t="str">
        <f>IF(B1809="","",(C1809+F1809)-(D1809+E1809+SUMIF(Transactions!$F$8:$F$3006,B1809,Transactions!$Q$8:$Q$3006)))</f>
        <v/>
      </c>
      <c r="H1809" s="55" t="str">
        <f>IF(B1809="","",IF(G1809&gt;0,"OUTSTANDING",IF(G1809=0,"SETTLED",IF(SUMIF(Transactions!$F$8:$F$3006,B1809,Transactions!$Q$8:$Q$3006)&gt;SUMIF(Transactions!$F$8:$F$3006,B1809,Transactions!$R$8:$R$3006),"OWES","OVERPAID"))))</f>
        <v/>
      </c>
      <c r="I1809" s="1"/>
    </row>
    <row r="1810" spans="1:9" ht="18" customHeight="1" x14ac:dyDescent="0.25">
      <c r="A1810" s="40">
        <v>1795</v>
      </c>
      <c r="B1810" s="41" t="str">
        <f t="array" ref="B1810">IFERROR(IF(INDEX(Transactions!$F$8:$F$3006,MATCH(0,COUNTIF($B$11:B1809,Transactions!$F$8:$F$3006),0))="","",INDEX(Transactions!$F$8:$F$3006,MATCH(0,COUNTIF($B$11:B1809,Transactions!$F$8:$F$3006),0))),"")</f>
        <v/>
      </c>
      <c r="C1810" s="42" t="str">
        <f>IF(B1810="","",SUMIF(Transactions!$F$8:$F$3006,B1810,Transactions!$H$8:$H$3006))</f>
        <v/>
      </c>
      <c r="D1810" s="43" t="str">
        <f>IF(B1810="","",SUMIF(Transactions!$F$8:$F$3006,B1810,Transactions!$N$8:$N$3006))</f>
        <v/>
      </c>
      <c r="E1810" s="44" t="str">
        <f>IF(B1810="","",SUMIF(Transactions!$F$8:$F$3006,B1810,Transactions!$O$8:$O$3006))</f>
        <v/>
      </c>
      <c r="F1810" s="45" t="str">
        <f>IF(B1810="","",SUMIF(Transactions!$F$8:$F$3006,B1810,Transactions!$R$8:$R$3006))</f>
        <v/>
      </c>
      <c r="G1810" s="46" t="str">
        <f>IF(B1810="","",(C1810+F1810)-(D1810+E1810+SUMIF(Transactions!$F$8:$F$3006,B1810,Transactions!$Q$8:$Q$3006)))</f>
        <v/>
      </c>
      <c r="H1810" s="47" t="str">
        <f>IF(B1810="","",IF(G1810&gt;0,"OUTSTANDING",IF(G1810=0,"SETTLED",IF(SUMIF(Transactions!$F$8:$F$3006,B1810,Transactions!$Q$8:$Q$3006)&gt;SUMIF(Transactions!$F$8:$F$3006,B1810,Transactions!$R$8:$R$3006),"OWES","OVERPAID"))))</f>
        <v/>
      </c>
      <c r="I1810" s="1"/>
    </row>
    <row r="1811" spans="1:9" ht="18" customHeight="1" x14ac:dyDescent="0.25">
      <c r="A1811" s="48">
        <v>1796</v>
      </c>
      <c r="B1811" s="49" t="str">
        <f t="array" ref="B1811">IFERROR(IF(INDEX(Transactions!$F$8:$F$3006,MATCH(0,COUNTIF($B$11:B1810,Transactions!$F$8:$F$3006),0))="","",INDEX(Transactions!$F$8:$F$3006,MATCH(0,COUNTIF($B$11:B1810,Transactions!$F$8:$F$3006),0))),"")</f>
        <v/>
      </c>
      <c r="C1811" s="50" t="str">
        <f>IF(B1811="","",SUMIF(Transactions!$F$8:$F$3006,B1811,Transactions!$H$8:$H$3006))</f>
        <v/>
      </c>
      <c r="D1811" s="51" t="str">
        <f>IF(B1811="","",SUMIF(Transactions!$F$8:$F$3006,B1811,Transactions!$N$8:$N$3006))</f>
        <v/>
      </c>
      <c r="E1811" s="52" t="str">
        <f>IF(B1811="","",SUMIF(Transactions!$F$8:$F$3006,B1811,Transactions!$O$8:$O$3006))</f>
        <v/>
      </c>
      <c r="F1811" s="53" t="str">
        <f>IF(B1811="","",SUMIF(Transactions!$F$8:$F$3006,B1811,Transactions!$R$8:$R$3006))</f>
        <v/>
      </c>
      <c r="G1811" s="54" t="str">
        <f>IF(B1811="","",(C1811+F1811)-(D1811+E1811+SUMIF(Transactions!$F$8:$F$3006,B1811,Transactions!$Q$8:$Q$3006)))</f>
        <v/>
      </c>
      <c r="H1811" s="55" t="str">
        <f>IF(B1811="","",IF(G1811&gt;0,"OUTSTANDING",IF(G1811=0,"SETTLED",IF(SUMIF(Transactions!$F$8:$F$3006,B1811,Transactions!$Q$8:$Q$3006)&gt;SUMIF(Transactions!$F$8:$F$3006,B1811,Transactions!$R$8:$R$3006),"OWES","OVERPAID"))))</f>
        <v/>
      </c>
      <c r="I1811" s="1"/>
    </row>
    <row r="1812" spans="1:9" ht="18" customHeight="1" x14ac:dyDescent="0.25">
      <c r="A1812" s="40">
        <v>1797</v>
      </c>
      <c r="B1812" s="41" t="str">
        <f t="array" ref="B1812">IFERROR(IF(INDEX(Transactions!$F$8:$F$3006,MATCH(0,COUNTIF($B$11:B1811,Transactions!$F$8:$F$3006),0))="","",INDEX(Transactions!$F$8:$F$3006,MATCH(0,COUNTIF($B$11:B1811,Transactions!$F$8:$F$3006),0))),"")</f>
        <v/>
      </c>
      <c r="C1812" s="42" t="str">
        <f>IF(B1812="","",SUMIF(Transactions!$F$8:$F$3006,B1812,Transactions!$H$8:$H$3006))</f>
        <v/>
      </c>
      <c r="D1812" s="43" t="str">
        <f>IF(B1812="","",SUMIF(Transactions!$F$8:$F$3006,B1812,Transactions!$N$8:$N$3006))</f>
        <v/>
      </c>
      <c r="E1812" s="44" t="str">
        <f>IF(B1812="","",SUMIF(Transactions!$F$8:$F$3006,B1812,Transactions!$O$8:$O$3006))</f>
        <v/>
      </c>
      <c r="F1812" s="45" t="str">
        <f>IF(B1812="","",SUMIF(Transactions!$F$8:$F$3006,B1812,Transactions!$R$8:$R$3006))</f>
        <v/>
      </c>
      <c r="G1812" s="46" t="str">
        <f>IF(B1812="","",(C1812+F1812)-(D1812+E1812+SUMIF(Transactions!$F$8:$F$3006,B1812,Transactions!$Q$8:$Q$3006)))</f>
        <v/>
      </c>
      <c r="H1812" s="47" t="str">
        <f>IF(B1812="","",IF(G1812&gt;0,"OUTSTANDING",IF(G1812=0,"SETTLED",IF(SUMIF(Transactions!$F$8:$F$3006,B1812,Transactions!$Q$8:$Q$3006)&gt;SUMIF(Transactions!$F$8:$F$3006,B1812,Transactions!$R$8:$R$3006),"OWES","OVERPAID"))))</f>
        <v/>
      </c>
      <c r="I1812" s="1"/>
    </row>
    <row r="1813" spans="1:9" ht="18" customHeight="1" x14ac:dyDescent="0.25">
      <c r="A1813" s="48">
        <v>1798</v>
      </c>
      <c r="B1813" s="49" t="str">
        <f t="array" ref="B1813">IFERROR(IF(INDEX(Transactions!$F$8:$F$3006,MATCH(0,COUNTIF($B$11:B1812,Transactions!$F$8:$F$3006),0))="","",INDEX(Transactions!$F$8:$F$3006,MATCH(0,COUNTIF($B$11:B1812,Transactions!$F$8:$F$3006),0))),"")</f>
        <v/>
      </c>
      <c r="C1813" s="50" t="str">
        <f>IF(B1813="","",SUMIF(Transactions!$F$8:$F$3006,B1813,Transactions!$H$8:$H$3006))</f>
        <v/>
      </c>
      <c r="D1813" s="51" t="str">
        <f>IF(B1813="","",SUMIF(Transactions!$F$8:$F$3006,B1813,Transactions!$N$8:$N$3006))</f>
        <v/>
      </c>
      <c r="E1813" s="52" t="str">
        <f>IF(B1813="","",SUMIF(Transactions!$F$8:$F$3006,B1813,Transactions!$O$8:$O$3006))</f>
        <v/>
      </c>
      <c r="F1813" s="53" t="str">
        <f>IF(B1813="","",SUMIF(Transactions!$F$8:$F$3006,B1813,Transactions!$R$8:$R$3006))</f>
        <v/>
      </c>
      <c r="G1813" s="54" t="str">
        <f>IF(B1813="","",(C1813+F1813)-(D1813+E1813+SUMIF(Transactions!$F$8:$F$3006,B1813,Transactions!$Q$8:$Q$3006)))</f>
        <v/>
      </c>
      <c r="H1813" s="55" t="str">
        <f>IF(B1813="","",IF(G1813&gt;0,"OUTSTANDING",IF(G1813=0,"SETTLED",IF(SUMIF(Transactions!$F$8:$F$3006,B1813,Transactions!$Q$8:$Q$3006)&gt;SUMIF(Transactions!$F$8:$F$3006,B1813,Transactions!$R$8:$R$3006),"OWES","OVERPAID"))))</f>
        <v/>
      </c>
      <c r="I1813" s="1"/>
    </row>
    <row r="1814" spans="1:9" ht="18" customHeight="1" x14ac:dyDescent="0.25">
      <c r="A1814" s="40">
        <v>1799</v>
      </c>
      <c r="B1814" s="41" t="str">
        <f t="array" ref="B1814">IFERROR(IF(INDEX(Transactions!$F$8:$F$3006,MATCH(0,COUNTIF($B$11:B1813,Transactions!$F$8:$F$3006),0))="","",INDEX(Transactions!$F$8:$F$3006,MATCH(0,COUNTIF($B$11:B1813,Transactions!$F$8:$F$3006),0))),"")</f>
        <v/>
      </c>
      <c r="C1814" s="42" t="str">
        <f>IF(B1814="","",SUMIF(Transactions!$F$8:$F$3006,B1814,Transactions!$H$8:$H$3006))</f>
        <v/>
      </c>
      <c r="D1814" s="43" t="str">
        <f>IF(B1814="","",SUMIF(Transactions!$F$8:$F$3006,B1814,Transactions!$N$8:$N$3006))</f>
        <v/>
      </c>
      <c r="E1814" s="44" t="str">
        <f>IF(B1814="","",SUMIF(Transactions!$F$8:$F$3006,B1814,Transactions!$O$8:$O$3006))</f>
        <v/>
      </c>
      <c r="F1814" s="45" t="str">
        <f>IF(B1814="","",SUMIF(Transactions!$F$8:$F$3006,B1814,Transactions!$R$8:$R$3006))</f>
        <v/>
      </c>
      <c r="G1814" s="46" t="str">
        <f>IF(B1814="","",(C1814+F1814)-(D1814+E1814+SUMIF(Transactions!$F$8:$F$3006,B1814,Transactions!$Q$8:$Q$3006)))</f>
        <v/>
      </c>
      <c r="H1814" s="47" t="str">
        <f>IF(B1814="","",IF(G1814&gt;0,"OUTSTANDING",IF(G1814=0,"SETTLED",IF(SUMIF(Transactions!$F$8:$F$3006,B1814,Transactions!$Q$8:$Q$3006)&gt;SUMIF(Transactions!$F$8:$F$3006,B1814,Transactions!$R$8:$R$3006),"OWES","OVERPAID"))))</f>
        <v/>
      </c>
      <c r="I1814" s="1"/>
    </row>
    <row r="1815" spans="1:9" ht="18" customHeight="1" x14ac:dyDescent="0.25">
      <c r="A1815" s="48">
        <v>1800</v>
      </c>
      <c r="B1815" s="49" t="str">
        <f t="array" ref="B1815">IFERROR(IF(INDEX(Transactions!$F$8:$F$3006,MATCH(0,COUNTIF($B$11:B1814,Transactions!$F$8:$F$3006),0))="","",INDEX(Transactions!$F$8:$F$3006,MATCH(0,COUNTIF($B$11:B1814,Transactions!$F$8:$F$3006),0))),"")</f>
        <v/>
      </c>
      <c r="C1815" s="50" t="str">
        <f>IF(B1815="","",SUMIF(Transactions!$F$8:$F$3006,B1815,Transactions!$H$8:$H$3006))</f>
        <v/>
      </c>
      <c r="D1815" s="51" t="str">
        <f>IF(B1815="","",SUMIF(Transactions!$F$8:$F$3006,B1815,Transactions!$N$8:$N$3006))</f>
        <v/>
      </c>
      <c r="E1815" s="52" t="str">
        <f>IF(B1815="","",SUMIF(Transactions!$F$8:$F$3006,B1815,Transactions!$O$8:$O$3006))</f>
        <v/>
      </c>
      <c r="F1815" s="53" t="str">
        <f>IF(B1815="","",SUMIF(Transactions!$F$8:$F$3006,B1815,Transactions!$R$8:$R$3006))</f>
        <v/>
      </c>
      <c r="G1815" s="54" t="str">
        <f>IF(B1815="","",(C1815+F1815)-(D1815+E1815+SUMIF(Transactions!$F$8:$F$3006,B1815,Transactions!$Q$8:$Q$3006)))</f>
        <v/>
      </c>
      <c r="H1815" s="55" t="str">
        <f>IF(B1815="","",IF(G1815&gt;0,"OUTSTANDING",IF(G1815=0,"SETTLED",IF(SUMIF(Transactions!$F$8:$F$3006,B1815,Transactions!$Q$8:$Q$3006)&gt;SUMIF(Transactions!$F$8:$F$3006,B1815,Transactions!$R$8:$R$3006),"OWES","OVERPAID"))))</f>
        <v/>
      </c>
      <c r="I1815" s="1"/>
    </row>
    <row r="1816" spans="1:9" ht="18" customHeight="1" x14ac:dyDescent="0.25">
      <c r="A1816" s="40">
        <v>1801</v>
      </c>
      <c r="B1816" s="41" t="str">
        <f t="array" ref="B1816">IFERROR(IF(INDEX(Transactions!$F$8:$F$3006,MATCH(0,COUNTIF($B$11:B1815,Transactions!$F$8:$F$3006),0))="","",INDEX(Transactions!$F$8:$F$3006,MATCH(0,COUNTIF($B$11:B1815,Transactions!$F$8:$F$3006),0))),"")</f>
        <v/>
      </c>
      <c r="C1816" s="42" t="str">
        <f>IF(B1816="","",SUMIF(Transactions!$F$8:$F$3006,B1816,Transactions!$H$8:$H$3006))</f>
        <v/>
      </c>
      <c r="D1816" s="43" t="str">
        <f>IF(B1816="","",SUMIF(Transactions!$F$8:$F$3006,B1816,Transactions!$N$8:$N$3006))</f>
        <v/>
      </c>
      <c r="E1816" s="44" t="str">
        <f>IF(B1816="","",SUMIF(Transactions!$F$8:$F$3006,B1816,Transactions!$O$8:$O$3006))</f>
        <v/>
      </c>
      <c r="F1816" s="45" t="str">
        <f>IF(B1816="","",SUMIF(Transactions!$F$8:$F$3006,B1816,Transactions!$R$8:$R$3006))</f>
        <v/>
      </c>
      <c r="G1816" s="46" t="str">
        <f>IF(B1816="","",(C1816+F1816)-(D1816+E1816+SUMIF(Transactions!$F$8:$F$3006,B1816,Transactions!$Q$8:$Q$3006)))</f>
        <v/>
      </c>
      <c r="H1816" s="47" t="str">
        <f>IF(B1816="","",IF(G1816&gt;0,"OUTSTANDING",IF(G1816=0,"SETTLED",IF(SUMIF(Transactions!$F$8:$F$3006,B1816,Transactions!$Q$8:$Q$3006)&gt;SUMIF(Transactions!$F$8:$F$3006,B1816,Transactions!$R$8:$R$3006),"OWES","OVERPAID"))))</f>
        <v/>
      </c>
      <c r="I1816" s="1"/>
    </row>
    <row r="1817" spans="1:9" ht="18" customHeight="1" x14ac:dyDescent="0.25">
      <c r="A1817" s="48">
        <v>1802</v>
      </c>
      <c r="B1817" s="49" t="str">
        <f t="array" ref="B1817">IFERROR(IF(INDEX(Transactions!$F$8:$F$3006,MATCH(0,COUNTIF($B$11:B1816,Transactions!$F$8:$F$3006),0))="","",INDEX(Transactions!$F$8:$F$3006,MATCH(0,COUNTIF($B$11:B1816,Transactions!$F$8:$F$3006),0))),"")</f>
        <v/>
      </c>
      <c r="C1817" s="50" t="str">
        <f>IF(B1817="","",SUMIF(Transactions!$F$8:$F$3006,B1817,Transactions!$H$8:$H$3006))</f>
        <v/>
      </c>
      <c r="D1817" s="51" t="str">
        <f>IF(B1817="","",SUMIF(Transactions!$F$8:$F$3006,B1817,Transactions!$N$8:$N$3006))</f>
        <v/>
      </c>
      <c r="E1817" s="52" t="str">
        <f>IF(B1817="","",SUMIF(Transactions!$F$8:$F$3006,B1817,Transactions!$O$8:$O$3006))</f>
        <v/>
      </c>
      <c r="F1817" s="53" t="str">
        <f>IF(B1817="","",SUMIF(Transactions!$F$8:$F$3006,B1817,Transactions!$R$8:$R$3006))</f>
        <v/>
      </c>
      <c r="G1817" s="54" t="str">
        <f>IF(B1817="","",(C1817+F1817)-(D1817+E1817+SUMIF(Transactions!$F$8:$F$3006,B1817,Transactions!$Q$8:$Q$3006)))</f>
        <v/>
      </c>
      <c r="H1817" s="55" t="str">
        <f>IF(B1817="","",IF(G1817&gt;0,"OUTSTANDING",IF(G1817=0,"SETTLED",IF(SUMIF(Transactions!$F$8:$F$3006,B1817,Transactions!$Q$8:$Q$3006)&gt;SUMIF(Transactions!$F$8:$F$3006,B1817,Transactions!$R$8:$R$3006),"OWES","OVERPAID"))))</f>
        <v/>
      </c>
      <c r="I1817" s="1"/>
    </row>
    <row r="1818" spans="1:9" ht="18" customHeight="1" x14ac:dyDescent="0.25">
      <c r="A1818" s="40">
        <v>1803</v>
      </c>
      <c r="B1818" s="41" t="str">
        <f t="array" ref="B1818">IFERROR(IF(INDEX(Transactions!$F$8:$F$3006,MATCH(0,COUNTIF($B$11:B1817,Transactions!$F$8:$F$3006),0))="","",INDEX(Transactions!$F$8:$F$3006,MATCH(0,COUNTIF($B$11:B1817,Transactions!$F$8:$F$3006),0))),"")</f>
        <v/>
      </c>
      <c r="C1818" s="42" t="str">
        <f>IF(B1818="","",SUMIF(Transactions!$F$8:$F$3006,B1818,Transactions!$H$8:$H$3006))</f>
        <v/>
      </c>
      <c r="D1818" s="43" t="str">
        <f>IF(B1818="","",SUMIF(Transactions!$F$8:$F$3006,B1818,Transactions!$N$8:$N$3006))</f>
        <v/>
      </c>
      <c r="E1818" s="44" t="str">
        <f>IF(B1818="","",SUMIF(Transactions!$F$8:$F$3006,B1818,Transactions!$O$8:$O$3006))</f>
        <v/>
      </c>
      <c r="F1818" s="45" t="str">
        <f>IF(B1818="","",SUMIF(Transactions!$F$8:$F$3006,B1818,Transactions!$R$8:$R$3006))</f>
        <v/>
      </c>
      <c r="G1818" s="46" t="str">
        <f>IF(B1818="","",(C1818+F1818)-(D1818+E1818+SUMIF(Transactions!$F$8:$F$3006,B1818,Transactions!$Q$8:$Q$3006)))</f>
        <v/>
      </c>
      <c r="H1818" s="47" t="str">
        <f>IF(B1818="","",IF(G1818&gt;0,"OUTSTANDING",IF(G1818=0,"SETTLED",IF(SUMIF(Transactions!$F$8:$F$3006,B1818,Transactions!$Q$8:$Q$3006)&gt;SUMIF(Transactions!$F$8:$F$3006,B1818,Transactions!$R$8:$R$3006),"OWES","OVERPAID"))))</f>
        <v/>
      </c>
      <c r="I1818" s="1"/>
    </row>
    <row r="1819" spans="1:9" ht="18" customHeight="1" x14ac:dyDescent="0.25">
      <c r="A1819" s="48">
        <v>1804</v>
      </c>
      <c r="B1819" s="49" t="str">
        <f t="array" ref="B1819">IFERROR(IF(INDEX(Transactions!$F$8:$F$3006,MATCH(0,COUNTIF($B$11:B1818,Transactions!$F$8:$F$3006),0))="","",INDEX(Transactions!$F$8:$F$3006,MATCH(0,COUNTIF($B$11:B1818,Transactions!$F$8:$F$3006),0))),"")</f>
        <v/>
      </c>
      <c r="C1819" s="50" t="str">
        <f>IF(B1819="","",SUMIF(Transactions!$F$8:$F$3006,B1819,Transactions!$H$8:$H$3006))</f>
        <v/>
      </c>
      <c r="D1819" s="51" t="str">
        <f>IF(B1819="","",SUMIF(Transactions!$F$8:$F$3006,B1819,Transactions!$N$8:$N$3006))</f>
        <v/>
      </c>
      <c r="E1819" s="52" t="str">
        <f>IF(B1819="","",SUMIF(Transactions!$F$8:$F$3006,B1819,Transactions!$O$8:$O$3006))</f>
        <v/>
      </c>
      <c r="F1819" s="53" t="str">
        <f>IF(B1819="","",SUMIF(Transactions!$F$8:$F$3006,B1819,Transactions!$R$8:$R$3006))</f>
        <v/>
      </c>
      <c r="G1819" s="54" t="str">
        <f>IF(B1819="","",(C1819+F1819)-(D1819+E1819+SUMIF(Transactions!$F$8:$F$3006,B1819,Transactions!$Q$8:$Q$3006)))</f>
        <v/>
      </c>
      <c r="H1819" s="55" t="str">
        <f>IF(B1819="","",IF(G1819&gt;0,"OUTSTANDING",IF(G1819=0,"SETTLED",IF(SUMIF(Transactions!$F$8:$F$3006,B1819,Transactions!$Q$8:$Q$3006)&gt;SUMIF(Transactions!$F$8:$F$3006,B1819,Transactions!$R$8:$R$3006),"OWES","OVERPAID"))))</f>
        <v/>
      </c>
      <c r="I1819" s="1"/>
    </row>
    <row r="1820" spans="1:9" ht="18" customHeight="1" x14ac:dyDescent="0.25">
      <c r="A1820" s="40">
        <v>1805</v>
      </c>
      <c r="B1820" s="41" t="str">
        <f t="array" ref="B1820">IFERROR(IF(INDEX(Transactions!$F$8:$F$3006,MATCH(0,COUNTIF($B$11:B1819,Transactions!$F$8:$F$3006),0))="","",INDEX(Transactions!$F$8:$F$3006,MATCH(0,COUNTIF($B$11:B1819,Transactions!$F$8:$F$3006),0))),"")</f>
        <v/>
      </c>
      <c r="C1820" s="42" t="str">
        <f>IF(B1820="","",SUMIF(Transactions!$F$8:$F$3006,B1820,Transactions!$H$8:$H$3006))</f>
        <v/>
      </c>
      <c r="D1820" s="43" t="str">
        <f>IF(B1820="","",SUMIF(Transactions!$F$8:$F$3006,B1820,Transactions!$N$8:$N$3006))</f>
        <v/>
      </c>
      <c r="E1820" s="44" t="str">
        <f>IF(B1820="","",SUMIF(Transactions!$F$8:$F$3006,B1820,Transactions!$O$8:$O$3006))</f>
        <v/>
      </c>
      <c r="F1820" s="45" t="str">
        <f>IF(B1820="","",SUMIF(Transactions!$F$8:$F$3006,B1820,Transactions!$R$8:$R$3006))</f>
        <v/>
      </c>
      <c r="G1820" s="46" t="str">
        <f>IF(B1820="","",(C1820+F1820)-(D1820+E1820+SUMIF(Transactions!$F$8:$F$3006,B1820,Transactions!$Q$8:$Q$3006)))</f>
        <v/>
      </c>
      <c r="H1820" s="47" t="str">
        <f>IF(B1820="","",IF(G1820&gt;0,"OUTSTANDING",IF(G1820=0,"SETTLED",IF(SUMIF(Transactions!$F$8:$F$3006,B1820,Transactions!$Q$8:$Q$3006)&gt;SUMIF(Transactions!$F$8:$F$3006,B1820,Transactions!$R$8:$R$3006),"OWES","OVERPAID"))))</f>
        <v/>
      </c>
      <c r="I1820" s="1"/>
    </row>
    <row r="1821" spans="1:9" ht="18" customHeight="1" x14ac:dyDescent="0.25">
      <c r="A1821" s="48">
        <v>1806</v>
      </c>
      <c r="B1821" s="49" t="str">
        <f t="array" ref="B1821">IFERROR(IF(INDEX(Transactions!$F$8:$F$3006,MATCH(0,COUNTIF($B$11:B1820,Transactions!$F$8:$F$3006),0))="","",INDEX(Transactions!$F$8:$F$3006,MATCH(0,COUNTIF($B$11:B1820,Transactions!$F$8:$F$3006),0))),"")</f>
        <v/>
      </c>
      <c r="C1821" s="50" t="str">
        <f>IF(B1821="","",SUMIF(Transactions!$F$8:$F$3006,B1821,Transactions!$H$8:$H$3006))</f>
        <v/>
      </c>
      <c r="D1821" s="51" t="str">
        <f>IF(B1821="","",SUMIF(Transactions!$F$8:$F$3006,B1821,Transactions!$N$8:$N$3006))</f>
        <v/>
      </c>
      <c r="E1821" s="52" t="str">
        <f>IF(B1821="","",SUMIF(Transactions!$F$8:$F$3006,B1821,Transactions!$O$8:$O$3006))</f>
        <v/>
      </c>
      <c r="F1821" s="53" t="str">
        <f>IF(B1821="","",SUMIF(Transactions!$F$8:$F$3006,B1821,Transactions!$R$8:$R$3006))</f>
        <v/>
      </c>
      <c r="G1821" s="54" t="str">
        <f>IF(B1821="","",(C1821+F1821)-(D1821+E1821+SUMIF(Transactions!$F$8:$F$3006,B1821,Transactions!$Q$8:$Q$3006)))</f>
        <v/>
      </c>
      <c r="H1821" s="55" t="str">
        <f>IF(B1821="","",IF(G1821&gt;0,"OUTSTANDING",IF(G1821=0,"SETTLED",IF(SUMIF(Transactions!$F$8:$F$3006,B1821,Transactions!$Q$8:$Q$3006)&gt;SUMIF(Transactions!$F$8:$F$3006,B1821,Transactions!$R$8:$R$3006),"OWES","OVERPAID"))))</f>
        <v/>
      </c>
      <c r="I1821" s="1"/>
    </row>
    <row r="1822" spans="1:9" ht="18" customHeight="1" x14ac:dyDescent="0.25">
      <c r="A1822" s="40">
        <v>1807</v>
      </c>
      <c r="B1822" s="41" t="str">
        <f t="array" ref="B1822">IFERROR(IF(INDEX(Transactions!$F$8:$F$3006,MATCH(0,COUNTIF($B$11:B1821,Transactions!$F$8:$F$3006),0))="","",INDEX(Transactions!$F$8:$F$3006,MATCH(0,COUNTIF($B$11:B1821,Transactions!$F$8:$F$3006),0))),"")</f>
        <v/>
      </c>
      <c r="C1822" s="42" t="str">
        <f>IF(B1822="","",SUMIF(Transactions!$F$8:$F$3006,B1822,Transactions!$H$8:$H$3006))</f>
        <v/>
      </c>
      <c r="D1822" s="43" t="str">
        <f>IF(B1822="","",SUMIF(Transactions!$F$8:$F$3006,B1822,Transactions!$N$8:$N$3006))</f>
        <v/>
      </c>
      <c r="E1822" s="44" t="str">
        <f>IF(B1822="","",SUMIF(Transactions!$F$8:$F$3006,B1822,Transactions!$O$8:$O$3006))</f>
        <v/>
      </c>
      <c r="F1822" s="45" t="str">
        <f>IF(B1822="","",SUMIF(Transactions!$F$8:$F$3006,B1822,Transactions!$R$8:$R$3006))</f>
        <v/>
      </c>
      <c r="G1822" s="46" t="str">
        <f>IF(B1822="","",(C1822+F1822)-(D1822+E1822+SUMIF(Transactions!$F$8:$F$3006,B1822,Transactions!$Q$8:$Q$3006)))</f>
        <v/>
      </c>
      <c r="H1822" s="47" t="str">
        <f>IF(B1822="","",IF(G1822&gt;0,"OUTSTANDING",IF(G1822=0,"SETTLED",IF(SUMIF(Transactions!$F$8:$F$3006,B1822,Transactions!$Q$8:$Q$3006)&gt;SUMIF(Transactions!$F$8:$F$3006,B1822,Transactions!$R$8:$R$3006),"OWES","OVERPAID"))))</f>
        <v/>
      </c>
      <c r="I1822" s="1"/>
    </row>
    <row r="1823" spans="1:9" ht="18" customHeight="1" x14ac:dyDescent="0.25">
      <c r="A1823" s="48">
        <v>1808</v>
      </c>
      <c r="B1823" s="49" t="str">
        <f t="array" ref="B1823">IFERROR(IF(INDEX(Transactions!$F$8:$F$3006,MATCH(0,COUNTIF($B$11:B1822,Transactions!$F$8:$F$3006),0))="","",INDEX(Transactions!$F$8:$F$3006,MATCH(0,COUNTIF($B$11:B1822,Transactions!$F$8:$F$3006),0))),"")</f>
        <v/>
      </c>
      <c r="C1823" s="50" t="str">
        <f>IF(B1823="","",SUMIF(Transactions!$F$8:$F$3006,B1823,Transactions!$H$8:$H$3006))</f>
        <v/>
      </c>
      <c r="D1823" s="51" t="str">
        <f>IF(B1823="","",SUMIF(Transactions!$F$8:$F$3006,B1823,Transactions!$N$8:$N$3006))</f>
        <v/>
      </c>
      <c r="E1823" s="52" t="str">
        <f>IF(B1823="","",SUMIF(Transactions!$F$8:$F$3006,B1823,Transactions!$O$8:$O$3006))</f>
        <v/>
      </c>
      <c r="F1823" s="53" t="str">
        <f>IF(B1823="","",SUMIF(Transactions!$F$8:$F$3006,B1823,Transactions!$R$8:$R$3006))</f>
        <v/>
      </c>
      <c r="G1823" s="54" t="str">
        <f>IF(B1823="","",(C1823+F1823)-(D1823+E1823+SUMIF(Transactions!$F$8:$F$3006,B1823,Transactions!$Q$8:$Q$3006)))</f>
        <v/>
      </c>
      <c r="H1823" s="55" t="str">
        <f>IF(B1823="","",IF(G1823&gt;0,"OUTSTANDING",IF(G1823=0,"SETTLED",IF(SUMIF(Transactions!$F$8:$F$3006,B1823,Transactions!$Q$8:$Q$3006)&gt;SUMIF(Transactions!$F$8:$F$3006,B1823,Transactions!$R$8:$R$3006),"OWES","OVERPAID"))))</f>
        <v/>
      </c>
      <c r="I1823" s="1"/>
    </row>
    <row r="1824" spans="1:9" ht="18" customHeight="1" x14ac:dyDescent="0.25">
      <c r="A1824" s="40">
        <v>1809</v>
      </c>
      <c r="B1824" s="41" t="str">
        <f t="array" ref="B1824">IFERROR(IF(INDEX(Transactions!$F$8:$F$3006,MATCH(0,COUNTIF($B$11:B1823,Transactions!$F$8:$F$3006),0))="","",INDEX(Transactions!$F$8:$F$3006,MATCH(0,COUNTIF($B$11:B1823,Transactions!$F$8:$F$3006),0))),"")</f>
        <v/>
      </c>
      <c r="C1824" s="42" t="str">
        <f>IF(B1824="","",SUMIF(Transactions!$F$8:$F$3006,B1824,Transactions!$H$8:$H$3006))</f>
        <v/>
      </c>
      <c r="D1824" s="43" t="str">
        <f>IF(B1824="","",SUMIF(Transactions!$F$8:$F$3006,B1824,Transactions!$N$8:$N$3006))</f>
        <v/>
      </c>
      <c r="E1824" s="44" t="str">
        <f>IF(B1824="","",SUMIF(Transactions!$F$8:$F$3006,B1824,Transactions!$O$8:$O$3006))</f>
        <v/>
      </c>
      <c r="F1824" s="45" t="str">
        <f>IF(B1824="","",SUMIF(Transactions!$F$8:$F$3006,B1824,Transactions!$R$8:$R$3006))</f>
        <v/>
      </c>
      <c r="G1824" s="46" t="str">
        <f>IF(B1824="","",(C1824+F1824)-(D1824+E1824+SUMIF(Transactions!$F$8:$F$3006,B1824,Transactions!$Q$8:$Q$3006)))</f>
        <v/>
      </c>
      <c r="H1824" s="47" t="str">
        <f>IF(B1824="","",IF(G1824&gt;0,"OUTSTANDING",IF(G1824=0,"SETTLED",IF(SUMIF(Transactions!$F$8:$F$3006,B1824,Transactions!$Q$8:$Q$3006)&gt;SUMIF(Transactions!$F$8:$F$3006,B1824,Transactions!$R$8:$R$3006),"OWES","OVERPAID"))))</f>
        <v/>
      </c>
      <c r="I1824" s="1"/>
    </row>
    <row r="1825" spans="1:9" ht="18" customHeight="1" x14ac:dyDescent="0.25">
      <c r="A1825" s="48">
        <v>1810</v>
      </c>
      <c r="B1825" s="49" t="str">
        <f t="array" ref="B1825">IFERROR(IF(INDEX(Transactions!$F$8:$F$3006,MATCH(0,COUNTIF($B$11:B1824,Transactions!$F$8:$F$3006),0))="","",INDEX(Transactions!$F$8:$F$3006,MATCH(0,COUNTIF($B$11:B1824,Transactions!$F$8:$F$3006),0))),"")</f>
        <v/>
      </c>
      <c r="C1825" s="50" t="str">
        <f>IF(B1825="","",SUMIF(Transactions!$F$8:$F$3006,B1825,Transactions!$H$8:$H$3006))</f>
        <v/>
      </c>
      <c r="D1825" s="51" t="str">
        <f>IF(B1825="","",SUMIF(Transactions!$F$8:$F$3006,B1825,Transactions!$N$8:$N$3006))</f>
        <v/>
      </c>
      <c r="E1825" s="52" t="str">
        <f>IF(B1825="","",SUMIF(Transactions!$F$8:$F$3006,B1825,Transactions!$O$8:$O$3006))</f>
        <v/>
      </c>
      <c r="F1825" s="53" t="str">
        <f>IF(B1825="","",SUMIF(Transactions!$F$8:$F$3006,B1825,Transactions!$R$8:$R$3006))</f>
        <v/>
      </c>
      <c r="G1825" s="54" t="str">
        <f>IF(B1825="","",(C1825+F1825)-(D1825+E1825+SUMIF(Transactions!$F$8:$F$3006,B1825,Transactions!$Q$8:$Q$3006)))</f>
        <v/>
      </c>
      <c r="H1825" s="55" t="str">
        <f>IF(B1825="","",IF(G1825&gt;0,"OUTSTANDING",IF(G1825=0,"SETTLED",IF(SUMIF(Transactions!$F$8:$F$3006,B1825,Transactions!$Q$8:$Q$3006)&gt;SUMIF(Transactions!$F$8:$F$3006,B1825,Transactions!$R$8:$R$3006),"OWES","OVERPAID"))))</f>
        <v/>
      </c>
      <c r="I1825" s="1"/>
    </row>
    <row r="1826" spans="1:9" ht="18" customHeight="1" x14ac:dyDescent="0.25">
      <c r="A1826" s="40">
        <v>1811</v>
      </c>
      <c r="B1826" s="41" t="str">
        <f t="array" ref="B1826">IFERROR(IF(INDEX(Transactions!$F$8:$F$3006,MATCH(0,COUNTIF($B$11:B1825,Transactions!$F$8:$F$3006),0))="","",INDEX(Transactions!$F$8:$F$3006,MATCH(0,COUNTIF($B$11:B1825,Transactions!$F$8:$F$3006),0))),"")</f>
        <v/>
      </c>
      <c r="C1826" s="42" t="str">
        <f>IF(B1826="","",SUMIF(Transactions!$F$8:$F$3006,B1826,Transactions!$H$8:$H$3006))</f>
        <v/>
      </c>
      <c r="D1826" s="43" t="str">
        <f>IF(B1826="","",SUMIF(Transactions!$F$8:$F$3006,B1826,Transactions!$N$8:$N$3006))</f>
        <v/>
      </c>
      <c r="E1826" s="44" t="str">
        <f>IF(B1826="","",SUMIF(Transactions!$F$8:$F$3006,B1826,Transactions!$O$8:$O$3006))</f>
        <v/>
      </c>
      <c r="F1826" s="45" t="str">
        <f>IF(B1826="","",SUMIF(Transactions!$F$8:$F$3006,B1826,Transactions!$R$8:$R$3006))</f>
        <v/>
      </c>
      <c r="G1826" s="46" t="str">
        <f>IF(B1826="","",(C1826+F1826)-(D1826+E1826+SUMIF(Transactions!$F$8:$F$3006,B1826,Transactions!$Q$8:$Q$3006)))</f>
        <v/>
      </c>
      <c r="H1826" s="47" t="str">
        <f>IF(B1826="","",IF(G1826&gt;0,"OUTSTANDING",IF(G1826=0,"SETTLED",IF(SUMIF(Transactions!$F$8:$F$3006,B1826,Transactions!$Q$8:$Q$3006)&gt;SUMIF(Transactions!$F$8:$F$3006,B1826,Transactions!$R$8:$R$3006),"OWES","OVERPAID"))))</f>
        <v/>
      </c>
      <c r="I1826" s="1"/>
    </row>
    <row r="1827" spans="1:9" ht="18" customHeight="1" x14ac:dyDescent="0.25">
      <c r="A1827" s="48">
        <v>1812</v>
      </c>
      <c r="B1827" s="49" t="str">
        <f t="array" ref="B1827">IFERROR(IF(INDEX(Transactions!$F$8:$F$3006,MATCH(0,COUNTIF($B$11:B1826,Transactions!$F$8:$F$3006),0))="","",INDEX(Transactions!$F$8:$F$3006,MATCH(0,COUNTIF($B$11:B1826,Transactions!$F$8:$F$3006),0))),"")</f>
        <v/>
      </c>
      <c r="C1827" s="50" t="str">
        <f>IF(B1827="","",SUMIF(Transactions!$F$8:$F$3006,B1827,Transactions!$H$8:$H$3006))</f>
        <v/>
      </c>
      <c r="D1827" s="51" t="str">
        <f>IF(B1827="","",SUMIF(Transactions!$F$8:$F$3006,B1827,Transactions!$N$8:$N$3006))</f>
        <v/>
      </c>
      <c r="E1827" s="52" t="str">
        <f>IF(B1827="","",SUMIF(Transactions!$F$8:$F$3006,B1827,Transactions!$O$8:$O$3006))</f>
        <v/>
      </c>
      <c r="F1827" s="53" t="str">
        <f>IF(B1827="","",SUMIF(Transactions!$F$8:$F$3006,B1827,Transactions!$R$8:$R$3006))</f>
        <v/>
      </c>
      <c r="G1827" s="54" t="str">
        <f>IF(B1827="","",(C1827+F1827)-(D1827+E1827+SUMIF(Transactions!$F$8:$F$3006,B1827,Transactions!$Q$8:$Q$3006)))</f>
        <v/>
      </c>
      <c r="H1827" s="55" t="str">
        <f>IF(B1827="","",IF(G1827&gt;0,"OUTSTANDING",IF(G1827=0,"SETTLED",IF(SUMIF(Transactions!$F$8:$F$3006,B1827,Transactions!$Q$8:$Q$3006)&gt;SUMIF(Transactions!$F$8:$F$3006,B1827,Transactions!$R$8:$R$3006),"OWES","OVERPAID"))))</f>
        <v/>
      </c>
      <c r="I1827" s="1"/>
    </row>
    <row r="1828" spans="1:9" ht="18" customHeight="1" x14ac:dyDescent="0.25">
      <c r="A1828" s="40">
        <v>1813</v>
      </c>
      <c r="B1828" s="41" t="str">
        <f t="array" ref="B1828">IFERROR(IF(INDEX(Transactions!$F$8:$F$3006,MATCH(0,COUNTIF($B$11:B1827,Transactions!$F$8:$F$3006),0))="","",INDEX(Transactions!$F$8:$F$3006,MATCH(0,COUNTIF($B$11:B1827,Transactions!$F$8:$F$3006),0))),"")</f>
        <v/>
      </c>
      <c r="C1828" s="42" t="str">
        <f>IF(B1828="","",SUMIF(Transactions!$F$8:$F$3006,B1828,Transactions!$H$8:$H$3006))</f>
        <v/>
      </c>
      <c r="D1828" s="43" t="str">
        <f>IF(B1828="","",SUMIF(Transactions!$F$8:$F$3006,B1828,Transactions!$N$8:$N$3006))</f>
        <v/>
      </c>
      <c r="E1828" s="44" t="str">
        <f>IF(B1828="","",SUMIF(Transactions!$F$8:$F$3006,B1828,Transactions!$O$8:$O$3006))</f>
        <v/>
      </c>
      <c r="F1828" s="45" t="str">
        <f>IF(B1828="","",SUMIF(Transactions!$F$8:$F$3006,B1828,Transactions!$R$8:$R$3006))</f>
        <v/>
      </c>
      <c r="G1828" s="46" t="str">
        <f>IF(B1828="","",(C1828+F1828)-(D1828+E1828+SUMIF(Transactions!$F$8:$F$3006,B1828,Transactions!$Q$8:$Q$3006)))</f>
        <v/>
      </c>
      <c r="H1828" s="47" t="str">
        <f>IF(B1828="","",IF(G1828&gt;0,"OUTSTANDING",IF(G1828=0,"SETTLED",IF(SUMIF(Transactions!$F$8:$F$3006,B1828,Transactions!$Q$8:$Q$3006)&gt;SUMIF(Transactions!$F$8:$F$3006,B1828,Transactions!$R$8:$R$3006),"OWES","OVERPAID"))))</f>
        <v/>
      </c>
      <c r="I1828" s="1"/>
    </row>
    <row r="1829" spans="1:9" ht="18" customHeight="1" x14ac:dyDescent="0.25">
      <c r="A1829" s="48">
        <v>1814</v>
      </c>
      <c r="B1829" s="49" t="str">
        <f t="array" ref="B1829">IFERROR(IF(INDEX(Transactions!$F$8:$F$3006,MATCH(0,COUNTIF($B$11:B1828,Transactions!$F$8:$F$3006),0))="","",INDEX(Transactions!$F$8:$F$3006,MATCH(0,COUNTIF($B$11:B1828,Transactions!$F$8:$F$3006),0))),"")</f>
        <v/>
      </c>
      <c r="C1829" s="50" t="str">
        <f>IF(B1829="","",SUMIF(Transactions!$F$8:$F$3006,B1829,Transactions!$H$8:$H$3006))</f>
        <v/>
      </c>
      <c r="D1829" s="51" t="str">
        <f>IF(B1829="","",SUMIF(Transactions!$F$8:$F$3006,B1829,Transactions!$N$8:$N$3006))</f>
        <v/>
      </c>
      <c r="E1829" s="52" t="str">
        <f>IF(B1829="","",SUMIF(Transactions!$F$8:$F$3006,B1829,Transactions!$O$8:$O$3006))</f>
        <v/>
      </c>
      <c r="F1829" s="53" t="str">
        <f>IF(B1829="","",SUMIF(Transactions!$F$8:$F$3006,B1829,Transactions!$R$8:$R$3006))</f>
        <v/>
      </c>
      <c r="G1829" s="54" t="str">
        <f>IF(B1829="","",(C1829+F1829)-(D1829+E1829+SUMIF(Transactions!$F$8:$F$3006,B1829,Transactions!$Q$8:$Q$3006)))</f>
        <v/>
      </c>
      <c r="H1829" s="55" t="str">
        <f>IF(B1829="","",IF(G1829&gt;0,"OUTSTANDING",IF(G1829=0,"SETTLED",IF(SUMIF(Transactions!$F$8:$F$3006,B1829,Transactions!$Q$8:$Q$3006)&gt;SUMIF(Transactions!$F$8:$F$3006,B1829,Transactions!$R$8:$R$3006),"OWES","OVERPAID"))))</f>
        <v/>
      </c>
      <c r="I1829" s="1"/>
    </row>
    <row r="1830" spans="1:9" ht="18" customHeight="1" x14ac:dyDescent="0.25">
      <c r="A1830" s="40">
        <v>1815</v>
      </c>
      <c r="B1830" s="41" t="str">
        <f t="array" ref="B1830">IFERROR(IF(INDEX(Transactions!$F$8:$F$3006,MATCH(0,COUNTIF($B$11:B1829,Transactions!$F$8:$F$3006),0))="","",INDEX(Transactions!$F$8:$F$3006,MATCH(0,COUNTIF($B$11:B1829,Transactions!$F$8:$F$3006),0))),"")</f>
        <v/>
      </c>
      <c r="C1830" s="42" t="str">
        <f>IF(B1830="","",SUMIF(Transactions!$F$8:$F$3006,B1830,Transactions!$H$8:$H$3006))</f>
        <v/>
      </c>
      <c r="D1830" s="43" t="str">
        <f>IF(B1830="","",SUMIF(Transactions!$F$8:$F$3006,B1830,Transactions!$N$8:$N$3006))</f>
        <v/>
      </c>
      <c r="E1830" s="44" t="str">
        <f>IF(B1830="","",SUMIF(Transactions!$F$8:$F$3006,B1830,Transactions!$O$8:$O$3006))</f>
        <v/>
      </c>
      <c r="F1830" s="45" t="str">
        <f>IF(B1830="","",SUMIF(Transactions!$F$8:$F$3006,B1830,Transactions!$R$8:$R$3006))</f>
        <v/>
      </c>
      <c r="G1830" s="46" t="str">
        <f>IF(B1830="","",(C1830+F1830)-(D1830+E1830+SUMIF(Transactions!$F$8:$F$3006,B1830,Transactions!$Q$8:$Q$3006)))</f>
        <v/>
      </c>
      <c r="H1830" s="47" t="str">
        <f>IF(B1830="","",IF(G1830&gt;0,"OUTSTANDING",IF(G1830=0,"SETTLED",IF(SUMIF(Transactions!$F$8:$F$3006,B1830,Transactions!$Q$8:$Q$3006)&gt;SUMIF(Transactions!$F$8:$F$3006,B1830,Transactions!$R$8:$R$3006),"OWES","OVERPAID"))))</f>
        <v/>
      </c>
      <c r="I1830" s="1"/>
    </row>
    <row r="1831" spans="1:9" ht="18" customHeight="1" x14ac:dyDescent="0.25">
      <c r="A1831" s="48">
        <v>1816</v>
      </c>
      <c r="B1831" s="49" t="str">
        <f t="array" ref="B1831">IFERROR(IF(INDEX(Transactions!$F$8:$F$3006,MATCH(0,COUNTIF($B$11:B1830,Transactions!$F$8:$F$3006),0))="","",INDEX(Transactions!$F$8:$F$3006,MATCH(0,COUNTIF($B$11:B1830,Transactions!$F$8:$F$3006),0))),"")</f>
        <v/>
      </c>
      <c r="C1831" s="50" t="str">
        <f>IF(B1831="","",SUMIF(Transactions!$F$8:$F$3006,B1831,Transactions!$H$8:$H$3006))</f>
        <v/>
      </c>
      <c r="D1831" s="51" t="str">
        <f>IF(B1831="","",SUMIF(Transactions!$F$8:$F$3006,B1831,Transactions!$N$8:$N$3006))</f>
        <v/>
      </c>
      <c r="E1831" s="52" t="str">
        <f>IF(B1831="","",SUMIF(Transactions!$F$8:$F$3006,B1831,Transactions!$O$8:$O$3006))</f>
        <v/>
      </c>
      <c r="F1831" s="53" t="str">
        <f>IF(B1831="","",SUMIF(Transactions!$F$8:$F$3006,B1831,Transactions!$R$8:$R$3006))</f>
        <v/>
      </c>
      <c r="G1831" s="54" t="str">
        <f>IF(B1831="","",(C1831+F1831)-(D1831+E1831+SUMIF(Transactions!$F$8:$F$3006,B1831,Transactions!$Q$8:$Q$3006)))</f>
        <v/>
      </c>
      <c r="H1831" s="55" t="str">
        <f>IF(B1831="","",IF(G1831&gt;0,"OUTSTANDING",IF(G1831=0,"SETTLED",IF(SUMIF(Transactions!$F$8:$F$3006,B1831,Transactions!$Q$8:$Q$3006)&gt;SUMIF(Transactions!$F$8:$F$3006,B1831,Transactions!$R$8:$R$3006),"OWES","OVERPAID"))))</f>
        <v/>
      </c>
      <c r="I1831" s="1"/>
    </row>
    <row r="1832" spans="1:9" ht="18" customHeight="1" x14ac:dyDescent="0.25">
      <c r="A1832" s="40">
        <v>1817</v>
      </c>
      <c r="B1832" s="41" t="str">
        <f t="array" ref="B1832">IFERROR(IF(INDEX(Transactions!$F$8:$F$3006,MATCH(0,COUNTIF($B$11:B1831,Transactions!$F$8:$F$3006),0))="","",INDEX(Transactions!$F$8:$F$3006,MATCH(0,COUNTIF($B$11:B1831,Transactions!$F$8:$F$3006),0))),"")</f>
        <v/>
      </c>
      <c r="C1832" s="42" t="str">
        <f>IF(B1832="","",SUMIF(Transactions!$F$8:$F$3006,B1832,Transactions!$H$8:$H$3006))</f>
        <v/>
      </c>
      <c r="D1832" s="43" t="str">
        <f>IF(B1832="","",SUMIF(Transactions!$F$8:$F$3006,B1832,Transactions!$N$8:$N$3006))</f>
        <v/>
      </c>
      <c r="E1832" s="44" t="str">
        <f>IF(B1832="","",SUMIF(Transactions!$F$8:$F$3006,B1832,Transactions!$O$8:$O$3006))</f>
        <v/>
      </c>
      <c r="F1832" s="45" t="str">
        <f>IF(B1832="","",SUMIF(Transactions!$F$8:$F$3006,B1832,Transactions!$R$8:$R$3006))</f>
        <v/>
      </c>
      <c r="G1832" s="46" t="str">
        <f>IF(B1832="","",(C1832+F1832)-(D1832+E1832+SUMIF(Transactions!$F$8:$F$3006,B1832,Transactions!$Q$8:$Q$3006)))</f>
        <v/>
      </c>
      <c r="H1832" s="47" t="str">
        <f>IF(B1832="","",IF(G1832&gt;0,"OUTSTANDING",IF(G1832=0,"SETTLED",IF(SUMIF(Transactions!$F$8:$F$3006,B1832,Transactions!$Q$8:$Q$3006)&gt;SUMIF(Transactions!$F$8:$F$3006,B1832,Transactions!$R$8:$R$3006),"OWES","OVERPAID"))))</f>
        <v/>
      </c>
      <c r="I1832" s="1"/>
    </row>
    <row r="1833" spans="1:9" ht="18" customHeight="1" x14ac:dyDescent="0.25">
      <c r="A1833" s="48">
        <v>1818</v>
      </c>
      <c r="B1833" s="49" t="str">
        <f t="array" ref="B1833">IFERROR(IF(INDEX(Transactions!$F$8:$F$3006,MATCH(0,COUNTIF($B$11:B1832,Transactions!$F$8:$F$3006),0))="","",INDEX(Transactions!$F$8:$F$3006,MATCH(0,COUNTIF($B$11:B1832,Transactions!$F$8:$F$3006),0))),"")</f>
        <v/>
      </c>
      <c r="C1833" s="50" t="str">
        <f>IF(B1833="","",SUMIF(Transactions!$F$8:$F$3006,B1833,Transactions!$H$8:$H$3006))</f>
        <v/>
      </c>
      <c r="D1833" s="51" t="str">
        <f>IF(B1833="","",SUMIF(Transactions!$F$8:$F$3006,B1833,Transactions!$N$8:$N$3006))</f>
        <v/>
      </c>
      <c r="E1833" s="52" t="str">
        <f>IF(B1833="","",SUMIF(Transactions!$F$8:$F$3006,B1833,Transactions!$O$8:$O$3006))</f>
        <v/>
      </c>
      <c r="F1833" s="53" t="str">
        <f>IF(B1833="","",SUMIF(Transactions!$F$8:$F$3006,B1833,Transactions!$R$8:$R$3006))</f>
        <v/>
      </c>
      <c r="G1833" s="54" t="str">
        <f>IF(B1833="","",(C1833+F1833)-(D1833+E1833+SUMIF(Transactions!$F$8:$F$3006,B1833,Transactions!$Q$8:$Q$3006)))</f>
        <v/>
      </c>
      <c r="H1833" s="55" t="str">
        <f>IF(B1833="","",IF(G1833&gt;0,"OUTSTANDING",IF(G1833=0,"SETTLED",IF(SUMIF(Transactions!$F$8:$F$3006,B1833,Transactions!$Q$8:$Q$3006)&gt;SUMIF(Transactions!$F$8:$F$3006,B1833,Transactions!$R$8:$R$3006),"OWES","OVERPAID"))))</f>
        <v/>
      </c>
      <c r="I1833" s="1"/>
    </row>
    <row r="1834" spans="1:9" ht="18" customHeight="1" x14ac:dyDescent="0.25">
      <c r="A1834" s="40">
        <v>1819</v>
      </c>
      <c r="B1834" s="41" t="str">
        <f t="array" ref="B1834">IFERROR(IF(INDEX(Transactions!$F$8:$F$3006,MATCH(0,COUNTIF($B$11:B1833,Transactions!$F$8:$F$3006),0))="","",INDEX(Transactions!$F$8:$F$3006,MATCH(0,COUNTIF($B$11:B1833,Transactions!$F$8:$F$3006),0))),"")</f>
        <v/>
      </c>
      <c r="C1834" s="42" t="str">
        <f>IF(B1834="","",SUMIF(Transactions!$F$8:$F$3006,B1834,Transactions!$H$8:$H$3006))</f>
        <v/>
      </c>
      <c r="D1834" s="43" t="str">
        <f>IF(B1834="","",SUMIF(Transactions!$F$8:$F$3006,B1834,Transactions!$N$8:$N$3006))</f>
        <v/>
      </c>
      <c r="E1834" s="44" t="str">
        <f>IF(B1834="","",SUMIF(Transactions!$F$8:$F$3006,B1834,Transactions!$O$8:$O$3006))</f>
        <v/>
      </c>
      <c r="F1834" s="45" t="str">
        <f>IF(B1834="","",SUMIF(Transactions!$F$8:$F$3006,B1834,Transactions!$R$8:$R$3006))</f>
        <v/>
      </c>
      <c r="G1834" s="46" t="str">
        <f>IF(B1834="","",(C1834+F1834)-(D1834+E1834+SUMIF(Transactions!$F$8:$F$3006,B1834,Transactions!$Q$8:$Q$3006)))</f>
        <v/>
      </c>
      <c r="H1834" s="47" t="str">
        <f>IF(B1834="","",IF(G1834&gt;0,"OUTSTANDING",IF(G1834=0,"SETTLED",IF(SUMIF(Transactions!$F$8:$F$3006,B1834,Transactions!$Q$8:$Q$3006)&gt;SUMIF(Transactions!$F$8:$F$3006,B1834,Transactions!$R$8:$R$3006),"OWES","OVERPAID"))))</f>
        <v/>
      </c>
      <c r="I1834" s="1"/>
    </row>
    <row r="1835" spans="1:9" ht="18" customHeight="1" x14ac:dyDescent="0.25">
      <c r="A1835" s="48">
        <v>1820</v>
      </c>
      <c r="B1835" s="49" t="str">
        <f t="array" ref="B1835">IFERROR(IF(INDEX(Transactions!$F$8:$F$3006,MATCH(0,COUNTIF($B$11:B1834,Transactions!$F$8:$F$3006),0))="","",INDEX(Transactions!$F$8:$F$3006,MATCH(0,COUNTIF($B$11:B1834,Transactions!$F$8:$F$3006),0))),"")</f>
        <v/>
      </c>
      <c r="C1835" s="50" t="str">
        <f>IF(B1835="","",SUMIF(Transactions!$F$8:$F$3006,B1835,Transactions!$H$8:$H$3006))</f>
        <v/>
      </c>
      <c r="D1835" s="51" t="str">
        <f>IF(B1835="","",SUMIF(Transactions!$F$8:$F$3006,B1835,Transactions!$N$8:$N$3006))</f>
        <v/>
      </c>
      <c r="E1835" s="52" t="str">
        <f>IF(B1835="","",SUMIF(Transactions!$F$8:$F$3006,B1835,Transactions!$O$8:$O$3006))</f>
        <v/>
      </c>
      <c r="F1835" s="53" t="str">
        <f>IF(B1835="","",SUMIF(Transactions!$F$8:$F$3006,B1835,Transactions!$R$8:$R$3006))</f>
        <v/>
      </c>
      <c r="G1835" s="54" t="str">
        <f>IF(B1835="","",(C1835+F1835)-(D1835+E1835+SUMIF(Transactions!$F$8:$F$3006,B1835,Transactions!$Q$8:$Q$3006)))</f>
        <v/>
      </c>
      <c r="H1835" s="55" t="str">
        <f>IF(B1835="","",IF(G1835&gt;0,"OUTSTANDING",IF(G1835=0,"SETTLED",IF(SUMIF(Transactions!$F$8:$F$3006,B1835,Transactions!$Q$8:$Q$3006)&gt;SUMIF(Transactions!$F$8:$F$3006,B1835,Transactions!$R$8:$R$3006),"OWES","OVERPAID"))))</f>
        <v/>
      </c>
      <c r="I1835" s="1"/>
    </row>
    <row r="1836" spans="1:9" ht="18" customHeight="1" x14ac:dyDescent="0.25">
      <c r="A1836" s="40">
        <v>1821</v>
      </c>
      <c r="B1836" s="41" t="str">
        <f t="array" ref="B1836">IFERROR(IF(INDEX(Transactions!$F$8:$F$3006,MATCH(0,COUNTIF($B$11:B1835,Transactions!$F$8:$F$3006),0))="","",INDEX(Transactions!$F$8:$F$3006,MATCH(0,COUNTIF($B$11:B1835,Transactions!$F$8:$F$3006),0))),"")</f>
        <v/>
      </c>
      <c r="C1836" s="42" t="str">
        <f>IF(B1836="","",SUMIF(Transactions!$F$8:$F$3006,B1836,Transactions!$H$8:$H$3006))</f>
        <v/>
      </c>
      <c r="D1836" s="43" t="str">
        <f>IF(B1836="","",SUMIF(Transactions!$F$8:$F$3006,B1836,Transactions!$N$8:$N$3006))</f>
        <v/>
      </c>
      <c r="E1836" s="44" t="str">
        <f>IF(B1836="","",SUMIF(Transactions!$F$8:$F$3006,B1836,Transactions!$O$8:$O$3006))</f>
        <v/>
      </c>
      <c r="F1836" s="45" t="str">
        <f>IF(B1836="","",SUMIF(Transactions!$F$8:$F$3006,B1836,Transactions!$R$8:$R$3006))</f>
        <v/>
      </c>
      <c r="G1836" s="46" t="str">
        <f>IF(B1836="","",(C1836+F1836)-(D1836+E1836+SUMIF(Transactions!$F$8:$F$3006,B1836,Transactions!$Q$8:$Q$3006)))</f>
        <v/>
      </c>
      <c r="H1836" s="47" t="str">
        <f>IF(B1836="","",IF(G1836&gt;0,"OUTSTANDING",IF(G1836=0,"SETTLED",IF(SUMIF(Transactions!$F$8:$F$3006,B1836,Transactions!$Q$8:$Q$3006)&gt;SUMIF(Transactions!$F$8:$F$3006,B1836,Transactions!$R$8:$R$3006),"OWES","OVERPAID"))))</f>
        <v/>
      </c>
      <c r="I1836" s="1"/>
    </row>
    <row r="1837" spans="1:9" ht="18" customHeight="1" x14ac:dyDescent="0.25">
      <c r="A1837" s="48">
        <v>1822</v>
      </c>
      <c r="B1837" s="49" t="str">
        <f t="array" ref="B1837">IFERROR(IF(INDEX(Transactions!$F$8:$F$3006,MATCH(0,COUNTIF($B$11:B1836,Transactions!$F$8:$F$3006),0))="","",INDEX(Transactions!$F$8:$F$3006,MATCH(0,COUNTIF($B$11:B1836,Transactions!$F$8:$F$3006),0))),"")</f>
        <v/>
      </c>
      <c r="C1837" s="50" t="str">
        <f>IF(B1837="","",SUMIF(Transactions!$F$8:$F$3006,B1837,Transactions!$H$8:$H$3006))</f>
        <v/>
      </c>
      <c r="D1837" s="51" t="str">
        <f>IF(B1837="","",SUMIF(Transactions!$F$8:$F$3006,B1837,Transactions!$N$8:$N$3006))</f>
        <v/>
      </c>
      <c r="E1837" s="52" t="str">
        <f>IF(B1837="","",SUMIF(Transactions!$F$8:$F$3006,B1837,Transactions!$O$8:$O$3006))</f>
        <v/>
      </c>
      <c r="F1837" s="53" t="str">
        <f>IF(B1837="","",SUMIF(Transactions!$F$8:$F$3006,B1837,Transactions!$R$8:$R$3006))</f>
        <v/>
      </c>
      <c r="G1837" s="54" t="str">
        <f>IF(B1837="","",(C1837+F1837)-(D1837+E1837+SUMIF(Transactions!$F$8:$F$3006,B1837,Transactions!$Q$8:$Q$3006)))</f>
        <v/>
      </c>
      <c r="H1837" s="55" t="str">
        <f>IF(B1837="","",IF(G1837&gt;0,"OUTSTANDING",IF(G1837=0,"SETTLED",IF(SUMIF(Transactions!$F$8:$F$3006,B1837,Transactions!$Q$8:$Q$3006)&gt;SUMIF(Transactions!$F$8:$F$3006,B1837,Transactions!$R$8:$R$3006),"OWES","OVERPAID"))))</f>
        <v/>
      </c>
      <c r="I1837" s="1"/>
    </row>
    <row r="1838" spans="1:9" ht="18" customHeight="1" x14ac:dyDescent="0.25">
      <c r="A1838" s="40">
        <v>1823</v>
      </c>
      <c r="B1838" s="41" t="str">
        <f t="array" ref="B1838">IFERROR(IF(INDEX(Transactions!$F$8:$F$3006,MATCH(0,COUNTIF($B$11:B1837,Transactions!$F$8:$F$3006),0))="","",INDEX(Transactions!$F$8:$F$3006,MATCH(0,COUNTIF($B$11:B1837,Transactions!$F$8:$F$3006),0))),"")</f>
        <v/>
      </c>
      <c r="C1838" s="42" t="str">
        <f>IF(B1838="","",SUMIF(Transactions!$F$8:$F$3006,B1838,Transactions!$H$8:$H$3006))</f>
        <v/>
      </c>
      <c r="D1838" s="43" t="str">
        <f>IF(B1838="","",SUMIF(Transactions!$F$8:$F$3006,B1838,Transactions!$N$8:$N$3006))</f>
        <v/>
      </c>
      <c r="E1838" s="44" t="str">
        <f>IF(B1838="","",SUMIF(Transactions!$F$8:$F$3006,B1838,Transactions!$O$8:$O$3006))</f>
        <v/>
      </c>
      <c r="F1838" s="45" t="str">
        <f>IF(B1838="","",SUMIF(Transactions!$F$8:$F$3006,B1838,Transactions!$R$8:$R$3006))</f>
        <v/>
      </c>
      <c r="G1838" s="46" t="str">
        <f>IF(B1838="","",(C1838+F1838)-(D1838+E1838+SUMIF(Transactions!$F$8:$F$3006,B1838,Transactions!$Q$8:$Q$3006)))</f>
        <v/>
      </c>
      <c r="H1838" s="47" t="str">
        <f>IF(B1838="","",IF(G1838&gt;0,"OUTSTANDING",IF(G1838=0,"SETTLED",IF(SUMIF(Transactions!$F$8:$F$3006,B1838,Transactions!$Q$8:$Q$3006)&gt;SUMIF(Transactions!$F$8:$F$3006,B1838,Transactions!$R$8:$R$3006),"OWES","OVERPAID"))))</f>
        <v/>
      </c>
      <c r="I1838" s="1"/>
    </row>
    <row r="1839" spans="1:9" ht="18" customHeight="1" x14ac:dyDescent="0.25">
      <c r="A1839" s="48">
        <v>1824</v>
      </c>
      <c r="B1839" s="49" t="str">
        <f t="array" ref="B1839">IFERROR(IF(INDEX(Transactions!$F$8:$F$3006,MATCH(0,COUNTIF($B$11:B1838,Transactions!$F$8:$F$3006),0))="","",INDEX(Transactions!$F$8:$F$3006,MATCH(0,COUNTIF($B$11:B1838,Transactions!$F$8:$F$3006),0))),"")</f>
        <v/>
      </c>
      <c r="C1839" s="50" t="str">
        <f>IF(B1839="","",SUMIF(Transactions!$F$8:$F$3006,B1839,Transactions!$H$8:$H$3006))</f>
        <v/>
      </c>
      <c r="D1839" s="51" t="str">
        <f>IF(B1839="","",SUMIF(Transactions!$F$8:$F$3006,B1839,Transactions!$N$8:$N$3006))</f>
        <v/>
      </c>
      <c r="E1839" s="52" t="str">
        <f>IF(B1839="","",SUMIF(Transactions!$F$8:$F$3006,B1839,Transactions!$O$8:$O$3006))</f>
        <v/>
      </c>
      <c r="F1839" s="53" t="str">
        <f>IF(B1839="","",SUMIF(Transactions!$F$8:$F$3006,B1839,Transactions!$R$8:$R$3006))</f>
        <v/>
      </c>
      <c r="G1839" s="54" t="str">
        <f>IF(B1839="","",(C1839+F1839)-(D1839+E1839+SUMIF(Transactions!$F$8:$F$3006,B1839,Transactions!$Q$8:$Q$3006)))</f>
        <v/>
      </c>
      <c r="H1839" s="55" t="str">
        <f>IF(B1839="","",IF(G1839&gt;0,"OUTSTANDING",IF(G1839=0,"SETTLED",IF(SUMIF(Transactions!$F$8:$F$3006,B1839,Transactions!$Q$8:$Q$3006)&gt;SUMIF(Transactions!$F$8:$F$3006,B1839,Transactions!$R$8:$R$3006),"OWES","OVERPAID"))))</f>
        <v/>
      </c>
      <c r="I1839" s="1"/>
    </row>
    <row r="1840" spans="1:9" ht="18" customHeight="1" x14ac:dyDescent="0.25">
      <c r="A1840" s="40">
        <v>1825</v>
      </c>
      <c r="B1840" s="41" t="str">
        <f t="array" ref="B1840">IFERROR(IF(INDEX(Transactions!$F$8:$F$3006,MATCH(0,COUNTIF($B$11:B1839,Transactions!$F$8:$F$3006),0))="","",INDEX(Transactions!$F$8:$F$3006,MATCH(0,COUNTIF($B$11:B1839,Transactions!$F$8:$F$3006),0))),"")</f>
        <v/>
      </c>
      <c r="C1840" s="42" t="str">
        <f>IF(B1840="","",SUMIF(Transactions!$F$8:$F$3006,B1840,Transactions!$H$8:$H$3006))</f>
        <v/>
      </c>
      <c r="D1840" s="43" t="str">
        <f>IF(B1840="","",SUMIF(Transactions!$F$8:$F$3006,B1840,Transactions!$N$8:$N$3006))</f>
        <v/>
      </c>
      <c r="E1840" s="44" t="str">
        <f>IF(B1840="","",SUMIF(Transactions!$F$8:$F$3006,B1840,Transactions!$O$8:$O$3006))</f>
        <v/>
      </c>
      <c r="F1840" s="45" t="str">
        <f>IF(B1840="","",SUMIF(Transactions!$F$8:$F$3006,B1840,Transactions!$R$8:$R$3006))</f>
        <v/>
      </c>
      <c r="G1840" s="46" t="str">
        <f>IF(B1840="","",(C1840+F1840)-(D1840+E1840+SUMIF(Transactions!$F$8:$F$3006,B1840,Transactions!$Q$8:$Q$3006)))</f>
        <v/>
      </c>
      <c r="H1840" s="47" t="str">
        <f>IF(B1840="","",IF(G1840&gt;0,"OUTSTANDING",IF(G1840=0,"SETTLED",IF(SUMIF(Transactions!$F$8:$F$3006,B1840,Transactions!$Q$8:$Q$3006)&gt;SUMIF(Transactions!$F$8:$F$3006,B1840,Transactions!$R$8:$R$3006),"OWES","OVERPAID"))))</f>
        <v/>
      </c>
      <c r="I1840" s="1"/>
    </row>
    <row r="1841" spans="1:9" ht="18" customHeight="1" x14ac:dyDescent="0.25">
      <c r="A1841" s="48">
        <v>1826</v>
      </c>
      <c r="B1841" s="49" t="str">
        <f t="array" ref="B1841">IFERROR(IF(INDEX(Transactions!$F$8:$F$3006,MATCH(0,COUNTIF($B$11:B1840,Transactions!$F$8:$F$3006),0))="","",INDEX(Transactions!$F$8:$F$3006,MATCH(0,COUNTIF($B$11:B1840,Transactions!$F$8:$F$3006),0))),"")</f>
        <v/>
      </c>
      <c r="C1841" s="50" t="str">
        <f>IF(B1841="","",SUMIF(Transactions!$F$8:$F$3006,B1841,Transactions!$H$8:$H$3006))</f>
        <v/>
      </c>
      <c r="D1841" s="51" t="str">
        <f>IF(B1841="","",SUMIF(Transactions!$F$8:$F$3006,B1841,Transactions!$N$8:$N$3006))</f>
        <v/>
      </c>
      <c r="E1841" s="52" t="str">
        <f>IF(B1841="","",SUMIF(Transactions!$F$8:$F$3006,B1841,Transactions!$O$8:$O$3006))</f>
        <v/>
      </c>
      <c r="F1841" s="53" t="str">
        <f>IF(B1841="","",SUMIF(Transactions!$F$8:$F$3006,B1841,Transactions!$R$8:$R$3006))</f>
        <v/>
      </c>
      <c r="G1841" s="54" t="str">
        <f>IF(B1841="","",(C1841+F1841)-(D1841+E1841+SUMIF(Transactions!$F$8:$F$3006,B1841,Transactions!$Q$8:$Q$3006)))</f>
        <v/>
      </c>
      <c r="H1841" s="55" t="str">
        <f>IF(B1841="","",IF(G1841&gt;0,"OUTSTANDING",IF(G1841=0,"SETTLED",IF(SUMIF(Transactions!$F$8:$F$3006,B1841,Transactions!$Q$8:$Q$3006)&gt;SUMIF(Transactions!$F$8:$F$3006,B1841,Transactions!$R$8:$R$3006),"OWES","OVERPAID"))))</f>
        <v/>
      </c>
      <c r="I1841" s="1"/>
    </row>
    <row r="1842" spans="1:9" ht="18" customHeight="1" x14ac:dyDescent="0.25">
      <c r="A1842" s="40">
        <v>1827</v>
      </c>
      <c r="B1842" s="41" t="str">
        <f t="array" ref="B1842">IFERROR(IF(INDEX(Transactions!$F$8:$F$3006,MATCH(0,COUNTIF($B$11:B1841,Transactions!$F$8:$F$3006),0))="","",INDEX(Transactions!$F$8:$F$3006,MATCH(0,COUNTIF($B$11:B1841,Transactions!$F$8:$F$3006),0))),"")</f>
        <v/>
      </c>
      <c r="C1842" s="42" t="str">
        <f>IF(B1842="","",SUMIF(Transactions!$F$8:$F$3006,B1842,Transactions!$H$8:$H$3006))</f>
        <v/>
      </c>
      <c r="D1842" s="43" t="str">
        <f>IF(B1842="","",SUMIF(Transactions!$F$8:$F$3006,B1842,Transactions!$N$8:$N$3006))</f>
        <v/>
      </c>
      <c r="E1842" s="44" t="str">
        <f>IF(B1842="","",SUMIF(Transactions!$F$8:$F$3006,B1842,Transactions!$O$8:$O$3006))</f>
        <v/>
      </c>
      <c r="F1842" s="45" t="str">
        <f>IF(B1842="","",SUMIF(Transactions!$F$8:$F$3006,B1842,Transactions!$R$8:$R$3006))</f>
        <v/>
      </c>
      <c r="G1842" s="46" t="str">
        <f>IF(B1842="","",(C1842+F1842)-(D1842+E1842+SUMIF(Transactions!$F$8:$F$3006,B1842,Transactions!$Q$8:$Q$3006)))</f>
        <v/>
      </c>
      <c r="H1842" s="47" t="str">
        <f>IF(B1842="","",IF(G1842&gt;0,"OUTSTANDING",IF(G1842=0,"SETTLED",IF(SUMIF(Transactions!$F$8:$F$3006,B1842,Transactions!$Q$8:$Q$3006)&gt;SUMIF(Transactions!$F$8:$F$3006,B1842,Transactions!$R$8:$R$3006),"OWES","OVERPAID"))))</f>
        <v/>
      </c>
      <c r="I1842" s="1"/>
    </row>
    <row r="1843" spans="1:9" ht="18" customHeight="1" x14ac:dyDescent="0.25">
      <c r="A1843" s="48">
        <v>1828</v>
      </c>
      <c r="B1843" s="49" t="str">
        <f t="array" ref="B1843">IFERROR(IF(INDEX(Transactions!$F$8:$F$3006,MATCH(0,COUNTIF($B$11:B1842,Transactions!$F$8:$F$3006),0))="","",INDEX(Transactions!$F$8:$F$3006,MATCH(0,COUNTIF($B$11:B1842,Transactions!$F$8:$F$3006),0))),"")</f>
        <v/>
      </c>
      <c r="C1843" s="50" t="str">
        <f>IF(B1843="","",SUMIF(Transactions!$F$8:$F$3006,B1843,Transactions!$H$8:$H$3006))</f>
        <v/>
      </c>
      <c r="D1843" s="51" t="str">
        <f>IF(B1843="","",SUMIF(Transactions!$F$8:$F$3006,B1843,Transactions!$N$8:$N$3006))</f>
        <v/>
      </c>
      <c r="E1843" s="52" t="str">
        <f>IF(B1843="","",SUMIF(Transactions!$F$8:$F$3006,B1843,Transactions!$O$8:$O$3006))</f>
        <v/>
      </c>
      <c r="F1843" s="53" t="str">
        <f>IF(B1843="","",SUMIF(Transactions!$F$8:$F$3006,B1843,Transactions!$R$8:$R$3006))</f>
        <v/>
      </c>
      <c r="G1843" s="54" t="str">
        <f>IF(B1843="","",(C1843+F1843)-(D1843+E1843+SUMIF(Transactions!$F$8:$F$3006,B1843,Transactions!$Q$8:$Q$3006)))</f>
        <v/>
      </c>
      <c r="H1843" s="55" t="str">
        <f>IF(B1843="","",IF(G1843&gt;0,"OUTSTANDING",IF(G1843=0,"SETTLED",IF(SUMIF(Transactions!$F$8:$F$3006,B1843,Transactions!$Q$8:$Q$3006)&gt;SUMIF(Transactions!$F$8:$F$3006,B1843,Transactions!$R$8:$R$3006),"OWES","OVERPAID"))))</f>
        <v/>
      </c>
      <c r="I1843" s="1"/>
    </row>
    <row r="1844" spans="1:9" ht="18" customHeight="1" x14ac:dyDescent="0.25">
      <c r="A1844" s="40">
        <v>1829</v>
      </c>
      <c r="B1844" s="41" t="str">
        <f t="array" ref="B1844">IFERROR(IF(INDEX(Transactions!$F$8:$F$3006,MATCH(0,COUNTIF($B$11:B1843,Transactions!$F$8:$F$3006),0))="","",INDEX(Transactions!$F$8:$F$3006,MATCH(0,COUNTIF($B$11:B1843,Transactions!$F$8:$F$3006),0))),"")</f>
        <v/>
      </c>
      <c r="C1844" s="42" t="str">
        <f>IF(B1844="","",SUMIF(Transactions!$F$8:$F$3006,B1844,Transactions!$H$8:$H$3006))</f>
        <v/>
      </c>
      <c r="D1844" s="43" t="str">
        <f>IF(B1844="","",SUMIF(Transactions!$F$8:$F$3006,B1844,Transactions!$N$8:$N$3006))</f>
        <v/>
      </c>
      <c r="E1844" s="44" t="str">
        <f>IF(B1844="","",SUMIF(Transactions!$F$8:$F$3006,B1844,Transactions!$O$8:$O$3006))</f>
        <v/>
      </c>
      <c r="F1844" s="45" t="str">
        <f>IF(B1844="","",SUMIF(Transactions!$F$8:$F$3006,B1844,Transactions!$R$8:$R$3006))</f>
        <v/>
      </c>
      <c r="G1844" s="46" t="str">
        <f>IF(B1844="","",(C1844+F1844)-(D1844+E1844+SUMIF(Transactions!$F$8:$F$3006,B1844,Transactions!$Q$8:$Q$3006)))</f>
        <v/>
      </c>
      <c r="H1844" s="47" t="str">
        <f>IF(B1844="","",IF(G1844&gt;0,"OUTSTANDING",IF(G1844=0,"SETTLED",IF(SUMIF(Transactions!$F$8:$F$3006,B1844,Transactions!$Q$8:$Q$3006)&gt;SUMIF(Transactions!$F$8:$F$3006,B1844,Transactions!$R$8:$R$3006),"OWES","OVERPAID"))))</f>
        <v/>
      </c>
      <c r="I1844" s="1"/>
    </row>
    <row r="1845" spans="1:9" ht="18" customHeight="1" x14ac:dyDescent="0.25">
      <c r="A1845" s="48">
        <v>1830</v>
      </c>
      <c r="B1845" s="49" t="str">
        <f t="array" ref="B1845">IFERROR(IF(INDEX(Transactions!$F$8:$F$3006,MATCH(0,COUNTIF($B$11:B1844,Transactions!$F$8:$F$3006),0))="","",INDEX(Transactions!$F$8:$F$3006,MATCH(0,COUNTIF($B$11:B1844,Transactions!$F$8:$F$3006),0))),"")</f>
        <v/>
      </c>
      <c r="C1845" s="50" t="str">
        <f>IF(B1845="","",SUMIF(Transactions!$F$8:$F$3006,B1845,Transactions!$H$8:$H$3006))</f>
        <v/>
      </c>
      <c r="D1845" s="51" t="str">
        <f>IF(B1845="","",SUMIF(Transactions!$F$8:$F$3006,B1845,Transactions!$N$8:$N$3006))</f>
        <v/>
      </c>
      <c r="E1845" s="52" t="str">
        <f>IF(B1845="","",SUMIF(Transactions!$F$8:$F$3006,B1845,Transactions!$O$8:$O$3006))</f>
        <v/>
      </c>
      <c r="F1845" s="53" t="str">
        <f>IF(B1845="","",SUMIF(Transactions!$F$8:$F$3006,B1845,Transactions!$R$8:$R$3006))</f>
        <v/>
      </c>
      <c r="G1845" s="54" t="str">
        <f>IF(B1845="","",(C1845+F1845)-(D1845+E1845+SUMIF(Transactions!$F$8:$F$3006,B1845,Transactions!$Q$8:$Q$3006)))</f>
        <v/>
      </c>
      <c r="H1845" s="55" t="str">
        <f>IF(B1845="","",IF(G1845&gt;0,"OUTSTANDING",IF(G1845=0,"SETTLED",IF(SUMIF(Transactions!$F$8:$F$3006,B1845,Transactions!$Q$8:$Q$3006)&gt;SUMIF(Transactions!$F$8:$F$3006,B1845,Transactions!$R$8:$R$3006),"OWES","OVERPAID"))))</f>
        <v/>
      </c>
      <c r="I1845" s="1"/>
    </row>
    <row r="1846" spans="1:9" ht="18" customHeight="1" x14ac:dyDescent="0.25">
      <c r="A1846" s="40">
        <v>1831</v>
      </c>
      <c r="B1846" s="41" t="str">
        <f t="array" ref="B1846">IFERROR(IF(INDEX(Transactions!$F$8:$F$3006,MATCH(0,COUNTIF($B$11:B1845,Transactions!$F$8:$F$3006),0))="","",INDEX(Transactions!$F$8:$F$3006,MATCH(0,COUNTIF($B$11:B1845,Transactions!$F$8:$F$3006),0))),"")</f>
        <v/>
      </c>
      <c r="C1846" s="42" t="str">
        <f>IF(B1846="","",SUMIF(Transactions!$F$8:$F$3006,B1846,Transactions!$H$8:$H$3006))</f>
        <v/>
      </c>
      <c r="D1846" s="43" t="str">
        <f>IF(B1846="","",SUMIF(Transactions!$F$8:$F$3006,B1846,Transactions!$N$8:$N$3006))</f>
        <v/>
      </c>
      <c r="E1846" s="44" t="str">
        <f>IF(B1846="","",SUMIF(Transactions!$F$8:$F$3006,B1846,Transactions!$O$8:$O$3006))</f>
        <v/>
      </c>
      <c r="F1846" s="45" t="str">
        <f>IF(B1846="","",SUMIF(Transactions!$F$8:$F$3006,B1846,Transactions!$R$8:$R$3006))</f>
        <v/>
      </c>
      <c r="G1846" s="46" t="str">
        <f>IF(B1846="","",(C1846+F1846)-(D1846+E1846+SUMIF(Transactions!$F$8:$F$3006,B1846,Transactions!$Q$8:$Q$3006)))</f>
        <v/>
      </c>
      <c r="H1846" s="47" t="str">
        <f>IF(B1846="","",IF(G1846&gt;0,"OUTSTANDING",IF(G1846=0,"SETTLED",IF(SUMIF(Transactions!$F$8:$F$3006,B1846,Transactions!$Q$8:$Q$3006)&gt;SUMIF(Transactions!$F$8:$F$3006,B1846,Transactions!$R$8:$R$3006),"OWES","OVERPAID"))))</f>
        <v/>
      </c>
      <c r="I1846" s="1"/>
    </row>
    <row r="1847" spans="1:9" ht="18" customHeight="1" x14ac:dyDescent="0.25">
      <c r="A1847" s="48">
        <v>1832</v>
      </c>
      <c r="B1847" s="49" t="str">
        <f t="array" ref="B1847">IFERROR(IF(INDEX(Transactions!$F$8:$F$3006,MATCH(0,COUNTIF($B$11:B1846,Transactions!$F$8:$F$3006),0))="","",INDEX(Transactions!$F$8:$F$3006,MATCH(0,COUNTIF($B$11:B1846,Transactions!$F$8:$F$3006),0))),"")</f>
        <v/>
      </c>
      <c r="C1847" s="50" t="str">
        <f>IF(B1847="","",SUMIF(Transactions!$F$8:$F$3006,B1847,Transactions!$H$8:$H$3006))</f>
        <v/>
      </c>
      <c r="D1847" s="51" t="str">
        <f>IF(B1847="","",SUMIF(Transactions!$F$8:$F$3006,B1847,Transactions!$N$8:$N$3006))</f>
        <v/>
      </c>
      <c r="E1847" s="52" t="str">
        <f>IF(B1847="","",SUMIF(Transactions!$F$8:$F$3006,B1847,Transactions!$O$8:$O$3006))</f>
        <v/>
      </c>
      <c r="F1847" s="53" t="str">
        <f>IF(B1847="","",SUMIF(Transactions!$F$8:$F$3006,B1847,Transactions!$R$8:$R$3006))</f>
        <v/>
      </c>
      <c r="G1847" s="54" t="str">
        <f>IF(B1847="","",(C1847+F1847)-(D1847+E1847+SUMIF(Transactions!$F$8:$F$3006,B1847,Transactions!$Q$8:$Q$3006)))</f>
        <v/>
      </c>
      <c r="H1847" s="55" t="str">
        <f>IF(B1847="","",IF(G1847&gt;0,"OUTSTANDING",IF(G1847=0,"SETTLED",IF(SUMIF(Transactions!$F$8:$F$3006,B1847,Transactions!$Q$8:$Q$3006)&gt;SUMIF(Transactions!$F$8:$F$3006,B1847,Transactions!$R$8:$R$3006),"OWES","OVERPAID"))))</f>
        <v/>
      </c>
      <c r="I1847" s="1"/>
    </row>
    <row r="1848" spans="1:9" ht="18" customHeight="1" x14ac:dyDescent="0.25">
      <c r="A1848" s="40">
        <v>1833</v>
      </c>
      <c r="B1848" s="41" t="str">
        <f t="array" ref="B1848">IFERROR(IF(INDEX(Transactions!$F$8:$F$3006,MATCH(0,COUNTIF($B$11:B1847,Transactions!$F$8:$F$3006),0))="","",INDEX(Transactions!$F$8:$F$3006,MATCH(0,COUNTIF($B$11:B1847,Transactions!$F$8:$F$3006),0))),"")</f>
        <v/>
      </c>
      <c r="C1848" s="42" t="str">
        <f>IF(B1848="","",SUMIF(Transactions!$F$8:$F$3006,B1848,Transactions!$H$8:$H$3006))</f>
        <v/>
      </c>
      <c r="D1848" s="43" t="str">
        <f>IF(B1848="","",SUMIF(Transactions!$F$8:$F$3006,B1848,Transactions!$N$8:$N$3006))</f>
        <v/>
      </c>
      <c r="E1848" s="44" t="str">
        <f>IF(B1848="","",SUMIF(Transactions!$F$8:$F$3006,B1848,Transactions!$O$8:$O$3006))</f>
        <v/>
      </c>
      <c r="F1848" s="45" t="str">
        <f>IF(B1848="","",SUMIF(Transactions!$F$8:$F$3006,B1848,Transactions!$R$8:$R$3006))</f>
        <v/>
      </c>
      <c r="G1848" s="46" t="str">
        <f>IF(B1848="","",(C1848+F1848)-(D1848+E1848+SUMIF(Transactions!$F$8:$F$3006,B1848,Transactions!$Q$8:$Q$3006)))</f>
        <v/>
      </c>
      <c r="H1848" s="47" t="str">
        <f>IF(B1848="","",IF(G1848&gt;0,"OUTSTANDING",IF(G1848=0,"SETTLED",IF(SUMIF(Transactions!$F$8:$F$3006,B1848,Transactions!$Q$8:$Q$3006)&gt;SUMIF(Transactions!$F$8:$F$3006,B1848,Transactions!$R$8:$R$3006),"OWES","OVERPAID"))))</f>
        <v/>
      </c>
      <c r="I1848" s="1"/>
    </row>
    <row r="1849" spans="1:9" ht="18" customHeight="1" x14ac:dyDescent="0.25">
      <c r="A1849" s="48">
        <v>1834</v>
      </c>
      <c r="B1849" s="49" t="str">
        <f t="array" ref="B1849">IFERROR(IF(INDEX(Transactions!$F$8:$F$3006,MATCH(0,COUNTIF($B$11:B1848,Transactions!$F$8:$F$3006),0))="","",INDEX(Transactions!$F$8:$F$3006,MATCH(0,COUNTIF($B$11:B1848,Transactions!$F$8:$F$3006),0))),"")</f>
        <v/>
      </c>
      <c r="C1849" s="50" t="str">
        <f>IF(B1849="","",SUMIF(Transactions!$F$8:$F$3006,B1849,Transactions!$H$8:$H$3006))</f>
        <v/>
      </c>
      <c r="D1849" s="51" t="str">
        <f>IF(B1849="","",SUMIF(Transactions!$F$8:$F$3006,B1849,Transactions!$N$8:$N$3006))</f>
        <v/>
      </c>
      <c r="E1849" s="52" t="str">
        <f>IF(B1849="","",SUMIF(Transactions!$F$8:$F$3006,B1849,Transactions!$O$8:$O$3006))</f>
        <v/>
      </c>
      <c r="F1849" s="53" t="str">
        <f>IF(B1849="","",SUMIF(Transactions!$F$8:$F$3006,B1849,Transactions!$R$8:$R$3006))</f>
        <v/>
      </c>
      <c r="G1849" s="54" t="str">
        <f>IF(B1849="","",(C1849+F1849)-(D1849+E1849+SUMIF(Transactions!$F$8:$F$3006,B1849,Transactions!$Q$8:$Q$3006)))</f>
        <v/>
      </c>
      <c r="H1849" s="55" t="str">
        <f>IF(B1849="","",IF(G1849&gt;0,"OUTSTANDING",IF(G1849=0,"SETTLED",IF(SUMIF(Transactions!$F$8:$F$3006,B1849,Transactions!$Q$8:$Q$3006)&gt;SUMIF(Transactions!$F$8:$F$3006,B1849,Transactions!$R$8:$R$3006),"OWES","OVERPAID"))))</f>
        <v/>
      </c>
      <c r="I1849" s="1"/>
    </row>
    <row r="1850" spans="1:9" ht="18" customHeight="1" x14ac:dyDescent="0.25">
      <c r="A1850" s="40">
        <v>1835</v>
      </c>
      <c r="B1850" s="41" t="str">
        <f t="array" ref="B1850">IFERROR(IF(INDEX(Transactions!$F$8:$F$3006,MATCH(0,COUNTIF($B$11:B1849,Transactions!$F$8:$F$3006),0))="","",INDEX(Transactions!$F$8:$F$3006,MATCH(0,COUNTIF($B$11:B1849,Transactions!$F$8:$F$3006),0))),"")</f>
        <v/>
      </c>
      <c r="C1850" s="42" t="str">
        <f>IF(B1850="","",SUMIF(Transactions!$F$8:$F$3006,B1850,Transactions!$H$8:$H$3006))</f>
        <v/>
      </c>
      <c r="D1850" s="43" t="str">
        <f>IF(B1850="","",SUMIF(Transactions!$F$8:$F$3006,B1850,Transactions!$N$8:$N$3006))</f>
        <v/>
      </c>
      <c r="E1850" s="44" t="str">
        <f>IF(B1850="","",SUMIF(Transactions!$F$8:$F$3006,B1850,Transactions!$O$8:$O$3006))</f>
        <v/>
      </c>
      <c r="F1850" s="45" t="str">
        <f>IF(B1850="","",SUMIF(Transactions!$F$8:$F$3006,B1850,Transactions!$R$8:$R$3006))</f>
        <v/>
      </c>
      <c r="G1850" s="46" t="str">
        <f>IF(B1850="","",(C1850+F1850)-(D1850+E1850+SUMIF(Transactions!$F$8:$F$3006,B1850,Transactions!$Q$8:$Q$3006)))</f>
        <v/>
      </c>
      <c r="H1850" s="47" t="str">
        <f>IF(B1850="","",IF(G1850&gt;0,"OUTSTANDING",IF(G1850=0,"SETTLED",IF(SUMIF(Transactions!$F$8:$F$3006,B1850,Transactions!$Q$8:$Q$3006)&gt;SUMIF(Transactions!$F$8:$F$3006,B1850,Transactions!$R$8:$R$3006),"OWES","OVERPAID"))))</f>
        <v/>
      </c>
      <c r="I1850" s="1"/>
    </row>
    <row r="1851" spans="1:9" ht="18" customHeight="1" x14ac:dyDescent="0.25">
      <c r="A1851" s="48">
        <v>1836</v>
      </c>
      <c r="B1851" s="49" t="str">
        <f t="array" ref="B1851">IFERROR(IF(INDEX(Transactions!$F$8:$F$3006,MATCH(0,COUNTIF($B$11:B1850,Transactions!$F$8:$F$3006),0))="","",INDEX(Transactions!$F$8:$F$3006,MATCH(0,COUNTIF($B$11:B1850,Transactions!$F$8:$F$3006),0))),"")</f>
        <v/>
      </c>
      <c r="C1851" s="50" t="str">
        <f>IF(B1851="","",SUMIF(Transactions!$F$8:$F$3006,B1851,Transactions!$H$8:$H$3006))</f>
        <v/>
      </c>
      <c r="D1851" s="51" t="str">
        <f>IF(B1851="","",SUMIF(Transactions!$F$8:$F$3006,B1851,Transactions!$N$8:$N$3006))</f>
        <v/>
      </c>
      <c r="E1851" s="52" t="str">
        <f>IF(B1851="","",SUMIF(Transactions!$F$8:$F$3006,B1851,Transactions!$O$8:$O$3006))</f>
        <v/>
      </c>
      <c r="F1851" s="53" t="str">
        <f>IF(B1851="","",SUMIF(Transactions!$F$8:$F$3006,B1851,Transactions!$R$8:$R$3006))</f>
        <v/>
      </c>
      <c r="G1851" s="54" t="str">
        <f>IF(B1851="","",(C1851+F1851)-(D1851+E1851+SUMIF(Transactions!$F$8:$F$3006,B1851,Transactions!$Q$8:$Q$3006)))</f>
        <v/>
      </c>
      <c r="H1851" s="55" t="str">
        <f>IF(B1851="","",IF(G1851&gt;0,"OUTSTANDING",IF(G1851=0,"SETTLED",IF(SUMIF(Transactions!$F$8:$F$3006,B1851,Transactions!$Q$8:$Q$3006)&gt;SUMIF(Transactions!$F$8:$F$3006,B1851,Transactions!$R$8:$R$3006),"OWES","OVERPAID"))))</f>
        <v/>
      </c>
      <c r="I1851" s="1"/>
    </row>
    <row r="1852" spans="1:9" ht="18" customHeight="1" x14ac:dyDescent="0.25">
      <c r="A1852" s="40">
        <v>1837</v>
      </c>
      <c r="B1852" s="41" t="str">
        <f t="array" ref="B1852">IFERROR(IF(INDEX(Transactions!$F$8:$F$3006,MATCH(0,COUNTIF($B$11:B1851,Transactions!$F$8:$F$3006),0))="","",INDEX(Transactions!$F$8:$F$3006,MATCH(0,COUNTIF($B$11:B1851,Transactions!$F$8:$F$3006),0))),"")</f>
        <v/>
      </c>
      <c r="C1852" s="42" t="str">
        <f>IF(B1852="","",SUMIF(Transactions!$F$8:$F$3006,B1852,Transactions!$H$8:$H$3006))</f>
        <v/>
      </c>
      <c r="D1852" s="43" t="str">
        <f>IF(B1852="","",SUMIF(Transactions!$F$8:$F$3006,B1852,Transactions!$N$8:$N$3006))</f>
        <v/>
      </c>
      <c r="E1852" s="44" t="str">
        <f>IF(B1852="","",SUMIF(Transactions!$F$8:$F$3006,B1852,Transactions!$O$8:$O$3006))</f>
        <v/>
      </c>
      <c r="F1852" s="45" t="str">
        <f>IF(B1852="","",SUMIF(Transactions!$F$8:$F$3006,B1852,Transactions!$R$8:$R$3006))</f>
        <v/>
      </c>
      <c r="G1852" s="46" t="str">
        <f>IF(B1852="","",(C1852+F1852)-(D1852+E1852+SUMIF(Transactions!$F$8:$F$3006,B1852,Transactions!$Q$8:$Q$3006)))</f>
        <v/>
      </c>
      <c r="H1852" s="47" t="str">
        <f>IF(B1852="","",IF(G1852&gt;0,"OUTSTANDING",IF(G1852=0,"SETTLED",IF(SUMIF(Transactions!$F$8:$F$3006,B1852,Transactions!$Q$8:$Q$3006)&gt;SUMIF(Transactions!$F$8:$F$3006,B1852,Transactions!$R$8:$R$3006),"OWES","OVERPAID"))))</f>
        <v/>
      </c>
      <c r="I1852" s="1"/>
    </row>
    <row r="1853" spans="1:9" ht="18" customHeight="1" x14ac:dyDescent="0.25">
      <c r="A1853" s="48">
        <v>1838</v>
      </c>
      <c r="B1853" s="49" t="str">
        <f t="array" ref="B1853">IFERROR(IF(INDEX(Transactions!$F$8:$F$3006,MATCH(0,COUNTIF($B$11:B1852,Transactions!$F$8:$F$3006),0))="","",INDEX(Transactions!$F$8:$F$3006,MATCH(0,COUNTIF($B$11:B1852,Transactions!$F$8:$F$3006),0))),"")</f>
        <v/>
      </c>
      <c r="C1853" s="50" t="str">
        <f>IF(B1853="","",SUMIF(Transactions!$F$8:$F$3006,B1853,Transactions!$H$8:$H$3006))</f>
        <v/>
      </c>
      <c r="D1853" s="51" t="str">
        <f>IF(B1853="","",SUMIF(Transactions!$F$8:$F$3006,B1853,Transactions!$N$8:$N$3006))</f>
        <v/>
      </c>
      <c r="E1853" s="52" t="str">
        <f>IF(B1853="","",SUMIF(Transactions!$F$8:$F$3006,B1853,Transactions!$O$8:$O$3006))</f>
        <v/>
      </c>
      <c r="F1853" s="53" t="str">
        <f>IF(B1853="","",SUMIF(Transactions!$F$8:$F$3006,B1853,Transactions!$R$8:$R$3006))</f>
        <v/>
      </c>
      <c r="G1853" s="54" t="str">
        <f>IF(B1853="","",(C1853+F1853)-(D1853+E1853+SUMIF(Transactions!$F$8:$F$3006,B1853,Transactions!$Q$8:$Q$3006)))</f>
        <v/>
      </c>
      <c r="H1853" s="55" t="str">
        <f>IF(B1853="","",IF(G1853&gt;0,"OUTSTANDING",IF(G1853=0,"SETTLED",IF(SUMIF(Transactions!$F$8:$F$3006,B1853,Transactions!$Q$8:$Q$3006)&gt;SUMIF(Transactions!$F$8:$F$3006,B1853,Transactions!$R$8:$R$3006),"OWES","OVERPAID"))))</f>
        <v/>
      </c>
      <c r="I1853" s="1"/>
    </row>
    <row r="1854" spans="1:9" ht="18" customHeight="1" x14ac:dyDescent="0.25">
      <c r="A1854" s="40">
        <v>1839</v>
      </c>
      <c r="B1854" s="41" t="str">
        <f t="array" ref="B1854">IFERROR(IF(INDEX(Transactions!$F$8:$F$3006,MATCH(0,COUNTIF($B$11:B1853,Transactions!$F$8:$F$3006),0))="","",INDEX(Transactions!$F$8:$F$3006,MATCH(0,COUNTIF($B$11:B1853,Transactions!$F$8:$F$3006),0))),"")</f>
        <v/>
      </c>
      <c r="C1854" s="42" t="str">
        <f>IF(B1854="","",SUMIF(Transactions!$F$8:$F$3006,B1854,Transactions!$H$8:$H$3006))</f>
        <v/>
      </c>
      <c r="D1854" s="43" t="str">
        <f>IF(B1854="","",SUMIF(Transactions!$F$8:$F$3006,B1854,Transactions!$N$8:$N$3006))</f>
        <v/>
      </c>
      <c r="E1854" s="44" t="str">
        <f>IF(B1854="","",SUMIF(Transactions!$F$8:$F$3006,B1854,Transactions!$O$8:$O$3006))</f>
        <v/>
      </c>
      <c r="F1854" s="45" t="str">
        <f>IF(B1854="","",SUMIF(Transactions!$F$8:$F$3006,B1854,Transactions!$R$8:$R$3006))</f>
        <v/>
      </c>
      <c r="G1854" s="46" t="str">
        <f>IF(B1854="","",(C1854+F1854)-(D1854+E1854+SUMIF(Transactions!$F$8:$F$3006,B1854,Transactions!$Q$8:$Q$3006)))</f>
        <v/>
      </c>
      <c r="H1854" s="47" t="str">
        <f>IF(B1854="","",IF(G1854&gt;0,"OUTSTANDING",IF(G1854=0,"SETTLED",IF(SUMIF(Transactions!$F$8:$F$3006,B1854,Transactions!$Q$8:$Q$3006)&gt;SUMIF(Transactions!$F$8:$F$3006,B1854,Transactions!$R$8:$R$3006),"OWES","OVERPAID"))))</f>
        <v/>
      </c>
      <c r="I1854" s="1"/>
    </row>
    <row r="1855" spans="1:9" ht="18" customHeight="1" x14ac:dyDescent="0.25">
      <c r="A1855" s="48">
        <v>1840</v>
      </c>
      <c r="B1855" s="49" t="str">
        <f t="array" ref="B1855">IFERROR(IF(INDEX(Transactions!$F$8:$F$3006,MATCH(0,COUNTIF($B$11:B1854,Transactions!$F$8:$F$3006),0))="","",INDEX(Transactions!$F$8:$F$3006,MATCH(0,COUNTIF($B$11:B1854,Transactions!$F$8:$F$3006),0))),"")</f>
        <v/>
      </c>
      <c r="C1855" s="50" t="str">
        <f>IF(B1855="","",SUMIF(Transactions!$F$8:$F$3006,B1855,Transactions!$H$8:$H$3006))</f>
        <v/>
      </c>
      <c r="D1855" s="51" t="str">
        <f>IF(B1855="","",SUMIF(Transactions!$F$8:$F$3006,B1855,Transactions!$N$8:$N$3006))</f>
        <v/>
      </c>
      <c r="E1855" s="52" t="str">
        <f>IF(B1855="","",SUMIF(Transactions!$F$8:$F$3006,B1855,Transactions!$O$8:$O$3006))</f>
        <v/>
      </c>
      <c r="F1855" s="53" t="str">
        <f>IF(B1855="","",SUMIF(Transactions!$F$8:$F$3006,B1855,Transactions!$R$8:$R$3006))</f>
        <v/>
      </c>
      <c r="G1855" s="54" t="str">
        <f>IF(B1855="","",(C1855+F1855)-(D1855+E1855+SUMIF(Transactions!$F$8:$F$3006,B1855,Transactions!$Q$8:$Q$3006)))</f>
        <v/>
      </c>
      <c r="H1855" s="55" t="str">
        <f>IF(B1855="","",IF(G1855&gt;0,"OUTSTANDING",IF(G1855=0,"SETTLED",IF(SUMIF(Transactions!$F$8:$F$3006,B1855,Transactions!$Q$8:$Q$3006)&gt;SUMIF(Transactions!$F$8:$F$3006,B1855,Transactions!$R$8:$R$3006),"OWES","OVERPAID"))))</f>
        <v/>
      </c>
      <c r="I1855" s="1"/>
    </row>
    <row r="1856" spans="1:9" ht="18" customHeight="1" x14ac:dyDescent="0.25">
      <c r="A1856" s="40">
        <v>1841</v>
      </c>
      <c r="B1856" s="41" t="str">
        <f t="array" ref="B1856">IFERROR(IF(INDEX(Transactions!$F$8:$F$3006,MATCH(0,COUNTIF($B$11:B1855,Transactions!$F$8:$F$3006),0))="","",INDEX(Transactions!$F$8:$F$3006,MATCH(0,COUNTIF($B$11:B1855,Transactions!$F$8:$F$3006),0))),"")</f>
        <v/>
      </c>
      <c r="C1856" s="42" t="str">
        <f>IF(B1856="","",SUMIF(Transactions!$F$8:$F$3006,B1856,Transactions!$H$8:$H$3006))</f>
        <v/>
      </c>
      <c r="D1856" s="43" t="str">
        <f>IF(B1856="","",SUMIF(Transactions!$F$8:$F$3006,B1856,Transactions!$N$8:$N$3006))</f>
        <v/>
      </c>
      <c r="E1856" s="44" t="str">
        <f>IF(B1856="","",SUMIF(Transactions!$F$8:$F$3006,B1856,Transactions!$O$8:$O$3006))</f>
        <v/>
      </c>
      <c r="F1856" s="45" t="str">
        <f>IF(B1856="","",SUMIF(Transactions!$F$8:$F$3006,B1856,Transactions!$R$8:$R$3006))</f>
        <v/>
      </c>
      <c r="G1856" s="46" t="str">
        <f>IF(B1856="","",(C1856+F1856)-(D1856+E1856+SUMIF(Transactions!$F$8:$F$3006,B1856,Transactions!$Q$8:$Q$3006)))</f>
        <v/>
      </c>
      <c r="H1856" s="47" t="str">
        <f>IF(B1856="","",IF(G1856&gt;0,"OUTSTANDING",IF(G1856=0,"SETTLED",IF(SUMIF(Transactions!$F$8:$F$3006,B1856,Transactions!$Q$8:$Q$3006)&gt;SUMIF(Transactions!$F$8:$F$3006,B1856,Transactions!$R$8:$R$3006),"OWES","OVERPAID"))))</f>
        <v/>
      </c>
      <c r="I1856" s="1"/>
    </row>
    <row r="1857" spans="1:9" ht="18" customHeight="1" x14ac:dyDescent="0.25">
      <c r="A1857" s="48">
        <v>1842</v>
      </c>
      <c r="B1857" s="49" t="str">
        <f t="array" ref="B1857">IFERROR(IF(INDEX(Transactions!$F$8:$F$3006,MATCH(0,COUNTIF($B$11:B1856,Transactions!$F$8:$F$3006),0))="","",INDEX(Transactions!$F$8:$F$3006,MATCH(0,COUNTIF($B$11:B1856,Transactions!$F$8:$F$3006),0))),"")</f>
        <v/>
      </c>
      <c r="C1857" s="50" t="str">
        <f>IF(B1857="","",SUMIF(Transactions!$F$8:$F$3006,B1857,Transactions!$H$8:$H$3006))</f>
        <v/>
      </c>
      <c r="D1857" s="51" t="str">
        <f>IF(B1857="","",SUMIF(Transactions!$F$8:$F$3006,B1857,Transactions!$N$8:$N$3006))</f>
        <v/>
      </c>
      <c r="E1857" s="52" t="str">
        <f>IF(B1857="","",SUMIF(Transactions!$F$8:$F$3006,B1857,Transactions!$O$8:$O$3006))</f>
        <v/>
      </c>
      <c r="F1857" s="53" t="str">
        <f>IF(B1857="","",SUMIF(Transactions!$F$8:$F$3006,B1857,Transactions!$R$8:$R$3006))</f>
        <v/>
      </c>
      <c r="G1857" s="54" t="str">
        <f>IF(B1857="","",(C1857+F1857)-(D1857+E1857+SUMIF(Transactions!$F$8:$F$3006,B1857,Transactions!$Q$8:$Q$3006)))</f>
        <v/>
      </c>
      <c r="H1857" s="55" t="str">
        <f>IF(B1857="","",IF(G1857&gt;0,"OUTSTANDING",IF(G1857=0,"SETTLED",IF(SUMIF(Transactions!$F$8:$F$3006,B1857,Transactions!$Q$8:$Q$3006)&gt;SUMIF(Transactions!$F$8:$F$3006,B1857,Transactions!$R$8:$R$3006),"OWES","OVERPAID"))))</f>
        <v/>
      </c>
      <c r="I1857" s="1"/>
    </row>
    <row r="1858" spans="1:9" ht="18" customHeight="1" x14ac:dyDescent="0.25">
      <c r="A1858" s="40">
        <v>1843</v>
      </c>
      <c r="B1858" s="41" t="str">
        <f t="array" ref="B1858">IFERROR(IF(INDEX(Transactions!$F$8:$F$3006,MATCH(0,COUNTIF($B$11:B1857,Transactions!$F$8:$F$3006),0))="","",INDEX(Transactions!$F$8:$F$3006,MATCH(0,COUNTIF($B$11:B1857,Transactions!$F$8:$F$3006),0))),"")</f>
        <v/>
      </c>
      <c r="C1858" s="42" t="str">
        <f>IF(B1858="","",SUMIF(Transactions!$F$8:$F$3006,B1858,Transactions!$H$8:$H$3006))</f>
        <v/>
      </c>
      <c r="D1858" s="43" t="str">
        <f>IF(B1858="","",SUMIF(Transactions!$F$8:$F$3006,B1858,Transactions!$N$8:$N$3006))</f>
        <v/>
      </c>
      <c r="E1858" s="44" t="str">
        <f>IF(B1858="","",SUMIF(Transactions!$F$8:$F$3006,B1858,Transactions!$O$8:$O$3006))</f>
        <v/>
      </c>
      <c r="F1858" s="45" t="str">
        <f>IF(B1858="","",SUMIF(Transactions!$F$8:$F$3006,B1858,Transactions!$R$8:$R$3006))</f>
        <v/>
      </c>
      <c r="G1858" s="46" t="str">
        <f>IF(B1858="","",(C1858+F1858)-(D1858+E1858+SUMIF(Transactions!$F$8:$F$3006,B1858,Transactions!$Q$8:$Q$3006)))</f>
        <v/>
      </c>
      <c r="H1858" s="47" t="str">
        <f>IF(B1858="","",IF(G1858&gt;0,"OUTSTANDING",IF(G1858=0,"SETTLED",IF(SUMIF(Transactions!$F$8:$F$3006,B1858,Transactions!$Q$8:$Q$3006)&gt;SUMIF(Transactions!$F$8:$F$3006,B1858,Transactions!$R$8:$R$3006),"OWES","OVERPAID"))))</f>
        <v/>
      </c>
      <c r="I1858" s="1"/>
    </row>
    <row r="1859" spans="1:9" ht="18" customHeight="1" x14ac:dyDescent="0.25">
      <c r="A1859" s="48">
        <v>1844</v>
      </c>
      <c r="B1859" s="49" t="str">
        <f t="array" ref="B1859">IFERROR(IF(INDEX(Transactions!$F$8:$F$3006,MATCH(0,COUNTIF($B$11:B1858,Transactions!$F$8:$F$3006),0))="","",INDEX(Transactions!$F$8:$F$3006,MATCH(0,COUNTIF($B$11:B1858,Transactions!$F$8:$F$3006),0))),"")</f>
        <v/>
      </c>
      <c r="C1859" s="50" t="str">
        <f>IF(B1859="","",SUMIF(Transactions!$F$8:$F$3006,B1859,Transactions!$H$8:$H$3006))</f>
        <v/>
      </c>
      <c r="D1859" s="51" t="str">
        <f>IF(B1859="","",SUMIF(Transactions!$F$8:$F$3006,B1859,Transactions!$N$8:$N$3006))</f>
        <v/>
      </c>
      <c r="E1859" s="52" t="str">
        <f>IF(B1859="","",SUMIF(Transactions!$F$8:$F$3006,B1859,Transactions!$O$8:$O$3006))</f>
        <v/>
      </c>
      <c r="F1859" s="53" t="str">
        <f>IF(B1859="","",SUMIF(Transactions!$F$8:$F$3006,B1859,Transactions!$R$8:$R$3006))</f>
        <v/>
      </c>
      <c r="G1859" s="54" t="str">
        <f>IF(B1859="","",(C1859+F1859)-(D1859+E1859+SUMIF(Transactions!$F$8:$F$3006,B1859,Transactions!$Q$8:$Q$3006)))</f>
        <v/>
      </c>
      <c r="H1859" s="55" t="str">
        <f>IF(B1859="","",IF(G1859&gt;0,"OUTSTANDING",IF(G1859=0,"SETTLED",IF(SUMIF(Transactions!$F$8:$F$3006,B1859,Transactions!$Q$8:$Q$3006)&gt;SUMIF(Transactions!$F$8:$F$3006,B1859,Transactions!$R$8:$R$3006),"OWES","OVERPAID"))))</f>
        <v/>
      </c>
      <c r="I1859" s="1"/>
    </row>
    <row r="1860" spans="1:9" ht="18" customHeight="1" x14ac:dyDescent="0.25">
      <c r="A1860" s="40">
        <v>1845</v>
      </c>
      <c r="B1860" s="41" t="str">
        <f t="array" ref="B1860">IFERROR(IF(INDEX(Transactions!$F$8:$F$3006,MATCH(0,COUNTIF($B$11:B1859,Transactions!$F$8:$F$3006),0))="","",INDEX(Transactions!$F$8:$F$3006,MATCH(0,COUNTIF($B$11:B1859,Transactions!$F$8:$F$3006),0))),"")</f>
        <v/>
      </c>
      <c r="C1860" s="42" t="str">
        <f>IF(B1860="","",SUMIF(Transactions!$F$8:$F$3006,B1860,Transactions!$H$8:$H$3006))</f>
        <v/>
      </c>
      <c r="D1860" s="43" t="str">
        <f>IF(B1860="","",SUMIF(Transactions!$F$8:$F$3006,B1860,Transactions!$N$8:$N$3006))</f>
        <v/>
      </c>
      <c r="E1860" s="44" t="str">
        <f>IF(B1860="","",SUMIF(Transactions!$F$8:$F$3006,B1860,Transactions!$O$8:$O$3006))</f>
        <v/>
      </c>
      <c r="F1860" s="45" t="str">
        <f>IF(B1860="","",SUMIF(Transactions!$F$8:$F$3006,B1860,Transactions!$R$8:$R$3006))</f>
        <v/>
      </c>
      <c r="G1860" s="46" t="str">
        <f>IF(B1860="","",(C1860+F1860)-(D1860+E1860+SUMIF(Transactions!$F$8:$F$3006,B1860,Transactions!$Q$8:$Q$3006)))</f>
        <v/>
      </c>
      <c r="H1860" s="47" t="str">
        <f>IF(B1860="","",IF(G1860&gt;0,"OUTSTANDING",IF(G1860=0,"SETTLED",IF(SUMIF(Transactions!$F$8:$F$3006,B1860,Transactions!$Q$8:$Q$3006)&gt;SUMIF(Transactions!$F$8:$F$3006,B1860,Transactions!$R$8:$R$3006),"OWES","OVERPAID"))))</f>
        <v/>
      </c>
      <c r="I1860" s="1"/>
    </row>
    <row r="1861" spans="1:9" ht="18" customHeight="1" x14ac:dyDescent="0.25">
      <c r="A1861" s="48">
        <v>1846</v>
      </c>
      <c r="B1861" s="49" t="str">
        <f t="array" ref="B1861">IFERROR(IF(INDEX(Transactions!$F$8:$F$3006,MATCH(0,COUNTIF($B$11:B1860,Transactions!$F$8:$F$3006),0))="","",INDEX(Transactions!$F$8:$F$3006,MATCH(0,COUNTIF($B$11:B1860,Transactions!$F$8:$F$3006),0))),"")</f>
        <v/>
      </c>
      <c r="C1861" s="50" t="str">
        <f>IF(B1861="","",SUMIF(Transactions!$F$8:$F$3006,B1861,Transactions!$H$8:$H$3006))</f>
        <v/>
      </c>
      <c r="D1861" s="51" t="str">
        <f>IF(B1861="","",SUMIF(Transactions!$F$8:$F$3006,B1861,Transactions!$N$8:$N$3006))</f>
        <v/>
      </c>
      <c r="E1861" s="52" t="str">
        <f>IF(B1861="","",SUMIF(Transactions!$F$8:$F$3006,B1861,Transactions!$O$8:$O$3006))</f>
        <v/>
      </c>
      <c r="F1861" s="53" t="str">
        <f>IF(B1861="","",SUMIF(Transactions!$F$8:$F$3006,B1861,Transactions!$R$8:$R$3006))</f>
        <v/>
      </c>
      <c r="G1861" s="54" t="str">
        <f>IF(B1861="","",(C1861+F1861)-(D1861+E1861+SUMIF(Transactions!$F$8:$F$3006,B1861,Transactions!$Q$8:$Q$3006)))</f>
        <v/>
      </c>
      <c r="H1861" s="55" t="str">
        <f>IF(B1861="","",IF(G1861&gt;0,"OUTSTANDING",IF(G1861=0,"SETTLED",IF(SUMIF(Transactions!$F$8:$F$3006,B1861,Transactions!$Q$8:$Q$3006)&gt;SUMIF(Transactions!$F$8:$F$3006,B1861,Transactions!$R$8:$R$3006),"OWES","OVERPAID"))))</f>
        <v/>
      </c>
      <c r="I1861" s="1"/>
    </row>
    <row r="1862" spans="1:9" ht="18" customHeight="1" x14ac:dyDescent="0.25">
      <c r="A1862" s="40">
        <v>1847</v>
      </c>
      <c r="B1862" s="41" t="str">
        <f t="array" ref="B1862">IFERROR(IF(INDEX(Transactions!$F$8:$F$3006,MATCH(0,COUNTIF($B$11:B1861,Transactions!$F$8:$F$3006),0))="","",INDEX(Transactions!$F$8:$F$3006,MATCH(0,COUNTIF($B$11:B1861,Transactions!$F$8:$F$3006),0))),"")</f>
        <v/>
      </c>
      <c r="C1862" s="42" t="str">
        <f>IF(B1862="","",SUMIF(Transactions!$F$8:$F$3006,B1862,Transactions!$H$8:$H$3006))</f>
        <v/>
      </c>
      <c r="D1862" s="43" t="str">
        <f>IF(B1862="","",SUMIF(Transactions!$F$8:$F$3006,B1862,Transactions!$N$8:$N$3006))</f>
        <v/>
      </c>
      <c r="E1862" s="44" t="str">
        <f>IF(B1862="","",SUMIF(Transactions!$F$8:$F$3006,B1862,Transactions!$O$8:$O$3006))</f>
        <v/>
      </c>
      <c r="F1862" s="45" t="str">
        <f>IF(B1862="","",SUMIF(Transactions!$F$8:$F$3006,B1862,Transactions!$R$8:$R$3006))</f>
        <v/>
      </c>
      <c r="G1862" s="46" t="str">
        <f>IF(B1862="","",(C1862+F1862)-(D1862+E1862+SUMIF(Transactions!$F$8:$F$3006,B1862,Transactions!$Q$8:$Q$3006)))</f>
        <v/>
      </c>
      <c r="H1862" s="47" t="str">
        <f>IF(B1862="","",IF(G1862&gt;0,"OUTSTANDING",IF(G1862=0,"SETTLED",IF(SUMIF(Transactions!$F$8:$F$3006,B1862,Transactions!$Q$8:$Q$3006)&gt;SUMIF(Transactions!$F$8:$F$3006,B1862,Transactions!$R$8:$R$3006),"OWES","OVERPAID"))))</f>
        <v/>
      </c>
      <c r="I1862" s="1"/>
    </row>
    <row r="1863" spans="1:9" ht="18" customHeight="1" x14ac:dyDescent="0.25">
      <c r="A1863" s="48">
        <v>1848</v>
      </c>
      <c r="B1863" s="49" t="str">
        <f t="array" ref="B1863">IFERROR(IF(INDEX(Transactions!$F$8:$F$3006,MATCH(0,COUNTIF($B$11:B1862,Transactions!$F$8:$F$3006),0))="","",INDEX(Transactions!$F$8:$F$3006,MATCH(0,COUNTIF($B$11:B1862,Transactions!$F$8:$F$3006),0))),"")</f>
        <v/>
      </c>
      <c r="C1863" s="50" t="str">
        <f>IF(B1863="","",SUMIF(Transactions!$F$8:$F$3006,B1863,Transactions!$H$8:$H$3006))</f>
        <v/>
      </c>
      <c r="D1863" s="51" t="str">
        <f>IF(B1863="","",SUMIF(Transactions!$F$8:$F$3006,B1863,Transactions!$N$8:$N$3006))</f>
        <v/>
      </c>
      <c r="E1863" s="52" t="str">
        <f>IF(B1863="","",SUMIF(Transactions!$F$8:$F$3006,B1863,Transactions!$O$8:$O$3006))</f>
        <v/>
      </c>
      <c r="F1863" s="53" t="str">
        <f>IF(B1863="","",SUMIF(Transactions!$F$8:$F$3006,B1863,Transactions!$R$8:$R$3006))</f>
        <v/>
      </c>
      <c r="G1863" s="54" t="str">
        <f>IF(B1863="","",(C1863+F1863)-(D1863+E1863+SUMIF(Transactions!$F$8:$F$3006,B1863,Transactions!$Q$8:$Q$3006)))</f>
        <v/>
      </c>
      <c r="H1863" s="55" t="str">
        <f>IF(B1863="","",IF(G1863&gt;0,"OUTSTANDING",IF(G1863=0,"SETTLED",IF(SUMIF(Transactions!$F$8:$F$3006,B1863,Transactions!$Q$8:$Q$3006)&gt;SUMIF(Transactions!$F$8:$F$3006,B1863,Transactions!$R$8:$R$3006),"OWES","OVERPAID"))))</f>
        <v/>
      </c>
      <c r="I1863" s="1"/>
    </row>
    <row r="1864" spans="1:9" ht="18" customHeight="1" x14ac:dyDescent="0.25">
      <c r="A1864" s="40">
        <v>1849</v>
      </c>
      <c r="B1864" s="41" t="str">
        <f t="array" ref="B1864">IFERROR(IF(INDEX(Transactions!$F$8:$F$3006,MATCH(0,COUNTIF($B$11:B1863,Transactions!$F$8:$F$3006),0))="","",INDEX(Transactions!$F$8:$F$3006,MATCH(0,COUNTIF($B$11:B1863,Transactions!$F$8:$F$3006),0))),"")</f>
        <v/>
      </c>
      <c r="C1864" s="42" t="str">
        <f>IF(B1864="","",SUMIF(Transactions!$F$8:$F$3006,B1864,Transactions!$H$8:$H$3006))</f>
        <v/>
      </c>
      <c r="D1864" s="43" t="str">
        <f>IF(B1864="","",SUMIF(Transactions!$F$8:$F$3006,B1864,Transactions!$N$8:$N$3006))</f>
        <v/>
      </c>
      <c r="E1864" s="44" t="str">
        <f>IF(B1864="","",SUMIF(Transactions!$F$8:$F$3006,B1864,Transactions!$O$8:$O$3006))</f>
        <v/>
      </c>
      <c r="F1864" s="45" t="str">
        <f>IF(B1864="","",SUMIF(Transactions!$F$8:$F$3006,B1864,Transactions!$R$8:$R$3006))</f>
        <v/>
      </c>
      <c r="G1864" s="46" t="str">
        <f>IF(B1864="","",(C1864+F1864)-(D1864+E1864+SUMIF(Transactions!$F$8:$F$3006,B1864,Transactions!$Q$8:$Q$3006)))</f>
        <v/>
      </c>
      <c r="H1864" s="47" t="str">
        <f>IF(B1864="","",IF(G1864&gt;0,"OUTSTANDING",IF(G1864=0,"SETTLED",IF(SUMIF(Transactions!$F$8:$F$3006,B1864,Transactions!$Q$8:$Q$3006)&gt;SUMIF(Transactions!$F$8:$F$3006,B1864,Transactions!$R$8:$R$3006),"OWES","OVERPAID"))))</f>
        <v/>
      </c>
      <c r="I1864" s="1"/>
    </row>
    <row r="1865" spans="1:9" ht="18" customHeight="1" x14ac:dyDescent="0.25">
      <c r="A1865" s="48">
        <v>1850</v>
      </c>
      <c r="B1865" s="49" t="str">
        <f t="array" ref="B1865">IFERROR(IF(INDEX(Transactions!$F$8:$F$3006,MATCH(0,COUNTIF($B$11:B1864,Transactions!$F$8:$F$3006),0))="","",INDEX(Transactions!$F$8:$F$3006,MATCH(0,COUNTIF($B$11:B1864,Transactions!$F$8:$F$3006),0))),"")</f>
        <v/>
      </c>
      <c r="C1865" s="50" t="str">
        <f>IF(B1865="","",SUMIF(Transactions!$F$8:$F$3006,B1865,Transactions!$H$8:$H$3006))</f>
        <v/>
      </c>
      <c r="D1865" s="51" t="str">
        <f>IF(B1865="","",SUMIF(Transactions!$F$8:$F$3006,B1865,Transactions!$N$8:$N$3006))</f>
        <v/>
      </c>
      <c r="E1865" s="52" t="str">
        <f>IF(B1865="","",SUMIF(Transactions!$F$8:$F$3006,B1865,Transactions!$O$8:$O$3006))</f>
        <v/>
      </c>
      <c r="F1865" s="53" t="str">
        <f>IF(B1865="","",SUMIF(Transactions!$F$8:$F$3006,B1865,Transactions!$R$8:$R$3006))</f>
        <v/>
      </c>
      <c r="G1865" s="54" t="str">
        <f>IF(B1865="","",(C1865+F1865)-(D1865+E1865+SUMIF(Transactions!$F$8:$F$3006,B1865,Transactions!$Q$8:$Q$3006)))</f>
        <v/>
      </c>
      <c r="H1865" s="55" t="str">
        <f>IF(B1865="","",IF(G1865&gt;0,"OUTSTANDING",IF(G1865=0,"SETTLED",IF(SUMIF(Transactions!$F$8:$F$3006,B1865,Transactions!$Q$8:$Q$3006)&gt;SUMIF(Transactions!$F$8:$F$3006,B1865,Transactions!$R$8:$R$3006),"OWES","OVERPAID"))))</f>
        <v/>
      </c>
      <c r="I1865" s="1"/>
    </row>
    <row r="1866" spans="1:9" ht="18" customHeight="1" x14ac:dyDescent="0.25">
      <c r="A1866" s="40">
        <v>1851</v>
      </c>
      <c r="B1866" s="41" t="str">
        <f t="array" ref="B1866">IFERROR(IF(INDEX(Transactions!$F$8:$F$3006,MATCH(0,COUNTIF($B$11:B1865,Transactions!$F$8:$F$3006),0))="","",INDEX(Transactions!$F$8:$F$3006,MATCH(0,COUNTIF($B$11:B1865,Transactions!$F$8:$F$3006),0))),"")</f>
        <v/>
      </c>
      <c r="C1866" s="42" t="str">
        <f>IF(B1866="","",SUMIF(Transactions!$F$8:$F$3006,B1866,Transactions!$H$8:$H$3006))</f>
        <v/>
      </c>
      <c r="D1866" s="43" t="str">
        <f>IF(B1866="","",SUMIF(Transactions!$F$8:$F$3006,B1866,Transactions!$N$8:$N$3006))</f>
        <v/>
      </c>
      <c r="E1866" s="44" t="str">
        <f>IF(B1866="","",SUMIF(Transactions!$F$8:$F$3006,B1866,Transactions!$O$8:$O$3006))</f>
        <v/>
      </c>
      <c r="F1866" s="45" t="str">
        <f>IF(B1866="","",SUMIF(Transactions!$F$8:$F$3006,B1866,Transactions!$R$8:$R$3006))</f>
        <v/>
      </c>
      <c r="G1866" s="46" t="str">
        <f>IF(B1866="","",(C1866+F1866)-(D1866+E1866+SUMIF(Transactions!$F$8:$F$3006,B1866,Transactions!$Q$8:$Q$3006)))</f>
        <v/>
      </c>
      <c r="H1866" s="47" t="str">
        <f>IF(B1866="","",IF(G1866&gt;0,"OUTSTANDING",IF(G1866=0,"SETTLED",IF(SUMIF(Transactions!$F$8:$F$3006,B1866,Transactions!$Q$8:$Q$3006)&gt;SUMIF(Transactions!$F$8:$F$3006,B1866,Transactions!$R$8:$R$3006),"OWES","OVERPAID"))))</f>
        <v/>
      </c>
      <c r="I1866" s="1"/>
    </row>
    <row r="1867" spans="1:9" ht="18" customHeight="1" x14ac:dyDescent="0.25">
      <c r="A1867" s="48">
        <v>1852</v>
      </c>
      <c r="B1867" s="49" t="str">
        <f t="array" ref="B1867">IFERROR(IF(INDEX(Transactions!$F$8:$F$3006,MATCH(0,COUNTIF($B$11:B1866,Transactions!$F$8:$F$3006),0))="","",INDEX(Transactions!$F$8:$F$3006,MATCH(0,COUNTIF($B$11:B1866,Transactions!$F$8:$F$3006),0))),"")</f>
        <v/>
      </c>
      <c r="C1867" s="50" t="str">
        <f>IF(B1867="","",SUMIF(Transactions!$F$8:$F$3006,B1867,Transactions!$H$8:$H$3006))</f>
        <v/>
      </c>
      <c r="D1867" s="51" t="str">
        <f>IF(B1867="","",SUMIF(Transactions!$F$8:$F$3006,B1867,Transactions!$N$8:$N$3006))</f>
        <v/>
      </c>
      <c r="E1867" s="52" t="str">
        <f>IF(B1867="","",SUMIF(Transactions!$F$8:$F$3006,B1867,Transactions!$O$8:$O$3006))</f>
        <v/>
      </c>
      <c r="F1867" s="53" t="str">
        <f>IF(B1867="","",SUMIF(Transactions!$F$8:$F$3006,B1867,Transactions!$R$8:$R$3006))</f>
        <v/>
      </c>
      <c r="G1867" s="54" t="str">
        <f>IF(B1867="","",(C1867+F1867)-(D1867+E1867+SUMIF(Transactions!$F$8:$F$3006,B1867,Transactions!$Q$8:$Q$3006)))</f>
        <v/>
      </c>
      <c r="H1867" s="55" t="str">
        <f>IF(B1867="","",IF(G1867&gt;0,"OUTSTANDING",IF(G1867=0,"SETTLED",IF(SUMIF(Transactions!$F$8:$F$3006,B1867,Transactions!$Q$8:$Q$3006)&gt;SUMIF(Transactions!$F$8:$F$3006,B1867,Transactions!$R$8:$R$3006),"OWES","OVERPAID"))))</f>
        <v/>
      </c>
      <c r="I1867" s="1"/>
    </row>
    <row r="1868" spans="1:9" ht="18" customHeight="1" x14ac:dyDescent="0.25">
      <c r="A1868" s="40">
        <v>1853</v>
      </c>
      <c r="B1868" s="41" t="str">
        <f t="array" ref="B1868">IFERROR(IF(INDEX(Transactions!$F$8:$F$3006,MATCH(0,COUNTIF($B$11:B1867,Transactions!$F$8:$F$3006),0))="","",INDEX(Transactions!$F$8:$F$3006,MATCH(0,COUNTIF($B$11:B1867,Transactions!$F$8:$F$3006),0))),"")</f>
        <v/>
      </c>
      <c r="C1868" s="42" t="str">
        <f>IF(B1868="","",SUMIF(Transactions!$F$8:$F$3006,B1868,Transactions!$H$8:$H$3006))</f>
        <v/>
      </c>
      <c r="D1868" s="43" t="str">
        <f>IF(B1868="","",SUMIF(Transactions!$F$8:$F$3006,B1868,Transactions!$N$8:$N$3006))</f>
        <v/>
      </c>
      <c r="E1868" s="44" t="str">
        <f>IF(B1868="","",SUMIF(Transactions!$F$8:$F$3006,B1868,Transactions!$O$8:$O$3006))</f>
        <v/>
      </c>
      <c r="F1868" s="45" t="str">
        <f>IF(B1868="","",SUMIF(Transactions!$F$8:$F$3006,B1868,Transactions!$R$8:$R$3006))</f>
        <v/>
      </c>
      <c r="G1868" s="46" t="str">
        <f>IF(B1868="","",(C1868+F1868)-(D1868+E1868+SUMIF(Transactions!$F$8:$F$3006,B1868,Transactions!$Q$8:$Q$3006)))</f>
        <v/>
      </c>
      <c r="H1868" s="47" t="str">
        <f>IF(B1868="","",IF(G1868&gt;0,"OUTSTANDING",IF(G1868=0,"SETTLED",IF(SUMIF(Transactions!$F$8:$F$3006,B1868,Transactions!$Q$8:$Q$3006)&gt;SUMIF(Transactions!$F$8:$F$3006,B1868,Transactions!$R$8:$R$3006),"OWES","OVERPAID"))))</f>
        <v/>
      </c>
      <c r="I1868" s="1"/>
    </row>
    <row r="1869" spans="1:9" ht="18" customHeight="1" x14ac:dyDescent="0.25">
      <c r="A1869" s="48">
        <v>1854</v>
      </c>
      <c r="B1869" s="49" t="str">
        <f t="array" ref="B1869">IFERROR(IF(INDEX(Transactions!$F$8:$F$3006,MATCH(0,COUNTIF($B$11:B1868,Transactions!$F$8:$F$3006),0))="","",INDEX(Transactions!$F$8:$F$3006,MATCH(0,COUNTIF($B$11:B1868,Transactions!$F$8:$F$3006),0))),"")</f>
        <v/>
      </c>
      <c r="C1869" s="50" t="str">
        <f>IF(B1869="","",SUMIF(Transactions!$F$8:$F$3006,B1869,Transactions!$H$8:$H$3006))</f>
        <v/>
      </c>
      <c r="D1869" s="51" t="str">
        <f>IF(B1869="","",SUMIF(Transactions!$F$8:$F$3006,B1869,Transactions!$N$8:$N$3006))</f>
        <v/>
      </c>
      <c r="E1869" s="52" t="str">
        <f>IF(B1869="","",SUMIF(Transactions!$F$8:$F$3006,B1869,Transactions!$O$8:$O$3006))</f>
        <v/>
      </c>
      <c r="F1869" s="53" t="str">
        <f>IF(B1869="","",SUMIF(Transactions!$F$8:$F$3006,B1869,Transactions!$R$8:$R$3006))</f>
        <v/>
      </c>
      <c r="G1869" s="54" t="str">
        <f>IF(B1869="","",(C1869+F1869)-(D1869+E1869+SUMIF(Transactions!$F$8:$F$3006,B1869,Transactions!$Q$8:$Q$3006)))</f>
        <v/>
      </c>
      <c r="H1869" s="55" t="str">
        <f>IF(B1869="","",IF(G1869&gt;0,"OUTSTANDING",IF(G1869=0,"SETTLED",IF(SUMIF(Transactions!$F$8:$F$3006,B1869,Transactions!$Q$8:$Q$3006)&gt;SUMIF(Transactions!$F$8:$F$3006,B1869,Transactions!$R$8:$R$3006),"OWES","OVERPAID"))))</f>
        <v/>
      </c>
      <c r="I1869" s="1"/>
    </row>
    <row r="1870" spans="1:9" ht="18" customHeight="1" x14ac:dyDescent="0.25">
      <c r="A1870" s="40">
        <v>1855</v>
      </c>
      <c r="B1870" s="41" t="str">
        <f t="array" ref="B1870">IFERROR(IF(INDEX(Transactions!$F$8:$F$3006,MATCH(0,COUNTIF($B$11:B1869,Transactions!$F$8:$F$3006),0))="","",INDEX(Transactions!$F$8:$F$3006,MATCH(0,COUNTIF($B$11:B1869,Transactions!$F$8:$F$3006),0))),"")</f>
        <v/>
      </c>
      <c r="C1870" s="42" t="str">
        <f>IF(B1870="","",SUMIF(Transactions!$F$8:$F$3006,B1870,Transactions!$H$8:$H$3006))</f>
        <v/>
      </c>
      <c r="D1870" s="43" t="str">
        <f>IF(B1870="","",SUMIF(Transactions!$F$8:$F$3006,B1870,Transactions!$N$8:$N$3006))</f>
        <v/>
      </c>
      <c r="E1870" s="44" t="str">
        <f>IF(B1870="","",SUMIF(Transactions!$F$8:$F$3006,B1870,Transactions!$O$8:$O$3006))</f>
        <v/>
      </c>
      <c r="F1870" s="45" t="str">
        <f>IF(B1870="","",SUMIF(Transactions!$F$8:$F$3006,B1870,Transactions!$R$8:$R$3006))</f>
        <v/>
      </c>
      <c r="G1870" s="46" t="str">
        <f>IF(B1870="","",(C1870+F1870)-(D1870+E1870+SUMIF(Transactions!$F$8:$F$3006,B1870,Transactions!$Q$8:$Q$3006)))</f>
        <v/>
      </c>
      <c r="H1870" s="47" t="str">
        <f>IF(B1870="","",IF(G1870&gt;0,"OUTSTANDING",IF(G1870=0,"SETTLED",IF(SUMIF(Transactions!$F$8:$F$3006,B1870,Transactions!$Q$8:$Q$3006)&gt;SUMIF(Transactions!$F$8:$F$3006,B1870,Transactions!$R$8:$R$3006),"OWES","OVERPAID"))))</f>
        <v/>
      </c>
      <c r="I1870" s="1"/>
    </row>
    <row r="1871" spans="1:9" ht="18" customHeight="1" x14ac:dyDescent="0.25">
      <c r="A1871" s="48">
        <v>1856</v>
      </c>
      <c r="B1871" s="49" t="str">
        <f t="array" ref="B1871">IFERROR(IF(INDEX(Transactions!$F$8:$F$3006,MATCH(0,COUNTIF($B$11:B1870,Transactions!$F$8:$F$3006),0))="","",INDEX(Transactions!$F$8:$F$3006,MATCH(0,COUNTIF($B$11:B1870,Transactions!$F$8:$F$3006),0))),"")</f>
        <v/>
      </c>
      <c r="C1871" s="50" t="str">
        <f>IF(B1871="","",SUMIF(Transactions!$F$8:$F$3006,B1871,Transactions!$H$8:$H$3006))</f>
        <v/>
      </c>
      <c r="D1871" s="51" t="str">
        <f>IF(B1871="","",SUMIF(Transactions!$F$8:$F$3006,B1871,Transactions!$N$8:$N$3006))</f>
        <v/>
      </c>
      <c r="E1871" s="52" t="str">
        <f>IF(B1871="","",SUMIF(Transactions!$F$8:$F$3006,B1871,Transactions!$O$8:$O$3006))</f>
        <v/>
      </c>
      <c r="F1871" s="53" t="str">
        <f>IF(B1871="","",SUMIF(Transactions!$F$8:$F$3006,B1871,Transactions!$R$8:$R$3006))</f>
        <v/>
      </c>
      <c r="G1871" s="54" t="str">
        <f>IF(B1871="","",(C1871+F1871)-(D1871+E1871+SUMIF(Transactions!$F$8:$F$3006,B1871,Transactions!$Q$8:$Q$3006)))</f>
        <v/>
      </c>
      <c r="H1871" s="55" t="str">
        <f>IF(B1871="","",IF(G1871&gt;0,"OUTSTANDING",IF(G1871=0,"SETTLED",IF(SUMIF(Transactions!$F$8:$F$3006,B1871,Transactions!$Q$8:$Q$3006)&gt;SUMIF(Transactions!$F$8:$F$3006,B1871,Transactions!$R$8:$R$3006),"OWES","OVERPAID"))))</f>
        <v/>
      </c>
      <c r="I1871" s="1"/>
    </row>
    <row r="1872" spans="1:9" ht="18" customHeight="1" x14ac:dyDescent="0.25">
      <c r="A1872" s="40">
        <v>1857</v>
      </c>
      <c r="B1872" s="41" t="str">
        <f t="array" ref="B1872">IFERROR(IF(INDEX(Transactions!$F$8:$F$3006,MATCH(0,COUNTIF($B$11:B1871,Transactions!$F$8:$F$3006),0))="","",INDEX(Transactions!$F$8:$F$3006,MATCH(0,COUNTIF($B$11:B1871,Transactions!$F$8:$F$3006),0))),"")</f>
        <v/>
      </c>
      <c r="C1872" s="42" t="str">
        <f>IF(B1872="","",SUMIF(Transactions!$F$8:$F$3006,B1872,Transactions!$H$8:$H$3006))</f>
        <v/>
      </c>
      <c r="D1872" s="43" t="str">
        <f>IF(B1872="","",SUMIF(Transactions!$F$8:$F$3006,B1872,Transactions!$N$8:$N$3006))</f>
        <v/>
      </c>
      <c r="E1872" s="44" t="str">
        <f>IF(B1872="","",SUMIF(Transactions!$F$8:$F$3006,B1872,Transactions!$O$8:$O$3006))</f>
        <v/>
      </c>
      <c r="F1872" s="45" t="str">
        <f>IF(B1872="","",SUMIF(Transactions!$F$8:$F$3006,B1872,Transactions!$R$8:$R$3006))</f>
        <v/>
      </c>
      <c r="G1872" s="46" t="str">
        <f>IF(B1872="","",(C1872+F1872)-(D1872+E1872+SUMIF(Transactions!$F$8:$F$3006,B1872,Transactions!$Q$8:$Q$3006)))</f>
        <v/>
      </c>
      <c r="H1872" s="47" t="str">
        <f>IF(B1872="","",IF(G1872&gt;0,"OUTSTANDING",IF(G1872=0,"SETTLED",IF(SUMIF(Transactions!$F$8:$F$3006,B1872,Transactions!$Q$8:$Q$3006)&gt;SUMIF(Transactions!$F$8:$F$3006,B1872,Transactions!$R$8:$R$3006),"OWES","OVERPAID"))))</f>
        <v/>
      </c>
      <c r="I1872" s="1"/>
    </row>
    <row r="1873" spans="1:9" ht="18" customHeight="1" x14ac:dyDescent="0.25">
      <c r="A1873" s="48">
        <v>1858</v>
      </c>
      <c r="B1873" s="49" t="str">
        <f t="array" ref="B1873">IFERROR(IF(INDEX(Transactions!$F$8:$F$3006,MATCH(0,COUNTIF($B$11:B1872,Transactions!$F$8:$F$3006),0))="","",INDEX(Transactions!$F$8:$F$3006,MATCH(0,COUNTIF($B$11:B1872,Transactions!$F$8:$F$3006),0))),"")</f>
        <v/>
      </c>
      <c r="C1873" s="50" t="str">
        <f>IF(B1873="","",SUMIF(Transactions!$F$8:$F$3006,B1873,Transactions!$H$8:$H$3006))</f>
        <v/>
      </c>
      <c r="D1873" s="51" t="str">
        <f>IF(B1873="","",SUMIF(Transactions!$F$8:$F$3006,B1873,Transactions!$N$8:$N$3006))</f>
        <v/>
      </c>
      <c r="E1873" s="52" t="str">
        <f>IF(B1873="","",SUMIF(Transactions!$F$8:$F$3006,B1873,Transactions!$O$8:$O$3006))</f>
        <v/>
      </c>
      <c r="F1873" s="53" t="str">
        <f>IF(B1873="","",SUMIF(Transactions!$F$8:$F$3006,B1873,Transactions!$R$8:$R$3006))</f>
        <v/>
      </c>
      <c r="G1873" s="54" t="str">
        <f>IF(B1873="","",(C1873+F1873)-(D1873+E1873+SUMIF(Transactions!$F$8:$F$3006,B1873,Transactions!$Q$8:$Q$3006)))</f>
        <v/>
      </c>
      <c r="H1873" s="55" t="str">
        <f>IF(B1873="","",IF(G1873&gt;0,"OUTSTANDING",IF(G1873=0,"SETTLED",IF(SUMIF(Transactions!$F$8:$F$3006,B1873,Transactions!$Q$8:$Q$3006)&gt;SUMIF(Transactions!$F$8:$F$3006,B1873,Transactions!$R$8:$R$3006),"OWES","OVERPAID"))))</f>
        <v/>
      </c>
      <c r="I1873" s="1"/>
    </row>
    <row r="1874" spans="1:9" ht="18" customHeight="1" x14ac:dyDescent="0.25">
      <c r="A1874" s="40">
        <v>1859</v>
      </c>
      <c r="B1874" s="41" t="str">
        <f t="array" ref="B1874">IFERROR(IF(INDEX(Transactions!$F$8:$F$3006,MATCH(0,COUNTIF($B$11:B1873,Transactions!$F$8:$F$3006),0))="","",INDEX(Transactions!$F$8:$F$3006,MATCH(0,COUNTIF($B$11:B1873,Transactions!$F$8:$F$3006),0))),"")</f>
        <v/>
      </c>
      <c r="C1874" s="42" t="str">
        <f>IF(B1874="","",SUMIF(Transactions!$F$8:$F$3006,B1874,Transactions!$H$8:$H$3006))</f>
        <v/>
      </c>
      <c r="D1874" s="43" t="str">
        <f>IF(B1874="","",SUMIF(Transactions!$F$8:$F$3006,B1874,Transactions!$N$8:$N$3006))</f>
        <v/>
      </c>
      <c r="E1874" s="44" t="str">
        <f>IF(B1874="","",SUMIF(Transactions!$F$8:$F$3006,B1874,Transactions!$O$8:$O$3006))</f>
        <v/>
      </c>
      <c r="F1874" s="45" t="str">
        <f>IF(B1874="","",SUMIF(Transactions!$F$8:$F$3006,B1874,Transactions!$R$8:$R$3006))</f>
        <v/>
      </c>
      <c r="G1874" s="46" t="str">
        <f>IF(B1874="","",(C1874+F1874)-(D1874+E1874+SUMIF(Transactions!$F$8:$F$3006,B1874,Transactions!$Q$8:$Q$3006)))</f>
        <v/>
      </c>
      <c r="H1874" s="47" t="str">
        <f>IF(B1874="","",IF(G1874&gt;0,"OUTSTANDING",IF(G1874=0,"SETTLED",IF(SUMIF(Transactions!$F$8:$F$3006,B1874,Transactions!$Q$8:$Q$3006)&gt;SUMIF(Transactions!$F$8:$F$3006,B1874,Transactions!$R$8:$R$3006),"OWES","OVERPAID"))))</f>
        <v/>
      </c>
      <c r="I1874" s="1"/>
    </row>
    <row r="1875" spans="1:9" ht="18" customHeight="1" x14ac:dyDescent="0.25">
      <c r="A1875" s="48">
        <v>1860</v>
      </c>
      <c r="B1875" s="49" t="str">
        <f t="array" ref="B1875">IFERROR(IF(INDEX(Transactions!$F$8:$F$3006,MATCH(0,COUNTIF($B$11:B1874,Transactions!$F$8:$F$3006),0))="","",INDEX(Transactions!$F$8:$F$3006,MATCH(0,COUNTIF($B$11:B1874,Transactions!$F$8:$F$3006),0))),"")</f>
        <v/>
      </c>
      <c r="C1875" s="50" t="str">
        <f>IF(B1875="","",SUMIF(Transactions!$F$8:$F$3006,B1875,Transactions!$H$8:$H$3006))</f>
        <v/>
      </c>
      <c r="D1875" s="51" t="str">
        <f>IF(B1875="","",SUMIF(Transactions!$F$8:$F$3006,B1875,Transactions!$N$8:$N$3006))</f>
        <v/>
      </c>
      <c r="E1875" s="52" t="str">
        <f>IF(B1875="","",SUMIF(Transactions!$F$8:$F$3006,B1875,Transactions!$O$8:$O$3006))</f>
        <v/>
      </c>
      <c r="F1875" s="53" t="str">
        <f>IF(B1875="","",SUMIF(Transactions!$F$8:$F$3006,B1875,Transactions!$R$8:$R$3006))</f>
        <v/>
      </c>
      <c r="G1875" s="54" t="str">
        <f>IF(B1875="","",(C1875+F1875)-(D1875+E1875+SUMIF(Transactions!$F$8:$F$3006,B1875,Transactions!$Q$8:$Q$3006)))</f>
        <v/>
      </c>
      <c r="H1875" s="55" t="str">
        <f>IF(B1875="","",IF(G1875&gt;0,"OUTSTANDING",IF(G1875=0,"SETTLED",IF(SUMIF(Transactions!$F$8:$F$3006,B1875,Transactions!$Q$8:$Q$3006)&gt;SUMIF(Transactions!$F$8:$F$3006,B1875,Transactions!$R$8:$R$3006),"OWES","OVERPAID"))))</f>
        <v/>
      </c>
      <c r="I1875" s="1"/>
    </row>
    <row r="1876" spans="1:9" ht="18" customHeight="1" x14ac:dyDescent="0.25">
      <c r="A1876" s="40">
        <v>1861</v>
      </c>
      <c r="B1876" s="41" t="str">
        <f t="array" ref="B1876">IFERROR(IF(INDEX(Transactions!$F$8:$F$3006,MATCH(0,COUNTIF($B$11:B1875,Transactions!$F$8:$F$3006),0))="","",INDEX(Transactions!$F$8:$F$3006,MATCH(0,COUNTIF($B$11:B1875,Transactions!$F$8:$F$3006),0))),"")</f>
        <v/>
      </c>
      <c r="C1876" s="42" t="str">
        <f>IF(B1876="","",SUMIF(Transactions!$F$8:$F$3006,B1876,Transactions!$H$8:$H$3006))</f>
        <v/>
      </c>
      <c r="D1876" s="43" t="str">
        <f>IF(B1876="","",SUMIF(Transactions!$F$8:$F$3006,B1876,Transactions!$N$8:$N$3006))</f>
        <v/>
      </c>
      <c r="E1876" s="44" t="str">
        <f>IF(B1876="","",SUMIF(Transactions!$F$8:$F$3006,B1876,Transactions!$O$8:$O$3006))</f>
        <v/>
      </c>
      <c r="F1876" s="45" t="str">
        <f>IF(B1876="","",SUMIF(Transactions!$F$8:$F$3006,B1876,Transactions!$R$8:$R$3006))</f>
        <v/>
      </c>
      <c r="G1876" s="46" t="str">
        <f>IF(B1876="","",(C1876+F1876)-(D1876+E1876+SUMIF(Transactions!$F$8:$F$3006,B1876,Transactions!$Q$8:$Q$3006)))</f>
        <v/>
      </c>
      <c r="H1876" s="47" t="str">
        <f>IF(B1876="","",IF(G1876&gt;0,"OUTSTANDING",IF(G1876=0,"SETTLED",IF(SUMIF(Transactions!$F$8:$F$3006,B1876,Transactions!$Q$8:$Q$3006)&gt;SUMIF(Transactions!$F$8:$F$3006,B1876,Transactions!$R$8:$R$3006),"OWES","OVERPAID"))))</f>
        <v/>
      </c>
      <c r="I1876" s="1"/>
    </row>
    <row r="1877" spans="1:9" ht="18" customHeight="1" x14ac:dyDescent="0.25">
      <c r="A1877" s="48">
        <v>1862</v>
      </c>
      <c r="B1877" s="49" t="str">
        <f t="array" ref="B1877">IFERROR(IF(INDEX(Transactions!$F$8:$F$3006,MATCH(0,COUNTIF($B$11:B1876,Transactions!$F$8:$F$3006),0))="","",INDEX(Transactions!$F$8:$F$3006,MATCH(0,COUNTIF($B$11:B1876,Transactions!$F$8:$F$3006),0))),"")</f>
        <v/>
      </c>
      <c r="C1877" s="50" t="str">
        <f>IF(B1877="","",SUMIF(Transactions!$F$8:$F$3006,B1877,Transactions!$H$8:$H$3006))</f>
        <v/>
      </c>
      <c r="D1877" s="51" t="str">
        <f>IF(B1877="","",SUMIF(Transactions!$F$8:$F$3006,B1877,Transactions!$N$8:$N$3006))</f>
        <v/>
      </c>
      <c r="E1877" s="52" t="str">
        <f>IF(B1877="","",SUMIF(Transactions!$F$8:$F$3006,B1877,Transactions!$O$8:$O$3006))</f>
        <v/>
      </c>
      <c r="F1877" s="53" t="str">
        <f>IF(B1877="","",SUMIF(Transactions!$F$8:$F$3006,B1877,Transactions!$R$8:$R$3006))</f>
        <v/>
      </c>
      <c r="G1877" s="54" t="str">
        <f>IF(B1877="","",(C1877+F1877)-(D1877+E1877+SUMIF(Transactions!$F$8:$F$3006,B1877,Transactions!$Q$8:$Q$3006)))</f>
        <v/>
      </c>
      <c r="H1877" s="55" t="str">
        <f>IF(B1877="","",IF(G1877&gt;0,"OUTSTANDING",IF(G1877=0,"SETTLED",IF(SUMIF(Transactions!$F$8:$F$3006,B1877,Transactions!$Q$8:$Q$3006)&gt;SUMIF(Transactions!$F$8:$F$3006,B1877,Transactions!$R$8:$R$3006),"OWES","OVERPAID"))))</f>
        <v/>
      </c>
      <c r="I1877" s="1"/>
    </row>
    <row r="1878" spans="1:9" ht="18" customHeight="1" x14ac:dyDescent="0.25">
      <c r="A1878" s="40">
        <v>1863</v>
      </c>
      <c r="B1878" s="41" t="str">
        <f t="array" ref="B1878">IFERROR(IF(INDEX(Transactions!$F$8:$F$3006,MATCH(0,COUNTIF($B$11:B1877,Transactions!$F$8:$F$3006),0))="","",INDEX(Transactions!$F$8:$F$3006,MATCH(0,COUNTIF($B$11:B1877,Transactions!$F$8:$F$3006),0))),"")</f>
        <v/>
      </c>
      <c r="C1878" s="42" t="str">
        <f>IF(B1878="","",SUMIF(Transactions!$F$8:$F$3006,B1878,Transactions!$H$8:$H$3006))</f>
        <v/>
      </c>
      <c r="D1878" s="43" t="str">
        <f>IF(B1878="","",SUMIF(Transactions!$F$8:$F$3006,B1878,Transactions!$N$8:$N$3006))</f>
        <v/>
      </c>
      <c r="E1878" s="44" t="str">
        <f>IF(B1878="","",SUMIF(Transactions!$F$8:$F$3006,B1878,Transactions!$O$8:$O$3006))</f>
        <v/>
      </c>
      <c r="F1878" s="45" t="str">
        <f>IF(B1878="","",SUMIF(Transactions!$F$8:$F$3006,B1878,Transactions!$R$8:$R$3006))</f>
        <v/>
      </c>
      <c r="G1878" s="46" t="str">
        <f>IF(B1878="","",(C1878+F1878)-(D1878+E1878+SUMIF(Transactions!$F$8:$F$3006,B1878,Transactions!$Q$8:$Q$3006)))</f>
        <v/>
      </c>
      <c r="H1878" s="47" t="str">
        <f>IF(B1878="","",IF(G1878&gt;0,"OUTSTANDING",IF(G1878=0,"SETTLED",IF(SUMIF(Transactions!$F$8:$F$3006,B1878,Transactions!$Q$8:$Q$3006)&gt;SUMIF(Transactions!$F$8:$F$3006,B1878,Transactions!$R$8:$R$3006),"OWES","OVERPAID"))))</f>
        <v/>
      </c>
      <c r="I1878" s="1"/>
    </row>
    <row r="1879" spans="1:9" ht="18" customHeight="1" x14ac:dyDescent="0.25">
      <c r="A1879" s="48">
        <v>1864</v>
      </c>
      <c r="B1879" s="49" t="str">
        <f t="array" ref="B1879">IFERROR(IF(INDEX(Transactions!$F$8:$F$3006,MATCH(0,COUNTIF($B$11:B1878,Transactions!$F$8:$F$3006),0))="","",INDEX(Transactions!$F$8:$F$3006,MATCH(0,COUNTIF($B$11:B1878,Transactions!$F$8:$F$3006),0))),"")</f>
        <v/>
      </c>
      <c r="C1879" s="50" t="str">
        <f>IF(B1879="","",SUMIF(Transactions!$F$8:$F$3006,B1879,Transactions!$H$8:$H$3006))</f>
        <v/>
      </c>
      <c r="D1879" s="51" t="str">
        <f>IF(B1879="","",SUMIF(Transactions!$F$8:$F$3006,B1879,Transactions!$N$8:$N$3006))</f>
        <v/>
      </c>
      <c r="E1879" s="52" t="str">
        <f>IF(B1879="","",SUMIF(Transactions!$F$8:$F$3006,B1879,Transactions!$O$8:$O$3006))</f>
        <v/>
      </c>
      <c r="F1879" s="53" t="str">
        <f>IF(B1879="","",SUMIF(Transactions!$F$8:$F$3006,B1879,Transactions!$R$8:$R$3006))</f>
        <v/>
      </c>
      <c r="G1879" s="54" t="str">
        <f>IF(B1879="","",(C1879+F1879)-(D1879+E1879+SUMIF(Transactions!$F$8:$F$3006,B1879,Transactions!$Q$8:$Q$3006)))</f>
        <v/>
      </c>
      <c r="H1879" s="55" t="str">
        <f>IF(B1879="","",IF(G1879&gt;0,"OUTSTANDING",IF(G1879=0,"SETTLED",IF(SUMIF(Transactions!$F$8:$F$3006,B1879,Transactions!$Q$8:$Q$3006)&gt;SUMIF(Transactions!$F$8:$F$3006,B1879,Transactions!$R$8:$R$3006),"OWES","OVERPAID"))))</f>
        <v/>
      </c>
      <c r="I1879" s="1"/>
    </row>
    <row r="1880" spans="1:9" ht="18" customHeight="1" x14ac:dyDescent="0.25">
      <c r="A1880" s="40">
        <v>1865</v>
      </c>
      <c r="B1880" s="41" t="str">
        <f t="array" ref="B1880">IFERROR(IF(INDEX(Transactions!$F$8:$F$3006,MATCH(0,COUNTIF($B$11:B1879,Transactions!$F$8:$F$3006),0))="","",INDEX(Transactions!$F$8:$F$3006,MATCH(0,COUNTIF($B$11:B1879,Transactions!$F$8:$F$3006),0))),"")</f>
        <v/>
      </c>
      <c r="C1880" s="42" t="str">
        <f>IF(B1880="","",SUMIF(Transactions!$F$8:$F$3006,B1880,Transactions!$H$8:$H$3006))</f>
        <v/>
      </c>
      <c r="D1880" s="43" t="str">
        <f>IF(B1880="","",SUMIF(Transactions!$F$8:$F$3006,B1880,Transactions!$N$8:$N$3006))</f>
        <v/>
      </c>
      <c r="E1880" s="44" t="str">
        <f>IF(B1880="","",SUMIF(Transactions!$F$8:$F$3006,B1880,Transactions!$O$8:$O$3006))</f>
        <v/>
      </c>
      <c r="F1880" s="45" t="str">
        <f>IF(B1880="","",SUMIF(Transactions!$F$8:$F$3006,B1880,Transactions!$R$8:$R$3006))</f>
        <v/>
      </c>
      <c r="G1880" s="46" t="str">
        <f>IF(B1880="","",(C1880+F1880)-(D1880+E1880+SUMIF(Transactions!$F$8:$F$3006,B1880,Transactions!$Q$8:$Q$3006)))</f>
        <v/>
      </c>
      <c r="H1880" s="47" t="str">
        <f>IF(B1880="","",IF(G1880&gt;0,"OUTSTANDING",IF(G1880=0,"SETTLED",IF(SUMIF(Transactions!$F$8:$F$3006,B1880,Transactions!$Q$8:$Q$3006)&gt;SUMIF(Transactions!$F$8:$F$3006,B1880,Transactions!$R$8:$R$3006),"OWES","OVERPAID"))))</f>
        <v/>
      </c>
      <c r="I1880" s="1"/>
    </row>
    <row r="1881" spans="1:9" ht="18" customHeight="1" x14ac:dyDescent="0.25">
      <c r="A1881" s="48">
        <v>1866</v>
      </c>
      <c r="B1881" s="49" t="str">
        <f t="array" ref="B1881">IFERROR(IF(INDEX(Transactions!$F$8:$F$3006,MATCH(0,COUNTIF($B$11:B1880,Transactions!$F$8:$F$3006),0))="","",INDEX(Transactions!$F$8:$F$3006,MATCH(0,COUNTIF($B$11:B1880,Transactions!$F$8:$F$3006),0))),"")</f>
        <v/>
      </c>
      <c r="C1881" s="50" t="str">
        <f>IF(B1881="","",SUMIF(Transactions!$F$8:$F$3006,B1881,Transactions!$H$8:$H$3006))</f>
        <v/>
      </c>
      <c r="D1881" s="51" t="str">
        <f>IF(B1881="","",SUMIF(Transactions!$F$8:$F$3006,B1881,Transactions!$N$8:$N$3006))</f>
        <v/>
      </c>
      <c r="E1881" s="52" t="str">
        <f>IF(B1881="","",SUMIF(Transactions!$F$8:$F$3006,B1881,Transactions!$O$8:$O$3006))</f>
        <v/>
      </c>
      <c r="F1881" s="53" t="str">
        <f>IF(B1881="","",SUMIF(Transactions!$F$8:$F$3006,B1881,Transactions!$R$8:$R$3006))</f>
        <v/>
      </c>
      <c r="G1881" s="54" t="str">
        <f>IF(B1881="","",(C1881+F1881)-(D1881+E1881+SUMIF(Transactions!$F$8:$F$3006,B1881,Transactions!$Q$8:$Q$3006)))</f>
        <v/>
      </c>
      <c r="H1881" s="55" t="str">
        <f>IF(B1881="","",IF(G1881&gt;0,"OUTSTANDING",IF(G1881=0,"SETTLED",IF(SUMIF(Transactions!$F$8:$F$3006,B1881,Transactions!$Q$8:$Q$3006)&gt;SUMIF(Transactions!$F$8:$F$3006,B1881,Transactions!$R$8:$R$3006),"OWES","OVERPAID"))))</f>
        <v/>
      </c>
      <c r="I1881" s="1"/>
    </row>
    <row r="1882" spans="1:9" ht="18" customHeight="1" x14ac:dyDescent="0.25">
      <c r="A1882" s="40">
        <v>1867</v>
      </c>
      <c r="B1882" s="41" t="str">
        <f t="array" ref="B1882">IFERROR(IF(INDEX(Transactions!$F$8:$F$3006,MATCH(0,COUNTIF($B$11:B1881,Transactions!$F$8:$F$3006),0))="","",INDEX(Transactions!$F$8:$F$3006,MATCH(0,COUNTIF($B$11:B1881,Transactions!$F$8:$F$3006),0))),"")</f>
        <v/>
      </c>
      <c r="C1882" s="42" t="str">
        <f>IF(B1882="","",SUMIF(Transactions!$F$8:$F$3006,B1882,Transactions!$H$8:$H$3006))</f>
        <v/>
      </c>
      <c r="D1882" s="43" t="str">
        <f>IF(B1882="","",SUMIF(Transactions!$F$8:$F$3006,B1882,Transactions!$N$8:$N$3006))</f>
        <v/>
      </c>
      <c r="E1882" s="44" t="str">
        <f>IF(B1882="","",SUMIF(Transactions!$F$8:$F$3006,B1882,Transactions!$O$8:$O$3006))</f>
        <v/>
      </c>
      <c r="F1882" s="45" t="str">
        <f>IF(B1882="","",SUMIF(Transactions!$F$8:$F$3006,B1882,Transactions!$R$8:$R$3006))</f>
        <v/>
      </c>
      <c r="G1882" s="46" t="str">
        <f>IF(B1882="","",(C1882+F1882)-(D1882+E1882+SUMIF(Transactions!$F$8:$F$3006,B1882,Transactions!$Q$8:$Q$3006)))</f>
        <v/>
      </c>
      <c r="H1882" s="47" t="str">
        <f>IF(B1882="","",IF(G1882&gt;0,"OUTSTANDING",IF(G1882=0,"SETTLED",IF(SUMIF(Transactions!$F$8:$F$3006,B1882,Transactions!$Q$8:$Q$3006)&gt;SUMIF(Transactions!$F$8:$F$3006,B1882,Transactions!$R$8:$R$3006),"OWES","OVERPAID"))))</f>
        <v/>
      </c>
      <c r="I1882" s="1"/>
    </row>
    <row r="1883" spans="1:9" ht="18" customHeight="1" x14ac:dyDescent="0.25">
      <c r="A1883" s="48">
        <v>1868</v>
      </c>
      <c r="B1883" s="49" t="str">
        <f t="array" ref="B1883">IFERROR(IF(INDEX(Transactions!$F$8:$F$3006,MATCH(0,COUNTIF($B$11:B1882,Transactions!$F$8:$F$3006),0))="","",INDEX(Transactions!$F$8:$F$3006,MATCH(0,COUNTIF($B$11:B1882,Transactions!$F$8:$F$3006),0))),"")</f>
        <v/>
      </c>
      <c r="C1883" s="50" t="str">
        <f>IF(B1883="","",SUMIF(Transactions!$F$8:$F$3006,B1883,Transactions!$H$8:$H$3006))</f>
        <v/>
      </c>
      <c r="D1883" s="51" t="str">
        <f>IF(B1883="","",SUMIF(Transactions!$F$8:$F$3006,B1883,Transactions!$N$8:$N$3006))</f>
        <v/>
      </c>
      <c r="E1883" s="52" t="str">
        <f>IF(B1883="","",SUMIF(Transactions!$F$8:$F$3006,B1883,Transactions!$O$8:$O$3006))</f>
        <v/>
      </c>
      <c r="F1883" s="53" t="str">
        <f>IF(B1883="","",SUMIF(Transactions!$F$8:$F$3006,B1883,Transactions!$R$8:$R$3006))</f>
        <v/>
      </c>
      <c r="G1883" s="54" t="str">
        <f>IF(B1883="","",(C1883+F1883)-(D1883+E1883+SUMIF(Transactions!$F$8:$F$3006,B1883,Transactions!$Q$8:$Q$3006)))</f>
        <v/>
      </c>
      <c r="H1883" s="55" t="str">
        <f>IF(B1883="","",IF(G1883&gt;0,"OUTSTANDING",IF(G1883=0,"SETTLED",IF(SUMIF(Transactions!$F$8:$F$3006,B1883,Transactions!$Q$8:$Q$3006)&gt;SUMIF(Transactions!$F$8:$F$3006,B1883,Transactions!$R$8:$R$3006),"OWES","OVERPAID"))))</f>
        <v/>
      </c>
      <c r="I1883" s="1"/>
    </row>
    <row r="1884" spans="1:9" ht="18" customHeight="1" x14ac:dyDescent="0.25">
      <c r="A1884" s="40">
        <v>1869</v>
      </c>
      <c r="B1884" s="41" t="str">
        <f t="array" ref="B1884">IFERROR(IF(INDEX(Transactions!$F$8:$F$3006,MATCH(0,COUNTIF($B$11:B1883,Transactions!$F$8:$F$3006),0))="","",INDEX(Transactions!$F$8:$F$3006,MATCH(0,COUNTIF($B$11:B1883,Transactions!$F$8:$F$3006),0))),"")</f>
        <v/>
      </c>
      <c r="C1884" s="42" t="str">
        <f>IF(B1884="","",SUMIF(Transactions!$F$8:$F$3006,B1884,Transactions!$H$8:$H$3006))</f>
        <v/>
      </c>
      <c r="D1884" s="43" t="str">
        <f>IF(B1884="","",SUMIF(Transactions!$F$8:$F$3006,B1884,Transactions!$N$8:$N$3006))</f>
        <v/>
      </c>
      <c r="E1884" s="44" t="str">
        <f>IF(B1884="","",SUMIF(Transactions!$F$8:$F$3006,B1884,Transactions!$O$8:$O$3006))</f>
        <v/>
      </c>
      <c r="F1884" s="45" t="str">
        <f>IF(B1884="","",SUMIF(Transactions!$F$8:$F$3006,B1884,Transactions!$R$8:$R$3006))</f>
        <v/>
      </c>
      <c r="G1884" s="46" t="str">
        <f>IF(B1884="","",(C1884+F1884)-(D1884+E1884+SUMIF(Transactions!$F$8:$F$3006,B1884,Transactions!$Q$8:$Q$3006)))</f>
        <v/>
      </c>
      <c r="H1884" s="47" t="str">
        <f>IF(B1884="","",IF(G1884&gt;0,"OUTSTANDING",IF(G1884=0,"SETTLED",IF(SUMIF(Transactions!$F$8:$F$3006,B1884,Transactions!$Q$8:$Q$3006)&gt;SUMIF(Transactions!$F$8:$F$3006,B1884,Transactions!$R$8:$R$3006),"OWES","OVERPAID"))))</f>
        <v/>
      </c>
      <c r="I1884" s="1"/>
    </row>
    <row r="1885" spans="1:9" ht="18" customHeight="1" x14ac:dyDescent="0.25">
      <c r="A1885" s="48">
        <v>1870</v>
      </c>
      <c r="B1885" s="49" t="str">
        <f t="array" ref="B1885">IFERROR(IF(INDEX(Transactions!$F$8:$F$3006,MATCH(0,COUNTIF($B$11:B1884,Transactions!$F$8:$F$3006),0))="","",INDEX(Transactions!$F$8:$F$3006,MATCH(0,COUNTIF($B$11:B1884,Transactions!$F$8:$F$3006),0))),"")</f>
        <v/>
      </c>
      <c r="C1885" s="50" t="str">
        <f>IF(B1885="","",SUMIF(Transactions!$F$8:$F$3006,B1885,Transactions!$H$8:$H$3006))</f>
        <v/>
      </c>
      <c r="D1885" s="51" t="str">
        <f>IF(B1885="","",SUMIF(Transactions!$F$8:$F$3006,B1885,Transactions!$N$8:$N$3006))</f>
        <v/>
      </c>
      <c r="E1885" s="52" t="str">
        <f>IF(B1885="","",SUMIF(Transactions!$F$8:$F$3006,B1885,Transactions!$O$8:$O$3006))</f>
        <v/>
      </c>
      <c r="F1885" s="53" t="str">
        <f>IF(B1885="","",SUMIF(Transactions!$F$8:$F$3006,B1885,Transactions!$R$8:$R$3006))</f>
        <v/>
      </c>
      <c r="G1885" s="54" t="str">
        <f>IF(B1885="","",(C1885+F1885)-(D1885+E1885+SUMIF(Transactions!$F$8:$F$3006,B1885,Transactions!$Q$8:$Q$3006)))</f>
        <v/>
      </c>
      <c r="H1885" s="55" t="str">
        <f>IF(B1885="","",IF(G1885&gt;0,"OUTSTANDING",IF(G1885=0,"SETTLED",IF(SUMIF(Transactions!$F$8:$F$3006,B1885,Transactions!$Q$8:$Q$3006)&gt;SUMIF(Transactions!$F$8:$F$3006,B1885,Transactions!$R$8:$R$3006),"OWES","OVERPAID"))))</f>
        <v/>
      </c>
      <c r="I1885" s="1"/>
    </row>
    <row r="1886" spans="1:9" ht="18" customHeight="1" x14ac:dyDescent="0.25">
      <c r="A1886" s="40">
        <v>1871</v>
      </c>
      <c r="B1886" s="41" t="str">
        <f t="array" ref="B1886">IFERROR(IF(INDEX(Transactions!$F$8:$F$3006,MATCH(0,COUNTIF($B$11:B1885,Transactions!$F$8:$F$3006),0))="","",INDEX(Transactions!$F$8:$F$3006,MATCH(0,COUNTIF($B$11:B1885,Transactions!$F$8:$F$3006),0))),"")</f>
        <v/>
      </c>
      <c r="C1886" s="42" t="str">
        <f>IF(B1886="","",SUMIF(Transactions!$F$8:$F$3006,B1886,Transactions!$H$8:$H$3006))</f>
        <v/>
      </c>
      <c r="D1886" s="43" t="str">
        <f>IF(B1886="","",SUMIF(Transactions!$F$8:$F$3006,B1886,Transactions!$N$8:$N$3006))</f>
        <v/>
      </c>
      <c r="E1886" s="44" t="str">
        <f>IF(B1886="","",SUMIF(Transactions!$F$8:$F$3006,B1886,Transactions!$O$8:$O$3006))</f>
        <v/>
      </c>
      <c r="F1886" s="45" t="str">
        <f>IF(B1886="","",SUMIF(Transactions!$F$8:$F$3006,B1886,Transactions!$R$8:$R$3006))</f>
        <v/>
      </c>
      <c r="G1886" s="46" t="str">
        <f>IF(B1886="","",(C1886+F1886)-(D1886+E1886+SUMIF(Transactions!$F$8:$F$3006,B1886,Transactions!$Q$8:$Q$3006)))</f>
        <v/>
      </c>
      <c r="H1886" s="47" t="str">
        <f>IF(B1886="","",IF(G1886&gt;0,"OUTSTANDING",IF(G1886=0,"SETTLED",IF(SUMIF(Transactions!$F$8:$F$3006,B1886,Transactions!$Q$8:$Q$3006)&gt;SUMIF(Transactions!$F$8:$F$3006,B1886,Transactions!$R$8:$R$3006),"OWES","OVERPAID"))))</f>
        <v/>
      </c>
      <c r="I1886" s="1"/>
    </row>
    <row r="1887" spans="1:9" ht="18" customHeight="1" x14ac:dyDescent="0.25">
      <c r="A1887" s="48">
        <v>1872</v>
      </c>
      <c r="B1887" s="49" t="str">
        <f t="array" ref="B1887">IFERROR(IF(INDEX(Transactions!$F$8:$F$3006,MATCH(0,COUNTIF($B$11:B1886,Transactions!$F$8:$F$3006),0))="","",INDEX(Transactions!$F$8:$F$3006,MATCH(0,COUNTIF($B$11:B1886,Transactions!$F$8:$F$3006),0))),"")</f>
        <v/>
      </c>
      <c r="C1887" s="50" t="str">
        <f>IF(B1887="","",SUMIF(Transactions!$F$8:$F$3006,B1887,Transactions!$H$8:$H$3006))</f>
        <v/>
      </c>
      <c r="D1887" s="51" t="str">
        <f>IF(B1887="","",SUMIF(Transactions!$F$8:$F$3006,B1887,Transactions!$N$8:$N$3006))</f>
        <v/>
      </c>
      <c r="E1887" s="52" t="str">
        <f>IF(B1887="","",SUMIF(Transactions!$F$8:$F$3006,B1887,Transactions!$O$8:$O$3006))</f>
        <v/>
      </c>
      <c r="F1887" s="53" t="str">
        <f>IF(B1887="","",SUMIF(Transactions!$F$8:$F$3006,B1887,Transactions!$R$8:$R$3006))</f>
        <v/>
      </c>
      <c r="G1887" s="54" t="str">
        <f>IF(B1887="","",(C1887+F1887)-(D1887+E1887+SUMIF(Transactions!$F$8:$F$3006,B1887,Transactions!$Q$8:$Q$3006)))</f>
        <v/>
      </c>
      <c r="H1887" s="55" t="str">
        <f>IF(B1887="","",IF(G1887&gt;0,"OUTSTANDING",IF(G1887=0,"SETTLED",IF(SUMIF(Transactions!$F$8:$F$3006,B1887,Transactions!$Q$8:$Q$3006)&gt;SUMIF(Transactions!$F$8:$F$3006,B1887,Transactions!$R$8:$R$3006),"OWES","OVERPAID"))))</f>
        <v/>
      </c>
      <c r="I1887" s="1"/>
    </row>
    <row r="1888" spans="1:9" ht="18" customHeight="1" x14ac:dyDescent="0.25">
      <c r="A1888" s="40">
        <v>1873</v>
      </c>
      <c r="B1888" s="41" t="str">
        <f t="array" ref="B1888">IFERROR(IF(INDEX(Transactions!$F$8:$F$3006,MATCH(0,COUNTIF($B$11:B1887,Transactions!$F$8:$F$3006),0))="","",INDEX(Transactions!$F$8:$F$3006,MATCH(0,COUNTIF($B$11:B1887,Transactions!$F$8:$F$3006),0))),"")</f>
        <v/>
      </c>
      <c r="C1888" s="42" t="str">
        <f>IF(B1888="","",SUMIF(Transactions!$F$8:$F$3006,B1888,Transactions!$H$8:$H$3006))</f>
        <v/>
      </c>
      <c r="D1888" s="43" t="str">
        <f>IF(B1888="","",SUMIF(Transactions!$F$8:$F$3006,B1888,Transactions!$N$8:$N$3006))</f>
        <v/>
      </c>
      <c r="E1888" s="44" t="str">
        <f>IF(B1888="","",SUMIF(Transactions!$F$8:$F$3006,B1888,Transactions!$O$8:$O$3006))</f>
        <v/>
      </c>
      <c r="F1888" s="45" t="str">
        <f>IF(B1888="","",SUMIF(Transactions!$F$8:$F$3006,B1888,Transactions!$R$8:$R$3006))</f>
        <v/>
      </c>
      <c r="G1888" s="46" t="str">
        <f>IF(B1888="","",(C1888+F1888)-(D1888+E1888+SUMIF(Transactions!$F$8:$F$3006,B1888,Transactions!$Q$8:$Q$3006)))</f>
        <v/>
      </c>
      <c r="H1888" s="47" t="str">
        <f>IF(B1888="","",IF(G1888&gt;0,"OUTSTANDING",IF(G1888=0,"SETTLED",IF(SUMIF(Transactions!$F$8:$F$3006,B1888,Transactions!$Q$8:$Q$3006)&gt;SUMIF(Transactions!$F$8:$F$3006,B1888,Transactions!$R$8:$R$3006),"OWES","OVERPAID"))))</f>
        <v/>
      </c>
      <c r="I1888" s="1"/>
    </row>
    <row r="1889" spans="1:9" ht="18" customHeight="1" x14ac:dyDescent="0.25">
      <c r="A1889" s="48">
        <v>1874</v>
      </c>
      <c r="B1889" s="49" t="str">
        <f t="array" ref="B1889">IFERROR(IF(INDEX(Transactions!$F$8:$F$3006,MATCH(0,COUNTIF($B$11:B1888,Transactions!$F$8:$F$3006),0))="","",INDEX(Transactions!$F$8:$F$3006,MATCH(0,COUNTIF($B$11:B1888,Transactions!$F$8:$F$3006),0))),"")</f>
        <v/>
      </c>
      <c r="C1889" s="50" t="str">
        <f>IF(B1889="","",SUMIF(Transactions!$F$8:$F$3006,B1889,Transactions!$H$8:$H$3006))</f>
        <v/>
      </c>
      <c r="D1889" s="51" t="str">
        <f>IF(B1889="","",SUMIF(Transactions!$F$8:$F$3006,B1889,Transactions!$N$8:$N$3006))</f>
        <v/>
      </c>
      <c r="E1889" s="52" t="str">
        <f>IF(B1889="","",SUMIF(Transactions!$F$8:$F$3006,B1889,Transactions!$O$8:$O$3006))</f>
        <v/>
      </c>
      <c r="F1889" s="53" t="str">
        <f>IF(B1889="","",SUMIF(Transactions!$F$8:$F$3006,B1889,Transactions!$R$8:$R$3006))</f>
        <v/>
      </c>
      <c r="G1889" s="54" t="str">
        <f>IF(B1889="","",(C1889+F1889)-(D1889+E1889+SUMIF(Transactions!$F$8:$F$3006,B1889,Transactions!$Q$8:$Q$3006)))</f>
        <v/>
      </c>
      <c r="H1889" s="55" t="str">
        <f>IF(B1889="","",IF(G1889&gt;0,"OUTSTANDING",IF(G1889=0,"SETTLED",IF(SUMIF(Transactions!$F$8:$F$3006,B1889,Transactions!$Q$8:$Q$3006)&gt;SUMIF(Transactions!$F$8:$F$3006,B1889,Transactions!$R$8:$R$3006),"OWES","OVERPAID"))))</f>
        <v/>
      </c>
      <c r="I1889" s="1"/>
    </row>
    <row r="1890" spans="1:9" ht="18" customHeight="1" x14ac:dyDescent="0.25">
      <c r="A1890" s="40">
        <v>1875</v>
      </c>
      <c r="B1890" s="41" t="str">
        <f t="array" ref="B1890">IFERROR(IF(INDEX(Transactions!$F$8:$F$3006,MATCH(0,COUNTIF($B$11:B1889,Transactions!$F$8:$F$3006),0))="","",INDEX(Transactions!$F$8:$F$3006,MATCH(0,COUNTIF($B$11:B1889,Transactions!$F$8:$F$3006),0))),"")</f>
        <v/>
      </c>
      <c r="C1890" s="42" t="str">
        <f>IF(B1890="","",SUMIF(Transactions!$F$8:$F$3006,B1890,Transactions!$H$8:$H$3006))</f>
        <v/>
      </c>
      <c r="D1890" s="43" t="str">
        <f>IF(B1890="","",SUMIF(Transactions!$F$8:$F$3006,B1890,Transactions!$N$8:$N$3006))</f>
        <v/>
      </c>
      <c r="E1890" s="44" t="str">
        <f>IF(B1890="","",SUMIF(Transactions!$F$8:$F$3006,B1890,Transactions!$O$8:$O$3006))</f>
        <v/>
      </c>
      <c r="F1890" s="45" t="str">
        <f>IF(B1890="","",SUMIF(Transactions!$F$8:$F$3006,B1890,Transactions!$R$8:$R$3006))</f>
        <v/>
      </c>
      <c r="G1890" s="46" t="str">
        <f>IF(B1890="","",(C1890+F1890)-(D1890+E1890+SUMIF(Transactions!$F$8:$F$3006,B1890,Transactions!$Q$8:$Q$3006)))</f>
        <v/>
      </c>
      <c r="H1890" s="47" t="str">
        <f>IF(B1890="","",IF(G1890&gt;0,"OUTSTANDING",IF(G1890=0,"SETTLED",IF(SUMIF(Transactions!$F$8:$F$3006,B1890,Transactions!$Q$8:$Q$3006)&gt;SUMIF(Transactions!$F$8:$F$3006,B1890,Transactions!$R$8:$R$3006),"OWES","OVERPAID"))))</f>
        <v/>
      </c>
      <c r="I1890" s="1"/>
    </row>
    <row r="1891" spans="1:9" ht="18" customHeight="1" x14ac:dyDescent="0.25">
      <c r="A1891" s="48">
        <v>1876</v>
      </c>
      <c r="B1891" s="49" t="str">
        <f t="array" ref="B1891">IFERROR(IF(INDEX(Transactions!$F$8:$F$3006,MATCH(0,COUNTIF($B$11:B1890,Transactions!$F$8:$F$3006),0))="","",INDEX(Transactions!$F$8:$F$3006,MATCH(0,COUNTIF($B$11:B1890,Transactions!$F$8:$F$3006),0))),"")</f>
        <v/>
      </c>
      <c r="C1891" s="50" t="str">
        <f>IF(B1891="","",SUMIF(Transactions!$F$8:$F$3006,B1891,Transactions!$H$8:$H$3006))</f>
        <v/>
      </c>
      <c r="D1891" s="51" t="str">
        <f>IF(B1891="","",SUMIF(Transactions!$F$8:$F$3006,B1891,Transactions!$N$8:$N$3006))</f>
        <v/>
      </c>
      <c r="E1891" s="52" t="str">
        <f>IF(B1891="","",SUMIF(Transactions!$F$8:$F$3006,B1891,Transactions!$O$8:$O$3006))</f>
        <v/>
      </c>
      <c r="F1891" s="53" t="str">
        <f>IF(B1891="","",SUMIF(Transactions!$F$8:$F$3006,B1891,Transactions!$R$8:$R$3006))</f>
        <v/>
      </c>
      <c r="G1891" s="54" t="str">
        <f>IF(B1891="","",(C1891+F1891)-(D1891+E1891+SUMIF(Transactions!$F$8:$F$3006,B1891,Transactions!$Q$8:$Q$3006)))</f>
        <v/>
      </c>
      <c r="H1891" s="55" t="str">
        <f>IF(B1891="","",IF(G1891&gt;0,"OUTSTANDING",IF(G1891=0,"SETTLED",IF(SUMIF(Transactions!$F$8:$F$3006,B1891,Transactions!$Q$8:$Q$3006)&gt;SUMIF(Transactions!$F$8:$F$3006,B1891,Transactions!$R$8:$R$3006),"OWES","OVERPAID"))))</f>
        <v/>
      </c>
      <c r="I1891" s="1"/>
    </row>
    <row r="1892" spans="1:9" ht="18" customHeight="1" x14ac:dyDescent="0.25">
      <c r="A1892" s="40">
        <v>1877</v>
      </c>
      <c r="B1892" s="41" t="str">
        <f t="array" ref="B1892">IFERROR(IF(INDEX(Transactions!$F$8:$F$3006,MATCH(0,COUNTIF($B$11:B1891,Transactions!$F$8:$F$3006),0))="","",INDEX(Transactions!$F$8:$F$3006,MATCH(0,COUNTIF($B$11:B1891,Transactions!$F$8:$F$3006),0))),"")</f>
        <v/>
      </c>
      <c r="C1892" s="42" t="str">
        <f>IF(B1892="","",SUMIF(Transactions!$F$8:$F$3006,B1892,Transactions!$H$8:$H$3006))</f>
        <v/>
      </c>
      <c r="D1892" s="43" t="str">
        <f>IF(B1892="","",SUMIF(Transactions!$F$8:$F$3006,B1892,Transactions!$N$8:$N$3006))</f>
        <v/>
      </c>
      <c r="E1892" s="44" t="str">
        <f>IF(B1892="","",SUMIF(Transactions!$F$8:$F$3006,B1892,Transactions!$O$8:$O$3006))</f>
        <v/>
      </c>
      <c r="F1892" s="45" t="str">
        <f>IF(B1892="","",SUMIF(Transactions!$F$8:$F$3006,B1892,Transactions!$R$8:$R$3006))</f>
        <v/>
      </c>
      <c r="G1892" s="46" t="str">
        <f>IF(B1892="","",(C1892+F1892)-(D1892+E1892+SUMIF(Transactions!$F$8:$F$3006,B1892,Transactions!$Q$8:$Q$3006)))</f>
        <v/>
      </c>
      <c r="H1892" s="47" t="str">
        <f>IF(B1892="","",IF(G1892&gt;0,"OUTSTANDING",IF(G1892=0,"SETTLED",IF(SUMIF(Transactions!$F$8:$F$3006,B1892,Transactions!$Q$8:$Q$3006)&gt;SUMIF(Transactions!$F$8:$F$3006,B1892,Transactions!$R$8:$R$3006),"OWES","OVERPAID"))))</f>
        <v/>
      </c>
      <c r="I1892" s="1"/>
    </row>
    <row r="1893" spans="1:9" ht="18" customHeight="1" x14ac:dyDescent="0.25">
      <c r="A1893" s="48">
        <v>1878</v>
      </c>
      <c r="B1893" s="49" t="str">
        <f t="array" ref="B1893">IFERROR(IF(INDEX(Transactions!$F$8:$F$3006,MATCH(0,COUNTIF($B$11:B1892,Transactions!$F$8:$F$3006),0))="","",INDEX(Transactions!$F$8:$F$3006,MATCH(0,COUNTIF($B$11:B1892,Transactions!$F$8:$F$3006),0))),"")</f>
        <v/>
      </c>
      <c r="C1893" s="50" t="str">
        <f>IF(B1893="","",SUMIF(Transactions!$F$8:$F$3006,B1893,Transactions!$H$8:$H$3006))</f>
        <v/>
      </c>
      <c r="D1893" s="51" t="str">
        <f>IF(B1893="","",SUMIF(Transactions!$F$8:$F$3006,B1893,Transactions!$N$8:$N$3006))</f>
        <v/>
      </c>
      <c r="E1893" s="52" t="str">
        <f>IF(B1893="","",SUMIF(Transactions!$F$8:$F$3006,B1893,Transactions!$O$8:$O$3006))</f>
        <v/>
      </c>
      <c r="F1893" s="53" t="str">
        <f>IF(B1893="","",SUMIF(Transactions!$F$8:$F$3006,B1893,Transactions!$R$8:$R$3006))</f>
        <v/>
      </c>
      <c r="G1893" s="54" t="str">
        <f>IF(B1893="","",(C1893+F1893)-(D1893+E1893+SUMIF(Transactions!$F$8:$F$3006,B1893,Transactions!$Q$8:$Q$3006)))</f>
        <v/>
      </c>
      <c r="H1893" s="55" t="str">
        <f>IF(B1893="","",IF(G1893&gt;0,"OUTSTANDING",IF(G1893=0,"SETTLED",IF(SUMIF(Transactions!$F$8:$F$3006,B1893,Transactions!$Q$8:$Q$3006)&gt;SUMIF(Transactions!$F$8:$F$3006,B1893,Transactions!$R$8:$R$3006),"OWES","OVERPAID"))))</f>
        <v/>
      </c>
      <c r="I1893" s="1"/>
    </row>
    <row r="1894" spans="1:9" ht="18" customHeight="1" x14ac:dyDescent="0.25">
      <c r="A1894" s="40">
        <v>1879</v>
      </c>
      <c r="B1894" s="41" t="str">
        <f t="array" ref="B1894">IFERROR(IF(INDEX(Transactions!$F$8:$F$3006,MATCH(0,COUNTIF($B$11:B1893,Transactions!$F$8:$F$3006),0))="","",INDEX(Transactions!$F$8:$F$3006,MATCH(0,COUNTIF($B$11:B1893,Transactions!$F$8:$F$3006),0))),"")</f>
        <v/>
      </c>
      <c r="C1894" s="42" t="str">
        <f>IF(B1894="","",SUMIF(Transactions!$F$8:$F$3006,B1894,Transactions!$H$8:$H$3006))</f>
        <v/>
      </c>
      <c r="D1894" s="43" t="str">
        <f>IF(B1894="","",SUMIF(Transactions!$F$8:$F$3006,B1894,Transactions!$N$8:$N$3006))</f>
        <v/>
      </c>
      <c r="E1894" s="44" t="str">
        <f>IF(B1894="","",SUMIF(Transactions!$F$8:$F$3006,B1894,Transactions!$O$8:$O$3006))</f>
        <v/>
      </c>
      <c r="F1894" s="45" t="str">
        <f>IF(B1894="","",SUMIF(Transactions!$F$8:$F$3006,B1894,Transactions!$R$8:$R$3006))</f>
        <v/>
      </c>
      <c r="G1894" s="46" t="str">
        <f>IF(B1894="","",(C1894+F1894)-(D1894+E1894+SUMIF(Transactions!$F$8:$F$3006,B1894,Transactions!$Q$8:$Q$3006)))</f>
        <v/>
      </c>
      <c r="H1894" s="47" t="str">
        <f>IF(B1894="","",IF(G1894&gt;0,"OUTSTANDING",IF(G1894=0,"SETTLED",IF(SUMIF(Transactions!$F$8:$F$3006,B1894,Transactions!$Q$8:$Q$3006)&gt;SUMIF(Transactions!$F$8:$F$3006,B1894,Transactions!$R$8:$R$3006),"OWES","OVERPAID"))))</f>
        <v/>
      </c>
      <c r="I1894" s="1"/>
    </row>
    <row r="1895" spans="1:9" ht="18" customHeight="1" x14ac:dyDescent="0.25">
      <c r="A1895" s="48">
        <v>1880</v>
      </c>
      <c r="B1895" s="49" t="str">
        <f t="array" ref="B1895">IFERROR(IF(INDEX(Transactions!$F$8:$F$3006,MATCH(0,COUNTIF($B$11:B1894,Transactions!$F$8:$F$3006),0))="","",INDEX(Transactions!$F$8:$F$3006,MATCH(0,COUNTIF($B$11:B1894,Transactions!$F$8:$F$3006),0))),"")</f>
        <v/>
      </c>
      <c r="C1895" s="50" t="str">
        <f>IF(B1895="","",SUMIF(Transactions!$F$8:$F$3006,B1895,Transactions!$H$8:$H$3006))</f>
        <v/>
      </c>
      <c r="D1895" s="51" t="str">
        <f>IF(B1895="","",SUMIF(Transactions!$F$8:$F$3006,B1895,Transactions!$N$8:$N$3006))</f>
        <v/>
      </c>
      <c r="E1895" s="52" t="str">
        <f>IF(B1895="","",SUMIF(Transactions!$F$8:$F$3006,B1895,Transactions!$O$8:$O$3006))</f>
        <v/>
      </c>
      <c r="F1895" s="53" t="str">
        <f>IF(B1895="","",SUMIF(Transactions!$F$8:$F$3006,B1895,Transactions!$R$8:$R$3006))</f>
        <v/>
      </c>
      <c r="G1895" s="54" t="str">
        <f>IF(B1895="","",(C1895+F1895)-(D1895+E1895+SUMIF(Transactions!$F$8:$F$3006,B1895,Transactions!$Q$8:$Q$3006)))</f>
        <v/>
      </c>
      <c r="H1895" s="55" t="str">
        <f>IF(B1895="","",IF(G1895&gt;0,"OUTSTANDING",IF(G1895=0,"SETTLED",IF(SUMIF(Transactions!$F$8:$F$3006,B1895,Transactions!$Q$8:$Q$3006)&gt;SUMIF(Transactions!$F$8:$F$3006,B1895,Transactions!$R$8:$R$3006),"OWES","OVERPAID"))))</f>
        <v/>
      </c>
      <c r="I1895" s="1"/>
    </row>
    <row r="1896" spans="1:9" ht="18" customHeight="1" x14ac:dyDescent="0.25">
      <c r="A1896" s="40">
        <v>1881</v>
      </c>
      <c r="B1896" s="41" t="str">
        <f t="array" ref="B1896">IFERROR(IF(INDEX(Transactions!$F$8:$F$3006,MATCH(0,COUNTIF($B$11:B1895,Transactions!$F$8:$F$3006),0))="","",INDEX(Transactions!$F$8:$F$3006,MATCH(0,COUNTIF($B$11:B1895,Transactions!$F$8:$F$3006),0))),"")</f>
        <v/>
      </c>
      <c r="C1896" s="42" t="str">
        <f>IF(B1896="","",SUMIF(Transactions!$F$8:$F$3006,B1896,Transactions!$H$8:$H$3006))</f>
        <v/>
      </c>
      <c r="D1896" s="43" t="str">
        <f>IF(B1896="","",SUMIF(Transactions!$F$8:$F$3006,B1896,Transactions!$N$8:$N$3006))</f>
        <v/>
      </c>
      <c r="E1896" s="44" t="str">
        <f>IF(B1896="","",SUMIF(Transactions!$F$8:$F$3006,B1896,Transactions!$O$8:$O$3006))</f>
        <v/>
      </c>
      <c r="F1896" s="45" t="str">
        <f>IF(B1896="","",SUMIF(Transactions!$F$8:$F$3006,B1896,Transactions!$R$8:$R$3006))</f>
        <v/>
      </c>
      <c r="G1896" s="46" t="str">
        <f>IF(B1896="","",(C1896+F1896)-(D1896+E1896+SUMIF(Transactions!$F$8:$F$3006,B1896,Transactions!$Q$8:$Q$3006)))</f>
        <v/>
      </c>
      <c r="H1896" s="47" t="str">
        <f>IF(B1896="","",IF(G1896&gt;0,"OUTSTANDING",IF(G1896=0,"SETTLED",IF(SUMIF(Transactions!$F$8:$F$3006,B1896,Transactions!$Q$8:$Q$3006)&gt;SUMIF(Transactions!$F$8:$F$3006,B1896,Transactions!$R$8:$R$3006),"OWES","OVERPAID"))))</f>
        <v/>
      </c>
      <c r="I1896" s="1"/>
    </row>
    <row r="1897" spans="1:9" ht="18" customHeight="1" x14ac:dyDescent="0.25">
      <c r="A1897" s="48">
        <v>1882</v>
      </c>
      <c r="B1897" s="49" t="str">
        <f t="array" ref="B1897">IFERROR(IF(INDEX(Transactions!$F$8:$F$3006,MATCH(0,COUNTIF($B$11:B1896,Transactions!$F$8:$F$3006),0))="","",INDEX(Transactions!$F$8:$F$3006,MATCH(0,COUNTIF($B$11:B1896,Transactions!$F$8:$F$3006),0))),"")</f>
        <v/>
      </c>
      <c r="C1897" s="50" t="str">
        <f>IF(B1897="","",SUMIF(Transactions!$F$8:$F$3006,B1897,Transactions!$H$8:$H$3006))</f>
        <v/>
      </c>
      <c r="D1897" s="51" t="str">
        <f>IF(B1897="","",SUMIF(Transactions!$F$8:$F$3006,B1897,Transactions!$N$8:$N$3006))</f>
        <v/>
      </c>
      <c r="E1897" s="52" t="str">
        <f>IF(B1897="","",SUMIF(Transactions!$F$8:$F$3006,B1897,Transactions!$O$8:$O$3006))</f>
        <v/>
      </c>
      <c r="F1897" s="53" t="str">
        <f>IF(B1897="","",SUMIF(Transactions!$F$8:$F$3006,B1897,Transactions!$R$8:$R$3006))</f>
        <v/>
      </c>
      <c r="G1897" s="54" t="str">
        <f>IF(B1897="","",(C1897+F1897)-(D1897+E1897+SUMIF(Transactions!$F$8:$F$3006,B1897,Transactions!$Q$8:$Q$3006)))</f>
        <v/>
      </c>
      <c r="H1897" s="55" t="str">
        <f>IF(B1897="","",IF(G1897&gt;0,"OUTSTANDING",IF(G1897=0,"SETTLED",IF(SUMIF(Transactions!$F$8:$F$3006,B1897,Transactions!$Q$8:$Q$3006)&gt;SUMIF(Transactions!$F$8:$F$3006,B1897,Transactions!$R$8:$R$3006),"OWES","OVERPAID"))))</f>
        <v/>
      </c>
      <c r="I1897" s="1"/>
    </row>
    <row r="1898" spans="1:9" ht="18" customHeight="1" x14ac:dyDescent="0.25">
      <c r="A1898" s="40">
        <v>1883</v>
      </c>
      <c r="B1898" s="41" t="str">
        <f t="array" ref="B1898">IFERROR(IF(INDEX(Transactions!$F$8:$F$3006,MATCH(0,COUNTIF($B$11:B1897,Transactions!$F$8:$F$3006),0))="","",INDEX(Transactions!$F$8:$F$3006,MATCH(0,COUNTIF($B$11:B1897,Transactions!$F$8:$F$3006),0))),"")</f>
        <v/>
      </c>
      <c r="C1898" s="42" t="str">
        <f>IF(B1898="","",SUMIF(Transactions!$F$8:$F$3006,B1898,Transactions!$H$8:$H$3006))</f>
        <v/>
      </c>
      <c r="D1898" s="43" t="str">
        <f>IF(B1898="","",SUMIF(Transactions!$F$8:$F$3006,B1898,Transactions!$N$8:$N$3006))</f>
        <v/>
      </c>
      <c r="E1898" s="44" t="str">
        <f>IF(B1898="","",SUMIF(Transactions!$F$8:$F$3006,B1898,Transactions!$O$8:$O$3006))</f>
        <v/>
      </c>
      <c r="F1898" s="45" t="str">
        <f>IF(B1898="","",SUMIF(Transactions!$F$8:$F$3006,B1898,Transactions!$R$8:$R$3006))</f>
        <v/>
      </c>
      <c r="G1898" s="46" t="str">
        <f>IF(B1898="","",(C1898+F1898)-(D1898+E1898+SUMIF(Transactions!$F$8:$F$3006,B1898,Transactions!$Q$8:$Q$3006)))</f>
        <v/>
      </c>
      <c r="H1898" s="47" t="str">
        <f>IF(B1898="","",IF(G1898&gt;0,"OUTSTANDING",IF(G1898=0,"SETTLED",IF(SUMIF(Transactions!$F$8:$F$3006,B1898,Transactions!$Q$8:$Q$3006)&gt;SUMIF(Transactions!$F$8:$F$3006,B1898,Transactions!$R$8:$R$3006),"OWES","OVERPAID"))))</f>
        <v/>
      </c>
      <c r="I1898" s="1"/>
    </row>
    <row r="1899" spans="1:9" ht="18" customHeight="1" x14ac:dyDescent="0.25">
      <c r="A1899" s="48">
        <v>1884</v>
      </c>
      <c r="B1899" s="49" t="str">
        <f t="array" ref="B1899">IFERROR(IF(INDEX(Transactions!$F$8:$F$3006,MATCH(0,COUNTIF($B$11:B1898,Transactions!$F$8:$F$3006),0))="","",INDEX(Transactions!$F$8:$F$3006,MATCH(0,COUNTIF($B$11:B1898,Transactions!$F$8:$F$3006),0))),"")</f>
        <v/>
      </c>
      <c r="C1899" s="50" t="str">
        <f>IF(B1899="","",SUMIF(Transactions!$F$8:$F$3006,B1899,Transactions!$H$8:$H$3006))</f>
        <v/>
      </c>
      <c r="D1899" s="51" t="str">
        <f>IF(B1899="","",SUMIF(Transactions!$F$8:$F$3006,B1899,Transactions!$N$8:$N$3006))</f>
        <v/>
      </c>
      <c r="E1899" s="52" t="str">
        <f>IF(B1899="","",SUMIF(Transactions!$F$8:$F$3006,B1899,Transactions!$O$8:$O$3006))</f>
        <v/>
      </c>
      <c r="F1899" s="53" t="str">
        <f>IF(B1899="","",SUMIF(Transactions!$F$8:$F$3006,B1899,Transactions!$R$8:$R$3006))</f>
        <v/>
      </c>
      <c r="G1899" s="54" t="str">
        <f>IF(B1899="","",(C1899+F1899)-(D1899+E1899+SUMIF(Transactions!$F$8:$F$3006,B1899,Transactions!$Q$8:$Q$3006)))</f>
        <v/>
      </c>
      <c r="H1899" s="55" t="str">
        <f>IF(B1899="","",IF(G1899&gt;0,"OUTSTANDING",IF(G1899=0,"SETTLED",IF(SUMIF(Transactions!$F$8:$F$3006,B1899,Transactions!$Q$8:$Q$3006)&gt;SUMIF(Transactions!$F$8:$F$3006,B1899,Transactions!$R$8:$R$3006),"OWES","OVERPAID"))))</f>
        <v/>
      </c>
      <c r="I1899" s="1"/>
    </row>
    <row r="1900" spans="1:9" ht="18" customHeight="1" x14ac:dyDescent="0.25">
      <c r="A1900" s="40">
        <v>1885</v>
      </c>
      <c r="B1900" s="41" t="str">
        <f t="array" ref="B1900">IFERROR(IF(INDEX(Transactions!$F$8:$F$3006,MATCH(0,COUNTIF($B$11:B1899,Transactions!$F$8:$F$3006),0))="","",INDEX(Transactions!$F$8:$F$3006,MATCH(0,COUNTIF($B$11:B1899,Transactions!$F$8:$F$3006),0))),"")</f>
        <v/>
      </c>
      <c r="C1900" s="42" t="str">
        <f>IF(B1900="","",SUMIF(Transactions!$F$8:$F$3006,B1900,Transactions!$H$8:$H$3006))</f>
        <v/>
      </c>
      <c r="D1900" s="43" t="str">
        <f>IF(B1900="","",SUMIF(Transactions!$F$8:$F$3006,B1900,Transactions!$N$8:$N$3006))</f>
        <v/>
      </c>
      <c r="E1900" s="44" t="str">
        <f>IF(B1900="","",SUMIF(Transactions!$F$8:$F$3006,B1900,Transactions!$O$8:$O$3006))</f>
        <v/>
      </c>
      <c r="F1900" s="45" t="str">
        <f>IF(B1900="","",SUMIF(Transactions!$F$8:$F$3006,B1900,Transactions!$R$8:$R$3006))</f>
        <v/>
      </c>
      <c r="G1900" s="46" t="str">
        <f>IF(B1900="","",(C1900+F1900)-(D1900+E1900+SUMIF(Transactions!$F$8:$F$3006,B1900,Transactions!$Q$8:$Q$3006)))</f>
        <v/>
      </c>
      <c r="H1900" s="47" t="str">
        <f>IF(B1900="","",IF(G1900&gt;0,"OUTSTANDING",IF(G1900=0,"SETTLED",IF(SUMIF(Transactions!$F$8:$F$3006,B1900,Transactions!$Q$8:$Q$3006)&gt;SUMIF(Transactions!$F$8:$F$3006,B1900,Transactions!$R$8:$R$3006),"OWES","OVERPAID"))))</f>
        <v/>
      </c>
      <c r="I1900" s="1"/>
    </row>
    <row r="1901" spans="1:9" ht="18" customHeight="1" x14ac:dyDescent="0.25">
      <c r="A1901" s="48">
        <v>1886</v>
      </c>
      <c r="B1901" s="49" t="str">
        <f t="array" ref="B1901">IFERROR(IF(INDEX(Transactions!$F$8:$F$3006,MATCH(0,COUNTIF($B$11:B1900,Transactions!$F$8:$F$3006),0))="","",INDEX(Transactions!$F$8:$F$3006,MATCH(0,COUNTIF($B$11:B1900,Transactions!$F$8:$F$3006),0))),"")</f>
        <v/>
      </c>
      <c r="C1901" s="50" t="str">
        <f>IF(B1901="","",SUMIF(Transactions!$F$8:$F$3006,B1901,Transactions!$H$8:$H$3006))</f>
        <v/>
      </c>
      <c r="D1901" s="51" t="str">
        <f>IF(B1901="","",SUMIF(Transactions!$F$8:$F$3006,B1901,Transactions!$N$8:$N$3006))</f>
        <v/>
      </c>
      <c r="E1901" s="52" t="str">
        <f>IF(B1901="","",SUMIF(Transactions!$F$8:$F$3006,B1901,Transactions!$O$8:$O$3006))</f>
        <v/>
      </c>
      <c r="F1901" s="53" t="str">
        <f>IF(B1901="","",SUMIF(Transactions!$F$8:$F$3006,B1901,Transactions!$R$8:$R$3006))</f>
        <v/>
      </c>
      <c r="G1901" s="54" t="str">
        <f>IF(B1901="","",(C1901+F1901)-(D1901+E1901+SUMIF(Transactions!$F$8:$F$3006,B1901,Transactions!$Q$8:$Q$3006)))</f>
        <v/>
      </c>
      <c r="H1901" s="55" t="str">
        <f>IF(B1901="","",IF(G1901&gt;0,"OUTSTANDING",IF(G1901=0,"SETTLED",IF(SUMIF(Transactions!$F$8:$F$3006,B1901,Transactions!$Q$8:$Q$3006)&gt;SUMIF(Transactions!$F$8:$F$3006,B1901,Transactions!$R$8:$R$3006),"OWES","OVERPAID"))))</f>
        <v/>
      </c>
      <c r="I1901" s="1"/>
    </row>
    <row r="1902" spans="1:9" ht="18" customHeight="1" x14ac:dyDescent="0.25">
      <c r="A1902" s="40">
        <v>1887</v>
      </c>
      <c r="B1902" s="41" t="str">
        <f t="array" ref="B1902">IFERROR(IF(INDEX(Transactions!$F$8:$F$3006,MATCH(0,COUNTIF($B$11:B1901,Transactions!$F$8:$F$3006),0))="","",INDEX(Transactions!$F$8:$F$3006,MATCH(0,COUNTIF($B$11:B1901,Transactions!$F$8:$F$3006),0))),"")</f>
        <v/>
      </c>
      <c r="C1902" s="42" t="str">
        <f>IF(B1902="","",SUMIF(Transactions!$F$8:$F$3006,B1902,Transactions!$H$8:$H$3006))</f>
        <v/>
      </c>
      <c r="D1902" s="43" t="str">
        <f>IF(B1902="","",SUMIF(Transactions!$F$8:$F$3006,B1902,Transactions!$N$8:$N$3006))</f>
        <v/>
      </c>
      <c r="E1902" s="44" t="str">
        <f>IF(B1902="","",SUMIF(Transactions!$F$8:$F$3006,B1902,Transactions!$O$8:$O$3006))</f>
        <v/>
      </c>
      <c r="F1902" s="45" t="str">
        <f>IF(B1902="","",SUMIF(Transactions!$F$8:$F$3006,B1902,Transactions!$R$8:$R$3006))</f>
        <v/>
      </c>
      <c r="G1902" s="46" t="str">
        <f>IF(B1902="","",(C1902+F1902)-(D1902+E1902+SUMIF(Transactions!$F$8:$F$3006,B1902,Transactions!$Q$8:$Q$3006)))</f>
        <v/>
      </c>
      <c r="H1902" s="47" t="str">
        <f>IF(B1902="","",IF(G1902&gt;0,"OUTSTANDING",IF(G1902=0,"SETTLED",IF(SUMIF(Transactions!$F$8:$F$3006,B1902,Transactions!$Q$8:$Q$3006)&gt;SUMIF(Transactions!$F$8:$F$3006,B1902,Transactions!$R$8:$R$3006),"OWES","OVERPAID"))))</f>
        <v/>
      </c>
      <c r="I1902" s="1"/>
    </row>
    <row r="1903" spans="1:9" ht="18" customHeight="1" x14ac:dyDescent="0.25">
      <c r="A1903" s="48">
        <v>1888</v>
      </c>
      <c r="B1903" s="49" t="str">
        <f t="array" ref="B1903">IFERROR(IF(INDEX(Transactions!$F$8:$F$3006,MATCH(0,COUNTIF($B$11:B1902,Transactions!$F$8:$F$3006),0))="","",INDEX(Transactions!$F$8:$F$3006,MATCH(0,COUNTIF($B$11:B1902,Transactions!$F$8:$F$3006),0))),"")</f>
        <v/>
      </c>
      <c r="C1903" s="50" t="str">
        <f>IF(B1903="","",SUMIF(Transactions!$F$8:$F$3006,B1903,Transactions!$H$8:$H$3006))</f>
        <v/>
      </c>
      <c r="D1903" s="51" t="str">
        <f>IF(B1903="","",SUMIF(Transactions!$F$8:$F$3006,B1903,Transactions!$N$8:$N$3006))</f>
        <v/>
      </c>
      <c r="E1903" s="52" t="str">
        <f>IF(B1903="","",SUMIF(Transactions!$F$8:$F$3006,B1903,Transactions!$O$8:$O$3006))</f>
        <v/>
      </c>
      <c r="F1903" s="53" t="str">
        <f>IF(B1903="","",SUMIF(Transactions!$F$8:$F$3006,B1903,Transactions!$R$8:$R$3006))</f>
        <v/>
      </c>
      <c r="G1903" s="54" t="str">
        <f>IF(B1903="","",(C1903+F1903)-(D1903+E1903+SUMIF(Transactions!$F$8:$F$3006,B1903,Transactions!$Q$8:$Q$3006)))</f>
        <v/>
      </c>
      <c r="H1903" s="55" t="str">
        <f>IF(B1903="","",IF(G1903&gt;0,"OUTSTANDING",IF(G1903=0,"SETTLED",IF(SUMIF(Transactions!$F$8:$F$3006,B1903,Transactions!$Q$8:$Q$3006)&gt;SUMIF(Transactions!$F$8:$F$3006,B1903,Transactions!$R$8:$R$3006),"OWES","OVERPAID"))))</f>
        <v/>
      </c>
      <c r="I1903" s="1"/>
    </row>
    <row r="1904" spans="1:9" ht="18" customHeight="1" x14ac:dyDescent="0.25">
      <c r="A1904" s="40">
        <v>1889</v>
      </c>
      <c r="B1904" s="41" t="str">
        <f t="array" ref="B1904">IFERROR(IF(INDEX(Transactions!$F$8:$F$3006,MATCH(0,COUNTIF($B$11:B1903,Transactions!$F$8:$F$3006),0))="","",INDEX(Transactions!$F$8:$F$3006,MATCH(0,COUNTIF($B$11:B1903,Transactions!$F$8:$F$3006),0))),"")</f>
        <v/>
      </c>
      <c r="C1904" s="42" t="str">
        <f>IF(B1904="","",SUMIF(Transactions!$F$8:$F$3006,B1904,Transactions!$H$8:$H$3006))</f>
        <v/>
      </c>
      <c r="D1904" s="43" t="str">
        <f>IF(B1904="","",SUMIF(Transactions!$F$8:$F$3006,B1904,Transactions!$N$8:$N$3006))</f>
        <v/>
      </c>
      <c r="E1904" s="44" t="str">
        <f>IF(B1904="","",SUMIF(Transactions!$F$8:$F$3006,B1904,Transactions!$O$8:$O$3006))</f>
        <v/>
      </c>
      <c r="F1904" s="45" t="str">
        <f>IF(B1904="","",SUMIF(Transactions!$F$8:$F$3006,B1904,Transactions!$R$8:$R$3006))</f>
        <v/>
      </c>
      <c r="G1904" s="46" t="str">
        <f>IF(B1904="","",(C1904+F1904)-(D1904+E1904+SUMIF(Transactions!$F$8:$F$3006,B1904,Transactions!$Q$8:$Q$3006)))</f>
        <v/>
      </c>
      <c r="H1904" s="47" t="str">
        <f>IF(B1904="","",IF(G1904&gt;0,"OUTSTANDING",IF(G1904=0,"SETTLED",IF(SUMIF(Transactions!$F$8:$F$3006,B1904,Transactions!$Q$8:$Q$3006)&gt;SUMIF(Transactions!$F$8:$F$3006,B1904,Transactions!$R$8:$R$3006),"OWES","OVERPAID"))))</f>
        <v/>
      </c>
      <c r="I1904" s="1"/>
    </row>
    <row r="1905" spans="1:9" ht="18" customHeight="1" x14ac:dyDescent="0.25">
      <c r="A1905" s="48">
        <v>1890</v>
      </c>
      <c r="B1905" s="49" t="str">
        <f t="array" ref="B1905">IFERROR(IF(INDEX(Transactions!$F$8:$F$3006,MATCH(0,COUNTIF($B$11:B1904,Transactions!$F$8:$F$3006),0))="","",INDEX(Transactions!$F$8:$F$3006,MATCH(0,COUNTIF($B$11:B1904,Transactions!$F$8:$F$3006),0))),"")</f>
        <v/>
      </c>
      <c r="C1905" s="50" t="str">
        <f>IF(B1905="","",SUMIF(Transactions!$F$8:$F$3006,B1905,Transactions!$H$8:$H$3006))</f>
        <v/>
      </c>
      <c r="D1905" s="51" t="str">
        <f>IF(B1905="","",SUMIF(Transactions!$F$8:$F$3006,B1905,Transactions!$N$8:$N$3006))</f>
        <v/>
      </c>
      <c r="E1905" s="52" t="str">
        <f>IF(B1905="","",SUMIF(Transactions!$F$8:$F$3006,B1905,Transactions!$O$8:$O$3006))</f>
        <v/>
      </c>
      <c r="F1905" s="53" t="str">
        <f>IF(B1905="","",SUMIF(Transactions!$F$8:$F$3006,B1905,Transactions!$R$8:$R$3006))</f>
        <v/>
      </c>
      <c r="G1905" s="54" t="str">
        <f>IF(B1905="","",(C1905+F1905)-(D1905+E1905+SUMIF(Transactions!$F$8:$F$3006,B1905,Transactions!$Q$8:$Q$3006)))</f>
        <v/>
      </c>
      <c r="H1905" s="55" t="str">
        <f>IF(B1905="","",IF(G1905&gt;0,"OUTSTANDING",IF(G1905=0,"SETTLED",IF(SUMIF(Transactions!$F$8:$F$3006,B1905,Transactions!$Q$8:$Q$3006)&gt;SUMIF(Transactions!$F$8:$F$3006,B1905,Transactions!$R$8:$R$3006),"OWES","OVERPAID"))))</f>
        <v/>
      </c>
      <c r="I1905" s="1"/>
    </row>
    <row r="1906" spans="1:9" ht="18" customHeight="1" x14ac:dyDescent="0.25">
      <c r="A1906" s="40">
        <v>1891</v>
      </c>
      <c r="B1906" s="41" t="str">
        <f t="array" ref="B1906">IFERROR(IF(INDEX(Transactions!$F$8:$F$3006,MATCH(0,COUNTIF($B$11:B1905,Transactions!$F$8:$F$3006),0))="","",INDEX(Transactions!$F$8:$F$3006,MATCH(0,COUNTIF($B$11:B1905,Transactions!$F$8:$F$3006),0))),"")</f>
        <v/>
      </c>
      <c r="C1906" s="42" t="str">
        <f>IF(B1906="","",SUMIF(Transactions!$F$8:$F$3006,B1906,Transactions!$H$8:$H$3006))</f>
        <v/>
      </c>
      <c r="D1906" s="43" t="str">
        <f>IF(B1906="","",SUMIF(Transactions!$F$8:$F$3006,B1906,Transactions!$N$8:$N$3006))</f>
        <v/>
      </c>
      <c r="E1906" s="44" t="str">
        <f>IF(B1906="","",SUMIF(Transactions!$F$8:$F$3006,B1906,Transactions!$O$8:$O$3006))</f>
        <v/>
      </c>
      <c r="F1906" s="45" t="str">
        <f>IF(B1906="","",SUMIF(Transactions!$F$8:$F$3006,B1906,Transactions!$R$8:$R$3006))</f>
        <v/>
      </c>
      <c r="G1906" s="46" t="str">
        <f>IF(B1906="","",(C1906+F1906)-(D1906+E1906+SUMIF(Transactions!$F$8:$F$3006,B1906,Transactions!$Q$8:$Q$3006)))</f>
        <v/>
      </c>
      <c r="H1906" s="47" t="str">
        <f>IF(B1906="","",IF(G1906&gt;0,"OUTSTANDING",IF(G1906=0,"SETTLED",IF(SUMIF(Transactions!$F$8:$F$3006,B1906,Transactions!$Q$8:$Q$3006)&gt;SUMIF(Transactions!$F$8:$F$3006,B1906,Transactions!$R$8:$R$3006),"OWES","OVERPAID"))))</f>
        <v/>
      </c>
      <c r="I1906" s="1"/>
    </row>
    <row r="1907" spans="1:9" ht="18" customHeight="1" x14ac:dyDescent="0.25">
      <c r="A1907" s="48">
        <v>1892</v>
      </c>
      <c r="B1907" s="49" t="str">
        <f t="array" ref="B1907">IFERROR(IF(INDEX(Transactions!$F$8:$F$3006,MATCH(0,COUNTIF($B$11:B1906,Transactions!$F$8:$F$3006),0))="","",INDEX(Transactions!$F$8:$F$3006,MATCH(0,COUNTIF($B$11:B1906,Transactions!$F$8:$F$3006),0))),"")</f>
        <v/>
      </c>
      <c r="C1907" s="50" t="str">
        <f>IF(B1907="","",SUMIF(Transactions!$F$8:$F$3006,B1907,Transactions!$H$8:$H$3006))</f>
        <v/>
      </c>
      <c r="D1907" s="51" t="str">
        <f>IF(B1907="","",SUMIF(Transactions!$F$8:$F$3006,B1907,Transactions!$N$8:$N$3006))</f>
        <v/>
      </c>
      <c r="E1907" s="52" t="str">
        <f>IF(B1907="","",SUMIF(Transactions!$F$8:$F$3006,B1907,Transactions!$O$8:$O$3006))</f>
        <v/>
      </c>
      <c r="F1907" s="53" t="str">
        <f>IF(B1907="","",SUMIF(Transactions!$F$8:$F$3006,B1907,Transactions!$R$8:$R$3006))</f>
        <v/>
      </c>
      <c r="G1907" s="54" t="str">
        <f>IF(B1907="","",(C1907+F1907)-(D1907+E1907+SUMIF(Transactions!$F$8:$F$3006,B1907,Transactions!$Q$8:$Q$3006)))</f>
        <v/>
      </c>
      <c r="H1907" s="55" t="str">
        <f>IF(B1907="","",IF(G1907&gt;0,"OUTSTANDING",IF(G1907=0,"SETTLED",IF(SUMIF(Transactions!$F$8:$F$3006,B1907,Transactions!$Q$8:$Q$3006)&gt;SUMIF(Transactions!$F$8:$F$3006,B1907,Transactions!$R$8:$R$3006),"OWES","OVERPAID"))))</f>
        <v/>
      </c>
      <c r="I1907" s="1"/>
    </row>
    <row r="1908" spans="1:9" ht="18" customHeight="1" x14ac:dyDescent="0.25">
      <c r="A1908" s="40">
        <v>1893</v>
      </c>
      <c r="B1908" s="41" t="str">
        <f t="array" ref="B1908">IFERROR(IF(INDEX(Transactions!$F$8:$F$3006,MATCH(0,COUNTIF($B$11:B1907,Transactions!$F$8:$F$3006),0))="","",INDEX(Transactions!$F$8:$F$3006,MATCH(0,COUNTIF($B$11:B1907,Transactions!$F$8:$F$3006),0))),"")</f>
        <v/>
      </c>
      <c r="C1908" s="42" t="str">
        <f>IF(B1908="","",SUMIF(Transactions!$F$8:$F$3006,B1908,Transactions!$H$8:$H$3006))</f>
        <v/>
      </c>
      <c r="D1908" s="43" t="str">
        <f>IF(B1908="","",SUMIF(Transactions!$F$8:$F$3006,B1908,Transactions!$N$8:$N$3006))</f>
        <v/>
      </c>
      <c r="E1908" s="44" t="str">
        <f>IF(B1908="","",SUMIF(Transactions!$F$8:$F$3006,B1908,Transactions!$O$8:$O$3006))</f>
        <v/>
      </c>
      <c r="F1908" s="45" t="str">
        <f>IF(B1908="","",SUMIF(Transactions!$F$8:$F$3006,B1908,Transactions!$R$8:$R$3006))</f>
        <v/>
      </c>
      <c r="G1908" s="46" t="str">
        <f>IF(B1908="","",(C1908+F1908)-(D1908+E1908+SUMIF(Transactions!$F$8:$F$3006,B1908,Transactions!$Q$8:$Q$3006)))</f>
        <v/>
      </c>
      <c r="H1908" s="47" t="str">
        <f>IF(B1908="","",IF(G1908&gt;0,"OUTSTANDING",IF(G1908=0,"SETTLED",IF(SUMIF(Transactions!$F$8:$F$3006,B1908,Transactions!$Q$8:$Q$3006)&gt;SUMIF(Transactions!$F$8:$F$3006,B1908,Transactions!$R$8:$R$3006),"OWES","OVERPAID"))))</f>
        <v/>
      </c>
      <c r="I1908" s="1"/>
    </row>
    <row r="1909" spans="1:9" ht="18" customHeight="1" x14ac:dyDescent="0.25">
      <c r="A1909" s="48">
        <v>1894</v>
      </c>
      <c r="B1909" s="49" t="str">
        <f t="array" ref="B1909">IFERROR(IF(INDEX(Transactions!$F$8:$F$3006,MATCH(0,COUNTIF($B$11:B1908,Transactions!$F$8:$F$3006),0))="","",INDEX(Transactions!$F$8:$F$3006,MATCH(0,COUNTIF($B$11:B1908,Transactions!$F$8:$F$3006),0))),"")</f>
        <v/>
      </c>
      <c r="C1909" s="50" t="str">
        <f>IF(B1909="","",SUMIF(Transactions!$F$8:$F$3006,B1909,Transactions!$H$8:$H$3006))</f>
        <v/>
      </c>
      <c r="D1909" s="51" t="str">
        <f>IF(B1909="","",SUMIF(Transactions!$F$8:$F$3006,B1909,Transactions!$N$8:$N$3006))</f>
        <v/>
      </c>
      <c r="E1909" s="52" t="str">
        <f>IF(B1909="","",SUMIF(Transactions!$F$8:$F$3006,B1909,Transactions!$O$8:$O$3006))</f>
        <v/>
      </c>
      <c r="F1909" s="53" t="str">
        <f>IF(B1909="","",SUMIF(Transactions!$F$8:$F$3006,B1909,Transactions!$R$8:$R$3006))</f>
        <v/>
      </c>
      <c r="G1909" s="54" t="str">
        <f>IF(B1909="","",(C1909+F1909)-(D1909+E1909+SUMIF(Transactions!$F$8:$F$3006,B1909,Transactions!$Q$8:$Q$3006)))</f>
        <v/>
      </c>
      <c r="H1909" s="55" t="str">
        <f>IF(B1909="","",IF(G1909&gt;0,"OUTSTANDING",IF(G1909=0,"SETTLED",IF(SUMIF(Transactions!$F$8:$F$3006,B1909,Transactions!$Q$8:$Q$3006)&gt;SUMIF(Transactions!$F$8:$F$3006,B1909,Transactions!$R$8:$R$3006),"OWES","OVERPAID"))))</f>
        <v/>
      </c>
      <c r="I1909" s="1"/>
    </row>
    <row r="1910" spans="1:9" ht="18" customHeight="1" x14ac:dyDescent="0.25">
      <c r="A1910" s="40">
        <v>1895</v>
      </c>
      <c r="B1910" s="41" t="str">
        <f t="array" ref="B1910">IFERROR(IF(INDEX(Transactions!$F$8:$F$3006,MATCH(0,COUNTIF($B$11:B1909,Transactions!$F$8:$F$3006),0))="","",INDEX(Transactions!$F$8:$F$3006,MATCH(0,COUNTIF($B$11:B1909,Transactions!$F$8:$F$3006),0))),"")</f>
        <v/>
      </c>
      <c r="C1910" s="42" t="str">
        <f>IF(B1910="","",SUMIF(Transactions!$F$8:$F$3006,B1910,Transactions!$H$8:$H$3006))</f>
        <v/>
      </c>
      <c r="D1910" s="43" t="str">
        <f>IF(B1910="","",SUMIF(Transactions!$F$8:$F$3006,B1910,Transactions!$N$8:$N$3006))</f>
        <v/>
      </c>
      <c r="E1910" s="44" t="str">
        <f>IF(B1910="","",SUMIF(Transactions!$F$8:$F$3006,B1910,Transactions!$O$8:$O$3006))</f>
        <v/>
      </c>
      <c r="F1910" s="45" t="str">
        <f>IF(B1910="","",SUMIF(Transactions!$F$8:$F$3006,B1910,Transactions!$R$8:$R$3006))</f>
        <v/>
      </c>
      <c r="G1910" s="46" t="str">
        <f>IF(B1910="","",(C1910+F1910)-(D1910+E1910+SUMIF(Transactions!$F$8:$F$3006,B1910,Transactions!$Q$8:$Q$3006)))</f>
        <v/>
      </c>
      <c r="H1910" s="47" t="str">
        <f>IF(B1910="","",IF(G1910&gt;0,"OUTSTANDING",IF(G1910=0,"SETTLED",IF(SUMIF(Transactions!$F$8:$F$3006,B1910,Transactions!$Q$8:$Q$3006)&gt;SUMIF(Transactions!$F$8:$F$3006,B1910,Transactions!$R$8:$R$3006),"OWES","OVERPAID"))))</f>
        <v/>
      </c>
      <c r="I1910" s="1"/>
    </row>
    <row r="1911" spans="1:9" ht="18" customHeight="1" x14ac:dyDescent="0.25">
      <c r="A1911" s="48">
        <v>1896</v>
      </c>
      <c r="B1911" s="49" t="str">
        <f t="array" ref="B1911">IFERROR(IF(INDEX(Transactions!$F$8:$F$3006,MATCH(0,COUNTIF($B$11:B1910,Transactions!$F$8:$F$3006),0))="","",INDEX(Transactions!$F$8:$F$3006,MATCH(0,COUNTIF($B$11:B1910,Transactions!$F$8:$F$3006),0))),"")</f>
        <v/>
      </c>
      <c r="C1911" s="50" t="str">
        <f>IF(B1911="","",SUMIF(Transactions!$F$8:$F$3006,B1911,Transactions!$H$8:$H$3006))</f>
        <v/>
      </c>
      <c r="D1911" s="51" t="str">
        <f>IF(B1911="","",SUMIF(Transactions!$F$8:$F$3006,B1911,Transactions!$N$8:$N$3006))</f>
        <v/>
      </c>
      <c r="E1911" s="52" t="str">
        <f>IF(B1911="","",SUMIF(Transactions!$F$8:$F$3006,B1911,Transactions!$O$8:$O$3006))</f>
        <v/>
      </c>
      <c r="F1911" s="53" t="str">
        <f>IF(B1911="","",SUMIF(Transactions!$F$8:$F$3006,B1911,Transactions!$R$8:$R$3006))</f>
        <v/>
      </c>
      <c r="G1911" s="54" t="str">
        <f>IF(B1911="","",(C1911+F1911)-(D1911+E1911+SUMIF(Transactions!$F$8:$F$3006,B1911,Transactions!$Q$8:$Q$3006)))</f>
        <v/>
      </c>
      <c r="H1911" s="55" t="str">
        <f>IF(B1911="","",IF(G1911&gt;0,"OUTSTANDING",IF(G1911=0,"SETTLED",IF(SUMIF(Transactions!$F$8:$F$3006,B1911,Transactions!$Q$8:$Q$3006)&gt;SUMIF(Transactions!$F$8:$F$3006,B1911,Transactions!$R$8:$R$3006),"OWES","OVERPAID"))))</f>
        <v/>
      </c>
      <c r="I1911" s="1"/>
    </row>
    <row r="1912" spans="1:9" ht="18" customHeight="1" x14ac:dyDescent="0.25">
      <c r="A1912" s="40">
        <v>1897</v>
      </c>
      <c r="B1912" s="41" t="str">
        <f t="array" ref="B1912">IFERROR(IF(INDEX(Transactions!$F$8:$F$3006,MATCH(0,COUNTIF($B$11:B1911,Transactions!$F$8:$F$3006),0))="","",INDEX(Transactions!$F$8:$F$3006,MATCH(0,COUNTIF($B$11:B1911,Transactions!$F$8:$F$3006),0))),"")</f>
        <v/>
      </c>
      <c r="C1912" s="42" t="str">
        <f>IF(B1912="","",SUMIF(Transactions!$F$8:$F$3006,B1912,Transactions!$H$8:$H$3006))</f>
        <v/>
      </c>
      <c r="D1912" s="43" t="str">
        <f>IF(B1912="","",SUMIF(Transactions!$F$8:$F$3006,B1912,Transactions!$N$8:$N$3006))</f>
        <v/>
      </c>
      <c r="E1912" s="44" t="str">
        <f>IF(B1912="","",SUMIF(Transactions!$F$8:$F$3006,B1912,Transactions!$O$8:$O$3006))</f>
        <v/>
      </c>
      <c r="F1912" s="45" t="str">
        <f>IF(B1912="","",SUMIF(Transactions!$F$8:$F$3006,B1912,Transactions!$R$8:$R$3006))</f>
        <v/>
      </c>
      <c r="G1912" s="46" t="str">
        <f>IF(B1912="","",(C1912+F1912)-(D1912+E1912+SUMIF(Transactions!$F$8:$F$3006,B1912,Transactions!$Q$8:$Q$3006)))</f>
        <v/>
      </c>
      <c r="H1912" s="47" t="str">
        <f>IF(B1912="","",IF(G1912&gt;0,"OUTSTANDING",IF(G1912=0,"SETTLED",IF(SUMIF(Transactions!$F$8:$F$3006,B1912,Transactions!$Q$8:$Q$3006)&gt;SUMIF(Transactions!$F$8:$F$3006,B1912,Transactions!$R$8:$R$3006),"OWES","OVERPAID"))))</f>
        <v/>
      </c>
      <c r="I1912" s="1"/>
    </row>
    <row r="1913" spans="1:9" ht="18" customHeight="1" x14ac:dyDescent="0.25">
      <c r="A1913" s="48">
        <v>1898</v>
      </c>
      <c r="B1913" s="49" t="str">
        <f t="array" ref="B1913">IFERROR(IF(INDEX(Transactions!$F$8:$F$3006,MATCH(0,COUNTIF($B$11:B1912,Transactions!$F$8:$F$3006),0))="","",INDEX(Transactions!$F$8:$F$3006,MATCH(0,COUNTIF($B$11:B1912,Transactions!$F$8:$F$3006),0))),"")</f>
        <v/>
      </c>
      <c r="C1913" s="50" t="str">
        <f>IF(B1913="","",SUMIF(Transactions!$F$8:$F$3006,B1913,Transactions!$H$8:$H$3006))</f>
        <v/>
      </c>
      <c r="D1913" s="51" t="str">
        <f>IF(B1913="","",SUMIF(Transactions!$F$8:$F$3006,B1913,Transactions!$N$8:$N$3006))</f>
        <v/>
      </c>
      <c r="E1913" s="52" t="str">
        <f>IF(B1913="","",SUMIF(Transactions!$F$8:$F$3006,B1913,Transactions!$O$8:$O$3006))</f>
        <v/>
      </c>
      <c r="F1913" s="53" t="str">
        <f>IF(B1913="","",SUMIF(Transactions!$F$8:$F$3006,B1913,Transactions!$R$8:$R$3006))</f>
        <v/>
      </c>
      <c r="G1913" s="54" t="str">
        <f>IF(B1913="","",(C1913+F1913)-(D1913+E1913+SUMIF(Transactions!$F$8:$F$3006,B1913,Transactions!$Q$8:$Q$3006)))</f>
        <v/>
      </c>
      <c r="H1913" s="55" t="str">
        <f>IF(B1913="","",IF(G1913&gt;0,"OUTSTANDING",IF(G1913=0,"SETTLED",IF(SUMIF(Transactions!$F$8:$F$3006,B1913,Transactions!$Q$8:$Q$3006)&gt;SUMIF(Transactions!$F$8:$F$3006,B1913,Transactions!$R$8:$R$3006),"OWES","OVERPAID"))))</f>
        <v/>
      </c>
      <c r="I1913" s="1"/>
    </row>
    <row r="1914" spans="1:9" ht="18" customHeight="1" x14ac:dyDescent="0.25">
      <c r="A1914" s="40">
        <v>1899</v>
      </c>
      <c r="B1914" s="41" t="str">
        <f t="array" ref="B1914">IFERROR(IF(INDEX(Transactions!$F$8:$F$3006,MATCH(0,COUNTIF($B$11:B1913,Transactions!$F$8:$F$3006),0))="","",INDEX(Transactions!$F$8:$F$3006,MATCH(0,COUNTIF($B$11:B1913,Transactions!$F$8:$F$3006),0))),"")</f>
        <v/>
      </c>
      <c r="C1914" s="42" t="str">
        <f>IF(B1914="","",SUMIF(Transactions!$F$8:$F$3006,B1914,Transactions!$H$8:$H$3006))</f>
        <v/>
      </c>
      <c r="D1914" s="43" t="str">
        <f>IF(B1914="","",SUMIF(Transactions!$F$8:$F$3006,B1914,Transactions!$N$8:$N$3006))</f>
        <v/>
      </c>
      <c r="E1914" s="44" t="str">
        <f>IF(B1914="","",SUMIF(Transactions!$F$8:$F$3006,B1914,Transactions!$O$8:$O$3006))</f>
        <v/>
      </c>
      <c r="F1914" s="45" t="str">
        <f>IF(B1914="","",SUMIF(Transactions!$F$8:$F$3006,B1914,Transactions!$R$8:$R$3006))</f>
        <v/>
      </c>
      <c r="G1914" s="46" t="str">
        <f>IF(B1914="","",(C1914+F1914)-(D1914+E1914+SUMIF(Transactions!$F$8:$F$3006,B1914,Transactions!$Q$8:$Q$3006)))</f>
        <v/>
      </c>
      <c r="H1914" s="47" t="str">
        <f>IF(B1914="","",IF(G1914&gt;0,"OUTSTANDING",IF(G1914=0,"SETTLED",IF(SUMIF(Transactions!$F$8:$F$3006,B1914,Transactions!$Q$8:$Q$3006)&gt;SUMIF(Transactions!$F$8:$F$3006,B1914,Transactions!$R$8:$R$3006),"OWES","OVERPAID"))))</f>
        <v/>
      </c>
      <c r="I1914" s="1"/>
    </row>
    <row r="1915" spans="1:9" ht="18" customHeight="1" x14ac:dyDescent="0.25">
      <c r="A1915" s="48">
        <v>1900</v>
      </c>
      <c r="B1915" s="49" t="str">
        <f t="array" ref="B1915">IFERROR(IF(INDEX(Transactions!$F$8:$F$3006,MATCH(0,COUNTIF($B$11:B1914,Transactions!$F$8:$F$3006),0))="","",INDEX(Transactions!$F$8:$F$3006,MATCH(0,COUNTIF($B$11:B1914,Transactions!$F$8:$F$3006),0))),"")</f>
        <v/>
      </c>
      <c r="C1915" s="50" t="str">
        <f>IF(B1915="","",SUMIF(Transactions!$F$8:$F$3006,B1915,Transactions!$H$8:$H$3006))</f>
        <v/>
      </c>
      <c r="D1915" s="51" t="str">
        <f>IF(B1915="","",SUMIF(Transactions!$F$8:$F$3006,B1915,Transactions!$N$8:$N$3006))</f>
        <v/>
      </c>
      <c r="E1915" s="52" t="str">
        <f>IF(B1915="","",SUMIF(Transactions!$F$8:$F$3006,B1915,Transactions!$O$8:$O$3006))</f>
        <v/>
      </c>
      <c r="F1915" s="53" t="str">
        <f>IF(B1915="","",SUMIF(Transactions!$F$8:$F$3006,B1915,Transactions!$R$8:$R$3006))</f>
        <v/>
      </c>
      <c r="G1915" s="54" t="str">
        <f>IF(B1915="","",(C1915+F1915)-(D1915+E1915+SUMIF(Transactions!$F$8:$F$3006,B1915,Transactions!$Q$8:$Q$3006)))</f>
        <v/>
      </c>
      <c r="H1915" s="55" t="str">
        <f>IF(B1915="","",IF(G1915&gt;0,"OUTSTANDING",IF(G1915=0,"SETTLED",IF(SUMIF(Transactions!$F$8:$F$3006,B1915,Transactions!$Q$8:$Q$3006)&gt;SUMIF(Transactions!$F$8:$F$3006,B1915,Transactions!$R$8:$R$3006),"OWES","OVERPAID"))))</f>
        <v/>
      </c>
      <c r="I1915" s="1"/>
    </row>
    <row r="1916" spans="1:9" ht="18" customHeight="1" x14ac:dyDescent="0.25">
      <c r="A1916" s="40">
        <v>1901</v>
      </c>
      <c r="B1916" s="41" t="str">
        <f t="array" ref="B1916">IFERROR(IF(INDEX(Transactions!$F$8:$F$3006,MATCH(0,COUNTIF($B$11:B1915,Transactions!$F$8:$F$3006),0))="","",INDEX(Transactions!$F$8:$F$3006,MATCH(0,COUNTIF($B$11:B1915,Transactions!$F$8:$F$3006),0))),"")</f>
        <v/>
      </c>
      <c r="C1916" s="42" t="str">
        <f>IF(B1916="","",SUMIF(Transactions!$F$8:$F$3006,B1916,Transactions!$H$8:$H$3006))</f>
        <v/>
      </c>
      <c r="D1916" s="43" t="str">
        <f>IF(B1916="","",SUMIF(Transactions!$F$8:$F$3006,B1916,Transactions!$N$8:$N$3006))</f>
        <v/>
      </c>
      <c r="E1916" s="44" t="str">
        <f>IF(B1916="","",SUMIF(Transactions!$F$8:$F$3006,B1916,Transactions!$O$8:$O$3006))</f>
        <v/>
      </c>
      <c r="F1916" s="45" t="str">
        <f>IF(B1916="","",SUMIF(Transactions!$F$8:$F$3006,B1916,Transactions!$R$8:$R$3006))</f>
        <v/>
      </c>
      <c r="G1916" s="46" t="str">
        <f>IF(B1916="","",(C1916+F1916)-(D1916+E1916+SUMIF(Transactions!$F$8:$F$3006,B1916,Transactions!$Q$8:$Q$3006)))</f>
        <v/>
      </c>
      <c r="H1916" s="47" t="str">
        <f>IF(B1916="","",IF(G1916&gt;0,"OUTSTANDING",IF(G1916=0,"SETTLED",IF(SUMIF(Transactions!$F$8:$F$3006,B1916,Transactions!$Q$8:$Q$3006)&gt;SUMIF(Transactions!$F$8:$F$3006,B1916,Transactions!$R$8:$R$3006),"OWES","OVERPAID"))))</f>
        <v/>
      </c>
      <c r="I1916" s="1"/>
    </row>
    <row r="1917" spans="1:9" ht="18" customHeight="1" x14ac:dyDescent="0.25">
      <c r="A1917" s="48">
        <v>1902</v>
      </c>
      <c r="B1917" s="49" t="str">
        <f t="array" ref="B1917">IFERROR(IF(INDEX(Transactions!$F$8:$F$3006,MATCH(0,COUNTIF($B$11:B1916,Transactions!$F$8:$F$3006),0))="","",INDEX(Transactions!$F$8:$F$3006,MATCH(0,COUNTIF($B$11:B1916,Transactions!$F$8:$F$3006),0))),"")</f>
        <v/>
      </c>
      <c r="C1917" s="50" t="str">
        <f>IF(B1917="","",SUMIF(Transactions!$F$8:$F$3006,B1917,Transactions!$H$8:$H$3006))</f>
        <v/>
      </c>
      <c r="D1917" s="51" t="str">
        <f>IF(B1917="","",SUMIF(Transactions!$F$8:$F$3006,B1917,Transactions!$N$8:$N$3006))</f>
        <v/>
      </c>
      <c r="E1917" s="52" t="str">
        <f>IF(B1917="","",SUMIF(Transactions!$F$8:$F$3006,B1917,Transactions!$O$8:$O$3006))</f>
        <v/>
      </c>
      <c r="F1917" s="53" t="str">
        <f>IF(B1917="","",SUMIF(Transactions!$F$8:$F$3006,B1917,Transactions!$R$8:$R$3006))</f>
        <v/>
      </c>
      <c r="G1917" s="54" t="str">
        <f>IF(B1917="","",(C1917+F1917)-(D1917+E1917+SUMIF(Transactions!$F$8:$F$3006,B1917,Transactions!$Q$8:$Q$3006)))</f>
        <v/>
      </c>
      <c r="H1917" s="55" t="str">
        <f>IF(B1917="","",IF(G1917&gt;0,"OUTSTANDING",IF(G1917=0,"SETTLED",IF(SUMIF(Transactions!$F$8:$F$3006,B1917,Transactions!$Q$8:$Q$3006)&gt;SUMIF(Transactions!$F$8:$F$3006,B1917,Transactions!$R$8:$R$3006),"OWES","OVERPAID"))))</f>
        <v/>
      </c>
      <c r="I1917" s="1"/>
    </row>
    <row r="1918" spans="1:9" ht="18" customHeight="1" x14ac:dyDescent="0.25">
      <c r="A1918" s="40">
        <v>1903</v>
      </c>
      <c r="B1918" s="41" t="str">
        <f t="array" ref="B1918">IFERROR(IF(INDEX(Transactions!$F$8:$F$3006,MATCH(0,COUNTIF($B$11:B1917,Transactions!$F$8:$F$3006),0))="","",INDEX(Transactions!$F$8:$F$3006,MATCH(0,COUNTIF($B$11:B1917,Transactions!$F$8:$F$3006),0))),"")</f>
        <v/>
      </c>
      <c r="C1918" s="42" t="str">
        <f>IF(B1918="","",SUMIF(Transactions!$F$8:$F$3006,B1918,Transactions!$H$8:$H$3006))</f>
        <v/>
      </c>
      <c r="D1918" s="43" t="str">
        <f>IF(B1918="","",SUMIF(Transactions!$F$8:$F$3006,B1918,Transactions!$N$8:$N$3006))</f>
        <v/>
      </c>
      <c r="E1918" s="44" t="str">
        <f>IF(B1918="","",SUMIF(Transactions!$F$8:$F$3006,B1918,Transactions!$O$8:$O$3006))</f>
        <v/>
      </c>
      <c r="F1918" s="45" t="str">
        <f>IF(B1918="","",SUMIF(Transactions!$F$8:$F$3006,B1918,Transactions!$R$8:$R$3006))</f>
        <v/>
      </c>
      <c r="G1918" s="46" t="str">
        <f>IF(B1918="","",(C1918+F1918)-(D1918+E1918+SUMIF(Transactions!$F$8:$F$3006,B1918,Transactions!$Q$8:$Q$3006)))</f>
        <v/>
      </c>
      <c r="H1918" s="47" t="str">
        <f>IF(B1918="","",IF(G1918&gt;0,"OUTSTANDING",IF(G1918=0,"SETTLED",IF(SUMIF(Transactions!$F$8:$F$3006,B1918,Transactions!$Q$8:$Q$3006)&gt;SUMIF(Transactions!$F$8:$F$3006,B1918,Transactions!$R$8:$R$3006),"OWES","OVERPAID"))))</f>
        <v/>
      </c>
      <c r="I1918" s="1"/>
    </row>
    <row r="1919" spans="1:9" ht="18" customHeight="1" x14ac:dyDescent="0.25">
      <c r="A1919" s="48">
        <v>1904</v>
      </c>
      <c r="B1919" s="49" t="str">
        <f t="array" ref="B1919">IFERROR(IF(INDEX(Transactions!$F$8:$F$3006,MATCH(0,COUNTIF($B$11:B1918,Transactions!$F$8:$F$3006),0))="","",INDEX(Transactions!$F$8:$F$3006,MATCH(0,COUNTIF($B$11:B1918,Transactions!$F$8:$F$3006),0))),"")</f>
        <v/>
      </c>
      <c r="C1919" s="50" t="str">
        <f>IF(B1919="","",SUMIF(Transactions!$F$8:$F$3006,B1919,Transactions!$H$8:$H$3006))</f>
        <v/>
      </c>
      <c r="D1919" s="51" t="str">
        <f>IF(B1919="","",SUMIF(Transactions!$F$8:$F$3006,B1919,Transactions!$N$8:$N$3006))</f>
        <v/>
      </c>
      <c r="E1919" s="52" t="str">
        <f>IF(B1919="","",SUMIF(Transactions!$F$8:$F$3006,B1919,Transactions!$O$8:$O$3006))</f>
        <v/>
      </c>
      <c r="F1919" s="53" t="str">
        <f>IF(B1919="","",SUMIF(Transactions!$F$8:$F$3006,B1919,Transactions!$R$8:$R$3006))</f>
        <v/>
      </c>
      <c r="G1919" s="54" t="str">
        <f>IF(B1919="","",(C1919+F1919)-(D1919+E1919+SUMIF(Transactions!$F$8:$F$3006,B1919,Transactions!$Q$8:$Q$3006)))</f>
        <v/>
      </c>
      <c r="H1919" s="55" t="str">
        <f>IF(B1919="","",IF(G1919&gt;0,"OUTSTANDING",IF(G1919=0,"SETTLED",IF(SUMIF(Transactions!$F$8:$F$3006,B1919,Transactions!$Q$8:$Q$3006)&gt;SUMIF(Transactions!$F$8:$F$3006,B1919,Transactions!$R$8:$R$3006),"OWES","OVERPAID"))))</f>
        <v/>
      </c>
      <c r="I1919" s="1"/>
    </row>
    <row r="1920" spans="1:9" ht="18" customHeight="1" x14ac:dyDescent="0.25">
      <c r="A1920" s="40">
        <v>1905</v>
      </c>
      <c r="B1920" s="41" t="str">
        <f t="array" ref="B1920">IFERROR(IF(INDEX(Transactions!$F$8:$F$3006,MATCH(0,COUNTIF($B$11:B1919,Transactions!$F$8:$F$3006),0))="","",INDEX(Transactions!$F$8:$F$3006,MATCH(0,COUNTIF($B$11:B1919,Transactions!$F$8:$F$3006),0))),"")</f>
        <v/>
      </c>
      <c r="C1920" s="42" t="str">
        <f>IF(B1920="","",SUMIF(Transactions!$F$8:$F$3006,B1920,Transactions!$H$8:$H$3006))</f>
        <v/>
      </c>
      <c r="D1920" s="43" t="str">
        <f>IF(B1920="","",SUMIF(Transactions!$F$8:$F$3006,B1920,Transactions!$N$8:$N$3006))</f>
        <v/>
      </c>
      <c r="E1920" s="44" t="str">
        <f>IF(B1920="","",SUMIF(Transactions!$F$8:$F$3006,B1920,Transactions!$O$8:$O$3006))</f>
        <v/>
      </c>
      <c r="F1920" s="45" t="str">
        <f>IF(B1920="","",SUMIF(Transactions!$F$8:$F$3006,B1920,Transactions!$R$8:$R$3006))</f>
        <v/>
      </c>
      <c r="G1920" s="46" t="str">
        <f>IF(B1920="","",(C1920+F1920)-(D1920+E1920+SUMIF(Transactions!$F$8:$F$3006,B1920,Transactions!$Q$8:$Q$3006)))</f>
        <v/>
      </c>
      <c r="H1920" s="47" t="str">
        <f>IF(B1920="","",IF(G1920&gt;0,"OUTSTANDING",IF(G1920=0,"SETTLED",IF(SUMIF(Transactions!$F$8:$F$3006,B1920,Transactions!$Q$8:$Q$3006)&gt;SUMIF(Transactions!$F$8:$F$3006,B1920,Transactions!$R$8:$R$3006),"OWES","OVERPAID"))))</f>
        <v/>
      </c>
      <c r="I1920" s="1"/>
    </row>
    <row r="1921" spans="1:9" ht="18" customHeight="1" x14ac:dyDescent="0.25">
      <c r="A1921" s="48">
        <v>1906</v>
      </c>
      <c r="B1921" s="49" t="str">
        <f t="array" ref="B1921">IFERROR(IF(INDEX(Transactions!$F$8:$F$3006,MATCH(0,COUNTIF($B$11:B1920,Transactions!$F$8:$F$3006),0))="","",INDEX(Transactions!$F$8:$F$3006,MATCH(0,COUNTIF($B$11:B1920,Transactions!$F$8:$F$3006),0))),"")</f>
        <v/>
      </c>
      <c r="C1921" s="50" t="str">
        <f>IF(B1921="","",SUMIF(Transactions!$F$8:$F$3006,B1921,Transactions!$H$8:$H$3006))</f>
        <v/>
      </c>
      <c r="D1921" s="51" t="str">
        <f>IF(B1921="","",SUMIF(Transactions!$F$8:$F$3006,B1921,Transactions!$N$8:$N$3006))</f>
        <v/>
      </c>
      <c r="E1921" s="52" t="str">
        <f>IF(B1921="","",SUMIF(Transactions!$F$8:$F$3006,B1921,Transactions!$O$8:$O$3006))</f>
        <v/>
      </c>
      <c r="F1921" s="53" t="str">
        <f>IF(B1921="","",SUMIF(Transactions!$F$8:$F$3006,B1921,Transactions!$R$8:$R$3006))</f>
        <v/>
      </c>
      <c r="G1921" s="54" t="str">
        <f>IF(B1921="","",(C1921+F1921)-(D1921+E1921+SUMIF(Transactions!$F$8:$F$3006,B1921,Transactions!$Q$8:$Q$3006)))</f>
        <v/>
      </c>
      <c r="H1921" s="55" t="str">
        <f>IF(B1921="","",IF(G1921&gt;0,"OUTSTANDING",IF(G1921=0,"SETTLED",IF(SUMIF(Transactions!$F$8:$F$3006,B1921,Transactions!$Q$8:$Q$3006)&gt;SUMIF(Transactions!$F$8:$F$3006,B1921,Transactions!$R$8:$R$3006),"OWES","OVERPAID"))))</f>
        <v/>
      </c>
      <c r="I1921" s="1"/>
    </row>
    <row r="1922" spans="1:9" ht="18" customHeight="1" x14ac:dyDescent="0.25">
      <c r="A1922" s="40">
        <v>1907</v>
      </c>
      <c r="B1922" s="41" t="str">
        <f t="array" ref="B1922">IFERROR(IF(INDEX(Transactions!$F$8:$F$3006,MATCH(0,COUNTIF($B$11:B1921,Transactions!$F$8:$F$3006),0))="","",INDEX(Transactions!$F$8:$F$3006,MATCH(0,COUNTIF($B$11:B1921,Transactions!$F$8:$F$3006),0))),"")</f>
        <v/>
      </c>
      <c r="C1922" s="42" t="str">
        <f>IF(B1922="","",SUMIF(Transactions!$F$8:$F$3006,B1922,Transactions!$H$8:$H$3006))</f>
        <v/>
      </c>
      <c r="D1922" s="43" t="str">
        <f>IF(B1922="","",SUMIF(Transactions!$F$8:$F$3006,B1922,Transactions!$N$8:$N$3006))</f>
        <v/>
      </c>
      <c r="E1922" s="44" t="str">
        <f>IF(B1922="","",SUMIF(Transactions!$F$8:$F$3006,B1922,Transactions!$O$8:$O$3006))</f>
        <v/>
      </c>
      <c r="F1922" s="45" t="str">
        <f>IF(B1922="","",SUMIF(Transactions!$F$8:$F$3006,B1922,Transactions!$R$8:$R$3006))</f>
        <v/>
      </c>
      <c r="G1922" s="46" t="str">
        <f>IF(B1922="","",(C1922+F1922)-(D1922+E1922+SUMIF(Transactions!$F$8:$F$3006,B1922,Transactions!$Q$8:$Q$3006)))</f>
        <v/>
      </c>
      <c r="H1922" s="47" t="str">
        <f>IF(B1922="","",IF(G1922&gt;0,"OUTSTANDING",IF(G1922=0,"SETTLED",IF(SUMIF(Transactions!$F$8:$F$3006,B1922,Transactions!$Q$8:$Q$3006)&gt;SUMIF(Transactions!$F$8:$F$3006,B1922,Transactions!$R$8:$R$3006),"OWES","OVERPAID"))))</f>
        <v/>
      </c>
      <c r="I1922" s="1"/>
    </row>
    <row r="1923" spans="1:9" ht="18" customHeight="1" x14ac:dyDescent="0.25">
      <c r="A1923" s="48">
        <v>1908</v>
      </c>
      <c r="B1923" s="49" t="str">
        <f t="array" ref="B1923">IFERROR(IF(INDEX(Transactions!$F$8:$F$3006,MATCH(0,COUNTIF($B$11:B1922,Transactions!$F$8:$F$3006),0))="","",INDEX(Transactions!$F$8:$F$3006,MATCH(0,COUNTIF($B$11:B1922,Transactions!$F$8:$F$3006),0))),"")</f>
        <v/>
      </c>
      <c r="C1923" s="50" t="str">
        <f>IF(B1923="","",SUMIF(Transactions!$F$8:$F$3006,B1923,Transactions!$H$8:$H$3006))</f>
        <v/>
      </c>
      <c r="D1923" s="51" t="str">
        <f>IF(B1923="","",SUMIF(Transactions!$F$8:$F$3006,B1923,Transactions!$N$8:$N$3006))</f>
        <v/>
      </c>
      <c r="E1923" s="52" t="str">
        <f>IF(B1923="","",SUMIF(Transactions!$F$8:$F$3006,B1923,Transactions!$O$8:$O$3006))</f>
        <v/>
      </c>
      <c r="F1923" s="53" t="str">
        <f>IF(B1923="","",SUMIF(Transactions!$F$8:$F$3006,B1923,Transactions!$R$8:$R$3006))</f>
        <v/>
      </c>
      <c r="G1923" s="54" t="str">
        <f>IF(B1923="","",(C1923+F1923)-(D1923+E1923+SUMIF(Transactions!$F$8:$F$3006,B1923,Transactions!$Q$8:$Q$3006)))</f>
        <v/>
      </c>
      <c r="H1923" s="55" t="str">
        <f>IF(B1923="","",IF(G1923&gt;0,"OUTSTANDING",IF(G1923=0,"SETTLED",IF(SUMIF(Transactions!$F$8:$F$3006,B1923,Transactions!$Q$8:$Q$3006)&gt;SUMIF(Transactions!$F$8:$F$3006,B1923,Transactions!$R$8:$R$3006),"OWES","OVERPAID"))))</f>
        <v/>
      </c>
      <c r="I1923" s="1"/>
    </row>
    <row r="1924" spans="1:9" ht="18" customHeight="1" x14ac:dyDescent="0.25">
      <c r="A1924" s="40">
        <v>1909</v>
      </c>
      <c r="B1924" s="41" t="str">
        <f t="array" ref="B1924">IFERROR(IF(INDEX(Transactions!$F$8:$F$3006,MATCH(0,COUNTIF($B$11:B1923,Transactions!$F$8:$F$3006),0))="","",INDEX(Transactions!$F$8:$F$3006,MATCH(0,COUNTIF($B$11:B1923,Transactions!$F$8:$F$3006),0))),"")</f>
        <v/>
      </c>
      <c r="C1924" s="42" t="str">
        <f>IF(B1924="","",SUMIF(Transactions!$F$8:$F$3006,B1924,Transactions!$H$8:$H$3006))</f>
        <v/>
      </c>
      <c r="D1924" s="43" t="str">
        <f>IF(B1924="","",SUMIF(Transactions!$F$8:$F$3006,B1924,Transactions!$N$8:$N$3006))</f>
        <v/>
      </c>
      <c r="E1924" s="44" t="str">
        <f>IF(B1924="","",SUMIF(Transactions!$F$8:$F$3006,B1924,Transactions!$O$8:$O$3006))</f>
        <v/>
      </c>
      <c r="F1924" s="45" t="str">
        <f>IF(B1924="","",SUMIF(Transactions!$F$8:$F$3006,B1924,Transactions!$R$8:$R$3006))</f>
        <v/>
      </c>
      <c r="G1924" s="46" t="str">
        <f>IF(B1924="","",(C1924+F1924)-(D1924+E1924+SUMIF(Transactions!$F$8:$F$3006,B1924,Transactions!$Q$8:$Q$3006)))</f>
        <v/>
      </c>
      <c r="H1924" s="47" t="str">
        <f>IF(B1924="","",IF(G1924&gt;0,"OUTSTANDING",IF(G1924=0,"SETTLED",IF(SUMIF(Transactions!$F$8:$F$3006,B1924,Transactions!$Q$8:$Q$3006)&gt;SUMIF(Transactions!$F$8:$F$3006,B1924,Transactions!$R$8:$R$3006),"OWES","OVERPAID"))))</f>
        <v/>
      </c>
      <c r="I1924" s="1"/>
    </row>
    <row r="1925" spans="1:9" ht="18" customHeight="1" x14ac:dyDescent="0.25">
      <c r="A1925" s="48">
        <v>1910</v>
      </c>
      <c r="B1925" s="49" t="str">
        <f t="array" ref="B1925">IFERROR(IF(INDEX(Transactions!$F$8:$F$3006,MATCH(0,COUNTIF($B$11:B1924,Transactions!$F$8:$F$3006),0))="","",INDEX(Transactions!$F$8:$F$3006,MATCH(0,COUNTIF($B$11:B1924,Transactions!$F$8:$F$3006),0))),"")</f>
        <v/>
      </c>
      <c r="C1925" s="50" t="str">
        <f>IF(B1925="","",SUMIF(Transactions!$F$8:$F$3006,B1925,Transactions!$H$8:$H$3006))</f>
        <v/>
      </c>
      <c r="D1925" s="51" t="str">
        <f>IF(B1925="","",SUMIF(Transactions!$F$8:$F$3006,B1925,Transactions!$N$8:$N$3006))</f>
        <v/>
      </c>
      <c r="E1925" s="52" t="str">
        <f>IF(B1925="","",SUMIF(Transactions!$F$8:$F$3006,B1925,Transactions!$O$8:$O$3006))</f>
        <v/>
      </c>
      <c r="F1925" s="53" t="str">
        <f>IF(B1925="","",SUMIF(Transactions!$F$8:$F$3006,B1925,Transactions!$R$8:$R$3006))</f>
        <v/>
      </c>
      <c r="G1925" s="54" t="str">
        <f>IF(B1925="","",(C1925+F1925)-(D1925+E1925+SUMIF(Transactions!$F$8:$F$3006,B1925,Transactions!$Q$8:$Q$3006)))</f>
        <v/>
      </c>
      <c r="H1925" s="55" t="str">
        <f>IF(B1925="","",IF(G1925&gt;0,"OUTSTANDING",IF(G1925=0,"SETTLED",IF(SUMIF(Transactions!$F$8:$F$3006,B1925,Transactions!$Q$8:$Q$3006)&gt;SUMIF(Transactions!$F$8:$F$3006,B1925,Transactions!$R$8:$R$3006),"OWES","OVERPAID"))))</f>
        <v/>
      </c>
      <c r="I1925" s="1"/>
    </row>
    <row r="1926" spans="1:9" ht="18" customHeight="1" x14ac:dyDescent="0.25">
      <c r="A1926" s="40">
        <v>1911</v>
      </c>
      <c r="B1926" s="41" t="str">
        <f t="array" ref="B1926">IFERROR(IF(INDEX(Transactions!$F$8:$F$3006,MATCH(0,COUNTIF($B$11:B1925,Transactions!$F$8:$F$3006),0))="","",INDEX(Transactions!$F$8:$F$3006,MATCH(0,COUNTIF($B$11:B1925,Transactions!$F$8:$F$3006),0))),"")</f>
        <v/>
      </c>
      <c r="C1926" s="42" t="str">
        <f>IF(B1926="","",SUMIF(Transactions!$F$8:$F$3006,B1926,Transactions!$H$8:$H$3006))</f>
        <v/>
      </c>
      <c r="D1926" s="43" t="str">
        <f>IF(B1926="","",SUMIF(Transactions!$F$8:$F$3006,B1926,Transactions!$N$8:$N$3006))</f>
        <v/>
      </c>
      <c r="E1926" s="44" t="str">
        <f>IF(B1926="","",SUMIF(Transactions!$F$8:$F$3006,B1926,Transactions!$O$8:$O$3006))</f>
        <v/>
      </c>
      <c r="F1926" s="45" t="str">
        <f>IF(B1926="","",SUMIF(Transactions!$F$8:$F$3006,B1926,Transactions!$R$8:$R$3006))</f>
        <v/>
      </c>
      <c r="G1926" s="46" t="str">
        <f>IF(B1926="","",(C1926+F1926)-(D1926+E1926+SUMIF(Transactions!$F$8:$F$3006,B1926,Transactions!$Q$8:$Q$3006)))</f>
        <v/>
      </c>
      <c r="H1926" s="47" t="str">
        <f>IF(B1926="","",IF(G1926&gt;0,"OUTSTANDING",IF(G1926=0,"SETTLED",IF(SUMIF(Transactions!$F$8:$F$3006,B1926,Transactions!$Q$8:$Q$3006)&gt;SUMIF(Transactions!$F$8:$F$3006,B1926,Transactions!$R$8:$R$3006),"OWES","OVERPAID"))))</f>
        <v/>
      </c>
      <c r="I1926" s="1"/>
    </row>
    <row r="1927" spans="1:9" ht="18" customHeight="1" x14ac:dyDescent="0.25">
      <c r="A1927" s="48">
        <v>1912</v>
      </c>
      <c r="B1927" s="49" t="str">
        <f t="array" ref="B1927">IFERROR(IF(INDEX(Transactions!$F$8:$F$3006,MATCH(0,COUNTIF($B$11:B1926,Transactions!$F$8:$F$3006),0))="","",INDEX(Transactions!$F$8:$F$3006,MATCH(0,COUNTIF($B$11:B1926,Transactions!$F$8:$F$3006),0))),"")</f>
        <v/>
      </c>
      <c r="C1927" s="50" t="str">
        <f>IF(B1927="","",SUMIF(Transactions!$F$8:$F$3006,B1927,Transactions!$H$8:$H$3006))</f>
        <v/>
      </c>
      <c r="D1927" s="51" t="str">
        <f>IF(B1927="","",SUMIF(Transactions!$F$8:$F$3006,B1927,Transactions!$N$8:$N$3006))</f>
        <v/>
      </c>
      <c r="E1927" s="52" t="str">
        <f>IF(B1927="","",SUMIF(Transactions!$F$8:$F$3006,B1927,Transactions!$O$8:$O$3006))</f>
        <v/>
      </c>
      <c r="F1927" s="53" t="str">
        <f>IF(B1927="","",SUMIF(Transactions!$F$8:$F$3006,B1927,Transactions!$R$8:$R$3006))</f>
        <v/>
      </c>
      <c r="G1927" s="54" t="str">
        <f>IF(B1927="","",(C1927+F1927)-(D1927+E1927+SUMIF(Transactions!$F$8:$F$3006,B1927,Transactions!$Q$8:$Q$3006)))</f>
        <v/>
      </c>
      <c r="H1927" s="55" t="str">
        <f>IF(B1927="","",IF(G1927&gt;0,"OUTSTANDING",IF(G1927=0,"SETTLED",IF(SUMIF(Transactions!$F$8:$F$3006,B1927,Transactions!$Q$8:$Q$3006)&gt;SUMIF(Transactions!$F$8:$F$3006,B1927,Transactions!$R$8:$R$3006),"OWES","OVERPAID"))))</f>
        <v/>
      </c>
      <c r="I1927" s="1"/>
    </row>
    <row r="1928" spans="1:9" ht="18" customHeight="1" x14ac:dyDescent="0.25">
      <c r="A1928" s="40">
        <v>1913</v>
      </c>
      <c r="B1928" s="41" t="str">
        <f t="array" ref="B1928">IFERROR(IF(INDEX(Transactions!$F$8:$F$3006,MATCH(0,COUNTIF($B$11:B1927,Transactions!$F$8:$F$3006),0))="","",INDEX(Transactions!$F$8:$F$3006,MATCH(0,COUNTIF($B$11:B1927,Transactions!$F$8:$F$3006),0))),"")</f>
        <v/>
      </c>
      <c r="C1928" s="42" t="str">
        <f>IF(B1928="","",SUMIF(Transactions!$F$8:$F$3006,B1928,Transactions!$H$8:$H$3006))</f>
        <v/>
      </c>
      <c r="D1928" s="43" t="str">
        <f>IF(B1928="","",SUMIF(Transactions!$F$8:$F$3006,B1928,Transactions!$N$8:$N$3006))</f>
        <v/>
      </c>
      <c r="E1928" s="44" t="str">
        <f>IF(B1928="","",SUMIF(Transactions!$F$8:$F$3006,B1928,Transactions!$O$8:$O$3006))</f>
        <v/>
      </c>
      <c r="F1928" s="45" t="str">
        <f>IF(B1928="","",SUMIF(Transactions!$F$8:$F$3006,B1928,Transactions!$R$8:$R$3006))</f>
        <v/>
      </c>
      <c r="G1928" s="46" t="str">
        <f>IF(B1928="","",(C1928+F1928)-(D1928+E1928+SUMIF(Transactions!$F$8:$F$3006,B1928,Transactions!$Q$8:$Q$3006)))</f>
        <v/>
      </c>
      <c r="H1928" s="47" t="str">
        <f>IF(B1928="","",IF(G1928&gt;0,"OUTSTANDING",IF(G1928=0,"SETTLED",IF(SUMIF(Transactions!$F$8:$F$3006,B1928,Transactions!$Q$8:$Q$3006)&gt;SUMIF(Transactions!$F$8:$F$3006,B1928,Transactions!$R$8:$R$3006),"OWES","OVERPAID"))))</f>
        <v/>
      </c>
      <c r="I1928" s="1"/>
    </row>
    <row r="1929" spans="1:9" ht="18" customHeight="1" x14ac:dyDescent="0.25">
      <c r="A1929" s="48">
        <v>1914</v>
      </c>
      <c r="B1929" s="49" t="str">
        <f t="array" ref="B1929">IFERROR(IF(INDEX(Transactions!$F$8:$F$3006,MATCH(0,COUNTIF($B$11:B1928,Transactions!$F$8:$F$3006),0))="","",INDEX(Transactions!$F$8:$F$3006,MATCH(0,COUNTIF($B$11:B1928,Transactions!$F$8:$F$3006),0))),"")</f>
        <v/>
      </c>
      <c r="C1929" s="50" t="str">
        <f>IF(B1929="","",SUMIF(Transactions!$F$8:$F$3006,B1929,Transactions!$H$8:$H$3006))</f>
        <v/>
      </c>
      <c r="D1929" s="51" t="str">
        <f>IF(B1929="","",SUMIF(Transactions!$F$8:$F$3006,B1929,Transactions!$N$8:$N$3006))</f>
        <v/>
      </c>
      <c r="E1929" s="52" t="str">
        <f>IF(B1929="","",SUMIF(Transactions!$F$8:$F$3006,B1929,Transactions!$O$8:$O$3006))</f>
        <v/>
      </c>
      <c r="F1929" s="53" t="str">
        <f>IF(B1929="","",SUMIF(Transactions!$F$8:$F$3006,B1929,Transactions!$R$8:$R$3006))</f>
        <v/>
      </c>
      <c r="G1929" s="54" t="str">
        <f>IF(B1929="","",(C1929+F1929)-(D1929+E1929+SUMIF(Transactions!$F$8:$F$3006,B1929,Transactions!$Q$8:$Q$3006)))</f>
        <v/>
      </c>
      <c r="H1929" s="55" t="str">
        <f>IF(B1929="","",IF(G1929&gt;0,"OUTSTANDING",IF(G1929=0,"SETTLED",IF(SUMIF(Transactions!$F$8:$F$3006,B1929,Transactions!$Q$8:$Q$3006)&gt;SUMIF(Transactions!$F$8:$F$3006,B1929,Transactions!$R$8:$R$3006),"OWES","OVERPAID"))))</f>
        <v/>
      </c>
      <c r="I1929" s="1"/>
    </row>
    <row r="1930" spans="1:9" ht="18" customHeight="1" x14ac:dyDescent="0.25">
      <c r="A1930" s="40">
        <v>1915</v>
      </c>
      <c r="B1930" s="41" t="str">
        <f t="array" ref="B1930">IFERROR(IF(INDEX(Transactions!$F$8:$F$3006,MATCH(0,COUNTIF($B$11:B1929,Transactions!$F$8:$F$3006),0))="","",INDEX(Transactions!$F$8:$F$3006,MATCH(0,COUNTIF($B$11:B1929,Transactions!$F$8:$F$3006),0))),"")</f>
        <v/>
      </c>
      <c r="C1930" s="42" t="str">
        <f>IF(B1930="","",SUMIF(Transactions!$F$8:$F$3006,B1930,Transactions!$H$8:$H$3006))</f>
        <v/>
      </c>
      <c r="D1930" s="43" t="str">
        <f>IF(B1930="","",SUMIF(Transactions!$F$8:$F$3006,B1930,Transactions!$N$8:$N$3006))</f>
        <v/>
      </c>
      <c r="E1930" s="44" t="str">
        <f>IF(B1930="","",SUMIF(Transactions!$F$8:$F$3006,B1930,Transactions!$O$8:$O$3006))</f>
        <v/>
      </c>
      <c r="F1930" s="45" t="str">
        <f>IF(B1930="","",SUMIF(Transactions!$F$8:$F$3006,B1930,Transactions!$R$8:$R$3006))</f>
        <v/>
      </c>
      <c r="G1930" s="46" t="str">
        <f>IF(B1930="","",(C1930+F1930)-(D1930+E1930+SUMIF(Transactions!$F$8:$F$3006,B1930,Transactions!$Q$8:$Q$3006)))</f>
        <v/>
      </c>
      <c r="H1930" s="47" t="str">
        <f>IF(B1930="","",IF(G1930&gt;0,"OUTSTANDING",IF(G1930=0,"SETTLED",IF(SUMIF(Transactions!$F$8:$F$3006,B1930,Transactions!$Q$8:$Q$3006)&gt;SUMIF(Transactions!$F$8:$F$3006,B1930,Transactions!$R$8:$R$3006),"OWES","OVERPAID"))))</f>
        <v/>
      </c>
      <c r="I1930" s="1"/>
    </row>
    <row r="1931" spans="1:9" ht="18" customHeight="1" x14ac:dyDescent="0.25">
      <c r="A1931" s="48">
        <v>1916</v>
      </c>
      <c r="B1931" s="49" t="str">
        <f t="array" ref="B1931">IFERROR(IF(INDEX(Transactions!$F$8:$F$3006,MATCH(0,COUNTIF($B$11:B1930,Transactions!$F$8:$F$3006),0))="","",INDEX(Transactions!$F$8:$F$3006,MATCH(0,COUNTIF($B$11:B1930,Transactions!$F$8:$F$3006),0))),"")</f>
        <v/>
      </c>
      <c r="C1931" s="50" t="str">
        <f>IF(B1931="","",SUMIF(Transactions!$F$8:$F$3006,B1931,Transactions!$H$8:$H$3006))</f>
        <v/>
      </c>
      <c r="D1931" s="51" t="str">
        <f>IF(B1931="","",SUMIF(Transactions!$F$8:$F$3006,B1931,Transactions!$N$8:$N$3006))</f>
        <v/>
      </c>
      <c r="E1931" s="52" t="str">
        <f>IF(B1931="","",SUMIF(Transactions!$F$8:$F$3006,B1931,Transactions!$O$8:$O$3006))</f>
        <v/>
      </c>
      <c r="F1931" s="53" t="str">
        <f>IF(B1931="","",SUMIF(Transactions!$F$8:$F$3006,B1931,Transactions!$R$8:$R$3006))</f>
        <v/>
      </c>
      <c r="G1931" s="54" t="str">
        <f>IF(B1931="","",(C1931+F1931)-(D1931+E1931+SUMIF(Transactions!$F$8:$F$3006,B1931,Transactions!$Q$8:$Q$3006)))</f>
        <v/>
      </c>
      <c r="H1931" s="55" t="str">
        <f>IF(B1931="","",IF(G1931&gt;0,"OUTSTANDING",IF(G1931=0,"SETTLED",IF(SUMIF(Transactions!$F$8:$F$3006,B1931,Transactions!$Q$8:$Q$3006)&gt;SUMIF(Transactions!$F$8:$F$3006,B1931,Transactions!$R$8:$R$3006),"OWES","OVERPAID"))))</f>
        <v/>
      </c>
      <c r="I1931" s="1"/>
    </row>
    <row r="1932" spans="1:9" ht="18" customHeight="1" x14ac:dyDescent="0.25">
      <c r="A1932" s="40">
        <v>1917</v>
      </c>
      <c r="B1932" s="41" t="str">
        <f t="array" ref="B1932">IFERROR(IF(INDEX(Transactions!$F$8:$F$3006,MATCH(0,COUNTIF($B$11:B1931,Transactions!$F$8:$F$3006),0))="","",INDEX(Transactions!$F$8:$F$3006,MATCH(0,COUNTIF($B$11:B1931,Transactions!$F$8:$F$3006),0))),"")</f>
        <v/>
      </c>
      <c r="C1932" s="42" t="str">
        <f>IF(B1932="","",SUMIF(Transactions!$F$8:$F$3006,B1932,Transactions!$H$8:$H$3006))</f>
        <v/>
      </c>
      <c r="D1932" s="43" t="str">
        <f>IF(B1932="","",SUMIF(Transactions!$F$8:$F$3006,B1932,Transactions!$N$8:$N$3006))</f>
        <v/>
      </c>
      <c r="E1932" s="44" t="str">
        <f>IF(B1932="","",SUMIF(Transactions!$F$8:$F$3006,B1932,Transactions!$O$8:$O$3006))</f>
        <v/>
      </c>
      <c r="F1932" s="45" t="str">
        <f>IF(B1932="","",SUMIF(Transactions!$F$8:$F$3006,B1932,Transactions!$R$8:$R$3006))</f>
        <v/>
      </c>
      <c r="G1932" s="46" t="str">
        <f>IF(B1932="","",(C1932+F1932)-(D1932+E1932+SUMIF(Transactions!$F$8:$F$3006,B1932,Transactions!$Q$8:$Q$3006)))</f>
        <v/>
      </c>
      <c r="H1932" s="47" t="str">
        <f>IF(B1932="","",IF(G1932&gt;0,"OUTSTANDING",IF(G1932=0,"SETTLED",IF(SUMIF(Transactions!$F$8:$F$3006,B1932,Transactions!$Q$8:$Q$3006)&gt;SUMIF(Transactions!$F$8:$F$3006,B1932,Transactions!$R$8:$R$3006),"OWES","OVERPAID"))))</f>
        <v/>
      </c>
      <c r="I1932" s="1"/>
    </row>
    <row r="1933" spans="1:9" ht="18" customHeight="1" x14ac:dyDescent="0.25">
      <c r="A1933" s="48">
        <v>1918</v>
      </c>
      <c r="B1933" s="49" t="str">
        <f t="array" ref="B1933">IFERROR(IF(INDEX(Transactions!$F$8:$F$3006,MATCH(0,COUNTIF($B$11:B1932,Transactions!$F$8:$F$3006),0))="","",INDEX(Transactions!$F$8:$F$3006,MATCH(0,COUNTIF($B$11:B1932,Transactions!$F$8:$F$3006),0))),"")</f>
        <v/>
      </c>
      <c r="C1933" s="50" t="str">
        <f>IF(B1933="","",SUMIF(Transactions!$F$8:$F$3006,B1933,Transactions!$H$8:$H$3006))</f>
        <v/>
      </c>
      <c r="D1933" s="51" t="str">
        <f>IF(B1933="","",SUMIF(Transactions!$F$8:$F$3006,B1933,Transactions!$N$8:$N$3006))</f>
        <v/>
      </c>
      <c r="E1933" s="52" t="str">
        <f>IF(B1933="","",SUMIF(Transactions!$F$8:$F$3006,B1933,Transactions!$O$8:$O$3006))</f>
        <v/>
      </c>
      <c r="F1933" s="53" t="str">
        <f>IF(B1933="","",SUMIF(Transactions!$F$8:$F$3006,B1933,Transactions!$R$8:$R$3006))</f>
        <v/>
      </c>
      <c r="G1933" s="54" t="str">
        <f>IF(B1933="","",(C1933+F1933)-(D1933+E1933+SUMIF(Transactions!$F$8:$F$3006,B1933,Transactions!$Q$8:$Q$3006)))</f>
        <v/>
      </c>
      <c r="H1933" s="55" t="str">
        <f>IF(B1933="","",IF(G1933&gt;0,"OUTSTANDING",IF(G1933=0,"SETTLED",IF(SUMIF(Transactions!$F$8:$F$3006,B1933,Transactions!$Q$8:$Q$3006)&gt;SUMIF(Transactions!$F$8:$F$3006,B1933,Transactions!$R$8:$R$3006),"OWES","OVERPAID"))))</f>
        <v/>
      </c>
      <c r="I1933" s="1"/>
    </row>
    <row r="1934" spans="1:9" ht="18" customHeight="1" x14ac:dyDescent="0.25">
      <c r="A1934" s="40">
        <v>1919</v>
      </c>
      <c r="B1934" s="41" t="str">
        <f t="array" ref="B1934">IFERROR(IF(INDEX(Transactions!$F$8:$F$3006,MATCH(0,COUNTIF($B$11:B1933,Transactions!$F$8:$F$3006),0))="","",INDEX(Transactions!$F$8:$F$3006,MATCH(0,COUNTIF($B$11:B1933,Transactions!$F$8:$F$3006),0))),"")</f>
        <v/>
      </c>
      <c r="C1934" s="42" t="str">
        <f>IF(B1934="","",SUMIF(Transactions!$F$8:$F$3006,B1934,Transactions!$H$8:$H$3006))</f>
        <v/>
      </c>
      <c r="D1934" s="43" t="str">
        <f>IF(B1934="","",SUMIF(Transactions!$F$8:$F$3006,B1934,Transactions!$N$8:$N$3006))</f>
        <v/>
      </c>
      <c r="E1934" s="44" t="str">
        <f>IF(B1934="","",SUMIF(Transactions!$F$8:$F$3006,B1934,Transactions!$O$8:$O$3006))</f>
        <v/>
      </c>
      <c r="F1934" s="45" t="str">
        <f>IF(B1934="","",SUMIF(Transactions!$F$8:$F$3006,B1934,Transactions!$R$8:$R$3006))</f>
        <v/>
      </c>
      <c r="G1934" s="46" t="str">
        <f>IF(B1934="","",(C1934+F1934)-(D1934+E1934+SUMIF(Transactions!$F$8:$F$3006,B1934,Transactions!$Q$8:$Q$3006)))</f>
        <v/>
      </c>
      <c r="H1934" s="47" t="str">
        <f>IF(B1934="","",IF(G1934&gt;0,"OUTSTANDING",IF(G1934=0,"SETTLED",IF(SUMIF(Transactions!$F$8:$F$3006,B1934,Transactions!$Q$8:$Q$3006)&gt;SUMIF(Transactions!$F$8:$F$3006,B1934,Transactions!$R$8:$R$3006),"OWES","OVERPAID"))))</f>
        <v/>
      </c>
      <c r="I1934" s="1"/>
    </row>
    <row r="1935" spans="1:9" ht="18" customHeight="1" x14ac:dyDescent="0.25">
      <c r="A1935" s="48">
        <v>1920</v>
      </c>
      <c r="B1935" s="49" t="str">
        <f t="array" ref="B1935">IFERROR(IF(INDEX(Transactions!$F$8:$F$3006,MATCH(0,COUNTIF($B$11:B1934,Transactions!$F$8:$F$3006),0))="","",INDEX(Transactions!$F$8:$F$3006,MATCH(0,COUNTIF($B$11:B1934,Transactions!$F$8:$F$3006),0))),"")</f>
        <v/>
      </c>
      <c r="C1935" s="50" t="str">
        <f>IF(B1935="","",SUMIF(Transactions!$F$8:$F$3006,B1935,Transactions!$H$8:$H$3006))</f>
        <v/>
      </c>
      <c r="D1935" s="51" t="str">
        <f>IF(B1935="","",SUMIF(Transactions!$F$8:$F$3006,B1935,Transactions!$N$8:$N$3006))</f>
        <v/>
      </c>
      <c r="E1935" s="52" t="str">
        <f>IF(B1935="","",SUMIF(Transactions!$F$8:$F$3006,B1935,Transactions!$O$8:$O$3006))</f>
        <v/>
      </c>
      <c r="F1935" s="53" t="str">
        <f>IF(B1935="","",SUMIF(Transactions!$F$8:$F$3006,B1935,Transactions!$R$8:$R$3006))</f>
        <v/>
      </c>
      <c r="G1935" s="54" t="str">
        <f>IF(B1935="","",(C1935+F1935)-(D1935+E1935+SUMIF(Transactions!$F$8:$F$3006,B1935,Transactions!$Q$8:$Q$3006)))</f>
        <v/>
      </c>
      <c r="H1935" s="55" t="str">
        <f>IF(B1935="","",IF(G1935&gt;0,"OUTSTANDING",IF(G1935=0,"SETTLED",IF(SUMIF(Transactions!$F$8:$F$3006,B1935,Transactions!$Q$8:$Q$3006)&gt;SUMIF(Transactions!$F$8:$F$3006,B1935,Transactions!$R$8:$R$3006),"OWES","OVERPAID"))))</f>
        <v/>
      </c>
      <c r="I1935" s="1"/>
    </row>
    <row r="1936" spans="1:9" ht="18" customHeight="1" x14ac:dyDescent="0.25">
      <c r="A1936" s="40">
        <v>1921</v>
      </c>
      <c r="B1936" s="41" t="str">
        <f t="array" ref="B1936">IFERROR(IF(INDEX(Transactions!$F$8:$F$3006,MATCH(0,COUNTIF($B$11:B1935,Transactions!$F$8:$F$3006),0))="","",INDEX(Transactions!$F$8:$F$3006,MATCH(0,COUNTIF($B$11:B1935,Transactions!$F$8:$F$3006),0))),"")</f>
        <v/>
      </c>
      <c r="C1936" s="42" t="str">
        <f>IF(B1936="","",SUMIF(Transactions!$F$8:$F$3006,B1936,Transactions!$H$8:$H$3006))</f>
        <v/>
      </c>
      <c r="D1936" s="43" t="str">
        <f>IF(B1936="","",SUMIF(Transactions!$F$8:$F$3006,B1936,Transactions!$N$8:$N$3006))</f>
        <v/>
      </c>
      <c r="E1936" s="44" t="str">
        <f>IF(B1936="","",SUMIF(Transactions!$F$8:$F$3006,B1936,Transactions!$O$8:$O$3006))</f>
        <v/>
      </c>
      <c r="F1936" s="45" t="str">
        <f>IF(B1936="","",SUMIF(Transactions!$F$8:$F$3006,B1936,Transactions!$R$8:$R$3006))</f>
        <v/>
      </c>
      <c r="G1936" s="46" t="str">
        <f>IF(B1936="","",(C1936+F1936)-(D1936+E1936+SUMIF(Transactions!$F$8:$F$3006,B1936,Transactions!$Q$8:$Q$3006)))</f>
        <v/>
      </c>
      <c r="H1936" s="47" t="str">
        <f>IF(B1936="","",IF(G1936&gt;0,"OUTSTANDING",IF(G1936=0,"SETTLED",IF(SUMIF(Transactions!$F$8:$F$3006,B1936,Transactions!$Q$8:$Q$3006)&gt;SUMIF(Transactions!$F$8:$F$3006,B1936,Transactions!$R$8:$R$3006),"OWES","OVERPAID"))))</f>
        <v/>
      </c>
      <c r="I1936" s="1"/>
    </row>
    <row r="1937" spans="1:9" ht="18" customHeight="1" x14ac:dyDescent="0.25">
      <c r="A1937" s="48">
        <v>1922</v>
      </c>
      <c r="B1937" s="49" t="str">
        <f t="array" ref="B1937">IFERROR(IF(INDEX(Transactions!$F$8:$F$3006,MATCH(0,COUNTIF($B$11:B1936,Transactions!$F$8:$F$3006),0))="","",INDEX(Transactions!$F$8:$F$3006,MATCH(0,COUNTIF($B$11:B1936,Transactions!$F$8:$F$3006),0))),"")</f>
        <v/>
      </c>
      <c r="C1937" s="50" t="str">
        <f>IF(B1937="","",SUMIF(Transactions!$F$8:$F$3006,B1937,Transactions!$H$8:$H$3006))</f>
        <v/>
      </c>
      <c r="D1937" s="51" t="str">
        <f>IF(B1937="","",SUMIF(Transactions!$F$8:$F$3006,B1937,Transactions!$N$8:$N$3006))</f>
        <v/>
      </c>
      <c r="E1937" s="52" t="str">
        <f>IF(B1937="","",SUMIF(Transactions!$F$8:$F$3006,B1937,Transactions!$O$8:$O$3006))</f>
        <v/>
      </c>
      <c r="F1937" s="53" t="str">
        <f>IF(B1937="","",SUMIF(Transactions!$F$8:$F$3006,B1937,Transactions!$R$8:$R$3006))</f>
        <v/>
      </c>
      <c r="G1937" s="54" t="str">
        <f>IF(B1937="","",(C1937+F1937)-(D1937+E1937+SUMIF(Transactions!$F$8:$F$3006,B1937,Transactions!$Q$8:$Q$3006)))</f>
        <v/>
      </c>
      <c r="H1937" s="55" t="str">
        <f>IF(B1937="","",IF(G1937&gt;0,"OUTSTANDING",IF(G1937=0,"SETTLED",IF(SUMIF(Transactions!$F$8:$F$3006,B1937,Transactions!$Q$8:$Q$3006)&gt;SUMIF(Transactions!$F$8:$F$3006,B1937,Transactions!$R$8:$R$3006),"OWES","OVERPAID"))))</f>
        <v/>
      </c>
      <c r="I1937" s="1"/>
    </row>
    <row r="1938" spans="1:9" ht="18" customHeight="1" x14ac:dyDescent="0.25">
      <c r="A1938" s="40">
        <v>1923</v>
      </c>
      <c r="B1938" s="41" t="str">
        <f t="array" ref="B1938">IFERROR(IF(INDEX(Transactions!$F$8:$F$3006,MATCH(0,COUNTIF($B$11:B1937,Transactions!$F$8:$F$3006),0))="","",INDEX(Transactions!$F$8:$F$3006,MATCH(0,COUNTIF($B$11:B1937,Transactions!$F$8:$F$3006),0))),"")</f>
        <v/>
      </c>
      <c r="C1938" s="42" t="str">
        <f>IF(B1938="","",SUMIF(Transactions!$F$8:$F$3006,B1938,Transactions!$H$8:$H$3006))</f>
        <v/>
      </c>
      <c r="D1938" s="43" t="str">
        <f>IF(B1938="","",SUMIF(Transactions!$F$8:$F$3006,B1938,Transactions!$N$8:$N$3006))</f>
        <v/>
      </c>
      <c r="E1938" s="44" t="str">
        <f>IF(B1938="","",SUMIF(Transactions!$F$8:$F$3006,B1938,Transactions!$O$8:$O$3006))</f>
        <v/>
      </c>
      <c r="F1938" s="45" t="str">
        <f>IF(B1938="","",SUMIF(Transactions!$F$8:$F$3006,B1938,Transactions!$R$8:$R$3006))</f>
        <v/>
      </c>
      <c r="G1938" s="46" t="str">
        <f>IF(B1938="","",(C1938+F1938)-(D1938+E1938+SUMIF(Transactions!$F$8:$F$3006,B1938,Transactions!$Q$8:$Q$3006)))</f>
        <v/>
      </c>
      <c r="H1938" s="47" t="str">
        <f>IF(B1938="","",IF(G1938&gt;0,"OUTSTANDING",IF(G1938=0,"SETTLED",IF(SUMIF(Transactions!$F$8:$F$3006,B1938,Transactions!$Q$8:$Q$3006)&gt;SUMIF(Transactions!$F$8:$F$3006,B1938,Transactions!$R$8:$R$3006),"OWES","OVERPAID"))))</f>
        <v/>
      </c>
      <c r="I1938" s="1"/>
    </row>
    <row r="1939" spans="1:9" ht="18" customHeight="1" x14ac:dyDescent="0.25">
      <c r="A1939" s="48">
        <v>1924</v>
      </c>
      <c r="B1939" s="49" t="str">
        <f t="array" ref="B1939">IFERROR(IF(INDEX(Transactions!$F$8:$F$3006,MATCH(0,COUNTIF($B$11:B1938,Transactions!$F$8:$F$3006),0))="","",INDEX(Transactions!$F$8:$F$3006,MATCH(0,COUNTIF($B$11:B1938,Transactions!$F$8:$F$3006),0))),"")</f>
        <v/>
      </c>
      <c r="C1939" s="50" t="str">
        <f>IF(B1939="","",SUMIF(Transactions!$F$8:$F$3006,B1939,Transactions!$H$8:$H$3006))</f>
        <v/>
      </c>
      <c r="D1939" s="51" t="str">
        <f>IF(B1939="","",SUMIF(Transactions!$F$8:$F$3006,B1939,Transactions!$N$8:$N$3006))</f>
        <v/>
      </c>
      <c r="E1939" s="52" t="str">
        <f>IF(B1939="","",SUMIF(Transactions!$F$8:$F$3006,B1939,Transactions!$O$8:$O$3006))</f>
        <v/>
      </c>
      <c r="F1939" s="53" t="str">
        <f>IF(B1939="","",SUMIF(Transactions!$F$8:$F$3006,B1939,Transactions!$R$8:$R$3006))</f>
        <v/>
      </c>
      <c r="G1939" s="54" t="str">
        <f>IF(B1939="","",(C1939+F1939)-(D1939+E1939+SUMIF(Transactions!$F$8:$F$3006,B1939,Transactions!$Q$8:$Q$3006)))</f>
        <v/>
      </c>
      <c r="H1939" s="55" t="str">
        <f>IF(B1939="","",IF(G1939&gt;0,"OUTSTANDING",IF(G1939=0,"SETTLED",IF(SUMIF(Transactions!$F$8:$F$3006,B1939,Transactions!$Q$8:$Q$3006)&gt;SUMIF(Transactions!$F$8:$F$3006,B1939,Transactions!$R$8:$R$3006),"OWES","OVERPAID"))))</f>
        <v/>
      </c>
      <c r="I1939" s="1"/>
    </row>
    <row r="1940" spans="1:9" ht="18" customHeight="1" x14ac:dyDescent="0.25">
      <c r="A1940" s="40">
        <v>1925</v>
      </c>
      <c r="B1940" s="41" t="str">
        <f t="array" ref="B1940">IFERROR(IF(INDEX(Transactions!$F$8:$F$3006,MATCH(0,COUNTIF($B$11:B1939,Transactions!$F$8:$F$3006),0))="","",INDEX(Transactions!$F$8:$F$3006,MATCH(0,COUNTIF($B$11:B1939,Transactions!$F$8:$F$3006),0))),"")</f>
        <v/>
      </c>
      <c r="C1940" s="42" t="str">
        <f>IF(B1940="","",SUMIF(Transactions!$F$8:$F$3006,B1940,Transactions!$H$8:$H$3006))</f>
        <v/>
      </c>
      <c r="D1940" s="43" t="str">
        <f>IF(B1940="","",SUMIF(Transactions!$F$8:$F$3006,B1940,Transactions!$N$8:$N$3006))</f>
        <v/>
      </c>
      <c r="E1940" s="44" t="str">
        <f>IF(B1940="","",SUMIF(Transactions!$F$8:$F$3006,B1940,Transactions!$O$8:$O$3006))</f>
        <v/>
      </c>
      <c r="F1940" s="45" t="str">
        <f>IF(B1940="","",SUMIF(Transactions!$F$8:$F$3006,B1940,Transactions!$R$8:$R$3006))</f>
        <v/>
      </c>
      <c r="G1940" s="46" t="str">
        <f>IF(B1940="","",(C1940+F1940)-(D1940+E1940+SUMIF(Transactions!$F$8:$F$3006,B1940,Transactions!$Q$8:$Q$3006)))</f>
        <v/>
      </c>
      <c r="H1940" s="47" t="str">
        <f>IF(B1940="","",IF(G1940&gt;0,"OUTSTANDING",IF(G1940=0,"SETTLED",IF(SUMIF(Transactions!$F$8:$F$3006,B1940,Transactions!$Q$8:$Q$3006)&gt;SUMIF(Transactions!$F$8:$F$3006,B1940,Transactions!$R$8:$R$3006),"OWES","OVERPAID"))))</f>
        <v/>
      </c>
      <c r="I1940" s="1"/>
    </row>
    <row r="1941" spans="1:9" ht="18" customHeight="1" x14ac:dyDescent="0.25">
      <c r="A1941" s="48">
        <v>1926</v>
      </c>
      <c r="B1941" s="49" t="str">
        <f t="array" ref="B1941">IFERROR(IF(INDEX(Transactions!$F$8:$F$3006,MATCH(0,COUNTIF($B$11:B1940,Transactions!$F$8:$F$3006),0))="","",INDEX(Transactions!$F$8:$F$3006,MATCH(0,COUNTIF($B$11:B1940,Transactions!$F$8:$F$3006),0))),"")</f>
        <v/>
      </c>
      <c r="C1941" s="50" t="str">
        <f>IF(B1941="","",SUMIF(Transactions!$F$8:$F$3006,B1941,Transactions!$H$8:$H$3006))</f>
        <v/>
      </c>
      <c r="D1941" s="51" t="str">
        <f>IF(B1941="","",SUMIF(Transactions!$F$8:$F$3006,B1941,Transactions!$N$8:$N$3006))</f>
        <v/>
      </c>
      <c r="E1941" s="52" t="str">
        <f>IF(B1941="","",SUMIF(Transactions!$F$8:$F$3006,B1941,Transactions!$O$8:$O$3006))</f>
        <v/>
      </c>
      <c r="F1941" s="53" t="str">
        <f>IF(B1941="","",SUMIF(Transactions!$F$8:$F$3006,B1941,Transactions!$R$8:$R$3006))</f>
        <v/>
      </c>
      <c r="G1941" s="54" t="str">
        <f>IF(B1941="","",(C1941+F1941)-(D1941+E1941+SUMIF(Transactions!$F$8:$F$3006,B1941,Transactions!$Q$8:$Q$3006)))</f>
        <v/>
      </c>
      <c r="H1941" s="55" t="str">
        <f>IF(B1941="","",IF(G1941&gt;0,"OUTSTANDING",IF(G1941=0,"SETTLED",IF(SUMIF(Transactions!$F$8:$F$3006,B1941,Transactions!$Q$8:$Q$3006)&gt;SUMIF(Transactions!$F$8:$F$3006,B1941,Transactions!$R$8:$R$3006),"OWES","OVERPAID"))))</f>
        <v/>
      </c>
      <c r="I1941" s="1"/>
    </row>
    <row r="1942" spans="1:9" ht="18" customHeight="1" x14ac:dyDescent="0.25">
      <c r="A1942" s="40">
        <v>1927</v>
      </c>
      <c r="B1942" s="41" t="str">
        <f t="array" ref="B1942">IFERROR(IF(INDEX(Transactions!$F$8:$F$3006,MATCH(0,COUNTIF($B$11:B1941,Transactions!$F$8:$F$3006),0))="","",INDEX(Transactions!$F$8:$F$3006,MATCH(0,COUNTIF($B$11:B1941,Transactions!$F$8:$F$3006),0))),"")</f>
        <v/>
      </c>
      <c r="C1942" s="42" t="str">
        <f>IF(B1942="","",SUMIF(Transactions!$F$8:$F$3006,B1942,Transactions!$H$8:$H$3006))</f>
        <v/>
      </c>
      <c r="D1942" s="43" t="str">
        <f>IF(B1942="","",SUMIF(Transactions!$F$8:$F$3006,B1942,Transactions!$N$8:$N$3006))</f>
        <v/>
      </c>
      <c r="E1942" s="44" t="str">
        <f>IF(B1942="","",SUMIF(Transactions!$F$8:$F$3006,B1942,Transactions!$O$8:$O$3006))</f>
        <v/>
      </c>
      <c r="F1942" s="45" t="str">
        <f>IF(B1942="","",SUMIF(Transactions!$F$8:$F$3006,B1942,Transactions!$R$8:$R$3006))</f>
        <v/>
      </c>
      <c r="G1942" s="46" t="str">
        <f>IF(B1942="","",(C1942+F1942)-(D1942+E1942+SUMIF(Transactions!$F$8:$F$3006,B1942,Transactions!$Q$8:$Q$3006)))</f>
        <v/>
      </c>
      <c r="H1942" s="47" t="str">
        <f>IF(B1942="","",IF(G1942&gt;0,"OUTSTANDING",IF(G1942=0,"SETTLED",IF(SUMIF(Transactions!$F$8:$F$3006,B1942,Transactions!$Q$8:$Q$3006)&gt;SUMIF(Transactions!$F$8:$F$3006,B1942,Transactions!$R$8:$R$3006),"OWES","OVERPAID"))))</f>
        <v/>
      </c>
      <c r="I1942" s="1"/>
    </row>
    <row r="1943" spans="1:9" ht="18" customHeight="1" x14ac:dyDescent="0.25">
      <c r="A1943" s="48">
        <v>1928</v>
      </c>
      <c r="B1943" s="49" t="str">
        <f t="array" ref="B1943">IFERROR(IF(INDEX(Transactions!$F$8:$F$3006,MATCH(0,COUNTIF($B$11:B1942,Transactions!$F$8:$F$3006),0))="","",INDEX(Transactions!$F$8:$F$3006,MATCH(0,COUNTIF($B$11:B1942,Transactions!$F$8:$F$3006),0))),"")</f>
        <v/>
      </c>
      <c r="C1943" s="50" t="str">
        <f>IF(B1943="","",SUMIF(Transactions!$F$8:$F$3006,B1943,Transactions!$H$8:$H$3006))</f>
        <v/>
      </c>
      <c r="D1943" s="51" t="str">
        <f>IF(B1943="","",SUMIF(Transactions!$F$8:$F$3006,B1943,Transactions!$N$8:$N$3006))</f>
        <v/>
      </c>
      <c r="E1943" s="52" t="str">
        <f>IF(B1943="","",SUMIF(Transactions!$F$8:$F$3006,B1943,Transactions!$O$8:$O$3006))</f>
        <v/>
      </c>
      <c r="F1943" s="53" t="str">
        <f>IF(B1943="","",SUMIF(Transactions!$F$8:$F$3006,B1943,Transactions!$R$8:$R$3006))</f>
        <v/>
      </c>
      <c r="G1943" s="54" t="str">
        <f>IF(B1943="","",(C1943+F1943)-(D1943+E1943+SUMIF(Transactions!$F$8:$F$3006,B1943,Transactions!$Q$8:$Q$3006)))</f>
        <v/>
      </c>
      <c r="H1943" s="55" t="str">
        <f>IF(B1943="","",IF(G1943&gt;0,"OUTSTANDING",IF(G1943=0,"SETTLED",IF(SUMIF(Transactions!$F$8:$F$3006,B1943,Transactions!$Q$8:$Q$3006)&gt;SUMIF(Transactions!$F$8:$F$3006,B1943,Transactions!$R$8:$R$3006),"OWES","OVERPAID"))))</f>
        <v/>
      </c>
      <c r="I1943" s="1"/>
    </row>
    <row r="1944" spans="1:9" ht="18" customHeight="1" x14ac:dyDescent="0.25">
      <c r="A1944" s="40">
        <v>1929</v>
      </c>
      <c r="B1944" s="41" t="str">
        <f t="array" ref="B1944">IFERROR(IF(INDEX(Transactions!$F$8:$F$3006,MATCH(0,COUNTIF($B$11:B1943,Transactions!$F$8:$F$3006),0))="","",INDEX(Transactions!$F$8:$F$3006,MATCH(0,COUNTIF($B$11:B1943,Transactions!$F$8:$F$3006),0))),"")</f>
        <v/>
      </c>
      <c r="C1944" s="42" t="str">
        <f>IF(B1944="","",SUMIF(Transactions!$F$8:$F$3006,B1944,Transactions!$H$8:$H$3006))</f>
        <v/>
      </c>
      <c r="D1944" s="43" t="str">
        <f>IF(B1944="","",SUMIF(Transactions!$F$8:$F$3006,B1944,Transactions!$N$8:$N$3006))</f>
        <v/>
      </c>
      <c r="E1944" s="44" t="str">
        <f>IF(B1944="","",SUMIF(Transactions!$F$8:$F$3006,B1944,Transactions!$O$8:$O$3006))</f>
        <v/>
      </c>
      <c r="F1944" s="45" t="str">
        <f>IF(B1944="","",SUMIF(Transactions!$F$8:$F$3006,B1944,Transactions!$R$8:$R$3006))</f>
        <v/>
      </c>
      <c r="G1944" s="46" t="str">
        <f>IF(B1944="","",(C1944+F1944)-(D1944+E1944+SUMIF(Transactions!$F$8:$F$3006,B1944,Transactions!$Q$8:$Q$3006)))</f>
        <v/>
      </c>
      <c r="H1944" s="47" t="str">
        <f>IF(B1944="","",IF(G1944&gt;0,"OUTSTANDING",IF(G1944=0,"SETTLED",IF(SUMIF(Transactions!$F$8:$F$3006,B1944,Transactions!$Q$8:$Q$3006)&gt;SUMIF(Transactions!$F$8:$F$3006,B1944,Transactions!$R$8:$R$3006),"OWES","OVERPAID"))))</f>
        <v/>
      </c>
      <c r="I1944" s="1"/>
    </row>
    <row r="1945" spans="1:9" ht="18" customHeight="1" x14ac:dyDescent="0.25">
      <c r="A1945" s="48">
        <v>1930</v>
      </c>
      <c r="B1945" s="49" t="str">
        <f t="array" ref="B1945">IFERROR(IF(INDEX(Transactions!$F$8:$F$3006,MATCH(0,COUNTIF($B$11:B1944,Transactions!$F$8:$F$3006),0))="","",INDEX(Transactions!$F$8:$F$3006,MATCH(0,COUNTIF($B$11:B1944,Transactions!$F$8:$F$3006),0))),"")</f>
        <v/>
      </c>
      <c r="C1945" s="50" t="str">
        <f>IF(B1945="","",SUMIF(Transactions!$F$8:$F$3006,B1945,Transactions!$H$8:$H$3006))</f>
        <v/>
      </c>
      <c r="D1945" s="51" t="str">
        <f>IF(B1945="","",SUMIF(Transactions!$F$8:$F$3006,B1945,Transactions!$N$8:$N$3006))</f>
        <v/>
      </c>
      <c r="E1945" s="52" t="str">
        <f>IF(B1945="","",SUMIF(Transactions!$F$8:$F$3006,B1945,Transactions!$O$8:$O$3006))</f>
        <v/>
      </c>
      <c r="F1945" s="53" t="str">
        <f>IF(B1945="","",SUMIF(Transactions!$F$8:$F$3006,B1945,Transactions!$R$8:$R$3006))</f>
        <v/>
      </c>
      <c r="G1945" s="54" t="str">
        <f>IF(B1945="","",(C1945+F1945)-(D1945+E1945+SUMIF(Transactions!$F$8:$F$3006,B1945,Transactions!$Q$8:$Q$3006)))</f>
        <v/>
      </c>
      <c r="H1945" s="55" t="str">
        <f>IF(B1945="","",IF(G1945&gt;0,"OUTSTANDING",IF(G1945=0,"SETTLED",IF(SUMIF(Transactions!$F$8:$F$3006,B1945,Transactions!$Q$8:$Q$3006)&gt;SUMIF(Transactions!$F$8:$F$3006,B1945,Transactions!$R$8:$R$3006),"OWES","OVERPAID"))))</f>
        <v/>
      </c>
      <c r="I1945" s="1"/>
    </row>
    <row r="1946" spans="1:9" ht="18" customHeight="1" x14ac:dyDescent="0.25">
      <c r="A1946" s="40">
        <v>1931</v>
      </c>
      <c r="B1946" s="41" t="str">
        <f t="array" ref="B1946">IFERROR(IF(INDEX(Transactions!$F$8:$F$3006,MATCH(0,COUNTIF($B$11:B1945,Transactions!$F$8:$F$3006),0))="","",INDEX(Transactions!$F$8:$F$3006,MATCH(0,COUNTIF($B$11:B1945,Transactions!$F$8:$F$3006),0))),"")</f>
        <v/>
      </c>
      <c r="C1946" s="42" t="str">
        <f>IF(B1946="","",SUMIF(Transactions!$F$8:$F$3006,B1946,Transactions!$H$8:$H$3006))</f>
        <v/>
      </c>
      <c r="D1946" s="43" t="str">
        <f>IF(B1946="","",SUMIF(Transactions!$F$8:$F$3006,B1946,Transactions!$N$8:$N$3006))</f>
        <v/>
      </c>
      <c r="E1946" s="44" t="str">
        <f>IF(B1946="","",SUMIF(Transactions!$F$8:$F$3006,B1946,Transactions!$O$8:$O$3006))</f>
        <v/>
      </c>
      <c r="F1946" s="45" t="str">
        <f>IF(B1946="","",SUMIF(Transactions!$F$8:$F$3006,B1946,Transactions!$R$8:$R$3006))</f>
        <v/>
      </c>
      <c r="G1946" s="46" t="str">
        <f>IF(B1946="","",(C1946+F1946)-(D1946+E1946+SUMIF(Transactions!$F$8:$F$3006,B1946,Transactions!$Q$8:$Q$3006)))</f>
        <v/>
      </c>
      <c r="H1946" s="47" t="str">
        <f>IF(B1946="","",IF(G1946&gt;0,"OUTSTANDING",IF(G1946=0,"SETTLED",IF(SUMIF(Transactions!$F$8:$F$3006,B1946,Transactions!$Q$8:$Q$3006)&gt;SUMIF(Transactions!$F$8:$F$3006,B1946,Transactions!$R$8:$R$3006),"OWES","OVERPAID"))))</f>
        <v/>
      </c>
      <c r="I1946" s="1"/>
    </row>
    <row r="1947" spans="1:9" ht="18" customHeight="1" x14ac:dyDescent="0.25">
      <c r="A1947" s="48">
        <v>1932</v>
      </c>
      <c r="B1947" s="49" t="str">
        <f t="array" ref="B1947">IFERROR(IF(INDEX(Transactions!$F$8:$F$3006,MATCH(0,COUNTIF($B$11:B1946,Transactions!$F$8:$F$3006),0))="","",INDEX(Transactions!$F$8:$F$3006,MATCH(0,COUNTIF($B$11:B1946,Transactions!$F$8:$F$3006),0))),"")</f>
        <v/>
      </c>
      <c r="C1947" s="50" t="str">
        <f>IF(B1947="","",SUMIF(Transactions!$F$8:$F$3006,B1947,Transactions!$H$8:$H$3006))</f>
        <v/>
      </c>
      <c r="D1947" s="51" t="str">
        <f>IF(B1947="","",SUMIF(Transactions!$F$8:$F$3006,B1947,Transactions!$N$8:$N$3006))</f>
        <v/>
      </c>
      <c r="E1947" s="52" t="str">
        <f>IF(B1947="","",SUMIF(Transactions!$F$8:$F$3006,B1947,Transactions!$O$8:$O$3006))</f>
        <v/>
      </c>
      <c r="F1947" s="53" t="str">
        <f>IF(B1947="","",SUMIF(Transactions!$F$8:$F$3006,B1947,Transactions!$R$8:$R$3006))</f>
        <v/>
      </c>
      <c r="G1947" s="54" t="str">
        <f>IF(B1947="","",(C1947+F1947)-(D1947+E1947+SUMIF(Transactions!$F$8:$F$3006,B1947,Transactions!$Q$8:$Q$3006)))</f>
        <v/>
      </c>
      <c r="H1947" s="55" t="str">
        <f>IF(B1947="","",IF(G1947&gt;0,"OUTSTANDING",IF(G1947=0,"SETTLED",IF(SUMIF(Transactions!$F$8:$F$3006,B1947,Transactions!$Q$8:$Q$3006)&gt;SUMIF(Transactions!$F$8:$F$3006,B1947,Transactions!$R$8:$R$3006),"OWES","OVERPAID"))))</f>
        <v/>
      </c>
      <c r="I1947" s="1"/>
    </row>
    <row r="1948" spans="1:9" ht="18" customHeight="1" x14ac:dyDescent="0.25">
      <c r="A1948" s="40">
        <v>1933</v>
      </c>
      <c r="B1948" s="41" t="str">
        <f t="array" ref="B1948">IFERROR(IF(INDEX(Transactions!$F$8:$F$3006,MATCH(0,COUNTIF($B$11:B1947,Transactions!$F$8:$F$3006),0))="","",INDEX(Transactions!$F$8:$F$3006,MATCH(0,COUNTIF($B$11:B1947,Transactions!$F$8:$F$3006),0))),"")</f>
        <v/>
      </c>
      <c r="C1948" s="42" t="str">
        <f>IF(B1948="","",SUMIF(Transactions!$F$8:$F$3006,B1948,Transactions!$H$8:$H$3006))</f>
        <v/>
      </c>
      <c r="D1948" s="43" t="str">
        <f>IF(B1948="","",SUMIF(Transactions!$F$8:$F$3006,B1948,Transactions!$N$8:$N$3006))</f>
        <v/>
      </c>
      <c r="E1948" s="44" t="str">
        <f>IF(B1948="","",SUMIF(Transactions!$F$8:$F$3006,B1948,Transactions!$O$8:$O$3006))</f>
        <v/>
      </c>
      <c r="F1948" s="45" t="str">
        <f>IF(B1948="","",SUMIF(Transactions!$F$8:$F$3006,B1948,Transactions!$R$8:$R$3006))</f>
        <v/>
      </c>
      <c r="G1948" s="46" t="str">
        <f>IF(B1948="","",(C1948+F1948)-(D1948+E1948+SUMIF(Transactions!$F$8:$F$3006,B1948,Transactions!$Q$8:$Q$3006)))</f>
        <v/>
      </c>
      <c r="H1948" s="47" t="str">
        <f>IF(B1948="","",IF(G1948&gt;0,"OUTSTANDING",IF(G1948=0,"SETTLED",IF(SUMIF(Transactions!$F$8:$F$3006,B1948,Transactions!$Q$8:$Q$3006)&gt;SUMIF(Transactions!$F$8:$F$3006,B1948,Transactions!$R$8:$R$3006),"OWES","OVERPAID"))))</f>
        <v/>
      </c>
      <c r="I1948" s="1"/>
    </row>
    <row r="1949" spans="1:9" ht="18" customHeight="1" x14ac:dyDescent="0.25">
      <c r="A1949" s="48">
        <v>1934</v>
      </c>
      <c r="B1949" s="49" t="str">
        <f t="array" ref="B1949">IFERROR(IF(INDEX(Transactions!$F$8:$F$3006,MATCH(0,COUNTIF($B$11:B1948,Transactions!$F$8:$F$3006),0))="","",INDEX(Transactions!$F$8:$F$3006,MATCH(0,COUNTIF($B$11:B1948,Transactions!$F$8:$F$3006),0))),"")</f>
        <v/>
      </c>
      <c r="C1949" s="50" t="str">
        <f>IF(B1949="","",SUMIF(Transactions!$F$8:$F$3006,B1949,Transactions!$H$8:$H$3006))</f>
        <v/>
      </c>
      <c r="D1949" s="51" t="str">
        <f>IF(B1949="","",SUMIF(Transactions!$F$8:$F$3006,B1949,Transactions!$N$8:$N$3006))</f>
        <v/>
      </c>
      <c r="E1949" s="52" t="str">
        <f>IF(B1949="","",SUMIF(Transactions!$F$8:$F$3006,B1949,Transactions!$O$8:$O$3006))</f>
        <v/>
      </c>
      <c r="F1949" s="53" t="str">
        <f>IF(B1949="","",SUMIF(Transactions!$F$8:$F$3006,B1949,Transactions!$R$8:$R$3006))</f>
        <v/>
      </c>
      <c r="G1949" s="54" t="str">
        <f>IF(B1949="","",(C1949+F1949)-(D1949+E1949+SUMIF(Transactions!$F$8:$F$3006,B1949,Transactions!$Q$8:$Q$3006)))</f>
        <v/>
      </c>
      <c r="H1949" s="55" t="str">
        <f>IF(B1949="","",IF(G1949&gt;0,"OUTSTANDING",IF(G1949=0,"SETTLED",IF(SUMIF(Transactions!$F$8:$F$3006,B1949,Transactions!$Q$8:$Q$3006)&gt;SUMIF(Transactions!$F$8:$F$3006,B1949,Transactions!$R$8:$R$3006),"OWES","OVERPAID"))))</f>
        <v/>
      </c>
      <c r="I1949" s="1"/>
    </row>
    <row r="1950" spans="1:9" ht="18" customHeight="1" x14ac:dyDescent="0.25">
      <c r="A1950" s="40">
        <v>1935</v>
      </c>
      <c r="B1950" s="41" t="str">
        <f t="array" ref="B1950">IFERROR(IF(INDEX(Transactions!$F$8:$F$3006,MATCH(0,COUNTIF($B$11:B1949,Transactions!$F$8:$F$3006),0))="","",INDEX(Transactions!$F$8:$F$3006,MATCH(0,COUNTIF($B$11:B1949,Transactions!$F$8:$F$3006),0))),"")</f>
        <v/>
      </c>
      <c r="C1950" s="42" t="str">
        <f>IF(B1950="","",SUMIF(Transactions!$F$8:$F$3006,B1950,Transactions!$H$8:$H$3006))</f>
        <v/>
      </c>
      <c r="D1950" s="43" t="str">
        <f>IF(B1950="","",SUMIF(Transactions!$F$8:$F$3006,B1950,Transactions!$N$8:$N$3006))</f>
        <v/>
      </c>
      <c r="E1950" s="44" t="str">
        <f>IF(B1950="","",SUMIF(Transactions!$F$8:$F$3006,B1950,Transactions!$O$8:$O$3006))</f>
        <v/>
      </c>
      <c r="F1950" s="45" t="str">
        <f>IF(B1950="","",SUMIF(Transactions!$F$8:$F$3006,B1950,Transactions!$R$8:$R$3006))</f>
        <v/>
      </c>
      <c r="G1950" s="46" t="str">
        <f>IF(B1950="","",(C1950+F1950)-(D1950+E1950+SUMIF(Transactions!$F$8:$F$3006,B1950,Transactions!$Q$8:$Q$3006)))</f>
        <v/>
      </c>
      <c r="H1950" s="47" t="str">
        <f>IF(B1950="","",IF(G1950&gt;0,"OUTSTANDING",IF(G1950=0,"SETTLED",IF(SUMIF(Transactions!$F$8:$F$3006,B1950,Transactions!$Q$8:$Q$3006)&gt;SUMIF(Transactions!$F$8:$F$3006,B1950,Transactions!$R$8:$R$3006),"OWES","OVERPAID"))))</f>
        <v/>
      </c>
      <c r="I1950" s="1"/>
    </row>
    <row r="1951" spans="1:9" ht="18" customHeight="1" x14ac:dyDescent="0.25">
      <c r="A1951" s="48">
        <v>1936</v>
      </c>
      <c r="B1951" s="49" t="str">
        <f t="array" ref="B1951">IFERROR(IF(INDEX(Transactions!$F$8:$F$3006,MATCH(0,COUNTIF($B$11:B1950,Transactions!$F$8:$F$3006),0))="","",INDEX(Transactions!$F$8:$F$3006,MATCH(0,COUNTIF($B$11:B1950,Transactions!$F$8:$F$3006),0))),"")</f>
        <v/>
      </c>
      <c r="C1951" s="50" t="str">
        <f>IF(B1951="","",SUMIF(Transactions!$F$8:$F$3006,B1951,Transactions!$H$8:$H$3006))</f>
        <v/>
      </c>
      <c r="D1951" s="51" t="str">
        <f>IF(B1951="","",SUMIF(Transactions!$F$8:$F$3006,B1951,Transactions!$N$8:$N$3006))</f>
        <v/>
      </c>
      <c r="E1951" s="52" t="str">
        <f>IF(B1951="","",SUMIF(Transactions!$F$8:$F$3006,B1951,Transactions!$O$8:$O$3006))</f>
        <v/>
      </c>
      <c r="F1951" s="53" t="str">
        <f>IF(B1951="","",SUMIF(Transactions!$F$8:$F$3006,B1951,Transactions!$R$8:$R$3006))</f>
        <v/>
      </c>
      <c r="G1951" s="54" t="str">
        <f>IF(B1951="","",(C1951+F1951)-(D1951+E1951+SUMIF(Transactions!$F$8:$F$3006,B1951,Transactions!$Q$8:$Q$3006)))</f>
        <v/>
      </c>
      <c r="H1951" s="55" t="str">
        <f>IF(B1951="","",IF(G1951&gt;0,"OUTSTANDING",IF(G1951=0,"SETTLED",IF(SUMIF(Transactions!$F$8:$F$3006,B1951,Transactions!$Q$8:$Q$3006)&gt;SUMIF(Transactions!$F$8:$F$3006,B1951,Transactions!$R$8:$R$3006),"OWES","OVERPAID"))))</f>
        <v/>
      </c>
      <c r="I1951" s="1"/>
    </row>
    <row r="1952" spans="1:9" ht="18" customHeight="1" x14ac:dyDescent="0.25">
      <c r="A1952" s="40">
        <v>1937</v>
      </c>
      <c r="B1952" s="41" t="str">
        <f t="array" ref="B1952">IFERROR(IF(INDEX(Transactions!$F$8:$F$3006,MATCH(0,COUNTIF($B$11:B1951,Transactions!$F$8:$F$3006),0))="","",INDEX(Transactions!$F$8:$F$3006,MATCH(0,COUNTIF($B$11:B1951,Transactions!$F$8:$F$3006),0))),"")</f>
        <v/>
      </c>
      <c r="C1952" s="42" t="str">
        <f>IF(B1952="","",SUMIF(Transactions!$F$8:$F$3006,B1952,Transactions!$H$8:$H$3006))</f>
        <v/>
      </c>
      <c r="D1952" s="43" t="str">
        <f>IF(B1952="","",SUMIF(Transactions!$F$8:$F$3006,B1952,Transactions!$N$8:$N$3006))</f>
        <v/>
      </c>
      <c r="E1952" s="44" t="str">
        <f>IF(B1952="","",SUMIF(Transactions!$F$8:$F$3006,B1952,Transactions!$O$8:$O$3006))</f>
        <v/>
      </c>
      <c r="F1952" s="45" t="str">
        <f>IF(B1952="","",SUMIF(Transactions!$F$8:$F$3006,B1952,Transactions!$R$8:$R$3006))</f>
        <v/>
      </c>
      <c r="G1952" s="46" t="str">
        <f>IF(B1952="","",(C1952+F1952)-(D1952+E1952+SUMIF(Transactions!$F$8:$F$3006,B1952,Transactions!$Q$8:$Q$3006)))</f>
        <v/>
      </c>
      <c r="H1952" s="47" t="str">
        <f>IF(B1952="","",IF(G1952&gt;0,"OUTSTANDING",IF(G1952=0,"SETTLED",IF(SUMIF(Transactions!$F$8:$F$3006,B1952,Transactions!$Q$8:$Q$3006)&gt;SUMIF(Transactions!$F$8:$F$3006,B1952,Transactions!$R$8:$R$3006),"OWES","OVERPAID"))))</f>
        <v/>
      </c>
      <c r="I1952" s="1"/>
    </row>
    <row r="1953" spans="1:9" ht="18" customHeight="1" x14ac:dyDescent="0.25">
      <c r="A1953" s="48">
        <v>1938</v>
      </c>
      <c r="B1953" s="49" t="str">
        <f t="array" ref="B1953">IFERROR(IF(INDEX(Transactions!$F$8:$F$3006,MATCH(0,COUNTIF($B$11:B1952,Transactions!$F$8:$F$3006),0))="","",INDEX(Transactions!$F$8:$F$3006,MATCH(0,COUNTIF($B$11:B1952,Transactions!$F$8:$F$3006),0))),"")</f>
        <v/>
      </c>
      <c r="C1953" s="50" t="str">
        <f>IF(B1953="","",SUMIF(Transactions!$F$8:$F$3006,B1953,Transactions!$H$8:$H$3006))</f>
        <v/>
      </c>
      <c r="D1953" s="51" t="str">
        <f>IF(B1953="","",SUMIF(Transactions!$F$8:$F$3006,B1953,Transactions!$N$8:$N$3006))</f>
        <v/>
      </c>
      <c r="E1953" s="52" t="str">
        <f>IF(B1953="","",SUMIF(Transactions!$F$8:$F$3006,B1953,Transactions!$O$8:$O$3006))</f>
        <v/>
      </c>
      <c r="F1953" s="53" t="str">
        <f>IF(B1953="","",SUMIF(Transactions!$F$8:$F$3006,B1953,Transactions!$R$8:$R$3006))</f>
        <v/>
      </c>
      <c r="G1953" s="54" t="str">
        <f>IF(B1953="","",(C1953+F1953)-(D1953+E1953+SUMIF(Transactions!$F$8:$F$3006,B1953,Transactions!$Q$8:$Q$3006)))</f>
        <v/>
      </c>
      <c r="H1953" s="55" t="str">
        <f>IF(B1953="","",IF(G1953&gt;0,"OUTSTANDING",IF(G1953=0,"SETTLED",IF(SUMIF(Transactions!$F$8:$F$3006,B1953,Transactions!$Q$8:$Q$3006)&gt;SUMIF(Transactions!$F$8:$F$3006,B1953,Transactions!$R$8:$R$3006),"OWES","OVERPAID"))))</f>
        <v/>
      </c>
      <c r="I1953" s="1"/>
    </row>
    <row r="1954" spans="1:9" ht="18" customHeight="1" x14ac:dyDescent="0.25">
      <c r="A1954" s="40">
        <v>1939</v>
      </c>
      <c r="B1954" s="41" t="str">
        <f t="array" ref="B1954">IFERROR(IF(INDEX(Transactions!$F$8:$F$3006,MATCH(0,COUNTIF($B$11:B1953,Transactions!$F$8:$F$3006),0))="","",INDEX(Transactions!$F$8:$F$3006,MATCH(0,COUNTIF($B$11:B1953,Transactions!$F$8:$F$3006),0))),"")</f>
        <v/>
      </c>
      <c r="C1954" s="42" t="str">
        <f>IF(B1954="","",SUMIF(Transactions!$F$8:$F$3006,B1954,Transactions!$H$8:$H$3006))</f>
        <v/>
      </c>
      <c r="D1954" s="43" t="str">
        <f>IF(B1954="","",SUMIF(Transactions!$F$8:$F$3006,B1954,Transactions!$N$8:$N$3006))</f>
        <v/>
      </c>
      <c r="E1954" s="44" t="str">
        <f>IF(B1954="","",SUMIF(Transactions!$F$8:$F$3006,B1954,Transactions!$O$8:$O$3006))</f>
        <v/>
      </c>
      <c r="F1954" s="45" t="str">
        <f>IF(B1954="","",SUMIF(Transactions!$F$8:$F$3006,B1954,Transactions!$R$8:$R$3006))</f>
        <v/>
      </c>
      <c r="G1954" s="46" t="str">
        <f>IF(B1954="","",(C1954+F1954)-(D1954+E1954+SUMIF(Transactions!$F$8:$F$3006,B1954,Transactions!$Q$8:$Q$3006)))</f>
        <v/>
      </c>
      <c r="H1954" s="47" t="str">
        <f>IF(B1954="","",IF(G1954&gt;0,"OUTSTANDING",IF(G1954=0,"SETTLED",IF(SUMIF(Transactions!$F$8:$F$3006,B1954,Transactions!$Q$8:$Q$3006)&gt;SUMIF(Transactions!$F$8:$F$3006,B1954,Transactions!$R$8:$R$3006),"OWES","OVERPAID"))))</f>
        <v/>
      </c>
      <c r="I1954" s="1"/>
    </row>
    <row r="1955" spans="1:9" ht="18" customHeight="1" x14ac:dyDescent="0.25">
      <c r="A1955" s="48">
        <v>1940</v>
      </c>
      <c r="B1955" s="49" t="str">
        <f t="array" ref="B1955">IFERROR(IF(INDEX(Transactions!$F$8:$F$3006,MATCH(0,COUNTIF($B$11:B1954,Transactions!$F$8:$F$3006),0))="","",INDEX(Transactions!$F$8:$F$3006,MATCH(0,COUNTIF($B$11:B1954,Transactions!$F$8:$F$3006),0))),"")</f>
        <v/>
      </c>
      <c r="C1955" s="50" t="str">
        <f>IF(B1955="","",SUMIF(Transactions!$F$8:$F$3006,B1955,Transactions!$H$8:$H$3006))</f>
        <v/>
      </c>
      <c r="D1955" s="51" t="str">
        <f>IF(B1955="","",SUMIF(Transactions!$F$8:$F$3006,B1955,Transactions!$N$8:$N$3006))</f>
        <v/>
      </c>
      <c r="E1955" s="52" t="str">
        <f>IF(B1955="","",SUMIF(Transactions!$F$8:$F$3006,B1955,Transactions!$O$8:$O$3006))</f>
        <v/>
      </c>
      <c r="F1955" s="53" t="str">
        <f>IF(B1955="","",SUMIF(Transactions!$F$8:$F$3006,B1955,Transactions!$R$8:$R$3006))</f>
        <v/>
      </c>
      <c r="G1955" s="54" t="str">
        <f>IF(B1955="","",(C1955+F1955)-(D1955+E1955+SUMIF(Transactions!$F$8:$F$3006,B1955,Transactions!$Q$8:$Q$3006)))</f>
        <v/>
      </c>
      <c r="H1955" s="55" t="str">
        <f>IF(B1955="","",IF(G1955&gt;0,"OUTSTANDING",IF(G1955=0,"SETTLED",IF(SUMIF(Transactions!$F$8:$F$3006,B1955,Transactions!$Q$8:$Q$3006)&gt;SUMIF(Transactions!$F$8:$F$3006,B1955,Transactions!$R$8:$R$3006),"OWES","OVERPAID"))))</f>
        <v/>
      </c>
      <c r="I1955" s="1"/>
    </row>
    <row r="1956" spans="1:9" ht="18" customHeight="1" x14ac:dyDescent="0.25">
      <c r="A1956" s="40">
        <v>1941</v>
      </c>
      <c r="B1956" s="41" t="str">
        <f t="array" ref="B1956">IFERROR(IF(INDEX(Transactions!$F$8:$F$3006,MATCH(0,COUNTIF($B$11:B1955,Transactions!$F$8:$F$3006),0))="","",INDEX(Transactions!$F$8:$F$3006,MATCH(0,COUNTIF($B$11:B1955,Transactions!$F$8:$F$3006),0))),"")</f>
        <v/>
      </c>
      <c r="C1956" s="42" t="str">
        <f>IF(B1956="","",SUMIF(Transactions!$F$8:$F$3006,B1956,Transactions!$H$8:$H$3006))</f>
        <v/>
      </c>
      <c r="D1956" s="43" t="str">
        <f>IF(B1956="","",SUMIF(Transactions!$F$8:$F$3006,B1956,Transactions!$N$8:$N$3006))</f>
        <v/>
      </c>
      <c r="E1956" s="44" t="str">
        <f>IF(B1956="","",SUMIF(Transactions!$F$8:$F$3006,B1956,Transactions!$O$8:$O$3006))</f>
        <v/>
      </c>
      <c r="F1956" s="45" t="str">
        <f>IF(B1956="","",SUMIF(Transactions!$F$8:$F$3006,B1956,Transactions!$R$8:$R$3006))</f>
        <v/>
      </c>
      <c r="G1956" s="46" t="str">
        <f>IF(B1956="","",(C1956+F1956)-(D1956+E1956+SUMIF(Transactions!$F$8:$F$3006,B1956,Transactions!$Q$8:$Q$3006)))</f>
        <v/>
      </c>
      <c r="H1956" s="47" t="str">
        <f>IF(B1956="","",IF(G1956&gt;0,"OUTSTANDING",IF(G1956=0,"SETTLED",IF(SUMIF(Transactions!$F$8:$F$3006,B1956,Transactions!$Q$8:$Q$3006)&gt;SUMIF(Transactions!$F$8:$F$3006,B1956,Transactions!$R$8:$R$3006),"OWES","OVERPAID"))))</f>
        <v/>
      </c>
      <c r="I1956" s="1"/>
    </row>
    <row r="1957" spans="1:9" ht="18" customHeight="1" x14ac:dyDescent="0.25">
      <c r="A1957" s="48">
        <v>1942</v>
      </c>
      <c r="B1957" s="49" t="str">
        <f t="array" ref="B1957">IFERROR(IF(INDEX(Transactions!$F$8:$F$3006,MATCH(0,COUNTIF($B$11:B1956,Transactions!$F$8:$F$3006),0))="","",INDEX(Transactions!$F$8:$F$3006,MATCH(0,COUNTIF($B$11:B1956,Transactions!$F$8:$F$3006),0))),"")</f>
        <v/>
      </c>
      <c r="C1957" s="50" t="str">
        <f>IF(B1957="","",SUMIF(Transactions!$F$8:$F$3006,B1957,Transactions!$H$8:$H$3006))</f>
        <v/>
      </c>
      <c r="D1957" s="51" t="str">
        <f>IF(B1957="","",SUMIF(Transactions!$F$8:$F$3006,B1957,Transactions!$N$8:$N$3006))</f>
        <v/>
      </c>
      <c r="E1957" s="52" t="str">
        <f>IF(B1957="","",SUMIF(Transactions!$F$8:$F$3006,B1957,Transactions!$O$8:$O$3006))</f>
        <v/>
      </c>
      <c r="F1957" s="53" t="str">
        <f>IF(B1957="","",SUMIF(Transactions!$F$8:$F$3006,B1957,Transactions!$R$8:$R$3006))</f>
        <v/>
      </c>
      <c r="G1957" s="54" t="str">
        <f>IF(B1957="","",(C1957+F1957)-(D1957+E1957+SUMIF(Transactions!$F$8:$F$3006,B1957,Transactions!$Q$8:$Q$3006)))</f>
        <v/>
      </c>
      <c r="H1957" s="55" t="str">
        <f>IF(B1957="","",IF(G1957&gt;0,"OUTSTANDING",IF(G1957=0,"SETTLED",IF(SUMIF(Transactions!$F$8:$F$3006,B1957,Transactions!$Q$8:$Q$3006)&gt;SUMIF(Transactions!$F$8:$F$3006,B1957,Transactions!$R$8:$R$3006),"OWES","OVERPAID"))))</f>
        <v/>
      </c>
      <c r="I1957" s="1"/>
    </row>
    <row r="1958" spans="1:9" ht="18" customHeight="1" x14ac:dyDescent="0.25">
      <c r="A1958" s="40">
        <v>1943</v>
      </c>
      <c r="B1958" s="41" t="str">
        <f t="array" ref="B1958">IFERROR(IF(INDEX(Transactions!$F$8:$F$3006,MATCH(0,COUNTIF($B$11:B1957,Transactions!$F$8:$F$3006),0))="","",INDEX(Transactions!$F$8:$F$3006,MATCH(0,COUNTIF($B$11:B1957,Transactions!$F$8:$F$3006),0))),"")</f>
        <v/>
      </c>
      <c r="C1958" s="42" t="str">
        <f>IF(B1958="","",SUMIF(Transactions!$F$8:$F$3006,B1958,Transactions!$H$8:$H$3006))</f>
        <v/>
      </c>
      <c r="D1958" s="43" t="str">
        <f>IF(B1958="","",SUMIF(Transactions!$F$8:$F$3006,B1958,Transactions!$N$8:$N$3006))</f>
        <v/>
      </c>
      <c r="E1958" s="44" t="str">
        <f>IF(B1958="","",SUMIF(Transactions!$F$8:$F$3006,B1958,Transactions!$O$8:$O$3006))</f>
        <v/>
      </c>
      <c r="F1958" s="45" t="str">
        <f>IF(B1958="","",SUMIF(Transactions!$F$8:$F$3006,B1958,Transactions!$R$8:$R$3006))</f>
        <v/>
      </c>
      <c r="G1958" s="46" t="str">
        <f>IF(B1958="","",(C1958+F1958)-(D1958+E1958+SUMIF(Transactions!$F$8:$F$3006,B1958,Transactions!$Q$8:$Q$3006)))</f>
        <v/>
      </c>
      <c r="H1958" s="47" t="str">
        <f>IF(B1958="","",IF(G1958&gt;0,"OUTSTANDING",IF(G1958=0,"SETTLED",IF(SUMIF(Transactions!$F$8:$F$3006,B1958,Transactions!$Q$8:$Q$3006)&gt;SUMIF(Transactions!$F$8:$F$3006,B1958,Transactions!$R$8:$R$3006),"OWES","OVERPAID"))))</f>
        <v/>
      </c>
      <c r="I1958" s="1"/>
    </row>
    <row r="1959" spans="1:9" ht="18" customHeight="1" x14ac:dyDescent="0.25">
      <c r="A1959" s="48">
        <v>1944</v>
      </c>
      <c r="B1959" s="49" t="str">
        <f t="array" ref="B1959">IFERROR(IF(INDEX(Transactions!$F$8:$F$3006,MATCH(0,COUNTIF($B$11:B1958,Transactions!$F$8:$F$3006),0))="","",INDEX(Transactions!$F$8:$F$3006,MATCH(0,COUNTIF($B$11:B1958,Transactions!$F$8:$F$3006),0))),"")</f>
        <v/>
      </c>
      <c r="C1959" s="50" t="str">
        <f>IF(B1959="","",SUMIF(Transactions!$F$8:$F$3006,B1959,Transactions!$H$8:$H$3006))</f>
        <v/>
      </c>
      <c r="D1959" s="51" t="str">
        <f>IF(B1959="","",SUMIF(Transactions!$F$8:$F$3006,B1959,Transactions!$N$8:$N$3006))</f>
        <v/>
      </c>
      <c r="E1959" s="52" t="str">
        <f>IF(B1959="","",SUMIF(Transactions!$F$8:$F$3006,B1959,Transactions!$O$8:$O$3006))</f>
        <v/>
      </c>
      <c r="F1959" s="53" t="str">
        <f>IF(B1959="","",SUMIF(Transactions!$F$8:$F$3006,B1959,Transactions!$R$8:$R$3006))</f>
        <v/>
      </c>
      <c r="G1959" s="54" t="str">
        <f>IF(B1959="","",(C1959+F1959)-(D1959+E1959+SUMIF(Transactions!$F$8:$F$3006,B1959,Transactions!$Q$8:$Q$3006)))</f>
        <v/>
      </c>
      <c r="H1959" s="55" t="str">
        <f>IF(B1959="","",IF(G1959&gt;0,"OUTSTANDING",IF(G1959=0,"SETTLED",IF(SUMIF(Transactions!$F$8:$F$3006,B1959,Transactions!$Q$8:$Q$3006)&gt;SUMIF(Transactions!$F$8:$F$3006,B1959,Transactions!$R$8:$R$3006),"OWES","OVERPAID"))))</f>
        <v/>
      </c>
      <c r="I1959" s="1"/>
    </row>
    <row r="1960" spans="1:9" ht="18" customHeight="1" x14ac:dyDescent="0.25">
      <c r="A1960" s="40">
        <v>1945</v>
      </c>
      <c r="B1960" s="41" t="str">
        <f t="array" ref="B1960">IFERROR(IF(INDEX(Transactions!$F$8:$F$3006,MATCH(0,COUNTIF($B$11:B1959,Transactions!$F$8:$F$3006),0))="","",INDEX(Transactions!$F$8:$F$3006,MATCH(0,COUNTIF($B$11:B1959,Transactions!$F$8:$F$3006),0))),"")</f>
        <v/>
      </c>
      <c r="C1960" s="42" t="str">
        <f>IF(B1960="","",SUMIF(Transactions!$F$8:$F$3006,B1960,Transactions!$H$8:$H$3006))</f>
        <v/>
      </c>
      <c r="D1960" s="43" t="str">
        <f>IF(B1960="","",SUMIF(Transactions!$F$8:$F$3006,B1960,Transactions!$N$8:$N$3006))</f>
        <v/>
      </c>
      <c r="E1960" s="44" t="str">
        <f>IF(B1960="","",SUMIF(Transactions!$F$8:$F$3006,B1960,Transactions!$O$8:$O$3006))</f>
        <v/>
      </c>
      <c r="F1960" s="45" t="str">
        <f>IF(B1960="","",SUMIF(Transactions!$F$8:$F$3006,B1960,Transactions!$R$8:$R$3006))</f>
        <v/>
      </c>
      <c r="G1960" s="46" t="str">
        <f>IF(B1960="","",(C1960+F1960)-(D1960+E1960+SUMIF(Transactions!$F$8:$F$3006,B1960,Transactions!$Q$8:$Q$3006)))</f>
        <v/>
      </c>
      <c r="H1960" s="47" t="str">
        <f>IF(B1960="","",IF(G1960&gt;0,"OUTSTANDING",IF(G1960=0,"SETTLED",IF(SUMIF(Transactions!$F$8:$F$3006,B1960,Transactions!$Q$8:$Q$3006)&gt;SUMIF(Transactions!$F$8:$F$3006,B1960,Transactions!$R$8:$R$3006),"OWES","OVERPAID"))))</f>
        <v/>
      </c>
      <c r="I1960" s="1"/>
    </row>
    <row r="1961" spans="1:9" ht="18" customHeight="1" x14ac:dyDescent="0.25">
      <c r="A1961" s="48">
        <v>1946</v>
      </c>
      <c r="B1961" s="49" t="str">
        <f t="array" ref="B1961">IFERROR(IF(INDEX(Transactions!$F$8:$F$3006,MATCH(0,COUNTIF($B$11:B1960,Transactions!$F$8:$F$3006),0))="","",INDEX(Transactions!$F$8:$F$3006,MATCH(0,COUNTIF($B$11:B1960,Transactions!$F$8:$F$3006),0))),"")</f>
        <v/>
      </c>
      <c r="C1961" s="50" t="str">
        <f>IF(B1961="","",SUMIF(Transactions!$F$8:$F$3006,B1961,Transactions!$H$8:$H$3006))</f>
        <v/>
      </c>
      <c r="D1961" s="51" t="str">
        <f>IF(B1961="","",SUMIF(Transactions!$F$8:$F$3006,B1961,Transactions!$N$8:$N$3006))</f>
        <v/>
      </c>
      <c r="E1961" s="52" t="str">
        <f>IF(B1961="","",SUMIF(Transactions!$F$8:$F$3006,B1961,Transactions!$O$8:$O$3006))</f>
        <v/>
      </c>
      <c r="F1961" s="53" t="str">
        <f>IF(B1961="","",SUMIF(Transactions!$F$8:$F$3006,B1961,Transactions!$R$8:$R$3006))</f>
        <v/>
      </c>
      <c r="G1961" s="54" t="str">
        <f>IF(B1961="","",(C1961+F1961)-(D1961+E1961+SUMIF(Transactions!$F$8:$F$3006,B1961,Transactions!$Q$8:$Q$3006)))</f>
        <v/>
      </c>
      <c r="H1961" s="55" t="str">
        <f>IF(B1961="","",IF(G1961&gt;0,"OUTSTANDING",IF(G1961=0,"SETTLED",IF(SUMIF(Transactions!$F$8:$F$3006,B1961,Transactions!$Q$8:$Q$3006)&gt;SUMIF(Transactions!$F$8:$F$3006,B1961,Transactions!$R$8:$R$3006),"OWES","OVERPAID"))))</f>
        <v/>
      </c>
      <c r="I1961" s="1"/>
    </row>
    <row r="1962" spans="1:9" ht="18" customHeight="1" x14ac:dyDescent="0.25">
      <c r="A1962" s="40">
        <v>1947</v>
      </c>
      <c r="B1962" s="41" t="str">
        <f t="array" ref="B1962">IFERROR(IF(INDEX(Transactions!$F$8:$F$3006,MATCH(0,COUNTIF($B$11:B1961,Transactions!$F$8:$F$3006),0))="","",INDEX(Transactions!$F$8:$F$3006,MATCH(0,COUNTIF($B$11:B1961,Transactions!$F$8:$F$3006),0))),"")</f>
        <v/>
      </c>
      <c r="C1962" s="42" t="str">
        <f>IF(B1962="","",SUMIF(Transactions!$F$8:$F$3006,B1962,Transactions!$H$8:$H$3006))</f>
        <v/>
      </c>
      <c r="D1962" s="43" t="str">
        <f>IF(B1962="","",SUMIF(Transactions!$F$8:$F$3006,B1962,Transactions!$N$8:$N$3006))</f>
        <v/>
      </c>
      <c r="E1962" s="44" t="str">
        <f>IF(B1962="","",SUMIF(Transactions!$F$8:$F$3006,B1962,Transactions!$O$8:$O$3006))</f>
        <v/>
      </c>
      <c r="F1962" s="45" t="str">
        <f>IF(B1962="","",SUMIF(Transactions!$F$8:$F$3006,B1962,Transactions!$R$8:$R$3006))</f>
        <v/>
      </c>
      <c r="G1962" s="46" t="str">
        <f>IF(B1962="","",(C1962+F1962)-(D1962+E1962+SUMIF(Transactions!$F$8:$F$3006,B1962,Transactions!$Q$8:$Q$3006)))</f>
        <v/>
      </c>
      <c r="H1962" s="47" t="str">
        <f>IF(B1962="","",IF(G1962&gt;0,"OUTSTANDING",IF(G1962=0,"SETTLED",IF(SUMIF(Transactions!$F$8:$F$3006,B1962,Transactions!$Q$8:$Q$3006)&gt;SUMIF(Transactions!$F$8:$F$3006,B1962,Transactions!$R$8:$R$3006),"OWES","OVERPAID"))))</f>
        <v/>
      </c>
      <c r="I1962" s="1"/>
    </row>
    <row r="1963" spans="1:9" ht="18" customHeight="1" x14ac:dyDescent="0.25">
      <c r="A1963" s="48">
        <v>1948</v>
      </c>
      <c r="B1963" s="49" t="str">
        <f t="array" ref="B1963">IFERROR(IF(INDEX(Transactions!$F$8:$F$3006,MATCH(0,COUNTIF($B$11:B1962,Transactions!$F$8:$F$3006),0))="","",INDEX(Transactions!$F$8:$F$3006,MATCH(0,COUNTIF($B$11:B1962,Transactions!$F$8:$F$3006),0))),"")</f>
        <v/>
      </c>
      <c r="C1963" s="50" t="str">
        <f>IF(B1963="","",SUMIF(Transactions!$F$8:$F$3006,B1963,Transactions!$H$8:$H$3006))</f>
        <v/>
      </c>
      <c r="D1963" s="51" t="str">
        <f>IF(B1963="","",SUMIF(Transactions!$F$8:$F$3006,B1963,Transactions!$N$8:$N$3006))</f>
        <v/>
      </c>
      <c r="E1963" s="52" t="str">
        <f>IF(B1963="","",SUMIF(Transactions!$F$8:$F$3006,B1963,Transactions!$O$8:$O$3006))</f>
        <v/>
      </c>
      <c r="F1963" s="53" t="str">
        <f>IF(B1963="","",SUMIF(Transactions!$F$8:$F$3006,B1963,Transactions!$R$8:$R$3006))</f>
        <v/>
      </c>
      <c r="G1963" s="54" t="str">
        <f>IF(B1963="","",(C1963+F1963)-(D1963+E1963+SUMIF(Transactions!$F$8:$F$3006,B1963,Transactions!$Q$8:$Q$3006)))</f>
        <v/>
      </c>
      <c r="H1963" s="55" t="str">
        <f>IF(B1963="","",IF(G1963&gt;0,"OUTSTANDING",IF(G1963=0,"SETTLED",IF(SUMIF(Transactions!$F$8:$F$3006,B1963,Transactions!$Q$8:$Q$3006)&gt;SUMIF(Transactions!$F$8:$F$3006,B1963,Transactions!$R$8:$R$3006),"OWES","OVERPAID"))))</f>
        <v/>
      </c>
      <c r="I1963" s="1"/>
    </row>
    <row r="1964" spans="1:9" ht="18" customHeight="1" x14ac:dyDescent="0.25">
      <c r="A1964" s="40">
        <v>1949</v>
      </c>
      <c r="B1964" s="41" t="str">
        <f t="array" ref="B1964">IFERROR(IF(INDEX(Transactions!$F$8:$F$3006,MATCH(0,COUNTIF($B$11:B1963,Transactions!$F$8:$F$3006),0))="","",INDEX(Transactions!$F$8:$F$3006,MATCH(0,COUNTIF($B$11:B1963,Transactions!$F$8:$F$3006),0))),"")</f>
        <v/>
      </c>
      <c r="C1964" s="42" t="str">
        <f>IF(B1964="","",SUMIF(Transactions!$F$8:$F$3006,B1964,Transactions!$H$8:$H$3006))</f>
        <v/>
      </c>
      <c r="D1964" s="43" t="str">
        <f>IF(B1964="","",SUMIF(Transactions!$F$8:$F$3006,B1964,Transactions!$N$8:$N$3006))</f>
        <v/>
      </c>
      <c r="E1964" s="44" t="str">
        <f>IF(B1964="","",SUMIF(Transactions!$F$8:$F$3006,B1964,Transactions!$O$8:$O$3006))</f>
        <v/>
      </c>
      <c r="F1964" s="45" t="str">
        <f>IF(B1964="","",SUMIF(Transactions!$F$8:$F$3006,B1964,Transactions!$R$8:$R$3006))</f>
        <v/>
      </c>
      <c r="G1964" s="46" t="str">
        <f>IF(B1964="","",(C1964+F1964)-(D1964+E1964+SUMIF(Transactions!$F$8:$F$3006,B1964,Transactions!$Q$8:$Q$3006)))</f>
        <v/>
      </c>
      <c r="H1964" s="47" t="str">
        <f>IF(B1964="","",IF(G1964&gt;0,"OUTSTANDING",IF(G1964=0,"SETTLED",IF(SUMIF(Transactions!$F$8:$F$3006,B1964,Transactions!$Q$8:$Q$3006)&gt;SUMIF(Transactions!$F$8:$F$3006,B1964,Transactions!$R$8:$R$3006),"OWES","OVERPAID"))))</f>
        <v/>
      </c>
      <c r="I1964" s="1"/>
    </row>
    <row r="1965" spans="1:9" ht="18" customHeight="1" x14ac:dyDescent="0.25">
      <c r="A1965" s="48">
        <v>1950</v>
      </c>
      <c r="B1965" s="49" t="str">
        <f t="array" ref="B1965">IFERROR(IF(INDEX(Transactions!$F$8:$F$3006,MATCH(0,COUNTIF($B$11:B1964,Transactions!$F$8:$F$3006),0))="","",INDEX(Transactions!$F$8:$F$3006,MATCH(0,COUNTIF($B$11:B1964,Transactions!$F$8:$F$3006),0))),"")</f>
        <v/>
      </c>
      <c r="C1965" s="50" t="str">
        <f>IF(B1965="","",SUMIF(Transactions!$F$8:$F$3006,B1965,Transactions!$H$8:$H$3006))</f>
        <v/>
      </c>
      <c r="D1965" s="51" t="str">
        <f>IF(B1965="","",SUMIF(Transactions!$F$8:$F$3006,B1965,Transactions!$N$8:$N$3006))</f>
        <v/>
      </c>
      <c r="E1965" s="52" t="str">
        <f>IF(B1965="","",SUMIF(Transactions!$F$8:$F$3006,B1965,Transactions!$O$8:$O$3006))</f>
        <v/>
      </c>
      <c r="F1965" s="53" t="str">
        <f>IF(B1965="","",SUMIF(Transactions!$F$8:$F$3006,B1965,Transactions!$R$8:$R$3006))</f>
        <v/>
      </c>
      <c r="G1965" s="54" t="str">
        <f>IF(B1965="","",(C1965+F1965)-(D1965+E1965+SUMIF(Transactions!$F$8:$F$3006,B1965,Transactions!$Q$8:$Q$3006)))</f>
        <v/>
      </c>
      <c r="H1965" s="55" t="str">
        <f>IF(B1965="","",IF(G1965&gt;0,"OUTSTANDING",IF(G1965=0,"SETTLED",IF(SUMIF(Transactions!$F$8:$F$3006,B1965,Transactions!$Q$8:$Q$3006)&gt;SUMIF(Transactions!$F$8:$F$3006,B1965,Transactions!$R$8:$R$3006),"OWES","OVERPAID"))))</f>
        <v/>
      </c>
      <c r="I1965" s="1"/>
    </row>
    <row r="1966" spans="1:9" ht="18" customHeight="1" x14ac:dyDescent="0.25">
      <c r="A1966" s="40">
        <v>1951</v>
      </c>
      <c r="B1966" s="41" t="str">
        <f t="array" ref="B1966">IFERROR(IF(INDEX(Transactions!$F$8:$F$3006,MATCH(0,COUNTIF($B$11:B1965,Transactions!$F$8:$F$3006),0))="","",INDEX(Transactions!$F$8:$F$3006,MATCH(0,COUNTIF($B$11:B1965,Transactions!$F$8:$F$3006),0))),"")</f>
        <v/>
      </c>
      <c r="C1966" s="42" t="str">
        <f>IF(B1966="","",SUMIF(Transactions!$F$8:$F$3006,B1966,Transactions!$H$8:$H$3006))</f>
        <v/>
      </c>
      <c r="D1966" s="43" t="str">
        <f>IF(B1966="","",SUMIF(Transactions!$F$8:$F$3006,B1966,Transactions!$N$8:$N$3006))</f>
        <v/>
      </c>
      <c r="E1966" s="44" t="str">
        <f>IF(B1966="","",SUMIF(Transactions!$F$8:$F$3006,B1966,Transactions!$O$8:$O$3006))</f>
        <v/>
      </c>
      <c r="F1966" s="45" t="str">
        <f>IF(B1966="","",SUMIF(Transactions!$F$8:$F$3006,B1966,Transactions!$R$8:$R$3006))</f>
        <v/>
      </c>
      <c r="G1966" s="46" t="str">
        <f>IF(B1966="","",(C1966+F1966)-(D1966+E1966+SUMIF(Transactions!$F$8:$F$3006,B1966,Transactions!$Q$8:$Q$3006)))</f>
        <v/>
      </c>
      <c r="H1966" s="47" t="str">
        <f>IF(B1966="","",IF(G1966&gt;0,"OUTSTANDING",IF(G1966=0,"SETTLED",IF(SUMIF(Transactions!$F$8:$F$3006,B1966,Transactions!$Q$8:$Q$3006)&gt;SUMIF(Transactions!$F$8:$F$3006,B1966,Transactions!$R$8:$R$3006),"OWES","OVERPAID"))))</f>
        <v/>
      </c>
      <c r="I1966" s="1"/>
    </row>
    <row r="1967" spans="1:9" ht="18" customHeight="1" x14ac:dyDescent="0.25">
      <c r="A1967" s="48">
        <v>1952</v>
      </c>
      <c r="B1967" s="49" t="str">
        <f t="array" ref="B1967">IFERROR(IF(INDEX(Transactions!$F$8:$F$3006,MATCH(0,COUNTIF($B$11:B1966,Transactions!$F$8:$F$3006),0))="","",INDEX(Transactions!$F$8:$F$3006,MATCH(0,COUNTIF($B$11:B1966,Transactions!$F$8:$F$3006),0))),"")</f>
        <v/>
      </c>
      <c r="C1967" s="50" t="str">
        <f>IF(B1967="","",SUMIF(Transactions!$F$8:$F$3006,B1967,Transactions!$H$8:$H$3006))</f>
        <v/>
      </c>
      <c r="D1967" s="51" t="str">
        <f>IF(B1967="","",SUMIF(Transactions!$F$8:$F$3006,B1967,Transactions!$N$8:$N$3006))</f>
        <v/>
      </c>
      <c r="E1967" s="52" t="str">
        <f>IF(B1967="","",SUMIF(Transactions!$F$8:$F$3006,B1967,Transactions!$O$8:$O$3006))</f>
        <v/>
      </c>
      <c r="F1967" s="53" t="str">
        <f>IF(B1967="","",SUMIF(Transactions!$F$8:$F$3006,B1967,Transactions!$R$8:$R$3006))</f>
        <v/>
      </c>
      <c r="G1967" s="54" t="str">
        <f>IF(B1967="","",(C1967+F1967)-(D1967+E1967+SUMIF(Transactions!$F$8:$F$3006,B1967,Transactions!$Q$8:$Q$3006)))</f>
        <v/>
      </c>
      <c r="H1967" s="55" t="str">
        <f>IF(B1967="","",IF(G1967&gt;0,"OUTSTANDING",IF(G1967=0,"SETTLED",IF(SUMIF(Transactions!$F$8:$F$3006,B1967,Transactions!$Q$8:$Q$3006)&gt;SUMIF(Transactions!$F$8:$F$3006,B1967,Transactions!$R$8:$R$3006),"OWES","OVERPAID"))))</f>
        <v/>
      </c>
      <c r="I1967" s="1"/>
    </row>
    <row r="1968" spans="1:9" ht="18" customHeight="1" x14ac:dyDescent="0.25">
      <c r="A1968" s="40">
        <v>1953</v>
      </c>
      <c r="B1968" s="41" t="str">
        <f t="array" ref="B1968">IFERROR(IF(INDEX(Transactions!$F$8:$F$3006,MATCH(0,COUNTIF($B$11:B1967,Transactions!$F$8:$F$3006),0))="","",INDEX(Transactions!$F$8:$F$3006,MATCH(0,COUNTIF($B$11:B1967,Transactions!$F$8:$F$3006),0))),"")</f>
        <v/>
      </c>
      <c r="C1968" s="42" t="str">
        <f>IF(B1968="","",SUMIF(Transactions!$F$8:$F$3006,B1968,Transactions!$H$8:$H$3006))</f>
        <v/>
      </c>
      <c r="D1968" s="43" t="str">
        <f>IF(B1968="","",SUMIF(Transactions!$F$8:$F$3006,B1968,Transactions!$N$8:$N$3006))</f>
        <v/>
      </c>
      <c r="E1968" s="44" t="str">
        <f>IF(B1968="","",SUMIF(Transactions!$F$8:$F$3006,B1968,Transactions!$O$8:$O$3006))</f>
        <v/>
      </c>
      <c r="F1968" s="45" t="str">
        <f>IF(B1968="","",SUMIF(Transactions!$F$8:$F$3006,B1968,Transactions!$R$8:$R$3006))</f>
        <v/>
      </c>
      <c r="G1968" s="46" t="str">
        <f>IF(B1968="","",(C1968+F1968)-(D1968+E1968+SUMIF(Transactions!$F$8:$F$3006,B1968,Transactions!$Q$8:$Q$3006)))</f>
        <v/>
      </c>
      <c r="H1968" s="47" t="str">
        <f>IF(B1968="","",IF(G1968&gt;0,"OUTSTANDING",IF(G1968=0,"SETTLED",IF(SUMIF(Transactions!$F$8:$F$3006,B1968,Transactions!$Q$8:$Q$3006)&gt;SUMIF(Transactions!$F$8:$F$3006,B1968,Transactions!$R$8:$R$3006),"OWES","OVERPAID"))))</f>
        <v/>
      </c>
      <c r="I1968" s="1"/>
    </row>
    <row r="1969" spans="1:9" ht="18" customHeight="1" x14ac:dyDescent="0.25">
      <c r="A1969" s="48">
        <v>1954</v>
      </c>
      <c r="B1969" s="49" t="str">
        <f t="array" ref="B1969">IFERROR(IF(INDEX(Transactions!$F$8:$F$3006,MATCH(0,COUNTIF($B$11:B1968,Transactions!$F$8:$F$3006),0))="","",INDEX(Transactions!$F$8:$F$3006,MATCH(0,COUNTIF($B$11:B1968,Transactions!$F$8:$F$3006),0))),"")</f>
        <v/>
      </c>
      <c r="C1969" s="50" t="str">
        <f>IF(B1969="","",SUMIF(Transactions!$F$8:$F$3006,B1969,Transactions!$H$8:$H$3006))</f>
        <v/>
      </c>
      <c r="D1969" s="51" t="str">
        <f>IF(B1969="","",SUMIF(Transactions!$F$8:$F$3006,B1969,Transactions!$N$8:$N$3006))</f>
        <v/>
      </c>
      <c r="E1969" s="52" t="str">
        <f>IF(B1969="","",SUMIF(Transactions!$F$8:$F$3006,B1969,Transactions!$O$8:$O$3006))</f>
        <v/>
      </c>
      <c r="F1969" s="53" t="str">
        <f>IF(B1969="","",SUMIF(Transactions!$F$8:$F$3006,B1969,Transactions!$R$8:$R$3006))</f>
        <v/>
      </c>
      <c r="G1969" s="54" t="str">
        <f>IF(B1969="","",(C1969+F1969)-(D1969+E1969+SUMIF(Transactions!$F$8:$F$3006,B1969,Transactions!$Q$8:$Q$3006)))</f>
        <v/>
      </c>
      <c r="H1969" s="55" t="str">
        <f>IF(B1969="","",IF(G1969&gt;0,"OUTSTANDING",IF(G1969=0,"SETTLED",IF(SUMIF(Transactions!$F$8:$F$3006,B1969,Transactions!$Q$8:$Q$3006)&gt;SUMIF(Transactions!$F$8:$F$3006,B1969,Transactions!$R$8:$R$3006),"OWES","OVERPAID"))))</f>
        <v/>
      </c>
      <c r="I1969" s="1"/>
    </row>
    <row r="1970" spans="1:9" ht="18" customHeight="1" x14ac:dyDescent="0.25">
      <c r="A1970" s="40">
        <v>1955</v>
      </c>
      <c r="B1970" s="41" t="str">
        <f t="array" ref="B1970">IFERROR(IF(INDEX(Transactions!$F$8:$F$3006,MATCH(0,COUNTIF($B$11:B1969,Transactions!$F$8:$F$3006),0))="","",INDEX(Transactions!$F$8:$F$3006,MATCH(0,COUNTIF($B$11:B1969,Transactions!$F$8:$F$3006),0))),"")</f>
        <v/>
      </c>
      <c r="C1970" s="42" t="str">
        <f>IF(B1970="","",SUMIF(Transactions!$F$8:$F$3006,B1970,Transactions!$H$8:$H$3006))</f>
        <v/>
      </c>
      <c r="D1970" s="43" t="str">
        <f>IF(B1970="","",SUMIF(Transactions!$F$8:$F$3006,B1970,Transactions!$N$8:$N$3006))</f>
        <v/>
      </c>
      <c r="E1970" s="44" t="str">
        <f>IF(B1970="","",SUMIF(Transactions!$F$8:$F$3006,B1970,Transactions!$O$8:$O$3006))</f>
        <v/>
      </c>
      <c r="F1970" s="45" t="str">
        <f>IF(B1970="","",SUMIF(Transactions!$F$8:$F$3006,B1970,Transactions!$R$8:$R$3006))</f>
        <v/>
      </c>
      <c r="G1970" s="46" t="str">
        <f>IF(B1970="","",(C1970+F1970)-(D1970+E1970+SUMIF(Transactions!$F$8:$F$3006,B1970,Transactions!$Q$8:$Q$3006)))</f>
        <v/>
      </c>
      <c r="H1970" s="47" t="str">
        <f>IF(B1970="","",IF(G1970&gt;0,"OUTSTANDING",IF(G1970=0,"SETTLED",IF(SUMIF(Transactions!$F$8:$F$3006,B1970,Transactions!$Q$8:$Q$3006)&gt;SUMIF(Transactions!$F$8:$F$3006,B1970,Transactions!$R$8:$R$3006),"OWES","OVERPAID"))))</f>
        <v/>
      </c>
      <c r="I1970" s="1"/>
    </row>
    <row r="1971" spans="1:9" ht="18" customHeight="1" x14ac:dyDescent="0.25">
      <c r="A1971" s="48">
        <v>1956</v>
      </c>
      <c r="B1971" s="49" t="str">
        <f t="array" ref="B1971">IFERROR(IF(INDEX(Transactions!$F$8:$F$3006,MATCH(0,COUNTIF($B$11:B1970,Transactions!$F$8:$F$3006),0))="","",INDEX(Transactions!$F$8:$F$3006,MATCH(0,COUNTIF($B$11:B1970,Transactions!$F$8:$F$3006),0))),"")</f>
        <v/>
      </c>
      <c r="C1971" s="50" t="str">
        <f>IF(B1971="","",SUMIF(Transactions!$F$8:$F$3006,B1971,Transactions!$H$8:$H$3006))</f>
        <v/>
      </c>
      <c r="D1971" s="51" t="str">
        <f>IF(B1971="","",SUMIF(Transactions!$F$8:$F$3006,B1971,Transactions!$N$8:$N$3006))</f>
        <v/>
      </c>
      <c r="E1971" s="52" t="str">
        <f>IF(B1971="","",SUMIF(Transactions!$F$8:$F$3006,B1971,Transactions!$O$8:$O$3006))</f>
        <v/>
      </c>
      <c r="F1971" s="53" t="str">
        <f>IF(B1971="","",SUMIF(Transactions!$F$8:$F$3006,B1971,Transactions!$R$8:$R$3006))</f>
        <v/>
      </c>
      <c r="G1971" s="54" t="str">
        <f>IF(B1971="","",(C1971+F1971)-(D1971+E1971+SUMIF(Transactions!$F$8:$F$3006,B1971,Transactions!$Q$8:$Q$3006)))</f>
        <v/>
      </c>
      <c r="H1971" s="55" t="str">
        <f>IF(B1971="","",IF(G1971&gt;0,"OUTSTANDING",IF(G1971=0,"SETTLED",IF(SUMIF(Transactions!$F$8:$F$3006,B1971,Transactions!$Q$8:$Q$3006)&gt;SUMIF(Transactions!$F$8:$F$3006,B1971,Transactions!$R$8:$R$3006),"OWES","OVERPAID"))))</f>
        <v/>
      </c>
      <c r="I1971" s="1"/>
    </row>
    <row r="1972" spans="1:9" ht="18" customHeight="1" x14ac:dyDescent="0.25">
      <c r="A1972" s="40">
        <v>1957</v>
      </c>
      <c r="B1972" s="41" t="str">
        <f t="array" ref="B1972">IFERROR(IF(INDEX(Transactions!$F$8:$F$3006,MATCH(0,COUNTIF($B$11:B1971,Transactions!$F$8:$F$3006),0))="","",INDEX(Transactions!$F$8:$F$3006,MATCH(0,COUNTIF($B$11:B1971,Transactions!$F$8:$F$3006),0))),"")</f>
        <v/>
      </c>
      <c r="C1972" s="42" t="str">
        <f>IF(B1972="","",SUMIF(Transactions!$F$8:$F$3006,B1972,Transactions!$H$8:$H$3006))</f>
        <v/>
      </c>
      <c r="D1972" s="43" t="str">
        <f>IF(B1972="","",SUMIF(Transactions!$F$8:$F$3006,B1972,Transactions!$N$8:$N$3006))</f>
        <v/>
      </c>
      <c r="E1972" s="44" t="str">
        <f>IF(B1972="","",SUMIF(Transactions!$F$8:$F$3006,B1972,Transactions!$O$8:$O$3006))</f>
        <v/>
      </c>
      <c r="F1972" s="45" t="str">
        <f>IF(B1972="","",SUMIF(Transactions!$F$8:$F$3006,B1972,Transactions!$R$8:$R$3006))</f>
        <v/>
      </c>
      <c r="G1972" s="46" t="str">
        <f>IF(B1972="","",(C1972+F1972)-(D1972+E1972+SUMIF(Transactions!$F$8:$F$3006,B1972,Transactions!$Q$8:$Q$3006)))</f>
        <v/>
      </c>
      <c r="H1972" s="47" t="str">
        <f>IF(B1972="","",IF(G1972&gt;0,"OUTSTANDING",IF(G1972=0,"SETTLED",IF(SUMIF(Transactions!$F$8:$F$3006,B1972,Transactions!$Q$8:$Q$3006)&gt;SUMIF(Transactions!$F$8:$F$3006,B1972,Transactions!$R$8:$R$3006),"OWES","OVERPAID"))))</f>
        <v/>
      </c>
      <c r="I1972" s="1"/>
    </row>
    <row r="1973" spans="1:9" ht="18" customHeight="1" x14ac:dyDescent="0.25">
      <c r="A1973" s="48">
        <v>1958</v>
      </c>
      <c r="B1973" s="49" t="str">
        <f t="array" ref="B1973">IFERROR(IF(INDEX(Transactions!$F$8:$F$3006,MATCH(0,COUNTIF($B$11:B1972,Transactions!$F$8:$F$3006),0))="","",INDEX(Transactions!$F$8:$F$3006,MATCH(0,COUNTIF($B$11:B1972,Transactions!$F$8:$F$3006),0))),"")</f>
        <v/>
      </c>
      <c r="C1973" s="50" t="str">
        <f>IF(B1973="","",SUMIF(Transactions!$F$8:$F$3006,B1973,Transactions!$H$8:$H$3006))</f>
        <v/>
      </c>
      <c r="D1973" s="51" t="str">
        <f>IF(B1973="","",SUMIF(Transactions!$F$8:$F$3006,B1973,Transactions!$N$8:$N$3006))</f>
        <v/>
      </c>
      <c r="E1973" s="52" t="str">
        <f>IF(B1973="","",SUMIF(Transactions!$F$8:$F$3006,B1973,Transactions!$O$8:$O$3006))</f>
        <v/>
      </c>
      <c r="F1973" s="53" t="str">
        <f>IF(B1973="","",SUMIF(Transactions!$F$8:$F$3006,B1973,Transactions!$R$8:$R$3006))</f>
        <v/>
      </c>
      <c r="G1973" s="54" t="str">
        <f>IF(B1973="","",(C1973+F1973)-(D1973+E1973+SUMIF(Transactions!$F$8:$F$3006,B1973,Transactions!$Q$8:$Q$3006)))</f>
        <v/>
      </c>
      <c r="H1973" s="55" t="str">
        <f>IF(B1973="","",IF(G1973&gt;0,"OUTSTANDING",IF(G1973=0,"SETTLED",IF(SUMIF(Transactions!$F$8:$F$3006,B1973,Transactions!$Q$8:$Q$3006)&gt;SUMIF(Transactions!$F$8:$F$3006,B1973,Transactions!$R$8:$R$3006),"OWES","OVERPAID"))))</f>
        <v/>
      </c>
      <c r="I1973" s="1"/>
    </row>
    <row r="1974" spans="1:9" ht="18" customHeight="1" x14ac:dyDescent="0.25">
      <c r="A1974" s="40">
        <v>1959</v>
      </c>
      <c r="B1974" s="41" t="str">
        <f t="array" ref="B1974">IFERROR(IF(INDEX(Transactions!$F$8:$F$3006,MATCH(0,COUNTIF($B$11:B1973,Transactions!$F$8:$F$3006),0))="","",INDEX(Transactions!$F$8:$F$3006,MATCH(0,COUNTIF($B$11:B1973,Transactions!$F$8:$F$3006),0))),"")</f>
        <v/>
      </c>
      <c r="C1974" s="42" t="str">
        <f>IF(B1974="","",SUMIF(Transactions!$F$8:$F$3006,B1974,Transactions!$H$8:$H$3006))</f>
        <v/>
      </c>
      <c r="D1974" s="43" t="str">
        <f>IF(B1974="","",SUMIF(Transactions!$F$8:$F$3006,B1974,Transactions!$N$8:$N$3006))</f>
        <v/>
      </c>
      <c r="E1974" s="44" t="str">
        <f>IF(B1974="","",SUMIF(Transactions!$F$8:$F$3006,B1974,Transactions!$O$8:$O$3006))</f>
        <v/>
      </c>
      <c r="F1974" s="45" t="str">
        <f>IF(B1974="","",SUMIF(Transactions!$F$8:$F$3006,B1974,Transactions!$R$8:$R$3006))</f>
        <v/>
      </c>
      <c r="G1974" s="46" t="str">
        <f>IF(B1974="","",(C1974+F1974)-(D1974+E1974+SUMIF(Transactions!$F$8:$F$3006,B1974,Transactions!$Q$8:$Q$3006)))</f>
        <v/>
      </c>
      <c r="H1974" s="47" t="str">
        <f>IF(B1974="","",IF(G1974&gt;0,"OUTSTANDING",IF(G1974=0,"SETTLED",IF(SUMIF(Transactions!$F$8:$F$3006,B1974,Transactions!$Q$8:$Q$3006)&gt;SUMIF(Transactions!$F$8:$F$3006,B1974,Transactions!$R$8:$R$3006),"OWES","OVERPAID"))))</f>
        <v/>
      </c>
      <c r="I1974" s="1"/>
    </row>
    <row r="1975" spans="1:9" ht="18" customHeight="1" x14ac:dyDescent="0.25">
      <c r="A1975" s="48">
        <v>1960</v>
      </c>
      <c r="B1975" s="49" t="str">
        <f t="array" ref="B1975">IFERROR(IF(INDEX(Transactions!$F$8:$F$3006,MATCH(0,COUNTIF($B$11:B1974,Transactions!$F$8:$F$3006),0))="","",INDEX(Transactions!$F$8:$F$3006,MATCH(0,COUNTIF($B$11:B1974,Transactions!$F$8:$F$3006),0))),"")</f>
        <v/>
      </c>
      <c r="C1975" s="50" t="str">
        <f>IF(B1975="","",SUMIF(Transactions!$F$8:$F$3006,B1975,Transactions!$H$8:$H$3006))</f>
        <v/>
      </c>
      <c r="D1975" s="51" t="str">
        <f>IF(B1975="","",SUMIF(Transactions!$F$8:$F$3006,B1975,Transactions!$N$8:$N$3006))</f>
        <v/>
      </c>
      <c r="E1975" s="52" t="str">
        <f>IF(B1975="","",SUMIF(Transactions!$F$8:$F$3006,B1975,Transactions!$O$8:$O$3006))</f>
        <v/>
      </c>
      <c r="F1975" s="53" t="str">
        <f>IF(B1975="","",SUMIF(Transactions!$F$8:$F$3006,B1975,Transactions!$R$8:$R$3006))</f>
        <v/>
      </c>
      <c r="G1975" s="54" t="str">
        <f>IF(B1975="","",(C1975+F1975)-(D1975+E1975+SUMIF(Transactions!$F$8:$F$3006,B1975,Transactions!$Q$8:$Q$3006)))</f>
        <v/>
      </c>
      <c r="H1975" s="55" t="str">
        <f>IF(B1975="","",IF(G1975&gt;0,"OUTSTANDING",IF(G1975=0,"SETTLED",IF(SUMIF(Transactions!$F$8:$F$3006,B1975,Transactions!$Q$8:$Q$3006)&gt;SUMIF(Transactions!$F$8:$F$3006,B1975,Transactions!$R$8:$R$3006),"OWES","OVERPAID"))))</f>
        <v/>
      </c>
      <c r="I1975" s="1"/>
    </row>
    <row r="1976" spans="1:9" ht="18" customHeight="1" x14ac:dyDescent="0.25">
      <c r="A1976" s="40">
        <v>1961</v>
      </c>
      <c r="B1976" s="41" t="str">
        <f t="array" ref="B1976">IFERROR(IF(INDEX(Transactions!$F$8:$F$3006,MATCH(0,COUNTIF($B$11:B1975,Transactions!$F$8:$F$3006),0))="","",INDEX(Transactions!$F$8:$F$3006,MATCH(0,COUNTIF($B$11:B1975,Transactions!$F$8:$F$3006),0))),"")</f>
        <v/>
      </c>
      <c r="C1976" s="42" t="str">
        <f>IF(B1976="","",SUMIF(Transactions!$F$8:$F$3006,B1976,Transactions!$H$8:$H$3006))</f>
        <v/>
      </c>
      <c r="D1976" s="43" t="str">
        <f>IF(B1976="","",SUMIF(Transactions!$F$8:$F$3006,B1976,Transactions!$N$8:$N$3006))</f>
        <v/>
      </c>
      <c r="E1976" s="44" t="str">
        <f>IF(B1976="","",SUMIF(Transactions!$F$8:$F$3006,B1976,Transactions!$O$8:$O$3006))</f>
        <v/>
      </c>
      <c r="F1976" s="45" t="str">
        <f>IF(B1976="","",SUMIF(Transactions!$F$8:$F$3006,B1976,Transactions!$R$8:$R$3006))</f>
        <v/>
      </c>
      <c r="G1976" s="46" t="str">
        <f>IF(B1976="","",(C1976+F1976)-(D1976+E1976+SUMIF(Transactions!$F$8:$F$3006,B1976,Transactions!$Q$8:$Q$3006)))</f>
        <v/>
      </c>
      <c r="H1976" s="47" t="str">
        <f>IF(B1976="","",IF(G1976&gt;0,"OUTSTANDING",IF(G1976=0,"SETTLED",IF(SUMIF(Transactions!$F$8:$F$3006,B1976,Transactions!$Q$8:$Q$3006)&gt;SUMIF(Transactions!$F$8:$F$3006,B1976,Transactions!$R$8:$R$3006),"OWES","OVERPAID"))))</f>
        <v/>
      </c>
      <c r="I1976" s="1"/>
    </row>
    <row r="1977" spans="1:9" ht="18" customHeight="1" x14ac:dyDescent="0.25">
      <c r="A1977" s="48">
        <v>1962</v>
      </c>
      <c r="B1977" s="49" t="str">
        <f t="array" ref="B1977">IFERROR(IF(INDEX(Transactions!$F$8:$F$3006,MATCH(0,COUNTIF($B$11:B1976,Transactions!$F$8:$F$3006),0))="","",INDEX(Transactions!$F$8:$F$3006,MATCH(0,COUNTIF($B$11:B1976,Transactions!$F$8:$F$3006),0))),"")</f>
        <v/>
      </c>
      <c r="C1977" s="50" t="str">
        <f>IF(B1977="","",SUMIF(Transactions!$F$8:$F$3006,B1977,Transactions!$H$8:$H$3006))</f>
        <v/>
      </c>
      <c r="D1977" s="51" t="str">
        <f>IF(B1977="","",SUMIF(Transactions!$F$8:$F$3006,B1977,Transactions!$N$8:$N$3006))</f>
        <v/>
      </c>
      <c r="E1977" s="52" t="str">
        <f>IF(B1977="","",SUMIF(Transactions!$F$8:$F$3006,B1977,Transactions!$O$8:$O$3006))</f>
        <v/>
      </c>
      <c r="F1977" s="53" t="str">
        <f>IF(B1977="","",SUMIF(Transactions!$F$8:$F$3006,B1977,Transactions!$R$8:$R$3006))</f>
        <v/>
      </c>
      <c r="G1977" s="54" t="str">
        <f>IF(B1977="","",(C1977+F1977)-(D1977+E1977+SUMIF(Transactions!$F$8:$F$3006,B1977,Transactions!$Q$8:$Q$3006)))</f>
        <v/>
      </c>
      <c r="H1977" s="55" t="str">
        <f>IF(B1977="","",IF(G1977&gt;0,"OUTSTANDING",IF(G1977=0,"SETTLED",IF(SUMIF(Transactions!$F$8:$F$3006,B1977,Transactions!$Q$8:$Q$3006)&gt;SUMIF(Transactions!$F$8:$F$3006,B1977,Transactions!$R$8:$R$3006),"OWES","OVERPAID"))))</f>
        <v/>
      </c>
      <c r="I1977" s="1"/>
    </row>
    <row r="1978" spans="1:9" ht="18" customHeight="1" x14ac:dyDescent="0.25">
      <c r="A1978" s="40">
        <v>1963</v>
      </c>
      <c r="B1978" s="41" t="str">
        <f t="array" ref="B1978">IFERROR(IF(INDEX(Transactions!$F$8:$F$3006,MATCH(0,COUNTIF($B$11:B1977,Transactions!$F$8:$F$3006),0))="","",INDEX(Transactions!$F$8:$F$3006,MATCH(0,COUNTIF($B$11:B1977,Transactions!$F$8:$F$3006),0))),"")</f>
        <v/>
      </c>
      <c r="C1978" s="42" t="str">
        <f>IF(B1978="","",SUMIF(Transactions!$F$8:$F$3006,B1978,Transactions!$H$8:$H$3006))</f>
        <v/>
      </c>
      <c r="D1978" s="43" t="str">
        <f>IF(B1978="","",SUMIF(Transactions!$F$8:$F$3006,B1978,Transactions!$N$8:$N$3006))</f>
        <v/>
      </c>
      <c r="E1978" s="44" t="str">
        <f>IF(B1978="","",SUMIF(Transactions!$F$8:$F$3006,B1978,Transactions!$O$8:$O$3006))</f>
        <v/>
      </c>
      <c r="F1978" s="45" t="str">
        <f>IF(B1978="","",SUMIF(Transactions!$F$8:$F$3006,B1978,Transactions!$R$8:$R$3006))</f>
        <v/>
      </c>
      <c r="G1978" s="46" t="str">
        <f>IF(B1978="","",(C1978+F1978)-(D1978+E1978+SUMIF(Transactions!$F$8:$F$3006,B1978,Transactions!$Q$8:$Q$3006)))</f>
        <v/>
      </c>
      <c r="H1978" s="47" t="str">
        <f>IF(B1978="","",IF(G1978&gt;0,"OUTSTANDING",IF(G1978=0,"SETTLED",IF(SUMIF(Transactions!$F$8:$F$3006,B1978,Transactions!$Q$8:$Q$3006)&gt;SUMIF(Transactions!$F$8:$F$3006,B1978,Transactions!$R$8:$R$3006),"OWES","OVERPAID"))))</f>
        <v/>
      </c>
      <c r="I1978" s="1"/>
    </row>
    <row r="1979" spans="1:9" ht="18" customHeight="1" x14ac:dyDescent="0.25">
      <c r="A1979" s="48">
        <v>1964</v>
      </c>
      <c r="B1979" s="49" t="str">
        <f t="array" ref="B1979">IFERROR(IF(INDEX(Transactions!$F$8:$F$3006,MATCH(0,COUNTIF($B$11:B1978,Transactions!$F$8:$F$3006),0))="","",INDEX(Transactions!$F$8:$F$3006,MATCH(0,COUNTIF($B$11:B1978,Transactions!$F$8:$F$3006),0))),"")</f>
        <v/>
      </c>
      <c r="C1979" s="50" t="str">
        <f>IF(B1979="","",SUMIF(Transactions!$F$8:$F$3006,B1979,Transactions!$H$8:$H$3006))</f>
        <v/>
      </c>
      <c r="D1979" s="51" t="str">
        <f>IF(B1979="","",SUMIF(Transactions!$F$8:$F$3006,B1979,Transactions!$N$8:$N$3006))</f>
        <v/>
      </c>
      <c r="E1979" s="52" t="str">
        <f>IF(B1979="","",SUMIF(Transactions!$F$8:$F$3006,B1979,Transactions!$O$8:$O$3006))</f>
        <v/>
      </c>
      <c r="F1979" s="53" t="str">
        <f>IF(B1979="","",SUMIF(Transactions!$F$8:$F$3006,B1979,Transactions!$R$8:$R$3006))</f>
        <v/>
      </c>
      <c r="G1979" s="54" t="str">
        <f>IF(B1979="","",(C1979+F1979)-(D1979+E1979+SUMIF(Transactions!$F$8:$F$3006,B1979,Transactions!$Q$8:$Q$3006)))</f>
        <v/>
      </c>
      <c r="H1979" s="55" t="str">
        <f>IF(B1979="","",IF(G1979&gt;0,"OUTSTANDING",IF(G1979=0,"SETTLED",IF(SUMIF(Transactions!$F$8:$F$3006,B1979,Transactions!$Q$8:$Q$3006)&gt;SUMIF(Transactions!$F$8:$F$3006,B1979,Transactions!$R$8:$R$3006),"OWES","OVERPAID"))))</f>
        <v/>
      </c>
      <c r="I1979" s="1"/>
    </row>
    <row r="1980" spans="1:9" ht="18" customHeight="1" x14ac:dyDescent="0.25">
      <c r="A1980" s="40">
        <v>1965</v>
      </c>
      <c r="B1980" s="41" t="str">
        <f t="array" ref="B1980">IFERROR(IF(INDEX(Transactions!$F$8:$F$3006,MATCH(0,COUNTIF($B$11:B1979,Transactions!$F$8:$F$3006),0))="","",INDEX(Transactions!$F$8:$F$3006,MATCH(0,COUNTIF($B$11:B1979,Transactions!$F$8:$F$3006),0))),"")</f>
        <v/>
      </c>
      <c r="C1980" s="42" t="str">
        <f>IF(B1980="","",SUMIF(Transactions!$F$8:$F$3006,B1980,Transactions!$H$8:$H$3006))</f>
        <v/>
      </c>
      <c r="D1980" s="43" t="str">
        <f>IF(B1980="","",SUMIF(Transactions!$F$8:$F$3006,B1980,Transactions!$N$8:$N$3006))</f>
        <v/>
      </c>
      <c r="E1980" s="44" t="str">
        <f>IF(B1980="","",SUMIF(Transactions!$F$8:$F$3006,B1980,Transactions!$O$8:$O$3006))</f>
        <v/>
      </c>
      <c r="F1980" s="45" t="str">
        <f>IF(B1980="","",SUMIF(Transactions!$F$8:$F$3006,B1980,Transactions!$R$8:$R$3006))</f>
        <v/>
      </c>
      <c r="G1980" s="46" t="str">
        <f>IF(B1980="","",(C1980+F1980)-(D1980+E1980+SUMIF(Transactions!$F$8:$F$3006,B1980,Transactions!$Q$8:$Q$3006)))</f>
        <v/>
      </c>
      <c r="H1980" s="47" t="str">
        <f>IF(B1980="","",IF(G1980&gt;0,"OUTSTANDING",IF(G1980=0,"SETTLED",IF(SUMIF(Transactions!$F$8:$F$3006,B1980,Transactions!$Q$8:$Q$3006)&gt;SUMIF(Transactions!$F$8:$F$3006,B1980,Transactions!$R$8:$R$3006),"OWES","OVERPAID"))))</f>
        <v/>
      </c>
      <c r="I1980" s="1"/>
    </row>
    <row r="1981" spans="1:9" ht="18" customHeight="1" x14ac:dyDescent="0.25">
      <c r="A1981" s="48">
        <v>1966</v>
      </c>
      <c r="B1981" s="49" t="str">
        <f t="array" ref="B1981">IFERROR(IF(INDEX(Transactions!$F$8:$F$3006,MATCH(0,COUNTIF($B$11:B1980,Transactions!$F$8:$F$3006),0))="","",INDEX(Transactions!$F$8:$F$3006,MATCH(0,COUNTIF($B$11:B1980,Transactions!$F$8:$F$3006),0))),"")</f>
        <v/>
      </c>
      <c r="C1981" s="50" t="str">
        <f>IF(B1981="","",SUMIF(Transactions!$F$8:$F$3006,B1981,Transactions!$H$8:$H$3006))</f>
        <v/>
      </c>
      <c r="D1981" s="51" t="str">
        <f>IF(B1981="","",SUMIF(Transactions!$F$8:$F$3006,B1981,Transactions!$N$8:$N$3006))</f>
        <v/>
      </c>
      <c r="E1981" s="52" t="str">
        <f>IF(B1981="","",SUMIF(Transactions!$F$8:$F$3006,B1981,Transactions!$O$8:$O$3006))</f>
        <v/>
      </c>
      <c r="F1981" s="53" t="str">
        <f>IF(B1981="","",SUMIF(Transactions!$F$8:$F$3006,B1981,Transactions!$R$8:$R$3006))</f>
        <v/>
      </c>
      <c r="G1981" s="54" t="str">
        <f>IF(B1981="","",(C1981+F1981)-(D1981+E1981+SUMIF(Transactions!$F$8:$F$3006,B1981,Transactions!$Q$8:$Q$3006)))</f>
        <v/>
      </c>
      <c r="H1981" s="55" t="str">
        <f>IF(B1981="","",IF(G1981&gt;0,"OUTSTANDING",IF(G1981=0,"SETTLED",IF(SUMIF(Transactions!$F$8:$F$3006,B1981,Transactions!$Q$8:$Q$3006)&gt;SUMIF(Transactions!$F$8:$F$3006,B1981,Transactions!$R$8:$R$3006),"OWES","OVERPAID"))))</f>
        <v/>
      </c>
      <c r="I1981" s="1"/>
    </row>
    <row r="1982" spans="1:9" ht="18" customHeight="1" x14ac:dyDescent="0.25">
      <c r="A1982" s="40">
        <v>1967</v>
      </c>
      <c r="B1982" s="41" t="str">
        <f t="array" ref="B1982">IFERROR(IF(INDEX(Transactions!$F$8:$F$3006,MATCH(0,COUNTIF($B$11:B1981,Transactions!$F$8:$F$3006),0))="","",INDEX(Transactions!$F$8:$F$3006,MATCH(0,COUNTIF($B$11:B1981,Transactions!$F$8:$F$3006),0))),"")</f>
        <v/>
      </c>
      <c r="C1982" s="42" t="str">
        <f>IF(B1982="","",SUMIF(Transactions!$F$8:$F$3006,B1982,Transactions!$H$8:$H$3006))</f>
        <v/>
      </c>
      <c r="D1982" s="43" t="str">
        <f>IF(B1982="","",SUMIF(Transactions!$F$8:$F$3006,B1982,Transactions!$N$8:$N$3006))</f>
        <v/>
      </c>
      <c r="E1982" s="44" t="str">
        <f>IF(B1982="","",SUMIF(Transactions!$F$8:$F$3006,B1982,Transactions!$O$8:$O$3006))</f>
        <v/>
      </c>
      <c r="F1982" s="45" t="str">
        <f>IF(B1982="","",SUMIF(Transactions!$F$8:$F$3006,B1982,Transactions!$R$8:$R$3006))</f>
        <v/>
      </c>
      <c r="G1982" s="46" t="str">
        <f>IF(B1982="","",(C1982+F1982)-(D1982+E1982+SUMIF(Transactions!$F$8:$F$3006,B1982,Transactions!$Q$8:$Q$3006)))</f>
        <v/>
      </c>
      <c r="H1982" s="47" t="str">
        <f>IF(B1982="","",IF(G1982&gt;0,"OUTSTANDING",IF(G1982=0,"SETTLED",IF(SUMIF(Transactions!$F$8:$F$3006,B1982,Transactions!$Q$8:$Q$3006)&gt;SUMIF(Transactions!$F$8:$F$3006,B1982,Transactions!$R$8:$R$3006),"OWES","OVERPAID"))))</f>
        <v/>
      </c>
      <c r="I1982" s="1"/>
    </row>
    <row r="1983" spans="1:9" ht="18" customHeight="1" x14ac:dyDescent="0.25">
      <c r="A1983" s="48">
        <v>1968</v>
      </c>
      <c r="B1983" s="49" t="str">
        <f t="array" ref="B1983">IFERROR(IF(INDEX(Transactions!$F$8:$F$3006,MATCH(0,COUNTIF($B$11:B1982,Transactions!$F$8:$F$3006),0))="","",INDEX(Transactions!$F$8:$F$3006,MATCH(0,COUNTIF($B$11:B1982,Transactions!$F$8:$F$3006),0))),"")</f>
        <v/>
      </c>
      <c r="C1983" s="50" t="str">
        <f>IF(B1983="","",SUMIF(Transactions!$F$8:$F$3006,B1983,Transactions!$H$8:$H$3006))</f>
        <v/>
      </c>
      <c r="D1983" s="51" t="str">
        <f>IF(B1983="","",SUMIF(Transactions!$F$8:$F$3006,B1983,Transactions!$N$8:$N$3006))</f>
        <v/>
      </c>
      <c r="E1983" s="52" t="str">
        <f>IF(B1983="","",SUMIF(Transactions!$F$8:$F$3006,B1983,Transactions!$O$8:$O$3006))</f>
        <v/>
      </c>
      <c r="F1983" s="53" t="str">
        <f>IF(B1983="","",SUMIF(Transactions!$F$8:$F$3006,B1983,Transactions!$R$8:$R$3006))</f>
        <v/>
      </c>
      <c r="G1983" s="54" t="str">
        <f>IF(B1983="","",(C1983+F1983)-(D1983+E1983+SUMIF(Transactions!$F$8:$F$3006,B1983,Transactions!$Q$8:$Q$3006)))</f>
        <v/>
      </c>
      <c r="H1983" s="55" t="str">
        <f>IF(B1983="","",IF(G1983&gt;0,"OUTSTANDING",IF(G1983=0,"SETTLED",IF(SUMIF(Transactions!$F$8:$F$3006,B1983,Transactions!$Q$8:$Q$3006)&gt;SUMIF(Transactions!$F$8:$F$3006,B1983,Transactions!$R$8:$R$3006),"OWES","OVERPAID"))))</f>
        <v/>
      </c>
      <c r="I1983" s="1"/>
    </row>
    <row r="1984" spans="1:9" ht="18" customHeight="1" x14ac:dyDescent="0.25">
      <c r="A1984" s="40">
        <v>1969</v>
      </c>
      <c r="B1984" s="41" t="str">
        <f t="array" ref="B1984">IFERROR(IF(INDEX(Transactions!$F$8:$F$3006,MATCH(0,COUNTIF($B$11:B1983,Transactions!$F$8:$F$3006),0))="","",INDEX(Transactions!$F$8:$F$3006,MATCH(0,COUNTIF($B$11:B1983,Transactions!$F$8:$F$3006),0))),"")</f>
        <v/>
      </c>
      <c r="C1984" s="42" t="str">
        <f>IF(B1984="","",SUMIF(Transactions!$F$8:$F$3006,B1984,Transactions!$H$8:$H$3006))</f>
        <v/>
      </c>
      <c r="D1984" s="43" t="str">
        <f>IF(B1984="","",SUMIF(Transactions!$F$8:$F$3006,B1984,Transactions!$N$8:$N$3006))</f>
        <v/>
      </c>
      <c r="E1984" s="44" t="str">
        <f>IF(B1984="","",SUMIF(Transactions!$F$8:$F$3006,B1984,Transactions!$O$8:$O$3006))</f>
        <v/>
      </c>
      <c r="F1984" s="45" t="str">
        <f>IF(B1984="","",SUMIF(Transactions!$F$8:$F$3006,B1984,Transactions!$R$8:$R$3006))</f>
        <v/>
      </c>
      <c r="G1984" s="46" t="str">
        <f>IF(B1984="","",(C1984+F1984)-(D1984+E1984+SUMIF(Transactions!$F$8:$F$3006,B1984,Transactions!$Q$8:$Q$3006)))</f>
        <v/>
      </c>
      <c r="H1984" s="47" t="str">
        <f>IF(B1984="","",IF(G1984&gt;0,"OUTSTANDING",IF(G1984=0,"SETTLED",IF(SUMIF(Transactions!$F$8:$F$3006,B1984,Transactions!$Q$8:$Q$3006)&gt;SUMIF(Transactions!$F$8:$F$3006,B1984,Transactions!$R$8:$R$3006),"OWES","OVERPAID"))))</f>
        <v/>
      </c>
      <c r="I1984" s="1"/>
    </row>
    <row r="1985" spans="1:9" ht="18" customHeight="1" x14ac:dyDescent="0.25">
      <c r="A1985" s="48">
        <v>1970</v>
      </c>
      <c r="B1985" s="49" t="str">
        <f t="array" ref="B1985">IFERROR(IF(INDEX(Transactions!$F$8:$F$3006,MATCH(0,COUNTIF($B$11:B1984,Transactions!$F$8:$F$3006),0))="","",INDEX(Transactions!$F$8:$F$3006,MATCH(0,COUNTIF($B$11:B1984,Transactions!$F$8:$F$3006),0))),"")</f>
        <v/>
      </c>
      <c r="C1985" s="50" t="str">
        <f>IF(B1985="","",SUMIF(Transactions!$F$8:$F$3006,B1985,Transactions!$H$8:$H$3006))</f>
        <v/>
      </c>
      <c r="D1985" s="51" t="str">
        <f>IF(B1985="","",SUMIF(Transactions!$F$8:$F$3006,B1985,Transactions!$N$8:$N$3006))</f>
        <v/>
      </c>
      <c r="E1985" s="52" t="str">
        <f>IF(B1985="","",SUMIF(Transactions!$F$8:$F$3006,B1985,Transactions!$O$8:$O$3006))</f>
        <v/>
      </c>
      <c r="F1985" s="53" t="str">
        <f>IF(B1985="","",SUMIF(Transactions!$F$8:$F$3006,B1985,Transactions!$R$8:$R$3006))</f>
        <v/>
      </c>
      <c r="G1985" s="54" t="str">
        <f>IF(B1985="","",(C1985+F1985)-(D1985+E1985+SUMIF(Transactions!$F$8:$F$3006,B1985,Transactions!$Q$8:$Q$3006)))</f>
        <v/>
      </c>
      <c r="H1985" s="55" t="str">
        <f>IF(B1985="","",IF(G1985&gt;0,"OUTSTANDING",IF(G1985=0,"SETTLED",IF(SUMIF(Transactions!$F$8:$F$3006,B1985,Transactions!$Q$8:$Q$3006)&gt;SUMIF(Transactions!$F$8:$F$3006,B1985,Transactions!$R$8:$R$3006),"OWES","OVERPAID"))))</f>
        <v/>
      </c>
      <c r="I1985" s="1"/>
    </row>
    <row r="1986" spans="1:9" ht="18" customHeight="1" x14ac:dyDescent="0.25">
      <c r="A1986" s="40">
        <v>1971</v>
      </c>
      <c r="B1986" s="41" t="str">
        <f t="array" ref="B1986">IFERROR(IF(INDEX(Transactions!$F$8:$F$3006,MATCH(0,COUNTIF($B$11:B1985,Transactions!$F$8:$F$3006),0))="","",INDEX(Transactions!$F$8:$F$3006,MATCH(0,COUNTIF($B$11:B1985,Transactions!$F$8:$F$3006),0))),"")</f>
        <v/>
      </c>
      <c r="C1986" s="42" t="str">
        <f>IF(B1986="","",SUMIF(Transactions!$F$8:$F$3006,B1986,Transactions!$H$8:$H$3006))</f>
        <v/>
      </c>
      <c r="D1986" s="43" t="str">
        <f>IF(B1986="","",SUMIF(Transactions!$F$8:$F$3006,B1986,Transactions!$N$8:$N$3006))</f>
        <v/>
      </c>
      <c r="E1986" s="44" t="str">
        <f>IF(B1986="","",SUMIF(Transactions!$F$8:$F$3006,B1986,Transactions!$O$8:$O$3006))</f>
        <v/>
      </c>
      <c r="F1986" s="45" t="str">
        <f>IF(B1986="","",SUMIF(Transactions!$F$8:$F$3006,B1986,Transactions!$R$8:$R$3006))</f>
        <v/>
      </c>
      <c r="G1986" s="46" t="str">
        <f>IF(B1986="","",(C1986+F1986)-(D1986+E1986+SUMIF(Transactions!$F$8:$F$3006,B1986,Transactions!$Q$8:$Q$3006)))</f>
        <v/>
      </c>
      <c r="H1986" s="47" t="str">
        <f>IF(B1986="","",IF(G1986&gt;0,"OUTSTANDING",IF(G1986=0,"SETTLED",IF(SUMIF(Transactions!$F$8:$F$3006,B1986,Transactions!$Q$8:$Q$3006)&gt;SUMIF(Transactions!$F$8:$F$3006,B1986,Transactions!$R$8:$R$3006),"OWES","OVERPAID"))))</f>
        <v/>
      </c>
      <c r="I1986" s="1"/>
    </row>
    <row r="1987" spans="1:9" ht="18" customHeight="1" x14ac:dyDescent="0.25">
      <c r="A1987" s="48">
        <v>1972</v>
      </c>
      <c r="B1987" s="49" t="str">
        <f t="array" ref="B1987">IFERROR(IF(INDEX(Transactions!$F$8:$F$3006,MATCH(0,COUNTIF($B$11:B1986,Transactions!$F$8:$F$3006),0))="","",INDEX(Transactions!$F$8:$F$3006,MATCH(0,COUNTIF($B$11:B1986,Transactions!$F$8:$F$3006),0))),"")</f>
        <v/>
      </c>
      <c r="C1987" s="50" t="str">
        <f>IF(B1987="","",SUMIF(Transactions!$F$8:$F$3006,B1987,Transactions!$H$8:$H$3006))</f>
        <v/>
      </c>
      <c r="D1987" s="51" t="str">
        <f>IF(B1987="","",SUMIF(Transactions!$F$8:$F$3006,B1987,Transactions!$N$8:$N$3006))</f>
        <v/>
      </c>
      <c r="E1987" s="52" t="str">
        <f>IF(B1987="","",SUMIF(Transactions!$F$8:$F$3006,B1987,Transactions!$O$8:$O$3006))</f>
        <v/>
      </c>
      <c r="F1987" s="53" t="str">
        <f>IF(B1987="","",SUMIF(Transactions!$F$8:$F$3006,B1987,Transactions!$R$8:$R$3006))</f>
        <v/>
      </c>
      <c r="G1987" s="54" t="str">
        <f>IF(B1987="","",(C1987+F1987)-(D1987+E1987+SUMIF(Transactions!$F$8:$F$3006,B1987,Transactions!$Q$8:$Q$3006)))</f>
        <v/>
      </c>
      <c r="H1987" s="55" t="str">
        <f>IF(B1987="","",IF(G1987&gt;0,"OUTSTANDING",IF(G1987=0,"SETTLED",IF(SUMIF(Transactions!$F$8:$F$3006,B1987,Transactions!$Q$8:$Q$3006)&gt;SUMIF(Transactions!$F$8:$F$3006,B1987,Transactions!$R$8:$R$3006),"OWES","OVERPAID"))))</f>
        <v/>
      </c>
      <c r="I1987" s="1"/>
    </row>
    <row r="1988" spans="1:9" ht="18" customHeight="1" x14ac:dyDescent="0.25">
      <c r="A1988" s="40">
        <v>1973</v>
      </c>
      <c r="B1988" s="41" t="str">
        <f t="array" ref="B1988">IFERROR(IF(INDEX(Transactions!$F$8:$F$3006,MATCH(0,COUNTIF($B$11:B1987,Transactions!$F$8:$F$3006),0))="","",INDEX(Transactions!$F$8:$F$3006,MATCH(0,COUNTIF($B$11:B1987,Transactions!$F$8:$F$3006),0))),"")</f>
        <v/>
      </c>
      <c r="C1988" s="42" t="str">
        <f>IF(B1988="","",SUMIF(Transactions!$F$8:$F$3006,B1988,Transactions!$H$8:$H$3006))</f>
        <v/>
      </c>
      <c r="D1988" s="43" t="str">
        <f>IF(B1988="","",SUMIF(Transactions!$F$8:$F$3006,B1988,Transactions!$N$8:$N$3006))</f>
        <v/>
      </c>
      <c r="E1988" s="44" t="str">
        <f>IF(B1988="","",SUMIF(Transactions!$F$8:$F$3006,B1988,Transactions!$O$8:$O$3006))</f>
        <v/>
      </c>
      <c r="F1988" s="45" t="str">
        <f>IF(B1988="","",SUMIF(Transactions!$F$8:$F$3006,B1988,Transactions!$R$8:$R$3006))</f>
        <v/>
      </c>
      <c r="G1988" s="46" t="str">
        <f>IF(B1988="","",(C1988+F1988)-(D1988+E1988+SUMIF(Transactions!$F$8:$F$3006,B1988,Transactions!$Q$8:$Q$3006)))</f>
        <v/>
      </c>
      <c r="H1988" s="47" t="str">
        <f>IF(B1988="","",IF(G1988&gt;0,"OUTSTANDING",IF(G1988=0,"SETTLED",IF(SUMIF(Transactions!$F$8:$F$3006,B1988,Transactions!$Q$8:$Q$3006)&gt;SUMIF(Transactions!$F$8:$F$3006,B1988,Transactions!$R$8:$R$3006),"OWES","OVERPAID"))))</f>
        <v/>
      </c>
      <c r="I1988" s="1"/>
    </row>
    <row r="1989" spans="1:9" ht="18" customHeight="1" x14ac:dyDescent="0.25">
      <c r="A1989" s="48">
        <v>1974</v>
      </c>
      <c r="B1989" s="49" t="str">
        <f t="array" ref="B1989">IFERROR(IF(INDEX(Transactions!$F$8:$F$3006,MATCH(0,COUNTIF($B$11:B1988,Transactions!$F$8:$F$3006),0))="","",INDEX(Transactions!$F$8:$F$3006,MATCH(0,COUNTIF($B$11:B1988,Transactions!$F$8:$F$3006),0))),"")</f>
        <v/>
      </c>
      <c r="C1989" s="50" t="str">
        <f>IF(B1989="","",SUMIF(Transactions!$F$8:$F$3006,B1989,Transactions!$H$8:$H$3006))</f>
        <v/>
      </c>
      <c r="D1989" s="51" t="str">
        <f>IF(B1989="","",SUMIF(Transactions!$F$8:$F$3006,B1989,Transactions!$N$8:$N$3006))</f>
        <v/>
      </c>
      <c r="E1989" s="52" t="str">
        <f>IF(B1989="","",SUMIF(Transactions!$F$8:$F$3006,B1989,Transactions!$O$8:$O$3006))</f>
        <v/>
      </c>
      <c r="F1989" s="53" t="str">
        <f>IF(B1989="","",SUMIF(Transactions!$F$8:$F$3006,B1989,Transactions!$R$8:$R$3006))</f>
        <v/>
      </c>
      <c r="G1989" s="54" t="str">
        <f>IF(B1989="","",(C1989+F1989)-(D1989+E1989+SUMIF(Transactions!$F$8:$F$3006,B1989,Transactions!$Q$8:$Q$3006)))</f>
        <v/>
      </c>
      <c r="H1989" s="55" t="str">
        <f>IF(B1989="","",IF(G1989&gt;0,"OUTSTANDING",IF(G1989=0,"SETTLED",IF(SUMIF(Transactions!$F$8:$F$3006,B1989,Transactions!$Q$8:$Q$3006)&gt;SUMIF(Transactions!$F$8:$F$3006,B1989,Transactions!$R$8:$R$3006),"OWES","OVERPAID"))))</f>
        <v/>
      </c>
      <c r="I1989" s="1"/>
    </row>
    <row r="1990" spans="1:9" ht="18" customHeight="1" x14ac:dyDescent="0.25">
      <c r="A1990" s="40">
        <v>1975</v>
      </c>
      <c r="B1990" s="41" t="str">
        <f t="array" ref="B1990">IFERROR(IF(INDEX(Transactions!$F$8:$F$3006,MATCH(0,COUNTIF($B$11:B1989,Transactions!$F$8:$F$3006),0))="","",INDEX(Transactions!$F$8:$F$3006,MATCH(0,COUNTIF($B$11:B1989,Transactions!$F$8:$F$3006),0))),"")</f>
        <v/>
      </c>
      <c r="C1990" s="42" t="str">
        <f>IF(B1990="","",SUMIF(Transactions!$F$8:$F$3006,B1990,Transactions!$H$8:$H$3006))</f>
        <v/>
      </c>
      <c r="D1990" s="43" t="str">
        <f>IF(B1990="","",SUMIF(Transactions!$F$8:$F$3006,B1990,Transactions!$N$8:$N$3006))</f>
        <v/>
      </c>
      <c r="E1990" s="44" t="str">
        <f>IF(B1990="","",SUMIF(Transactions!$F$8:$F$3006,B1990,Transactions!$O$8:$O$3006))</f>
        <v/>
      </c>
      <c r="F1990" s="45" t="str">
        <f>IF(B1990="","",SUMIF(Transactions!$F$8:$F$3006,B1990,Transactions!$R$8:$R$3006))</f>
        <v/>
      </c>
      <c r="G1990" s="46" t="str">
        <f>IF(B1990="","",(C1990+F1990)-(D1990+E1990+SUMIF(Transactions!$F$8:$F$3006,B1990,Transactions!$Q$8:$Q$3006)))</f>
        <v/>
      </c>
      <c r="H1990" s="47" t="str">
        <f>IF(B1990="","",IF(G1990&gt;0,"OUTSTANDING",IF(G1990=0,"SETTLED",IF(SUMIF(Transactions!$F$8:$F$3006,B1990,Transactions!$Q$8:$Q$3006)&gt;SUMIF(Transactions!$F$8:$F$3006,B1990,Transactions!$R$8:$R$3006),"OWES","OVERPAID"))))</f>
        <v/>
      </c>
      <c r="I1990" s="1"/>
    </row>
    <row r="1991" spans="1:9" ht="18" customHeight="1" x14ac:dyDescent="0.25">
      <c r="A1991" s="48">
        <v>1976</v>
      </c>
      <c r="B1991" s="49" t="str">
        <f t="array" ref="B1991">IFERROR(IF(INDEX(Transactions!$F$8:$F$3006,MATCH(0,COUNTIF($B$11:B1990,Transactions!$F$8:$F$3006),0))="","",INDEX(Transactions!$F$8:$F$3006,MATCH(0,COUNTIF($B$11:B1990,Transactions!$F$8:$F$3006),0))),"")</f>
        <v/>
      </c>
      <c r="C1991" s="50" t="str">
        <f>IF(B1991="","",SUMIF(Transactions!$F$8:$F$3006,B1991,Transactions!$H$8:$H$3006))</f>
        <v/>
      </c>
      <c r="D1991" s="51" t="str">
        <f>IF(B1991="","",SUMIF(Transactions!$F$8:$F$3006,B1991,Transactions!$N$8:$N$3006))</f>
        <v/>
      </c>
      <c r="E1991" s="52" t="str">
        <f>IF(B1991="","",SUMIF(Transactions!$F$8:$F$3006,B1991,Transactions!$O$8:$O$3006))</f>
        <v/>
      </c>
      <c r="F1991" s="53" t="str">
        <f>IF(B1991="","",SUMIF(Transactions!$F$8:$F$3006,B1991,Transactions!$R$8:$R$3006))</f>
        <v/>
      </c>
      <c r="G1991" s="54" t="str">
        <f>IF(B1991="","",(C1991+F1991)-(D1991+E1991+SUMIF(Transactions!$F$8:$F$3006,B1991,Transactions!$Q$8:$Q$3006)))</f>
        <v/>
      </c>
      <c r="H1991" s="55" t="str">
        <f>IF(B1991="","",IF(G1991&gt;0,"OUTSTANDING",IF(G1991=0,"SETTLED",IF(SUMIF(Transactions!$F$8:$F$3006,B1991,Transactions!$Q$8:$Q$3006)&gt;SUMIF(Transactions!$F$8:$F$3006,B1991,Transactions!$R$8:$R$3006),"OWES","OVERPAID"))))</f>
        <v/>
      </c>
      <c r="I1991" s="1"/>
    </row>
    <row r="1992" spans="1:9" ht="18" customHeight="1" x14ac:dyDescent="0.25">
      <c r="A1992" s="40">
        <v>1977</v>
      </c>
      <c r="B1992" s="41" t="str">
        <f t="array" ref="B1992">IFERROR(IF(INDEX(Transactions!$F$8:$F$3006,MATCH(0,COUNTIF($B$11:B1991,Transactions!$F$8:$F$3006),0))="","",INDEX(Transactions!$F$8:$F$3006,MATCH(0,COUNTIF($B$11:B1991,Transactions!$F$8:$F$3006),0))),"")</f>
        <v/>
      </c>
      <c r="C1992" s="42" t="str">
        <f>IF(B1992="","",SUMIF(Transactions!$F$8:$F$3006,B1992,Transactions!$H$8:$H$3006))</f>
        <v/>
      </c>
      <c r="D1992" s="43" t="str">
        <f>IF(B1992="","",SUMIF(Transactions!$F$8:$F$3006,B1992,Transactions!$N$8:$N$3006))</f>
        <v/>
      </c>
      <c r="E1992" s="44" t="str">
        <f>IF(B1992="","",SUMIF(Transactions!$F$8:$F$3006,B1992,Transactions!$O$8:$O$3006))</f>
        <v/>
      </c>
      <c r="F1992" s="45" t="str">
        <f>IF(B1992="","",SUMIF(Transactions!$F$8:$F$3006,B1992,Transactions!$R$8:$R$3006))</f>
        <v/>
      </c>
      <c r="G1992" s="46" t="str">
        <f>IF(B1992="","",(C1992+F1992)-(D1992+E1992+SUMIF(Transactions!$F$8:$F$3006,B1992,Transactions!$Q$8:$Q$3006)))</f>
        <v/>
      </c>
      <c r="H1992" s="47" t="str">
        <f>IF(B1992="","",IF(G1992&gt;0,"OUTSTANDING",IF(G1992=0,"SETTLED",IF(SUMIF(Transactions!$F$8:$F$3006,B1992,Transactions!$Q$8:$Q$3006)&gt;SUMIF(Transactions!$F$8:$F$3006,B1992,Transactions!$R$8:$R$3006),"OWES","OVERPAID"))))</f>
        <v/>
      </c>
      <c r="I1992" s="1"/>
    </row>
    <row r="1993" spans="1:9" ht="18" customHeight="1" x14ac:dyDescent="0.25">
      <c r="A1993" s="48">
        <v>1978</v>
      </c>
      <c r="B1993" s="49" t="str">
        <f t="array" ref="B1993">IFERROR(IF(INDEX(Transactions!$F$8:$F$3006,MATCH(0,COUNTIF($B$11:B1992,Transactions!$F$8:$F$3006),0))="","",INDEX(Transactions!$F$8:$F$3006,MATCH(0,COUNTIF($B$11:B1992,Transactions!$F$8:$F$3006),0))),"")</f>
        <v/>
      </c>
      <c r="C1993" s="50" t="str">
        <f>IF(B1993="","",SUMIF(Transactions!$F$8:$F$3006,B1993,Transactions!$H$8:$H$3006))</f>
        <v/>
      </c>
      <c r="D1993" s="51" t="str">
        <f>IF(B1993="","",SUMIF(Transactions!$F$8:$F$3006,B1993,Transactions!$N$8:$N$3006))</f>
        <v/>
      </c>
      <c r="E1993" s="52" t="str">
        <f>IF(B1993="","",SUMIF(Transactions!$F$8:$F$3006,B1993,Transactions!$O$8:$O$3006))</f>
        <v/>
      </c>
      <c r="F1993" s="53" t="str">
        <f>IF(B1993="","",SUMIF(Transactions!$F$8:$F$3006,B1993,Transactions!$R$8:$R$3006))</f>
        <v/>
      </c>
      <c r="G1993" s="54" t="str">
        <f>IF(B1993="","",(C1993+F1993)-(D1993+E1993+SUMIF(Transactions!$F$8:$F$3006,B1993,Transactions!$Q$8:$Q$3006)))</f>
        <v/>
      </c>
      <c r="H1993" s="55" t="str">
        <f>IF(B1993="","",IF(G1993&gt;0,"OUTSTANDING",IF(G1993=0,"SETTLED",IF(SUMIF(Transactions!$F$8:$F$3006,B1993,Transactions!$Q$8:$Q$3006)&gt;SUMIF(Transactions!$F$8:$F$3006,B1993,Transactions!$R$8:$R$3006),"OWES","OVERPAID"))))</f>
        <v/>
      </c>
      <c r="I1993" s="1"/>
    </row>
    <row r="1994" spans="1:9" ht="18" customHeight="1" x14ac:dyDescent="0.25">
      <c r="A1994" s="40">
        <v>1979</v>
      </c>
      <c r="B1994" s="41" t="str">
        <f t="array" ref="B1994">IFERROR(IF(INDEX(Transactions!$F$8:$F$3006,MATCH(0,COUNTIF($B$11:B1993,Transactions!$F$8:$F$3006),0))="","",INDEX(Transactions!$F$8:$F$3006,MATCH(0,COUNTIF($B$11:B1993,Transactions!$F$8:$F$3006),0))),"")</f>
        <v/>
      </c>
      <c r="C1994" s="42" t="str">
        <f>IF(B1994="","",SUMIF(Transactions!$F$8:$F$3006,B1994,Transactions!$H$8:$H$3006))</f>
        <v/>
      </c>
      <c r="D1994" s="43" t="str">
        <f>IF(B1994="","",SUMIF(Transactions!$F$8:$F$3006,B1994,Transactions!$N$8:$N$3006))</f>
        <v/>
      </c>
      <c r="E1994" s="44" t="str">
        <f>IF(B1994="","",SUMIF(Transactions!$F$8:$F$3006,B1994,Transactions!$O$8:$O$3006))</f>
        <v/>
      </c>
      <c r="F1994" s="45" t="str">
        <f>IF(B1994="","",SUMIF(Transactions!$F$8:$F$3006,B1994,Transactions!$R$8:$R$3006))</f>
        <v/>
      </c>
      <c r="G1994" s="46" t="str">
        <f>IF(B1994="","",(C1994+F1994)-(D1994+E1994+SUMIF(Transactions!$F$8:$F$3006,B1994,Transactions!$Q$8:$Q$3006)))</f>
        <v/>
      </c>
      <c r="H1994" s="47" t="str">
        <f>IF(B1994="","",IF(G1994&gt;0,"OUTSTANDING",IF(G1994=0,"SETTLED",IF(SUMIF(Transactions!$F$8:$F$3006,B1994,Transactions!$Q$8:$Q$3006)&gt;SUMIF(Transactions!$F$8:$F$3006,B1994,Transactions!$R$8:$R$3006),"OWES","OVERPAID"))))</f>
        <v/>
      </c>
      <c r="I1994" s="1"/>
    </row>
    <row r="1995" spans="1:9" ht="18" customHeight="1" x14ac:dyDescent="0.25">
      <c r="A1995" s="48">
        <v>1980</v>
      </c>
      <c r="B1995" s="49" t="str">
        <f t="array" ref="B1995">IFERROR(IF(INDEX(Transactions!$F$8:$F$3006,MATCH(0,COUNTIF($B$11:B1994,Transactions!$F$8:$F$3006),0))="","",INDEX(Transactions!$F$8:$F$3006,MATCH(0,COUNTIF($B$11:B1994,Transactions!$F$8:$F$3006),0))),"")</f>
        <v/>
      </c>
      <c r="C1995" s="50" t="str">
        <f>IF(B1995="","",SUMIF(Transactions!$F$8:$F$3006,B1995,Transactions!$H$8:$H$3006))</f>
        <v/>
      </c>
      <c r="D1995" s="51" t="str">
        <f>IF(B1995="","",SUMIF(Transactions!$F$8:$F$3006,B1995,Transactions!$N$8:$N$3006))</f>
        <v/>
      </c>
      <c r="E1995" s="52" t="str">
        <f>IF(B1995="","",SUMIF(Transactions!$F$8:$F$3006,B1995,Transactions!$O$8:$O$3006))</f>
        <v/>
      </c>
      <c r="F1995" s="53" t="str">
        <f>IF(B1995="","",SUMIF(Transactions!$F$8:$F$3006,B1995,Transactions!$R$8:$R$3006))</f>
        <v/>
      </c>
      <c r="G1995" s="54" t="str">
        <f>IF(B1995="","",(C1995+F1995)-(D1995+E1995+SUMIF(Transactions!$F$8:$F$3006,B1995,Transactions!$Q$8:$Q$3006)))</f>
        <v/>
      </c>
      <c r="H1995" s="55" t="str">
        <f>IF(B1995="","",IF(G1995&gt;0,"OUTSTANDING",IF(G1995=0,"SETTLED",IF(SUMIF(Transactions!$F$8:$F$3006,B1995,Transactions!$Q$8:$Q$3006)&gt;SUMIF(Transactions!$F$8:$F$3006,B1995,Transactions!$R$8:$R$3006),"OWES","OVERPAID"))))</f>
        <v/>
      </c>
      <c r="I1995" s="1"/>
    </row>
    <row r="1996" spans="1:9" ht="18" customHeight="1" x14ac:dyDescent="0.25">
      <c r="A1996" s="40">
        <v>1981</v>
      </c>
      <c r="B1996" s="41" t="str">
        <f t="array" ref="B1996">IFERROR(IF(INDEX(Transactions!$F$8:$F$3006,MATCH(0,COUNTIF($B$11:B1995,Transactions!$F$8:$F$3006),0))="","",INDEX(Transactions!$F$8:$F$3006,MATCH(0,COUNTIF($B$11:B1995,Transactions!$F$8:$F$3006),0))),"")</f>
        <v/>
      </c>
      <c r="C1996" s="42" t="str">
        <f>IF(B1996="","",SUMIF(Transactions!$F$8:$F$3006,B1996,Transactions!$H$8:$H$3006))</f>
        <v/>
      </c>
      <c r="D1996" s="43" t="str">
        <f>IF(B1996="","",SUMIF(Transactions!$F$8:$F$3006,B1996,Transactions!$N$8:$N$3006))</f>
        <v/>
      </c>
      <c r="E1996" s="44" t="str">
        <f>IF(B1996="","",SUMIF(Transactions!$F$8:$F$3006,B1996,Transactions!$O$8:$O$3006))</f>
        <v/>
      </c>
      <c r="F1996" s="45" t="str">
        <f>IF(B1996="","",SUMIF(Transactions!$F$8:$F$3006,B1996,Transactions!$R$8:$R$3006))</f>
        <v/>
      </c>
      <c r="G1996" s="46" t="str">
        <f>IF(B1996="","",(C1996+F1996)-(D1996+E1996+SUMIF(Transactions!$F$8:$F$3006,B1996,Transactions!$Q$8:$Q$3006)))</f>
        <v/>
      </c>
      <c r="H1996" s="47" t="str">
        <f>IF(B1996="","",IF(G1996&gt;0,"OUTSTANDING",IF(G1996=0,"SETTLED",IF(SUMIF(Transactions!$F$8:$F$3006,B1996,Transactions!$Q$8:$Q$3006)&gt;SUMIF(Transactions!$F$8:$F$3006,B1996,Transactions!$R$8:$R$3006),"OWES","OVERPAID"))))</f>
        <v/>
      </c>
      <c r="I1996" s="1"/>
    </row>
    <row r="1997" spans="1:9" ht="18" customHeight="1" x14ac:dyDescent="0.25">
      <c r="A1997" s="48">
        <v>1982</v>
      </c>
      <c r="B1997" s="49" t="str">
        <f t="array" ref="B1997">IFERROR(IF(INDEX(Transactions!$F$8:$F$3006,MATCH(0,COUNTIF($B$11:B1996,Transactions!$F$8:$F$3006),0))="","",INDEX(Transactions!$F$8:$F$3006,MATCH(0,COUNTIF($B$11:B1996,Transactions!$F$8:$F$3006),0))),"")</f>
        <v/>
      </c>
      <c r="C1997" s="50" t="str">
        <f>IF(B1997="","",SUMIF(Transactions!$F$8:$F$3006,B1997,Transactions!$H$8:$H$3006))</f>
        <v/>
      </c>
      <c r="D1997" s="51" t="str">
        <f>IF(B1997="","",SUMIF(Transactions!$F$8:$F$3006,B1997,Transactions!$N$8:$N$3006))</f>
        <v/>
      </c>
      <c r="E1997" s="52" t="str">
        <f>IF(B1997="","",SUMIF(Transactions!$F$8:$F$3006,B1997,Transactions!$O$8:$O$3006))</f>
        <v/>
      </c>
      <c r="F1997" s="53" t="str">
        <f>IF(B1997="","",SUMIF(Transactions!$F$8:$F$3006,B1997,Transactions!$R$8:$R$3006))</f>
        <v/>
      </c>
      <c r="G1997" s="54" t="str">
        <f>IF(B1997="","",(C1997+F1997)-(D1997+E1997+SUMIF(Transactions!$F$8:$F$3006,B1997,Transactions!$Q$8:$Q$3006)))</f>
        <v/>
      </c>
      <c r="H1997" s="55" t="str">
        <f>IF(B1997="","",IF(G1997&gt;0,"OUTSTANDING",IF(G1997=0,"SETTLED",IF(SUMIF(Transactions!$F$8:$F$3006,B1997,Transactions!$Q$8:$Q$3006)&gt;SUMIF(Transactions!$F$8:$F$3006,B1997,Transactions!$R$8:$R$3006),"OWES","OVERPAID"))))</f>
        <v/>
      </c>
      <c r="I1997" s="1"/>
    </row>
    <row r="1998" spans="1:9" ht="18" customHeight="1" x14ac:dyDescent="0.25">
      <c r="A1998" s="40">
        <v>1983</v>
      </c>
      <c r="B1998" s="41" t="str">
        <f t="array" ref="B1998">IFERROR(IF(INDEX(Transactions!$F$8:$F$3006,MATCH(0,COUNTIF($B$11:B1997,Transactions!$F$8:$F$3006),0))="","",INDEX(Transactions!$F$8:$F$3006,MATCH(0,COUNTIF($B$11:B1997,Transactions!$F$8:$F$3006),0))),"")</f>
        <v/>
      </c>
      <c r="C1998" s="42" t="str">
        <f>IF(B1998="","",SUMIF(Transactions!$F$8:$F$3006,B1998,Transactions!$H$8:$H$3006))</f>
        <v/>
      </c>
      <c r="D1998" s="43" t="str">
        <f>IF(B1998="","",SUMIF(Transactions!$F$8:$F$3006,B1998,Transactions!$N$8:$N$3006))</f>
        <v/>
      </c>
      <c r="E1998" s="44" t="str">
        <f>IF(B1998="","",SUMIF(Transactions!$F$8:$F$3006,B1998,Transactions!$O$8:$O$3006))</f>
        <v/>
      </c>
      <c r="F1998" s="45" t="str">
        <f>IF(B1998="","",SUMIF(Transactions!$F$8:$F$3006,B1998,Transactions!$R$8:$R$3006))</f>
        <v/>
      </c>
      <c r="G1998" s="46" t="str">
        <f>IF(B1998="","",(C1998+F1998)-(D1998+E1998+SUMIF(Transactions!$F$8:$F$3006,B1998,Transactions!$Q$8:$Q$3006)))</f>
        <v/>
      </c>
      <c r="H1998" s="47" t="str">
        <f>IF(B1998="","",IF(G1998&gt;0,"OUTSTANDING",IF(G1998=0,"SETTLED",IF(SUMIF(Transactions!$F$8:$F$3006,B1998,Transactions!$Q$8:$Q$3006)&gt;SUMIF(Transactions!$F$8:$F$3006,B1998,Transactions!$R$8:$R$3006),"OWES","OVERPAID"))))</f>
        <v/>
      </c>
      <c r="I1998" s="1"/>
    </row>
    <row r="1999" spans="1:9" ht="18" customHeight="1" x14ac:dyDescent="0.25">
      <c r="A1999" s="48">
        <v>1984</v>
      </c>
      <c r="B1999" s="49" t="str">
        <f t="array" ref="B1999">IFERROR(IF(INDEX(Transactions!$F$8:$F$3006,MATCH(0,COUNTIF($B$11:B1998,Transactions!$F$8:$F$3006),0))="","",INDEX(Transactions!$F$8:$F$3006,MATCH(0,COUNTIF($B$11:B1998,Transactions!$F$8:$F$3006),0))),"")</f>
        <v/>
      </c>
      <c r="C1999" s="50" t="str">
        <f>IF(B1999="","",SUMIF(Transactions!$F$8:$F$3006,B1999,Transactions!$H$8:$H$3006))</f>
        <v/>
      </c>
      <c r="D1999" s="51" t="str">
        <f>IF(B1999="","",SUMIF(Transactions!$F$8:$F$3006,B1999,Transactions!$N$8:$N$3006))</f>
        <v/>
      </c>
      <c r="E1999" s="52" t="str">
        <f>IF(B1999="","",SUMIF(Transactions!$F$8:$F$3006,B1999,Transactions!$O$8:$O$3006))</f>
        <v/>
      </c>
      <c r="F1999" s="53" t="str">
        <f>IF(B1999="","",SUMIF(Transactions!$F$8:$F$3006,B1999,Transactions!$R$8:$R$3006))</f>
        <v/>
      </c>
      <c r="G1999" s="54" t="str">
        <f>IF(B1999="","",(C1999+F1999)-(D1999+E1999+SUMIF(Transactions!$F$8:$F$3006,B1999,Transactions!$Q$8:$Q$3006)))</f>
        <v/>
      </c>
      <c r="H1999" s="55" t="str">
        <f>IF(B1999="","",IF(G1999&gt;0,"OUTSTANDING",IF(G1999=0,"SETTLED",IF(SUMIF(Transactions!$F$8:$F$3006,B1999,Transactions!$Q$8:$Q$3006)&gt;SUMIF(Transactions!$F$8:$F$3006,B1999,Transactions!$R$8:$R$3006),"OWES","OVERPAID"))))</f>
        <v/>
      </c>
      <c r="I1999" s="1"/>
    </row>
    <row r="2000" spans="1:9" ht="18" customHeight="1" x14ac:dyDescent="0.25">
      <c r="A2000" s="40">
        <v>1985</v>
      </c>
      <c r="B2000" s="41" t="str">
        <f t="array" ref="B2000">IFERROR(IF(INDEX(Transactions!$F$8:$F$3006,MATCH(0,COUNTIF($B$11:B1999,Transactions!$F$8:$F$3006),0))="","",INDEX(Transactions!$F$8:$F$3006,MATCH(0,COUNTIF($B$11:B1999,Transactions!$F$8:$F$3006),0))),"")</f>
        <v/>
      </c>
      <c r="C2000" s="42" t="str">
        <f>IF(B2000="","",SUMIF(Transactions!$F$8:$F$3006,B2000,Transactions!$H$8:$H$3006))</f>
        <v/>
      </c>
      <c r="D2000" s="43" t="str">
        <f>IF(B2000="","",SUMIF(Transactions!$F$8:$F$3006,B2000,Transactions!$N$8:$N$3006))</f>
        <v/>
      </c>
      <c r="E2000" s="44" t="str">
        <f>IF(B2000="","",SUMIF(Transactions!$F$8:$F$3006,B2000,Transactions!$O$8:$O$3006))</f>
        <v/>
      </c>
      <c r="F2000" s="45" t="str">
        <f>IF(B2000="","",SUMIF(Transactions!$F$8:$F$3006,B2000,Transactions!$R$8:$R$3006))</f>
        <v/>
      </c>
      <c r="G2000" s="46" t="str">
        <f>IF(B2000="","",(C2000+F2000)-(D2000+E2000+SUMIF(Transactions!$F$8:$F$3006,B2000,Transactions!$Q$8:$Q$3006)))</f>
        <v/>
      </c>
      <c r="H2000" s="47" t="str">
        <f>IF(B2000="","",IF(G2000&gt;0,"OUTSTANDING",IF(G2000=0,"SETTLED",IF(SUMIF(Transactions!$F$8:$F$3006,B2000,Transactions!$Q$8:$Q$3006)&gt;SUMIF(Transactions!$F$8:$F$3006,B2000,Transactions!$R$8:$R$3006),"OWES","OVERPAID"))))</f>
        <v/>
      </c>
      <c r="I2000" s="1"/>
    </row>
    <row r="2001" spans="1:9" ht="18" customHeight="1" x14ac:dyDescent="0.25">
      <c r="A2001" s="48">
        <v>1986</v>
      </c>
      <c r="B2001" s="49" t="str">
        <f t="array" ref="B2001">IFERROR(IF(INDEX(Transactions!$F$8:$F$3006,MATCH(0,COUNTIF($B$11:B2000,Transactions!$F$8:$F$3006),0))="","",INDEX(Transactions!$F$8:$F$3006,MATCH(0,COUNTIF($B$11:B2000,Transactions!$F$8:$F$3006),0))),"")</f>
        <v/>
      </c>
      <c r="C2001" s="50" t="str">
        <f>IF(B2001="","",SUMIF(Transactions!$F$8:$F$3006,B2001,Transactions!$H$8:$H$3006))</f>
        <v/>
      </c>
      <c r="D2001" s="51" t="str">
        <f>IF(B2001="","",SUMIF(Transactions!$F$8:$F$3006,B2001,Transactions!$N$8:$N$3006))</f>
        <v/>
      </c>
      <c r="E2001" s="52" t="str">
        <f>IF(B2001="","",SUMIF(Transactions!$F$8:$F$3006,B2001,Transactions!$O$8:$O$3006))</f>
        <v/>
      </c>
      <c r="F2001" s="53" t="str">
        <f>IF(B2001="","",SUMIF(Transactions!$F$8:$F$3006,B2001,Transactions!$R$8:$R$3006))</f>
        <v/>
      </c>
      <c r="G2001" s="54" t="str">
        <f>IF(B2001="","",(C2001+F2001)-(D2001+E2001+SUMIF(Transactions!$F$8:$F$3006,B2001,Transactions!$Q$8:$Q$3006)))</f>
        <v/>
      </c>
      <c r="H2001" s="55" t="str">
        <f>IF(B2001="","",IF(G2001&gt;0,"OUTSTANDING",IF(G2001=0,"SETTLED",IF(SUMIF(Transactions!$F$8:$F$3006,B2001,Transactions!$Q$8:$Q$3006)&gt;SUMIF(Transactions!$F$8:$F$3006,B2001,Transactions!$R$8:$R$3006),"OWES","OVERPAID"))))</f>
        <v/>
      </c>
      <c r="I2001" s="1"/>
    </row>
    <row r="2002" spans="1:9" ht="18" customHeight="1" x14ac:dyDescent="0.25">
      <c r="A2002" s="40">
        <v>1987</v>
      </c>
      <c r="B2002" s="41" t="str">
        <f t="array" ref="B2002">IFERROR(IF(INDEX(Transactions!$F$8:$F$3006,MATCH(0,COUNTIF($B$11:B2001,Transactions!$F$8:$F$3006),0))="","",INDEX(Transactions!$F$8:$F$3006,MATCH(0,COUNTIF($B$11:B2001,Transactions!$F$8:$F$3006),0))),"")</f>
        <v/>
      </c>
      <c r="C2002" s="42" t="str">
        <f>IF(B2002="","",SUMIF(Transactions!$F$8:$F$3006,B2002,Transactions!$H$8:$H$3006))</f>
        <v/>
      </c>
      <c r="D2002" s="43" t="str">
        <f>IF(B2002="","",SUMIF(Transactions!$F$8:$F$3006,B2002,Transactions!$N$8:$N$3006))</f>
        <v/>
      </c>
      <c r="E2002" s="44" t="str">
        <f>IF(B2002="","",SUMIF(Transactions!$F$8:$F$3006,B2002,Transactions!$O$8:$O$3006))</f>
        <v/>
      </c>
      <c r="F2002" s="45" t="str">
        <f>IF(B2002="","",SUMIF(Transactions!$F$8:$F$3006,B2002,Transactions!$R$8:$R$3006))</f>
        <v/>
      </c>
      <c r="G2002" s="46" t="str">
        <f>IF(B2002="","",(C2002+F2002)-(D2002+E2002+SUMIF(Transactions!$F$8:$F$3006,B2002,Transactions!$Q$8:$Q$3006)))</f>
        <v/>
      </c>
      <c r="H2002" s="47" t="str">
        <f>IF(B2002="","",IF(G2002&gt;0,"OUTSTANDING",IF(G2002=0,"SETTLED",IF(SUMIF(Transactions!$F$8:$F$3006,B2002,Transactions!$Q$8:$Q$3006)&gt;SUMIF(Transactions!$F$8:$F$3006,B2002,Transactions!$R$8:$R$3006),"OWES","OVERPAID"))))</f>
        <v/>
      </c>
      <c r="I2002" s="1"/>
    </row>
    <row r="2003" spans="1:9" ht="18" customHeight="1" x14ac:dyDescent="0.25">
      <c r="A2003" s="48">
        <v>1988</v>
      </c>
      <c r="B2003" s="49" t="str">
        <f t="array" ref="B2003">IFERROR(IF(INDEX(Transactions!$F$8:$F$3006,MATCH(0,COUNTIF($B$11:B2002,Transactions!$F$8:$F$3006),0))="","",INDEX(Transactions!$F$8:$F$3006,MATCH(0,COUNTIF($B$11:B2002,Transactions!$F$8:$F$3006),0))),"")</f>
        <v/>
      </c>
      <c r="C2003" s="50" t="str">
        <f>IF(B2003="","",SUMIF(Transactions!$F$8:$F$3006,B2003,Transactions!$H$8:$H$3006))</f>
        <v/>
      </c>
      <c r="D2003" s="51" t="str">
        <f>IF(B2003="","",SUMIF(Transactions!$F$8:$F$3006,B2003,Transactions!$N$8:$N$3006))</f>
        <v/>
      </c>
      <c r="E2003" s="52" t="str">
        <f>IF(B2003="","",SUMIF(Transactions!$F$8:$F$3006,B2003,Transactions!$O$8:$O$3006))</f>
        <v/>
      </c>
      <c r="F2003" s="53" t="str">
        <f>IF(B2003="","",SUMIF(Transactions!$F$8:$F$3006,B2003,Transactions!$R$8:$R$3006))</f>
        <v/>
      </c>
      <c r="G2003" s="54" t="str">
        <f>IF(B2003="","",(C2003+F2003)-(D2003+E2003+SUMIF(Transactions!$F$8:$F$3006,B2003,Transactions!$Q$8:$Q$3006)))</f>
        <v/>
      </c>
      <c r="H2003" s="55" t="str">
        <f>IF(B2003="","",IF(G2003&gt;0,"OUTSTANDING",IF(G2003=0,"SETTLED",IF(SUMIF(Transactions!$F$8:$F$3006,B2003,Transactions!$Q$8:$Q$3006)&gt;SUMIF(Transactions!$F$8:$F$3006,B2003,Transactions!$R$8:$R$3006),"OWES","OVERPAID"))))</f>
        <v/>
      </c>
      <c r="I2003" s="1"/>
    </row>
    <row r="2004" spans="1:9" ht="18" customHeight="1" x14ac:dyDescent="0.25">
      <c r="A2004" s="40">
        <v>1989</v>
      </c>
      <c r="B2004" s="41" t="str">
        <f t="array" ref="B2004">IFERROR(IF(INDEX(Transactions!$F$8:$F$3006,MATCH(0,COUNTIF($B$11:B2003,Transactions!$F$8:$F$3006),0))="","",INDEX(Transactions!$F$8:$F$3006,MATCH(0,COUNTIF($B$11:B2003,Transactions!$F$8:$F$3006),0))),"")</f>
        <v/>
      </c>
      <c r="C2004" s="42" t="str">
        <f>IF(B2004="","",SUMIF(Transactions!$F$8:$F$3006,B2004,Transactions!$H$8:$H$3006))</f>
        <v/>
      </c>
      <c r="D2004" s="43" t="str">
        <f>IF(B2004="","",SUMIF(Transactions!$F$8:$F$3006,B2004,Transactions!$N$8:$N$3006))</f>
        <v/>
      </c>
      <c r="E2004" s="44" t="str">
        <f>IF(B2004="","",SUMIF(Transactions!$F$8:$F$3006,B2004,Transactions!$O$8:$O$3006))</f>
        <v/>
      </c>
      <c r="F2004" s="45" t="str">
        <f>IF(B2004="","",SUMIF(Transactions!$F$8:$F$3006,B2004,Transactions!$R$8:$R$3006))</f>
        <v/>
      </c>
      <c r="G2004" s="46" t="str">
        <f>IF(B2004="","",(C2004+F2004)-(D2004+E2004+SUMIF(Transactions!$F$8:$F$3006,B2004,Transactions!$Q$8:$Q$3006)))</f>
        <v/>
      </c>
      <c r="H2004" s="47" t="str">
        <f>IF(B2004="","",IF(G2004&gt;0,"OUTSTANDING",IF(G2004=0,"SETTLED",IF(SUMIF(Transactions!$F$8:$F$3006,B2004,Transactions!$Q$8:$Q$3006)&gt;SUMIF(Transactions!$F$8:$F$3006,B2004,Transactions!$R$8:$R$3006),"OWES","OVERPAID"))))</f>
        <v/>
      </c>
      <c r="I2004" s="1"/>
    </row>
    <row r="2005" spans="1:9" ht="18" customHeight="1" x14ac:dyDescent="0.25">
      <c r="A2005" s="48">
        <v>1990</v>
      </c>
      <c r="B2005" s="49" t="str">
        <f t="array" ref="B2005">IFERROR(IF(INDEX(Transactions!$F$8:$F$3006,MATCH(0,COUNTIF($B$11:B2004,Transactions!$F$8:$F$3006),0))="","",INDEX(Transactions!$F$8:$F$3006,MATCH(0,COUNTIF($B$11:B2004,Transactions!$F$8:$F$3006),0))),"")</f>
        <v/>
      </c>
      <c r="C2005" s="50" t="str">
        <f>IF(B2005="","",SUMIF(Transactions!$F$8:$F$3006,B2005,Transactions!$H$8:$H$3006))</f>
        <v/>
      </c>
      <c r="D2005" s="51" t="str">
        <f>IF(B2005="","",SUMIF(Transactions!$F$8:$F$3006,B2005,Transactions!$N$8:$N$3006))</f>
        <v/>
      </c>
      <c r="E2005" s="52" t="str">
        <f>IF(B2005="","",SUMIF(Transactions!$F$8:$F$3006,B2005,Transactions!$O$8:$O$3006))</f>
        <v/>
      </c>
      <c r="F2005" s="53" t="str">
        <f>IF(B2005="","",SUMIF(Transactions!$F$8:$F$3006,B2005,Transactions!$R$8:$R$3006))</f>
        <v/>
      </c>
      <c r="G2005" s="54" t="str">
        <f>IF(B2005="","",(C2005+F2005)-(D2005+E2005+SUMIF(Transactions!$F$8:$F$3006,B2005,Transactions!$Q$8:$Q$3006)))</f>
        <v/>
      </c>
      <c r="H2005" s="55" t="str">
        <f>IF(B2005="","",IF(G2005&gt;0,"OUTSTANDING",IF(G2005=0,"SETTLED",IF(SUMIF(Transactions!$F$8:$F$3006,B2005,Transactions!$Q$8:$Q$3006)&gt;SUMIF(Transactions!$F$8:$F$3006,B2005,Transactions!$R$8:$R$3006),"OWES","OVERPAID"))))</f>
        <v/>
      </c>
      <c r="I2005" s="1"/>
    </row>
    <row r="2006" spans="1:9" ht="18" customHeight="1" x14ac:dyDescent="0.25">
      <c r="A2006" s="40">
        <v>1991</v>
      </c>
      <c r="B2006" s="41" t="str">
        <f t="array" ref="B2006">IFERROR(IF(INDEX(Transactions!$F$8:$F$3006,MATCH(0,COUNTIF($B$11:B2005,Transactions!$F$8:$F$3006),0))="","",INDEX(Transactions!$F$8:$F$3006,MATCH(0,COUNTIF($B$11:B2005,Transactions!$F$8:$F$3006),0))),"")</f>
        <v/>
      </c>
      <c r="C2006" s="42" t="str">
        <f>IF(B2006="","",SUMIF(Transactions!$F$8:$F$3006,B2006,Transactions!$H$8:$H$3006))</f>
        <v/>
      </c>
      <c r="D2006" s="43" t="str">
        <f>IF(B2006="","",SUMIF(Transactions!$F$8:$F$3006,B2006,Transactions!$N$8:$N$3006))</f>
        <v/>
      </c>
      <c r="E2006" s="44" t="str">
        <f>IF(B2006="","",SUMIF(Transactions!$F$8:$F$3006,B2006,Transactions!$O$8:$O$3006))</f>
        <v/>
      </c>
      <c r="F2006" s="45" t="str">
        <f>IF(B2006="","",SUMIF(Transactions!$F$8:$F$3006,B2006,Transactions!$R$8:$R$3006))</f>
        <v/>
      </c>
      <c r="G2006" s="46" t="str">
        <f>IF(B2006="","",(C2006+F2006)-(D2006+E2006+SUMIF(Transactions!$F$8:$F$3006,B2006,Transactions!$Q$8:$Q$3006)))</f>
        <v/>
      </c>
      <c r="H2006" s="47" t="str">
        <f>IF(B2006="","",IF(G2006&gt;0,"OUTSTANDING",IF(G2006=0,"SETTLED",IF(SUMIF(Transactions!$F$8:$F$3006,B2006,Transactions!$Q$8:$Q$3006)&gt;SUMIF(Transactions!$F$8:$F$3006,B2006,Transactions!$R$8:$R$3006),"OWES","OVERPAID"))))</f>
        <v/>
      </c>
      <c r="I2006" s="1"/>
    </row>
    <row r="2007" spans="1:9" ht="18" customHeight="1" x14ac:dyDescent="0.25">
      <c r="A2007" s="48">
        <v>1992</v>
      </c>
      <c r="B2007" s="49" t="str">
        <f t="array" ref="B2007">IFERROR(IF(INDEX(Transactions!$F$8:$F$3006,MATCH(0,COUNTIF($B$11:B2006,Transactions!$F$8:$F$3006),0))="","",INDEX(Transactions!$F$8:$F$3006,MATCH(0,COUNTIF($B$11:B2006,Transactions!$F$8:$F$3006),0))),"")</f>
        <v/>
      </c>
      <c r="C2007" s="50" t="str">
        <f>IF(B2007="","",SUMIF(Transactions!$F$8:$F$3006,B2007,Transactions!$H$8:$H$3006))</f>
        <v/>
      </c>
      <c r="D2007" s="51" t="str">
        <f>IF(B2007="","",SUMIF(Transactions!$F$8:$F$3006,B2007,Transactions!$N$8:$N$3006))</f>
        <v/>
      </c>
      <c r="E2007" s="52" t="str">
        <f>IF(B2007="","",SUMIF(Transactions!$F$8:$F$3006,B2007,Transactions!$O$8:$O$3006))</f>
        <v/>
      </c>
      <c r="F2007" s="53" t="str">
        <f>IF(B2007="","",SUMIF(Transactions!$F$8:$F$3006,B2007,Transactions!$R$8:$R$3006))</f>
        <v/>
      </c>
      <c r="G2007" s="54" t="str">
        <f>IF(B2007="","",(C2007+F2007)-(D2007+E2007+SUMIF(Transactions!$F$8:$F$3006,B2007,Transactions!$Q$8:$Q$3006)))</f>
        <v/>
      </c>
      <c r="H2007" s="55" t="str">
        <f>IF(B2007="","",IF(G2007&gt;0,"OUTSTANDING",IF(G2007=0,"SETTLED",IF(SUMIF(Transactions!$F$8:$F$3006,B2007,Transactions!$Q$8:$Q$3006)&gt;SUMIF(Transactions!$F$8:$F$3006,B2007,Transactions!$R$8:$R$3006),"OWES","OVERPAID"))))</f>
        <v/>
      </c>
      <c r="I2007" s="1"/>
    </row>
    <row r="2008" spans="1:9" ht="18" customHeight="1" x14ac:dyDescent="0.25">
      <c r="A2008" s="40">
        <v>1993</v>
      </c>
      <c r="B2008" s="41" t="str">
        <f t="array" ref="B2008">IFERROR(IF(INDEX(Transactions!$F$8:$F$3006,MATCH(0,COUNTIF($B$11:B2007,Transactions!$F$8:$F$3006),0))="","",INDEX(Transactions!$F$8:$F$3006,MATCH(0,COUNTIF($B$11:B2007,Transactions!$F$8:$F$3006),0))),"")</f>
        <v/>
      </c>
      <c r="C2008" s="42" t="str">
        <f>IF(B2008="","",SUMIF(Transactions!$F$8:$F$3006,B2008,Transactions!$H$8:$H$3006))</f>
        <v/>
      </c>
      <c r="D2008" s="43" t="str">
        <f>IF(B2008="","",SUMIF(Transactions!$F$8:$F$3006,B2008,Transactions!$N$8:$N$3006))</f>
        <v/>
      </c>
      <c r="E2008" s="44" t="str">
        <f>IF(B2008="","",SUMIF(Transactions!$F$8:$F$3006,B2008,Transactions!$O$8:$O$3006))</f>
        <v/>
      </c>
      <c r="F2008" s="45" t="str">
        <f>IF(B2008="","",SUMIF(Transactions!$F$8:$F$3006,B2008,Transactions!$R$8:$R$3006))</f>
        <v/>
      </c>
      <c r="G2008" s="46" t="str">
        <f>IF(B2008="","",(C2008+F2008)-(D2008+E2008+SUMIF(Transactions!$F$8:$F$3006,B2008,Transactions!$Q$8:$Q$3006)))</f>
        <v/>
      </c>
      <c r="H2008" s="47" t="str">
        <f>IF(B2008="","",IF(G2008&gt;0,"OUTSTANDING",IF(G2008=0,"SETTLED",IF(SUMIF(Transactions!$F$8:$F$3006,B2008,Transactions!$Q$8:$Q$3006)&gt;SUMIF(Transactions!$F$8:$F$3006,B2008,Transactions!$R$8:$R$3006),"OWES","OVERPAID"))))</f>
        <v/>
      </c>
      <c r="I2008" s="1"/>
    </row>
    <row r="2009" spans="1:9" ht="18" customHeight="1" x14ac:dyDescent="0.25">
      <c r="A2009" s="48">
        <v>1994</v>
      </c>
      <c r="B2009" s="49" t="str">
        <f t="array" ref="B2009">IFERROR(IF(INDEX(Transactions!$F$8:$F$3006,MATCH(0,COUNTIF($B$11:B2008,Transactions!$F$8:$F$3006),0))="","",INDEX(Transactions!$F$8:$F$3006,MATCH(0,COUNTIF($B$11:B2008,Transactions!$F$8:$F$3006),0))),"")</f>
        <v/>
      </c>
      <c r="C2009" s="50" t="str">
        <f>IF(B2009="","",SUMIF(Transactions!$F$8:$F$3006,B2009,Transactions!$H$8:$H$3006))</f>
        <v/>
      </c>
      <c r="D2009" s="51" t="str">
        <f>IF(B2009="","",SUMIF(Transactions!$F$8:$F$3006,B2009,Transactions!$N$8:$N$3006))</f>
        <v/>
      </c>
      <c r="E2009" s="52" t="str">
        <f>IF(B2009="","",SUMIF(Transactions!$F$8:$F$3006,B2009,Transactions!$O$8:$O$3006))</f>
        <v/>
      </c>
      <c r="F2009" s="53" t="str">
        <f>IF(B2009="","",SUMIF(Transactions!$F$8:$F$3006,B2009,Transactions!$R$8:$R$3006))</f>
        <v/>
      </c>
      <c r="G2009" s="54" t="str">
        <f>IF(B2009="","",(C2009+F2009)-(D2009+E2009+SUMIF(Transactions!$F$8:$F$3006,B2009,Transactions!$Q$8:$Q$3006)))</f>
        <v/>
      </c>
      <c r="H2009" s="55" t="str">
        <f>IF(B2009="","",IF(G2009&gt;0,"OUTSTANDING",IF(G2009=0,"SETTLED",IF(SUMIF(Transactions!$F$8:$F$3006,B2009,Transactions!$Q$8:$Q$3006)&gt;SUMIF(Transactions!$F$8:$F$3006,B2009,Transactions!$R$8:$R$3006),"OWES","OVERPAID"))))</f>
        <v/>
      </c>
      <c r="I2009" s="1"/>
    </row>
    <row r="2010" spans="1:9" ht="18" customHeight="1" x14ac:dyDescent="0.25">
      <c r="A2010" s="40">
        <v>1995</v>
      </c>
      <c r="B2010" s="41" t="str">
        <f t="array" ref="B2010">IFERROR(IF(INDEX(Transactions!$F$8:$F$3006,MATCH(0,COUNTIF($B$11:B2009,Transactions!$F$8:$F$3006),0))="","",INDEX(Transactions!$F$8:$F$3006,MATCH(0,COUNTIF($B$11:B2009,Transactions!$F$8:$F$3006),0))),"")</f>
        <v/>
      </c>
      <c r="C2010" s="42" t="str">
        <f>IF(B2010="","",SUMIF(Transactions!$F$8:$F$3006,B2010,Transactions!$H$8:$H$3006))</f>
        <v/>
      </c>
      <c r="D2010" s="43" t="str">
        <f>IF(B2010="","",SUMIF(Transactions!$F$8:$F$3006,B2010,Transactions!$N$8:$N$3006))</f>
        <v/>
      </c>
      <c r="E2010" s="44" t="str">
        <f>IF(B2010="","",SUMIF(Transactions!$F$8:$F$3006,B2010,Transactions!$O$8:$O$3006))</f>
        <v/>
      </c>
      <c r="F2010" s="45" t="str">
        <f>IF(B2010="","",SUMIF(Transactions!$F$8:$F$3006,B2010,Transactions!$R$8:$R$3006))</f>
        <v/>
      </c>
      <c r="G2010" s="46" t="str">
        <f>IF(B2010="","",(C2010+F2010)-(D2010+E2010+SUMIF(Transactions!$F$8:$F$3006,B2010,Transactions!$Q$8:$Q$3006)))</f>
        <v/>
      </c>
      <c r="H2010" s="47" t="str">
        <f>IF(B2010="","",IF(G2010&gt;0,"OUTSTANDING",IF(G2010=0,"SETTLED",IF(SUMIF(Transactions!$F$8:$F$3006,B2010,Transactions!$Q$8:$Q$3006)&gt;SUMIF(Transactions!$F$8:$F$3006,B2010,Transactions!$R$8:$R$3006),"OWES","OVERPAID"))))</f>
        <v/>
      </c>
      <c r="I2010" s="1"/>
    </row>
    <row r="2011" spans="1:9" ht="18" customHeight="1" x14ac:dyDescent="0.25">
      <c r="A2011" s="48">
        <v>1996</v>
      </c>
      <c r="B2011" s="49" t="str">
        <f t="array" ref="B2011">IFERROR(IF(INDEX(Transactions!$F$8:$F$3006,MATCH(0,COUNTIF($B$11:B2010,Transactions!$F$8:$F$3006),0))="","",INDEX(Transactions!$F$8:$F$3006,MATCH(0,COUNTIF($B$11:B2010,Transactions!$F$8:$F$3006),0))),"")</f>
        <v/>
      </c>
      <c r="C2011" s="50" t="str">
        <f>IF(B2011="","",SUMIF(Transactions!$F$8:$F$3006,B2011,Transactions!$H$8:$H$3006))</f>
        <v/>
      </c>
      <c r="D2011" s="51" t="str">
        <f>IF(B2011="","",SUMIF(Transactions!$F$8:$F$3006,B2011,Transactions!$N$8:$N$3006))</f>
        <v/>
      </c>
      <c r="E2011" s="52" t="str">
        <f>IF(B2011="","",SUMIF(Transactions!$F$8:$F$3006,B2011,Transactions!$O$8:$O$3006))</f>
        <v/>
      </c>
      <c r="F2011" s="53" t="str">
        <f>IF(B2011="","",SUMIF(Transactions!$F$8:$F$3006,B2011,Transactions!$R$8:$R$3006))</f>
        <v/>
      </c>
      <c r="G2011" s="54" t="str">
        <f>IF(B2011="","",(C2011+F2011)-(D2011+E2011+SUMIF(Transactions!$F$8:$F$3006,B2011,Transactions!$Q$8:$Q$3006)))</f>
        <v/>
      </c>
      <c r="H2011" s="55" t="str">
        <f>IF(B2011="","",IF(G2011&gt;0,"OUTSTANDING",IF(G2011=0,"SETTLED",IF(SUMIF(Transactions!$F$8:$F$3006,B2011,Transactions!$Q$8:$Q$3006)&gt;SUMIF(Transactions!$F$8:$F$3006,B2011,Transactions!$R$8:$R$3006),"OWES","OVERPAID"))))</f>
        <v/>
      </c>
      <c r="I2011" s="1"/>
    </row>
    <row r="2012" spans="1:9" ht="18" customHeight="1" x14ac:dyDescent="0.25">
      <c r="A2012" s="40">
        <v>1997</v>
      </c>
      <c r="B2012" s="41" t="str">
        <f t="array" ref="B2012">IFERROR(IF(INDEX(Transactions!$F$8:$F$3006,MATCH(0,COUNTIF($B$11:B2011,Transactions!$F$8:$F$3006),0))="","",INDEX(Transactions!$F$8:$F$3006,MATCH(0,COUNTIF($B$11:B2011,Transactions!$F$8:$F$3006),0))),"")</f>
        <v/>
      </c>
      <c r="C2012" s="42" t="str">
        <f>IF(B2012="","",SUMIF(Transactions!$F$8:$F$3006,B2012,Transactions!$H$8:$H$3006))</f>
        <v/>
      </c>
      <c r="D2012" s="43" t="str">
        <f>IF(B2012="","",SUMIF(Transactions!$F$8:$F$3006,B2012,Transactions!$N$8:$N$3006))</f>
        <v/>
      </c>
      <c r="E2012" s="44" t="str">
        <f>IF(B2012="","",SUMIF(Transactions!$F$8:$F$3006,B2012,Transactions!$O$8:$O$3006))</f>
        <v/>
      </c>
      <c r="F2012" s="45" t="str">
        <f>IF(B2012="","",SUMIF(Transactions!$F$8:$F$3006,B2012,Transactions!$R$8:$R$3006))</f>
        <v/>
      </c>
      <c r="G2012" s="46" t="str">
        <f>IF(B2012="","",(C2012+F2012)-(D2012+E2012+SUMIF(Transactions!$F$8:$F$3006,B2012,Transactions!$Q$8:$Q$3006)))</f>
        <v/>
      </c>
      <c r="H2012" s="47" t="str">
        <f>IF(B2012="","",IF(G2012&gt;0,"OUTSTANDING",IF(G2012=0,"SETTLED",IF(SUMIF(Transactions!$F$8:$F$3006,B2012,Transactions!$Q$8:$Q$3006)&gt;SUMIF(Transactions!$F$8:$F$3006,B2012,Transactions!$R$8:$R$3006),"OWES","OVERPAID"))))</f>
        <v/>
      </c>
      <c r="I2012" s="1"/>
    </row>
    <row r="2013" spans="1:9" ht="18" customHeight="1" x14ac:dyDescent="0.25">
      <c r="A2013" s="48">
        <v>1998</v>
      </c>
      <c r="B2013" s="49" t="str">
        <f t="array" ref="B2013">IFERROR(IF(INDEX(Transactions!$F$8:$F$3006,MATCH(0,COUNTIF($B$11:B2012,Transactions!$F$8:$F$3006),0))="","",INDEX(Transactions!$F$8:$F$3006,MATCH(0,COUNTIF($B$11:B2012,Transactions!$F$8:$F$3006),0))),"")</f>
        <v/>
      </c>
      <c r="C2013" s="50" t="str">
        <f>IF(B2013="","",SUMIF(Transactions!$F$8:$F$3006,B2013,Transactions!$H$8:$H$3006))</f>
        <v/>
      </c>
      <c r="D2013" s="51" t="str">
        <f>IF(B2013="","",SUMIF(Transactions!$F$8:$F$3006,B2013,Transactions!$N$8:$N$3006))</f>
        <v/>
      </c>
      <c r="E2013" s="52" t="str">
        <f>IF(B2013="","",SUMIF(Transactions!$F$8:$F$3006,B2013,Transactions!$O$8:$O$3006))</f>
        <v/>
      </c>
      <c r="F2013" s="53" t="str">
        <f>IF(B2013="","",SUMIF(Transactions!$F$8:$F$3006,B2013,Transactions!$R$8:$R$3006))</f>
        <v/>
      </c>
      <c r="G2013" s="54" t="str">
        <f>IF(B2013="","",(C2013+F2013)-(D2013+E2013+SUMIF(Transactions!$F$8:$F$3006,B2013,Transactions!$Q$8:$Q$3006)))</f>
        <v/>
      </c>
      <c r="H2013" s="55" t="str">
        <f>IF(B2013="","",IF(G2013&gt;0,"OUTSTANDING",IF(G2013=0,"SETTLED",IF(SUMIF(Transactions!$F$8:$F$3006,B2013,Transactions!$Q$8:$Q$3006)&gt;SUMIF(Transactions!$F$8:$F$3006,B2013,Transactions!$R$8:$R$3006),"OWES","OVERPAID"))))</f>
        <v/>
      </c>
      <c r="I2013" s="1"/>
    </row>
    <row r="2014" spans="1:9" ht="18" customHeight="1" x14ac:dyDescent="0.25">
      <c r="A2014" s="40">
        <v>1999</v>
      </c>
      <c r="B2014" s="41" t="str">
        <f t="array" ref="B2014">IFERROR(IF(INDEX(Transactions!$F$8:$F$3006,MATCH(0,COUNTIF($B$11:B2013,Transactions!$F$8:$F$3006),0))="","",INDEX(Transactions!$F$8:$F$3006,MATCH(0,COUNTIF($B$11:B2013,Transactions!$F$8:$F$3006),0))),"")</f>
        <v/>
      </c>
      <c r="C2014" s="42" t="str">
        <f>IF(B2014="","",SUMIF(Transactions!$F$8:$F$3006,B2014,Transactions!$H$8:$H$3006))</f>
        <v/>
      </c>
      <c r="D2014" s="43" t="str">
        <f>IF(B2014="","",SUMIF(Transactions!$F$8:$F$3006,B2014,Transactions!$N$8:$N$3006))</f>
        <v/>
      </c>
      <c r="E2014" s="44" t="str">
        <f>IF(B2014="","",SUMIF(Transactions!$F$8:$F$3006,B2014,Transactions!$O$8:$O$3006))</f>
        <v/>
      </c>
      <c r="F2014" s="45" t="str">
        <f>IF(B2014="","",SUMIF(Transactions!$F$8:$F$3006,B2014,Transactions!$R$8:$R$3006))</f>
        <v/>
      </c>
      <c r="G2014" s="46" t="str">
        <f>IF(B2014="","",(C2014+F2014)-(D2014+E2014+SUMIF(Transactions!$F$8:$F$3006,B2014,Transactions!$Q$8:$Q$3006)))</f>
        <v/>
      </c>
      <c r="H2014" s="47" t="str">
        <f>IF(B2014="","",IF(G2014&gt;0,"OUTSTANDING",IF(G2014=0,"SETTLED",IF(SUMIF(Transactions!$F$8:$F$3006,B2014,Transactions!$Q$8:$Q$3006)&gt;SUMIF(Transactions!$F$8:$F$3006,B2014,Transactions!$R$8:$R$3006),"OWES","OVERPAID"))))</f>
        <v/>
      </c>
      <c r="I2014" s="1"/>
    </row>
    <row r="2015" spans="1:9" ht="18" customHeight="1" x14ac:dyDescent="0.25">
      <c r="A2015" s="48">
        <v>2000</v>
      </c>
      <c r="B2015" s="49" t="str">
        <f t="array" ref="B2015">IFERROR(IF(INDEX(Transactions!$F$8:$F$3006,MATCH(0,COUNTIF($B$11:B2014,Transactions!$F$8:$F$3006),0))="","",INDEX(Transactions!$F$8:$F$3006,MATCH(0,COUNTIF($B$11:B2014,Transactions!$F$8:$F$3006),0))),"")</f>
        <v/>
      </c>
      <c r="C2015" s="50" t="str">
        <f>IF(B2015="","",SUMIF(Transactions!$F$8:$F$3006,B2015,Transactions!$H$8:$H$3006))</f>
        <v/>
      </c>
      <c r="D2015" s="51" t="str">
        <f>IF(B2015="","",SUMIF(Transactions!$F$8:$F$3006,B2015,Transactions!$N$8:$N$3006))</f>
        <v/>
      </c>
      <c r="E2015" s="52" t="str">
        <f>IF(B2015="","",SUMIF(Transactions!$F$8:$F$3006,B2015,Transactions!$O$8:$O$3006))</f>
        <v/>
      </c>
      <c r="F2015" s="53" t="str">
        <f>IF(B2015="","",SUMIF(Transactions!$F$8:$F$3006,B2015,Transactions!$R$8:$R$3006))</f>
        <v/>
      </c>
      <c r="G2015" s="54" t="str">
        <f>IF(B2015="","",(C2015+F2015)-(D2015+E2015+SUMIF(Transactions!$F$8:$F$3006,B2015,Transactions!$Q$8:$Q$3006)))</f>
        <v/>
      </c>
      <c r="H2015" s="55" t="str">
        <f>IF(B2015="","",IF(G2015&gt;0,"OUTSTANDING",IF(G2015=0,"SETTLED",IF(SUMIF(Transactions!$F$8:$F$3006,B2015,Transactions!$Q$8:$Q$3006)&gt;SUMIF(Transactions!$F$8:$F$3006,B2015,Transactions!$R$8:$R$3006),"OWES","OVERPAID"))))</f>
        <v/>
      </c>
      <c r="I2015" s="1"/>
    </row>
    <row r="2016" spans="1:9" ht="18" customHeight="1" x14ac:dyDescent="0.25">
      <c r="A2016" s="40">
        <v>2001</v>
      </c>
      <c r="B2016" s="41" t="str">
        <f t="array" ref="B2016">IFERROR(IF(INDEX(Transactions!$F$8:$F$3006,MATCH(0,COUNTIF($B$11:B2015,Transactions!$F$8:$F$3006),0))="","",INDEX(Transactions!$F$8:$F$3006,MATCH(0,COUNTIF($B$11:B2015,Transactions!$F$8:$F$3006),0))),"")</f>
        <v/>
      </c>
      <c r="C2016" s="42" t="str">
        <f>IF(B2016="","",SUMIF(Transactions!$F$8:$F$3006,B2016,Transactions!$H$8:$H$3006))</f>
        <v/>
      </c>
      <c r="D2016" s="43" t="str">
        <f>IF(B2016="","",SUMIF(Transactions!$F$8:$F$3006,B2016,Transactions!$N$8:$N$3006))</f>
        <v/>
      </c>
      <c r="E2016" s="44" t="str">
        <f>IF(B2016="","",SUMIF(Transactions!$F$8:$F$3006,B2016,Transactions!$O$8:$O$3006))</f>
        <v/>
      </c>
      <c r="F2016" s="45" t="str">
        <f>IF(B2016="","",SUMIF(Transactions!$F$8:$F$3006,B2016,Transactions!$R$8:$R$3006))</f>
        <v/>
      </c>
      <c r="G2016" s="46" t="str">
        <f>IF(B2016="","",(C2016+F2016)-(D2016+E2016+SUMIF(Transactions!$F$8:$F$3006,B2016,Transactions!$Q$8:$Q$3006)))</f>
        <v/>
      </c>
      <c r="H2016" s="47" t="str">
        <f>IF(B2016="","",IF(G2016&gt;0,"OUTSTANDING",IF(G2016=0,"SETTLED",IF(SUMIF(Transactions!$F$8:$F$3006,B2016,Transactions!$Q$8:$Q$3006)&gt;SUMIF(Transactions!$F$8:$F$3006,B2016,Transactions!$R$8:$R$3006),"OWES","OVERPAID"))))</f>
        <v/>
      </c>
      <c r="I2016" s="1"/>
    </row>
    <row r="2017" spans="1:9" ht="18" customHeight="1" x14ac:dyDescent="0.25">
      <c r="A2017" s="48">
        <v>2002</v>
      </c>
      <c r="B2017" s="49" t="str">
        <f t="array" ref="B2017">IFERROR(IF(INDEX(Transactions!$F$8:$F$3006,MATCH(0,COUNTIF($B$11:B2016,Transactions!$F$8:$F$3006),0))="","",INDEX(Transactions!$F$8:$F$3006,MATCH(0,COUNTIF($B$11:B2016,Transactions!$F$8:$F$3006),0))),"")</f>
        <v/>
      </c>
      <c r="C2017" s="50" t="str">
        <f>IF(B2017="","",SUMIF(Transactions!$F$8:$F$3006,B2017,Transactions!$H$8:$H$3006))</f>
        <v/>
      </c>
      <c r="D2017" s="51" t="str">
        <f>IF(B2017="","",SUMIF(Transactions!$F$8:$F$3006,B2017,Transactions!$N$8:$N$3006))</f>
        <v/>
      </c>
      <c r="E2017" s="52" t="str">
        <f>IF(B2017="","",SUMIF(Transactions!$F$8:$F$3006,B2017,Transactions!$O$8:$O$3006))</f>
        <v/>
      </c>
      <c r="F2017" s="53" t="str">
        <f>IF(B2017="","",SUMIF(Transactions!$F$8:$F$3006,B2017,Transactions!$R$8:$R$3006))</f>
        <v/>
      </c>
      <c r="G2017" s="54" t="str">
        <f>IF(B2017="","",(C2017+F2017)-(D2017+E2017+SUMIF(Transactions!$F$8:$F$3006,B2017,Transactions!$Q$8:$Q$3006)))</f>
        <v/>
      </c>
      <c r="H2017" s="55" t="str">
        <f>IF(B2017="","",IF(G2017&gt;0,"OUTSTANDING",IF(G2017=0,"SETTLED",IF(SUMIF(Transactions!$F$8:$F$3006,B2017,Transactions!$Q$8:$Q$3006)&gt;SUMIF(Transactions!$F$8:$F$3006,B2017,Transactions!$R$8:$R$3006),"OWES","OVERPAID"))))</f>
        <v/>
      </c>
      <c r="I2017" s="1"/>
    </row>
    <row r="2018" spans="1:9" ht="18" customHeight="1" x14ac:dyDescent="0.25">
      <c r="A2018" s="40">
        <v>2003</v>
      </c>
      <c r="B2018" s="41" t="str">
        <f t="array" ref="B2018">IFERROR(IF(INDEX(Transactions!$F$8:$F$3006,MATCH(0,COUNTIF($B$11:B2017,Transactions!$F$8:$F$3006),0))="","",INDEX(Transactions!$F$8:$F$3006,MATCH(0,COUNTIF($B$11:B2017,Transactions!$F$8:$F$3006),0))),"")</f>
        <v/>
      </c>
      <c r="C2018" s="42" t="str">
        <f>IF(B2018="","",SUMIF(Transactions!$F$8:$F$3006,B2018,Transactions!$H$8:$H$3006))</f>
        <v/>
      </c>
      <c r="D2018" s="43" t="str">
        <f>IF(B2018="","",SUMIF(Transactions!$F$8:$F$3006,B2018,Transactions!$N$8:$N$3006))</f>
        <v/>
      </c>
      <c r="E2018" s="44" t="str">
        <f>IF(B2018="","",SUMIF(Transactions!$F$8:$F$3006,B2018,Transactions!$O$8:$O$3006))</f>
        <v/>
      </c>
      <c r="F2018" s="45" t="str">
        <f>IF(B2018="","",SUMIF(Transactions!$F$8:$F$3006,B2018,Transactions!$R$8:$R$3006))</f>
        <v/>
      </c>
      <c r="G2018" s="46" t="str">
        <f>IF(B2018="","",(C2018+F2018)-(D2018+E2018+SUMIF(Transactions!$F$8:$F$3006,B2018,Transactions!$Q$8:$Q$3006)))</f>
        <v/>
      </c>
      <c r="H2018" s="47" t="str">
        <f>IF(B2018="","",IF(G2018&gt;0,"OUTSTANDING",IF(G2018=0,"SETTLED",IF(SUMIF(Transactions!$F$8:$F$3006,B2018,Transactions!$Q$8:$Q$3006)&gt;SUMIF(Transactions!$F$8:$F$3006,B2018,Transactions!$R$8:$R$3006),"OWES","OVERPAID"))))</f>
        <v/>
      </c>
      <c r="I2018" s="1"/>
    </row>
    <row r="2019" spans="1:9" ht="18" customHeight="1" x14ac:dyDescent="0.25">
      <c r="A2019" s="48">
        <v>2004</v>
      </c>
      <c r="B2019" s="49" t="str">
        <f t="array" ref="B2019">IFERROR(IF(INDEX(Transactions!$F$8:$F$3006,MATCH(0,COUNTIF($B$11:B2018,Transactions!$F$8:$F$3006),0))="","",INDEX(Transactions!$F$8:$F$3006,MATCH(0,COUNTIF($B$11:B2018,Transactions!$F$8:$F$3006),0))),"")</f>
        <v/>
      </c>
      <c r="C2019" s="50" t="str">
        <f>IF(B2019="","",SUMIF(Transactions!$F$8:$F$3006,B2019,Transactions!$H$8:$H$3006))</f>
        <v/>
      </c>
      <c r="D2019" s="51" t="str">
        <f>IF(B2019="","",SUMIF(Transactions!$F$8:$F$3006,B2019,Transactions!$N$8:$N$3006))</f>
        <v/>
      </c>
      <c r="E2019" s="52" t="str">
        <f>IF(B2019="","",SUMIF(Transactions!$F$8:$F$3006,B2019,Transactions!$O$8:$O$3006))</f>
        <v/>
      </c>
      <c r="F2019" s="53" t="str">
        <f>IF(B2019="","",SUMIF(Transactions!$F$8:$F$3006,B2019,Transactions!$R$8:$R$3006))</f>
        <v/>
      </c>
      <c r="G2019" s="54" t="str">
        <f>IF(B2019="","",(C2019+F2019)-(D2019+E2019+SUMIF(Transactions!$F$8:$F$3006,B2019,Transactions!$Q$8:$Q$3006)))</f>
        <v/>
      </c>
      <c r="H2019" s="55" t="str">
        <f>IF(B2019="","",IF(G2019&gt;0,"OUTSTANDING",IF(G2019=0,"SETTLED",IF(SUMIF(Transactions!$F$8:$F$3006,B2019,Transactions!$Q$8:$Q$3006)&gt;SUMIF(Transactions!$F$8:$F$3006,B2019,Transactions!$R$8:$R$3006),"OWES","OVERPAID"))))</f>
        <v/>
      </c>
      <c r="I2019" s="1"/>
    </row>
    <row r="2020" spans="1:9" ht="18" customHeight="1" x14ac:dyDescent="0.25">
      <c r="A2020" s="40">
        <v>2005</v>
      </c>
      <c r="B2020" s="41" t="str">
        <f t="array" ref="B2020">IFERROR(IF(INDEX(Transactions!$F$8:$F$3006,MATCH(0,COUNTIF($B$11:B2019,Transactions!$F$8:$F$3006),0))="","",INDEX(Transactions!$F$8:$F$3006,MATCH(0,COUNTIF($B$11:B2019,Transactions!$F$8:$F$3006),0))),"")</f>
        <v/>
      </c>
      <c r="C2020" s="42" t="str">
        <f>IF(B2020="","",SUMIF(Transactions!$F$8:$F$3006,B2020,Transactions!$H$8:$H$3006))</f>
        <v/>
      </c>
      <c r="D2020" s="43" t="str">
        <f>IF(B2020="","",SUMIF(Transactions!$F$8:$F$3006,B2020,Transactions!$N$8:$N$3006))</f>
        <v/>
      </c>
      <c r="E2020" s="44" t="str">
        <f>IF(B2020="","",SUMIF(Transactions!$F$8:$F$3006,B2020,Transactions!$O$8:$O$3006))</f>
        <v/>
      </c>
      <c r="F2020" s="45" t="str">
        <f>IF(B2020="","",SUMIF(Transactions!$F$8:$F$3006,B2020,Transactions!$R$8:$R$3006))</f>
        <v/>
      </c>
      <c r="G2020" s="46" t="str">
        <f>IF(B2020="","",(C2020+F2020)-(D2020+E2020+SUMIF(Transactions!$F$8:$F$3006,B2020,Transactions!$Q$8:$Q$3006)))</f>
        <v/>
      </c>
      <c r="H2020" s="47" t="str">
        <f>IF(B2020="","",IF(G2020&gt;0,"OUTSTANDING",IF(G2020=0,"SETTLED",IF(SUMIF(Transactions!$F$8:$F$3006,B2020,Transactions!$Q$8:$Q$3006)&gt;SUMIF(Transactions!$F$8:$F$3006,B2020,Transactions!$R$8:$R$3006),"OWES","OVERPAID"))))</f>
        <v/>
      </c>
      <c r="I2020" s="1"/>
    </row>
    <row r="2021" spans="1:9" ht="18" customHeight="1" x14ac:dyDescent="0.25">
      <c r="A2021" s="48">
        <v>2006</v>
      </c>
      <c r="B2021" s="49" t="str">
        <f t="array" ref="B2021">IFERROR(IF(INDEX(Transactions!$F$8:$F$3006,MATCH(0,COUNTIF($B$11:B2020,Transactions!$F$8:$F$3006),0))="","",INDEX(Transactions!$F$8:$F$3006,MATCH(0,COUNTIF($B$11:B2020,Transactions!$F$8:$F$3006),0))),"")</f>
        <v/>
      </c>
      <c r="C2021" s="50" t="str">
        <f>IF(B2021="","",SUMIF(Transactions!$F$8:$F$3006,B2021,Transactions!$H$8:$H$3006))</f>
        <v/>
      </c>
      <c r="D2021" s="51" t="str">
        <f>IF(B2021="","",SUMIF(Transactions!$F$8:$F$3006,B2021,Transactions!$N$8:$N$3006))</f>
        <v/>
      </c>
      <c r="E2021" s="52" t="str">
        <f>IF(B2021="","",SUMIF(Transactions!$F$8:$F$3006,B2021,Transactions!$O$8:$O$3006))</f>
        <v/>
      </c>
      <c r="F2021" s="53" t="str">
        <f>IF(B2021="","",SUMIF(Transactions!$F$8:$F$3006,B2021,Transactions!$R$8:$R$3006))</f>
        <v/>
      </c>
      <c r="G2021" s="54" t="str">
        <f>IF(B2021="","",(C2021+F2021)-(D2021+E2021+SUMIF(Transactions!$F$8:$F$3006,B2021,Transactions!$Q$8:$Q$3006)))</f>
        <v/>
      </c>
      <c r="H2021" s="55" t="str">
        <f>IF(B2021="","",IF(G2021&gt;0,"OUTSTANDING",IF(G2021=0,"SETTLED",IF(SUMIF(Transactions!$F$8:$F$3006,B2021,Transactions!$Q$8:$Q$3006)&gt;SUMIF(Transactions!$F$8:$F$3006,B2021,Transactions!$R$8:$R$3006),"OWES","OVERPAID"))))</f>
        <v/>
      </c>
      <c r="I2021" s="1"/>
    </row>
    <row r="2022" spans="1:9" ht="18" customHeight="1" x14ac:dyDescent="0.25">
      <c r="A2022" s="40">
        <v>2007</v>
      </c>
      <c r="B2022" s="41" t="str">
        <f t="array" ref="B2022">IFERROR(IF(INDEX(Transactions!$F$8:$F$3006,MATCH(0,COUNTIF($B$11:B2021,Transactions!$F$8:$F$3006),0))="","",INDEX(Transactions!$F$8:$F$3006,MATCH(0,COUNTIF($B$11:B2021,Transactions!$F$8:$F$3006),0))),"")</f>
        <v/>
      </c>
      <c r="C2022" s="42" t="str">
        <f>IF(B2022="","",SUMIF(Transactions!$F$8:$F$3006,B2022,Transactions!$H$8:$H$3006))</f>
        <v/>
      </c>
      <c r="D2022" s="43" t="str">
        <f>IF(B2022="","",SUMIF(Transactions!$F$8:$F$3006,B2022,Transactions!$N$8:$N$3006))</f>
        <v/>
      </c>
      <c r="E2022" s="44" t="str">
        <f>IF(B2022="","",SUMIF(Transactions!$F$8:$F$3006,B2022,Transactions!$O$8:$O$3006))</f>
        <v/>
      </c>
      <c r="F2022" s="45" t="str">
        <f>IF(B2022="","",SUMIF(Transactions!$F$8:$F$3006,B2022,Transactions!$R$8:$R$3006))</f>
        <v/>
      </c>
      <c r="G2022" s="46" t="str">
        <f>IF(B2022="","",(C2022+F2022)-(D2022+E2022+SUMIF(Transactions!$F$8:$F$3006,B2022,Transactions!$Q$8:$Q$3006)))</f>
        <v/>
      </c>
      <c r="H2022" s="47" t="str">
        <f>IF(B2022="","",IF(G2022&gt;0,"OUTSTANDING",IF(G2022=0,"SETTLED",IF(SUMIF(Transactions!$F$8:$F$3006,B2022,Transactions!$Q$8:$Q$3006)&gt;SUMIF(Transactions!$F$8:$F$3006,B2022,Transactions!$R$8:$R$3006),"OWES","OVERPAID"))))</f>
        <v/>
      </c>
      <c r="I2022" s="1"/>
    </row>
    <row r="2023" spans="1:9" ht="18" customHeight="1" x14ac:dyDescent="0.25">
      <c r="A2023" s="48">
        <v>2008</v>
      </c>
      <c r="B2023" s="49" t="str">
        <f t="array" ref="B2023">IFERROR(IF(INDEX(Transactions!$F$8:$F$3006,MATCH(0,COUNTIF($B$11:B2022,Transactions!$F$8:$F$3006),0))="","",INDEX(Transactions!$F$8:$F$3006,MATCH(0,COUNTIF($B$11:B2022,Transactions!$F$8:$F$3006),0))),"")</f>
        <v/>
      </c>
      <c r="C2023" s="50" t="str">
        <f>IF(B2023="","",SUMIF(Transactions!$F$8:$F$3006,B2023,Transactions!$H$8:$H$3006))</f>
        <v/>
      </c>
      <c r="D2023" s="51" t="str">
        <f>IF(B2023="","",SUMIF(Transactions!$F$8:$F$3006,B2023,Transactions!$N$8:$N$3006))</f>
        <v/>
      </c>
      <c r="E2023" s="52" t="str">
        <f>IF(B2023="","",SUMIF(Transactions!$F$8:$F$3006,B2023,Transactions!$O$8:$O$3006))</f>
        <v/>
      </c>
      <c r="F2023" s="53" t="str">
        <f>IF(B2023="","",SUMIF(Transactions!$F$8:$F$3006,B2023,Transactions!$R$8:$R$3006))</f>
        <v/>
      </c>
      <c r="G2023" s="54" t="str">
        <f>IF(B2023="","",(C2023+F2023)-(D2023+E2023+SUMIF(Transactions!$F$8:$F$3006,B2023,Transactions!$Q$8:$Q$3006)))</f>
        <v/>
      </c>
      <c r="H2023" s="55" t="str">
        <f>IF(B2023="","",IF(G2023&gt;0,"OUTSTANDING",IF(G2023=0,"SETTLED",IF(SUMIF(Transactions!$F$8:$F$3006,B2023,Transactions!$Q$8:$Q$3006)&gt;SUMIF(Transactions!$F$8:$F$3006,B2023,Transactions!$R$8:$R$3006),"OWES","OVERPAID"))))</f>
        <v/>
      </c>
      <c r="I2023" s="1"/>
    </row>
    <row r="2024" spans="1:9" ht="18" customHeight="1" x14ac:dyDescent="0.25">
      <c r="A2024" s="40">
        <v>2009</v>
      </c>
      <c r="B2024" s="41" t="str">
        <f t="array" ref="B2024">IFERROR(IF(INDEX(Transactions!$F$8:$F$3006,MATCH(0,COUNTIF($B$11:B2023,Transactions!$F$8:$F$3006),0))="","",INDEX(Transactions!$F$8:$F$3006,MATCH(0,COUNTIF($B$11:B2023,Transactions!$F$8:$F$3006),0))),"")</f>
        <v/>
      </c>
      <c r="C2024" s="42" t="str">
        <f>IF(B2024="","",SUMIF(Transactions!$F$8:$F$3006,B2024,Transactions!$H$8:$H$3006))</f>
        <v/>
      </c>
      <c r="D2024" s="43" t="str">
        <f>IF(B2024="","",SUMIF(Transactions!$F$8:$F$3006,B2024,Transactions!$N$8:$N$3006))</f>
        <v/>
      </c>
      <c r="E2024" s="44" t="str">
        <f>IF(B2024="","",SUMIF(Transactions!$F$8:$F$3006,B2024,Transactions!$O$8:$O$3006))</f>
        <v/>
      </c>
      <c r="F2024" s="45" t="str">
        <f>IF(B2024="","",SUMIF(Transactions!$F$8:$F$3006,B2024,Transactions!$R$8:$R$3006))</f>
        <v/>
      </c>
      <c r="G2024" s="46" t="str">
        <f>IF(B2024="","",(C2024+F2024)-(D2024+E2024+SUMIF(Transactions!$F$8:$F$3006,B2024,Transactions!$Q$8:$Q$3006)))</f>
        <v/>
      </c>
      <c r="H2024" s="47" t="str">
        <f>IF(B2024="","",IF(G2024&gt;0,"OUTSTANDING",IF(G2024=0,"SETTLED",IF(SUMIF(Transactions!$F$8:$F$3006,B2024,Transactions!$Q$8:$Q$3006)&gt;SUMIF(Transactions!$F$8:$F$3006,B2024,Transactions!$R$8:$R$3006),"OWES","OVERPAID"))))</f>
        <v/>
      </c>
      <c r="I2024" s="1"/>
    </row>
    <row r="2025" spans="1:9" ht="18" customHeight="1" x14ac:dyDescent="0.25">
      <c r="A2025" s="48">
        <v>2010</v>
      </c>
      <c r="B2025" s="49" t="str">
        <f t="array" ref="B2025">IFERROR(IF(INDEX(Transactions!$F$8:$F$3006,MATCH(0,COUNTIF($B$11:B2024,Transactions!$F$8:$F$3006),0))="","",INDEX(Transactions!$F$8:$F$3006,MATCH(0,COUNTIF($B$11:B2024,Transactions!$F$8:$F$3006),0))),"")</f>
        <v/>
      </c>
      <c r="C2025" s="50" t="str">
        <f>IF(B2025="","",SUMIF(Transactions!$F$8:$F$3006,B2025,Transactions!$H$8:$H$3006))</f>
        <v/>
      </c>
      <c r="D2025" s="51" t="str">
        <f>IF(B2025="","",SUMIF(Transactions!$F$8:$F$3006,B2025,Transactions!$N$8:$N$3006))</f>
        <v/>
      </c>
      <c r="E2025" s="52" t="str">
        <f>IF(B2025="","",SUMIF(Transactions!$F$8:$F$3006,B2025,Transactions!$O$8:$O$3006))</f>
        <v/>
      </c>
      <c r="F2025" s="53" t="str">
        <f>IF(B2025="","",SUMIF(Transactions!$F$8:$F$3006,B2025,Transactions!$R$8:$R$3006))</f>
        <v/>
      </c>
      <c r="G2025" s="54" t="str">
        <f>IF(B2025="","",(C2025+F2025)-(D2025+E2025+SUMIF(Transactions!$F$8:$F$3006,B2025,Transactions!$Q$8:$Q$3006)))</f>
        <v/>
      </c>
      <c r="H2025" s="55" t="str">
        <f>IF(B2025="","",IF(G2025&gt;0,"OUTSTANDING",IF(G2025=0,"SETTLED",IF(SUMIF(Transactions!$F$8:$F$3006,B2025,Transactions!$Q$8:$Q$3006)&gt;SUMIF(Transactions!$F$8:$F$3006,B2025,Transactions!$R$8:$R$3006),"OWES","OVERPAID"))))</f>
        <v/>
      </c>
      <c r="I2025" s="1"/>
    </row>
    <row r="2026" spans="1:9" ht="18" customHeight="1" x14ac:dyDescent="0.25">
      <c r="A2026" s="40">
        <v>2011</v>
      </c>
      <c r="B2026" s="41" t="str">
        <f t="array" ref="B2026">IFERROR(IF(INDEX(Transactions!$F$8:$F$3006,MATCH(0,COUNTIF($B$11:B2025,Transactions!$F$8:$F$3006),0))="","",INDEX(Transactions!$F$8:$F$3006,MATCH(0,COUNTIF($B$11:B2025,Transactions!$F$8:$F$3006),0))),"")</f>
        <v/>
      </c>
      <c r="C2026" s="42" t="str">
        <f>IF(B2026="","",SUMIF(Transactions!$F$8:$F$3006,B2026,Transactions!$H$8:$H$3006))</f>
        <v/>
      </c>
      <c r="D2026" s="43" t="str">
        <f>IF(B2026="","",SUMIF(Transactions!$F$8:$F$3006,B2026,Transactions!$N$8:$N$3006))</f>
        <v/>
      </c>
      <c r="E2026" s="44" t="str">
        <f>IF(B2026="","",SUMIF(Transactions!$F$8:$F$3006,B2026,Transactions!$O$8:$O$3006))</f>
        <v/>
      </c>
      <c r="F2026" s="45" t="str">
        <f>IF(B2026="","",SUMIF(Transactions!$F$8:$F$3006,B2026,Transactions!$R$8:$R$3006))</f>
        <v/>
      </c>
      <c r="G2026" s="46" t="str">
        <f>IF(B2026="","",(C2026+F2026)-(D2026+E2026+SUMIF(Transactions!$F$8:$F$3006,B2026,Transactions!$Q$8:$Q$3006)))</f>
        <v/>
      </c>
      <c r="H2026" s="47" t="str">
        <f>IF(B2026="","",IF(G2026&gt;0,"OUTSTANDING",IF(G2026=0,"SETTLED",IF(SUMIF(Transactions!$F$8:$F$3006,B2026,Transactions!$Q$8:$Q$3006)&gt;SUMIF(Transactions!$F$8:$F$3006,B2026,Transactions!$R$8:$R$3006),"OWES","OVERPAID"))))</f>
        <v/>
      </c>
      <c r="I2026" s="1"/>
    </row>
    <row r="2027" spans="1:9" ht="18" customHeight="1" x14ac:dyDescent="0.25">
      <c r="A2027" s="48">
        <v>2012</v>
      </c>
      <c r="B2027" s="49" t="str">
        <f t="array" ref="B2027">IFERROR(IF(INDEX(Transactions!$F$8:$F$3006,MATCH(0,COUNTIF($B$11:B2026,Transactions!$F$8:$F$3006),0))="","",INDEX(Transactions!$F$8:$F$3006,MATCH(0,COUNTIF($B$11:B2026,Transactions!$F$8:$F$3006),0))),"")</f>
        <v/>
      </c>
      <c r="C2027" s="50" t="str">
        <f>IF(B2027="","",SUMIF(Transactions!$F$8:$F$3006,B2027,Transactions!$H$8:$H$3006))</f>
        <v/>
      </c>
      <c r="D2027" s="51" t="str">
        <f>IF(B2027="","",SUMIF(Transactions!$F$8:$F$3006,B2027,Transactions!$N$8:$N$3006))</f>
        <v/>
      </c>
      <c r="E2027" s="52" t="str">
        <f>IF(B2027="","",SUMIF(Transactions!$F$8:$F$3006,B2027,Transactions!$O$8:$O$3006))</f>
        <v/>
      </c>
      <c r="F2027" s="53" t="str">
        <f>IF(B2027="","",SUMIF(Transactions!$F$8:$F$3006,B2027,Transactions!$R$8:$R$3006))</f>
        <v/>
      </c>
      <c r="G2027" s="54" t="str">
        <f>IF(B2027="","",(C2027+F2027)-(D2027+E2027+SUMIF(Transactions!$F$8:$F$3006,B2027,Transactions!$Q$8:$Q$3006)))</f>
        <v/>
      </c>
      <c r="H2027" s="55" t="str">
        <f>IF(B2027="","",IF(G2027&gt;0,"OUTSTANDING",IF(G2027=0,"SETTLED",IF(SUMIF(Transactions!$F$8:$F$3006,B2027,Transactions!$Q$8:$Q$3006)&gt;SUMIF(Transactions!$F$8:$F$3006,B2027,Transactions!$R$8:$R$3006),"OWES","OVERPAID"))))</f>
        <v/>
      </c>
      <c r="I2027" s="1"/>
    </row>
    <row r="2028" spans="1:9" ht="18" customHeight="1" x14ac:dyDescent="0.25">
      <c r="A2028" s="40">
        <v>2013</v>
      </c>
      <c r="B2028" s="41" t="str">
        <f t="array" ref="B2028">IFERROR(IF(INDEX(Transactions!$F$8:$F$3006,MATCH(0,COUNTIF($B$11:B2027,Transactions!$F$8:$F$3006),0))="","",INDEX(Transactions!$F$8:$F$3006,MATCH(0,COUNTIF($B$11:B2027,Transactions!$F$8:$F$3006),0))),"")</f>
        <v/>
      </c>
      <c r="C2028" s="42" t="str">
        <f>IF(B2028="","",SUMIF(Transactions!$F$8:$F$3006,B2028,Transactions!$H$8:$H$3006))</f>
        <v/>
      </c>
      <c r="D2028" s="43" t="str">
        <f>IF(B2028="","",SUMIF(Transactions!$F$8:$F$3006,B2028,Transactions!$N$8:$N$3006))</f>
        <v/>
      </c>
      <c r="E2028" s="44" t="str">
        <f>IF(B2028="","",SUMIF(Transactions!$F$8:$F$3006,B2028,Transactions!$O$8:$O$3006))</f>
        <v/>
      </c>
      <c r="F2028" s="45" t="str">
        <f>IF(B2028="","",SUMIF(Transactions!$F$8:$F$3006,B2028,Transactions!$R$8:$R$3006))</f>
        <v/>
      </c>
      <c r="G2028" s="46" t="str">
        <f>IF(B2028="","",(C2028+F2028)-(D2028+E2028+SUMIF(Transactions!$F$8:$F$3006,B2028,Transactions!$Q$8:$Q$3006)))</f>
        <v/>
      </c>
      <c r="H2028" s="47" t="str">
        <f>IF(B2028="","",IF(G2028&gt;0,"OUTSTANDING",IF(G2028=0,"SETTLED",IF(SUMIF(Transactions!$F$8:$F$3006,B2028,Transactions!$Q$8:$Q$3006)&gt;SUMIF(Transactions!$F$8:$F$3006,B2028,Transactions!$R$8:$R$3006),"OWES","OVERPAID"))))</f>
        <v/>
      </c>
      <c r="I2028" s="1"/>
    </row>
    <row r="2029" spans="1:9" ht="18" customHeight="1" x14ac:dyDescent="0.25">
      <c r="A2029" s="48">
        <v>2014</v>
      </c>
      <c r="B2029" s="49" t="str">
        <f t="array" ref="B2029">IFERROR(IF(INDEX(Transactions!$F$8:$F$3006,MATCH(0,COUNTIF($B$11:B2028,Transactions!$F$8:$F$3006),0))="","",INDEX(Transactions!$F$8:$F$3006,MATCH(0,COUNTIF($B$11:B2028,Transactions!$F$8:$F$3006),0))),"")</f>
        <v/>
      </c>
      <c r="C2029" s="50" t="str">
        <f>IF(B2029="","",SUMIF(Transactions!$F$8:$F$3006,B2029,Transactions!$H$8:$H$3006))</f>
        <v/>
      </c>
      <c r="D2029" s="51" t="str">
        <f>IF(B2029="","",SUMIF(Transactions!$F$8:$F$3006,B2029,Transactions!$N$8:$N$3006))</f>
        <v/>
      </c>
      <c r="E2029" s="52" t="str">
        <f>IF(B2029="","",SUMIF(Transactions!$F$8:$F$3006,B2029,Transactions!$O$8:$O$3006))</f>
        <v/>
      </c>
      <c r="F2029" s="53" t="str">
        <f>IF(B2029="","",SUMIF(Transactions!$F$8:$F$3006,B2029,Transactions!$R$8:$R$3006))</f>
        <v/>
      </c>
      <c r="G2029" s="54" t="str">
        <f>IF(B2029="","",(C2029+F2029)-(D2029+E2029+SUMIF(Transactions!$F$8:$F$3006,B2029,Transactions!$Q$8:$Q$3006)))</f>
        <v/>
      </c>
      <c r="H2029" s="55" t="str">
        <f>IF(B2029="","",IF(G2029&gt;0,"OUTSTANDING",IF(G2029=0,"SETTLED",IF(SUMIF(Transactions!$F$8:$F$3006,B2029,Transactions!$Q$8:$Q$3006)&gt;SUMIF(Transactions!$F$8:$F$3006,B2029,Transactions!$R$8:$R$3006),"OWES","OVERPAID"))))</f>
        <v/>
      </c>
      <c r="I2029" s="1"/>
    </row>
    <row r="2030" spans="1:9" ht="18" customHeight="1" x14ac:dyDescent="0.25">
      <c r="A2030" s="40">
        <v>2015</v>
      </c>
      <c r="B2030" s="41" t="str">
        <f t="array" ref="B2030">IFERROR(IF(INDEX(Transactions!$F$8:$F$3006,MATCH(0,COUNTIF($B$11:B2029,Transactions!$F$8:$F$3006),0))="","",INDEX(Transactions!$F$8:$F$3006,MATCH(0,COUNTIF($B$11:B2029,Transactions!$F$8:$F$3006),0))),"")</f>
        <v/>
      </c>
      <c r="C2030" s="42" t="str">
        <f>IF(B2030="","",SUMIF(Transactions!$F$8:$F$3006,B2030,Transactions!$H$8:$H$3006))</f>
        <v/>
      </c>
      <c r="D2030" s="43" t="str">
        <f>IF(B2030="","",SUMIF(Transactions!$F$8:$F$3006,B2030,Transactions!$N$8:$N$3006))</f>
        <v/>
      </c>
      <c r="E2030" s="44" t="str">
        <f>IF(B2030="","",SUMIF(Transactions!$F$8:$F$3006,B2030,Transactions!$O$8:$O$3006))</f>
        <v/>
      </c>
      <c r="F2030" s="45" t="str">
        <f>IF(B2030="","",SUMIF(Transactions!$F$8:$F$3006,B2030,Transactions!$R$8:$R$3006))</f>
        <v/>
      </c>
      <c r="G2030" s="46" t="str">
        <f>IF(B2030="","",(C2030+F2030)-(D2030+E2030+SUMIF(Transactions!$F$8:$F$3006,B2030,Transactions!$Q$8:$Q$3006)))</f>
        <v/>
      </c>
      <c r="H2030" s="47" t="str">
        <f>IF(B2030="","",IF(G2030&gt;0,"OUTSTANDING",IF(G2030=0,"SETTLED",IF(SUMIF(Transactions!$F$8:$F$3006,B2030,Transactions!$Q$8:$Q$3006)&gt;SUMIF(Transactions!$F$8:$F$3006,B2030,Transactions!$R$8:$R$3006),"OWES","OVERPAID"))))</f>
        <v/>
      </c>
      <c r="I2030" s="1"/>
    </row>
    <row r="2031" spans="1:9" ht="18" customHeight="1" x14ac:dyDescent="0.25">
      <c r="A2031" s="48">
        <v>2016</v>
      </c>
      <c r="B2031" s="49" t="str">
        <f t="array" ref="B2031">IFERROR(IF(INDEX(Transactions!$F$8:$F$3006,MATCH(0,COUNTIF($B$11:B2030,Transactions!$F$8:$F$3006),0))="","",INDEX(Transactions!$F$8:$F$3006,MATCH(0,COUNTIF($B$11:B2030,Transactions!$F$8:$F$3006),0))),"")</f>
        <v/>
      </c>
      <c r="C2031" s="50" t="str">
        <f>IF(B2031="","",SUMIF(Transactions!$F$8:$F$3006,B2031,Transactions!$H$8:$H$3006))</f>
        <v/>
      </c>
      <c r="D2031" s="51" t="str">
        <f>IF(B2031="","",SUMIF(Transactions!$F$8:$F$3006,B2031,Transactions!$N$8:$N$3006))</f>
        <v/>
      </c>
      <c r="E2031" s="52" t="str">
        <f>IF(B2031="","",SUMIF(Transactions!$F$8:$F$3006,B2031,Transactions!$O$8:$O$3006))</f>
        <v/>
      </c>
      <c r="F2031" s="53" t="str">
        <f>IF(B2031="","",SUMIF(Transactions!$F$8:$F$3006,B2031,Transactions!$R$8:$R$3006))</f>
        <v/>
      </c>
      <c r="G2031" s="54" t="str">
        <f>IF(B2031="","",(C2031+F2031)-(D2031+E2031+SUMIF(Transactions!$F$8:$F$3006,B2031,Transactions!$Q$8:$Q$3006)))</f>
        <v/>
      </c>
      <c r="H2031" s="55" t="str">
        <f>IF(B2031="","",IF(G2031&gt;0,"OUTSTANDING",IF(G2031=0,"SETTLED",IF(SUMIF(Transactions!$F$8:$F$3006,B2031,Transactions!$Q$8:$Q$3006)&gt;SUMIF(Transactions!$F$8:$F$3006,B2031,Transactions!$R$8:$R$3006),"OWES","OVERPAID"))))</f>
        <v/>
      </c>
      <c r="I2031" s="1"/>
    </row>
    <row r="2032" spans="1:9" ht="18" customHeight="1" x14ac:dyDescent="0.25">
      <c r="A2032" s="40">
        <v>2017</v>
      </c>
      <c r="B2032" s="41" t="str">
        <f t="array" ref="B2032">IFERROR(IF(INDEX(Transactions!$F$8:$F$3006,MATCH(0,COUNTIF($B$11:B2031,Transactions!$F$8:$F$3006),0))="","",INDEX(Transactions!$F$8:$F$3006,MATCH(0,COUNTIF($B$11:B2031,Transactions!$F$8:$F$3006),0))),"")</f>
        <v/>
      </c>
      <c r="C2032" s="42" t="str">
        <f>IF(B2032="","",SUMIF(Transactions!$F$8:$F$3006,B2032,Transactions!$H$8:$H$3006))</f>
        <v/>
      </c>
      <c r="D2032" s="43" t="str">
        <f>IF(B2032="","",SUMIF(Transactions!$F$8:$F$3006,B2032,Transactions!$N$8:$N$3006))</f>
        <v/>
      </c>
      <c r="E2032" s="44" t="str">
        <f>IF(B2032="","",SUMIF(Transactions!$F$8:$F$3006,B2032,Transactions!$O$8:$O$3006))</f>
        <v/>
      </c>
      <c r="F2032" s="45" t="str">
        <f>IF(B2032="","",SUMIF(Transactions!$F$8:$F$3006,B2032,Transactions!$R$8:$R$3006))</f>
        <v/>
      </c>
      <c r="G2032" s="46" t="str">
        <f>IF(B2032="","",(C2032+F2032)-(D2032+E2032+SUMIF(Transactions!$F$8:$F$3006,B2032,Transactions!$Q$8:$Q$3006)))</f>
        <v/>
      </c>
      <c r="H2032" s="47" t="str">
        <f>IF(B2032="","",IF(G2032&gt;0,"OUTSTANDING",IF(G2032=0,"SETTLED",IF(SUMIF(Transactions!$F$8:$F$3006,B2032,Transactions!$Q$8:$Q$3006)&gt;SUMIF(Transactions!$F$8:$F$3006,B2032,Transactions!$R$8:$R$3006),"OWES","OVERPAID"))))</f>
        <v/>
      </c>
      <c r="I2032" s="1"/>
    </row>
    <row r="2033" spans="1:9" ht="18" customHeight="1" x14ac:dyDescent="0.25">
      <c r="A2033" s="48">
        <v>2018</v>
      </c>
      <c r="B2033" s="49" t="str">
        <f t="array" ref="B2033">IFERROR(IF(INDEX(Transactions!$F$8:$F$3006,MATCH(0,COUNTIF($B$11:B2032,Transactions!$F$8:$F$3006),0))="","",INDEX(Transactions!$F$8:$F$3006,MATCH(0,COUNTIF($B$11:B2032,Transactions!$F$8:$F$3006),0))),"")</f>
        <v/>
      </c>
      <c r="C2033" s="50" t="str">
        <f>IF(B2033="","",SUMIF(Transactions!$F$8:$F$3006,B2033,Transactions!$H$8:$H$3006))</f>
        <v/>
      </c>
      <c r="D2033" s="51" t="str">
        <f>IF(B2033="","",SUMIF(Transactions!$F$8:$F$3006,B2033,Transactions!$N$8:$N$3006))</f>
        <v/>
      </c>
      <c r="E2033" s="52" t="str">
        <f>IF(B2033="","",SUMIF(Transactions!$F$8:$F$3006,B2033,Transactions!$O$8:$O$3006))</f>
        <v/>
      </c>
      <c r="F2033" s="53" t="str">
        <f>IF(B2033="","",SUMIF(Transactions!$F$8:$F$3006,B2033,Transactions!$R$8:$R$3006))</f>
        <v/>
      </c>
      <c r="G2033" s="54" t="str">
        <f>IF(B2033="","",(C2033+F2033)-(D2033+E2033+SUMIF(Transactions!$F$8:$F$3006,B2033,Transactions!$Q$8:$Q$3006)))</f>
        <v/>
      </c>
      <c r="H2033" s="55" t="str">
        <f>IF(B2033="","",IF(G2033&gt;0,"OUTSTANDING",IF(G2033=0,"SETTLED",IF(SUMIF(Transactions!$F$8:$F$3006,B2033,Transactions!$Q$8:$Q$3006)&gt;SUMIF(Transactions!$F$8:$F$3006,B2033,Transactions!$R$8:$R$3006),"OWES","OVERPAID"))))</f>
        <v/>
      </c>
      <c r="I2033" s="1"/>
    </row>
    <row r="2034" spans="1:9" ht="18" customHeight="1" x14ac:dyDescent="0.25">
      <c r="A2034" s="40">
        <v>2019</v>
      </c>
      <c r="B2034" s="41" t="str">
        <f t="array" ref="B2034">IFERROR(IF(INDEX(Transactions!$F$8:$F$3006,MATCH(0,COUNTIF($B$11:B2033,Transactions!$F$8:$F$3006),0))="","",INDEX(Transactions!$F$8:$F$3006,MATCH(0,COUNTIF($B$11:B2033,Transactions!$F$8:$F$3006),0))),"")</f>
        <v/>
      </c>
      <c r="C2034" s="42" t="str">
        <f>IF(B2034="","",SUMIF(Transactions!$F$8:$F$3006,B2034,Transactions!$H$8:$H$3006))</f>
        <v/>
      </c>
      <c r="D2034" s="43" t="str">
        <f>IF(B2034="","",SUMIF(Transactions!$F$8:$F$3006,B2034,Transactions!$N$8:$N$3006))</f>
        <v/>
      </c>
      <c r="E2034" s="44" t="str">
        <f>IF(B2034="","",SUMIF(Transactions!$F$8:$F$3006,B2034,Transactions!$O$8:$O$3006))</f>
        <v/>
      </c>
      <c r="F2034" s="45" t="str">
        <f>IF(B2034="","",SUMIF(Transactions!$F$8:$F$3006,B2034,Transactions!$R$8:$R$3006))</f>
        <v/>
      </c>
      <c r="G2034" s="46" t="str">
        <f>IF(B2034="","",(C2034+F2034)-(D2034+E2034+SUMIF(Transactions!$F$8:$F$3006,B2034,Transactions!$Q$8:$Q$3006)))</f>
        <v/>
      </c>
      <c r="H2034" s="47" t="str">
        <f>IF(B2034="","",IF(G2034&gt;0,"OUTSTANDING",IF(G2034=0,"SETTLED",IF(SUMIF(Transactions!$F$8:$F$3006,B2034,Transactions!$Q$8:$Q$3006)&gt;SUMIF(Transactions!$F$8:$F$3006,B2034,Transactions!$R$8:$R$3006),"OWES","OVERPAID"))))</f>
        <v/>
      </c>
      <c r="I2034" s="1"/>
    </row>
    <row r="2035" spans="1:9" ht="18" customHeight="1" x14ac:dyDescent="0.25">
      <c r="A2035" s="48">
        <v>2020</v>
      </c>
      <c r="B2035" s="49" t="str">
        <f t="array" ref="B2035">IFERROR(IF(INDEX(Transactions!$F$8:$F$3006,MATCH(0,COUNTIF($B$11:B2034,Transactions!$F$8:$F$3006),0))="","",INDEX(Transactions!$F$8:$F$3006,MATCH(0,COUNTIF($B$11:B2034,Transactions!$F$8:$F$3006),0))),"")</f>
        <v/>
      </c>
      <c r="C2035" s="50" t="str">
        <f>IF(B2035="","",SUMIF(Transactions!$F$8:$F$3006,B2035,Transactions!$H$8:$H$3006))</f>
        <v/>
      </c>
      <c r="D2035" s="51" t="str">
        <f>IF(B2035="","",SUMIF(Transactions!$F$8:$F$3006,B2035,Transactions!$N$8:$N$3006))</f>
        <v/>
      </c>
      <c r="E2035" s="52" t="str">
        <f>IF(B2035="","",SUMIF(Transactions!$F$8:$F$3006,B2035,Transactions!$O$8:$O$3006))</f>
        <v/>
      </c>
      <c r="F2035" s="53" t="str">
        <f>IF(B2035="","",SUMIF(Transactions!$F$8:$F$3006,B2035,Transactions!$R$8:$R$3006))</f>
        <v/>
      </c>
      <c r="G2035" s="54" t="str">
        <f>IF(B2035="","",(C2035+F2035)-(D2035+E2035+SUMIF(Transactions!$F$8:$F$3006,B2035,Transactions!$Q$8:$Q$3006)))</f>
        <v/>
      </c>
      <c r="H2035" s="55" t="str">
        <f>IF(B2035="","",IF(G2035&gt;0,"OUTSTANDING",IF(G2035=0,"SETTLED",IF(SUMIF(Transactions!$F$8:$F$3006,B2035,Transactions!$Q$8:$Q$3006)&gt;SUMIF(Transactions!$F$8:$F$3006,B2035,Transactions!$R$8:$R$3006),"OWES","OVERPAID"))))</f>
        <v/>
      </c>
      <c r="I2035" s="1"/>
    </row>
    <row r="2036" spans="1:9" ht="18" customHeight="1" x14ac:dyDescent="0.25">
      <c r="A2036" s="40">
        <v>2021</v>
      </c>
      <c r="B2036" s="41" t="str">
        <f t="array" ref="B2036">IFERROR(IF(INDEX(Transactions!$F$8:$F$3006,MATCH(0,COUNTIF($B$11:B2035,Transactions!$F$8:$F$3006),0))="","",INDEX(Transactions!$F$8:$F$3006,MATCH(0,COUNTIF($B$11:B2035,Transactions!$F$8:$F$3006),0))),"")</f>
        <v/>
      </c>
      <c r="C2036" s="42" t="str">
        <f>IF(B2036="","",SUMIF(Transactions!$F$8:$F$3006,B2036,Transactions!$H$8:$H$3006))</f>
        <v/>
      </c>
      <c r="D2036" s="43" t="str">
        <f>IF(B2036="","",SUMIF(Transactions!$F$8:$F$3006,B2036,Transactions!$N$8:$N$3006))</f>
        <v/>
      </c>
      <c r="E2036" s="44" t="str">
        <f>IF(B2036="","",SUMIF(Transactions!$F$8:$F$3006,B2036,Transactions!$O$8:$O$3006))</f>
        <v/>
      </c>
      <c r="F2036" s="45" t="str">
        <f>IF(B2036="","",SUMIF(Transactions!$F$8:$F$3006,B2036,Transactions!$R$8:$R$3006))</f>
        <v/>
      </c>
      <c r="G2036" s="46" t="str">
        <f>IF(B2036="","",(C2036+F2036)-(D2036+E2036+SUMIF(Transactions!$F$8:$F$3006,B2036,Transactions!$Q$8:$Q$3006)))</f>
        <v/>
      </c>
      <c r="H2036" s="47" t="str">
        <f>IF(B2036="","",IF(G2036&gt;0,"OUTSTANDING",IF(G2036=0,"SETTLED",IF(SUMIF(Transactions!$F$8:$F$3006,B2036,Transactions!$Q$8:$Q$3006)&gt;SUMIF(Transactions!$F$8:$F$3006,B2036,Transactions!$R$8:$R$3006),"OWES","OVERPAID"))))</f>
        <v/>
      </c>
      <c r="I2036" s="1"/>
    </row>
    <row r="2037" spans="1:9" ht="18" customHeight="1" x14ac:dyDescent="0.25">
      <c r="A2037" s="48">
        <v>2022</v>
      </c>
      <c r="B2037" s="49" t="str">
        <f t="array" ref="B2037">IFERROR(IF(INDEX(Transactions!$F$8:$F$3006,MATCH(0,COUNTIF($B$11:B2036,Transactions!$F$8:$F$3006),0))="","",INDEX(Transactions!$F$8:$F$3006,MATCH(0,COUNTIF($B$11:B2036,Transactions!$F$8:$F$3006),0))),"")</f>
        <v/>
      </c>
      <c r="C2037" s="50" t="str">
        <f>IF(B2037="","",SUMIF(Transactions!$F$8:$F$3006,B2037,Transactions!$H$8:$H$3006))</f>
        <v/>
      </c>
      <c r="D2037" s="51" t="str">
        <f>IF(B2037="","",SUMIF(Transactions!$F$8:$F$3006,B2037,Transactions!$N$8:$N$3006))</f>
        <v/>
      </c>
      <c r="E2037" s="52" t="str">
        <f>IF(B2037="","",SUMIF(Transactions!$F$8:$F$3006,B2037,Transactions!$O$8:$O$3006))</f>
        <v/>
      </c>
      <c r="F2037" s="53" t="str">
        <f>IF(B2037="","",SUMIF(Transactions!$F$8:$F$3006,B2037,Transactions!$R$8:$R$3006))</f>
        <v/>
      </c>
      <c r="G2037" s="54" t="str">
        <f>IF(B2037="","",(C2037+F2037)-(D2037+E2037+SUMIF(Transactions!$F$8:$F$3006,B2037,Transactions!$Q$8:$Q$3006)))</f>
        <v/>
      </c>
      <c r="H2037" s="55" t="str">
        <f>IF(B2037="","",IF(G2037&gt;0,"OUTSTANDING",IF(G2037=0,"SETTLED",IF(SUMIF(Transactions!$F$8:$F$3006,B2037,Transactions!$Q$8:$Q$3006)&gt;SUMIF(Transactions!$F$8:$F$3006,B2037,Transactions!$R$8:$R$3006),"OWES","OVERPAID"))))</f>
        <v/>
      </c>
      <c r="I2037" s="1"/>
    </row>
    <row r="2038" spans="1:9" ht="18" customHeight="1" x14ac:dyDescent="0.25">
      <c r="A2038" s="40">
        <v>2023</v>
      </c>
      <c r="B2038" s="41" t="str">
        <f t="array" ref="B2038">IFERROR(IF(INDEX(Transactions!$F$8:$F$3006,MATCH(0,COUNTIF($B$11:B2037,Transactions!$F$8:$F$3006),0))="","",INDEX(Transactions!$F$8:$F$3006,MATCH(0,COUNTIF($B$11:B2037,Transactions!$F$8:$F$3006),0))),"")</f>
        <v/>
      </c>
      <c r="C2038" s="42" t="str">
        <f>IF(B2038="","",SUMIF(Transactions!$F$8:$F$3006,B2038,Transactions!$H$8:$H$3006))</f>
        <v/>
      </c>
      <c r="D2038" s="43" t="str">
        <f>IF(B2038="","",SUMIF(Transactions!$F$8:$F$3006,B2038,Transactions!$N$8:$N$3006))</f>
        <v/>
      </c>
      <c r="E2038" s="44" t="str">
        <f>IF(B2038="","",SUMIF(Transactions!$F$8:$F$3006,B2038,Transactions!$O$8:$O$3006))</f>
        <v/>
      </c>
      <c r="F2038" s="45" t="str">
        <f>IF(B2038="","",SUMIF(Transactions!$F$8:$F$3006,B2038,Transactions!$R$8:$R$3006))</f>
        <v/>
      </c>
      <c r="G2038" s="46" t="str">
        <f>IF(B2038="","",(C2038+F2038)-(D2038+E2038+SUMIF(Transactions!$F$8:$F$3006,B2038,Transactions!$Q$8:$Q$3006)))</f>
        <v/>
      </c>
      <c r="H2038" s="47" t="str">
        <f>IF(B2038="","",IF(G2038&gt;0,"OUTSTANDING",IF(G2038=0,"SETTLED",IF(SUMIF(Transactions!$F$8:$F$3006,B2038,Transactions!$Q$8:$Q$3006)&gt;SUMIF(Transactions!$F$8:$F$3006,B2038,Transactions!$R$8:$R$3006),"OWES","OVERPAID"))))</f>
        <v/>
      </c>
      <c r="I2038" s="1"/>
    </row>
    <row r="2039" spans="1:9" ht="18" customHeight="1" x14ac:dyDescent="0.25">
      <c r="A2039" s="48">
        <v>2024</v>
      </c>
      <c r="B2039" s="49" t="str">
        <f t="array" ref="B2039">IFERROR(IF(INDEX(Transactions!$F$8:$F$3006,MATCH(0,COUNTIF($B$11:B2038,Transactions!$F$8:$F$3006),0))="","",INDEX(Transactions!$F$8:$F$3006,MATCH(0,COUNTIF($B$11:B2038,Transactions!$F$8:$F$3006),0))),"")</f>
        <v/>
      </c>
      <c r="C2039" s="50" t="str">
        <f>IF(B2039="","",SUMIF(Transactions!$F$8:$F$3006,B2039,Transactions!$H$8:$H$3006))</f>
        <v/>
      </c>
      <c r="D2039" s="51" t="str">
        <f>IF(B2039="","",SUMIF(Transactions!$F$8:$F$3006,B2039,Transactions!$N$8:$N$3006))</f>
        <v/>
      </c>
      <c r="E2039" s="52" t="str">
        <f>IF(B2039="","",SUMIF(Transactions!$F$8:$F$3006,B2039,Transactions!$O$8:$O$3006))</f>
        <v/>
      </c>
      <c r="F2039" s="53" t="str">
        <f>IF(B2039="","",SUMIF(Transactions!$F$8:$F$3006,B2039,Transactions!$R$8:$R$3006))</f>
        <v/>
      </c>
      <c r="G2039" s="54" t="str">
        <f>IF(B2039="","",(C2039+F2039)-(D2039+E2039+SUMIF(Transactions!$F$8:$F$3006,B2039,Transactions!$Q$8:$Q$3006)))</f>
        <v/>
      </c>
      <c r="H2039" s="55" t="str">
        <f>IF(B2039="","",IF(G2039&gt;0,"OUTSTANDING",IF(G2039=0,"SETTLED",IF(SUMIF(Transactions!$F$8:$F$3006,B2039,Transactions!$Q$8:$Q$3006)&gt;SUMIF(Transactions!$F$8:$F$3006,B2039,Transactions!$R$8:$R$3006),"OWES","OVERPAID"))))</f>
        <v/>
      </c>
      <c r="I2039" s="1"/>
    </row>
    <row r="2040" spans="1:9" ht="18" customHeight="1" x14ac:dyDescent="0.25">
      <c r="A2040" s="40">
        <v>2025</v>
      </c>
      <c r="B2040" s="41" t="str">
        <f t="array" ref="B2040">IFERROR(IF(INDEX(Transactions!$F$8:$F$3006,MATCH(0,COUNTIF($B$11:B2039,Transactions!$F$8:$F$3006),0))="","",INDEX(Transactions!$F$8:$F$3006,MATCH(0,COUNTIF($B$11:B2039,Transactions!$F$8:$F$3006),0))),"")</f>
        <v/>
      </c>
      <c r="C2040" s="42" t="str">
        <f>IF(B2040="","",SUMIF(Transactions!$F$8:$F$3006,B2040,Transactions!$H$8:$H$3006))</f>
        <v/>
      </c>
      <c r="D2040" s="43" t="str">
        <f>IF(B2040="","",SUMIF(Transactions!$F$8:$F$3006,B2040,Transactions!$N$8:$N$3006))</f>
        <v/>
      </c>
      <c r="E2040" s="44" t="str">
        <f>IF(B2040="","",SUMIF(Transactions!$F$8:$F$3006,B2040,Transactions!$O$8:$O$3006))</f>
        <v/>
      </c>
      <c r="F2040" s="45" t="str">
        <f>IF(B2040="","",SUMIF(Transactions!$F$8:$F$3006,B2040,Transactions!$R$8:$R$3006))</f>
        <v/>
      </c>
      <c r="G2040" s="46" t="str">
        <f>IF(B2040="","",(C2040+F2040)-(D2040+E2040+SUMIF(Transactions!$F$8:$F$3006,B2040,Transactions!$Q$8:$Q$3006)))</f>
        <v/>
      </c>
      <c r="H2040" s="47" t="str">
        <f>IF(B2040="","",IF(G2040&gt;0,"OUTSTANDING",IF(G2040=0,"SETTLED",IF(SUMIF(Transactions!$F$8:$F$3006,B2040,Transactions!$Q$8:$Q$3006)&gt;SUMIF(Transactions!$F$8:$F$3006,B2040,Transactions!$R$8:$R$3006),"OWES","OVERPAID"))))</f>
        <v/>
      </c>
      <c r="I2040" s="1"/>
    </row>
    <row r="2041" spans="1:9" ht="18" customHeight="1" x14ac:dyDescent="0.25">
      <c r="A2041" s="48">
        <v>2026</v>
      </c>
      <c r="B2041" s="49" t="str">
        <f t="array" ref="B2041">IFERROR(IF(INDEX(Transactions!$F$8:$F$3006,MATCH(0,COUNTIF($B$11:B2040,Transactions!$F$8:$F$3006),0))="","",INDEX(Transactions!$F$8:$F$3006,MATCH(0,COUNTIF($B$11:B2040,Transactions!$F$8:$F$3006),0))),"")</f>
        <v/>
      </c>
      <c r="C2041" s="50" t="str">
        <f>IF(B2041="","",SUMIF(Transactions!$F$8:$F$3006,B2041,Transactions!$H$8:$H$3006))</f>
        <v/>
      </c>
      <c r="D2041" s="51" t="str">
        <f>IF(B2041="","",SUMIF(Transactions!$F$8:$F$3006,B2041,Transactions!$N$8:$N$3006))</f>
        <v/>
      </c>
      <c r="E2041" s="52" t="str">
        <f>IF(B2041="","",SUMIF(Transactions!$F$8:$F$3006,B2041,Transactions!$O$8:$O$3006))</f>
        <v/>
      </c>
      <c r="F2041" s="53" t="str">
        <f>IF(B2041="","",SUMIF(Transactions!$F$8:$F$3006,B2041,Transactions!$R$8:$R$3006))</f>
        <v/>
      </c>
      <c r="G2041" s="54" t="str">
        <f>IF(B2041="","",(C2041+F2041)-(D2041+E2041+SUMIF(Transactions!$F$8:$F$3006,B2041,Transactions!$Q$8:$Q$3006)))</f>
        <v/>
      </c>
      <c r="H2041" s="55" t="str">
        <f>IF(B2041="","",IF(G2041&gt;0,"OUTSTANDING",IF(G2041=0,"SETTLED",IF(SUMIF(Transactions!$F$8:$F$3006,B2041,Transactions!$Q$8:$Q$3006)&gt;SUMIF(Transactions!$F$8:$F$3006,B2041,Transactions!$R$8:$R$3006),"OWES","OVERPAID"))))</f>
        <v/>
      </c>
      <c r="I2041" s="1"/>
    </row>
    <row r="2042" spans="1:9" ht="18" customHeight="1" x14ac:dyDescent="0.25">
      <c r="A2042" s="40">
        <v>2027</v>
      </c>
      <c r="B2042" s="41" t="str">
        <f t="array" ref="B2042">IFERROR(IF(INDEX(Transactions!$F$8:$F$3006,MATCH(0,COUNTIF($B$11:B2041,Transactions!$F$8:$F$3006),0))="","",INDEX(Transactions!$F$8:$F$3006,MATCH(0,COUNTIF($B$11:B2041,Transactions!$F$8:$F$3006),0))),"")</f>
        <v/>
      </c>
      <c r="C2042" s="42" t="str">
        <f>IF(B2042="","",SUMIF(Transactions!$F$8:$F$3006,B2042,Transactions!$H$8:$H$3006))</f>
        <v/>
      </c>
      <c r="D2042" s="43" t="str">
        <f>IF(B2042="","",SUMIF(Transactions!$F$8:$F$3006,B2042,Transactions!$N$8:$N$3006))</f>
        <v/>
      </c>
      <c r="E2042" s="44" t="str">
        <f>IF(B2042="","",SUMIF(Transactions!$F$8:$F$3006,B2042,Transactions!$O$8:$O$3006))</f>
        <v/>
      </c>
      <c r="F2042" s="45" t="str">
        <f>IF(B2042="","",SUMIF(Transactions!$F$8:$F$3006,B2042,Transactions!$R$8:$R$3006))</f>
        <v/>
      </c>
      <c r="G2042" s="46" t="str">
        <f>IF(B2042="","",(C2042+F2042)-(D2042+E2042+SUMIF(Transactions!$F$8:$F$3006,B2042,Transactions!$Q$8:$Q$3006)))</f>
        <v/>
      </c>
      <c r="H2042" s="47" t="str">
        <f>IF(B2042="","",IF(G2042&gt;0,"OUTSTANDING",IF(G2042=0,"SETTLED",IF(SUMIF(Transactions!$F$8:$F$3006,B2042,Transactions!$Q$8:$Q$3006)&gt;SUMIF(Transactions!$F$8:$F$3006,B2042,Transactions!$R$8:$R$3006),"OWES","OVERPAID"))))</f>
        <v/>
      </c>
      <c r="I2042" s="1"/>
    </row>
    <row r="2043" spans="1:9" ht="18" customHeight="1" x14ac:dyDescent="0.25">
      <c r="A2043" s="48">
        <v>2028</v>
      </c>
      <c r="B2043" s="49" t="str">
        <f t="array" ref="B2043">IFERROR(IF(INDEX(Transactions!$F$8:$F$3006,MATCH(0,COUNTIF($B$11:B2042,Transactions!$F$8:$F$3006),0))="","",INDEX(Transactions!$F$8:$F$3006,MATCH(0,COUNTIF($B$11:B2042,Transactions!$F$8:$F$3006),0))),"")</f>
        <v/>
      </c>
      <c r="C2043" s="50" t="str">
        <f>IF(B2043="","",SUMIF(Transactions!$F$8:$F$3006,B2043,Transactions!$H$8:$H$3006))</f>
        <v/>
      </c>
      <c r="D2043" s="51" t="str">
        <f>IF(B2043="","",SUMIF(Transactions!$F$8:$F$3006,B2043,Transactions!$N$8:$N$3006))</f>
        <v/>
      </c>
      <c r="E2043" s="52" t="str">
        <f>IF(B2043="","",SUMIF(Transactions!$F$8:$F$3006,B2043,Transactions!$O$8:$O$3006))</f>
        <v/>
      </c>
      <c r="F2043" s="53" t="str">
        <f>IF(B2043="","",SUMIF(Transactions!$F$8:$F$3006,B2043,Transactions!$R$8:$R$3006))</f>
        <v/>
      </c>
      <c r="G2043" s="54" t="str">
        <f>IF(B2043="","",(C2043+F2043)-(D2043+E2043+SUMIF(Transactions!$F$8:$F$3006,B2043,Transactions!$Q$8:$Q$3006)))</f>
        <v/>
      </c>
      <c r="H2043" s="55" t="str">
        <f>IF(B2043="","",IF(G2043&gt;0,"OUTSTANDING",IF(G2043=0,"SETTLED",IF(SUMIF(Transactions!$F$8:$F$3006,B2043,Transactions!$Q$8:$Q$3006)&gt;SUMIF(Transactions!$F$8:$F$3006,B2043,Transactions!$R$8:$R$3006),"OWES","OVERPAID"))))</f>
        <v/>
      </c>
      <c r="I2043" s="1"/>
    </row>
    <row r="2044" spans="1:9" ht="18" customHeight="1" x14ac:dyDescent="0.25">
      <c r="A2044" s="40">
        <v>2029</v>
      </c>
      <c r="B2044" s="41" t="str">
        <f t="array" ref="B2044">IFERROR(IF(INDEX(Transactions!$F$8:$F$3006,MATCH(0,COUNTIF($B$11:B2043,Transactions!$F$8:$F$3006),0))="","",INDEX(Transactions!$F$8:$F$3006,MATCH(0,COUNTIF($B$11:B2043,Transactions!$F$8:$F$3006),0))),"")</f>
        <v/>
      </c>
      <c r="C2044" s="42" t="str">
        <f>IF(B2044="","",SUMIF(Transactions!$F$8:$F$3006,B2044,Transactions!$H$8:$H$3006))</f>
        <v/>
      </c>
      <c r="D2044" s="43" t="str">
        <f>IF(B2044="","",SUMIF(Transactions!$F$8:$F$3006,B2044,Transactions!$N$8:$N$3006))</f>
        <v/>
      </c>
      <c r="E2044" s="44" t="str">
        <f>IF(B2044="","",SUMIF(Transactions!$F$8:$F$3006,B2044,Transactions!$O$8:$O$3006))</f>
        <v/>
      </c>
      <c r="F2044" s="45" t="str">
        <f>IF(B2044="","",SUMIF(Transactions!$F$8:$F$3006,B2044,Transactions!$R$8:$R$3006))</f>
        <v/>
      </c>
      <c r="G2044" s="46" t="str">
        <f>IF(B2044="","",(C2044+F2044)-(D2044+E2044+SUMIF(Transactions!$F$8:$F$3006,B2044,Transactions!$Q$8:$Q$3006)))</f>
        <v/>
      </c>
      <c r="H2044" s="47" t="str">
        <f>IF(B2044="","",IF(G2044&gt;0,"OUTSTANDING",IF(G2044=0,"SETTLED",IF(SUMIF(Transactions!$F$8:$F$3006,B2044,Transactions!$Q$8:$Q$3006)&gt;SUMIF(Transactions!$F$8:$F$3006,B2044,Transactions!$R$8:$R$3006),"OWES","OVERPAID"))))</f>
        <v/>
      </c>
      <c r="I2044" s="1"/>
    </row>
    <row r="2045" spans="1:9" ht="18" customHeight="1" x14ac:dyDescent="0.25">
      <c r="A2045" s="48">
        <v>2030</v>
      </c>
      <c r="B2045" s="49" t="str">
        <f t="array" ref="B2045">IFERROR(IF(INDEX(Transactions!$F$8:$F$3006,MATCH(0,COUNTIF($B$11:B2044,Transactions!$F$8:$F$3006),0))="","",INDEX(Transactions!$F$8:$F$3006,MATCH(0,COUNTIF($B$11:B2044,Transactions!$F$8:$F$3006),0))),"")</f>
        <v/>
      </c>
      <c r="C2045" s="50" t="str">
        <f>IF(B2045="","",SUMIF(Transactions!$F$8:$F$3006,B2045,Transactions!$H$8:$H$3006))</f>
        <v/>
      </c>
      <c r="D2045" s="51" t="str">
        <f>IF(B2045="","",SUMIF(Transactions!$F$8:$F$3006,B2045,Transactions!$N$8:$N$3006))</f>
        <v/>
      </c>
      <c r="E2045" s="52" t="str">
        <f>IF(B2045="","",SUMIF(Transactions!$F$8:$F$3006,B2045,Transactions!$O$8:$O$3006))</f>
        <v/>
      </c>
      <c r="F2045" s="53" t="str">
        <f>IF(B2045="","",SUMIF(Transactions!$F$8:$F$3006,B2045,Transactions!$R$8:$R$3006))</f>
        <v/>
      </c>
      <c r="G2045" s="54" t="str">
        <f>IF(B2045="","",(C2045+F2045)-(D2045+E2045+SUMIF(Transactions!$F$8:$F$3006,B2045,Transactions!$Q$8:$Q$3006)))</f>
        <v/>
      </c>
      <c r="H2045" s="55" t="str">
        <f>IF(B2045="","",IF(G2045&gt;0,"OUTSTANDING",IF(G2045=0,"SETTLED",IF(SUMIF(Transactions!$F$8:$F$3006,B2045,Transactions!$Q$8:$Q$3006)&gt;SUMIF(Transactions!$F$8:$F$3006,B2045,Transactions!$R$8:$R$3006),"OWES","OVERPAID"))))</f>
        <v/>
      </c>
      <c r="I2045" s="1"/>
    </row>
    <row r="2046" spans="1:9" ht="18" customHeight="1" x14ac:dyDescent="0.25">
      <c r="A2046" s="40">
        <v>2031</v>
      </c>
      <c r="B2046" s="41" t="str">
        <f t="array" ref="B2046">IFERROR(IF(INDEX(Transactions!$F$8:$F$3006,MATCH(0,COUNTIF($B$11:B2045,Transactions!$F$8:$F$3006),0))="","",INDEX(Transactions!$F$8:$F$3006,MATCH(0,COUNTIF($B$11:B2045,Transactions!$F$8:$F$3006),0))),"")</f>
        <v/>
      </c>
      <c r="C2046" s="42" t="str">
        <f>IF(B2046="","",SUMIF(Transactions!$F$8:$F$3006,B2046,Transactions!$H$8:$H$3006))</f>
        <v/>
      </c>
      <c r="D2046" s="43" t="str">
        <f>IF(B2046="","",SUMIF(Transactions!$F$8:$F$3006,B2046,Transactions!$N$8:$N$3006))</f>
        <v/>
      </c>
      <c r="E2046" s="44" t="str">
        <f>IF(B2046="","",SUMIF(Transactions!$F$8:$F$3006,B2046,Transactions!$O$8:$O$3006))</f>
        <v/>
      </c>
      <c r="F2046" s="45" t="str">
        <f>IF(B2046="","",SUMIF(Transactions!$F$8:$F$3006,B2046,Transactions!$R$8:$R$3006))</f>
        <v/>
      </c>
      <c r="G2046" s="46" t="str">
        <f>IF(B2046="","",(C2046+F2046)-(D2046+E2046+SUMIF(Transactions!$F$8:$F$3006,B2046,Transactions!$Q$8:$Q$3006)))</f>
        <v/>
      </c>
      <c r="H2046" s="47" t="str">
        <f>IF(B2046="","",IF(G2046&gt;0,"OUTSTANDING",IF(G2046=0,"SETTLED",IF(SUMIF(Transactions!$F$8:$F$3006,B2046,Transactions!$Q$8:$Q$3006)&gt;SUMIF(Transactions!$F$8:$F$3006,B2046,Transactions!$R$8:$R$3006),"OWES","OVERPAID"))))</f>
        <v/>
      </c>
      <c r="I2046" s="1"/>
    </row>
    <row r="2047" spans="1:9" ht="18" customHeight="1" x14ac:dyDescent="0.25">
      <c r="A2047" s="48">
        <v>2032</v>
      </c>
      <c r="B2047" s="49" t="str">
        <f t="array" ref="B2047">IFERROR(IF(INDEX(Transactions!$F$8:$F$3006,MATCH(0,COUNTIF($B$11:B2046,Transactions!$F$8:$F$3006),0))="","",INDEX(Transactions!$F$8:$F$3006,MATCH(0,COUNTIF($B$11:B2046,Transactions!$F$8:$F$3006),0))),"")</f>
        <v/>
      </c>
      <c r="C2047" s="50" t="str">
        <f>IF(B2047="","",SUMIF(Transactions!$F$8:$F$3006,B2047,Transactions!$H$8:$H$3006))</f>
        <v/>
      </c>
      <c r="D2047" s="51" t="str">
        <f>IF(B2047="","",SUMIF(Transactions!$F$8:$F$3006,B2047,Transactions!$N$8:$N$3006))</f>
        <v/>
      </c>
      <c r="E2047" s="52" t="str">
        <f>IF(B2047="","",SUMIF(Transactions!$F$8:$F$3006,B2047,Transactions!$O$8:$O$3006))</f>
        <v/>
      </c>
      <c r="F2047" s="53" t="str">
        <f>IF(B2047="","",SUMIF(Transactions!$F$8:$F$3006,B2047,Transactions!$R$8:$R$3006))</f>
        <v/>
      </c>
      <c r="G2047" s="54" t="str">
        <f>IF(B2047="","",(C2047+F2047)-(D2047+E2047+SUMIF(Transactions!$F$8:$F$3006,B2047,Transactions!$Q$8:$Q$3006)))</f>
        <v/>
      </c>
      <c r="H2047" s="55" t="str">
        <f>IF(B2047="","",IF(G2047&gt;0,"OUTSTANDING",IF(G2047=0,"SETTLED",IF(SUMIF(Transactions!$F$8:$F$3006,B2047,Transactions!$Q$8:$Q$3006)&gt;SUMIF(Transactions!$F$8:$F$3006,B2047,Transactions!$R$8:$R$3006),"OWES","OVERPAID"))))</f>
        <v/>
      </c>
      <c r="I2047" s="1"/>
    </row>
    <row r="2048" spans="1:9" ht="18" customHeight="1" x14ac:dyDescent="0.25">
      <c r="A2048" s="40">
        <v>2033</v>
      </c>
      <c r="B2048" s="41" t="str">
        <f t="array" ref="B2048">IFERROR(IF(INDEX(Transactions!$F$8:$F$3006,MATCH(0,COUNTIF($B$11:B2047,Transactions!$F$8:$F$3006),0))="","",INDEX(Transactions!$F$8:$F$3006,MATCH(0,COUNTIF($B$11:B2047,Transactions!$F$8:$F$3006),0))),"")</f>
        <v/>
      </c>
      <c r="C2048" s="42" t="str">
        <f>IF(B2048="","",SUMIF(Transactions!$F$8:$F$3006,B2048,Transactions!$H$8:$H$3006))</f>
        <v/>
      </c>
      <c r="D2048" s="43" t="str">
        <f>IF(B2048="","",SUMIF(Transactions!$F$8:$F$3006,B2048,Transactions!$N$8:$N$3006))</f>
        <v/>
      </c>
      <c r="E2048" s="44" t="str">
        <f>IF(B2048="","",SUMIF(Transactions!$F$8:$F$3006,B2048,Transactions!$O$8:$O$3006))</f>
        <v/>
      </c>
      <c r="F2048" s="45" t="str">
        <f>IF(B2048="","",SUMIF(Transactions!$F$8:$F$3006,B2048,Transactions!$R$8:$R$3006))</f>
        <v/>
      </c>
      <c r="G2048" s="46" t="str">
        <f>IF(B2048="","",(C2048+F2048)-(D2048+E2048+SUMIF(Transactions!$F$8:$F$3006,B2048,Transactions!$Q$8:$Q$3006)))</f>
        <v/>
      </c>
      <c r="H2048" s="47" t="str">
        <f>IF(B2048="","",IF(G2048&gt;0,"OUTSTANDING",IF(G2048=0,"SETTLED",IF(SUMIF(Transactions!$F$8:$F$3006,B2048,Transactions!$Q$8:$Q$3006)&gt;SUMIF(Transactions!$F$8:$F$3006,B2048,Transactions!$R$8:$R$3006),"OWES","OVERPAID"))))</f>
        <v/>
      </c>
      <c r="I2048" s="1"/>
    </row>
    <row r="2049" spans="1:9" ht="18" customHeight="1" x14ac:dyDescent="0.25">
      <c r="A2049" s="48">
        <v>2034</v>
      </c>
      <c r="B2049" s="49" t="str">
        <f t="array" ref="B2049">IFERROR(IF(INDEX(Transactions!$F$8:$F$3006,MATCH(0,COUNTIF($B$11:B2048,Transactions!$F$8:$F$3006),0))="","",INDEX(Transactions!$F$8:$F$3006,MATCH(0,COUNTIF($B$11:B2048,Transactions!$F$8:$F$3006),0))),"")</f>
        <v/>
      </c>
      <c r="C2049" s="50" t="str">
        <f>IF(B2049="","",SUMIF(Transactions!$F$8:$F$3006,B2049,Transactions!$H$8:$H$3006))</f>
        <v/>
      </c>
      <c r="D2049" s="51" t="str">
        <f>IF(B2049="","",SUMIF(Transactions!$F$8:$F$3006,B2049,Transactions!$N$8:$N$3006))</f>
        <v/>
      </c>
      <c r="E2049" s="52" t="str">
        <f>IF(B2049="","",SUMIF(Transactions!$F$8:$F$3006,B2049,Transactions!$O$8:$O$3006))</f>
        <v/>
      </c>
      <c r="F2049" s="53" t="str">
        <f>IF(B2049="","",SUMIF(Transactions!$F$8:$F$3006,B2049,Transactions!$R$8:$R$3006))</f>
        <v/>
      </c>
      <c r="G2049" s="54" t="str">
        <f>IF(B2049="","",(C2049+F2049)-(D2049+E2049+SUMIF(Transactions!$F$8:$F$3006,B2049,Transactions!$Q$8:$Q$3006)))</f>
        <v/>
      </c>
      <c r="H2049" s="55" t="str">
        <f>IF(B2049="","",IF(G2049&gt;0,"OUTSTANDING",IF(G2049=0,"SETTLED",IF(SUMIF(Transactions!$F$8:$F$3006,B2049,Transactions!$Q$8:$Q$3006)&gt;SUMIF(Transactions!$F$8:$F$3006,B2049,Transactions!$R$8:$R$3006),"OWES","OVERPAID"))))</f>
        <v/>
      </c>
      <c r="I2049" s="1"/>
    </row>
    <row r="2050" spans="1:9" ht="18" customHeight="1" x14ac:dyDescent="0.25">
      <c r="A2050" s="40">
        <v>2035</v>
      </c>
      <c r="B2050" s="41" t="str">
        <f t="array" ref="B2050">IFERROR(IF(INDEX(Transactions!$F$8:$F$3006,MATCH(0,COUNTIF($B$11:B2049,Transactions!$F$8:$F$3006),0))="","",INDEX(Transactions!$F$8:$F$3006,MATCH(0,COUNTIF($B$11:B2049,Transactions!$F$8:$F$3006),0))),"")</f>
        <v/>
      </c>
      <c r="C2050" s="42" t="str">
        <f>IF(B2050="","",SUMIF(Transactions!$F$8:$F$3006,B2050,Transactions!$H$8:$H$3006))</f>
        <v/>
      </c>
      <c r="D2050" s="43" t="str">
        <f>IF(B2050="","",SUMIF(Transactions!$F$8:$F$3006,B2050,Transactions!$N$8:$N$3006))</f>
        <v/>
      </c>
      <c r="E2050" s="44" t="str">
        <f>IF(B2050="","",SUMIF(Transactions!$F$8:$F$3006,B2050,Transactions!$O$8:$O$3006))</f>
        <v/>
      </c>
      <c r="F2050" s="45" t="str">
        <f>IF(B2050="","",SUMIF(Transactions!$F$8:$F$3006,B2050,Transactions!$R$8:$R$3006))</f>
        <v/>
      </c>
      <c r="G2050" s="46" t="str">
        <f>IF(B2050="","",(C2050+F2050)-(D2050+E2050+SUMIF(Transactions!$F$8:$F$3006,B2050,Transactions!$Q$8:$Q$3006)))</f>
        <v/>
      </c>
      <c r="H2050" s="47" t="str">
        <f>IF(B2050="","",IF(G2050&gt;0,"OUTSTANDING",IF(G2050=0,"SETTLED",IF(SUMIF(Transactions!$F$8:$F$3006,B2050,Transactions!$Q$8:$Q$3006)&gt;SUMIF(Transactions!$F$8:$F$3006,B2050,Transactions!$R$8:$R$3006),"OWES","OVERPAID"))))</f>
        <v/>
      </c>
      <c r="I2050" s="1"/>
    </row>
    <row r="2051" spans="1:9" ht="18" customHeight="1" x14ac:dyDescent="0.25">
      <c r="A2051" s="48">
        <v>2036</v>
      </c>
      <c r="B2051" s="49" t="str">
        <f t="array" ref="B2051">IFERROR(IF(INDEX(Transactions!$F$8:$F$3006,MATCH(0,COUNTIF($B$11:B2050,Transactions!$F$8:$F$3006),0))="","",INDEX(Transactions!$F$8:$F$3006,MATCH(0,COUNTIF($B$11:B2050,Transactions!$F$8:$F$3006),0))),"")</f>
        <v/>
      </c>
      <c r="C2051" s="50" t="str">
        <f>IF(B2051="","",SUMIF(Transactions!$F$8:$F$3006,B2051,Transactions!$H$8:$H$3006))</f>
        <v/>
      </c>
      <c r="D2051" s="51" t="str">
        <f>IF(B2051="","",SUMIF(Transactions!$F$8:$F$3006,B2051,Transactions!$N$8:$N$3006))</f>
        <v/>
      </c>
      <c r="E2051" s="52" t="str">
        <f>IF(B2051="","",SUMIF(Transactions!$F$8:$F$3006,B2051,Transactions!$O$8:$O$3006))</f>
        <v/>
      </c>
      <c r="F2051" s="53" t="str">
        <f>IF(B2051="","",SUMIF(Transactions!$F$8:$F$3006,B2051,Transactions!$R$8:$R$3006))</f>
        <v/>
      </c>
      <c r="G2051" s="54" t="str">
        <f>IF(B2051="","",(C2051+F2051)-(D2051+E2051+SUMIF(Transactions!$F$8:$F$3006,B2051,Transactions!$Q$8:$Q$3006)))</f>
        <v/>
      </c>
      <c r="H2051" s="55" t="str">
        <f>IF(B2051="","",IF(G2051&gt;0,"OUTSTANDING",IF(G2051=0,"SETTLED",IF(SUMIF(Transactions!$F$8:$F$3006,B2051,Transactions!$Q$8:$Q$3006)&gt;SUMIF(Transactions!$F$8:$F$3006,B2051,Transactions!$R$8:$R$3006),"OWES","OVERPAID"))))</f>
        <v/>
      </c>
      <c r="I2051" s="1"/>
    </row>
    <row r="2052" spans="1:9" ht="18" customHeight="1" x14ac:dyDescent="0.25">
      <c r="A2052" s="40">
        <v>2037</v>
      </c>
      <c r="B2052" s="41" t="str">
        <f t="array" ref="B2052">IFERROR(IF(INDEX(Transactions!$F$8:$F$3006,MATCH(0,COUNTIF($B$11:B2051,Transactions!$F$8:$F$3006),0))="","",INDEX(Transactions!$F$8:$F$3006,MATCH(0,COUNTIF($B$11:B2051,Transactions!$F$8:$F$3006),0))),"")</f>
        <v/>
      </c>
      <c r="C2052" s="42" t="str">
        <f>IF(B2052="","",SUMIF(Transactions!$F$8:$F$3006,B2052,Transactions!$H$8:$H$3006))</f>
        <v/>
      </c>
      <c r="D2052" s="43" t="str">
        <f>IF(B2052="","",SUMIF(Transactions!$F$8:$F$3006,B2052,Transactions!$N$8:$N$3006))</f>
        <v/>
      </c>
      <c r="E2052" s="44" t="str">
        <f>IF(B2052="","",SUMIF(Transactions!$F$8:$F$3006,B2052,Transactions!$O$8:$O$3006))</f>
        <v/>
      </c>
      <c r="F2052" s="45" t="str">
        <f>IF(B2052="","",SUMIF(Transactions!$F$8:$F$3006,B2052,Transactions!$R$8:$R$3006))</f>
        <v/>
      </c>
      <c r="G2052" s="46" t="str">
        <f>IF(B2052="","",(C2052+F2052)-(D2052+E2052+SUMIF(Transactions!$F$8:$F$3006,B2052,Transactions!$Q$8:$Q$3006)))</f>
        <v/>
      </c>
      <c r="H2052" s="47" t="str">
        <f>IF(B2052="","",IF(G2052&gt;0,"OUTSTANDING",IF(G2052=0,"SETTLED",IF(SUMIF(Transactions!$F$8:$F$3006,B2052,Transactions!$Q$8:$Q$3006)&gt;SUMIF(Transactions!$F$8:$F$3006,B2052,Transactions!$R$8:$R$3006),"OWES","OVERPAID"))))</f>
        <v/>
      </c>
      <c r="I2052" s="1"/>
    </row>
    <row r="2053" spans="1:9" ht="18" customHeight="1" x14ac:dyDescent="0.25">
      <c r="A2053" s="48">
        <v>2038</v>
      </c>
      <c r="B2053" s="49" t="str">
        <f t="array" ref="B2053">IFERROR(IF(INDEX(Transactions!$F$8:$F$3006,MATCH(0,COUNTIF($B$11:B2052,Transactions!$F$8:$F$3006),0))="","",INDEX(Transactions!$F$8:$F$3006,MATCH(0,COUNTIF($B$11:B2052,Transactions!$F$8:$F$3006),0))),"")</f>
        <v/>
      </c>
      <c r="C2053" s="50" t="str">
        <f>IF(B2053="","",SUMIF(Transactions!$F$8:$F$3006,B2053,Transactions!$H$8:$H$3006))</f>
        <v/>
      </c>
      <c r="D2053" s="51" t="str">
        <f>IF(B2053="","",SUMIF(Transactions!$F$8:$F$3006,B2053,Transactions!$N$8:$N$3006))</f>
        <v/>
      </c>
      <c r="E2053" s="52" t="str">
        <f>IF(B2053="","",SUMIF(Transactions!$F$8:$F$3006,B2053,Transactions!$O$8:$O$3006))</f>
        <v/>
      </c>
      <c r="F2053" s="53" t="str">
        <f>IF(B2053="","",SUMIF(Transactions!$F$8:$F$3006,B2053,Transactions!$R$8:$R$3006))</f>
        <v/>
      </c>
      <c r="G2053" s="54" t="str">
        <f>IF(B2053="","",(C2053+F2053)-(D2053+E2053+SUMIF(Transactions!$F$8:$F$3006,B2053,Transactions!$Q$8:$Q$3006)))</f>
        <v/>
      </c>
      <c r="H2053" s="55" t="str">
        <f>IF(B2053="","",IF(G2053&gt;0,"OUTSTANDING",IF(G2053=0,"SETTLED",IF(SUMIF(Transactions!$F$8:$F$3006,B2053,Transactions!$Q$8:$Q$3006)&gt;SUMIF(Transactions!$F$8:$F$3006,B2053,Transactions!$R$8:$R$3006),"OWES","OVERPAID"))))</f>
        <v/>
      </c>
      <c r="I2053" s="1"/>
    </row>
    <row r="2054" spans="1:9" ht="18" customHeight="1" x14ac:dyDescent="0.25">
      <c r="A2054" s="40">
        <v>2039</v>
      </c>
      <c r="B2054" s="41" t="str">
        <f t="array" ref="B2054">IFERROR(IF(INDEX(Transactions!$F$8:$F$3006,MATCH(0,COUNTIF($B$11:B2053,Transactions!$F$8:$F$3006),0))="","",INDEX(Transactions!$F$8:$F$3006,MATCH(0,COUNTIF($B$11:B2053,Transactions!$F$8:$F$3006),0))),"")</f>
        <v/>
      </c>
      <c r="C2054" s="42" t="str">
        <f>IF(B2054="","",SUMIF(Transactions!$F$8:$F$3006,B2054,Transactions!$H$8:$H$3006))</f>
        <v/>
      </c>
      <c r="D2054" s="43" t="str">
        <f>IF(B2054="","",SUMIF(Transactions!$F$8:$F$3006,B2054,Transactions!$N$8:$N$3006))</f>
        <v/>
      </c>
      <c r="E2054" s="44" t="str">
        <f>IF(B2054="","",SUMIF(Transactions!$F$8:$F$3006,B2054,Transactions!$O$8:$O$3006))</f>
        <v/>
      </c>
      <c r="F2054" s="45" t="str">
        <f>IF(B2054="","",SUMIF(Transactions!$F$8:$F$3006,B2054,Transactions!$R$8:$R$3006))</f>
        <v/>
      </c>
      <c r="G2054" s="46" t="str">
        <f>IF(B2054="","",(C2054+F2054)-(D2054+E2054+SUMIF(Transactions!$F$8:$F$3006,B2054,Transactions!$Q$8:$Q$3006)))</f>
        <v/>
      </c>
      <c r="H2054" s="47" t="str">
        <f>IF(B2054="","",IF(G2054&gt;0,"OUTSTANDING",IF(G2054=0,"SETTLED",IF(SUMIF(Transactions!$F$8:$F$3006,B2054,Transactions!$Q$8:$Q$3006)&gt;SUMIF(Transactions!$F$8:$F$3006,B2054,Transactions!$R$8:$R$3006),"OWES","OVERPAID"))))</f>
        <v/>
      </c>
      <c r="I2054" s="1"/>
    </row>
    <row r="2055" spans="1:9" ht="18" customHeight="1" x14ac:dyDescent="0.25">
      <c r="A2055" s="48">
        <v>2040</v>
      </c>
      <c r="B2055" s="49" t="str">
        <f t="array" ref="B2055">IFERROR(IF(INDEX(Transactions!$F$8:$F$3006,MATCH(0,COUNTIF($B$11:B2054,Transactions!$F$8:$F$3006),0))="","",INDEX(Transactions!$F$8:$F$3006,MATCH(0,COUNTIF($B$11:B2054,Transactions!$F$8:$F$3006),0))),"")</f>
        <v/>
      </c>
      <c r="C2055" s="50" t="str">
        <f>IF(B2055="","",SUMIF(Transactions!$F$8:$F$3006,B2055,Transactions!$H$8:$H$3006))</f>
        <v/>
      </c>
      <c r="D2055" s="51" t="str">
        <f>IF(B2055="","",SUMIF(Transactions!$F$8:$F$3006,B2055,Transactions!$N$8:$N$3006))</f>
        <v/>
      </c>
      <c r="E2055" s="52" t="str">
        <f>IF(B2055="","",SUMIF(Transactions!$F$8:$F$3006,B2055,Transactions!$O$8:$O$3006))</f>
        <v/>
      </c>
      <c r="F2055" s="53" t="str">
        <f>IF(B2055="","",SUMIF(Transactions!$F$8:$F$3006,B2055,Transactions!$R$8:$R$3006))</f>
        <v/>
      </c>
      <c r="G2055" s="54" t="str">
        <f>IF(B2055="","",(C2055+F2055)-(D2055+E2055+SUMIF(Transactions!$F$8:$F$3006,B2055,Transactions!$Q$8:$Q$3006)))</f>
        <v/>
      </c>
      <c r="H2055" s="55" t="str">
        <f>IF(B2055="","",IF(G2055&gt;0,"OUTSTANDING",IF(G2055=0,"SETTLED",IF(SUMIF(Transactions!$F$8:$F$3006,B2055,Transactions!$Q$8:$Q$3006)&gt;SUMIF(Transactions!$F$8:$F$3006,B2055,Transactions!$R$8:$R$3006),"OWES","OVERPAID"))))</f>
        <v/>
      </c>
      <c r="I2055" s="1"/>
    </row>
    <row r="2056" spans="1:9" ht="18" customHeight="1" x14ac:dyDescent="0.25">
      <c r="A2056" s="40">
        <v>2041</v>
      </c>
      <c r="B2056" s="41" t="str">
        <f t="array" ref="B2056">IFERROR(IF(INDEX(Transactions!$F$8:$F$3006,MATCH(0,COUNTIF($B$11:B2055,Transactions!$F$8:$F$3006),0))="","",INDEX(Transactions!$F$8:$F$3006,MATCH(0,COUNTIF($B$11:B2055,Transactions!$F$8:$F$3006),0))),"")</f>
        <v/>
      </c>
      <c r="C2056" s="42" t="str">
        <f>IF(B2056="","",SUMIF(Transactions!$F$8:$F$3006,B2056,Transactions!$H$8:$H$3006))</f>
        <v/>
      </c>
      <c r="D2056" s="43" t="str">
        <f>IF(B2056="","",SUMIF(Transactions!$F$8:$F$3006,B2056,Transactions!$N$8:$N$3006))</f>
        <v/>
      </c>
      <c r="E2056" s="44" t="str">
        <f>IF(B2056="","",SUMIF(Transactions!$F$8:$F$3006,B2056,Transactions!$O$8:$O$3006))</f>
        <v/>
      </c>
      <c r="F2056" s="45" t="str">
        <f>IF(B2056="","",SUMIF(Transactions!$F$8:$F$3006,B2056,Transactions!$R$8:$R$3006))</f>
        <v/>
      </c>
      <c r="G2056" s="46" t="str">
        <f>IF(B2056="","",(C2056+F2056)-(D2056+E2056+SUMIF(Transactions!$F$8:$F$3006,B2056,Transactions!$Q$8:$Q$3006)))</f>
        <v/>
      </c>
      <c r="H2056" s="47" t="str">
        <f>IF(B2056="","",IF(G2056&gt;0,"OUTSTANDING",IF(G2056=0,"SETTLED",IF(SUMIF(Transactions!$F$8:$F$3006,B2056,Transactions!$Q$8:$Q$3006)&gt;SUMIF(Transactions!$F$8:$F$3006,B2056,Transactions!$R$8:$R$3006),"OWES","OVERPAID"))))</f>
        <v/>
      </c>
      <c r="I2056" s="1"/>
    </row>
    <row r="2057" spans="1:9" ht="18" customHeight="1" x14ac:dyDescent="0.25">
      <c r="A2057" s="48">
        <v>2042</v>
      </c>
      <c r="B2057" s="49" t="str">
        <f t="array" ref="B2057">IFERROR(IF(INDEX(Transactions!$F$8:$F$3006,MATCH(0,COUNTIF($B$11:B2056,Transactions!$F$8:$F$3006),0))="","",INDEX(Transactions!$F$8:$F$3006,MATCH(0,COUNTIF($B$11:B2056,Transactions!$F$8:$F$3006),0))),"")</f>
        <v/>
      </c>
      <c r="C2057" s="50" t="str">
        <f>IF(B2057="","",SUMIF(Transactions!$F$8:$F$3006,B2057,Transactions!$H$8:$H$3006))</f>
        <v/>
      </c>
      <c r="D2057" s="51" t="str">
        <f>IF(B2057="","",SUMIF(Transactions!$F$8:$F$3006,B2057,Transactions!$N$8:$N$3006))</f>
        <v/>
      </c>
      <c r="E2057" s="52" t="str">
        <f>IF(B2057="","",SUMIF(Transactions!$F$8:$F$3006,B2057,Transactions!$O$8:$O$3006))</f>
        <v/>
      </c>
      <c r="F2057" s="53" t="str">
        <f>IF(B2057="","",SUMIF(Transactions!$F$8:$F$3006,B2057,Transactions!$R$8:$R$3006))</f>
        <v/>
      </c>
      <c r="G2057" s="54" t="str">
        <f>IF(B2057="","",(C2057+F2057)-(D2057+E2057+SUMIF(Transactions!$F$8:$F$3006,B2057,Transactions!$Q$8:$Q$3006)))</f>
        <v/>
      </c>
      <c r="H2057" s="55" t="str">
        <f>IF(B2057="","",IF(G2057&gt;0,"OUTSTANDING",IF(G2057=0,"SETTLED",IF(SUMIF(Transactions!$F$8:$F$3006,B2057,Transactions!$Q$8:$Q$3006)&gt;SUMIF(Transactions!$F$8:$F$3006,B2057,Transactions!$R$8:$R$3006),"OWES","OVERPAID"))))</f>
        <v/>
      </c>
      <c r="I2057" s="1"/>
    </row>
    <row r="2058" spans="1:9" ht="18" customHeight="1" x14ac:dyDescent="0.25">
      <c r="A2058" s="40">
        <v>2043</v>
      </c>
      <c r="B2058" s="41" t="str">
        <f t="array" ref="B2058">IFERROR(IF(INDEX(Transactions!$F$8:$F$3006,MATCH(0,COUNTIF($B$11:B2057,Transactions!$F$8:$F$3006),0))="","",INDEX(Transactions!$F$8:$F$3006,MATCH(0,COUNTIF($B$11:B2057,Transactions!$F$8:$F$3006),0))),"")</f>
        <v/>
      </c>
      <c r="C2058" s="42" t="str">
        <f>IF(B2058="","",SUMIF(Transactions!$F$8:$F$3006,B2058,Transactions!$H$8:$H$3006))</f>
        <v/>
      </c>
      <c r="D2058" s="43" t="str">
        <f>IF(B2058="","",SUMIF(Transactions!$F$8:$F$3006,B2058,Transactions!$N$8:$N$3006))</f>
        <v/>
      </c>
      <c r="E2058" s="44" t="str">
        <f>IF(B2058="","",SUMIF(Transactions!$F$8:$F$3006,B2058,Transactions!$O$8:$O$3006))</f>
        <v/>
      </c>
      <c r="F2058" s="45" t="str">
        <f>IF(B2058="","",SUMIF(Transactions!$F$8:$F$3006,B2058,Transactions!$R$8:$R$3006))</f>
        <v/>
      </c>
      <c r="G2058" s="46" t="str">
        <f>IF(B2058="","",(C2058+F2058)-(D2058+E2058+SUMIF(Transactions!$F$8:$F$3006,B2058,Transactions!$Q$8:$Q$3006)))</f>
        <v/>
      </c>
      <c r="H2058" s="47" t="str">
        <f>IF(B2058="","",IF(G2058&gt;0,"OUTSTANDING",IF(G2058=0,"SETTLED",IF(SUMIF(Transactions!$F$8:$F$3006,B2058,Transactions!$Q$8:$Q$3006)&gt;SUMIF(Transactions!$F$8:$F$3006,B2058,Transactions!$R$8:$R$3006),"OWES","OVERPAID"))))</f>
        <v/>
      </c>
      <c r="I2058" s="1"/>
    </row>
    <row r="2059" spans="1:9" ht="18" customHeight="1" x14ac:dyDescent="0.25">
      <c r="A2059" s="48">
        <v>2044</v>
      </c>
      <c r="B2059" s="49" t="str">
        <f t="array" ref="B2059">IFERROR(IF(INDEX(Transactions!$F$8:$F$3006,MATCH(0,COUNTIF($B$11:B2058,Transactions!$F$8:$F$3006),0))="","",INDEX(Transactions!$F$8:$F$3006,MATCH(0,COUNTIF($B$11:B2058,Transactions!$F$8:$F$3006),0))),"")</f>
        <v/>
      </c>
      <c r="C2059" s="50" t="str">
        <f>IF(B2059="","",SUMIF(Transactions!$F$8:$F$3006,B2059,Transactions!$H$8:$H$3006))</f>
        <v/>
      </c>
      <c r="D2059" s="51" t="str">
        <f>IF(B2059="","",SUMIF(Transactions!$F$8:$F$3006,B2059,Transactions!$N$8:$N$3006))</f>
        <v/>
      </c>
      <c r="E2059" s="52" t="str">
        <f>IF(B2059="","",SUMIF(Transactions!$F$8:$F$3006,B2059,Transactions!$O$8:$O$3006))</f>
        <v/>
      </c>
      <c r="F2059" s="53" t="str">
        <f>IF(B2059="","",SUMIF(Transactions!$F$8:$F$3006,B2059,Transactions!$R$8:$R$3006))</f>
        <v/>
      </c>
      <c r="G2059" s="54" t="str">
        <f>IF(B2059="","",(C2059+F2059)-(D2059+E2059+SUMIF(Transactions!$F$8:$F$3006,B2059,Transactions!$Q$8:$Q$3006)))</f>
        <v/>
      </c>
      <c r="H2059" s="55" t="str">
        <f>IF(B2059="","",IF(G2059&gt;0,"OUTSTANDING",IF(G2059=0,"SETTLED",IF(SUMIF(Transactions!$F$8:$F$3006,B2059,Transactions!$Q$8:$Q$3006)&gt;SUMIF(Transactions!$F$8:$F$3006,B2059,Transactions!$R$8:$R$3006),"OWES","OVERPAID"))))</f>
        <v/>
      </c>
      <c r="I2059" s="1"/>
    </row>
    <row r="2060" spans="1:9" ht="18" customHeight="1" x14ac:dyDescent="0.25">
      <c r="A2060" s="40">
        <v>2045</v>
      </c>
      <c r="B2060" s="41" t="str">
        <f t="array" ref="B2060">IFERROR(IF(INDEX(Transactions!$F$8:$F$3006,MATCH(0,COUNTIF($B$11:B2059,Transactions!$F$8:$F$3006),0))="","",INDEX(Transactions!$F$8:$F$3006,MATCH(0,COUNTIF($B$11:B2059,Transactions!$F$8:$F$3006),0))),"")</f>
        <v/>
      </c>
      <c r="C2060" s="42" t="str">
        <f>IF(B2060="","",SUMIF(Transactions!$F$8:$F$3006,B2060,Transactions!$H$8:$H$3006))</f>
        <v/>
      </c>
      <c r="D2060" s="43" t="str">
        <f>IF(B2060="","",SUMIF(Transactions!$F$8:$F$3006,B2060,Transactions!$N$8:$N$3006))</f>
        <v/>
      </c>
      <c r="E2060" s="44" t="str">
        <f>IF(B2060="","",SUMIF(Transactions!$F$8:$F$3006,B2060,Transactions!$O$8:$O$3006))</f>
        <v/>
      </c>
      <c r="F2060" s="45" t="str">
        <f>IF(B2060="","",SUMIF(Transactions!$F$8:$F$3006,B2060,Transactions!$R$8:$R$3006))</f>
        <v/>
      </c>
      <c r="G2060" s="46" t="str">
        <f>IF(B2060="","",(C2060+F2060)-(D2060+E2060+SUMIF(Transactions!$F$8:$F$3006,B2060,Transactions!$Q$8:$Q$3006)))</f>
        <v/>
      </c>
      <c r="H2060" s="47" t="str">
        <f>IF(B2060="","",IF(G2060&gt;0,"OUTSTANDING",IF(G2060=0,"SETTLED",IF(SUMIF(Transactions!$F$8:$F$3006,B2060,Transactions!$Q$8:$Q$3006)&gt;SUMIF(Transactions!$F$8:$F$3006,B2060,Transactions!$R$8:$R$3006),"OWES","OVERPAID"))))</f>
        <v/>
      </c>
      <c r="I2060" s="1"/>
    </row>
    <row r="2061" spans="1:9" ht="18" customHeight="1" x14ac:dyDescent="0.25">
      <c r="A2061" s="48">
        <v>2046</v>
      </c>
      <c r="B2061" s="49" t="str">
        <f t="array" ref="B2061">IFERROR(IF(INDEX(Transactions!$F$8:$F$3006,MATCH(0,COUNTIF($B$11:B2060,Transactions!$F$8:$F$3006),0))="","",INDEX(Transactions!$F$8:$F$3006,MATCH(0,COUNTIF($B$11:B2060,Transactions!$F$8:$F$3006),0))),"")</f>
        <v/>
      </c>
      <c r="C2061" s="50" t="str">
        <f>IF(B2061="","",SUMIF(Transactions!$F$8:$F$3006,B2061,Transactions!$H$8:$H$3006))</f>
        <v/>
      </c>
      <c r="D2061" s="51" t="str">
        <f>IF(B2061="","",SUMIF(Transactions!$F$8:$F$3006,B2061,Transactions!$N$8:$N$3006))</f>
        <v/>
      </c>
      <c r="E2061" s="52" t="str">
        <f>IF(B2061="","",SUMIF(Transactions!$F$8:$F$3006,B2061,Transactions!$O$8:$O$3006))</f>
        <v/>
      </c>
      <c r="F2061" s="53" t="str">
        <f>IF(B2061="","",SUMIF(Transactions!$F$8:$F$3006,B2061,Transactions!$R$8:$R$3006))</f>
        <v/>
      </c>
      <c r="G2061" s="54" t="str">
        <f>IF(B2061="","",(C2061+F2061)-(D2061+E2061+SUMIF(Transactions!$F$8:$F$3006,B2061,Transactions!$Q$8:$Q$3006)))</f>
        <v/>
      </c>
      <c r="H2061" s="55" t="str">
        <f>IF(B2061="","",IF(G2061&gt;0,"OUTSTANDING",IF(G2061=0,"SETTLED",IF(SUMIF(Transactions!$F$8:$F$3006,B2061,Transactions!$Q$8:$Q$3006)&gt;SUMIF(Transactions!$F$8:$F$3006,B2061,Transactions!$R$8:$R$3006),"OWES","OVERPAID"))))</f>
        <v/>
      </c>
      <c r="I2061" s="1"/>
    </row>
    <row r="2062" spans="1:9" ht="18" customHeight="1" x14ac:dyDescent="0.25">
      <c r="A2062" s="40">
        <v>2047</v>
      </c>
      <c r="B2062" s="41" t="str">
        <f t="array" ref="B2062">IFERROR(IF(INDEX(Transactions!$F$8:$F$3006,MATCH(0,COUNTIF($B$11:B2061,Transactions!$F$8:$F$3006),0))="","",INDEX(Transactions!$F$8:$F$3006,MATCH(0,COUNTIF($B$11:B2061,Transactions!$F$8:$F$3006),0))),"")</f>
        <v/>
      </c>
      <c r="C2062" s="42" t="str">
        <f>IF(B2062="","",SUMIF(Transactions!$F$8:$F$3006,B2062,Transactions!$H$8:$H$3006))</f>
        <v/>
      </c>
      <c r="D2062" s="43" t="str">
        <f>IF(B2062="","",SUMIF(Transactions!$F$8:$F$3006,B2062,Transactions!$N$8:$N$3006))</f>
        <v/>
      </c>
      <c r="E2062" s="44" t="str">
        <f>IF(B2062="","",SUMIF(Transactions!$F$8:$F$3006,B2062,Transactions!$O$8:$O$3006))</f>
        <v/>
      </c>
      <c r="F2062" s="45" t="str">
        <f>IF(B2062="","",SUMIF(Transactions!$F$8:$F$3006,B2062,Transactions!$R$8:$R$3006))</f>
        <v/>
      </c>
      <c r="G2062" s="46" t="str">
        <f>IF(B2062="","",(C2062+F2062)-(D2062+E2062+SUMIF(Transactions!$F$8:$F$3006,B2062,Transactions!$Q$8:$Q$3006)))</f>
        <v/>
      </c>
      <c r="H2062" s="47" t="str">
        <f>IF(B2062="","",IF(G2062&gt;0,"OUTSTANDING",IF(G2062=0,"SETTLED",IF(SUMIF(Transactions!$F$8:$F$3006,B2062,Transactions!$Q$8:$Q$3006)&gt;SUMIF(Transactions!$F$8:$F$3006,B2062,Transactions!$R$8:$R$3006),"OWES","OVERPAID"))))</f>
        <v/>
      </c>
      <c r="I2062" s="1"/>
    </row>
    <row r="2063" spans="1:9" ht="18" customHeight="1" x14ac:dyDescent="0.25">
      <c r="A2063" s="48">
        <v>2048</v>
      </c>
      <c r="B2063" s="49" t="str">
        <f t="array" ref="B2063">IFERROR(IF(INDEX(Transactions!$F$8:$F$3006,MATCH(0,COUNTIF($B$11:B2062,Transactions!$F$8:$F$3006),0))="","",INDEX(Transactions!$F$8:$F$3006,MATCH(0,COUNTIF($B$11:B2062,Transactions!$F$8:$F$3006),0))),"")</f>
        <v/>
      </c>
      <c r="C2063" s="50" t="str">
        <f>IF(B2063="","",SUMIF(Transactions!$F$8:$F$3006,B2063,Transactions!$H$8:$H$3006))</f>
        <v/>
      </c>
      <c r="D2063" s="51" t="str">
        <f>IF(B2063="","",SUMIF(Transactions!$F$8:$F$3006,B2063,Transactions!$N$8:$N$3006))</f>
        <v/>
      </c>
      <c r="E2063" s="52" t="str">
        <f>IF(B2063="","",SUMIF(Transactions!$F$8:$F$3006,B2063,Transactions!$O$8:$O$3006))</f>
        <v/>
      </c>
      <c r="F2063" s="53" t="str">
        <f>IF(B2063="","",SUMIF(Transactions!$F$8:$F$3006,B2063,Transactions!$R$8:$R$3006))</f>
        <v/>
      </c>
      <c r="G2063" s="54" t="str">
        <f>IF(B2063="","",(C2063+F2063)-(D2063+E2063+SUMIF(Transactions!$F$8:$F$3006,B2063,Transactions!$Q$8:$Q$3006)))</f>
        <v/>
      </c>
      <c r="H2063" s="55" t="str">
        <f>IF(B2063="","",IF(G2063&gt;0,"OUTSTANDING",IF(G2063=0,"SETTLED",IF(SUMIF(Transactions!$F$8:$F$3006,B2063,Transactions!$Q$8:$Q$3006)&gt;SUMIF(Transactions!$F$8:$F$3006,B2063,Transactions!$R$8:$R$3006),"OWES","OVERPAID"))))</f>
        <v/>
      </c>
      <c r="I2063" s="1"/>
    </row>
    <row r="2064" spans="1:9" ht="18" customHeight="1" x14ac:dyDescent="0.25">
      <c r="A2064" s="40">
        <v>2049</v>
      </c>
      <c r="B2064" s="41" t="str">
        <f t="array" ref="B2064">IFERROR(IF(INDEX(Transactions!$F$8:$F$3006,MATCH(0,COUNTIF($B$11:B2063,Transactions!$F$8:$F$3006),0))="","",INDEX(Transactions!$F$8:$F$3006,MATCH(0,COUNTIF($B$11:B2063,Transactions!$F$8:$F$3006),0))),"")</f>
        <v/>
      </c>
      <c r="C2064" s="42" t="str">
        <f>IF(B2064="","",SUMIF(Transactions!$F$8:$F$3006,B2064,Transactions!$H$8:$H$3006))</f>
        <v/>
      </c>
      <c r="D2064" s="43" t="str">
        <f>IF(B2064="","",SUMIF(Transactions!$F$8:$F$3006,B2064,Transactions!$N$8:$N$3006))</f>
        <v/>
      </c>
      <c r="E2064" s="44" t="str">
        <f>IF(B2064="","",SUMIF(Transactions!$F$8:$F$3006,B2064,Transactions!$O$8:$O$3006))</f>
        <v/>
      </c>
      <c r="F2064" s="45" t="str">
        <f>IF(B2064="","",SUMIF(Transactions!$F$8:$F$3006,B2064,Transactions!$R$8:$R$3006))</f>
        <v/>
      </c>
      <c r="G2064" s="46" t="str">
        <f>IF(B2064="","",(C2064+F2064)-(D2064+E2064+SUMIF(Transactions!$F$8:$F$3006,B2064,Transactions!$Q$8:$Q$3006)))</f>
        <v/>
      </c>
      <c r="H2064" s="47" t="str">
        <f>IF(B2064="","",IF(G2064&gt;0,"OUTSTANDING",IF(G2064=0,"SETTLED",IF(SUMIF(Transactions!$F$8:$F$3006,B2064,Transactions!$Q$8:$Q$3006)&gt;SUMIF(Transactions!$F$8:$F$3006,B2064,Transactions!$R$8:$R$3006),"OWES","OVERPAID"))))</f>
        <v/>
      </c>
      <c r="I2064" s="1"/>
    </row>
    <row r="2065" spans="1:9" ht="18" customHeight="1" x14ac:dyDescent="0.25">
      <c r="A2065" s="48">
        <v>2050</v>
      </c>
      <c r="B2065" s="49" t="str">
        <f t="array" ref="B2065">IFERROR(IF(INDEX(Transactions!$F$8:$F$3006,MATCH(0,COUNTIF($B$11:B2064,Transactions!$F$8:$F$3006),0))="","",INDEX(Transactions!$F$8:$F$3006,MATCH(0,COUNTIF($B$11:B2064,Transactions!$F$8:$F$3006),0))),"")</f>
        <v/>
      </c>
      <c r="C2065" s="50" t="str">
        <f>IF(B2065="","",SUMIF(Transactions!$F$8:$F$3006,B2065,Transactions!$H$8:$H$3006))</f>
        <v/>
      </c>
      <c r="D2065" s="51" t="str">
        <f>IF(B2065="","",SUMIF(Transactions!$F$8:$F$3006,B2065,Transactions!$N$8:$N$3006))</f>
        <v/>
      </c>
      <c r="E2065" s="52" t="str">
        <f>IF(B2065="","",SUMIF(Transactions!$F$8:$F$3006,B2065,Transactions!$O$8:$O$3006))</f>
        <v/>
      </c>
      <c r="F2065" s="53" t="str">
        <f>IF(B2065="","",SUMIF(Transactions!$F$8:$F$3006,B2065,Transactions!$R$8:$R$3006))</f>
        <v/>
      </c>
      <c r="G2065" s="54" t="str">
        <f>IF(B2065="","",(C2065+F2065)-(D2065+E2065+SUMIF(Transactions!$F$8:$F$3006,B2065,Transactions!$Q$8:$Q$3006)))</f>
        <v/>
      </c>
      <c r="H2065" s="55" t="str">
        <f>IF(B2065="","",IF(G2065&gt;0,"OUTSTANDING",IF(G2065=0,"SETTLED",IF(SUMIF(Transactions!$F$8:$F$3006,B2065,Transactions!$Q$8:$Q$3006)&gt;SUMIF(Transactions!$F$8:$F$3006,B2065,Transactions!$R$8:$R$3006),"OWES","OVERPAID"))))</f>
        <v/>
      </c>
      <c r="I2065" s="1"/>
    </row>
    <row r="2066" spans="1:9" ht="18" customHeight="1" x14ac:dyDescent="0.25">
      <c r="A2066" s="40">
        <v>2051</v>
      </c>
      <c r="B2066" s="41" t="str">
        <f t="array" ref="B2066">IFERROR(IF(INDEX(Transactions!$F$8:$F$3006,MATCH(0,COUNTIF($B$11:B2065,Transactions!$F$8:$F$3006),0))="","",INDEX(Transactions!$F$8:$F$3006,MATCH(0,COUNTIF($B$11:B2065,Transactions!$F$8:$F$3006),0))),"")</f>
        <v/>
      </c>
      <c r="C2066" s="42" t="str">
        <f>IF(B2066="","",SUMIF(Transactions!$F$8:$F$3006,B2066,Transactions!$H$8:$H$3006))</f>
        <v/>
      </c>
      <c r="D2066" s="43" t="str">
        <f>IF(B2066="","",SUMIF(Transactions!$F$8:$F$3006,B2066,Transactions!$N$8:$N$3006))</f>
        <v/>
      </c>
      <c r="E2066" s="44" t="str">
        <f>IF(B2066="","",SUMIF(Transactions!$F$8:$F$3006,B2066,Transactions!$O$8:$O$3006))</f>
        <v/>
      </c>
      <c r="F2066" s="45" t="str">
        <f>IF(B2066="","",SUMIF(Transactions!$F$8:$F$3006,B2066,Transactions!$R$8:$R$3006))</f>
        <v/>
      </c>
      <c r="G2066" s="46" t="str">
        <f>IF(B2066="","",(C2066+F2066)-(D2066+E2066+SUMIF(Transactions!$F$8:$F$3006,B2066,Transactions!$Q$8:$Q$3006)))</f>
        <v/>
      </c>
      <c r="H2066" s="47" t="str">
        <f>IF(B2066="","",IF(G2066&gt;0,"OUTSTANDING",IF(G2066=0,"SETTLED",IF(SUMIF(Transactions!$F$8:$F$3006,B2066,Transactions!$Q$8:$Q$3006)&gt;SUMIF(Transactions!$F$8:$F$3006,B2066,Transactions!$R$8:$R$3006),"OWES","OVERPAID"))))</f>
        <v/>
      </c>
      <c r="I2066" s="1"/>
    </row>
    <row r="2067" spans="1:9" ht="18" customHeight="1" x14ac:dyDescent="0.25">
      <c r="A2067" s="48">
        <v>2052</v>
      </c>
      <c r="B2067" s="49" t="str">
        <f t="array" ref="B2067">IFERROR(IF(INDEX(Transactions!$F$8:$F$3006,MATCH(0,COUNTIF($B$11:B2066,Transactions!$F$8:$F$3006),0))="","",INDEX(Transactions!$F$8:$F$3006,MATCH(0,COUNTIF($B$11:B2066,Transactions!$F$8:$F$3006),0))),"")</f>
        <v/>
      </c>
      <c r="C2067" s="50" t="str">
        <f>IF(B2067="","",SUMIF(Transactions!$F$8:$F$3006,B2067,Transactions!$H$8:$H$3006))</f>
        <v/>
      </c>
      <c r="D2067" s="51" t="str">
        <f>IF(B2067="","",SUMIF(Transactions!$F$8:$F$3006,B2067,Transactions!$N$8:$N$3006))</f>
        <v/>
      </c>
      <c r="E2067" s="52" t="str">
        <f>IF(B2067="","",SUMIF(Transactions!$F$8:$F$3006,B2067,Transactions!$O$8:$O$3006))</f>
        <v/>
      </c>
      <c r="F2067" s="53" t="str">
        <f>IF(B2067="","",SUMIF(Transactions!$F$8:$F$3006,B2067,Transactions!$R$8:$R$3006))</f>
        <v/>
      </c>
      <c r="G2067" s="54" t="str">
        <f>IF(B2067="","",(C2067+F2067)-(D2067+E2067+SUMIF(Transactions!$F$8:$F$3006,B2067,Transactions!$Q$8:$Q$3006)))</f>
        <v/>
      </c>
      <c r="H2067" s="55" t="str">
        <f>IF(B2067="","",IF(G2067&gt;0,"OUTSTANDING",IF(G2067=0,"SETTLED",IF(SUMIF(Transactions!$F$8:$F$3006,B2067,Transactions!$Q$8:$Q$3006)&gt;SUMIF(Transactions!$F$8:$F$3006,B2067,Transactions!$R$8:$R$3006),"OWES","OVERPAID"))))</f>
        <v/>
      </c>
      <c r="I2067" s="1"/>
    </row>
    <row r="2068" spans="1:9" ht="18" customHeight="1" x14ac:dyDescent="0.25">
      <c r="A2068" s="40">
        <v>2053</v>
      </c>
      <c r="B2068" s="41" t="str">
        <f t="array" ref="B2068">IFERROR(IF(INDEX(Transactions!$F$8:$F$3006,MATCH(0,COUNTIF($B$11:B2067,Transactions!$F$8:$F$3006),0))="","",INDEX(Transactions!$F$8:$F$3006,MATCH(0,COUNTIF($B$11:B2067,Transactions!$F$8:$F$3006),0))),"")</f>
        <v/>
      </c>
      <c r="C2068" s="42" t="str">
        <f>IF(B2068="","",SUMIF(Transactions!$F$8:$F$3006,B2068,Transactions!$H$8:$H$3006))</f>
        <v/>
      </c>
      <c r="D2068" s="43" t="str">
        <f>IF(B2068="","",SUMIF(Transactions!$F$8:$F$3006,B2068,Transactions!$N$8:$N$3006))</f>
        <v/>
      </c>
      <c r="E2068" s="44" t="str">
        <f>IF(B2068="","",SUMIF(Transactions!$F$8:$F$3006,B2068,Transactions!$O$8:$O$3006))</f>
        <v/>
      </c>
      <c r="F2068" s="45" t="str">
        <f>IF(B2068="","",SUMIF(Transactions!$F$8:$F$3006,B2068,Transactions!$R$8:$R$3006))</f>
        <v/>
      </c>
      <c r="G2068" s="46" t="str">
        <f>IF(B2068="","",(C2068+F2068)-(D2068+E2068+SUMIF(Transactions!$F$8:$F$3006,B2068,Transactions!$Q$8:$Q$3006)))</f>
        <v/>
      </c>
      <c r="H2068" s="47" t="str">
        <f>IF(B2068="","",IF(G2068&gt;0,"OUTSTANDING",IF(G2068=0,"SETTLED",IF(SUMIF(Transactions!$F$8:$F$3006,B2068,Transactions!$Q$8:$Q$3006)&gt;SUMIF(Transactions!$F$8:$F$3006,B2068,Transactions!$R$8:$R$3006),"OWES","OVERPAID"))))</f>
        <v/>
      </c>
      <c r="I2068" s="1"/>
    </row>
    <row r="2069" spans="1:9" ht="18" customHeight="1" x14ac:dyDescent="0.25">
      <c r="A2069" s="48">
        <v>2054</v>
      </c>
      <c r="B2069" s="49" t="str">
        <f t="array" ref="B2069">IFERROR(IF(INDEX(Transactions!$F$8:$F$3006,MATCH(0,COUNTIF($B$11:B2068,Transactions!$F$8:$F$3006),0))="","",INDEX(Transactions!$F$8:$F$3006,MATCH(0,COUNTIF($B$11:B2068,Transactions!$F$8:$F$3006),0))),"")</f>
        <v/>
      </c>
      <c r="C2069" s="50" t="str">
        <f>IF(B2069="","",SUMIF(Transactions!$F$8:$F$3006,B2069,Transactions!$H$8:$H$3006))</f>
        <v/>
      </c>
      <c r="D2069" s="51" t="str">
        <f>IF(B2069="","",SUMIF(Transactions!$F$8:$F$3006,B2069,Transactions!$N$8:$N$3006))</f>
        <v/>
      </c>
      <c r="E2069" s="52" t="str">
        <f>IF(B2069="","",SUMIF(Transactions!$F$8:$F$3006,B2069,Transactions!$O$8:$O$3006))</f>
        <v/>
      </c>
      <c r="F2069" s="53" t="str">
        <f>IF(B2069="","",SUMIF(Transactions!$F$8:$F$3006,B2069,Transactions!$R$8:$R$3006))</f>
        <v/>
      </c>
      <c r="G2069" s="54" t="str">
        <f>IF(B2069="","",(C2069+F2069)-(D2069+E2069+SUMIF(Transactions!$F$8:$F$3006,B2069,Transactions!$Q$8:$Q$3006)))</f>
        <v/>
      </c>
      <c r="H2069" s="55" t="str">
        <f>IF(B2069="","",IF(G2069&gt;0,"OUTSTANDING",IF(G2069=0,"SETTLED",IF(SUMIF(Transactions!$F$8:$F$3006,B2069,Transactions!$Q$8:$Q$3006)&gt;SUMIF(Transactions!$F$8:$F$3006,B2069,Transactions!$R$8:$R$3006),"OWES","OVERPAID"))))</f>
        <v/>
      </c>
      <c r="I2069" s="1"/>
    </row>
    <row r="2070" spans="1:9" ht="18" customHeight="1" x14ac:dyDescent="0.25">
      <c r="A2070" s="40">
        <v>2055</v>
      </c>
      <c r="B2070" s="41" t="str">
        <f t="array" ref="B2070">IFERROR(IF(INDEX(Transactions!$F$8:$F$3006,MATCH(0,COUNTIF($B$11:B2069,Transactions!$F$8:$F$3006),0))="","",INDEX(Transactions!$F$8:$F$3006,MATCH(0,COUNTIF($B$11:B2069,Transactions!$F$8:$F$3006),0))),"")</f>
        <v/>
      </c>
      <c r="C2070" s="42" t="str">
        <f>IF(B2070="","",SUMIF(Transactions!$F$8:$F$3006,B2070,Transactions!$H$8:$H$3006))</f>
        <v/>
      </c>
      <c r="D2070" s="43" t="str">
        <f>IF(B2070="","",SUMIF(Transactions!$F$8:$F$3006,B2070,Transactions!$N$8:$N$3006))</f>
        <v/>
      </c>
      <c r="E2070" s="44" t="str">
        <f>IF(B2070="","",SUMIF(Transactions!$F$8:$F$3006,B2070,Transactions!$O$8:$O$3006))</f>
        <v/>
      </c>
      <c r="F2070" s="45" t="str">
        <f>IF(B2070="","",SUMIF(Transactions!$F$8:$F$3006,B2070,Transactions!$R$8:$R$3006))</f>
        <v/>
      </c>
      <c r="G2070" s="46" t="str">
        <f>IF(B2070="","",(C2070+F2070)-(D2070+E2070+SUMIF(Transactions!$F$8:$F$3006,B2070,Transactions!$Q$8:$Q$3006)))</f>
        <v/>
      </c>
      <c r="H2070" s="47" t="str">
        <f>IF(B2070="","",IF(G2070&gt;0,"OUTSTANDING",IF(G2070=0,"SETTLED",IF(SUMIF(Transactions!$F$8:$F$3006,B2070,Transactions!$Q$8:$Q$3006)&gt;SUMIF(Transactions!$F$8:$F$3006,B2070,Transactions!$R$8:$R$3006),"OWES","OVERPAID"))))</f>
        <v/>
      </c>
      <c r="I2070" s="1"/>
    </row>
    <row r="2071" spans="1:9" ht="18" customHeight="1" x14ac:dyDescent="0.25">
      <c r="A2071" s="48">
        <v>2056</v>
      </c>
      <c r="B2071" s="49" t="str">
        <f t="array" ref="B2071">IFERROR(IF(INDEX(Transactions!$F$8:$F$3006,MATCH(0,COUNTIF($B$11:B2070,Transactions!$F$8:$F$3006),0))="","",INDEX(Transactions!$F$8:$F$3006,MATCH(0,COUNTIF($B$11:B2070,Transactions!$F$8:$F$3006),0))),"")</f>
        <v/>
      </c>
      <c r="C2071" s="50" t="str">
        <f>IF(B2071="","",SUMIF(Transactions!$F$8:$F$3006,B2071,Transactions!$H$8:$H$3006))</f>
        <v/>
      </c>
      <c r="D2071" s="51" t="str">
        <f>IF(B2071="","",SUMIF(Transactions!$F$8:$F$3006,B2071,Transactions!$N$8:$N$3006))</f>
        <v/>
      </c>
      <c r="E2071" s="52" t="str">
        <f>IF(B2071="","",SUMIF(Transactions!$F$8:$F$3006,B2071,Transactions!$O$8:$O$3006))</f>
        <v/>
      </c>
      <c r="F2071" s="53" t="str">
        <f>IF(B2071="","",SUMIF(Transactions!$F$8:$F$3006,B2071,Transactions!$R$8:$R$3006))</f>
        <v/>
      </c>
      <c r="G2071" s="54" t="str">
        <f>IF(B2071="","",(C2071+F2071)-(D2071+E2071+SUMIF(Transactions!$F$8:$F$3006,B2071,Transactions!$Q$8:$Q$3006)))</f>
        <v/>
      </c>
      <c r="H2071" s="55" t="str">
        <f>IF(B2071="","",IF(G2071&gt;0,"OUTSTANDING",IF(G2071=0,"SETTLED",IF(SUMIF(Transactions!$F$8:$F$3006,B2071,Transactions!$Q$8:$Q$3006)&gt;SUMIF(Transactions!$F$8:$F$3006,B2071,Transactions!$R$8:$R$3006),"OWES","OVERPAID"))))</f>
        <v/>
      </c>
      <c r="I2071" s="1"/>
    </row>
    <row r="2072" spans="1:9" ht="18" customHeight="1" x14ac:dyDescent="0.25">
      <c r="A2072" s="40">
        <v>2057</v>
      </c>
      <c r="B2072" s="41" t="str">
        <f t="array" ref="B2072">IFERROR(IF(INDEX(Transactions!$F$8:$F$3006,MATCH(0,COUNTIF($B$11:B2071,Transactions!$F$8:$F$3006),0))="","",INDEX(Transactions!$F$8:$F$3006,MATCH(0,COUNTIF($B$11:B2071,Transactions!$F$8:$F$3006),0))),"")</f>
        <v/>
      </c>
      <c r="C2072" s="42" t="str">
        <f>IF(B2072="","",SUMIF(Transactions!$F$8:$F$3006,B2072,Transactions!$H$8:$H$3006))</f>
        <v/>
      </c>
      <c r="D2072" s="43" t="str">
        <f>IF(B2072="","",SUMIF(Transactions!$F$8:$F$3006,B2072,Transactions!$N$8:$N$3006))</f>
        <v/>
      </c>
      <c r="E2072" s="44" t="str">
        <f>IF(B2072="","",SUMIF(Transactions!$F$8:$F$3006,B2072,Transactions!$O$8:$O$3006))</f>
        <v/>
      </c>
      <c r="F2072" s="45" t="str">
        <f>IF(B2072="","",SUMIF(Transactions!$F$8:$F$3006,B2072,Transactions!$R$8:$R$3006))</f>
        <v/>
      </c>
      <c r="G2072" s="46" t="str">
        <f>IF(B2072="","",(C2072+F2072)-(D2072+E2072+SUMIF(Transactions!$F$8:$F$3006,B2072,Transactions!$Q$8:$Q$3006)))</f>
        <v/>
      </c>
      <c r="H2072" s="47" t="str">
        <f>IF(B2072="","",IF(G2072&gt;0,"OUTSTANDING",IF(G2072=0,"SETTLED",IF(SUMIF(Transactions!$F$8:$F$3006,B2072,Transactions!$Q$8:$Q$3006)&gt;SUMIF(Transactions!$F$8:$F$3006,B2072,Transactions!$R$8:$R$3006),"OWES","OVERPAID"))))</f>
        <v/>
      </c>
      <c r="I2072" s="1"/>
    </row>
    <row r="2073" spans="1:9" ht="18" customHeight="1" x14ac:dyDescent="0.25">
      <c r="A2073" s="48">
        <v>2058</v>
      </c>
      <c r="B2073" s="49" t="str">
        <f t="array" ref="B2073">IFERROR(IF(INDEX(Transactions!$F$8:$F$3006,MATCH(0,COUNTIF($B$11:B2072,Transactions!$F$8:$F$3006),0))="","",INDEX(Transactions!$F$8:$F$3006,MATCH(0,COUNTIF($B$11:B2072,Transactions!$F$8:$F$3006),0))),"")</f>
        <v/>
      </c>
      <c r="C2073" s="50" t="str">
        <f>IF(B2073="","",SUMIF(Transactions!$F$8:$F$3006,B2073,Transactions!$H$8:$H$3006))</f>
        <v/>
      </c>
      <c r="D2073" s="51" t="str">
        <f>IF(B2073="","",SUMIF(Transactions!$F$8:$F$3006,B2073,Transactions!$N$8:$N$3006))</f>
        <v/>
      </c>
      <c r="E2073" s="52" t="str">
        <f>IF(B2073="","",SUMIF(Transactions!$F$8:$F$3006,B2073,Transactions!$O$8:$O$3006))</f>
        <v/>
      </c>
      <c r="F2073" s="53" t="str">
        <f>IF(B2073="","",SUMIF(Transactions!$F$8:$F$3006,B2073,Transactions!$R$8:$R$3006))</f>
        <v/>
      </c>
      <c r="G2073" s="54" t="str">
        <f>IF(B2073="","",(C2073+F2073)-(D2073+E2073+SUMIF(Transactions!$F$8:$F$3006,B2073,Transactions!$Q$8:$Q$3006)))</f>
        <v/>
      </c>
      <c r="H2073" s="55" t="str">
        <f>IF(B2073="","",IF(G2073&gt;0,"OUTSTANDING",IF(G2073=0,"SETTLED",IF(SUMIF(Transactions!$F$8:$F$3006,B2073,Transactions!$Q$8:$Q$3006)&gt;SUMIF(Transactions!$F$8:$F$3006,B2073,Transactions!$R$8:$R$3006),"OWES","OVERPAID"))))</f>
        <v/>
      </c>
      <c r="I2073" s="1"/>
    </row>
    <row r="2074" spans="1:9" ht="18" customHeight="1" x14ac:dyDescent="0.25">
      <c r="A2074" s="40">
        <v>2059</v>
      </c>
      <c r="B2074" s="41" t="str">
        <f t="array" ref="B2074">IFERROR(IF(INDEX(Transactions!$F$8:$F$3006,MATCH(0,COUNTIF($B$11:B2073,Transactions!$F$8:$F$3006),0))="","",INDEX(Transactions!$F$8:$F$3006,MATCH(0,COUNTIF($B$11:B2073,Transactions!$F$8:$F$3006),0))),"")</f>
        <v/>
      </c>
      <c r="C2074" s="42" t="str">
        <f>IF(B2074="","",SUMIF(Transactions!$F$8:$F$3006,B2074,Transactions!$H$8:$H$3006))</f>
        <v/>
      </c>
      <c r="D2074" s="43" t="str">
        <f>IF(B2074="","",SUMIF(Transactions!$F$8:$F$3006,B2074,Transactions!$N$8:$N$3006))</f>
        <v/>
      </c>
      <c r="E2074" s="44" t="str">
        <f>IF(B2074="","",SUMIF(Transactions!$F$8:$F$3006,B2074,Transactions!$O$8:$O$3006))</f>
        <v/>
      </c>
      <c r="F2074" s="45" t="str">
        <f>IF(B2074="","",SUMIF(Transactions!$F$8:$F$3006,B2074,Transactions!$R$8:$R$3006))</f>
        <v/>
      </c>
      <c r="G2074" s="46" t="str">
        <f>IF(B2074="","",(C2074+F2074)-(D2074+E2074+SUMIF(Transactions!$F$8:$F$3006,B2074,Transactions!$Q$8:$Q$3006)))</f>
        <v/>
      </c>
      <c r="H2074" s="47" t="str">
        <f>IF(B2074="","",IF(G2074&gt;0,"OUTSTANDING",IF(G2074=0,"SETTLED",IF(SUMIF(Transactions!$F$8:$F$3006,B2074,Transactions!$Q$8:$Q$3006)&gt;SUMIF(Transactions!$F$8:$F$3006,B2074,Transactions!$R$8:$R$3006),"OWES","OVERPAID"))))</f>
        <v/>
      </c>
      <c r="I2074" s="1"/>
    </row>
    <row r="2075" spans="1:9" ht="18" customHeight="1" x14ac:dyDescent="0.25">
      <c r="A2075" s="48">
        <v>2060</v>
      </c>
      <c r="B2075" s="49" t="str">
        <f t="array" ref="B2075">IFERROR(IF(INDEX(Transactions!$F$8:$F$3006,MATCH(0,COUNTIF($B$11:B2074,Transactions!$F$8:$F$3006),0))="","",INDEX(Transactions!$F$8:$F$3006,MATCH(0,COUNTIF($B$11:B2074,Transactions!$F$8:$F$3006),0))),"")</f>
        <v/>
      </c>
      <c r="C2075" s="50" t="str">
        <f>IF(B2075="","",SUMIF(Transactions!$F$8:$F$3006,B2075,Transactions!$H$8:$H$3006))</f>
        <v/>
      </c>
      <c r="D2075" s="51" t="str">
        <f>IF(B2075="","",SUMIF(Transactions!$F$8:$F$3006,B2075,Transactions!$N$8:$N$3006))</f>
        <v/>
      </c>
      <c r="E2075" s="52" t="str">
        <f>IF(B2075="","",SUMIF(Transactions!$F$8:$F$3006,B2075,Transactions!$O$8:$O$3006))</f>
        <v/>
      </c>
      <c r="F2075" s="53" t="str">
        <f>IF(B2075="","",SUMIF(Transactions!$F$8:$F$3006,B2075,Transactions!$R$8:$R$3006))</f>
        <v/>
      </c>
      <c r="G2075" s="54" t="str">
        <f>IF(B2075="","",(C2075+F2075)-(D2075+E2075+SUMIF(Transactions!$F$8:$F$3006,B2075,Transactions!$Q$8:$Q$3006)))</f>
        <v/>
      </c>
      <c r="H2075" s="55" t="str">
        <f>IF(B2075="","",IF(G2075&gt;0,"OUTSTANDING",IF(G2075=0,"SETTLED",IF(SUMIF(Transactions!$F$8:$F$3006,B2075,Transactions!$Q$8:$Q$3006)&gt;SUMIF(Transactions!$F$8:$F$3006,B2075,Transactions!$R$8:$R$3006),"OWES","OVERPAID"))))</f>
        <v/>
      </c>
      <c r="I2075" s="1"/>
    </row>
    <row r="2076" spans="1:9" ht="18" customHeight="1" x14ac:dyDescent="0.25">
      <c r="A2076" s="40">
        <v>2061</v>
      </c>
      <c r="B2076" s="41" t="str">
        <f t="array" ref="B2076">IFERROR(IF(INDEX(Transactions!$F$8:$F$3006,MATCH(0,COUNTIF($B$11:B2075,Transactions!$F$8:$F$3006),0))="","",INDEX(Transactions!$F$8:$F$3006,MATCH(0,COUNTIF($B$11:B2075,Transactions!$F$8:$F$3006),0))),"")</f>
        <v/>
      </c>
      <c r="C2076" s="42" t="str">
        <f>IF(B2076="","",SUMIF(Transactions!$F$8:$F$3006,B2076,Transactions!$H$8:$H$3006))</f>
        <v/>
      </c>
      <c r="D2076" s="43" t="str">
        <f>IF(B2076="","",SUMIF(Transactions!$F$8:$F$3006,B2076,Transactions!$N$8:$N$3006))</f>
        <v/>
      </c>
      <c r="E2076" s="44" t="str">
        <f>IF(B2076="","",SUMIF(Transactions!$F$8:$F$3006,B2076,Transactions!$O$8:$O$3006))</f>
        <v/>
      </c>
      <c r="F2076" s="45" t="str">
        <f>IF(B2076="","",SUMIF(Transactions!$F$8:$F$3006,B2076,Transactions!$R$8:$R$3006))</f>
        <v/>
      </c>
      <c r="G2076" s="46" t="str">
        <f>IF(B2076="","",(C2076+F2076)-(D2076+E2076+SUMIF(Transactions!$F$8:$F$3006,B2076,Transactions!$Q$8:$Q$3006)))</f>
        <v/>
      </c>
      <c r="H2076" s="47" t="str">
        <f>IF(B2076="","",IF(G2076&gt;0,"OUTSTANDING",IF(G2076=0,"SETTLED",IF(SUMIF(Transactions!$F$8:$F$3006,B2076,Transactions!$Q$8:$Q$3006)&gt;SUMIF(Transactions!$F$8:$F$3006,B2076,Transactions!$R$8:$R$3006),"OWES","OVERPAID"))))</f>
        <v/>
      </c>
      <c r="I2076" s="1"/>
    </row>
    <row r="2077" spans="1:9" ht="18" customHeight="1" x14ac:dyDescent="0.25">
      <c r="A2077" s="48">
        <v>2062</v>
      </c>
      <c r="B2077" s="49" t="str">
        <f t="array" ref="B2077">IFERROR(IF(INDEX(Transactions!$F$8:$F$3006,MATCH(0,COUNTIF($B$11:B2076,Transactions!$F$8:$F$3006),0))="","",INDEX(Transactions!$F$8:$F$3006,MATCH(0,COUNTIF($B$11:B2076,Transactions!$F$8:$F$3006),0))),"")</f>
        <v/>
      </c>
      <c r="C2077" s="50" t="str">
        <f>IF(B2077="","",SUMIF(Transactions!$F$8:$F$3006,B2077,Transactions!$H$8:$H$3006))</f>
        <v/>
      </c>
      <c r="D2077" s="51" t="str">
        <f>IF(B2077="","",SUMIF(Transactions!$F$8:$F$3006,B2077,Transactions!$N$8:$N$3006))</f>
        <v/>
      </c>
      <c r="E2077" s="52" t="str">
        <f>IF(B2077="","",SUMIF(Transactions!$F$8:$F$3006,B2077,Transactions!$O$8:$O$3006))</f>
        <v/>
      </c>
      <c r="F2077" s="53" t="str">
        <f>IF(B2077="","",SUMIF(Transactions!$F$8:$F$3006,B2077,Transactions!$R$8:$R$3006))</f>
        <v/>
      </c>
      <c r="G2077" s="54" t="str">
        <f>IF(B2077="","",(C2077+F2077)-(D2077+E2077+SUMIF(Transactions!$F$8:$F$3006,B2077,Transactions!$Q$8:$Q$3006)))</f>
        <v/>
      </c>
      <c r="H2077" s="55" t="str">
        <f>IF(B2077="","",IF(G2077&gt;0,"OUTSTANDING",IF(G2077=0,"SETTLED",IF(SUMIF(Transactions!$F$8:$F$3006,B2077,Transactions!$Q$8:$Q$3006)&gt;SUMIF(Transactions!$F$8:$F$3006,B2077,Transactions!$R$8:$R$3006),"OWES","OVERPAID"))))</f>
        <v/>
      </c>
      <c r="I2077" s="1"/>
    </row>
    <row r="2078" spans="1:9" ht="18" customHeight="1" x14ac:dyDescent="0.25">
      <c r="A2078" s="40">
        <v>2063</v>
      </c>
      <c r="B2078" s="41" t="str">
        <f t="array" ref="B2078">IFERROR(IF(INDEX(Transactions!$F$8:$F$3006,MATCH(0,COUNTIF($B$11:B2077,Transactions!$F$8:$F$3006),0))="","",INDEX(Transactions!$F$8:$F$3006,MATCH(0,COUNTIF($B$11:B2077,Transactions!$F$8:$F$3006),0))),"")</f>
        <v/>
      </c>
      <c r="C2078" s="42" t="str">
        <f>IF(B2078="","",SUMIF(Transactions!$F$8:$F$3006,B2078,Transactions!$H$8:$H$3006))</f>
        <v/>
      </c>
      <c r="D2078" s="43" t="str">
        <f>IF(B2078="","",SUMIF(Transactions!$F$8:$F$3006,B2078,Transactions!$N$8:$N$3006))</f>
        <v/>
      </c>
      <c r="E2078" s="44" t="str">
        <f>IF(B2078="","",SUMIF(Transactions!$F$8:$F$3006,B2078,Transactions!$O$8:$O$3006))</f>
        <v/>
      </c>
      <c r="F2078" s="45" t="str">
        <f>IF(B2078="","",SUMIF(Transactions!$F$8:$F$3006,B2078,Transactions!$R$8:$R$3006))</f>
        <v/>
      </c>
      <c r="G2078" s="46" t="str">
        <f>IF(B2078="","",(C2078+F2078)-(D2078+E2078+SUMIF(Transactions!$F$8:$F$3006,B2078,Transactions!$Q$8:$Q$3006)))</f>
        <v/>
      </c>
      <c r="H2078" s="47" t="str">
        <f>IF(B2078="","",IF(G2078&gt;0,"OUTSTANDING",IF(G2078=0,"SETTLED",IF(SUMIF(Transactions!$F$8:$F$3006,B2078,Transactions!$Q$8:$Q$3006)&gt;SUMIF(Transactions!$F$8:$F$3006,B2078,Transactions!$R$8:$R$3006),"OWES","OVERPAID"))))</f>
        <v/>
      </c>
      <c r="I2078" s="1"/>
    </row>
    <row r="2079" spans="1:9" ht="18" customHeight="1" x14ac:dyDescent="0.25">
      <c r="A2079" s="48">
        <v>2064</v>
      </c>
      <c r="B2079" s="49" t="str">
        <f t="array" ref="B2079">IFERROR(IF(INDEX(Transactions!$F$8:$F$3006,MATCH(0,COUNTIF($B$11:B2078,Transactions!$F$8:$F$3006),0))="","",INDEX(Transactions!$F$8:$F$3006,MATCH(0,COUNTIF($B$11:B2078,Transactions!$F$8:$F$3006),0))),"")</f>
        <v/>
      </c>
      <c r="C2079" s="50" t="str">
        <f>IF(B2079="","",SUMIF(Transactions!$F$8:$F$3006,B2079,Transactions!$H$8:$H$3006))</f>
        <v/>
      </c>
      <c r="D2079" s="51" t="str">
        <f>IF(B2079="","",SUMIF(Transactions!$F$8:$F$3006,B2079,Transactions!$N$8:$N$3006))</f>
        <v/>
      </c>
      <c r="E2079" s="52" t="str">
        <f>IF(B2079="","",SUMIF(Transactions!$F$8:$F$3006,B2079,Transactions!$O$8:$O$3006))</f>
        <v/>
      </c>
      <c r="F2079" s="53" t="str">
        <f>IF(B2079="","",SUMIF(Transactions!$F$8:$F$3006,B2079,Transactions!$R$8:$R$3006))</f>
        <v/>
      </c>
      <c r="G2079" s="54" t="str">
        <f>IF(B2079="","",(C2079+F2079)-(D2079+E2079+SUMIF(Transactions!$F$8:$F$3006,B2079,Transactions!$Q$8:$Q$3006)))</f>
        <v/>
      </c>
      <c r="H2079" s="55" t="str">
        <f>IF(B2079="","",IF(G2079&gt;0,"OUTSTANDING",IF(G2079=0,"SETTLED",IF(SUMIF(Transactions!$F$8:$F$3006,B2079,Transactions!$Q$8:$Q$3006)&gt;SUMIF(Transactions!$F$8:$F$3006,B2079,Transactions!$R$8:$R$3006),"OWES","OVERPAID"))))</f>
        <v/>
      </c>
      <c r="I2079" s="1"/>
    </row>
    <row r="2080" spans="1:9" ht="18" customHeight="1" x14ac:dyDescent="0.25">
      <c r="A2080" s="40">
        <v>2065</v>
      </c>
      <c r="B2080" s="41" t="str">
        <f t="array" ref="B2080">IFERROR(IF(INDEX(Transactions!$F$8:$F$3006,MATCH(0,COUNTIF($B$11:B2079,Transactions!$F$8:$F$3006),0))="","",INDEX(Transactions!$F$8:$F$3006,MATCH(0,COUNTIF($B$11:B2079,Transactions!$F$8:$F$3006),0))),"")</f>
        <v/>
      </c>
      <c r="C2080" s="42" t="str">
        <f>IF(B2080="","",SUMIF(Transactions!$F$8:$F$3006,B2080,Transactions!$H$8:$H$3006))</f>
        <v/>
      </c>
      <c r="D2080" s="43" t="str">
        <f>IF(B2080="","",SUMIF(Transactions!$F$8:$F$3006,B2080,Transactions!$N$8:$N$3006))</f>
        <v/>
      </c>
      <c r="E2080" s="44" t="str">
        <f>IF(B2080="","",SUMIF(Transactions!$F$8:$F$3006,B2080,Transactions!$O$8:$O$3006))</f>
        <v/>
      </c>
      <c r="F2080" s="45" t="str">
        <f>IF(B2080="","",SUMIF(Transactions!$F$8:$F$3006,B2080,Transactions!$R$8:$R$3006))</f>
        <v/>
      </c>
      <c r="G2080" s="46" t="str">
        <f>IF(B2080="","",(C2080+F2080)-(D2080+E2080+SUMIF(Transactions!$F$8:$F$3006,B2080,Transactions!$Q$8:$Q$3006)))</f>
        <v/>
      </c>
      <c r="H2080" s="47" t="str">
        <f>IF(B2080="","",IF(G2080&gt;0,"OUTSTANDING",IF(G2080=0,"SETTLED",IF(SUMIF(Transactions!$F$8:$F$3006,B2080,Transactions!$Q$8:$Q$3006)&gt;SUMIF(Transactions!$F$8:$F$3006,B2080,Transactions!$R$8:$R$3006),"OWES","OVERPAID"))))</f>
        <v/>
      </c>
      <c r="I2080" s="1"/>
    </row>
    <row r="2081" spans="1:9" ht="18" customHeight="1" x14ac:dyDescent="0.25">
      <c r="A2081" s="48">
        <v>2066</v>
      </c>
      <c r="B2081" s="49" t="str">
        <f t="array" ref="B2081">IFERROR(IF(INDEX(Transactions!$F$8:$F$3006,MATCH(0,COUNTIF($B$11:B2080,Transactions!$F$8:$F$3006),0))="","",INDEX(Transactions!$F$8:$F$3006,MATCH(0,COUNTIF($B$11:B2080,Transactions!$F$8:$F$3006),0))),"")</f>
        <v/>
      </c>
      <c r="C2081" s="50" t="str">
        <f>IF(B2081="","",SUMIF(Transactions!$F$8:$F$3006,B2081,Transactions!$H$8:$H$3006))</f>
        <v/>
      </c>
      <c r="D2081" s="51" t="str">
        <f>IF(B2081="","",SUMIF(Transactions!$F$8:$F$3006,B2081,Transactions!$N$8:$N$3006))</f>
        <v/>
      </c>
      <c r="E2081" s="52" t="str">
        <f>IF(B2081="","",SUMIF(Transactions!$F$8:$F$3006,B2081,Transactions!$O$8:$O$3006))</f>
        <v/>
      </c>
      <c r="F2081" s="53" t="str">
        <f>IF(B2081="","",SUMIF(Transactions!$F$8:$F$3006,B2081,Transactions!$R$8:$R$3006))</f>
        <v/>
      </c>
      <c r="G2081" s="54" t="str">
        <f>IF(B2081="","",(C2081+F2081)-(D2081+E2081+SUMIF(Transactions!$F$8:$F$3006,B2081,Transactions!$Q$8:$Q$3006)))</f>
        <v/>
      </c>
      <c r="H2081" s="55" t="str">
        <f>IF(B2081="","",IF(G2081&gt;0,"OUTSTANDING",IF(G2081=0,"SETTLED",IF(SUMIF(Transactions!$F$8:$F$3006,B2081,Transactions!$Q$8:$Q$3006)&gt;SUMIF(Transactions!$F$8:$F$3006,B2081,Transactions!$R$8:$R$3006),"OWES","OVERPAID"))))</f>
        <v/>
      </c>
      <c r="I2081" s="1"/>
    </row>
    <row r="2082" spans="1:9" ht="18" customHeight="1" x14ac:dyDescent="0.25">
      <c r="A2082" s="40">
        <v>2067</v>
      </c>
      <c r="B2082" s="41" t="str">
        <f t="array" ref="B2082">IFERROR(IF(INDEX(Transactions!$F$8:$F$3006,MATCH(0,COUNTIF($B$11:B2081,Transactions!$F$8:$F$3006),0))="","",INDEX(Transactions!$F$8:$F$3006,MATCH(0,COUNTIF($B$11:B2081,Transactions!$F$8:$F$3006),0))),"")</f>
        <v/>
      </c>
      <c r="C2082" s="42" t="str">
        <f>IF(B2082="","",SUMIF(Transactions!$F$8:$F$3006,B2082,Transactions!$H$8:$H$3006))</f>
        <v/>
      </c>
      <c r="D2082" s="43" t="str">
        <f>IF(B2082="","",SUMIF(Transactions!$F$8:$F$3006,B2082,Transactions!$N$8:$N$3006))</f>
        <v/>
      </c>
      <c r="E2082" s="44" t="str">
        <f>IF(B2082="","",SUMIF(Transactions!$F$8:$F$3006,B2082,Transactions!$O$8:$O$3006))</f>
        <v/>
      </c>
      <c r="F2082" s="45" t="str">
        <f>IF(B2082="","",SUMIF(Transactions!$F$8:$F$3006,B2082,Transactions!$R$8:$R$3006))</f>
        <v/>
      </c>
      <c r="G2082" s="46" t="str">
        <f>IF(B2082="","",(C2082+F2082)-(D2082+E2082+SUMIF(Transactions!$F$8:$F$3006,B2082,Transactions!$Q$8:$Q$3006)))</f>
        <v/>
      </c>
      <c r="H2082" s="47" t="str">
        <f>IF(B2082="","",IF(G2082&gt;0,"OUTSTANDING",IF(G2082=0,"SETTLED",IF(SUMIF(Transactions!$F$8:$F$3006,B2082,Transactions!$Q$8:$Q$3006)&gt;SUMIF(Transactions!$F$8:$F$3006,B2082,Transactions!$R$8:$R$3006),"OWES","OVERPAID"))))</f>
        <v/>
      </c>
      <c r="I2082" s="1"/>
    </row>
    <row r="2083" spans="1:9" ht="18" customHeight="1" x14ac:dyDescent="0.25">
      <c r="A2083" s="48">
        <v>2068</v>
      </c>
      <c r="B2083" s="49" t="str">
        <f t="array" ref="B2083">IFERROR(IF(INDEX(Transactions!$F$8:$F$3006,MATCH(0,COUNTIF($B$11:B2082,Transactions!$F$8:$F$3006),0))="","",INDEX(Transactions!$F$8:$F$3006,MATCH(0,COUNTIF($B$11:B2082,Transactions!$F$8:$F$3006),0))),"")</f>
        <v/>
      </c>
      <c r="C2083" s="50" t="str">
        <f>IF(B2083="","",SUMIF(Transactions!$F$8:$F$3006,B2083,Transactions!$H$8:$H$3006))</f>
        <v/>
      </c>
      <c r="D2083" s="51" t="str">
        <f>IF(B2083="","",SUMIF(Transactions!$F$8:$F$3006,B2083,Transactions!$N$8:$N$3006))</f>
        <v/>
      </c>
      <c r="E2083" s="52" t="str">
        <f>IF(B2083="","",SUMIF(Transactions!$F$8:$F$3006,B2083,Transactions!$O$8:$O$3006))</f>
        <v/>
      </c>
      <c r="F2083" s="53" t="str">
        <f>IF(B2083="","",SUMIF(Transactions!$F$8:$F$3006,B2083,Transactions!$R$8:$R$3006))</f>
        <v/>
      </c>
      <c r="G2083" s="54" t="str">
        <f>IF(B2083="","",(C2083+F2083)-(D2083+E2083+SUMIF(Transactions!$F$8:$F$3006,B2083,Transactions!$Q$8:$Q$3006)))</f>
        <v/>
      </c>
      <c r="H2083" s="55" t="str">
        <f>IF(B2083="","",IF(G2083&gt;0,"OUTSTANDING",IF(G2083=0,"SETTLED",IF(SUMIF(Transactions!$F$8:$F$3006,B2083,Transactions!$Q$8:$Q$3006)&gt;SUMIF(Transactions!$F$8:$F$3006,B2083,Transactions!$R$8:$R$3006),"OWES","OVERPAID"))))</f>
        <v/>
      </c>
      <c r="I2083" s="1"/>
    </row>
    <row r="2084" spans="1:9" ht="18" customHeight="1" x14ac:dyDescent="0.25">
      <c r="A2084" s="40">
        <v>2069</v>
      </c>
      <c r="B2084" s="41" t="str">
        <f t="array" ref="B2084">IFERROR(IF(INDEX(Transactions!$F$8:$F$3006,MATCH(0,COUNTIF($B$11:B2083,Transactions!$F$8:$F$3006),0))="","",INDEX(Transactions!$F$8:$F$3006,MATCH(0,COUNTIF($B$11:B2083,Transactions!$F$8:$F$3006),0))),"")</f>
        <v/>
      </c>
      <c r="C2084" s="42" t="str">
        <f>IF(B2084="","",SUMIF(Transactions!$F$8:$F$3006,B2084,Transactions!$H$8:$H$3006))</f>
        <v/>
      </c>
      <c r="D2084" s="43" t="str">
        <f>IF(B2084="","",SUMIF(Transactions!$F$8:$F$3006,B2084,Transactions!$N$8:$N$3006))</f>
        <v/>
      </c>
      <c r="E2084" s="44" t="str">
        <f>IF(B2084="","",SUMIF(Transactions!$F$8:$F$3006,B2084,Transactions!$O$8:$O$3006))</f>
        <v/>
      </c>
      <c r="F2084" s="45" t="str">
        <f>IF(B2084="","",SUMIF(Transactions!$F$8:$F$3006,B2084,Transactions!$R$8:$R$3006))</f>
        <v/>
      </c>
      <c r="G2084" s="46" t="str">
        <f>IF(B2084="","",(C2084+F2084)-(D2084+E2084+SUMIF(Transactions!$F$8:$F$3006,B2084,Transactions!$Q$8:$Q$3006)))</f>
        <v/>
      </c>
      <c r="H2084" s="47" t="str">
        <f>IF(B2084="","",IF(G2084&gt;0,"OUTSTANDING",IF(G2084=0,"SETTLED",IF(SUMIF(Transactions!$F$8:$F$3006,B2084,Transactions!$Q$8:$Q$3006)&gt;SUMIF(Transactions!$F$8:$F$3006,B2084,Transactions!$R$8:$R$3006),"OWES","OVERPAID"))))</f>
        <v/>
      </c>
      <c r="I2084" s="1"/>
    </row>
    <row r="2085" spans="1:9" ht="18" customHeight="1" x14ac:dyDescent="0.25">
      <c r="A2085" s="48">
        <v>2070</v>
      </c>
      <c r="B2085" s="49" t="str">
        <f t="array" ref="B2085">IFERROR(IF(INDEX(Transactions!$F$8:$F$3006,MATCH(0,COUNTIF($B$11:B2084,Transactions!$F$8:$F$3006),0))="","",INDEX(Transactions!$F$8:$F$3006,MATCH(0,COUNTIF($B$11:B2084,Transactions!$F$8:$F$3006),0))),"")</f>
        <v/>
      </c>
      <c r="C2085" s="50" t="str">
        <f>IF(B2085="","",SUMIF(Transactions!$F$8:$F$3006,B2085,Transactions!$H$8:$H$3006))</f>
        <v/>
      </c>
      <c r="D2085" s="51" t="str">
        <f>IF(B2085="","",SUMIF(Transactions!$F$8:$F$3006,B2085,Transactions!$N$8:$N$3006))</f>
        <v/>
      </c>
      <c r="E2085" s="52" t="str">
        <f>IF(B2085="","",SUMIF(Transactions!$F$8:$F$3006,B2085,Transactions!$O$8:$O$3006))</f>
        <v/>
      </c>
      <c r="F2085" s="53" t="str">
        <f>IF(B2085="","",SUMIF(Transactions!$F$8:$F$3006,B2085,Transactions!$R$8:$R$3006))</f>
        <v/>
      </c>
      <c r="G2085" s="54" t="str">
        <f>IF(B2085="","",(C2085+F2085)-(D2085+E2085+SUMIF(Transactions!$F$8:$F$3006,B2085,Transactions!$Q$8:$Q$3006)))</f>
        <v/>
      </c>
      <c r="H2085" s="55" t="str">
        <f>IF(B2085="","",IF(G2085&gt;0,"OUTSTANDING",IF(G2085=0,"SETTLED",IF(SUMIF(Transactions!$F$8:$F$3006,B2085,Transactions!$Q$8:$Q$3006)&gt;SUMIF(Transactions!$F$8:$F$3006,B2085,Transactions!$R$8:$R$3006),"OWES","OVERPAID"))))</f>
        <v/>
      </c>
      <c r="I2085" s="1"/>
    </row>
    <row r="2086" spans="1:9" ht="18" customHeight="1" x14ac:dyDescent="0.25">
      <c r="A2086" s="40">
        <v>2071</v>
      </c>
      <c r="B2086" s="41" t="str">
        <f t="array" ref="B2086">IFERROR(IF(INDEX(Transactions!$F$8:$F$3006,MATCH(0,COUNTIF($B$11:B2085,Transactions!$F$8:$F$3006),0))="","",INDEX(Transactions!$F$8:$F$3006,MATCH(0,COUNTIF($B$11:B2085,Transactions!$F$8:$F$3006),0))),"")</f>
        <v/>
      </c>
      <c r="C2086" s="42" t="str">
        <f>IF(B2086="","",SUMIF(Transactions!$F$8:$F$3006,B2086,Transactions!$H$8:$H$3006))</f>
        <v/>
      </c>
      <c r="D2086" s="43" t="str">
        <f>IF(B2086="","",SUMIF(Transactions!$F$8:$F$3006,B2086,Transactions!$N$8:$N$3006))</f>
        <v/>
      </c>
      <c r="E2086" s="44" t="str">
        <f>IF(B2086="","",SUMIF(Transactions!$F$8:$F$3006,B2086,Transactions!$O$8:$O$3006))</f>
        <v/>
      </c>
      <c r="F2086" s="45" t="str">
        <f>IF(B2086="","",SUMIF(Transactions!$F$8:$F$3006,B2086,Transactions!$R$8:$R$3006))</f>
        <v/>
      </c>
      <c r="G2086" s="46" t="str">
        <f>IF(B2086="","",(C2086+F2086)-(D2086+E2086+SUMIF(Transactions!$F$8:$F$3006,B2086,Transactions!$Q$8:$Q$3006)))</f>
        <v/>
      </c>
      <c r="H2086" s="47" t="str">
        <f>IF(B2086="","",IF(G2086&gt;0,"OUTSTANDING",IF(G2086=0,"SETTLED",IF(SUMIF(Transactions!$F$8:$F$3006,B2086,Transactions!$Q$8:$Q$3006)&gt;SUMIF(Transactions!$F$8:$F$3006,B2086,Transactions!$R$8:$R$3006),"OWES","OVERPAID"))))</f>
        <v/>
      </c>
      <c r="I2086" s="1"/>
    </row>
    <row r="2087" spans="1:9" ht="18" customHeight="1" x14ac:dyDescent="0.25">
      <c r="A2087" s="48">
        <v>2072</v>
      </c>
      <c r="B2087" s="49" t="str">
        <f t="array" ref="B2087">IFERROR(IF(INDEX(Transactions!$F$8:$F$3006,MATCH(0,COUNTIF($B$11:B2086,Transactions!$F$8:$F$3006),0))="","",INDEX(Transactions!$F$8:$F$3006,MATCH(0,COUNTIF($B$11:B2086,Transactions!$F$8:$F$3006),0))),"")</f>
        <v/>
      </c>
      <c r="C2087" s="50" t="str">
        <f>IF(B2087="","",SUMIF(Transactions!$F$8:$F$3006,B2087,Transactions!$H$8:$H$3006))</f>
        <v/>
      </c>
      <c r="D2087" s="51" t="str">
        <f>IF(B2087="","",SUMIF(Transactions!$F$8:$F$3006,B2087,Transactions!$N$8:$N$3006))</f>
        <v/>
      </c>
      <c r="E2087" s="52" t="str">
        <f>IF(B2087="","",SUMIF(Transactions!$F$8:$F$3006,B2087,Transactions!$O$8:$O$3006))</f>
        <v/>
      </c>
      <c r="F2087" s="53" t="str">
        <f>IF(B2087="","",SUMIF(Transactions!$F$8:$F$3006,B2087,Transactions!$R$8:$R$3006))</f>
        <v/>
      </c>
      <c r="G2087" s="54" t="str">
        <f>IF(B2087="","",(C2087+F2087)-(D2087+E2087+SUMIF(Transactions!$F$8:$F$3006,B2087,Transactions!$Q$8:$Q$3006)))</f>
        <v/>
      </c>
      <c r="H2087" s="55" t="str">
        <f>IF(B2087="","",IF(G2087&gt;0,"OUTSTANDING",IF(G2087=0,"SETTLED",IF(SUMIF(Transactions!$F$8:$F$3006,B2087,Transactions!$Q$8:$Q$3006)&gt;SUMIF(Transactions!$F$8:$F$3006,B2087,Transactions!$R$8:$R$3006),"OWES","OVERPAID"))))</f>
        <v/>
      </c>
      <c r="I2087" s="1"/>
    </row>
    <row r="2088" spans="1:9" ht="18" customHeight="1" x14ac:dyDescent="0.25">
      <c r="A2088" s="40">
        <v>2073</v>
      </c>
      <c r="B2088" s="41" t="str">
        <f t="array" ref="B2088">IFERROR(IF(INDEX(Transactions!$F$8:$F$3006,MATCH(0,COUNTIF($B$11:B2087,Transactions!$F$8:$F$3006),0))="","",INDEX(Transactions!$F$8:$F$3006,MATCH(0,COUNTIF($B$11:B2087,Transactions!$F$8:$F$3006),0))),"")</f>
        <v/>
      </c>
      <c r="C2088" s="42" t="str">
        <f>IF(B2088="","",SUMIF(Transactions!$F$8:$F$3006,B2088,Transactions!$H$8:$H$3006))</f>
        <v/>
      </c>
      <c r="D2088" s="43" t="str">
        <f>IF(B2088="","",SUMIF(Transactions!$F$8:$F$3006,B2088,Transactions!$N$8:$N$3006))</f>
        <v/>
      </c>
      <c r="E2088" s="44" t="str">
        <f>IF(B2088="","",SUMIF(Transactions!$F$8:$F$3006,B2088,Transactions!$O$8:$O$3006))</f>
        <v/>
      </c>
      <c r="F2088" s="45" t="str">
        <f>IF(B2088="","",SUMIF(Transactions!$F$8:$F$3006,B2088,Transactions!$R$8:$R$3006))</f>
        <v/>
      </c>
      <c r="G2088" s="46" t="str">
        <f>IF(B2088="","",(C2088+F2088)-(D2088+E2088+SUMIF(Transactions!$F$8:$F$3006,B2088,Transactions!$Q$8:$Q$3006)))</f>
        <v/>
      </c>
      <c r="H2088" s="47" t="str">
        <f>IF(B2088="","",IF(G2088&gt;0,"OUTSTANDING",IF(G2088=0,"SETTLED",IF(SUMIF(Transactions!$F$8:$F$3006,B2088,Transactions!$Q$8:$Q$3006)&gt;SUMIF(Transactions!$F$8:$F$3006,B2088,Transactions!$R$8:$R$3006),"OWES","OVERPAID"))))</f>
        <v/>
      </c>
      <c r="I2088" s="1"/>
    </row>
    <row r="2089" spans="1:9" ht="18" customHeight="1" x14ac:dyDescent="0.25">
      <c r="A2089" s="48">
        <v>2074</v>
      </c>
      <c r="B2089" s="49" t="str">
        <f t="array" ref="B2089">IFERROR(IF(INDEX(Transactions!$F$8:$F$3006,MATCH(0,COUNTIF($B$11:B2088,Transactions!$F$8:$F$3006),0))="","",INDEX(Transactions!$F$8:$F$3006,MATCH(0,COUNTIF($B$11:B2088,Transactions!$F$8:$F$3006),0))),"")</f>
        <v/>
      </c>
      <c r="C2089" s="50" t="str">
        <f>IF(B2089="","",SUMIF(Transactions!$F$8:$F$3006,B2089,Transactions!$H$8:$H$3006))</f>
        <v/>
      </c>
      <c r="D2089" s="51" t="str">
        <f>IF(B2089="","",SUMIF(Transactions!$F$8:$F$3006,B2089,Transactions!$N$8:$N$3006))</f>
        <v/>
      </c>
      <c r="E2089" s="52" t="str">
        <f>IF(B2089="","",SUMIF(Transactions!$F$8:$F$3006,B2089,Transactions!$O$8:$O$3006))</f>
        <v/>
      </c>
      <c r="F2089" s="53" t="str">
        <f>IF(B2089="","",SUMIF(Transactions!$F$8:$F$3006,B2089,Transactions!$R$8:$R$3006))</f>
        <v/>
      </c>
      <c r="G2089" s="54" t="str">
        <f>IF(B2089="","",(C2089+F2089)-(D2089+E2089+SUMIF(Transactions!$F$8:$F$3006,B2089,Transactions!$Q$8:$Q$3006)))</f>
        <v/>
      </c>
      <c r="H2089" s="55" t="str">
        <f>IF(B2089="","",IF(G2089&gt;0,"OUTSTANDING",IF(G2089=0,"SETTLED",IF(SUMIF(Transactions!$F$8:$F$3006,B2089,Transactions!$Q$8:$Q$3006)&gt;SUMIF(Transactions!$F$8:$F$3006,B2089,Transactions!$R$8:$R$3006),"OWES","OVERPAID"))))</f>
        <v/>
      </c>
      <c r="I2089" s="1"/>
    </row>
    <row r="2090" spans="1:9" ht="18" customHeight="1" x14ac:dyDescent="0.25">
      <c r="A2090" s="40">
        <v>2075</v>
      </c>
      <c r="B2090" s="41" t="str">
        <f t="array" ref="B2090">IFERROR(IF(INDEX(Transactions!$F$8:$F$3006,MATCH(0,COUNTIF($B$11:B2089,Transactions!$F$8:$F$3006),0))="","",INDEX(Transactions!$F$8:$F$3006,MATCH(0,COUNTIF($B$11:B2089,Transactions!$F$8:$F$3006),0))),"")</f>
        <v/>
      </c>
      <c r="C2090" s="42" t="str">
        <f>IF(B2090="","",SUMIF(Transactions!$F$8:$F$3006,B2090,Transactions!$H$8:$H$3006))</f>
        <v/>
      </c>
      <c r="D2090" s="43" t="str">
        <f>IF(B2090="","",SUMIF(Transactions!$F$8:$F$3006,B2090,Transactions!$N$8:$N$3006))</f>
        <v/>
      </c>
      <c r="E2090" s="44" t="str">
        <f>IF(B2090="","",SUMIF(Transactions!$F$8:$F$3006,B2090,Transactions!$O$8:$O$3006))</f>
        <v/>
      </c>
      <c r="F2090" s="45" t="str">
        <f>IF(B2090="","",SUMIF(Transactions!$F$8:$F$3006,B2090,Transactions!$R$8:$R$3006))</f>
        <v/>
      </c>
      <c r="G2090" s="46" t="str">
        <f>IF(B2090="","",(C2090+F2090)-(D2090+E2090+SUMIF(Transactions!$F$8:$F$3006,B2090,Transactions!$Q$8:$Q$3006)))</f>
        <v/>
      </c>
      <c r="H2090" s="47" t="str">
        <f>IF(B2090="","",IF(G2090&gt;0,"OUTSTANDING",IF(G2090=0,"SETTLED",IF(SUMIF(Transactions!$F$8:$F$3006,B2090,Transactions!$Q$8:$Q$3006)&gt;SUMIF(Transactions!$F$8:$F$3006,B2090,Transactions!$R$8:$R$3006),"OWES","OVERPAID"))))</f>
        <v/>
      </c>
      <c r="I2090" s="1"/>
    </row>
    <row r="2091" spans="1:9" ht="18" customHeight="1" x14ac:dyDescent="0.25">
      <c r="A2091" s="48">
        <v>2076</v>
      </c>
      <c r="B2091" s="49" t="str">
        <f t="array" ref="B2091">IFERROR(IF(INDEX(Transactions!$F$8:$F$3006,MATCH(0,COUNTIF($B$11:B2090,Transactions!$F$8:$F$3006),0))="","",INDEX(Transactions!$F$8:$F$3006,MATCH(0,COUNTIF($B$11:B2090,Transactions!$F$8:$F$3006),0))),"")</f>
        <v/>
      </c>
      <c r="C2091" s="50" t="str">
        <f>IF(B2091="","",SUMIF(Transactions!$F$8:$F$3006,B2091,Transactions!$H$8:$H$3006))</f>
        <v/>
      </c>
      <c r="D2091" s="51" t="str">
        <f>IF(B2091="","",SUMIF(Transactions!$F$8:$F$3006,B2091,Transactions!$N$8:$N$3006))</f>
        <v/>
      </c>
      <c r="E2091" s="52" t="str">
        <f>IF(B2091="","",SUMIF(Transactions!$F$8:$F$3006,B2091,Transactions!$O$8:$O$3006))</f>
        <v/>
      </c>
      <c r="F2091" s="53" t="str">
        <f>IF(B2091="","",SUMIF(Transactions!$F$8:$F$3006,B2091,Transactions!$R$8:$R$3006))</f>
        <v/>
      </c>
      <c r="G2091" s="54" t="str">
        <f>IF(B2091="","",(C2091+F2091)-(D2091+E2091+SUMIF(Transactions!$F$8:$F$3006,B2091,Transactions!$Q$8:$Q$3006)))</f>
        <v/>
      </c>
      <c r="H2091" s="55" t="str">
        <f>IF(B2091="","",IF(G2091&gt;0,"OUTSTANDING",IF(G2091=0,"SETTLED",IF(SUMIF(Transactions!$F$8:$F$3006,B2091,Transactions!$Q$8:$Q$3006)&gt;SUMIF(Transactions!$F$8:$F$3006,B2091,Transactions!$R$8:$R$3006),"OWES","OVERPAID"))))</f>
        <v/>
      </c>
      <c r="I2091" s="1"/>
    </row>
    <row r="2092" spans="1:9" ht="18" customHeight="1" x14ac:dyDescent="0.25">
      <c r="A2092" s="40">
        <v>2077</v>
      </c>
      <c r="B2092" s="41" t="str">
        <f t="array" ref="B2092">IFERROR(IF(INDEX(Transactions!$F$8:$F$3006,MATCH(0,COUNTIF($B$11:B2091,Transactions!$F$8:$F$3006),0))="","",INDEX(Transactions!$F$8:$F$3006,MATCH(0,COUNTIF($B$11:B2091,Transactions!$F$8:$F$3006),0))),"")</f>
        <v/>
      </c>
      <c r="C2092" s="42" t="str">
        <f>IF(B2092="","",SUMIF(Transactions!$F$8:$F$3006,B2092,Transactions!$H$8:$H$3006))</f>
        <v/>
      </c>
      <c r="D2092" s="43" t="str">
        <f>IF(B2092="","",SUMIF(Transactions!$F$8:$F$3006,B2092,Transactions!$N$8:$N$3006))</f>
        <v/>
      </c>
      <c r="E2092" s="44" t="str">
        <f>IF(B2092="","",SUMIF(Transactions!$F$8:$F$3006,B2092,Transactions!$O$8:$O$3006))</f>
        <v/>
      </c>
      <c r="F2092" s="45" t="str">
        <f>IF(B2092="","",SUMIF(Transactions!$F$8:$F$3006,B2092,Transactions!$R$8:$R$3006))</f>
        <v/>
      </c>
      <c r="G2092" s="46" t="str">
        <f>IF(B2092="","",(C2092+F2092)-(D2092+E2092+SUMIF(Transactions!$F$8:$F$3006,B2092,Transactions!$Q$8:$Q$3006)))</f>
        <v/>
      </c>
      <c r="H2092" s="47" t="str">
        <f>IF(B2092="","",IF(G2092&gt;0,"OUTSTANDING",IF(G2092=0,"SETTLED",IF(SUMIF(Transactions!$F$8:$F$3006,B2092,Transactions!$Q$8:$Q$3006)&gt;SUMIF(Transactions!$F$8:$F$3006,B2092,Transactions!$R$8:$R$3006),"OWES","OVERPAID"))))</f>
        <v/>
      </c>
      <c r="I2092" s="1"/>
    </row>
    <row r="2093" spans="1:9" ht="18" customHeight="1" x14ac:dyDescent="0.25">
      <c r="A2093" s="48">
        <v>2078</v>
      </c>
      <c r="B2093" s="49" t="str">
        <f t="array" ref="B2093">IFERROR(IF(INDEX(Transactions!$F$8:$F$3006,MATCH(0,COUNTIF($B$11:B2092,Transactions!$F$8:$F$3006),0))="","",INDEX(Transactions!$F$8:$F$3006,MATCH(0,COUNTIF($B$11:B2092,Transactions!$F$8:$F$3006),0))),"")</f>
        <v/>
      </c>
      <c r="C2093" s="50" t="str">
        <f>IF(B2093="","",SUMIF(Transactions!$F$8:$F$3006,B2093,Transactions!$H$8:$H$3006))</f>
        <v/>
      </c>
      <c r="D2093" s="51" t="str">
        <f>IF(B2093="","",SUMIF(Transactions!$F$8:$F$3006,B2093,Transactions!$N$8:$N$3006))</f>
        <v/>
      </c>
      <c r="E2093" s="52" t="str">
        <f>IF(B2093="","",SUMIF(Transactions!$F$8:$F$3006,B2093,Transactions!$O$8:$O$3006))</f>
        <v/>
      </c>
      <c r="F2093" s="53" t="str">
        <f>IF(B2093="","",SUMIF(Transactions!$F$8:$F$3006,B2093,Transactions!$R$8:$R$3006))</f>
        <v/>
      </c>
      <c r="G2093" s="54" t="str">
        <f>IF(B2093="","",(C2093+F2093)-(D2093+E2093+SUMIF(Transactions!$F$8:$F$3006,B2093,Transactions!$Q$8:$Q$3006)))</f>
        <v/>
      </c>
      <c r="H2093" s="55" t="str">
        <f>IF(B2093="","",IF(G2093&gt;0,"OUTSTANDING",IF(G2093=0,"SETTLED",IF(SUMIF(Transactions!$F$8:$F$3006,B2093,Transactions!$Q$8:$Q$3006)&gt;SUMIF(Transactions!$F$8:$F$3006,B2093,Transactions!$R$8:$R$3006),"OWES","OVERPAID"))))</f>
        <v/>
      </c>
      <c r="I2093" s="1"/>
    </row>
    <row r="2094" spans="1:9" ht="18" customHeight="1" x14ac:dyDescent="0.25">
      <c r="A2094" s="40">
        <v>2079</v>
      </c>
      <c r="B2094" s="41" t="str">
        <f t="array" ref="B2094">IFERROR(IF(INDEX(Transactions!$F$8:$F$3006,MATCH(0,COUNTIF($B$11:B2093,Transactions!$F$8:$F$3006),0))="","",INDEX(Transactions!$F$8:$F$3006,MATCH(0,COUNTIF($B$11:B2093,Transactions!$F$8:$F$3006),0))),"")</f>
        <v/>
      </c>
      <c r="C2094" s="42" t="str">
        <f>IF(B2094="","",SUMIF(Transactions!$F$8:$F$3006,B2094,Transactions!$H$8:$H$3006))</f>
        <v/>
      </c>
      <c r="D2094" s="43" t="str">
        <f>IF(B2094="","",SUMIF(Transactions!$F$8:$F$3006,B2094,Transactions!$N$8:$N$3006))</f>
        <v/>
      </c>
      <c r="E2094" s="44" t="str">
        <f>IF(B2094="","",SUMIF(Transactions!$F$8:$F$3006,B2094,Transactions!$O$8:$O$3006))</f>
        <v/>
      </c>
      <c r="F2094" s="45" t="str">
        <f>IF(B2094="","",SUMIF(Transactions!$F$8:$F$3006,B2094,Transactions!$R$8:$R$3006))</f>
        <v/>
      </c>
      <c r="G2094" s="46" t="str">
        <f>IF(B2094="","",(C2094+F2094)-(D2094+E2094+SUMIF(Transactions!$F$8:$F$3006,B2094,Transactions!$Q$8:$Q$3006)))</f>
        <v/>
      </c>
      <c r="H2094" s="47" t="str">
        <f>IF(B2094="","",IF(G2094&gt;0,"OUTSTANDING",IF(G2094=0,"SETTLED",IF(SUMIF(Transactions!$F$8:$F$3006,B2094,Transactions!$Q$8:$Q$3006)&gt;SUMIF(Transactions!$F$8:$F$3006,B2094,Transactions!$R$8:$R$3006),"OWES","OVERPAID"))))</f>
        <v/>
      </c>
      <c r="I2094" s="1"/>
    </row>
    <row r="2095" spans="1:9" ht="18" customHeight="1" x14ac:dyDescent="0.25">
      <c r="A2095" s="48">
        <v>2080</v>
      </c>
      <c r="B2095" s="49" t="str">
        <f t="array" ref="B2095">IFERROR(IF(INDEX(Transactions!$F$8:$F$3006,MATCH(0,COUNTIF($B$11:B2094,Transactions!$F$8:$F$3006),0))="","",INDEX(Transactions!$F$8:$F$3006,MATCH(0,COUNTIF($B$11:B2094,Transactions!$F$8:$F$3006),0))),"")</f>
        <v/>
      </c>
      <c r="C2095" s="50" t="str">
        <f>IF(B2095="","",SUMIF(Transactions!$F$8:$F$3006,B2095,Transactions!$H$8:$H$3006))</f>
        <v/>
      </c>
      <c r="D2095" s="51" t="str">
        <f>IF(B2095="","",SUMIF(Transactions!$F$8:$F$3006,B2095,Transactions!$N$8:$N$3006))</f>
        <v/>
      </c>
      <c r="E2095" s="52" t="str">
        <f>IF(B2095="","",SUMIF(Transactions!$F$8:$F$3006,B2095,Transactions!$O$8:$O$3006))</f>
        <v/>
      </c>
      <c r="F2095" s="53" t="str">
        <f>IF(B2095="","",SUMIF(Transactions!$F$8:$F$3006,B2095,Transactions!$R$8:$R$3006))</f>
        <v/>
      </c>
      <c r="G2095" s="54" t="str">
        <f>IF(B2095="","",(C2095+F2095)-(D2095+E2095+SUMIF(Transactions!$F$8:$F$3006,B2095,Transactions!$Q$8:$Q$3006)))</f>
        <v/>
      </c>
      <c r="H2095" s="55" t="str">
        <f>IF(B2095="","",IF(G2095&gt;0,"OUTSTANDING",IF(G2095=0,"SETTLED",IF(SUMIF(Transactions!$F$8:$F$3006,B2095,Transactions!$Q$8:$Q$3006)&gt;SUMIF(Transactions!$F$8:$F$3006,B2095,Transactions!$R$8:$R$3006),"OWES","OVERPAID"))))</f>
        <v/>
      </c>
      <c r="I2095" s="1"/>
    </row>
    <row r="2096" spans="1:9" ht="18" customHeight="1" x14ac:dyDescent="0.25">
      <c r="A2096" s="40">
        <v>2081</v>
      </c>
      <c r="B2096" s="41" t="str">
        <f t="array" ref="B2096">IFERROR(IF(INDEX(Transactions!$F$8:$F$3006,MATCH(0,COUNTIF($B$11:B2095,Transactions!$F$8:$F$3006),0))="","",INDEX(Transactions!$F$8:$F$3006,MATCH(0,COUNTIF($B$11:B2095,Transactions!$F$8:$F$3006),0))),"")</f>
        <v/>
      </c>
      <c r="C2096" s="42" t="str">
        <f>IF(B2096="","",SUMIF(Transactions!$F$8:$F$3006,B2096,Transactions!$H$8:$H$3006))</f>
        <v/>
      </c>
      <c r="D2096" s="43" t="str">
        <f>IF(B2096="","",SUMIF(Transactions!$F$8:$F$3006,B2096,Transactions!$N$8:$N$3006))</f>
        <v/>
      </c>
      <c r="E2096" s="44" t="str">
        <f>IF(B2096="","",SUMIF(Transactions!$F$8:$F$3006,B2096,Transactions!$O$8:$O$3006))</f>
        <v/>
      </c>
      <c r="F2096" s="45" t="str">
        <f>IF(B2096="","",SUMIF(Transactions!$F$8:$F$3006,B2096,Transactions!$R$8:$R$3006))</f>
        <v/>
      </c>
      <c r="G2096" s="46" t="str">
        <f>IF(B2096="","",(C2096+F2096)-(D2096+E2096+SUMIF(Transactions!$F$8:$F$3006,B2096,Transactions!$Q$8:$Q$3006)))</f>
        <v/>
      </c>
      <c r="H2096" s="47" t="str">
        <f>IF(B2096="","",IF(G2096&gt;0,"OUTSTANDING",IF(G2096=0,"SETTLED",IF(SUMIF(Transactions!$F$8:$F$3006,B2096,Transactions!$Q$8:$Q$3006)&gt;SUMIF(Transactions!$F$8:$F$3006,B2096,Transactions!$R$8:$R$3006),"OWES","OVERPAID"))))</f>
        <v/>
      </c>
      <c r="I2096" s="1"/>
    </row>
    <row r="2097" spans="1:9" ht="18" customHeight="1" x14ac:dyDescent="0.25">
      <c r="A2097" s="48">
        <v>2082</v>
      </c>
      <c r="B2097" s="49" t="str">
        <f t="array" ref="B2097">IFERROR(IF(INDEX(Transactions!$F$8:$F$3006,MATCH(0,COUNTIF($B$11:B2096,Transactions!$F$8:$F$3006),0))="","",INDEX(Transactions!$F$8:$F$3006,MATCH(0,COUNTIF($B$11:B2096,Transactions!$F$8:$F$3006),0))),"")</f>
        <v/>
      </c>
      <c r="C2097" s="50" t="str">
        <f>IF(B2097="","",SUMIF(Transactions!$F$8:$F$3006,B2097,Transactions!$H$8:$H$3006))</f>
        <v/>
      </c>
      <c r="D2097" s="51" t="str">
        <f>IF(B2097="","",SUMIF(Transactions!$F$8:$F$3006,B2097,Transactions!$N$8:$N$3006))</f>
        <v/>
      </c>
      <c r="E2097" s="52" t="str">
        <f>IF(B2097="","",SUMIF(Transactions!$F$8:$F$3006,B2097,Transactions!$O$8:$O$3006))</f>
        <v/>
      </c>
      <c r="F2097" s="53" t="str">
        <f>IF(B2097="","",SUMIF(Transactions!$F$8:$F$3006,B2097,Transactions!$R$8:$R$3006))</f>
        <v/>
      </c>
      <c r="G2097" s="54" t="str">
        <f>IF(B2097="","",(C2097+F2097)-(D2097+E2097+SUMIF(Transactions!$F$8:$F$3006,B2097,Transactions!$Q$8:$Q$3006)))</f>
        <v/>
      </c>
      <c r="H2097" s="55" t="str">
        <f>IF(B2097="","",IF(G2097&gt;0,"OUTSTANDING",IF(G2097=0,"SETTLED",IF(SUMIF(Transactions!$F$8:$F$3006,B2097,Transactions!$Q$8:$Q$3006)&gt;SUMIF(Transactions!$F$8:$F$3006,B2097,Transactions!$R$8:$R$3006),"OWES","OVERPAID"))))</f>
        <v/>
      </c>
      <c r="I2097" s="1"/>
    </row>
    <row r="2098" spans="1:9" ht="18" customHeight="1" x14ac:dyDescent="0.25">
      <c r="A2098" s="40">
        <v>2083</v>
      </c>
      <c r="B2098" s="41" t="str">
        <f t="array" ref="B2098">IFERROR(IF(INDEX(Transactions!$F$8:$F$3006,MATCH(0,COUNTIF($B$11:B2097,Transactions!$F$8:$F$3006),0))="","",INDEX(Transactions!$F$8:$F$3006,MATCH(0,COUNTIF($B$11:B2097,Transactions!$F$8:$F$3006),0))),"")</f>
        <v/>
      </c>
      <c r="C2098" s="42" t="str">
        <f>IF(B2098="","",SUMIF(Transactions!$F$8:$F$3006,B2098,Transactions!$H$8:$H$3006))</f>
        <v/>
      </c>
      <c r="D2098" s="43" t="str">
        <f>IF(B2098="","",SUMIF(Transactions!$F$8:$F$3006,B2098,Transactions!$N$8:$N$3006))</f>
        <v/>
      </c>
      <c r="E2098" s="44" t="str">
        <f>IF(B2098="","",SUMIF(Transactions!$F$8:$F$3006,B2098,Transactions!$O$8:$O$3006))</f>
        <v/>
      </c>
      <c r="F2098" s="45" t="str">
        <f>IF(B2098="","",SUMIF(Transactions!$F$8:$F$3006,B2098,Transactions!$R$8:$R$3006))</f>
        <v/>
      </c>
      <c r="G2098" s="46" t="str">
        <f>IF(B2098="","",(C2098+F2098)-(D2098+E2098+SUMIF(Transactions!$F$8:$F$3006,B2098,Transactions!$Q$8:$Q$3006)))</f>
        <v/>
      </c>
      <c r="H2098" s="47" t="str">
        <f>IF(B2098="","",IF(G2098&gt;0,"OUTSTANDING",IF(G2098=0,"SETTLED",IF(SUMIF(Transactions!$F$8:$F$3006,B2098,Transactions!$Q$8:$Q$3006)&gt;SUMIF(Transactions!$F$8:$F$3006,B2098,Transactions!$R$8:$R$3006),"OWES","OVERPAID"))))</f>
        <v/>
      </c>
      <c r="I2098" s="1"/>
    </row>
    <row r="2099" spans="1:9" ht="18" customHeight="1" x14ac:dyDescent="0.25">
      <c r="A2099" s="48">
        <v>2084</v>
      </c>
      <c r="B2099" s="49" t="str">
        <f t="array" ref="B2099">IFERROR(IF(INDEX(Transactions!$F$8:$F$3006,MATCH(0,COUNTIF($B$11:B2098,Transactions!$F$8:$F$3006),0))="","",INDEX(Transactions!$F$8:$F$3006,MATCH(0,COUNTIF($B$11:B2098,Transactions!$F$8:$F$3006),0))),"")</f>
        <v/>
      </c>
      <c r="C2099" s="50" t="str">
        <f>IF(B2099="","",SUMIF(Transactions!$F$8:$F$3006,B2099,Transactions!$H$8:$H$3006))</f>
        <v/>
      </c>
      <c r="D2099" s="51" t="str">
        <f>IF(B2099="","",SUMIF(Transactions!$F$8:$F$3006,B2099,Transactions!$N$8:$N$3006))</f>
        <v/>
      </c>
      <c r="E2099" s="52" t="str">
        <f>IF(B2099="","",SUMIF(Transactions!$F$8:$F$3006,B2099,Transactions!$O$8:$O$3006))</f>
        <v/>
      </c>
      <c r="F2099" s="53" t="str">
        <f>IF(B2099="","",SUMIF(Transactions!$F$8:$F$3006,B2099,Transactions!$R$8:$R$3006))</f>
        <v/>
      </c>
      <c r="G2099" s="54" t="str">
        <f>IF(B2099="","",(C2099+F2099)-(D2099+E2099+SUMIF(Transactions!$F$8:$F$3006,B2099,Transactions!$Q$8:$Q$3006)))</f>
        <v/>
      </c>
      <c r="H2099" s="55" t="str">
        <f>IF(B2099="","",IF(G2099&gt;0,"OUTSTANDING",IF(G2099=0,"SETTLED",IF(SUMIF(Transactions!$F$8:$F$3006,B2099,Transactions!$Q$8:$Q$3006)&gt;SUMIF(Transactions!$F$8:$F$3006,B2099,Transactions!$R$8:$R$3006),"OWES","OVERPAID"))))</f>
        <v/>
      </c>
      <c r="I2099" s="1"/>
    </row>
    <row r="2100" spans="1:9" ht="18" customHeight="1" x14ac:dyDescent="0.25">
      <c r="A2100" s="40">
        <v>2085</v>
      </c>
      <c r="B2100" s="41" t="str">
        <f t="array" ref="B2100">IFERROR(IF(INDEX(Transactions!$F$8:$F$3006,MATCH(0,COUNTIF($B$11:B2099,Transactions!$F$8:$F$3006),0))="","",INDEX(Transactions!$F$8:$F$3006,MATCH(0,COUNTIF($B$11:B2099,Transactions!$F$8:$F$3006),0))),"")</f>
        <v/>
      </c>
      <c r="C2100" s="42" t="str">
        <f>IF(B2100="","",SUMIF(Transactions!$F$8:$F$3006,B2100,Transactions!$H$8:$H$3006))</f>
        <v/>
      </c>
      <c r="D2100" s="43" t="str">
        <f>IF(B2100="","",SUMIF(Transactions!$F$8:$F$3006,B2100,Transactions!$N$8:$N$3006))</f>
        <v/>
      </c>
      <c r="E2100" s="44" t="str">
        <f>IF(B2100="","",SUMIF(Transactions!$F$8:$F$3006,B2100,Transactions!$O$8:$O$3006))</f>
        <v/>
      </c>
      <c r="F2100" s="45" t="str">
        <f>IF(B2100="","",SUMIF(Transactions!$F$8:$F$3006,B2100,Transactions!$R$8:$R$3006))</f>
        <v/>
      </c>
      <c r="G2100" s="46" t="str">
        <f>IF(B2100="","",(C2100+F2100)-(D2100+E2100+SUMIF(Transactions!$F$8:$F$3006,B2100,Transactions!$Q$8:$Q$3006)))</f>
        <v/>
      </c>
      <c r="H2100" s="47" t="str">
        <f>IF(B2100="","",IF(G2100&gt;0,"OUTSTANDING",IF(G2100=0,"SETTLED",IF(SUMIF(Transactions!$F$8:$F$3006,B2100,Transactions!$Q$8:$Q$3006)&gt;SUMIF(Transactions!$F$8:$F$3006,B2100,Transactions!$R$8:$R$3006),"OWES","OVERPAID"))))</f>
        <v/>
      </c>
      <c r="I2100" s="1"/>
    </row>
    <row r="2101" spans="1:9" ht="18" customHeight="1" x14ac:dyDescent="0.25">
      <c r="A2101" s="48">
        <v>2086</v>
      </c>
      <c r="B2101" s="49" t="str">
        <f t="array" ref="B2101">IFERROR(IF(INDEX(Transactions!$F$8:$F$3006,MATCH(0,COUNTIF($B$11:B2100,Transactions!$F$8:$F$3006),0))="","",INDEX(Transactions!$F$8:$F$3006,MATCH(0,COUNTIF($B$11:B2100,Transactions!$F$8:$F$3006),0))),"")</f>
        <v/>
      </c>
      <c r="C2101" s="50" t="str">
        <f>IF(B2101="","",SUMIF(Transactions!$F$8:$F$3006,B2101,Transactions!$H$8:$H$3006))</f>
        <v/>
      </c>
      <c r="D2101" s="51" t="str">
        <f>IF(B2101="","",SUMIF(Transactions!$F$8:$F$3006,B2101,Transactions!$N$8:$N$3006))</f>
        <v/>
      </c>
      <c r="E2101" s="52" t="str">
        <f>IF(B2101="","",SUMIF(Transactions!$F$8:$F$3006,B2101,Transactions!$O$8:$O$3006))</f>
        <v/>
      </c>
      <c r="F2101" s="53" t="str">
        <f>IF(B2101="","",SUMIF(Transactions!$F$8:$F$3006,B2101,Transactions!$R$8:$R$3006))</f>
        <v/>
      </c>
      <c r="G2101" s="54" t="str">
        <f>IF(B2101="","",(C2101+F2101)-(D2101+E2101+SUMIF(Transactions!$F$8:$F$3006,B2101,Transactions!$Q$8:$Q$3006)))</f>
        <v/>
      </c>
      <c r="H2101" s="55" t="str">
        <f>IF(B2101="","",IF(G2101&gt;0,"OUTSTANDING",IF(G2101=0,"SETTLED",IF(SUMIF(Transactions!$F$8:$F$3006,B2101,Transactions!$Q$8:$Q$3006)&gt;SUMIF(Transactions!$F$8:$F$3006,B2101,Transactions!$R$8:$R$3006),"OWES","OVERPAID"))))</f>
        <v/>
      </c>
      <c r="I2101" s="1"/>
    </row>
    <row r="2102" spans="1:9" ht="18" customHeight="1" x14ac:dyDescent="0.25">
      <c r="A2102" s="40">
        <v>2087</v>
      </c>
      <c r="B2102" s="41" t="str">
        <f t="array" ref="B2102">IFERROR(IF(INDEX(Transactions!$F$8:$F$3006,MATCH(0,COUNTIF($B$11:B2101,Transactions!$F$8:$F$3006),0))="","",INDEX(Transactions!$F$8:$F$3006,MATCH(0,COUNTIF($B$11:B2101,Transactions!$F$8:$F$3006),0))),"")</f>
        <v/>
      </c>
      <c r="C2102" s="42" t="str">
        <f>IF(B2102="","",SUMIF(Transactions!$F$8:$F$3006,B2102,Transactions!$H$8:$H$3006))</f>
        <v/>
      </c>
      <c r="D2102" s="43" t="str">
        <f>IF(B2102="","",SUMIF(Transactions!$F$8:$F$3006,B2102,Transactions!$N$8:$N$3006))</f>
        <v/>
      </c>
      <c r="E2102" s="44" t="str">
        <f>IF(B2102="","",SUMIF(Transactions!$F$8:$F$3006,B2102,Transactions!$O$8:$O$3006))</f>
        <v/>
      </c>
      <c r="F2102" s="45" t="str">
        <f>IF(B2102="","",SUMIF(Transactions!$F$8:$F$3006,B2102,Transactions!$R$8:$R$3006))</f>
        <v/>
      </c>
      <c r="G2102" s="46" t="str">
        <f>IF(B2102="","",(C2102+F2102)-(D2102+E2102+SUMIF(Transactions!$F$8:$F$3006,B2102,Transactions!$Q$8:$Q$3006)))</f>
        <v/>
      </c>
      <c r="H2102" s="47" t="str">
        <f>IF(B2102="","",IF(G2102&gt;0,"OUTSTANDING",IF(G2102=0,"SETTLED",IF(SUMIF(Transactions!$F$8:$F$3006,B2102,Transactions!$Q$8:$Q$3006)&gt;SUMIF(Transactions!$F$8:$F$3006,B2102,Transactions!$R$8:$R$3006),"OWES","OVERPAID"))))</f>
        <v/>
      </c>
      <c r="I2102" s="1"/>
    </row>
    <row r="2103" spans="1:9" ht="18" customHeight="1" x14ac:dyDescent="0.25">
      <c r="A2103" s="48">
        <v>2088</v>
      </c>
      <c r="B2103" s="49" t="str">
        <f t="array" ref="B2103">IFERROR(IF(INDEX(Transactions!$F$8:$F$3006,MATCH(0,COUNTIF($B$11:B2102,Transactions!$F$8:$F$3006),0))="","",INDEX(Transactions!$F$8:$F$3006,MATCH(0,COUNTIF($B$11:B2102,Transactions!$F$8:$F$3006),0))),"")</f>
        <v/>
      </c>
      <c r="C2103" s="50" t="str">
        <f>IF(B2103="","",SUMIF(Transactions!$F$8:$F$3006,B2103,Transactions!$H$8:$H$3006))</f>
        <v/>
      </c>
      <c r="D2103" s="51" t="str">
        <f>IF(B2103="","",SUMIF(Transactions!$F$8:$F$3006,B2103,Transactions!$N$8:$N$3006))</f>
        <v/>
      </c>
      <c r="E2103" s="52" t="str">
        <f>IF(B2103="","",SUMIF(Transactions!$F$8:$F$3006,B2103,Transactions!$O$8:$O$3006))</f>
        <v/>
      </c>
      <c r="F2103" s="53" t="str">
        <f>IF(B2103="","",SUMIF(Transactions!$F$8:$F$3006,B2103,Transactions!$R$8:$R$3006))</f>
        <v/>
      </c>
      <c r="G2103" s="54" t="str">
        <f>IF(B2103="","",(C2103+F2103)-(D2103+E2103+SUMIF(Transactions!$F$8:$F$3006,B2103,Transactions!$Q$8:$Q$3006)))</f>
        <v/>
      </c>
      <c r="H2103" s="55" t="str">
        <f>IF(B2103="","",IF(G2103&gt;0,"OUTSTANDING",IF(G2103=0,"SETTLED",IF(SUMIF(Transactions!$F$8:$F$3006,B2103,Transactions!$Q$8:$Q$3006)&gt;SUMIF(Transactions!$F$8:$F$3006,B2103,Transactions!$R$8:$R$3006),"OWES","OVERPAID"))))</f>
        <v/>
      </c>
      <c r="I2103" s="1"/>
    </row>
    <row r="2104" spans="1:9" ht="18" customHeight="1" x14ac:dyDescent="0.25">
      <c r="A2104" s="40">
        <v>2089</v>
      </c>
      <c r="B2104" s="41" t="str">
        <f t="array" ref="B2104">IFERROR(IF(INDEX(Transactions!$F$8:$F$3006,MATCH(0,COUNTIF($B$11:B2103,Transactions!$F$8:$F$3006),0))="","",INDEX(Transactions!$F$8:$F$3006,MATCH(0,COUNTIF($B$11:B2103,Transactions!$F$8:$F$3006),0))),"")</f>
        <v/>
      </c>
      <c r="C2104" s="42" t="str">
        <f>IF(B2104="","",SUMIF(Transactions!$F$8:$F$3006,B2104,Transactions!$H$8:$H$3006))</f>
        <v/>
      </c>
      <c r="D2104" s="43" t="str">
        <f>IF(B2104="","",SUMIF(Transactions!$F$8:$F$3006,B2104,Transactions!$N$8:$N$3006))</f>
        <v/>
      </c>
      <c r="E2104" s="44" t="str">
        <f>IF(B2104="","",SUMIF(Transactions!$F$8:$F$3006,B2104,Transactions!$O$8:$O$3006))</f>
        <v/>
      </c>
      <c r="F2104" s="45" t="str">
        <f>IF(B2104="","",SUMIF(Transactions!$F$8:$F$3006,B2104,Transactions!$R$8:$R$3006))</f>
        <v/>
      </c>
      <c r="G2104" s="46" t="str">
        <f>IF(B2104="","",(C2104+F2104)-(D2104+E2104+SUMIF(Transactions!$F$8:$F$3006,B2104,Transactions!$Q$8:$Q$3006)))</f>
        <v/>
      </c>
      <c r="H2104" s="47" t="str">
        <f>IF(B2104="","",IF(G2104&gt;0,"OUTSTANDING",IF(G2104=0,"SETTLED",IF(SUMIF(Transactions!$F$8:$F$3006,B2104,Transactions!$Q$8:$Q$3006)&gt;SUMIF(Transactions!$F$8:$F$3006,B2104,Transactions!$R$8:$R$3006),"OWES","OVERPAID"))))</f>
        <v/>
      </c>
      <c r="I2104" s="1"/>
    </row>
    <row r="2105" spans="1:9" ht="18" customHeight="1" x14ac:dyDescent="0.25">
      <c r="A2105" s="48">
        <v>2090</v>
      </c>
      <c r="B2105" s="49" t="str">
        <f t="array" ref="B2105">IFERROR(IF(INDEX(Transactions!$F$8:$F$3006,MATCH(0,COUNTIF($B$11:B2104,Transactions!$F$8:$F$3006),0))="","",INDEX(Transactions!$F$8:$F$3006,MATCH(0,COUNTIF($B$11:B2104,Transactions!$F$8:$F$3006),0))),"")</f>
        <v/>
      </c>
      <c r="C2105" s="50" t="str">
        <f>IF(B2105="","",SUMIF(Transactions!$F$8:$F$3006,B2105,Transactions!$H$8:$H$3006))</f>
        <v/>
      </c>
      <c r="D2105" s="51" t="str">
        <f>IF(B2105="","",SUMIF(Transactions!$F$8:$F$3006,B2105,Transactions!$N$8:$N$3006))</f>
        <v/>
      </c>
      <c r="E2105" s="52" t="str">
        <f>IF(B2105="","",SUMIF(Transactions!$F$8:$F$3006,B2105,Transactions!$O$8:$O$3006))</f>
        <v/>
      </c>
      <c r="F2105" s="53" t="str">
        <f>IF(B2105="","",SUMIF(Transactions!$F$8:$F$3006,B2105,Transactions!$R$8:$R$3006))</f>
        <v/>
      </c>
      <c r="G2105" s="54" t="str">
        <f>IF(B2105="","",(C2105+F2105)-(D2105+E2105+SUMIF(Transactions!$F$8:$F$3006,B2105,Transactions!$Q$8:$Q$3006)))</f>
        <v/>
      </c>
      <c r="H2105" s="55" t="str">
        <f>IF(B2105="","",IF(G2105&gt;0,"OUTSTANDING",IF(G2105=0,"SETTLED",IF(SUMIF(Transactions!$F$8:$F$3006,B2105,Transactions!$Q$8:$Q$3006)&gt;SUMIF(Transactions!$F$8:$F$3006,B2105,Transactions!$R$8:$R$3006),"OWES","OVERPAID"))))</f>
        <v/>
      </c>
      <c r="I2105" s="1"/>
    </row>
    <row r="2106" spans="1:9" ht="18" customHeight="1" x14ac:dyDescent="0.25">
      <c r="A2106" s="40">
        <v>2091</v>
      </c>
      <c r="B2106" s="41" t="str">
        <f t="array" ref="B2106">IFERROR(IF(INDEX(Transactions!$F$8:$F$3006,MATCH(0,COUNTIF($B$11:B2105,Transactions!$F$8:$F$3006),0))="","",INDEX(Transactions!$F$8:$F$3006,MATCH(0,COUNTIF($B$11:B2105,Transactions!$F$8:$F$3006),0))),"")</f>
        <v/>
      </c>
      <c r="C2106" s="42" t="str">
        <f>IF(B2106="","",SUMIF(Transactions!$F$8:$F$3006,B2106,Transactions!$H$8:$H$3006))</f>
        <v/>
      </c>
      <c r="D2106" s="43" t="str">
        <f>IF(B2106="","",SUMIF(Transactions!$F$8:$F$3006,B2106,Transactions!$N$8:$N$3006))</f>
        <v/>
      </c>
      <c r="E2106" s="44" t="str">
        <f>IF(B2106="","",SUMIF(Transactions!$F$8:$F$3006,B2106,Transactions!$O$8:$O$3006))</f>
        <v/>
      </c>
      <c r="F2106" s="45" t="str">
        <f>IF(B2106="","",SUMIF(Transactions!$F$8:$F$3006,B2106,Transactions!$R$8:$R$3006))</f>
        <v/>
      </c>
      <c r="G2106" s="46" t="str">
        <f>IF(B2106="","",(C2106+F2106)-(D2106+E2106+SUMIF(Transactions!$F$8:$F$3006,B2106,Transactions!$Q$8:$Q$3006)))</f>
        <v/>
      </c>
      <c r="H2106" s="47" t="str">
        <f>IF(B2106="","",IF(G2106&gt;0,"OUTSTANDING",IF(G2106=0,"SETTLED",IF(SUMIF(Transactions!$F$8:$F$3006,B2106,Transactions!$Q$8:$Q$3006)&gt;SUMIF(Transactions!$F$8:$F$3006,B2106,Transactions!$R$8:$R$3006),"OWES","OVERPAID"))))</f>
        <v/>
      </c>
      <c r="I2106" s="1"/>
    </row>
    <row r="2107" spans="1:9" ht="18" customHeight="1" x14ac:dyDescent="0.25">
      <c r="A2107" s="48">
        <v>2092</v>
      </c>
      <c r="B2107" s="49" t="str">
        <f t="array" ref="B2107">IFERROR(IF(INDEX(Transactions!$F$8:$F$3006,MATCH(0,COUNTIF($B$11:B2106,Transactions!$F$8:$F$3006),0))="","",INDEX(Transactions!$F$8:$F$3006,MATCH(0,COUNTIF($B$11:B2106,Transactions!$F$8:$F$3006),0))),"")</f>
        <v/>
      </c>
      <c r="C2107" s="50" t="str">
        <f>IF(B2107="","",SUMIF(Transactions!$F$8:$F$3006,B2107,Transactions!$H$8:$H$3006))</f>
        <v/>
      </c>
      <c r="D2107" s="51" t="str">
        <f>IF(B2107="","",SUMIF(Transactions!$F$8:$F$3006,B2107,Transactions!$N$8:$N$3006))</f>
        <v/>
      </c>
      <c r="E2107" s="52" t="str">
        <f>IF(B2107="","",SUMIF(Transactions!$F$8:$F$3006,B2107,Transactions!$O$8:$O$3006))</f>
        <v/>
      </c>
      <c r="F2107" s="53" t="str">
        <f>IF(B2107="","",SUMIF(Transactions!$F$8:$F$3006,B2107,Transactions!$R$8:$R$3006))</f>
        <v/>
      </c>
      <c r="G2107" s="54" t="str">
        <f>IF(B2107="","",(C2107+F2107)-(D2107+E2107+SUMIF(Transactions!$F$8:$F$3006,B2107,Transactions!$Q$8:$Q$3006)))</f>
        <v/>
      </c>
      <c r="H2107" s="55" t="str">
        <f>IF(B2107="","",IF(G2107&gt;0,"OUTSTANDING",IF(G2107=0,"SETTLED",IF(SUMIF(Transactions!$F$8:$F$3006,B2107,Transactions!$Q$8:$Q$3006)&gt;SUMIF(Transactions!$F$8:$F$3006,B2107,Transactions!$R$8:$R$3006),"OWES","OVERPAID"))))</f>
        <v/>
      </c>
      <c r="I2107" s="1"/>
    </row>
    <row r="2108" spans="1:9" ht="18" customHeight="1" x14ac:dyDescent="0.25">
      <c r="A2108" s="40">
        <v>2093</v>
      </c>
      <c r="B2108" s="41" t="str">
        <f t="array" ref="B2108">IFERROR(IF(INDEX(Transactions!$F$8:$F$3006,MATCH(0,COUNTIF($B$11:B2107,Transactions!$F$8:$F$3006),0))="","",INDEX(Transactions!$F$8:$F$3006,MATCH(0,COUNTIF($B$11:B2107,Transactions!$F$8:$F$3006),0))),"")</f>
        <v/>
      </c>
      <c r="C2108" s="42" t="str">
        <f>IF(B2108="","",SUMIF(Transactions!$F$8:$F$3006,B2108,Transactions!$H$8:$H$3006))</f>
        <v/>
      </c>
      <c r="D2108" s="43" t="str">
        <f>IF(B2108="","",SUMIF(Transactions!$F$8:$F$3006,B2108,Transactions!$N$8:$N$3006))</f>
        <v/>
      </c>
      <c r="E2108" s="44" t="str">
        <f>IF(B2108="","",SUMIF(Transactions!$F$8:$F$3006,B2108,Transactions!$O$8:$O$3006))</f>
        <v/>
      </c>
      <c r="F2108" s="45" t="str">
        <f>IF(B2108="","",SUMIF(Transactions!$F$8:$F$3006,B2108,Transactions!$R$8:$R$3006))</f>
        <v/>
      </c>
      <c r="G2108" s="46" t="str">
        <f>IF(B2108="","",(C2108+F2108)-(D2108+E2108+SUMIF(Transactions!$F$8:$F$3006,B2108,Transactions!$Q$8:$Q$3006)))</f>
        <v/>
      </c>
      <c r="H2108" s="47" t="str">
        <f>IF(B2108="","",IF(G2108&gt;0,"OUTSTANDING",IF(G2108=0,"SETTLED",IF(SUMIF(Transactions!$F$8:$F$3006,B2108,Transactions!$Q$8:$Q$3006)&gt;SUMIF(Transactions!$F$8:$F$3006,B2108,Transactions!$R$8:$R$3006),"OWES","OVERPAID"))))</f>
        <v/>
      </c>
      <c r="I2108" s="1"/>
    </row>
    <row r="2109" spans="1:9" ht="18" customHeight="1" x14ac:dyDescent="0.25">
      <c r="A2109" s="48">
        <v>2094</v>
      </c>
      <c r="B2109" s="49" t="str">
        <f t="array" ref="B2109">IFERROR(IF(INDEX(Transactions!$F$8:$F$3006,MATCH(0,COUNTIF($B$11:B2108,Transactions!$F$8:$F$3006),0))="","",INDEX(Transactions!$F$8:$F$3006,MATCH(0,COUNTIF($B$11:B2108,Transactions!$F$8:$F$3006),0))),"")</f>
        <v/>
      </c>
      <c r="C2109" s="50" t="str">
        <f>IF(B2109="","",SUMIF(Transactions!$F$8:$F$3006,B2109,Transactions!$H$8:$H$3006))</f>
        <v/>
      </c>
      <c r="D2109" s="51" t="str">
        <f>IF(B2109="","",SUMIF(Transactions!$F$8:$F$3006,B2109,Transactions!$N$8:$N$3006))</f>
        <v/>
      </c>
      <c r="E2109" s="52" t="str">
        <f>IF(B2109="","",SUMIF(Transactions!$F$8:$F$3006,B2109,Transactions!$O$8:$O$3006))</f>
        <v/>
      </c>
      <c r="F2109" s="53" t="str">
        <f>IF(B2109="","",SUMIF(Transactions!$F$8:$F$3006,B2109,Transactions!$R$8:$R$3006))</f>
        <v/>
      </c>
      <c r="G2109" s="54" t="str">
        <f>IF(B2109="","",(C2109+F2109)-(D2109+E2109+SUMIF(Transactions!$F$8:$F$3006,B2109,Transactions!$Q$8:$Q$3006)))</f>
        <v/>
      </c>
      <c r="H2109" s="55" t="str">
        <f>IF(B2109="","",IF(G2109&gt;0,"OUTSTANDING",IF(G2109=0,"SETTLED",IF(SUMIF(Transactions!$F$8:$F$3006,B2109,Transactions!$Q$8:$Q$3006)&gt;SUMIF(Transactions!$F$8:$F$3006,B2109,Transactions!$R$8:$R$3006),"OWES","OVERPAID"))))</f>
        <v/>
      </c>
      <c r="I2109" s="1"/>
    </row>
    <row r="2110" spans="1:9" ht="18" customHeight="1" x14ac:dyDescent="0.25">
      <c r="A2110" s="40">
        <v>2095</v>
      </c>
      <c r="B2110" s="41" t="str">
        <f t="array" ref="B2110">IFERROR(IF(INDEX(Transactions!$F$8:$F$3006,MATCH(0,COUNTIF($B$11:B2109,Transactions!$F$8:$F$3006),0))="","",INDEX(Transactions!$F$8:$F$3006,MATCH(0,COUNTIF($B$11:B2109,Transactions!$F$8:$F$3006),0))),"")</f>
        <v/>
      </c>
      <c r="C2110" s="42" t="str">
        <f>IF(B2110="","",SUMIF(Transactions!$F$8:$F$3006,B2110,Transactions!$H$8:$H$3006))</f>
        <v/>
      </c>
      <c r="D2110" s="43" t="str">
        <f>IF(B2110="","",SUMIF(Transactions!$F$8:$F$3006,B2110,Transactions!$N$8:$N$3006))</f>
        <v/>
      </c>
      <c r="E2110" s="44" t="str">
        <f>IF(B2110="","",SUMIF(Transactions!$F$8:$F$3006,B2110,Transactions!$O$8:$O$3006))</f>
        <v/>
      </c>
      <c r="F2110" s="45" t="str">
        <f>IF(B2110="","",SUMIF(Transactions!$F$8:$F$3006,B2110,Transactions!$R$8:$R$3006))</f>
        <v/>
      </c>
      <c r="G2110" s="46" t="str">
        <f>IF(B2110="","",(C2110+F2110)-(D2110+E2110+SUMIF(Transactions!$F$8:$F$3006,B2110,Transactions!$Q$8:$Q$3006)))</f>
        <v/>
      </c>
      <c r="H2110" s="47" t="str">
        <f>IF(B2110="","",IF(G2110&gt;0,"OUTSTANDING",IF(G2110=0,"SETTLED",IF(SUMIF(Transactions!$F$8:$F$3006,B2110,Transactions!$Q$8:$Q$3006)&gt;SUMIF(Transactions!$F$8:$F$3006,B2110,Transactions!$R$8:$R$3006),"OWES","OVERPAID"))))</f>
        <v/>
      </c>
      <c r="I2110" s="1"/>
    </row>
    <row r="2111" spans="1:9" ht="18" customHeight="1" x14ac:dyDescent="0.25">
      <c r="A2111" s="48">
        <v>2096</v>
      </c>
      <c r="B2111" s="49" t="str">
        <f t="array" ref="B2111">IFERROR(IF(INDEX(Transactions!$F$8:$F$3006,MATCH(0,COUNTIF($B$11:B2110,Transactions!$F$8:$F$3006),0))="","",INDEX(Transactions!$F$8:$F$3006,MATCH(0,COUNTIF($B$11:B2110,Transactions!$F$8:$F$3006),0))),"")</f>
        <v/>
      </c>
      <c r="C2111" s="50" t="str">
        <f>IF(B2111="","",SUMIF(Transactions!$F$8:$F$3006,B2111,Transactions!$H$8:$H$3006))</f>
        <v/>
      </c>
      <c r="D2111" s="51" t="str">
        <f>IF(B2111="","",SUMIF(Transactions!$F$8:$F$3006,B2111,Transactions!$N$8:$N$3006))</f>
        <v/>
      </c>
      <c r="E2111" s="52" t="str">
        <f>IF(B2111="","",SUMIF(Transactions!$F$8:$F$3006,B2111,Transactions!$O$8:$O$3006))</f>
        <v/>
      </c>
      <c r="F2111" s="53" t="str">
        <f>IF(B2111="","",SUMIF(Transactions!$F$8:$F$3006,B2111,Transactions!$R$8:$R$3006))</f>
        <v/>
      </c>
      <c r="G2111" s="54" t="str">
        <f>IF(B2111="","",(C2111+F2111)-(D2111+E2111+SUMIF(Transactions!$F$8:$F$3006,B2111,Transactions!$Q$8:$Q$3006)))</f>
        <v/>
      </c>
      <c r="H2111" s="55" t="str">
        <f>IF(B2111="","",IF(G2111&gt;0,"OUTSTANDING",IF(G2111=0,"SETTLED",IF(SUMIF(Transactions!$F$8:$F$3006,B2111,Transactions!$Q$8:$Q$3006)&gt;SUMIF(Transactions!$F$8:$F$3006,B2111,Transactions!$R$8:$R$3006),"OWES","OVERPAID"))))</f>
        <v/>
      </c>
      <c r="I2111" s="1"/>
    </row>
    <row r="2112" spans="1:9" ht="18" customHeight="1" x14ac:dyDescent="0.25">
      <c r="A2112" s="40">
        <v>2097</v>
      </c>
      <c r="B2112" s="41" t="str">
        <f t="array" ref="B2112">IFERROR(IF(INDEX(Transactions!$F$8:$F$3006,MATCH(0,COUNTIF($B$11:B2111,Transactions!$F$8:$F$3006),0))="","",INDEX(Transactions!$F$8:$F$3006,MATCH(0,COUNTIF($B$11:B2111,Transactions!$F$8:$F$3006),0))),"")</f>
        <v/>
      </c>
      <c r="C2112" s="42" t="str">
        <f>IF(B2112="","",SUMIF(Transactions!$F$8:$F$3006,B2112,Transactions!$H$8:$H$3006))</f>
        <v/>
      </c>
      <c r="D2112" s="43" t="str">
        <f>IF(B2112="","",SUMIF(Transactions!$F$8:$F$3006,B2112,Transactions!$N$8:$N$3006))</f>
        <v/>
      </c>
      <c r="E2112" s="44" t="str">
        <f>IF(B2112="","",SUMIF(Transactions!$F$8:$F$3006,B2112,Transactions!$O$8:$O$3006))</f>
        <v/>
      </c>
      <c r="F2112" s="45" t="str">
        <f>IF(B2112="","",SUMIF(Transactions!$F$8:$F$3006,B2112,Transactions!$R$8:$R$3006))</f>
        <v/>
      </c>
      <c r="G2112" s="46" t="str">
        <f>IF(B2112="","",(C2112+F2112)-(D2112+E2112+SUMIF(Transactions!$F$8:$F$3006,B2112,Transactions!$Q$8:$Q$3006)))</f>
        <v/>
      </c>
      <c r="H2112" s="47" t="str">
        <f>IF(B2112="","",IF(G2112&gt;0,"OUTSTANDING",IF(G2112=0,"SETTLED",IF(SUMIF(Transactions!$F$8:$F$3006,B2112,Transactions!$Q$8:$Q$3006)&gt;SUMIF(Transactions!$F$8:$F$3006,B2112,Transactions!$R$8:$R$3006),"OWES","OVERPAID"))))</f>
        <v/>
      </c>
      <c r="I2112" s="1"/>
    </row>
    <row r="2113" spans="1:9" ht="18" customHeight="1" x14ac:dyDescent="0.25">
      <c r="A2113" s="48">
        <v>2098</v>
      </c>
      <c r="B2113" s="49" t="str">
        <f t="array" ref="B2113">IFERROR(IF(INDEX(Transactions!$F$8:$F$3006,MATCH(0,COUNTIF($B$11:B2112,Transactions!$F$8:$F$3006),0))="","",INDEX(Transactions!$F$8:$F$3006,MATCH(0,COUNTIF($B$11:B2112,Transactions!$F$8:$F$3006),0))),"")</f>
        <v/>
      </c>
      <c r="C2113" s="50" t="str">
        <f>IF(B2113="","",SUMIF(Transactions!$F$8:$F$3006,B2113,Transactions!$H$8:$H$3006))</f>
        <v/>
      </c>
      <c r="D2113" s="51" t="str">
        <f>IF(B2113="","",SUMIF(Transactions!$F$8:$F$3006,B2113,Transactions!$N$8:$N$3006))</f>
        <v/>
      </c>
      <c r="E2113" s="52" t="str">
        <f>IF(B2113="","",SUMIF(Transactions!$F$8:$F$3006,B2113,Transactions!$O$8:$O$3006))</f>
        <v/>
      </c>
      <c r="F2113" s="53" t="str">
        <f>IF(B2113="","",SUMIF(Transactions!$F$8:$F$3006,B2113,Transactions!$R$8:$R$3006))</f>
        <v/>
      </c>
      <c r="G2113" s="54" t="str">
        <f>IF(B2113="","",(C2113+F2113)-(D2113+E2113+SUMIF(Transactions!$F$8:$F$3006,B2113,Transactions!$Q$8:$Q$3006)))</f>
        <v/>
      </c>
      <c r="H2113" s="55" t="str">
        <f>IF(B2113="","",IF(G2113&gt;0,"OUTSTANDING",IF(G2113=0,"SETTLED",IF(SUMIF(Transactions!$F$8:$F$3006,B2113,Transactions!$Q$8:$Q$3006)&gt;SUMIF(Transactions!$F$8:$F$3006,B2113,Transactions!$R$8:$R$3006),"OWES","OVERPAID"))))</f>
        <v/>
      </c>
      <c r="I2113" s="1"/>
    </row>
    <row r="2114" spans="1:9" ht="18" customHeight="1" x14ac:dyDescent="0.25">
      <c r="A2114" s="40">
        <v>2099</v>
      </c>
      <c r="B2114" s="41" t="str">
        <f t="array" ref="B2114">IFERROR(IF(INDEX(Transactions!$F$8:$F$3006,MATCH(0,COUNTIF($B$11:B2113,Transactions!$F$8:$F$3006),0))="","",INDEX(Transactions!$F$8:$F$3006,MATCH(0,COUNTIF($B$11:B2113,Transactions!$F$8:$F$3006),0))),"")</f>
        <v/>
      </c>
      <c r="C2114" s="42" t="str">
        <f>IF(B2114="","",SUMIF(Transactions!$F$8:$F$3006,B2114,Transactions!$H$8:$H$3006))</f>
        <v/>
      </c>
      <c r="D2114" s="43" t="str">
        <f>IF(B2114="","",SUMIF(Transactions!$F$8:$F$3006,B2114,Transactions!$N$8:$N$3006))</f>
        <v/>
      </c>
      <c r="E2114" s="44" t="str">
        <f>IF(B2114="","",SUMIF(Transactions!$F$8:$F$3006,B2114,Transactions!$O$8:$O$3006))</f>
        <v/>
      </c>
      <c r="F2114" s="45" t="str">
        <f>IF(B2114="","",SUMIF(Transactions!$F$8:$F$3006,B2114,Transactions!$R$8:$R$3006))</f>
        <v/>
      </c>
      <c r="G2114" s="46" t="str">
        <f>IF(B2114="","",(C2114+F2114)-(D2114+E2114+SUMIF(Transactions!$F$8:$F$3006,B2114,Transactions!$Q$8:$Q$3006)))</f>
        <v/>
      </c>
      <c r="H2114" s="47" t="str">
        <f>IF(B2114="","",IF(G2114&gt;0,"OUTSTANDING",IF(G2114=0,"SETTLED",IF(SUMIF(Transactions!$F$8:$F$3006,B2114,Transactions!$Q$8:$Q$3006)&gt;SUMIF(Transactions!$F$8:$F$3006,B2114,Transactions!$R$8:$R$3006),"OWES","OVERPAID"))))</f>
        <v/>
      </c>
      <c r="I2114" s="1"/>
    </row>
    <row r="2115" spans="1:9" ht="18" customHeight="1" x14ac:dyDescent="0.25">
      <c r="A2115" s="48">
        <v>2100</v>
      </c>
      <c r="B2115" s="49" t="str">
        <f t="array" ref="B2115">IFERROR(IF(INDEX(Transactions!$F$8:$F$3006,MATCH(0,COUNTIF($B$11:B2114,Transactions!$F$8:$F$3006),0))="","",INDEX(Transactions!$F$8:$F$3006,MATCH(0,COUNTIF($B$11:B2114,Transactions!$F$8:$F$3006),0))),"")</f>
        <v/>
      </c>
      <c r="C2115" s="50" t="str">
        <f>IF(B2115="","",SUMIF(Transactions!$F$8:$F$3006,B2115,Transactions!$H$8:$H$3006))</f>
        <v/>
      </c>
      <c r="D2115" s="51" t="str">
        <f>IF(B2115="","",SUMIF(Transactions!$F$8:$F$3006,B2115,Transactions!$N$8:$N$3006))</f>
        <v/>
      </c>
      <c r="E2115" s="52" t="str">
        <f>IF(B2115="","",SUMIF(Transactions!$F$8:$F$3006,B2115,Transactions!$O$8:$O$3006))</f>
        <v/>
      </c>
      <c r="F2115" s="53" t="str">
        <f>IF(B2115="","",SUMIF(Transactions!$F$8:$F$3006,B2115,Transactions!$R$8:$R$3006))</f>
        <v/>
      </c>
      <c r="G2115" s="54" t="str">
        <f>IF(B2115="","",(C2115+F2115)-(D2115+E2115+SUMIF(Transactions!$F$8:$F$3006,B2115,Transactions!$Q$8:$Q$3006)))</f>
        <v/>
      </c>
      <c r="H2115" s="55" t="str">
        <f>IF(B2115="","",IF(G2115&gt;0,"OUTSTANDING",IF(G2115=0,"SETTLED",IF(SUMIF(Transactions!$F$8:$F$3006,B2115,Transactions!$Q$8:$Q$3006)&gt;SUMIF(Transactions!$F$8:$F$3006,B2115,Transactions!$R$8:$R$3006),"OWES","OVERPAID"))))</f>
        <v/>
      </c>
      <c r="I2115" s="1"/>
    </row>
    <row r="2116" spans="1:9" ht="18" customHeight="1" x14ac:dyDescent="0.25">
      <c r="A2116" s="40">
        <v>2101</v>
      </c>
      <c r="B2116" s="41" t="str">
        <f t="array" ref="B2116">IFERROR(IF(INDEX(Transactions!$F$8:$F$3006,MATCH(0,COUNTIF($B$11:B2115,Transactions!$F$8:$F$3006),0))="","",INDEX(Transactions!$F$8:$F$3006,MATCH(0,COUNTIF($B$11:B2115,Transactions!$F$8:$F$3006),0))),"")</f>
        <v/>
      </c>
      <c r="C2116" s="42" t="str">
        <f>IF(B2116="","",SUMIF(Transactions!$F$8:$F$3006,B2116,Transactions!$H$8:$H$3006))</f>
        <v/>
      </c>
      <c r="D2116" s="43" t="str">
        <f>IF(B2116="","",SUMIF(Transactions!$F$8:$F$3006,B2116,Transactions!$N$8:$N$3006))</f>
        <v/>
      </c>
      <c r="E2116" s="44" t="str">
        <f>IF(B2116="","",SUMIF(Transactions!$F$8:$F$3006,B2116,Transactions!$O$8:$O$3006))</f>
        <v/>
      </c>
      <c r="F2116" s="45" t="str">
        <f>IF(B2116="","",SUMIF(Transactions!$F$8:$F$3006,B2116,Transactions!$R$8:$R$3006))</f>
        <v/>
      </c>
      <c r="G2116" s="46" t="str">
        <f>IF(B2116="","",(C2116+F2116)-(D2116+E2116+SUMIF(Transactions!$F$8:$F$3006,B2116,Transactions!$Q$8:$Q$3006)))</f>
        <v/>
      </c>
      <c r="H2116" s="47" t="str">
        <f>IF(B2116="","",IF(G2116&gt;0,"OUTSTANDING",IF(G2116=0,"SETTLED",IF(SUMIF(Transactions!$F$8:$F$3006,B2116,Transactions!$Q$8:$Q$3006)&gt;SUMIF(Transactions!$F$8:$F$3006,B2116,Transactions!$R$8:$R$3006),"OWES","OVERPAID"))))</f>
        <v/>
      </c>
      <c r="I2116" s="1"/>
    </row>
    <row r="2117" spans="1:9" ht="18" customHeight="1" x14ac:dyDescent="0.25">
      <c r="A2117" s="48">
        <v>2102</v>
      </c>
      <c r="B2117" s="49" t="str">
        <f t="array" ref="B2117">IFERROR(IF(INDEX(Transactions!$F$8:$F$3006,MATCH(0,COUNTIF($B$11:B2116,Transactions!$F$8:$F$3006),0))="","",INDEX(Transactions!$F$8:$F$3006,MATCH(0,COUNTIF($B$11:B2116,Transactions!$F$8:$F$3006),0))),"")</f>
        <v/>
      </c>
      <c r="C2117" s="50" t="str">
        <f>IF(B2117="","",SUMIF(Transactions!$F$8:$F$3006,B2117,Transactions!$H$8:$H$3006))</f>
        <v/>
      </c>
      <c r="D2117" s="51" t="str">
        <f>IF(B2117="","",SUMIF(Transactions!$F$8:$F$3006,B2117,Transactions!$N$8:$N$3006))</f>
        <v/>
      </c>
      <c r="E2117" s="52" t="str">
        <f>IF(B2117="","",SUMIF(Transactions!$F$8:$F$3006,B2117,Transactions!$O$8:$O$3006))</f>
        <v/>
      </c>
      <c r="F2117" s="53" t="str">
        <f>IF(B2117="","",SUMIF(Transactions!$F$8:$F$3006,B2117,Transactions!$R$8:$R$3006))</f>
        <v/>
      </c>
      <c r="G2117" s="54" t="str">
        <f>IF(B2117="","",(C2117+F2117)-(D2117+E2117+SUMIF(Transactions!$F$8:$F$3006,B2117,Transactions!$Q$8:$Q$3006)))</f>
        <v/>
      </c>
      <c r="H2117" s="55" t="str">
        <f>IF(B2117="","",IF(G2117&gt;0,"OUTSTANDING",IF(G2117=0,"SETTLED",IF(SUMIF(Transactions!$F$8:$F$3006,B2117,Transactions!$Q$8:$Q$3006)&gt;SUMIF(Transactions!$F$8:$F$3006,B2117,Transactions!$R$8:$R$3006),"OWES","OVERPAID"))))</f>
        <v/>
      </c>
      <c r="I2117" s="1"/>
    </row>
    <row r="2118" spans="1:9" ht="18" customHeight="1" x14ac:dyDescent="0.25">
      <c r="A2118" s="40">
        <v>2103</v>
      </c>
      <c r="B2118" s="41" t="str">
        <f t="array" ref="B2118">IFERROR(IF(INDEX(Transactions!$F$8:$F$3006,MATCH(0,COUNTIF($B$11:B2117,Transactions!$F$8:$F$3006),0))="","",INDEX(Transactions!$F$8:$F$3006,MATCH(0,COUNTIF($B$11:B2117,Transactions!$F$8:$F$3006),0))),"")</f>
        <v/>
      </c>
      <c r="C2118" s="42" t="str">
        <f>IF(B2118="","",SUMIF(Transactions!$F$8:$F$3006,B2118,Transactions!$H$8:$H$3006))</f>
        <v/>
      </c>
      <c r="D2118" s="43" t="str">
        <f>IF(B2118="","",SUMIF(Transactions!$F$8:$F$3006,B2118,Transactions!$N$8:$N$3006))</f>
        <v/>
      </c>
      <c r="E2118" s="44" t="str">
        <f>IF(B2118="","",SUMIF(Transactions!$F$8:$F$3006,B2118,Transactions!$O$8:$O$3006))</f>
        <v/>
      </c>
      <c r="F2118" s="45" t="str">
        <f>IF(B2118="","",SUMIF(Transactions!$F$8:$F$3006,B2118,Transactions!$R$8:$R$3006))</f>
        <v/>
      </c>
      <c r="G2118" s="46" t="str">
        <f>IF(B2118="","",(C2118+F2118)-(D2118+E2118+SUMIF(Transactions!$F$8:$F$3006,B2118,Transactions!$Q$8:$Q$3006)))</f>
        <v/>
      </c>
      <c r="H2118" s="47" t="str">
        <f>IF(B2118="","",IF(G2118&gt;0,"OUTSTANDING",IF(G2118=0,"SETTLED",IF(SUMIF(Transactions!$F$8:$F$3006,B2118,Transactions!$Q$8:$Q$3006)&gt;SUMIF(Transactions!$F$8:$F$3006,B2118,Transactions!$R$8:$R$3006),"OWES","OVERPAID"))))</f>
        <v/>
      </c>
      <c r="I2118" s="1"/>
    </row>
    <row r="2119" spans="1:9" ht="18" customHeight="1" x14ac:dyDescent="0.25">
      <c r="A2119" s="48">
        <v>2104</v>
      </c>
      <c r="B2119" s="49" t="str">
        <f t="array" ref="B2119">IFERROR(IF(INDEX(Transactions!$F$8:$F$3006,MATCH(0,COUNTIF($B$11:B2118,Transactions!$F$8:$F$3006),0))="","",INDEX(Transactions!$F$8:$F$3006,MATCH(0,COUNTIF($B$11:B2118,Transactions!$F$8:$F$3006),0))),"")</f>
        <v/>
      </c>
      <c r="C2119" s="50" t="str">
        <f>IF(B2119="","",SUMIF(Transactions!$F$8:$F$3006,B2119,Transactions!$H$8:$H$3006))</f>
        <v/>
      </c>
      <c r="D2119" s="51" t="str">
        <f>IF(B2119="","",SUMIF(Transactions!$F$8:$F$3006,B2119,Transactions!$N$8:$N$3006))</f>
        <v/>
      </c>
      <c r="E2119" s="52" t="str">
        <f>IF(B2119="","",SUMIF(Transactions!$F$8:$F$3006,B2119,Transactions!$O$8:$O$3006))</f>
        <v/>
      </c>
      <c r="F2119" s="53" t="str">
        <f>IF(B2119="","",SUMIF(Transactions!$F$8:$F$3006,B2119,Transactions!$R$8:$R$3006))</f>
        <v/>
      </c>
      <c r="G2119" s="54" t="str">
        <f>IF(B2119="","",(C2119+F2119)-(D2119+E2119+SUMIF(Transactions!$F$8:$F$3006,B2119,Transactions!$Q$8:$Q$3006)))</f>
        <v/>
      </c>
      <c r="H2119" s="55" t="str">
        <f>IF(B2119="","",IF(G2119&gt;0,"OUTSTANDING",IF(G2119=0,"SETTLED",IF(SUMIF(Transactions!$F$8:$F$3006,B2119,Transactions!$Q$8:$Q$3006)&gt;SUMIF(Transactions!$F$8:$F$3006,B2119,Transactions!$R$8:$R$3006),"OWES","OVERPAID"))))</f>
        <v/>
      </c>
      <c r="I2119" s="1"/>
    </row>
    <row r="2120" spans="1:9" ht="18" customHeight="1" x14ac:dyDescent="0.25">
      <c r="A2120" s="40">
        <v>2105</v>
      </c>
      <c r="B2120" s="41" t="str">
        <f t="array" ref="B2120">IFERROR(IF(INDEX(Transactions!$F$8:$F$3006,MATCH(0,COUNTIF($B$11:B2119,Transactions!$F$8:$F$3006),0))="","",INDEX(Transactions!$F$8:$F$3006,MATCH(0,COUNTIF($B$11:B2119,Transactions!$F$8:$F$3006),0))),"")</f>
        <v/>
      </c>
      <c r="C2120" s="42" t="str">
        <f>IF(B2120="","",SUMIF(Transactions!$F$8:$F$3006,B2120,Transactions!$H$8:$H$3006))</f>
        <v/>
      </c>
      <c r="D2120" s="43" t="str">
        <f>IF(B2120="","",SUMIF(Transactions!$F$8:$F$3006,B2120,Transactions!$N$8:$N$3006))</f>
        <v/>
      </c>
      <c r="E2120" s="44" t="str">
        <f>IF(B2120="","",SUMIF(Transactions!$F$8:$F$3006,B2120,Transactions!$O$8:$O$3006))</f>
        <v/>
      </c>
      <c r="F2120" s="45" t="str">
        <f>IF(B2120="","",SUMIF(Transactions!$F$8:$F$3006,B2120,Transactions!$R$8:$R$3006))</f>
        <v/>
      </c>
      <c r="G2120" s="46" t="str">
        <f>IF(B2120="","",(C2120+F2120)-(D2120+E2120+SUMIF(Transactions!$F$8:$F$3006,B2120,Transactions!$Q$8:$Q$3006)))</f>
        <v/>
      </c>
      <c r="H2120" s="47" t="str">
        <f>IF(B2120="","",IF(G2120&gt;0,"OUTSTANDING",IF(G2120=0,"SETTLED",IF(SUMIF(Transactions!$F$8:$F$3006,B2120,Transactions!$Q$8:$Q$3006)&gt;SUMIF(Transactions!$F$8:$F$3006,B2120,Transactions!$R$8:$R$3006),"OWES","OVERPAID"))))</f>
        <v/>
      </c>
      <c r="I2120" s="1"/>
    </row>
    <row r="2121" spans="1:9" ht="18" customHeight="1" x14ac:dyDescent="0.25">
      <c r="A2121" s="48">
        <v>2106</v>
      </c>
      <c r="B2121" s="49" t="str">
        <f t="array" ref="B2121">IFERROR(IF(INDEX(Transactions!$F$8:$F$3006,MATCH(0,COUNTIF($B$11:B2120,Transactions!$F$8:$F$3006),0))="","",INDEX(Transactions!$F$8:$F$3006,MATCH(0,COUNTIF($B$11:B2120,Transactions!$F$8:$F$3006),0))),"")</f>
        <v/>
      </c>
      <c r="C2121" s="50" t="str">
        <f>IF(B2121="","",SUMIF(Transactions!$F$8:$F$3006,B2121,Transactions!$H$8:$H$3006))</f>
        <v/>
      </c>
      <c r="D2121" s="51" t="str">
        <f>IF(B2121="","",SUMIF(Transactions!$F$8:$F$3006,B2121,Transactions!$N$8:$N$3006))</f>
        <v/>
      </c>
      <c r="E2121" s="52" t="str">
        <f>IF(B2121="","",SUMIF(Transactions!$F$8:$F$3006,B2121,Transactions!$O$8:$O$3006))</f>
        <v/>
      </c>
      <c r="F2121" s="53" t="str">
        <f>IF(B2121="","",SUMIF(Transactions!$F$8:$F$3006,B2121,Transactions!$R$8:$R$3006))</f>
        <v/>
      </c>
      <c r="G2121" s="54" t="str">
        <f>IF(B2121="","",(C2121+F2121)-(D2121+E2121+SUMIF(Transactions!$F$8:$F$3006,B2121,Transactions!$Q$8:$Q$3006)))</f>
        <v/>
      </c>
      <c r="H2121" s="55" t="str">
        <f>IF(B2121="","",IF(G2121&gt;0,"OUTSTANDING",IF(G2121=0,"SETTLED",IF(SUMIF(Transactions!$F$8:$F$3006,B2121,Transactions!$Q$8:$Q$3006)&gt;SUMIF(Transactions!$F$8:$F$3006,B2121,Transactions!$R$8:$R$3006),"OWES","OVERPAID"))))</f>
        <v/>
      </c>
      <c r="I2121" s="1"/>
    </row>
    <row r="2122" spans="1:9" ht="18" customHeight="1" x14ac:dyDescent="0.25">
      <c r="A2122" s="40">
        <v>2107</v>
      </c>
      <c r="B2122" s="41" t="str">
        <f t="array" ref="B2122">IFERROR(IF(INDEX(Transactions!$F$8:$F$3006,MATCH(0,COUNTIF($B$11:B2121,Transactions!$F$8:$F$3006),0))="","",INDEX(Transactions!$F$8:$F$3006,MATCH(0,COUNTIF($B$11:B2121,Transactions!$F$8:$F$3006),0))),"")</f>
        <v/>
      </c>
      <c r="C2122" s="42" t="str">
        <f>IF(B2122="","",SUMIF(Transactions!$F$8:$F$3006,B2122,Transactions!$H$8:$H$3006))</f>
        <v/>
      </c>
      <c r="D2122" s="43" t="str">
        <f>IF(B2122="","",SUMIF(Transactions!$F$8:$F$3006,B2122,Transactions!$N$8:$N$3006))</f>
        <v/>
      </c>
      <c r="E2122" s="44" t="str">
        <f>IF(B2122="","",SUMIF(Transactions!$F$8:$F$3006,B2122,Transactions!$O$8:$O$3006))</f>
        <v/>
      </c>
      <c r="F2122" s="45" t="str">
        <f>IF(B2122="","",SUMIF(Transactions!$F$8:$F$3006,B2122,Transactions!$R$8:$R$3006))</f>
        <v/>
      </c>
      <c r="G2122" s="46" t="str">
        <f>IF(B2122="","",(C2122+F2122)-(D2122+E2122+SUMIF(Transactions!$F$8:$F$3006,B2122,Transactions!$Q$8:$Q$3006)))</f>
        <v/>
      </c>
      <c r="H2122" s="47" t="str">
        <f>IF(B2122="","",IF(G2122&gt;0,"OUTSTANDING",IF(G2122=0,"SETTLED",IF(SUMIF(Transactions!$F$8:$F$3006,B2122,Transactions!$Q$8:$Q$3006)&gt;SUMIF(Transactions!$F$8:$F$3006,B2122,Transactions!$R$8:$R$3006),"OWES","OVERPAID"))))</f>
        <v/>
      </c>
      <c r="I2122" s="1"/>
    </row>
    <row r="2123" spans="1:9" ht="18" customHeight="1" x14ac:dyDescent="0.25">
      <c r="A2123" s="48">
        <v>2108</v>
      </c>
      <c r="B2123" s="49" t="str">
        <f t="array" ref="B2123">IFERROR(IF(INDEX(Transactions!$F$8:$F$3006,MATCH(0,COUNTIF($B$11:B2122,Transactions!$F$8:$F$3006),0))="","",INDEX(Transactions!$F$8:$F$3006,MATCH(0,COUNTIF($B$11:B2122,Transactions!$F$8:$F$3006),0))),"")</f>
        <v/>
      </c>
      <c r="C2123" s="50" t="str">
        <f>IF(B2123="","",SUMIF(Transactions!$F$8:$F$3006,B2123,Transactions!$H$8:$H$3006))</f>
        <v/>
      </c>
      <c r="D2123" s="51" t="str">
        <f>IF(B2123="","",SUMIF(Transactions!$F$8:$F$3006,B2123,Transactions!$N$8:$N$3006))</f>
        <v/>
      </c>
      <c r="E2123" s="52" t="str">
        <f>IF(B2123="","",SUMIF(Transactions!$F$8:$F$3006,B2123,Transactions!$O$8:$O$3006))</f>
        <v/>
      </c>
      <c r="F2123" s="53" t="str">
        <f>IF(B2123="","",SUMIF(Transactions!$F$8:$F$3006,B2123,Transactions!$R$8:$R$3006))</f>
        <v/>
      </c>
      <c r="G2123" s="54" t="str">
        <f>IF(B2123="","",(C2123+F2123)-(D2123+E2123+SUMIF(Transactions!$F$8:$F$3006,B2123,Transactions!$Q$8:$Q$3006)))</f>
        <v/>
      </c>
      <c r="H2123" s="55" t="str">
        <f>IF(B2123="","",IF(G2123&gt;0,"OUTSTANDING",IF(G2123=0,"SETTLED",IF(SUMIF(Transactions!$F$8:$F$3006,B2123,Transactions!$Q$8:$Q$3006)&gt;SUMIF(Transactions!$F$8:$F$3006,B2123,Transactions!$R$8:$R$3006),"OWES","OVERPAID"))))</f>
        <v/>
      </c>
      <c r="I2123" s="1"/>
    </row>
    <row r="2124" spans="1:9" ht="18" customHeight="1" x14ac:dyDescent="0.25">
      <c r="A2124" s="40">
        <v>2109</v>
      </c>
      <c r="B2124" s="41" t="str">
        <f t="array" ref="B2124">IFERROR(IF(INDEX(Transactions!$F$8:$F$3006,MATCH(0,COUNTIF($B$11:B2123,Transactions!$F$8:$F$3006),0))="","",INDEX(Transactions!$F$8:$F$3006,MATCH(0,COUNTIF($B$11:B2123,Transactions!$F$8:$F$3006),0))),"")</f>
        <v/>
      </c>
      <c r="C2124" s="42" t="str">
        <f>IF(B2124="","",SUMIF(Transactions!$F$8:$F$3006,B2124,Transactions!$H$8:$H$3006))</f>
        <v/>
      </c>
      <c r="D2124" s="43" t="str">
        <f>IF(B2124="","",SUMIF(Transactions!$F$8:$F$3006,B2124,Transactions!$N$8:$N$3006))</f>
        <v/>
      </c>
      <c r="E2124" s="44" t="str">
        <f>IF(B2124="","",SUMIF(Transactions!$F$8:$F$3006,B2124,Transactions!$O$8:$O$3006))</f>
        <v/>
      </c>
      <c r="F2124" s="45" t="str">
        <f>IF(B2124="","",SUMIF(Transactions!$F$8:$F$3006,B2124,Transactions!$R$8:$R$3006))</f>
        <v/>
      </c>
      <c r="G2124" s="46" t="str">
        <f>IF(B2124="","",(C2124+F2124)-(D2124+E2124+SUMIF(Transactions!$F$8:$F$3006,B2124,Transactions!$Q$8:$Q$3006)))</f>
        <v/>
      </c>
      <c r="H2124" s="47" t="str">
        <f>IF(B2124="","",IF(G2124&gt;0,"OUTSTANDING",IF(G2124=0,"SETTLED",IF(SUMIF(Transactions!$F$8:$F$3006,B2124,Transactions!$Q$8:$Q$3006)&gt;SUMIF(Transactions!$F$8:$F$3006,B2124,Transactions!$R$8:$R$3006),"OWES","OVERPAID"))))</f>
        <v/>
      </c>
      <c r="I2124" s="1"/>
    </row>
    <row r="2125" spans="1:9" ht="18" customHeight="1" x14ac:dyDescent="0.25">
      <c r="A2125" s="48">
        <v>2110</v>
      </c>
      <c r="B2125" s="49" t="str">
        <f t="array" ref="B2125">IFERROR(IF(INDEX(Transactions!$F$8:$F$3006,MATCH(0,COUNTIF($B$11:B2124,Transactions!$F$8:$F$3006),0))="","",INDEX(Transactions!$F$8:$F$3006,MATCH(0,COUNTIF($B$11:B2124,Transactions!$F$8:$F$3006),0))),"")</f>
        <v/>
      </c>
      <c r="C2125" s="50" t="str">
        <f>IF(B2125="","",SUMIF(Transactions!$F$8:$F$3006,B2125,Transactions!$H$8:$H$3006))</f>
        <v/>
      </c>
      <c r="D2125" s="51" t="str">
        <f>IF(B2125="","",SUMIF(Transactions!$F$8:$F$3006,B2125,Transactions!$N$8:$N$3006))</f>
        <v/>
      </c>
      <c r="E2125" s="52" t="str">
        <f>IF(B2125="","",SUMIF(Transactions!$F$8:$F$3006,B2125,Transactions!$O$8:$O$3006))</f>
        <v/>
      </c>
      <c r="F2125" s="53" t="str">
        <f>IF(B2125="","",SUMIF(Transactions!$F$8:$F$3006,B2125,Transactions!$R$8:$R$3006))</f>
        <v/>
      </c>
      <c r="G2125" s="54" t="str">
        <f>IF(B2125="","",(C2125+F2125)-(D2125+E2125+SUMIF(Transactions!$F$8:$F$3006,B2125,Transactions!$Q$8:$Q$3006)))</f>
        <v/>
      </c>
      <c r="H2125" s="55" t="str">
        <f>IF(B2125="","",IF(G2125&gt;0,"OUTSTANDING",IF(G2125=0,"SETTLED",IF(SUMIF(Transactions!$F$8:$F$3006,B2125,Transactions!$Q$8:$Q$3006)&gt;SUMIF(Transactions!$F$8:$F$3006,B2125,Transactions!$R$8:$R$3006),"OWES","OVERPAID"))))</f>
        <v/>
      </c>
      <c r="I2125" s="1"/>
    </row>
    <row r="2126" spans="1:9" ht="18" customHeight="1" x14ac:dyDescent="0.25">
      <c r="A2126" s="40">
        <v>2111</v>
      </c>
      <c r="B2126" s="41" t="str">
        <f t="array" ref="B2126">IFERROR(IF(INDEX(Transactions!$F$8:$F$3006,MATCH(0,COUNTIF($B$11:B2125,Transactions!$F$8:$F$3006),0))="","",INDEX(Transactions!$F$8:$F$3006,MATCH(0,COUNTIF($B$11:B2125,Transactions!$F$8:$F$3006),0))),"")</f>
        <v/>
      </c>
      <c r="C2126" s="42" t="str">
        <f>IF(B2126="","",SUMIF(Transactions!$F$8:$F$3006,B2126,Transactions!$H$8:$H$3006))</f>
        <v/>
      </c>
      <c r="D2126" s="43" t="str">
        <f>IF(B2126="","",SUMIF(Transactions!$F$8:$F$3006,B2126,Transactions!$N$8:$N$3006))</f>
        <v/>
      </c>
      <c r="E2126" s="44" t="str">
        <f>IF(B2126="","",SUMIF(Transactions!$F$8:$F$3006,B2126,Transactions!$O$8:$O$3006))</f>
        <v/>
      </c>
      <c r="F2126" s="45" t="str">
        <f>IF(B2126="","",SUMIF(Transactions!$F$8:$F$3006,B2126,Transactions!$R$8:$R$3006))</f>
        <v/>
      </c>
      <c r="G2126" s="46" t="str">
        <f>IF(B2126="","",(C2126+F2126)-(D2126+E2126+SUMIF(Transactions!$F$8:$F$3006,B2126,Transactions!$Q$8:$Q$3006)))</f>
        <v/>
      </c>
      <c r="H2126" s="47" t="str">
        <f>IF(B2126="","",IF(G2126&gt;0,"OUTSTANDING",IF(G2126=0,"SETTLED",IF(SUMIF(Transactions!$F$8:$F$3006,B2126,Transactions!$Q$8:$Q$3006)&gt;SUMIF(Transactions!$F$8:$F$3006,B2126,Transactions!$R$8:$R$3006),"OWES","OVERPAID"))))</f>
        <v/>
      </c>
      <c r="I2126" s="1"/>
    </row>
    <row r="2127" spans="1:9" ht="18" customHeight="1" x14ac:dyDescent="0.25">
      <c r="A2127" s="48">
        <v>2112</v>
      </c>
      <c r="B2127" s="49" t="str">
        <f t="array" ref="B2127">IFERROR(IF(INDEX(Transactions!$F$8:$F$3006,MATCH(0,COUNTIF($B$11:B2126,Transactions!$F$8:$F$3006),0))="","",INDEX(Transactions!$F$8:$F$3006,MATCH(0,COUNTIF($B$11:B2126,Transactions!$F$8:$F$3006),0))),"")</f>
        <v/>
      </c>
      <c r="C2127" s="50" t="str">
        <f>IF(B2127="","",SUMIF(Transactions!$F$8:$F$3006,B2127,Transactions!$H$8:$H$3006))</f>
        <v/>
      </c>
      <c r="D2127" s="51" t="str">
        <f>IF(B2127="","",SUMIF(Transactions!$F$8:$F$3006,B2127,Transactions!$N$8:$N$3006))</f>
        <v/>
      </c>
      <c r="E2127" s="52" t="str">
        <f>IF(B2127="","",SUMIF(Transactions!$F$8:$F$3006,B2127,Transactions!$O$8:$O$3006))</f>
        <v/>
      </c>
      <c r="F2127" s="53" t="str">
        <f>IF(B2127="","",SUMIF(Transactions!$F$8:$F$3006,B2127,Transactions!$R$8:$R$3006))</f>
        <v/>
      </c>
      <c r="G2127" s="54" t="str">
        <f>IF(B2127="","",(C2127+F2127)-(D2127+E2127+SUMIF(Transactions!$F$8:$F$3006,B2127,Transactions!$Q$8:$Q$3006)))</f>
        <v/>
      </c>
      <c r="H2127" s="55" t="str">
        <f>IF(B2127="","",IF(G2127&gt;0,"OUTSTANDING",IF(G2127=0,"SETTLED",IF(SUMIF(Transactions!$F$8:$F$3006,B2127,Transactions!$Q$8:$Q$3006)&gt;SUMIF(Transactions!$F$8:$F$3006,B2127,Transactions!$R$8:$R$3006),"OWES","OVERPAID"))))</f>
        <v/>
      </c>
      <c r="I2127" s="1"/>
    </row>
    <row r="2128" spans="1:9" ht="18" customHeight="1" x14ac:dyDescent="0.25">
      <c r="A2128" s="40">
        <v>2113</v>
      </c>
      <c r="B2128" s="41" t="str">
        <f t="array" ref="B2128">IFERROR(IF(INDEX(Transactions!$F$8:$F$3006,MATCH(0,COUNTIF($B$11:B2127,Transactions!$F$8:$F$3006),0))="","",INDEX(Transactions!$F$8:$F$3006,MATCH(0,COUNTIF($B$11:B2127,Transactions!$F$8:$F$3006),0))),"")</f>
        <v/>
      </c>
      <c r="C2128" s="42" t="str">
        <f>IF(B2128="","",SUMIF(Transactions!$F$8:$F$3006,B2128,Transactions!$H$8:$H$3006))</f>
        <v/>
      </c>
      <c r="D2128" s="43" t="str">
        <f>IF(B2128="","",SUMIF(Transactions!$F$8:$F$3006,B2128,Transactions!$N$8:$N$3006))</f>
        <v/>
      </c>
      <c r="E2128" s="44" t="str">
        <f>IF(B2128="","",SUMIF(Transactions!$F$8:$F$3006,B2128,Transactions!$O$8:$O$3006))</f>
        <v/>
      </c>
      <c r="F2128" s="45" t="str">
        <f>IF(B2128="","",SUMIF(Transactions!$F$8:$F$3006,B2128,Transactions!$R$8:$R$3006))</f>
        <v/>
      </c>
      <c r="G2128" s="46" t="str">
        <f>IF(B2128="","",(C2128+F2128)-(D2128+E2128+SUMIF(Transactions!$F$8:$F$3006,B2128,Transactions!$Q$8:$Q$3006)))</f>
        <v/>
      </c>
      <c r="H2128" s="47" t="str">
        <f>IF(B2128="","",IF(G2128&gt;0,"OUTSTANDING",IF(G2128=0,"SETTLED",IF(SUMIF(Transactions!$F$8:$F$3006,B2128,Transactions!$Q$8:$Q$3006)&gt;SUMIF(Transactions!$F$8:$F$3006,B2128,Transactions!$R$8:$R$3006),"OWES","OVERPAID"))))</f>
        <v/>
      </c>
      <c r="I2128" s="1"/>
    </row>
    <row r="2129" spans="1:9" ht="18" customHeight="1" x14ac:dyDescent="0.25">
      <c r="A2129" s="48">
        <v>2114</v>
      </c>
      <c r="B2129" s="49" t="str">
        <f t="array" ref="B2129">IFERROR(IF(INDEX(Transactions!$F$8:$F$3006,MATCH(0,COUNTIF($B$11:B2128,Transactions!$F$8:$F$3006),0))="","",INDEX(Transactions!$F$8:$F$3006,MATCH(0,COUNTIF($B$11:B2128,Transactions!$F$8:$F$3006),0))),"")</f>
        <v/>
      </c>
      <c r="C2129" s="50" t="str">
        <f>IF(B2129="","",SUMIF(Transactions!$F$8:$F$3006,B2129,Transactions!$H$8:$H$3006))</f>
        <v/>
      </c>
      <c r="D2129" s="51" t="str">
        <f>IF(B2129="","",SUMIF(Transactions!$F$8:$F$3006,B2129,Transactions!$N$8:$N$3006))</f>
        <v/>
      </c>
      <c r="E2129" s="52" t="str">
        <f>IF(B2129="","",SUMIF(Transactions!$F$8:$F$3006,B2129,Transactions!$O$8:$O$3006))</f>
        <v/>
      </c>
      <c r="F2129" s="53" t="str">
        <f>IF(B2129="","",SUMIF(Transactions!$F$8:$F$3006,B2129,Transactions!$R$8:$R$3006))</f>
        <v/>
      </c>
      <c r="G2129" s="54" t="str">
        <f>IF(B2129="","",(C2129+F2129)-(D2129+E2129+SUMIF(Transactions!$F$8:$F$3006,B2129,Transactions!$Q$8:$Q$3006)))</f>
        <v/>
      </c>
      <c r="H2129" s="55" t="str">
        <f>IF(B2129="","",IF(G2129&gt;0,"OUTSTANDING",IF(G2129=0,"SETTLED",IF(SUMIF(Transactions!$F$8:$F$3006,B2129,Transactions!$Q$8:$Q$3006)&gt;SUMIF(Transactions!$F$8:$F$3006,B2129,Transactions!$R$8:$R$3006),"OWES","OVERPAID"))))</f>
        <v/>
      </c>
      <c r="I2129" s="1"/>
    </row>
    <row r="2130" spans="1:9" ht="18" customHeight="1" x14ac:dyDescent="0.25">
      <c r="A2130" s="40">
        <v>2115</v>
      </c>
      <c r="B2130" s="41" t="str">
        <f t="array" ref="B2130">IFERROR(IF(INDEX(Transactions!$F$8:$F$3006,MATCH(0,COUNTIF($B$11:B2129,Transactions!$F$8:$F$3006),0))="","",INDEX(Transactions!$F$8:$F$3006,MATCH(0,COUNTIF($B$11:B2129,Transactions!$F$8:$F$3006),0))),"")</f>
        <v/>
      </c>
      <c r="C2130" s="42" t="str">
        <f>IF(B2130="","",SUMIF(Transactions!$F$8:$F$3006,B2130,Transactions!$H$8:$H$3006))</f>
        <v/>
      </c>
      <c r="D2130" s="43" t="str">
        <f>IF(B2130="","",SUMIF(Transactions!$F$8:$F$3006,B2130,Transactions!$N$8:$N$3006))</f>
        <v/>
      </c>
      <c r="E2130" s="44" t="str">
        <f>IF(B2130="","",SUMIF(Transactions!$F$8:$F$3006,B2130,Transactions!$O$8:$O$3006))</f>
        <v/>
      </c>
      <c r="F2130" s="45" t="str">
        <f>IF(B2130="","",SUMIF(Transactions!$F$8:$F$3006,B2130,Transactions!$R$8:$R$3006))</f>
        <v/>
      </c>
      <c r="G2130" s="46" t="str">
        <f>IF(B2130="","",(C2130+F2130)-(D2130+E2130+SUMIF(Transactions!$F$8:$F$3006,B2130,Transactions!$Q$8:$Q$3006)))</f>
        <v/>
      </c>
      <c r="H2130" s="47" t="str">
        <f>IF(B2130="","",IF(G2130&gt;0,"OUTSTANDING",IF(G2130=0,"SETTLED",IF(SUMIF(Transactions!$F$8:$F$3006,B2130,Transactions!$Q$8:$Q$3006)&gt;SUMIF(Transactions!$F$8:$F$3006,B2130,Transactions!$R$8:$R$3006),"OWES","OVERPAID"))))</f>
        <v/>
      </c>
      <c r="I2130" s="1"/>
    </row>
    <row r="2131" spans="1:9" ht="18" customHeight="1" x14ac:dyDescent="0.25">
      <c r="A2131" s="48">
        <v>2116</v>
      </c>
      <c r="B2131" s="49" t="str">
        <f t="array" ref="B2131">IFERROR(IF(INDEX(Transactions!$F$8:$F$3006,MATCH(0,COUNTIF($B$11:B2130,Transactions!$F$8:$F$3006),0))="","",INDEX(Transactions!$F$8:$F$3006,MATCH(0,COUNTIF($B$11:B2130,Transactions!$F$8:$F$3006),0))),"")</f>
        <v/>
      </c>
      <c r="C2131" s="50" t="str">
        <f>IF(B2131="","",SUMIF(Transactions!$F$8:$F$3006,B2131,Transactions!$H$8:$H$3006))</f>
        <v/>
      </c>
      <c r="D2131" s="51" t="str">
        <f>IF(B2131="","",SUMIF(Transactions!$F$8:$F$3006,B2131,Transactions!$N$8:$N$3006))</f>
        <v/>
      </c>
      <c r="E2131" s="52" t="str">
        <f>IF(B2131="","",SUMIF(Transactions!$F$8:$F$3006,B2131,Transactions!$O$8:$O$3006))</f>
        <v/>
      </c>
      <c r="F2131" s="53" t="str">
        <f>IF(B2131="","",SUMIF(Transactions!$F$8:$F$3006,B2131,Transactions!$R$8:$R$3006))</f>
        <v/>
      </c>
      <c r="G2131" s="54" t="str">
        <f>IF(B2131="","",(C2131+F2131)-(D2131+E2131+SUMIF(Transactions!$F$8:$F$3006,B2131,Transactions!$Q$8:$Q$3006)))</f>
        <v/>
      </c>
      <c r="H2131" s="55" t="str">
        <f>IF(B2131="","",IF(G2131&gt;0,"OUTSTANDING",IF(G2131=0,"SETTLED",IF(SUMIF(Transactions!$F$8:$F$3006,B2131,Transactions!$Q$8:$Q$3006)&gt;SUMIF(Transactions!$F$8:$F$3006,B2131,Transactions!$R$8:$R$3006),"OWES","OVERPAID"))))</f>
        <v/>
      </c>
      <c r="I2131" s="1"/>
    </row>
    <row r="2132" spans="1:9" ht="18" customHeight="1" x14ac:dyDescent="0.25">
      <c r="A2132" s="40">
        <v>2117</v>
      </c>
      <c r="B2132" s="41" t="str">
        <f t="array" ref="B2132">IFERROR(IF(INDEX(Transactions!$F$8:$F$3006,MATCH(0,COUNTIF($B$11:B2131,Transactions!$F$8:$F$3006),0))="","",INDEX(Transactions!$F$8:$F$3006,MATCH(0,COUNTIF($B$11:B2131,Transactions!$F$8:$F$3006),0))),"")</f>
        <v/>
      </c>
      <c r="C2132" s="42" t="str">
        <f>IF(B2132="","",SUMIF(Transactions!$F$8:$F$3006,B2132,Transactions!$H$8:$H$3006))</f>
        <v/>
      </c>
      <c r="D2132" s="43" t="str">
        <f>IF(B2132="","",SUMIF(Transactions!$F$8:$F$3006,B2132,Transactions!$N$8:$N$3006))</f>
        <v/>
      </c>
      <c r="E2132" s="44" t="str">
        <f>IF(B2132="","",SUMIF(Transactions!$F$8:$F$3006,B2132,Transactions!$O$8:$O$3006))</f>
        <v/>
      </c>
      <c r="F2132" s="45" t="str">
        <f>IF(B2132="","",SUMIF(Transactions!$F$8:$F$3006,B2132,Transactions!$R$8:$R$3006))</f>
        <v/>
      </c>
      <c r="G2132" s="46" t="str">
        <f>IF(B2132="","",(C2132+F2132)-(D2132+E2132+SUMIF(Transactions!$F$8:$F$3006,B2132,Transactions!$Q$8:$Q$3006)))</f>
        <v/>
      </c>
      <c r="H2132" s="47" t="str">
        <f>IF(B2132="","",IF(G2132&gt;0,"OUTSTANDING",IF(G2132=0,"SETTLED",IF(SUMIF(Transactions!$F$8:$F$3006,B2132,Transactions!$Q$8:$Q$3006)&gt;SUMIF(Transactions!$F$8:$F$3006,B2132,Transactions!$R$8:$R$3006),"OWES","OVERPAID"))))</f>
        <v/>
      </c>
      <c r="I2132" s="1"/>
    </row>
    <row r="2133" spans="1:9" ht="18" customHeight="1" x14ac:dyDescent="0.25">
      <c r="A2133" s="48">
        <v>2118</v>
      </c>
      <c r="B2133" s="49" t="str">
        <f t="array" ref="B2133">IFERROR(IF(INDEX(Transactions!$F$8:$F$3006,MATCH(0,COUNTIF($B$11:B2132,Transactions!$F$8:$F$3006),0))="","",INDEX(Transactions!$F$8:$F$3006,MATCH(0,COUNTIF($B$11:B2132,Transactions!$F$8:$F$3006),0))),"")</f>
        <v/>
      </c>
      <c r="C2133" s="50" t="str">
        <f>IF(B2133="","",SUMIF(Transactions!$F$8:$F$3006,B2133,Transactions!$H$8:$H$3006))</f>
        <v/>
      </c>
      <c r="D2133" s="51" t="str">
        <f>IF(B2133="","",SUMIF(Transactions!$F$8:$F$3006,B2133,Transactions!$N$8:$N$3006))</f>
        <v/>
      </c>
      <c r="E2133" s="52" t="str">
        <f>IF(B2133="","",SUMIF(Transactions!$F$8:$F$3006,B2133,Transactions!$O$8:$O$3006))</f>
        <v/>
      </c>
      <c r="F2133" s="53" t="str">
        <f>IF(B2133="","",SUMIF(Transactions!$F$8:$F$3006,B2133,Transactions!$R$8:$R$3006))</f>
        <v/>
      </c>
      <c r="G2133" s="54" t="str">
        <f>IF(B2133="","",(C2133+F2133)-(D2133+E2133+SUMIF(Transactions!$F$8:$F$3006,B2133,Transactions!$Q$8:$Q$3006)))</f>
        <v/>
      </c>
      <c r="H2133" s="55" t="str">
        <f>IF(B2133="","",IF(G2133&gt;0,"OUTSTANDING",IF(G2133=0,"SETTLED",IF(SUMIF(Transactions!$F$8:$F$3006,B2133,Transactions!$Q$8:$Q$3006)&gt;SUMIF(Transactions!$F$8:$F$3006,B2133,Transactions!$R$8:$R$3006),"OWES","OVERPAID"))))</f>
        <v/>
      </c>
      <c r="I2133" s="1"/>
    </row>
    <row r="2134" spans="1:9" ht="18" customHeight="1" x14ac:dyDescent="0.25">
      <c r="A2134" s="40">
        <v>2119</v>
      </c>
      <c r="B2134" s="41" t="str">
        <f t="array" ref="B2134">IFERROR(IF(INDEX(Transactions!$F$8:$F$3006,MATCH(0,COUNTIF($B$11:B2133,Transactions!$F$8:$F$3006),0))="","",INDEX(Transactions!$F$8:$F$3006,MATCH(0,COUNTIF($B$11:B2133,Transactions!$F$8:$F$3006),0))),"")</f>
        <v/>
      </c>
      <c r="C2134" s="42" t="str">
        <f>IF(B2134="","",SUMIF(Transactions!$F$8:$F$3006,B2134,Transactions!$H$8:$H$3006))</f>
        <v/>
      </c>
      <c r="D2134" s="43" t="str">
        <f>IF(B2134="","",SUMIF(Transactions!$F$8:$F$3006,B2134,Transactions!$N$8:$N$3006))</f>
        <v/>
      </c>
      <c r="E2134" s="44" t="str">
        <f>IF(B2134="","",SUMIF(Transactions!$F$8:$F$3006,B2134,Transactions!$O$8:$O$3006))</f>
        <v/>
      </c>
      <c r="F2134" s="45" t="str">
        <f>IF(B2134="","",SUMIF(Transactions!$F$8:$F$3006,B2134,Transactions!$R$8:$R$3006))</f>
        <v/>
      </c>
      <c r="G2134" s="46" t="str">
        <f>IF(B2134="","",(C2134+F2134)-(D2134+E2134+SUMIF(Transactions!$F$8:$F$3006,B2134,Transactions!$Q$8:$Q$3006)))</f>
        <v/>
      </c>
      <c r="H2134" s="47" t="str">
        <f>IF(B2134="","",IF(G2134&gt;0,"OUTSTANDING",IF(G2134=0,"SETTLED",IF(SUMIF(Transactions!$F$8:$F$3006,B2134,Transactions!$Q$8:$Q$3006)&gt;SUMIF(Transactions!$F$8:$F$3006,B2134,Transactions!$R$8:$R$3006),"OWES","OVERPAID"))))</f>
        <v/>
      </c>
      <c r="I2134" s="1"/>
    </row>
    <row r="2135" spans="1:9" ht="18" customHeight="1" x14ac:dyDescent="0.25">
      <c r="A2135" s="48">
        <v>2120</v>
      </c>
      <c r="B2135" s="49" t="str">
        <f t="array" ref="B2135">IFERROR(IF(INDEX(Transactions!$F$8:$F$3006,MATCH(0,COUNTIF($B$11:B2134,Transactions!$F$8:$F$3006),0))="","",INDEX(Transactions!$F$8:$F$3006,MATCH(0,COUNTIF($B$11:B2134,Transactions!$F$8:$F$3006),0))),"")</f>
        <v/>
      </c>
      <c r="C2135" s="50" t="str">
        <f>IF(B2135="","",SUMIF(Transactions!$F$8:$F$3006,B2135,Transactions!$H$8:$H$3006))</f>
        <v/>
      </c>
      <c r="D2135" s="51" t="str">
        <f>IF(B2135="","",SUMIF(Transactions!$F$8:$F$3006,B2135,Transactions!$N$8:$N$3006))</f>
        <v/>
      </c>
      <c r="E2135" s="52" t="str">
        <f>IF(B2135="","",SUMIF(Transactions!$F$8:$F$3006,B2135,Transactions!$O$8:$O$3006))</f>
        <v/>
      </c>
      <c r="F2135" s="53" t="str">
        <f>IF(B2135="","",SUMIF(Transactions!$F$8:$F$3006,B2135,Transactions!$R$8:$R$3006))</f>
        <v/>
      </c>
      <c r="G2135" s="54" t="str">
        <f>IF(B2135="","",(C2135+F2135)-(D2135+E2135+SUMIF(Transactions!$F$8:$F$3006,B2135,Transactions!$Q$8:$Q$3006)))</f>
        <v/>
      </c>
      <c r="H2135" s="55" t="str">
        <f>IF(B2135="","",IF(G2135&gt;0,"OUTSTANDING",IF(G2135=0,"SETTLED",IF(SUMIF(Transactions!$F$8:$F$3006,B2135,Transactions!$Q$8:$Q$3006)&gt;SUMIF(Transactions!$F$8:$F$3006,B2135,Transactions!$R$8:$R$3006),"OWES","OVERPAID"))))</f>
        <v/>
      </c>
      <c r="I2135" s="1"/>
    </row>
    <row r="2136" spans="1:9" ht="18" customHeight="1" x14ac:dyDescent="0.25">
      <c r="A2136" s="40">
        <v>2121</v>
      </c>
      <c r="B2136" s="41" t="str">
        <f t="array" ref="B2136">IFERROR(IF(INDEX(Transactions!$F$8:$F$3006,MATCH(0,COUNTIF($B$11:B2135,Transactions!$F$8:$F$3006),0))="","",INDEX(Transactions!$F$8:$F$3006,MATCH(0,COUNTIF($B$11:B2135,Transactions!$F$8:$F$3006),0))),"")</f>
        <v/>
      </c>
      <c r="C2136" s="42" t="str">
        <f>IF(B2136="","",SUMIF(Transactions!$F$8:$F$3006,B2136,Transactions!$H$8:$H$3006))</f>
        <v/>
      </c>
      <c r="D2136" s="43" t="str">
        <f>IF(B2136="","",SUMIF(Transactions!$F$8:$F$3006,B2136,Transactions!$N$8:$N$3006))</f>
        <v/>
      </c>
      <c r="E2136" s="44" t="str">
        <f>IF(B2136="","",SUMIF(Transactions!$F$8:$F$3006,B2136,Transactions!$O$8:$O$3006))</f>
        <v/>
      </c>
      <c r="F2136" s="45" t="str">
        <f>IF(B2136="","",SUMIF(Transactions!$F$8:$F$3006,B2136,Transactions!$R$8:$R$3006))</f>
        <v/>
      </c>
      <c r="G2136" s="46" t="str">
        <f>IF(B2136="","",(C2136+F2136)-(D2136+E2136+SUMIF(Transactions!$F$8:$F$3006,B2136,Transactions!$Q$8:$Q$3006)))</f>
        <v/>
      </c>
      <c r="H2136" s="47" t="str">
        <f>IF(B2136="","",IF(G2136&gt;0,"OUTSTANDING",IF(G2136=0,"SETTLED",IF(SUMIF(Transactions!$F$8:$F$3006,B2136,Transactions!$Q$8:$Q$3006)&gt;SUMIF(Transactions!$F$8:$F$3006,B2136,Transactions!$R$8:$R$3006),"OWES","OVERPAID"))))</f>
        <v/>
      </c>
      <c r="I2136" s="1"/>
    </row>
    <row r="2137" spans="1:9" ht="18" customHeight="1" x14ac:dyDescent="0.25">
      <c r="A2137" s="48">
        <v>2122</v>
      </c>
      <c r="B2137" s="49" t="str">
        <f t="array" ref="B2137">IFERROR(IF(INDEX(Transactions!$F$8:$F$3006,MATCH(0,COUNTIF($B$11:B2136,Transactions!$F$8:$F$3006),0))="","",INDEX(Transactions!$F$8:$F$3006,MATCH(0,COUNTIF($B$11:B2136,Transactions!$F$8:$F$3006),0))),"")</f>
        <v/>
      </c>
      <c r="C2137" s="50" t="str">
        <f>IF(B2137="","",SUMIF(Transactions!$F$8:$F$3006,B2137,Transactions!$H$8:$H$3006))</f>
        <v/>
      </c>
      <c r="D2137" s="51" t="str">
        <f>IF(B2137="","",SUMIF(Transactions!$F$8:$F$3006,B2137,Transactions!$N$8:$N$3006))</f>
        <v/>
      </c>
      <c r="E2137" s="52" t="str">
        <f>IF(B2137="","",SUMIF(Transactions!$F$8:$F$3006,B2137,Transactions!$O$8:$O$3006))</f>
        <v/>
      </c>
      <c r="F2137" s="53" t="str">
        <f>IF(B2137="","",SUMIF(Transactions!$F$8:$F$3006,B2137,Transactions!$R$8:$R$3006))</f>
        <v/>
      </c>
      <c r="G2137" s="54" t="str">
        <f>IF(B2137="","",(C2137+F2137)-(D2137+E2137+SUMIF(Transactions!$F$8:$F$3006,B2137,Transactions!$Q$8:$Q$3006)))</f>
        <v/>
      </c>
      <c r="H2137" s="55" t="str">
        <f>IF(B2137="","",IF(G2137&gt;0,"OUTSTANDING",IF(G2137=0,"SETTLED",IF(SUMIF(Transactions!$F$8:$F$3006,B2137,Transactions!$Q$8:$Q$3006)&gt;SUMIF(Transactions!$F$8:$F$3006,B2137,Transactions!$R$8:$R$3006),"OWES","OVERPAID"))))</f>
        <v/>
      </c>
      <c r="I2137" s="1"/>
    </row>
    <row r="2138" spans="1:9" ht="18" customHeight="1" x14ac:dyDescent="0.25">
      <c r="A2138" s="40">
        <v>2123</v>
      </c>
      <c r="B2138" s="41" t="str">
        <f t="array" ref="B2138">IFERROR(IF(INDEX(Transactions!$F$8:$F$3006,MATCH(0,COUNTIF($B$11:B2137,Transactions!$F$8:$F$3006),0))="","",INDEX(Transactions!$F$8:$F$3006,MATCH(0,COUNTIF($B$11:B2137,Transactions!$F$8:$F$3006),0))),"")</f>
        <v/>
      </c>
      <c r="C2138" s="42" t="str">
        <f>IF(B2138="","",SUMIF(Transactions!$F$8:$F$3006,B2138,Transactions!$H$8:$H$3006))</f>
        <v/>
      </c>
      <c r="D2138" s="43" t="str">
        <f>IF(B2138="","",SUMIF(Transactions!$F$8:$F$3006,B2138,Transactions!$N$8:$N$3006))</f>
        <v/>
      </c>
      <c r="E2138" s="44" t="str">
        <f>IF(B2138="","",SUMIF(Transactions!$F$8:$F$3006,B2138,Transactions!$O$8:$O$3006))</f>
        <v/>
      </c>
      <c r="F2138" s="45" t="str">
        <f>IF(B2138="","",SUMIF(Transactions!$F$8:$F$3006,B2138,Transactions!$R$8:$R$3006))</f>
        <v/>
      </c>
      <c r="G2138" s="46" t="str">
        <f>IF(B2138="","",(C2138+F2138)-(D2138+E2138+SUMIF(Transactions!$F$8:$F$3006,B2138,Transactions!$Q$8:$Q$3006)))</f>
        <v/>
      </c>
      <c r="H2138" s="47" t="str">
        <f>IF(B2138="","",IF(G2138&gt;0,"OUTSTANDING",IF(G2138=0,"SETTLED",IF(SUMIF(Transactions!$F$8:$F$3006,B2138,Transactions!$Q$8:$Q$3006)&gt;SUMIF(Transactions!$F$8:$F$3006,B2138,Transactions!$R$8:$R$3006),"OWES","OVERPAID"))))</f>
        <v/>
      </c>
      <c r="I2138" s="1"/>
    </row>
    <row r="2139" spans="1:9" ht="18" customHeight="1" x14ac:dyDescent="0.25">
      <c r="A2139" s="48">
        <v>2124</v>
      </c>
      <c r="B2139" s="49" t="str">
        <f t="array" ref="B2139">IFERROR(IF(INDEX(Transactions!$F$8:$F$3006,MATCH(0,COUNTIF($B$11:B2138,Transactions!$F$8:$F$3006),0))="","",INDEX(Transactions!$F$8:$F$3006,MATCH(0,COUNTIF($B$11:B2138,Transactions!$F$8:$F$3006),0))),"")</f>
        <v/>
      </c>
      <c r="C2139" s="50" t="str">
        <f>IF(B2139="","",SUMIF(Transactions!$F$8:$F$3006,B2139,Transactions!$H$8:$H$3006))</f>
        <v/>
      </c>
      <c r="D2139" s="51" t="str">
        <f>IF(B2139="","",SUMIF(Transactions!$F$8:$F$3006,B2139,Transactions!$N$8:$N$3006))</f>
        <v/>
      </c>
      <c r="E2139" s="52" t="str">
        <f>IF(B2139="","",SUMIF(Transactions!$F$8:$F$3006,B2139,Transactions!$O$8:$O$3006))</f>
        <v/>
      </c>
      <c r="F2139" s="53" t="str">
        <f>IF(B2139="","",SUMIF(Transactions!$F$8:$F$3006,B2139,Transactions!$R$8:$R$3006))</f>
        <v/>
      </c>
      <c r="G2139" s="54" t="str">
        <f>IF(B2139="","",(C2139+F2139)-(D2139+E2139+SUMIF(Transactions!$F$8:$F$3006,B2139,Transactions!$Q$8:$Q$3006)))</f>
        <v/>
      </c>
      <c r="H2139" s="55" t="str">
        <f>IF(B2139="","",IF(G2139&gt;0,"OUTSTANDING",IF(G2139=0,"SETTLED",IF(SUMIF(Transactions!$F$8:$F$3006,B2139,Transactions!$Q$8:$Q$3006)&gt;SUMIF(Transactions!$F$8:$F$3006,B2139,Transactions!$R$8:$R$3006),"OWES","OVERPAID"))))</f>
        <v/>
      </c>
      <c r="I2139" s="1"/>
    </row>
    <row r="2140" spans="1:9" ht="18" customHeight="1" x14ac:dyDescent="0.25">
      <c r="A2140" s="40">
        <v>2125</v>
      </c>
      <c r="B2140" s="41" t="str">
        <f t="array" ref="B2140">IFERROR(IF(INDEX(Transactions!$F$8:$F$3006,MATCH(0,COUNTIF($B$11:B2139,Transactions!$F$8:$F$3006),0))="","",INDEX(Transactions!$F$8:$F$3006,MATCH(0,COUNTIF($B$11:B2139,Transactions!$F$8:$F$3006),0))),"")</f>
        <v/>
      </c>
      <c r="C2140" s="42" t="str">
        <f>IF(B2140="","",SUMIF(Transactions!$F$8:$F$3006,B2140,Transactions!$H$8:$H$3006))</f>
        <v/>
      </c>
      <c r="D2140" s="43" t="str">
        <f>IF(B2140="","",SUMIF(Transactions!$F$8:$F$3006,B2140,Transactions!$N$8:$N$3006))</f>
        <v/>
      </c>
      <c r="E2140" s="44" t="str">
        <f>IF(B2140="","",SUMIF(Transactions!$F$8:$F$3006,B2140,Transactions!$O$8:$O$3006))</f>
        <v/>
      </c>
      <c r="F2140" s="45" t="str">
        <f>IF(B2140="","",SUMIF(Transactions!$F$8:$F$3006,B2140,Transactions!$R$8:$R$3006))</f>
        <v/>
      </c>
      <c r="G2140" s="46" t="str">
        <f>IF(B2140="","",(C2140+F2140)-(D2140+E2140+SUMIF(Transactions!$F$8:$F$3006,B2140,Transactions!$Q$8:$Q$3006)))</f>
        <v/>
      </c>
      <c r="H2140" s="47" t="str">
        <f>IF(B2140="","",IF(G2140&gt;0,"OUTSTANDING",IF(G2140=0,"SETTLED",IF(SUMIF(Transactions!$F$8:$F$3006,B2140,Transactions!$Q$8:$Q$3006)&gt;SUMIF(Transactions!$F$8:$F$3006,B2140,Transactions!$R$8:$R$3006),"OWES","OVERPAID"))))</f>
        <v/>
      </c>
      <c r="I2140" s="1"/>
    </row>
    <row r="2141" spans="1:9" ht="18" customHeight="1" x14ac:dyDescent="0.25">
      <c r="A2141" s="48">
        <v>2126</v>
      </c>
      <c r="B2141" s="49" t="str">
        <f t="array" ref="B2141">IFERROR(IF(INDEX(Transactions!$F$8:$F$3006,MATCH(0,COUNTIF($B$11:B2140,Transactions!$F$8:$F$3006),0))="","",INDEX(Transactions!$F$8:$F$3006,MATCH(0,COUNTIF($B$11:B2140,Transactions!$F$8:$F$3006),0))),"")</f>
        <v/>
      </c>
      <c r="C2141" s="50" t="str">
        <f>IF(B2141="","",SUMIF(Transactions!$F$8:$F$3006,B2141,Transactions!$H$8:$H$3006))</f>
        <v/>
      </c>
      <c r="D2141" s="51" t="str">
        <f>IF(B2141="","",SUMIF(Transactions!$F$8:$F$3006,B2141,Transactions!$N$8:$N$3006))</f>
        <v/>
      </c>
      <c r="E2141" s="52" t="str">
        <f>IF(B2141="","",SUMIF(Transactions!$F$8:$F$3006,B2141,Transactions!$O$8:$O$3006))</f>
        <v/>
      </c>
      <c r="F2141" s="53" t="str">
        <f>IF(B2141="","",SUMIF(Transactions!$F$8:$F$3006,B2141,Transactions!$R$8:$R$3006))</f>
        <v/>
      </c>
      <c r="G2141" s="54" t="str">
        <f>IF(B2141="","",(C2141+F2141)-(D2141+E2141+SUMIF(Transactions!$F$8:$F$3006,B2141,Transactions!$Q$8:$Q$3006)))</f>
        <v/>
      </c>
      <c r="H2141" s="55" t="str">
        <f>IF(B2141="","",IF(G2141&gt;0,"OUTSTANDING",IF(G2141=0,"SETTLED",IF(SUMIF(Transactions!$F$8:$F$3006,B2141,Transactions!$Q$8:$Q$3006)&gt;SUMIF(Transactions!$F$8:$F$3006,B2141,Transactions!$R$8:$R$3006),"OWES","OVERPAID"))))</f>
        <v/>
      </c>
      <c r="I2141" s="1"/>
    </row>
    <row r="2142" spans="1:9" ht="18" customHeight="1" x14ac:dyDescent="0.25">
      <c r="A2142" s="40">
        <v>2127</v>
      </c>
      <c r="B2142" s="41" t="str">
        <f t="array" ref="B2142">IFERROR(IF(INDEX(Transactions!$F$8:$F$3006,MATCH(0,COUNTIF($B$11:B2141,Transactions!$F$8:$F$3006),0))="","",INDEX(Transactions!$F$8:$F$3006,MATCH(0,COUNTIF($B$11:B2141,Transactions!$F$8:$F$3006),0))),"")</f>
        <v/>
      </c>
      <c r="C2142" s="42" t="str">
        <f>IF(B2142="","",SUMIF(Transactions!$F$8:$F$3006,B2142,Transactions!$H$8:$H$3006))</f>
        <v/>
      </c>
      <c r="D2142" s="43" t="str">
        <f>IF(B2142="","",SUMIF(Transactions!$F$8:$F$3006,B2142,Transactions!$N$8:$N$3006))</f>
        <v/>
      </c>
      <c r="E2142" s="44" t="str">
        <f>IF(B2142="","",SUMIF(Transactions!$F$8:$F$3006,B2142,Transactions!$O$8:$O$3006))</f>
        <v/>
      </c>
      <c r="F2142" s="45" t="str">
        <f>IF(B2142="","",SUMIF(Transactions!$F$8:$F$3006,B2142,Transactions!$R$8:$R$3006))</f>
        <v/>
      </c>
      <c r="G2142" s="46" t="str">
        <f>IF(B2142="","",(C2142+F2142)-(D2142+E2142+SUMIF(Transactions!$F$8:$F$3006,B2142,Transactions!$Q$8:$Q$3006)))</f>
        <v/>
      </c>
      <c r="H2142" s="47" t="str">
        <f>IF(B2142="","",IF(G2142&gt;0,"OUTSTANDING",IF(G2142=0,"SETTLED",IF(SUMIF(Transactions!$F$8:$F$3006,B2142,Transactions!$Q$8:$Q$3006)&gt;SUMIF(Transactions!$F$8:$F$3006,B2142,Transactions!$R$8:$R$3006),"OWES","OVERPAID"))))</f>
        <v/>
      </c>
      <c r="I2142" s="1"/>
    </row>
    <row r="2143" spans="1:9" ht="18" customHeight="1" x14ac:dyDescent="0.25">
      <c r="A2143" s="48">
        <v>2128</v>
      </c>
      <c r="B2143" s="49" t="str">
        <f t="array" ref="B2143">IFERROR(IF(INDEX(Transactions!$F$8:$F$3006,MATCH(0,COUNTIF($B$11:B2142,Transactions!$F$8:$F$3006),0))="","",INDEX(Transactions!$F$8:$F$3006,MATCH(0,COUNTIF($B$11:B2142,Transactions!$F$8:$F$3006),0))),"")</f>
        <v/>
      </c>
      <c r="C2143" s="50" t="str">
        <f>IF(B2143="","",SUMIF(Transactions!$F$8:$F$3006,B2143,Transactions!$H$8:$H$3006))</f>
        <v/>
      </c>
      <c r="D2143" s="51" t="str">
        <f>IF(B2143="","",SUMIF(Transactions!$F$8:$F$3006,B2143,Transactions!$N$8:$N$3006))</f>
        <v/>
      </c>
      <c r="E2143" s="52" t="str">
        <f>IF(B2143="","",SUMIF(Transactions!$F$8:$F$3006,B2143,Transactions!$O$8:$O$3006))</f>
        <v/>
      </c>
      <c r="F2143" s="53" t="str">
        <f>IF(B2143="","",SUMIF(Transactions!$F$8:$F$3006,B2143,Transactions!$R$8:$R$3006))</f>
        <v/>
      </c>
      <c r="G2143" s="54" t="str">
        <f>IF(B2143="","",(C2143+F2143)-(D2143+E2143+SUMIF(Transactions!$F$8:$F$3006,B2143,Transactions!$Q$8:$Q$3006)))</f>
        <v/>
      </c>
      <c r="H2143" s="55" t="str">
        <f>IF(B2143="","",IF(G2143&gt;0,"OUTSTANDING",IF(G2143=0,"SETTLED",IF(SUMIF(Transactions!$F$8:$F$3006,B2143,Transactions!$Q$8:$Q$3006)&gt;SUMIF(Transactions!$F$8:$F$3006,B2143,Transactions!$R$8:$R$3006),"OWES","OVERPAID"))))</f>
        <v/>
      </c>
      <c r="I2143" s="1"/>
    </row>
    <row r="2144" spans="1:9" ht="18" customHeight="1" x14ac:dyDescent="0.25">
      <c r="A2144" s="40">
        <v>2129</v>
      </c>
      <c r="B2144" s="41" t="str">
        <f t="array" ref="B2144">IFERROR(IF(INDEX(Transactions!$F$8:$F$3006,MATCH(0,COUNTIF($B$11:B2143,Transactions!$F$8:$F$3006),0))="","",INDEX(Transactions!$F$8:$F$3006,MATCH(0,COUNTIF($B$11:B2143,Transactions!$F$8:$F$3006),0))),"")</f>
        <v/>
      </c>
      <c r="C2144" s="42" t="str">
        <f>IF(B2144="","",SUMIF(Transactions!$F$8:$F$3006,B2144,Transactions!$H$8:$H$3006))</f>
        <v/>
      </c>
      <c r="D2144" s="43" t="str">
        <f>IF(B2144="","",SUMIF(Transactions!$F$8:$F$3006,B2144,Transactions!$N$8:$N$3006))</f>
        <v/>
      </c>
      <c r="E2144" s="44" t="str">
        <f>IF(B2144="","",SUMIF(Transactions!$F$8:$F$3006,B2144,Transactions!$O$8:$O$3006))</f>
        <v/>
      </c>
      <c r="F2144" s="45" t="str">
        <f>IF(B2144="","",SUMIF(Transactions!$F$8:$F$3006,B2144,Transactions!$R$8:$R$3006))</f>
        <v/>
      </c>
      <c r="G2144" s="46" t="str">
        <f>IF(B2144="","",(C2144+F2144)-(D2144+E2144+SUMIF(Transactions!$F$8:$F$3006,B2144,Transactions!$Q$8:$Q$3006)))</f>
        <v/>
      </c>
      <c r="H2144" s="47" t="str">
        <f>IF(B2144="","",IF(G2144&gt;0,"OUTSTANDING",IF(G2144=0,"SETTLED",IF(SUMIF(Transactions!$F$8:$F$3006,B2144,Transactions!$Q$8:$Q$3006)&gt;SUMIF(Transactions!$F$8:$F$3006,B2144,Transactions!$R$8:$R$3006),"OWES","OVERPAID"))))</f>
        <v/>
      </c>
      <c r="I2144" s="1"/>
    </row>
    <row r="2145" spans="1:9" ht="18" customHeight="1" x14ac:dyDescent="0.25">
      <c r="A2145" s="48">
        <v>2130</v>
      </c>
      <c r="B2145" s="49" t="str">
        <f t="array" ref="B2145">IFERROR(IF(INDEX(Transactions!$F$8:$F$3006,MATCH(0,COUNTIF($B$11:B2144,Transactions!$F$8:$F$3006),0))="","",INDEX(Transactions!$F$8:$F$3006,MATCH(0,COUNTIF($B$11:B2144,Transactions!$F$8:$F$3006),0))),"")</f>
        <v/>
      </c>
      <c r="C2145" s="50" t="str">
        <f>IF(B2145="","",SUMIF(Transactions!$F$8:$F$3006,B2145,Transactions!$H$8:$H$3006))</f>
        <v/>
      </c>
      <c r="D2145" s="51" t="str">
        <f>IF(B2145="","",SUMIF(Transactions!$F$8:$F$3006,B2145,Transactions!$N$8:$N$3006))</f>
        <v/>
      </c>
      <c r="E2145" s="52" t="str">
        <f>IF(B2145="","",SUMIF(Transactions!$F$8:$F$3006,B2145,Transactions!$O$8:$O$3006))</f>
        <v/>
      </c>
      <c r="F2145" s="53" t="str">
        <f>IF(B2145="","",SUMIF(Transactions!$F$8:$F$3006,B2145,Transactions!$R$8:$R$3006))</f>
        <v/>
      </c>
      <c r="G2145" s="54" t="str">
        <f>IF(B2145="","",(C2145+F2145)-(D2145+E2145+SUMIF(Transactions!$F$8:$F$3006,B2145,Transactions!$Q$8:$Q$3006)))</f>
        <v/>
      </c>
      <c r="H2145" s="55" t="str">
        <f>IF(B2145="","",IF(G2145&gt;0,"OUTSTANDING",IF(G2145=0,"SETTLED",IF(SUMIF(Transactions!$F$8:$F$3006,B2145,Transactions!$Q$8:$Q$3006)&gt;SUMIF(Transactions!$F$8:$F$3006,B2145,Transactions!$R$8:$R$3006),"OWES","OVERPAID"))))</f>
        <v/>
      </c>
      <c r="I2145" s="1"/>
    </row>
    <row r="2146" spans="1:9" ht="18" customHeight="1" x14ac:dyDescent="0.25">
      <c r="A2146" s="40">
        <v>2131</v>
      </c>
      <c r="B2146" s="41" t="str">
        <f t="array" ref="B2146">IFERROR(IF(INDEX(Transactions!$F$8:$F$3006,MATCH(0,COUNTIF($B$11:B2145,Transactions!$F$8:$F$3006),0))="","",INDEX(Transactions!$F$8:$F$3006,MATCH(0,COUNTIF($B$11:B2145,Transactions!$F$8:$F$3006),0))),"")</f>
        <v/>
      </c>
      <c r="C2146" s="42" t="str">
        <f>IF(B2146="","",SUMIF(Transactions!$F$8:$F$3006,B2146,Transactions!$H$8:$H$3006))</f>
        <v/>
      </c>
      <c r="D2146" s="43" t="str">
        <f>IF(B2146="","",SUMIF(Transactions!$F$8:$F$3006,B2146,Transactions!$N$8:$N$3006))</f>
        <v/>
      </c>
      <c r="E2146" s="44" t="str">
        <f>IF(B2146="","",SUMIF(Transactions!$F$8:$F$3006,B2146,Transactions!$O$8:$O$3006))</f>
        <v/>
      </c>
      <c r="F2146" s="45" t="str">
        <f>IF(B2146="","",SUMIF(Transactions!$F$8:$F$3006,B2146,Transactions!$R$8:$R$3006))</f>
        <v/>
      </c>
      <c r="G2146" s="46" t="str">
        <f>IF(B2146="","",(C2146+F2146)-(D2146+E2146+SUMIF(Transactions!$F$8:$F$3006,B2146,Transactions!$Q$8:$Q$3006)))</f>
        <v/>
      </c>
      <c r="H2146" s="47" t="str">
        <f>IF(B2146="","",IF(G2146&gt;0,"OUTSTANDING",IF(G2146=0,"SETTLED",IF(SUMIF(Transactions!$F$8:$F$3006,B2146,Transactions!$Q$8:$Q$3006)&gt;SUMIF(Transactions!$F$8:$F$3006,B2146,Transactions!$R$8:$R$3006),"OWES","OVERPAID"))))</f>
        <v/>
      </c>
      <c r="I2146" s="1"/>
    </row>
    <row r="2147" spans="1:9" ht="18" customHeight="1" x14ac:dyDescent="0.25">
      <c r="A2147" s="48">
        <v>2132</v>
      </c>
      <c r="B2147" s="49" t="str">
        <f t="array" ref="B2147">IFERROR(IF(INDEX(Transactions!$F$8:$F$3006,MATCH(0,COUNTIF($B$11:B2146,Transactions!$F$8:$F$3006),0))="","",INDEX(Transactions!$F$8:$F$3006,MATCH(0,COUNTIF($B$11:B2146,Transactions!$F$8:$F$3006),0))),"")</f>
        <v/>
      </c>
      <c r="C2147" s="50" t="str">
        <f>IF(B2147="","",SUMIF(Transactions!$F$8:$F$3006,B2147,Transactions!$H$8:$H$3006))</f>
        <v/>
      </c>
      <c r="D2147" s="51" t="str">
        <f>IF(B2147="","",SUMIF(Transactions!$F$8:$F$3006,B2147,Transactions!$N$8:$N$3006))</f>
        <v/>
      </c>
      <c r="E2147" s="52" t="str">
        <f>IF(B2147="","",SUMIF(Transactions!$F$8:$F$3006,B2147,Transactions!$O$8:$O$3006))</f>
        <v/>
      </c>
      <c r="F2147" s="53" t="str">
        <f>IF(B2147="","",SUMIF(Transactions!$F$8:$F$3006,B2147,Transactions!$R$8:$R$3006))</f>
        <v/>
      </c>
      <c r="G2147" s="54" t="str">
        <f>IF(B2147="","",(C2147+F2147)-(D2147+E2147+SUMIF(Transactions!$F$8:$F$3006,B2147,Transactions!$Q$8:$Q$3006)))</f>
        <v/>
      </c>
      <c r="H2147" s="55" t="str">
        <f>IF(B2147="","",IF(G2147&gt;0,"OUTSTANDING",IF(G2147=0,"SETTLED",IF(SUMIF(Transactions!$F$8:$F$3006,B2147,Transactions!$Q$8:$Q$3006)&gt;SUMIF(Transactions!$F$8:$F$3006,B2147,Transactions!$R$8:$R$3006),"OWES","OVERPAID"))))</f>
        <v/>
      </c>
      <c r="I2147" s="1"/>
    </row>
    <row r="2148" spans="1:9" ht="18" customHeight="1" x14ac:dyDescent="0.25">
      <c r="A2148" s="40">
        <v>2133</v>
      </c>
      <c r="B2148" s="41" t="str">
        <f t="array" ref="B2148">IFERROR(IF(INDEX(Transactions!$F$8:$F$3006,MATCH(0,COUNTIF($B$11:B2147,Transactions!$F$8:$F$3006),0))="","",INDEX(Transactions!$F$8:$F$3006,MATCH(0,COUNTIF($B$11:B2147,Transactions!$F$8:$F$3006),0))),"")</f>
        <v/>
      </c>
      <c r="C2148" s="42" t="str">
        <f>IF(B2148="","",SUMIF(Transactions!$F$8:$F$3006,B2148,Transactions!$H$8:$H$3006))</f>
        <v/>
      </c>
      <c r="D2148" s="43" t="str">
        <f>IF(B2148="","",SUMIF(Transactions!$F$8:$F$3006,B2148,Transactions!$N$8:$N$3006))</f>
        <v/>
      </c>
      <c r="E2148" s="44" t="str">
        <f>IF(B2148="","",SUMIF(Transactions!$F$8:$F$3006,B2148,Transactions!$O$8:$O$3006))</f>
        <v/>
      </c>
      <c r="F2148" s="45" t="str">
        <f>IF(B2148="","",SUMIF(Transactions!$F$8:$F$3006,B2148,Transactions!$R$8:$R$3006))</f>
        <v/>
      </c>
      <c r="G2148" s="46" t="str">
        <f>IF(B2148="","",(C2148+F2148)-(D2148+E2148+SUMIF(Transactions!$F$8:$F$3006,B2148,Transactions!$Q$8:$Q$3006)))</f>
        <v/>
      </c>
      <c r="H2148" s="47" t="str">
        <f>IF(B2148="","",IF(G2148&gt;0,"OUTSTANDING",IF(G2148=0,"SETTLED",IF(SUMIF(Transactions!$F$8:$F$3006,B2148,Transactions!$Q$8:$Q$3006)&gt;SUMIF(Transactions!$F$8:$F$3006,B2148,Transactions!$R$8:$R$3006),"OWES","OVERPAID"))))</f>
        <v/>
      </c>
      <c r="I2148" s="1"/>
    </row>
    <row r="2149" spans="1:9" ht="18" customHeight="1" x14ac:dyDescent="0.25">
      <c r="A2149" s="48">
        <v>2134</v>
      </c>
      <c r="B2149" s="49" t="str">
        <f t="array" ref="B2149">IFERROR(IF(INDEX(Transactions!$F$8:$F$3006,MATCH(0,COUNTIF($B$11:B2148,Transactions!$F$8:$F$3006),0))="","",INDEX(Transactions!$F$8:$F$3006,MATCH(0,COUNTIF($B$11:B2148,Transactions!$F$8:$F$3006),0))),"")</f>
        <v/>
      </c>
      <c r="C2149" s="50" t="str">
        <f>IF(B2149="","",SUMIF(Transactions!$F$8:$F$3006,B2149,Transactions!$H$8:$H$3006))</f>
        <v/>
      </c>
      <c r="D2149" s="51" t="str">
        <f>IF(B2149="","",SUMIF(Transactions!$F$8:$F$3006,B2149,Transactions!$N$8:$N$3006))</f>
        <v/>
      </c>
      <c r="E2149" s="52" t="str">
        <f>IF(B2149="","",SUMIF(Transactions!$F$8:$F$3006,B2149,Transactions!$O$8:$O$3006))</f>
        <v/>
      </c>
      <c r="F2149" s="53" t="str">
        <f>IF(B2149="","",SUMIF(Transactions!$F$8:$F$3006,B2149,Transactions!$R$8:$R$3006))</f>
        <v/>
      </c>
      <c r="G2149" s="54" t="str">
        <f>IF(B2149="","",(C2149+F2149)-(D2149+E2149+SUMIF(Transactions!$F$8:$F$3006,B2149,Transactions!$Q$8:$Q$3006)))</f>
        <v/>
      </c>
      <c r="H2149" s="55" t="str">
        <f>IF(B2149="","",IF(G2149&gt;0,"OUTSTANDING",IF(G2149=0,"SETTLED",IF(SUMIF(Transactions!$F$8:$F$3006,B2149,Transactions!$Q$8:$Q$3006)&gt;SUMIF(Transactions!$F$8:$F$3006,B2149,Transactions!$R$8:$R$3006),"OWES","OVERPAID"))))</f>
        <v/>
      </c>
      <c r="I2149" s="1"/>
    </row>
    <row r="2150" spans="1:9" ht="18" customHeight="1" x14ac:dyDescent="0.25">
      <c r="A2150" s="40">
        <v>2135</v>
      </c>
      <c r="B2150" s="41" t="str">
        <f t="array" ref="B2150">IFERROR(IF(INDEX(Transactions!$F$8:$F$3006,MATCH(0,COUNTIF($B$11:B2149,Transactions!$F$8:$F$3006),0))="","",INDEX(Transactions!$F$8:$F$3006,MATCH(0,COUNTIF($B$11:B2149,Transactions!$F$8:$F$3006),0))),"")</f>
        <v/>
      </c>
      <c r="C2150" s="42" t="str">
        <f>IF(B2150="","",SUMIF(Transactions!$F$8:$F$3006,B2150,Transactions!$H$8:$H$3006))</f>
        <v/>
      </c>
      <c r="D2150" s="43" t="str">
        <f>IF(B2150="","",SUMIF(Transactions!$F$8:$F$3006,B2150,Transactions!$N$8:$N$3006))</f>
        <v/>
      </c>
      <c r="E2150" s="44" t="str">
        <f>IF(B2150="","",SUMIF(Transactions!$F$8:$F$3006,B2150,Transactions!$O$8:$O$3006))</f>
        <v/>
      </c>
      <c r="F2150" s="45" t="str">
        <f>IF(B2150="","",SUMIF(Transactions!$F$8:$F$3006,B2150,Transactions!$R$8:$R$3006))</f>
        <v/>
      </c>
      <c r="G2150" s="46" t="str">
        <f>IF(B2150="","",(C2150+F2150)-(D2150+E2150+SUMIF(Transactions!$F$8:$F$3006,B2150,Transactions!$Q$8:$Q$3006)))</f>
        <v/>
      </c>
      <c r="H2150" s="47" t="str">
        <f>IF(B2150="","",IF(G2150&gt;0,"OUTSTANDING",IF(G2150=0,"SETTLED",IF(SUMIF(Transactions!$F$8:$F$3006,B2150,Transactions!$Q$8:$Q$3006)&gt;SUMIF(Transactions!$F$8:$F$3006,B2150,Transactions!$R$8:$R$3006),"OWES","OVERPAID"))))</f>
        <v/>
      </c>
      <c r="I2150" s="1"/>
    </row>
    <row r="2151" spans="1:9" ht="18" customHeight="1" x14ac:dyDescent="0.25">
      <c r="A2151" s="48">
        <v>2136</v>
      </c>
      <c r="B2151" s="49" t="str">
        <f t="array" ref="B2151">IFERROR(IF(INDEX(Transactions!$F$8:$F$3006,MATCH(0,COUNTIF($B$11:B2150,Transactions!$F$8:$F$3006),0))="","",INDEX(Transactions!$F$8:$F$3006,MATCH(0,COUNTIF($B$11:B2150,Transactions!$F$8:$F$3006),0))),"")</f>
        <v/>
      </c>
      <c r="C2151" s="50" t="str">
        <f>IF(B2151="","",SUMIF(Transactions!$F$8:$F$3006,B2151,Transactions!$H$8:$H$3006))</f>
        <v/>
      </c>
      <c r="D2151" s="51" t="str">
        <f>IF(B2151="","",SUMIF(Transactions!$F$8:$F$3006,B2151,Transactions!$N$8:$N$3006))</f>
        <v/>
      </c>
      <c r="E2151" s="52" t="str">
        <f>IF(B2151="","",SUMIF(Transactions!$F$8:$F$3006,B2151,Transactions!$O$8:$O$3006))</f>
        <v/>
      </c>
      <c r="F2151" s="53" t="str">
        <f>IF(B2151="","",SUMIF(Transactions!$F$8:$F$3006,B2151,Transactions!$R$8:$R$3006))</f>
        <v/>
      </c>
      <c r="G2151" s="54" t="str">
        <f>IF(B2151="","",(C2151+F2151)-(D2151+E2151+SUMIF(Transactions!$F$8:$F$3006,B2151,Transactions!$Q$8:$Q$3006)))</f>
        <v/>
      </c>
      <c r="H2151" s="55" t="str">
        <f>IF(B2151="","",IF(G2151&gt;0,"OUTSTANDING",IF(G2151=0,"SETTLED",IF(SUMIF(Transactions!$F$8:$F$3006,B2151,Transactions!$Q$8:$Q$3006)&gt;SUMIF(Transactions!$F$8:$F$3006,B2151,Transactions!$R$8:$R$3006),"OWES","OVERPAID"))))</f>
        <v/>
      </c>
      <c r="I2151" s="1"/>
    </row>
    <row r="2152" spans="1:9" ht="18" customHeight="1" x14ac:dyDescent="0.25">
      <c r="A2152" s="40">
        <v>2137</v>
      </c>
      <c r="B2152" s="41" t="str">
        <f t="array" ref="B2152">IFERROR(IF(INDEX(Transactions!$F$8:$F$3006,MATCH(0,COUNTIF($B$11:B2151,Transactions!$F$8:$F$3006),0))="","",INDEX(Transactions!$F$8:$F$3006,MATCH(0,COUNTIF($B$11:B2151,Transactions!$F$8:$F$3006),0))),"")</f>
        <v/>
      </c>
      <c r="C2152" s="42" t="str">
        <f>IF(B2152="","",SUMIF(Transactions!$F$8:$F$3006,B2152,Transactions!$H$8:$H$3006))</f>
        <v/>
      </c>
      <c r="D2152" s="43" t="str">
        <f>IF(B2152="","",SUMIF(Transactions!$F$8:$F$3006,B2152,Transactions!$N$8:$N$3006))</f>
        <v/>
      </c>
      <c r="E2152" s="44" t="str">
        <f>IF(B2152="","",SUMIF(Transactions!$F$8:$F$3006,B2152,Transactions!$O$8:$O$3006))</f>
        <v/>
      </c>
      <c r="F2152" s="45" t="str">
        <f>IF(B2152="","",SUMIF(Transactions!$F$8:$F$3006,B2152,Transactions!$R$8:$R$3006))</f>
        <v/>
      </c>
      <c r="G2152" s="46" t="str">
        <f>IF(B2152="","",(C2152+F2152)-(D2152+E2152+SUMIF(Transactions!$F$8:$F$3006,B2152,Transactions!$Q$8:$Q$3006)))</f>
        <v/>
      </c>
      <c r="H2152" s="47" t="str">
        <f>IF(B2152="","",IF(G2152&gt;0,"OUTSTANDING",IF(G2152=0,"SETTLED",IF(SUMIF(Transactions!$F$8:$F$3006,B2152,Transactions!$Q$8:$Q$3006)&gt;SUMIF(Transactions!$F$8:$F$3006,B2152,Transactions!$R$8:$R$3006),"OWES","OVERPAID"))))</f>
        <v/>
      </c>
      <c r="I2152" s="1"/>
    </row>
    <row r="2153" spans="1:9" ht="18" customHeight="1" x14ac:dyDescent="0.25">
      <c r="A2153" s="48">
        <v>2138</v>
      </c>
      <c r="B2153" s="49" t="str">
        <f t="array" ref="B2153">IFERROR(IF(INDEX(Transactions!$F$8:$F$3006,MATCH(0,COUNTIF($B$11:B2152,Transactions!$F$8:$F$3006),0))="","",INDEX(Transactions!$F$8:$F$3006,MATCH(0,COUNTIF($B$11:B2152,Transactions!$F$8:$F$3006),0))),"")</f>
        <v/>
      </c>
      <c r="C2153" s="50" t="str">
        <f>IF(B2153="","",SUMIF(Transactions!$F$8:$F$3006,B2153,Transactions!$H$8:$H$3006))</f>
        <v/>
      </c>
      <c r="D2153" s="51" t="str">
        <f>IF(B2153="","",SUMIF(Transactions!$F$8:$F$3006,B2153,Transactions!$N$8:$N$3006))</f>
        <v/>
      </c>
      <c r="E2153" s="52" t="str">
        <f>IF(B2153="","",SUMIF(Transactions!$F$8:$F$3006,B2153,Transactions!$O$8:$O$3006))</f>
        <v/>
      </c>
      <c r="F2153" s="53" t="str">
        <f>IF(B2153="","",SUMIF(Transactions!$F$8:$F$3006,B2153,Transactions!$R$8:$R$3006))</f>
        <v/>
      </c>
      <c r="G2153" s="54" t="str">
        <f>IF(B2153="","",(C2153+F2153)-(D2153+E2153+SUMIF(Transactions!$F$8:$F$3006,B2153,Transactions!$Q$8:$Q$3006)))</f>
        <v/>
      </c>
      <c r="H2153" s="55" t="str">
        <f>IF(B2153="","",IF(G2153&gt;0,"OUTSTANDING",IF(G2153=0,"SETTLED",IF(SUMIF(Transactions!$F$8:$F$3006,B2153,Transactions!$Q$8:$Q$3006)&gt;SUMIF(Transactions!$F$8:$F$3006,B2153,Transactions!$R$8:$R$3006),"OWES","OVERPAID"))))</f>
        <v/>
      </c>
      <c r="I2153" s="1"/>
    </row>
    <row r="2154" spans="1:9" ht="18" customHeight="1" x14ac:dyDescent="0.25">
      <c r="A2154" s="40">
        <v>2139</v>
      </c>
      <c r="B2154" s="41" t="str">
        <f t="array" ref="B2154">IFERROR(IF(INDEX(Transactions!$F$8:$F$3006,MATCH(0,COUNTIF($B$11:B2153,Transactions!$F$8:$F$3006),0))="","",INDEX(Transactions!$F$8:$F$3006,MATCH(0,COUNTIF($B$11:B2153,Transactions!$F$8:$F$3006),0))),"")</f>
        <v/>
      </c>
      <c r="C2154" s="42" t="str">
        <f>IF(B2154="","",SUMIF(Transactions!$F$8:$F$3006,B2154,Transactions!$H$8:$H$3006))</f>
        <v/>
      </c>
      <c r="D2154" s="43" t="str">
        <f>IF(B2154="","",SUMIF(Transactions!$F$8:$F$3006,B2154,Transactions!$N$8:$N$3006))</f>
        <v/>
      </c>
      <c r="E2154" s="44" t="str">
        <f>IF(B2154="","",SUMIF(Transactions!$F$8:$F$3006,B2154,Transactions!$O$8:$O$3006))</f>
        <v/>
      </c>
      <c r="F2154" s="45" t="str">
        <f>IF(B2154="","",SUMIF(Transactions!$F$8:$F$3006,B2154,Transactions!$R$8:$R$3006))</f>
        <v/>
      </c>
      <c r="G2154" s="46" t="str">
        <f>IF(B2154="","",(C2154+F2154)-(D2154+E2154+SUMIF(Transactions!$F$8:$F$3006,B2154,Transactions!$Q$8:$Q$3006)))</f>
        <v/>
      </c>
      <c r="H2154" s="47" t="str">
        <f>IF(B2154="","",IF(G2154&gt;0,"OUTSTANDING",IF(G2154=0,"SETTLED",IF(SUMIF(Transactions!$F$8:$F$3006,B2154,Transactions!$Q$8:$Q$3006)&gt;SUMIF(Transactions!$F$8:$F$3006,B2154,Transactions!$R$8:$R$3006),"OWES","OVERPAID"))))</f>
        <v/>
      </c>
      <c r="I2154" s="1"/>
    </row>
    <row r="2155" spans="1:9" ht="18" customHeight="1" x14ac:dyDescent="0.25">
      <c r="A2155" s="48">
        <v>2140</v>
      </c>
      <c r="B2155" s="49" t="str">
        <f t="array" ref="B2155">IFERROR(IF(INDEX(Transactions!$F$8:$F$3006,MATCH(0,COUNTIF($B$11:B2154,Transactions!$F$8:$F$3006),0))="","",INDEX(Transactions!$F$8:$F$3006,MATCH(0,COUNTIF($B$11:B2154,Transactions!$F$8:$F$3006),0))),"")</f>
        <v/>
      </c>
      <c r="C2155" s="50" t="str">
        <f>IF(B2155="","",SUMIF(Transactions!$F$8:$F$3006,B2155,Transactions!$H$8:$H$3006))</f>
        <v/>
      </c>
      <c r="D2155" s="51" t="str">
        <f>IF(B2155="","",SUMIF(Transactions!$F$8:$F$3006,B2155,Transactions!$N$8:$N$3006))</f>
        <v/>
      </c>
      <c r="E2155" s="52" t="str">
        <f>IF(B2155="","",SUMIF(Transactions!$F$8:$F$3006,B2155,Transactions!$O$8:$O$3006))</f>
        <v/>
      </c>
      <c r="F2155" s="53" t="str">
        <f>IF(B2155="","",SUMIF(Transactions!$F$8:$F$3006,B2155,Transactions!$R$8:$R$3006))</f>
        <v/>
      </c>
      <c r="G2155" s="54" t="str">
        <f>IF(B2155="","",(C2155+F2155)-(D2155+E2155+SUMIF(Transactions!$F$8:$F$3006,B2155,Transactions!$Q$8:$Q$3006)))</f>
        <v/>
      </c>
      <c r="H2155" s="55" t="str">
        <f>IF(B2155="","",IF(G2155&gt;0,"OUTSTANDING",IF(G2155=0,"SETTLED",IF(SUMIF(Transactions!$F$8:$F$3006,B2155,Transactions!$Q$8:$Q$3006)&gt;SUMIF(Transactions!$F$8:$F$3006,B2155,Transactions!$R$8:$R$3006),"OWES","OVERPAID"))))</f>
        <v/>
      </c>
      <c r="I2155" s="1"/>
    </row>
    <row r="2156" spans="1:9" ht="18" customHeight="1" x14ac:dyDescent="0.25">
      <c r="A2156" s="40">
        <v>2141</v>
      </c>
      <c r="B2156" s="41" t="str">
        <f t="array" ref="B2156">IFERROR(IF(INDEX(Transactions!$F$8:$F$3006,MATCH(0,COUNTIF($B$11:B2155,Transactions!$F$8:$F$3006),0))="","",INDEX(Transactions!$F$8:$F$3006,MATCH(0,COUNTIF($B$11:B2155,Transactions!$F$8:$F$3006),0))),"")</f>
        <v/>
      </c>
      <c r="C2156" s="42" t="str">
        <f>IF(B2156="","",SUMIF(Transactions!$F$8:$F$3006,B2156,Transactions!$H$8:$H$3006))</f>
        <v/>
      </c>
      <c r="D2156" s="43" t="str">
        <f>IF(B2156="","",SUMIF(Transactions!$F$8:$F$3006,B2156,Transactions!$N$8:$N$3006))</f>
        <v/>
      </c>
      <c r="E2156" s="44" t="str">
        <f>IF(B2156="","",SUMIF(Transactions!$F$8:$F$3006,B2156,Transactions!$O$8:$O$3006))</f>
        <v/>
      </c>
      <c r="F2156" s="45" t="str">
        <f>IF(B2156="","",SUMIF(Transactions!$F$8:$F$3006,B2156,Transactions!$R$8:$R$3006))</f>
        <v/>
      </c>
      <c r="G2156" s="46" t="str">
        <f>IF(B2156="","",(C2156+F2156)-(D2156+E2156+SUMIF(Transactions!$F$8:$F$3006,B2156,Transactions!$Q$8:$Q$3006)))</f>
        <v/>
      </c>
      <c r="H2156" s="47" t="str">
        <f>IF(B2156="","",IF(G2156&gt;0,"OUTSTANDING",IF(G2156=0,"SETTLED",IF(SUMIF(Transactions!$F$8:$F$3006,B2156,Transactions!$Q$8:$Q$3006)&gt;SUMIF(Transactions!$F$8:$F$3006,B2156,Transactions!$R$8:$R$3006),"OWES","OVERPAID"))))</f>
        <v/>
      </c>
      <c r="I2156" s="1"/>
    </row>
    <row r="2157" spans="1:9" ht="18" customHeight="1" x14ac:dyDescent="0.25">
      <c r="A2157" s="48">
        <v>2142</v>
      </c>
      <c r="B2157" s="49" t="str">
        <f t="array" ref="B2157">IFERROR(IF(INDEX(Transactions!$F$8:$F$3006,MATCH(0,COUNTIF($B$11:B2156,Transactions!$F$8:$F$3006),0))="","",INDEX(Transactions!$F$8:$F$3006,MATCH(0,COUNTIF($B$11:B2156,Transactions!$F$8:$F$3006),0))),"")</f>
        <v/>
      </c>
      <c r="C2157" s="50" t="str">
        <f>IF(B2157="","",SUMIF(Transactions!$F$8:$F$3006,B2157,Transactions!$H$8:$H$3006))</f>
        <v/>
      </c>
      <c r="D2157" s="51" t="str">
        <f>IF(B2157="","",SUMIF(Transactions!$F$8:$F$3006,B2157,Transactions!$N$8:$N$3006))</f>
        <v/>
      </c>
      <c r="E2157" s="52" t="str">
        <f>IF(B2157="","",SUMIF(Transactions!$F$8:$F$3006,B2157,Transactions!$O$8:$O$3006))</f>
        <v/>
      </c>
      <c r="F2157" s="53" t="str">
        <f>IF(B2157="","",SUMIF(Transactions!$F$8:$F$3006,B2157,Transactions!$R$8:$R$3006))</f>
        <v/>
      </c>
      <c r="G2157" s="54" t="str">
        <f>IF(B2157="","",(C2157+F2157)-(D2157+E2157+SUMIF(Transactions!$F$8:$F$3006,B2157,Transactions!$Q$8:$Q$3006)))</f>
        <v/>
      </c>
      <c r="H2157" s="55" t="str">
        <f>IF(B2157="","",IF(G2157&gt;0,"OUTSTANDING",IF(G2157=0,"SETTLED",IF(SUMIF(Transactions!$F$8:$F$3006,B2157,Transactions!$Q$8:$Q$3006)&gt;SUMIF(Transactions!$F$8:$F$3006,B2157,Transactions!$R$8:$R$3006),"OWES","OVERPAID"))))</f>
        <v/>
      </c>
      <c r="I2157" s="1"/>
    </row>
    <row r="2158" spans="1:9" ht="18" customHeight="1" x14ac:dyDescent="0.25">
      <c r="A2158" s="40">
        <v>2143</v>
      </c>
      <c r="B2158" s="41" t="str">
        <f t="array" ref="B2158">IFERROR(IF(INDEX(Transactions!$F$8:$F$3006,MATCH(0,COUNTIF($B$11:B2157,Transactions!$F$8:$F$3006),0))="","",INDEX(Transactions!$F$8:$F$3006,MATCH(0,COUNTIF($B$11:B2157,Transactions!$F$8:$F$3006),0))),"")</f>
        <v/>
      </c>
      <c r="C2158" s="42" t="str">
        <f>IF(B2158="","",SUMIF(Transactions!$F$8:$F$3006,B2158,Transactions!$H$8:$H$3006))</f>
        <v/>
      </c>
      <c r="D2158" s="43" t="str">
        <f>IF(B2158="","",SUMIF(Transactions!$F$8:$F$3006,B2158,Transactions!$N$8:$N$3006))</f>
        <v/>
      </c>
      <c r="E2158" s="44" t="str">
        <f>IF(B2158="","",SUMIF(Transactions!$F$8:$F$3006,B2158,Transactions!$O$8:$O$3006))</f>
        <v/>
      </c>
      <c r="F2158" s="45" t="str">
        <f>IF(B2158="","",SUMIF(Transactions!$F$8:$F$3006,B2158,Transactions!$R$8:$R$3006))</f>
        <v/>
      </c>
      <c r="G2158" s="46" t="str">
        <f>IF(B2158="","",(C2158+F2158)-(D2158+E2158+SUMIF(Transactions!$F$8:$F$3006,B2158,Transactions!$Q$8:$Q$3006)))</f>
        <v/>
      </c>
      <c r="H2158" s="47" t="str">
        <f>IF(B2158="","",IF(G2158&gt;0,"OUTSTANDING",IF(G2158=0,"SETTLED",IF(SUMIF(Transactions!$F$8:$F$3006,B2158,Transactions!$Q$8:$Q$3006)&gt;SUMIF(Transactions!$F$8:$F$3006,B2158,Transactions!$R$8:$R$3006),"OWES","OVERPAID"))))</f>
        <v/>
      </c>
      <c r="I2158" s="1"/>
    </row>
    <row r="2159" spans="1:9" ht="18" customHeight="1" x14ac:dyDescent="0.25">
      <c r="A2159" s="48">
        <v>2144</v>
      </c>
      <c r="B2159" s="49" t="str">
        <f t="array" ref="B2159">IFERROR(IF(INDEX(Transactions!$F$8:$F$3006,MATCH(0,COUNTIF($B$11:B2158,Transactions!$F$8:$F$3006),0))="","",INDEX(Transactions!$F$8:$F$3006,MATCH(0,COUNTIF($B$11:B2158,Transactions!$F$8:$F$3006),0))),"")</f>
        <v/>
      </c>
      <c r="C2159" s="50" t="str">
        <f>IF(B2159="","",SUMIF(Transactions!$F$8:$F$3006,B2159,Transactions!$H$8:$H$3006))</f>
        <v/>
      </c>
      <c r="D2159" s="51" t="str">
        <f>IF(B2159="","",SUMIF(Transactions!$F$8:$F$3006,B2159,Transactions!$N$8:$N$3006))</f>
        <v/>
      </c>
      <c r="E2159" s="52" t="str">
        <f>IF(B2159="","",SUMIF(Transactions!$F$8:$F$3006,B2159,Transactions!$O$8:$O$3006))</f>
        <v/>
      </c>
      <c r="F2159" s="53" t="str">
        <f>IF(B2159="","",SUMIF(Transactions!$F$8:$F$3006,B2159,Transactions!$R$8:$R$3006))</f>
        <v/>
      </c>
      <c r="G2159" s="54" t="str">
        <f>IF(B2159="","",(C2159+F2159)-(D2159+E2159+SUMIF(Transactions!$F$8:$F$3006,B2159,Transactions!$Q$8:$Q$3006)))</f>
        <v/>
      </c>
      <c r="H2159" s="55" t="str">
        <f>IF(B2159="","",IF(G2159&gt;0,"OUTSTANDING",IF(G2159=0,"SETTLED",IF(SUMIF(Transactions!$F$8:$F$3006,B2159,Transactions!$Q$8:$Q$3006)&gt;SUMIF(Transactions!$F$8:$F$3006,B2159,Transactions!$R$8:$R$3006),"OWES","OVERPAID"))))</f>
        <v/>
      </c>
      <c r="I2159" s="1"/>
    </row>
    <row r="2160" spans="1:9" ht="18" customHeight="1" x14ac:dyDescent="0.25">
      <c r="A2160" s="40">
        <v>2145</v>
      </c>
      <c r="B2160" s="41" t="str">
        <f t="array" ref="B2160">IFERROR(IF(INDEX(Transactions!$F$8:$F$3006,MATCH(0,COUNTIF($B$11:B2159,Transactions!$F$8:$F$3006),0))="","",INDEX(Transactions!$F$8:$F$3006,MATCH(0,COUNTIF($B$11:B2159,Transactions!$F$8:$F$3006),0))),"")</f>
        <v/>
      </c>
      <c r="C2160" s="42" t="str">
        <f>IF(B2160="","",SUMIF(Transactions!$F$8:$F$3006,B2160,Transactions!$H$8:$H$3006))</f>
        <v/>
      </c>
      <c r="D2160" s="43" t="str">
        <f>IF(B2160="","",SUMIF(Transactions!$F$8:$F$3006,B2160,Transactions!$N$8:$N$3006))</f>
        <v/>
      </c>
      <c r="E2160" s="44" t="str">
        <f>IF(B2160="","",SUMIF(Transactions!$F$8:$F$3006,B2160,Transactions!$O$8:$O$3006))</f>
        <v/>
      </c>
      <c r="F2160" s="45" t="str">
        <f>IF(B2160="","",SUMIF(Transactions!$F$8:$F$3006,B2160,Transactions!$R$8:$R$3006))</f>
        <v/>
      </c>
      <c r="G2160" s="46" t="str">
        <f>IF(B2160="","",(C2160+F2160)-(D2160+E2160+SUMIF(Transactions!$F$8:$F$3006,B2160,Transactions!$Q$8:$Q$3006)))</f>
        <v/>
      </c>
      <c r="H2160" s="47" t="str">
        <f>IF(B2160="","",IF(G2160&gt;0,"OUTSTANDING",IF(G2160=0,"SETTLED",IF(SUMIF(Transactions!$F$8:$F$3006,B2160,Transactions!$Q$8:$Q$3006)&gt;SUMIF(Transactions!$F$8:$F$3006,B2160,Transactions!$R$8:$R$3006),"OWES","OVERPAID"))))</f>
        <v/>
      </c>
      <c r="I2160" s="1"/>
    </row>
    <row r="2161" spans="1:9" ht="18" customHeight="1" x14ac:dyDescent="0.25">
      <c r="A2161" s="48">
        <v>2146</v>
      </c>
      <c r="B2161" s="49" t="str">
        <f t="array" ref="B2161">IFERROR(IF(INDEX(Transactions!$F$8:$F$3006,MATCH(0,COUNTIF($B$11:B2160,Transactions!$F$8:$F$3006),0))="","",INDEX(Transactions!$F$8:$F$3006,MATCH(0,COUNTIF($B$11:B2160,Transactions!$F$8:$F$3006),0))),"")</f>
        <v/>
      </c>
      <c r="C2161" s="50" t="str">
        <f>IF(B2161="","",SUMIF(Transactions!$F$8:$F$3006,B2161,Transactions!$H$8:$H$3006))</f>
        <v/>
      </c>
      <c r="D2161" s="51" t="str">
        <f>IF(B2161="","",SUMIF(Transactions!$F$8:$F$3006,B2161,Transactions!$N$8:$N$3006))</f>
        <v/>
      </c>
      <c r="E2161" s="52" t="str">
        <f>IF(B2161="","",SUMIF(Transactions!$F$8:$F$3006,B2161,Transactions!$O$8:$O$3006))</f>
        <v/>
      </c>
      <c r="F2161" s="53" t="str">
        <f>IF(B2161="","",SUMIF(Transactions!$F$8:$F$3006,B2161,Transactions!$R$8:$R$3006))</f>
        <v/>
      </c>
      <c r="G2161" s="54" t="str">
        <f>IF(B2161="","",(C2161+F2161)-(D2161+E2161+SUMIF(Transactions!$F$8:$F$3006,B2161,Transactions!$Q$8:$Q$3006)))</f>
        <v/>
      </c>
      <c r="H2161" s="55" t="str">
        <f>IF(B2161="","",IF(G2161&gt;0,"OUTSTANDING",IF(G2161=0,"SETTLED",IF(SUMIF(Transactions!$F$8:$F$3006,B2161,Transactions!$Q$8:$Q$3006)&gt;SUMIF(Transactions!$F$8:$F$3006,B2161,Transactions!$R$8:$R$3006),"OWES","OVERPAID"))))</f>
        <v/>
      </c>
      <c r="I2161" s="1"/>
    </row>
    <row r="2162" spans="1:9" ht="18" customHeight="1" x14ac:dyDescent="0.25">
      <c r="A2162" s="40">
        <v>2147</v>
      </c>
      <c r="B2162" s="41" t="str">
        <f t="array" ref="B2162">IFERROR(IF(INDEX(Transactions!$F$8:$F$3006,MATCH(0,COUNTIF($B$11:B2161,Transactions!$F$8:$F$3006),0))="","",INDEX(Transactions!$F$8:$F$3006,MATCH(0,COUNTIF($B$11:B2161,Transactions!$F$8:$F$3006),0))),"")</f>
        <v/>
      </c>
      <c r="C2162" s="42" t="str">
        <f>IF(B2162="","",SUMIF(Transactions!$F$8:$F$3006,B2162,Transactions!$H$8:$H$3006))</f>
        <v/>
      </c>
      <c r="D2162" s="43" t="str">
        <f>IF(B2162="","",SUMIF(Transactions!$F$8:$F$3006,B2162,Transactions!$N$8:$N$3006))</f>
        <v/>
      </c>
      <c r="E2162" s="44" t="str">
        <f>IF(B2162="","",SUMIF(Transactions!$F$8:$F$3006,B2162,Transactions!$O$8:$O$3006))</f>
        <v/>
      </c>
      <c r="F2162" s="45" t="str">
        <f>IF(B2162="","",SUMIF(Transactions!$F$8:$F$3006,B2162,Transactions!$R$8:$R$3006))</f>
        <v/>
      </c>
      <c r="G2162" s="46" t="str">
        <f>IF(B2162="","",(C2162+F2162)-(D2162+E2162+SUMIF(Transactions!$F$8:$F$3006,B2162,Transactions!$Q$8:$Q$3006)))</f>
        <v/>
      </c>
      <c r="H2162" s="47" t="str">
        <f>IF(B2162="","",IF(G2162&gt;0,"OUTSTANDING",IF(G2162=0,"SETTLED",IF(SUMIF(Transactions!$F$8:$F$3006,B2162,Transactions!$Q$8:$Q$3006)&gt;SUMIF(Transactions!$F$8:$F$3006,B2162,Transactions!$R$8:$R$3006),"OWES","OVERPAID"))))</f>
        <v/>
      </c>
      <c r="I2162" s="1"/>
    </row>
    <row r="2163" spans="1:9" ht="18" customHeight="1" x14ac:dyDescent="0.25">
      <c r="A2163" s="48">
        <v>2148</v>
      </c>
      <c r="B2163" s="49" t="str">
        <f t="array" ref="B2163">IFERROR(IF(INDEX(Transactions!$F$8:$F$3006,MATCH(0,COUNTIF($B$11:B2162,Transactions!$F$8:$F$3006),0))="","",INDEX(Transactions!$F$8:$F$3006,MATCH(0,COUNTIF($B$11:B2162,Transactions!$F$8:$F$3006),0))),"")</f>
        <v/>
      </c>
      <c r="C2163" s="50" t="str">
        <f>IF(B2163="","",SUMIF(Transactions!$F$8:$F$3006,B2163,Transactions!$H$8:$H$3006))</f>
        <v/>
      </c>
      <c r="D2163" s="51" t="str">
        <f>IF(B2163="","",SUMIF(Transactions!$F$8:$F$3006,B2163,Transactions!$N$8:$N$3006))</f>
        <v/>
      </c>
      <c r="E2163" s="52" t="str">
        <f>IF(B2163="","",SUMIF(Transactions!$F$8:$F$3006,B2163,Transactions!$O$8:$O$3006))</f>
        <v/>
      </c>
      <c r="F2163" s="53" t="str">
        <f>IF(B2163="","",SUMIF(Transactions!$F$8:$F$3006,B2163,Transactions!$R$8:$R$3006))</f>
        <v/>
      </c>
      <c r="G2163" s="54" t="str">
        <f>IF(B2163="","",(C2163+F2163)-(D2163+E2163+SUMIF(Transactions!$F$8:$F$3006,B2163,Transactions!$Q$8:$Q$3006)))</f>
        <v/>
      </c>
      <c r="H2163" s="55" t="str">
        <f>IF(B2163="","",IF(G2163&gt;0,"OUTSTANDING",IF(G2163=0,"SETTLED",IF(SUMIF(Transactions!$F$8:$F$3006,B2163,Transactions!$Q$8:$Q$3006)&gt;SUMIF(Transactions!$F$8:$F$3006,B2163,Transactions!$R$8:$R$3006),"OWES","OVERPAID"))))</f>
        <v/>
      </c>
      <c r="I2163" s="1"/>
    </row>
    <row r="2164" spans="1:9" ht="18" customHeight="1" x14ac:dyDescent="0.25">
      <c r="A2164" s="40">
        <v>2149</v>
      </c>
      <c r="B2164" s="41" t="str">
        <f t="array" ref="B2164">IFERROR(IF(INDEX(Transactions!$F$8:$F$3006,MATCH(0,COUNTIF($B$11:B2163,Transactions!$F$8:$F$3006),0))="","",INDEX(Transactions!$F$8:$F$3006,MATCH(0,COUNTIF($B$11:B2163,Transactions!$F$8:$F$3006),0))),"")</f>
        <v/>
      </c>
      <c r="C2164" s="42" t="str">
        <f>IF(B2164="","",SUMIF(Transactions!$F$8:$F$3006,B2164,Transactions!$H$8:$H$3006))</f>
        <v/>
      </c>
      <c r="D2164" s="43" t="str">
        <f>IF(B2164="","",SUMIF(Transactions!$F$8:$F$3006,B2164,Transactions!$N$8:$N$3006))</f>
        <v/>
      </c>
      <c r="E2164" s="44" t="str">
        <f>IF(B2164="","",SUMIF(Transactions!$F$8:$F$3006,B2164,Transactions!$O$8:$O$3006))</f>
        <v/>
      </c>
      <c r="F2164" s="45" t="str">
        <f>IF(B2164="","",SUMIF(Transactions!$F$8:$F$3006,B2164,Transactions!$R$8:$R$3006))</f>
        <v/>
      </c>
      <c r="G2164" s="46" t="str">
        <f>IF(B2164="","",(C2164+F2164)-(D2164+E2164+SUMIF(Transactions!$F$8:$F$3006,B2164,Transactions!$Q$8:$Q$3006)))</f>
        <v/>
      </c>
      <c r="H2164" s="47" t="str">
        <f>IF(B2164="","",IF(G2164&gt;0,"OUTSTANDING",IF(G2164=0,"SETTLED",IF(SUMIF(Transactions!$F$8:$F$3006,B2164,Transactions!$Q$8:$Q$3006)&gt;SUMIF(Transactions!$F$8:$F$3006,B2164,Transactions!$R$8:$R$3006),"OWES","OVERPAID"))))</f>
        <v/>
      </c>
      <c r="I2164" s="1"/>
    </row>
    <row r="2165" spans="1:9" ht="18" customHeight="1" x14ac:dyDescent="0.25">
      <c r="A2165" s="48">
        <v>2150</v>
      </c>
      <c r="B2165" s="49" t="str">
        <f t="array" ref="B2165">IFERROR(IF(INDEX(Transactions!$F$8:$F$3006,MATCH(0,COUNTIF($B$11:B2164,Transactions!$F$8:$F$3006),0))="","",INDEX(Transactions!$F$8:$F$3006,MATCH(0,COUNTIF($B$11:B2164,Transactions!$F$8:$F$3006),0))),"")</f>
        <v/>
      </c>
      <c r="C2165" s="50" t="str">
        <f>IF(B2165="","",SUMIF(Transactions!$F$8:$F$3006,B2165,Transactions!$H$8:$H$3006))</f>
        <v/>
      </c>
      <c r="D2165" s="51" t="str">
        <f>IF(B2165="","",SUMIF(Transactions!$F$8:$F$3006,B2165,Transactions!$N$8:$N$3006))</f>
        <v/>
      </c>
      <c r="E2165" s="52" t="str">
        <f>IF(B2165="","",SUMIF(Transactions!$F$8:$F$3006,B2165,Transactions!$O$8:$O$3006))</f>
        <v/>
      </c>
      <c r="F2165" s="53" t="str">
        <f>IF(B2165="","",SUMIF(Transactions!$F$8:$F$3006,B2165,Transactions!$R$8:$R$3006))</f>
        <v/>
      </c>
      <c r="G2165" s="54" t="str">
        <f>IF(B2165="","",(C2165+F2165)-(D2165+E2165+SUMIF(Transactions!$F$8:$F$3006,B2165,Transactions!$Q$8:$Q$3006)))</f>
        <v/>
      </c>
      <c r="H2165" s="55" t="str">
        <f>IF(B2165="","",IF(G2165&gt;0,"OUTSTANDING",IF(G2165=0,"SETTLED",IF(SUMIF(Transactions!$F$8:$F$3006,B2165,Transactions!$Q$8:$Q$3006)&gt;SUMIF(Transactions!$F$8:$F$3006,B2165,Transactions!$R$8:$R$3006),"OWES","OVERPAID"))))</f>
        <v/>
      </c>
      <c r="I2165" s="1"/>
    </row>
    <row r="2166" spans="1:9" ht="18" customHeight="1" x14ac:dyDescent="0.25">
      <c r="A2166" s="40">
        <v>2151</v>
      </c>
      <c r="B2166" s="41" t="str">
        <f t="array" ref="B2166">IFERROR(IF(INDEX(Transactions!$F$8:$F$3006,MATCH(0,COUNTIF($B$11:B2165,Transactions!$F$8:$F$3006),0))="","",INDEX(Transactions!$F$8:$F$3006,MATCH(0,COUNTIF($B$11:B2165,Transactions!$F$8:$F$3006),0))),"")</f>
        <v/>
      </c>
      <c r="C2166" s="42" t="str">
        <f>IF(B2166="","",SUMIF(Transactions!$F$8:$F$3006,B2166,Transactions!$H$8:$H$3006))</f>
        <v/>
      </c>
      <c r="D2166" s="43" t="str">
        <f>IF(B2166="","",SUMIF(Transactions!$F$8:$F$3006,B2166,Transactions!$N$8:$N$3006))</f>
        <v/>
      </c>
      <c r="E2166" s="44" t="str">
        <f>IF(B2166="","",SUMIF(Transactions!$F$8:$F$3006,B2166,Transactions!$O$8:$O$3006))</f>
        <v/>
      </c>
      <c r="F2166" s="45" t="str">
        <f>IF(B2166="","",SUMIF(Transactions!$F$8:$F$3006,B2166,Transactions!$R$8:$R$3006))</f>
        <v/>
      </c>
      <c r="G2166" s="46" t="str">
        <f>IF(B2166="","",(C2166+F2166)-(D2166+E2166+SUMIF(Transactions!$F$8:$F$3006,B2166,Transactions!$Q$8:$Q$3006)))</f>
        <v/>
      </c>
      <c r="H2166" s="47" t="str">
        <f>IF(B2166="","",IF(G2166&gt;0,"OUTSTANDING",IF(G2166=0,"SETTLED",IF(SUMIF(Transactions!$F$8:$F$3006,B2166,Transactions!$Q$8:$Q$3006)&gt;SUMIF(Transactions!$F$8:$F$3006,B2166,Transactions!$R$8:$R$3006),"OWES","OVERPAID"))))</f>
        <v/>
      </c>
      <c r="I2166" s="1"/>
    </row>
    <row r="2167" spans="1:9" ht="18" customHeight="1" x14ac:dyDescent="0.25">
      <c r="A2167" s="48">
        <v>2152</v>
      </c>
      <c r="B2167" s="49" t="str">
        <f t="array" ref="B2167">IFERROR(IF(INDEX(Transactions!$F$8:$F$3006,MATCH(0,COUNTIF($B$11:B2166,Transactions!$F$8:$F$3006),0))="","",INDEX(Transactions!$F$8:$F$3006,MATCH(0,COUNTIF($B$11:B2166,Transactions!$F$8:$F$3006),0))),"")</f>
        <v/>
      </c>
      <c r="C2167" s="50" t="str">
        <f>IF(B2167="","",SUMIF(Transactions!$F$8:$F$3006,B2167,Transactions!$H$8:$H$3006))</f>
        <v/>
      </c>
      <c r="D2167" s="51" t="str">
        <f>IF(B2167="","",SUMIF(Transactions!$F$8:$F$3006,B2167,Transactions!$N$8:$N$3006))</f>
        <v/>
      </c>
      <c r="E2167" s="52" t="str">
        <f>IF(B2167="","",SUMIF(Transactions!$F$8:$F$3006,B2167,Transactions!$O$8:$O$3006))</f>
        <v/>
      </c>
      <c r="F2167" s="53" t="str">
        <f>IF(B2167="","",SUMIF(Transactions!$F$8:$F$3006,B2167,Transactions!$R$8:$R$3006))</f>
        <v/>
      </c>
      <c r="G2167" s="54" t="str">
        <f>IF(B2167="","",(C2167+F2167)-(D2167+E2167+SUMIF(Transactions!$F$8:$F$3006,B2167,Transactions!$Q$8:$Q$3006)))</f>
        <v/>
      </c>
      <c r="H2167" s="55" t="str">
        <f>IF(B2167="","",IF(G2167&gt;0,"OUTSTANDING",IF(G2167=0,"SETTLED",IF(SUMIF(Transactions!$F$8:$F$3006,B2167,Transactions!$Q$8:$Q$3006)&gt;SUMIF(Transactions!$F$8:$F$3006,B2167,Transactions!$R$8:$R$3006),"OWES","OVERPAID"))))</f>
        <v/>
      </c>
      <c r="I2167" s="1"/>
    </row>
    <row r="2168" spans="1:9" ht="18" customHeight="1" x14ac:dyDescent="0.25">
      <c r="A2168" s="40">
        <v>2153</v>
      </c>
      <c r="B2168" s="41" t="str">
        <f t="array" ref="B2168">IFERROR(IF(INDEX(Transactions!$F$8:$F$3006,MATCH(0,COUNTIF($B$11:B2167,Transactions!$F$8:$F$3006),0))="","",INDEX(Transactions!$F$8:$F$3006,MATCH(0,COUNTIF($B$11:B2167,Transactions!$F$8:$F$3006),0))),"")</f>
        <v/>
      </c>
      <c r="C2168" s="42" t="str">
        <f>IF(B2168="","",SUMIF(Transactions!$F$8:$F$3006,B2168,Transactions!$H$8:$H$3006))</f>
        <v/>
      </c>
      <c r="D2168" s="43" t="str">
        <f>IF(B2168="","",SUMIF(Transactions!$F$8:$F$3006,B2168,Transactions!$N$8:$N$3006))</f>
        <v/>
      </c>
      <c r="E2168" s="44" t="str">
        <f>IF(B2168="","",SUMIF(Transactions!$F$8:$F$3006,B2168,Transactions!$O$8:$O$3006))</f>
        <v/>
      </c>
      <c r="F2168" s="45" t="str">
        <f>IF(B2168="","",SUMIF(Transactions!$F$8:$F$3006,B2168,Transactions!$R$8:$R$3006))</f>
        <v/>
      </c>
      <c r="G2168" s="46" t="str">
        <f>IF(B2168="","",(C2168+F2168)-(D2168+E2168+SUMIF(Transactions!$F$8:$F$3006,B2168,Transactions!$Q$8:$Q$3006)))</f>
        <v/>
      </c>
      <c r="H2168" s="47" t="str">
        <f>IF(B2168="","",IF(G2168&gt;0,"OUTSTANDING",IF(G2168=0,"SETTLED",IF(SUMIF(Transactions!$F$8:$F$3006,B2168,Transactions!$Q$8:$Q$3006)&gt;SUMIF(Transactions!$F$8:$F$3006,B2168,Transactions!$R$8:$R$3006),"OWES","OVERPAID"))))</f>
        <v/>
      </c>
      <c r="I2168" s="1"/>
    </row>
    <row r="2169" spans="1:9" ht="18" customHeight="1" x14ac:dyDescent="0.25">
      <c r="A2169" s="48">
        <v>2154</v>
      </c>
      <c r="B2169" s="49" t="str">
        <f t="array" ref="B2169">IFERROR(IF(INDEX(Transactions!$F$8:$F$3006,MATCH(0,COUNTIF($B$11:B2168,Transactions!$F$8:$F$3006),0))="","",INDEX(Transactions!$F$8:$F$3006,MATCH(0,COUNTIF($B$11:B2168,Transactions!$F$8:$F$3006),0))),"")</f>
        <v/>
      </c>
      <c r="C2169" s="50" t="str">
        <f>IF(B2169="","",SUMIF(Transactions!$F$8:$F$3006,B2169,Transactions!$H$8:$H$3006))</f>
        <v/>
      </c>
      <c r="D2169" s="51" t="str">
        <f>IF(B2169="","",SUMIF(Transactions!$F$8:$F$3006,B2169,Transactions!$N$8:$N$3006))</f>
        <v/>
      </c>
      <c r="E2169" s="52" t="str">
        <f>IF(B2169="","",SUMIF(Transactions!$F$8:$F$3006,B2169,Transactions!$O$8:$O$3006))</f>
        <v/>
      </c>
      <c r="F2169" s="53" t="str">
        <f>IF(B2169="","",SUMIF(Transactions!$F$8:$F$3006,B2169,Transactions!$R$8:$R$3006))</f>
        <v/>
      </c>
      <c r="G2169" s="54" t="str">
        <f>IF(B2169="","",(C2169+F2169)-(D2169+E2169+SUMIF(Transactions!$F$8:$F$3006,B2169,Transactions!$Q$8:$Q$3006)))</f>
        <v/>
      </c>
      <c r="H2169" s="55" t="str">
        <f>IF(B2169="","",IF(G2169&gt;0,"OUTSTANDING",IF(G2169=0,"SETTLED",IF(SUMIF(Transactions!$F$8:$F$3006,B2169,Transactions!$Q$8:$Q$3006)&gt;SUMIF(Transactions!$F$8:$F$3006,B2169,Transactions!$R$8:$R$3006),"OWES","OVERPAID"))))</f>
        <v/>
      </c>
      <c r="I2169" s="1"/>
    </row>
    <row r="2170" spans="1:9" ht="18" customHeight="1" x14ac:dyDescent="0.25">
      <c r="A2170" s="40">
        <v>2155</v>
      </c>
      <c r="B2170" s="41" t="str">
        <f t="array" ref="B2170">IFERROR(IF(INDEX(Transactions!$F$8:$F$3006,MATCH(0,COUNTIF($B$11:B2169,Transactions!$F$8:$F$3006),0))="","",INDEX(Transactions!$F$8:$F$3006,MATCH(0,COUNTIF($B$11:B2169,Transactions!$F$8:$F$3006),0))),"")</f>
        <v/>
      </c>
      <c r="C2170" s="42" t="str">
        <f>IF(B2170="","",SUMIF(Transactions!$F$8:$F$3006,B2170,Transactions!$H$8:$H$3006))</f>
        <v/>
      </c>
      <c r="D2170" s="43" t="str">
        <f>IF(B2170="","",SUMIF(Transactions!$F$8:$F$3006,B2170,Transactions!$N$8:$N$3006))</f>
        <v/>
      </c>
      <c r="E2170" s="44" t="str">
        <f>IF(B2170="","",SUMIF(Transactions!$F$8:$F$3006,B2170,Transactions!$O$8:$O$3006))</f>
        <v/>
      </c>
      <c r="F2170" s="45" t="str">
        <f>IF(B2170="","",SUMIF(Transactions!$F$8:$F$3006,B2170,Transactions!$R$8:$R$3006))</f>
        <v/>
      </c>
      <c r="G2170" s="46" t="str">
        <f>IF(B2170="","",(C2170+F2170)-(D2170+E2170+SUMIF(Transactions!$F$8:$F$3006,B2170,Transactions!$Q$8:$Q$3006)))</f>
        <v/>
      </c>
      <c r="H2170" s="47" t="str">
        <f>IF(B2170="","",IF(G2170&gt;0,"OUTSTANDING",IF(G2170=0,"SETTLED",IF(SUMIF(Transactions!$F$8:$F$3006,B2170,Transactions!$Q$8:$Q$3006)&gt;SUMIF(Transactions!$F$8:$F$3006,B2170,Transactions!$R$8:$R$3006),"OWES","OVERPAID"))))</f>
        <v/>
      </c>
      <c r="I2170" s="1"/>
    </row>
    <row r="2171" spans="1:9" ht="18" customHeight="1" x14ac:dyDescent="0.25">
      <c r="A2171" s="48">
        <v>2156</v>
      </c>
      <c r="B2171" s="49" t="str">
        <f t="array" ref="B2171">IFERROR(IF(INDEX(Transactions!$F$8:$F$3006,MATCH(0,COUNTIF($B$11:B2170,Transactions!$F$8:$F$3006),0))="","",INDEX(Transactions!$F$8:$F$3006,MATCH(0,COUNTIF($B$11:B2170,Transactions!$F$8:$F$3006),0))),"")</f>
        <v/>
      </c>
      <c r="C2171" s="50" t="str">
        <f>IF(B2171="","",SUMIF(Transactions!$F$8:$F$3006,B2171,Transactions!$H$8:$H$3006))</f>
        <v/>
      </c>
      <c r="D2171" s="51" t="str">
        <f>IF(B2171="","",SUMIF(Transactions!$F$8:$F$3006,B2171,Transactions!$N$8:$N$3006))</f>
        <v/>
      </c>
      <c r="E2171" s="52" t="str">
        <f>IF(B2171="","",SUMIF(Transactions!$F$8:$F$3006,B2171,Transactions!$O$8:$O$3006))</f>
        <v/>
      </c>
      <c r="F2171" s="53" t="str">
        <f>IF(B2171="","",SUMIF(Transactions!$F$8:$F$3006,B2171,Transactions!$R$8:$R$3006))</f>
        <v/>
      </c>
      <c r="G2171" s="54" t="str">
        <f>IF(B2171="","",(C2171+F2171)-(D2171+E2171+SUMIF(Transactions!$F$8:$F$3006,B2171,Transactions!$Q$8:$Q$3006)))</f>
        <v/>
      </c>
      <c r="H2171" s="55" t="str">
        <f>IF(B2171="","",IF(G2171&gt;0,"OUTSTANDING",IF(G2171=0,"SETTLED",IF(SUMIF(Transactions!$F$8:$F$3006,B2171,Transactions!$Q$8:$Q$3006)&gt;SUMIF(Transactions!$F$8:$F$3006,B2171,Transactions!$R$8:$R$3006),"OWES","OVERPAID"))))</f>
        <v/>
      </c>
      <c r="I2171" s="1"/>
    </row>
    <row r="2172" spans="1:9" ht="18" customHeight="1" x14ac:dyDescent="0.25">
      <c r="A2172" s="40">
        <v>2157</v>
      </c>
      <c r="B2172" s="41" t="str">
        <f t="array" ref="B2172">IFERROR(IF(INDEX(Transactions!$F$8:$F$3006,MATCH(0,COUNTIF($B$11:B2171,Transactions!$F$8:$F$3006),0))="","",INDEX(Transactions!$F$8:$F$3006,MATCH(0,COUNTIF($B$11:B2171,Transactions!$F$8:$F$3006),0))),"")</f>
        <v/>
      </c>
      <c r="C2172" s="42" t="str">
        <f>IF(B2172="","",SUMIF(Transactions!$F$8:$F$3006,B2172,Transactions!$H$8:$H$3006))</f>
        <v/>
      </c>
      <c r="D2172" s="43" t="str">
        <f>IF(B2172="","",SUMIF(Transactions!$F$8:$F$3006,B2172,Transactions!$N$8:$N$3006))</f>
        <v/>
      </c>
      <c r="E2172" s="44" t="str">
        <f>IF(B2172="","",SUMIF(Transactions!$F$8:$F$3006,B2172,Transactions!$O$8:$O$3006))</f>
        <v/>
      </c>
      <c r="F2172" s="45" t="str">
        <f>IF(B2172="","",SUMIF(Transactions!$F$8:$F$3006,B2172,Transactions!$R$8:$R$3006))</f>
        <v/>
      </c>
      <c r="G2172" s="46" t="str">
        <f>IF(B2172="","",(C2172+F2172)-(D2172+E2172+SUMIF(Transactions!$F$8:$F$3006,B2172,Transactions!$Q$8:$Q$3006)))</f>
        <v/>
      </c>
      <c r="H2172" s="47" t="str">
        <f>IF(B2172="","",IF(G2172&gt;0,"OUTSTANDING",IF(G2172=0,"SETTLED",IF(SUMIF(Transactions!$F$8:$F$3006,B2172,Transactions!$Q$8:$Q$3006)&gt;SUMIF(Transactions!$F$8:$F$3006,B2172,Transactions!$R$8:$R$3006),"OWES","OVERPAID"))))</f>
        <v/>
      </c>
      <c r="I2172" s="1"/>
    </row>
    <row r="2173" spans="1:9" ht="18" customHeight="1" x14ac:dyDescent="0.25">
      <c r="A2173" s="48">
        <v>2158</v>
      </c>
      <c r="B2173" s="49" t="str">
        <f t="array" ref="B2173">IFERROR(IF(INDEX(Transactions!$F$8:$F$3006,MATCH(0,COUNTIF($B$11:B2172,Transactions!$F$8:$F$3006),0))="","",INDEX(Transactions!$F$8:$F$3006,MATCH(0,COUNTIF($B$11:B2172,Transactions!$F$8:$F$3006),0))),"")</f>
        <v/>
      </c>
      <c r="C2173" s="50" t="str">
        <f>IF(B2173="","",SUMIF(Transactions!$F$8:$F$3006,B2173,Transactions!$H$8:$H$3006))</f>
        <v/>
      </c>
      <c r="D2173" s="51" t="str">
        <f>IF(B2173="","",SUMIF(Transactions!$F$8:$F$3006,B2173,Transactions!$N$8:$N$3006))</f>
        <v/>
      </c>
      <c r="E2173" s="52" t="str">
        <f>IF(B2173="","",SUMIF(Transactions!$F$8:$F$3006,B2173,Transactions!$O$8:$O$3006))</f>
        <v/>
      </c>
      <c r="F2173" s="53" t="str">
        <f>IF(B2173="","",SUMIF(Transactions!$F$8:$F$3006,B2173,Transactions!$R$8:$R$3006))</f>
        <v/>
      </c>
      <c r="G2173" s="54" t="str">
        <f>IF(B2173="","",(C2173+F2173)-(D2173+E2173+SUMIF(Transactions!$F$8:$F$3006,B2173,Transactions!$Q$8:$Q$3006)))</f>
        <v/>
      </c>
      <c r="H2173" s="55" t="str">
        <f>IF(B2173="","",IF(G2173&gt;0,"OUTSTANDING",IF(G2173=0,"SETTLED",IF(SUMIF(Transactions!$F$8:$F$3006,B2173,Transactions!$Q$8:$Q$3006)&gt;SUMIF(Transactions!$F$8:$F$3006,B2173,Transactions!$R$8:$R$3006),"OWES","OVERPAID"))))</f>
        <v/>
      </c>
      <c r="I2173" s="1"/>
    </row>
    <row r="2174" spans="1:9" ht="18" customHeight="1" x14ac:dyDescent="0.25">
      <c r="A2174" s="40">
        <v>2159</v>
      </c>
      <c r="B2174" s="41" t="str">
        <f t="array" ref="B2174">IFERROR(IF(INDEX(Transactions!$F$8:$F$3006,MATCH(0,COUNTIF($B$11:B2173,Transactions!$F$8:$F$3006),0))="","",INDEX(Transactions!$F$8:$F$3006,MATCH(0,COUNTIF($B$11:B2173,Transactions!$F$8:$F$3006),0))),"")</f>
        <v/>
      </c>
      <c r="C2174" s="42" t="str">
        <f>IF(B2174="","",SUMIF(Transactions!$F$8:$F$3006,B2174,Transactions!$H$8:$H$3006))</f>
        <v/>
      </c>
      <c r="D2174" s="43" t="str">
        <f>IF(B2174="","",SUMIF(Transactions!$F$8:$F$3006,B2174,Transactions!$N$8:$N$3006))</f>
        <v/>
      </c>
      <c r="E2174" s="44" t="str">
        <f>IF(B2174="","",SUMIF(Transactions!$F$8:$F$3006,B2174,Transactions!$O$8:$O$3006))</f>
        <v/>
      </c>
      <c r="F2174" s="45" t="str">
        <f>IF(B2174="","",SUMIF(Transactions!$F$8:$F$3006,B2174,Transactions!$R$8:$R$3006))</f>
        <v/>
      </c>
      <c r="G2174" s="46" t="str">
        <f>IF(B2174="","",(C2174+F2174)-(D2174+E2174+SUMIF(Transactions!$F$8:$F$3006,B2174,Transactions!$Q$8:$Q$3006)))</f>
        <v/>
      </c>
      <c r="H2174" s="47" t="str">
        <f>IF(B2174="","",IF(G2174&gt;0,"OUTSTANDING",IF(G2174=0,"SETTLED",IF(SUMIF(Transactions!$F$8:$F$3006,B2174,Transactions!$Q$8:$Q$3006)&gt;SUMIF(Transactions!$F$8:$F$3006,B2174,Transactions!$R$8:$R$3006),"OWES","OVERPAID"))))</f>
        <v/>
      </c>
      <c r="I2174" s="1"/>
    </row>
    <row r="2175" spans="1:9" ht="18" customHeight="1" x14ac:dyDescent="0.25">
      <c r="A2175" s="48">
        <v>2160</v>
      </c>
      <c r="B2175" s="49" t="str">
        <f t="array" ref="B2175">IFERROR(IF(INDEX(Transactions!$F$8:$F$3006,MATCH(0,COUNTIF($B$11:B2174,Transactions!$F$8:$F$3006),0))="","",INDEX(Transactions!$F$8:$F$3006,MATCH(0,COUNTIF($B$11:B2174,Transactions!$F$8:$F$3006),0))),"")</f>
        <v/>
      </c>
      <c r="C2175" s="50" t="str">
        <f>IF(B2175="","",SUMIF(Transactions!$F$8:$F$3006,B2175,Transactions!$H$8:$H$3006))</f>
        <v/>
      </c>
      <c r="D2175" s="51" t="str">
        <f>IF(B2175="","",SUMIF(Transactions!$F$8:$F$3006,B2175,Transactions!$N$8:$N$3006))</f>
        <v/>
      </c>
      <c r="E2175" s="52" t="str">
        <f>IF(B2175="","",SUMIF(Transactions!$F$8:$F$3006,B2175,Transactions!$O$8:$O$3006))</f>
        <v/>
      </c>
      <c r="F2175" s="53" t="str">
        <f>IF(B2175="","",SUMIF(Transactions!$F$8:$F$3006,B2175,Transactions!$R$8:$R$3006))</f>
        <v/>
      </c>
      <c r="G2175" s="54" t="str">
        <f>IF(B2175="","",(C2175+F2175)-(D2175+E2175+SUMIF(Transactions!$F$8:$F$3006,B2175,Transactions!$Q$8:$Q$3006)))</f>
        <v/>
      </c>
      <c r="H2175" s="55" t="str">
        <f>IF(B2175="","",IF(G2175&gt;0,"OUTSTANDING",IF(G2175=0,"SETTLED",IF(SUMIF(Transactions!$F$8:$F$3006,B2175,Transactions!$Q$8:$Q$3006)&gt;SUMIF(Transactions!$F$8:$F$3006,B2175,Transactions!$R$8:$R$3006),"OWES","OVERPAID"))))</f>
        <v/>
      </c>
      <c r="I2175" s="1"/>
    </row>
    <row r="2176" spans="1:9" ht="18" customHeight="1" x14ac:dyDescent="0.25">
      <c r="A2176" s="40">
        <v>2161</v>
      </c>
      <c r="B2176" s="41" t="str">
        <f t="array" ref="B2176">IFERROR(IF(INDEX(Transactions!$F$8:$F$3006,MATCH(0,COUNTIF($B$11:B2175,Transactions!$F$8:$F$3006),0))="","",INDEX(Transactions!$F$8:$F$3006,MATCH(0,COUNTIF($B$11:B2175,Transactions!$F$8:$F$3006),0))),"")</f>
        <v/>
      </c>
      <c r="C2176" s="42" t="str">
        <f>IF(B2176="","",SUMIF(Transactions!$F$8:$F$3006,B2176,Transactions!$H$8:$H$3006))</f>
        <v/>
      </c>
      <c r="D2176" s="43" t="str">
        <f>IF(B2176="","",SUMIF(Transactions!$F$8:$F$3006,B2176,Transactions!$N$8:$N$3006))</f>
        <v/>
      </c>
      <c r="E2176" s="44" t="str">
        <f>IF(B2176="","",SUMIF(Transactions!$F$8:$F$3006,B2176,Transactions!$O$8:$O$3006))</f>
        <v/>
      </c>
      <c r="F2176" s="45" t="str">
        <f>IF(B2176="","",SUMIF(Transactions!$F$8:$F$3006,B2176,Transactions!$R$8:$R$3006))</f>
        <v/>
      </c>
      <c r="G2176" s="46" t="str">
        <f>IF(B2176="","",(C2176+F2176)-(D2176+E2176+SUMIF(Transactions!$F$8:$F$3006,B2176,Transactions!$Q$8:$Q$3006)))</f>
        <v/>
      </c>
      <c r="H2176" s="47" t="str">
        <f>IF(B2176="","",IF(G2176&gt;0,"OUTSTANDING",IF(G2176=0,"SETTLED",IF(SUMIF(Transactions!$F$8:$F$3006,B2176,Transactions!$Q$8:$Q$3006)&gt;SUMIF(Transactions!$F$8:$F$3006,B2176,Transactions!$R$8:$R$3006),"OWES","OVERPAID"))))</f>
        <v/>
      </c>
      <c r="I2176" s="1"/>
    </row>
    <row r="2177" spans="1:9" ht="18" customHeight="1" x14ac:dyDescent="0.25">
      <c r="A2177" s="48">
        <v>2162</v>
      </c>
      <c r="B2177" s="49" t="str">
        <f t="array" ref="B2177">IFERROR(IF(INDEX(Transactions!$F$8:$F$3006,MATCH(0,COUNTIF($B$11:B2176,Transactions!$F$8:$F$3006),0))="","",INDEX(Transactions!$F$8:$F$3006,MATCH(0,COUNTIF($B$11:B2176,Transactions!$F$8:$F$3006),0))),"")</f>
        <v/>
      </c>
      <c r="C2177" s="50" t="str">
        <f>IF(B2177="","",SUMIF(Transactions!$F$8:$F$3006,B2177,Transactions!$H$8:$H$3006))</f>
        <v/>
      </c>
      <c r="D2177" s="51" t="str">
        <f>IF(B2177="","",SUMIF(Transactions!$F$8:$F$3006,B2177,Transactions!$N$8:$N$3006))</f>
        <v/>
      </c>
      <c r="E2177" s="52" t="str">
        <f>IF(B2177="","",SUMIF(Transactions!$F$8:$F$3006,B2177,Transactions!$O$8:$O$3006))</f>
        <v/>
      </c>
      <c r="F2177" s="53" t="str">
        <f>IF(B2177="","",SUMIF(Transactions!$F$8:$F$3006,B2177,Transactions!$R$8:$R$3006))</f>
        <v/>
      </c>
      <c r="G2177" s="54" t="str">
        <f>IF(B2177="","",(C2177+F2177)-(D2177+E2177+SUMIF(Transactions!$F$8:$F$3006,B2177,Transactions!$Q$8:$Q$3006)))</f>
        <v/>
      </c>
      <c r="H2177" s="55" t="str">
        <f>IF(B2177="","",IF(G2177&gt;0,"OUTSTANDING",IF(G2177=0,"SETTLED",IF(SUMIF(Transactions!$F$8:$F$3006,B2177,Transactions!$Q$8:$Q$3006)&gt;SUMIF(Transactions!$F$8:$F$3006,B2177,Transactions!$R$8:$R$3006),"OWES","OVERPAID"))))</f>
        <v/>
      </c>
      <c r="I2177" s="1"/>
    </row>
    <row r="2178" spans="1:9" ht="18" customHeight="1" x14ac:dyDescent="0.25">
      <c r="A2178" s="40">
        <v>2163</v>
      </c>
      <c r="B2178" s="41" t="str">
        <f t="array" ref="B2178">IFERROR(IF(INDEX(Transactions!$F$8:$F$3006,MATCH(0,COUNTIF($B$11:B2177,Transactions!$F$8:$F$3006),0))="","",INDEX(Transactions!$F$8:$F$3006,MATCH(0,COUNTIF($B$11:B2177,Transactions!$F$8:$F$3006),0))),"")</f>
        <v/>
      </c>
      <c r="C2178" s="42" t="str">
        <f>IF(B2178="","",SUMIF(Transactions!$F$8:$F$3006,B2178,Transactions!$H$8:$H$3006))</f>
        <v/>
      </c>
      <c r="D2178" s="43" t="str">
        <f>IF(B2178="","",SUMIF(Transactions!$F$8:$F$3006,B2178,Transactions!$N$8:$N$3006))</f>
        <v/>
      </c>
      <c r="E2178" s="44" t="str">
        <f>IF(B2178="","",SUMIF(Transactions!$F$8:$F$3006,B2178,Transactions!$O$8:$O$3006))</f>
        <v/>
      </c>
      <c r="F2178" s="45" t="str">
        <f>IF(B2178="","",SUMIF(Transactions!$F$8:$F$3006,B2178,Transactions!$R$8:$R$3006))</f>
        <v/>
      </c>
      <c r="G2178" s="46" t="str">
        <f>IF(B2178="","",(C2178+F2178)-(D2178+E2178+SUMIF(Transactions!$F$8:$F$3006,B2178,Transactions!$Q$8:$Q$3006)))</f>
        <v/>
      </c>
      <c r="H2178" s="47" t="str">
        <f>IF(B2178="","",IF(G2178&gt;0,"OUTSTANDING",IF(G2178=0,"SETTLED",IF(SUMIF(Transactions!$F$8:$F$3006,B2178,Transactions!$Q$8:$Q$3006)&gt;SUMIF(Transactions!$F$8:$F$3006,B2178,Transactions!$R$8:$R$3006),"OWES","OVERPAID"))))</f>
        <v/>
      </c>
      <c r="I2178" s="1"/>
    </row>
    <row r="2179" spans="1:9" ht="18" customHeight="1" x14ac:dyDescent="0.25">
      <c r="A2179" s="48">
        <v>2164</v>
      </c>
      <c r="B2179" s="49" t="str">
        <f t="array" ref="B2179">IFERROR(IF(INDEX(Transactions!$F$8:$F$3006,MATCH(0,COUNTIF($B$11:B2178,Transactions!$F$8:$F$3006),0))="","",INDEX(Transactions!$F$8:$F$3006,MATCH(0,COUNTIF($B$11:B2178,Transactions!$F$8:$F$3006),0))),"")</f>
        <v/>
      </c>
      <c r="C2179" s="50" t="str">
        <f>IF(B2179="","",SUMIF(Transactions!$F$8:$F$3006,B2179,Transactions!$H$8:$H$3006))</f>
        <v/>
      </c>
      <c r="D2179" s="51" t="str">
        <f>IF(B2179="","",SUMIF(Transactions!$F$8:$F$3006,B2179,Transactions!$N$8:$N$3006))</f>
        <v/>
      </c>
      <c r="E2179" s="52" t="str">
        <f>IF(B2179="","",SUMIF(Transactions!$F$8:$F$3006,B2179,Transactions!$O$8:$O$3006))</f>
        <v/>
      </c>
      <c r="F2179" s="53" t="str">
        <f>IF(B2179="","",SUMIF(Transactions!$F$8:$F$3006,B2179,Transactions!$R$8:$R$3006))</f>
        <v/>
      </c>
      <c r="G2179" s="54" t="str">
        <f>IF(B2179="","",(C2179+F2179)-(D2179+E2179+SUMIF(Transactions!$F$8:$F$3006,B2179,Transactions!$Q$8:$Q$3006)))</f>
        <v/>
      </c>
      <c r="H2179" s="55" t="str">
        <f>IF(B2179="","",IF(G2179&gt;0,"OUTSTANDING",IF(G2179=0,"SETTLED",IF(SUMIF(Transactions!$F$8:$F$3006,B2179,Transactions!$Q$8:$Q$3006)&gt;SUMIF(Transactions!$F$8:$F$3006,B2179,Transactions!$R$8:$R$3006),"OWES","OVERPAID"))))</f>
        <v/>
      </c>
      <c r="I2179" s="1"/>
    </row>
    <row r="2180" spans="1:9" ht="18" customHeight="1" x14ac:dyDescent="0.25">
      <c r="A2180" s="40">
        <v>2165</v>
      </c>
      <c r="B2180" s="41" t="str">
        <f t="array" ref="B2180">IFERROR(IF(INDEX(Transactions!$F$8:$F$3006,MATCH(0,COUNTIF($B$11:B2179,Transactions!$F$8:$F$3006),0))="","",INDEX(Transactions!$F$8:$F$3006,MATCH(0,COUNTIF($B$11:B2179,Transactions!$F$8:$F$3006),0))),"")</f>
        <v/>
      </c>
      <c r="C2180" s="42" t="str">
        <f>IF(B2180="","",SUMIF(Transactions!$F$8:$F$3006,B2180,Transactions!$H$8:$H$3006))</f>
        <v/>
      </c>
      <c r="D2180" s="43" t="str">
        <f>IF(B2180="","",SUMIF(Transactions!$F$8:$F$3006,B2180,Transactions!$N$8:$N$3006))</f>
        <v/>
      </c>
      <c r="E2180" s="44" t="str">
        <f>IF(B2180="","",SUMIF(Transactions!$F$8:$F$3006,B2180,Transactions!$O$8:$O$3006))</f>
        <v/>
      </c>
      <c r="F2180" s="45" t="str">
        <f>IF(B2180="","",SUMIF(Transactions!$F$8:$F$3006,B2180,Transactions!$R$8:$R$3006))</f>
        <v/>
      </c>
      <c r="G2180" s="46" t="str">
        <f>IF(B2180="","",(C2180+F2180)-(D2180+E2180+SUMIF(Transactions!$F$8:$F$3006,B2180,Transactions!$Q$8:$Q$3006)))</f>
        <v/>
      </c>
      <c r="H2180" s="47" t="str">
        <f>IF(B2180="","",IF(G2180&gt;0,"OUTSTANDING",IF(G2180=0,"SETTLED",IF(SUMIF(Transactions!$F$8:$F$3006,B2180,Transactions!$Q$8:$Q$3006)&gt;SUMIF(Transactions!$F$8:$F$3006,B2180,Transactions!$R$8:$R$3006),"OWES","OVERPAID"))))</f>
        <v/>
      </c>
      <c r="I2180" s="1"/>
    </row>
    <row r="2181" spans="1:9" ht="18" customHeight="1" x14ac:dyDescent="0.25">
      <c r="A2181" s="48">
        <v>2166</v>
      </c>
      <c r="B2181" s="49" t="str">
        <f t="array" ref="B2181">IFERROR(IF(INDEX(Transactions!$F$8:$F$3006,MATCH(0,COUNTIF($B$11:B2180,Transactions!$F$8:$F$3006),0))="","",INDEX(Transactions!$F$8:$F$3006,MATCH(0,COUNTIF($B$11:B2180,Transactions!$F$8:$F$3006),0))),"")</f>
        <v/>
      </c>
      <c r="C2181" s="50" t="str">
        <f>IF(B2181="","",SUMIF(Transactions!$F$8:$F$3006,B2181,Transactions!$H$8:$H$3006))</f>
        <v/>
      </c>
      <c r="D2181" s="51" t="str">
        <f>IF(B2181="","",SUMIF(Transactions!$F$8:$F$3006,B2181,Transactions!$N$8:$N$3006))</f>
        <v/>
      </c>
      <c r="E2181" s="52" t="str">
        <f>IF(B2181="","",SUMIF(Transactions!$F$8:$F$3006,B2181,Transactions!$O$8:$O$3006))</f>
        <v/>
      </c>
      <c r="F2181" s="53" t="str">
        <f>IF(B2181="","",SUMIF(Transactions!$F$8:$F$3006,B2181,Transactions!$R$8:$R$3006))</f>
        <v/>
      </c>
      <c r="G2181" s="54" t="str">
        <f>IF(B2181="","",(C2181+F2181)-(D2181+E2181+SUMIF(Transactions!$F$8:$F$3006,B2181,Transactions!$Q$8:$Q$3006)))</f>
        <v/>
      </c>
      <c r="H2181" s="55" t="str">
        <f>IF(B2181="","",IF(G2181&gt;0,"OUTSTANDING",IF(G2181=0,"SETTLED",IF(SUMIF(Transactions!$F$8:$F$3006,B2181,Transactions!$Q$8:$Q$3006)&gt;SUMIF(Transactions!$F$8:$F$3006,B2181,Transactions!$R$8:$R$3006),"OWES","OVERPAID"))))</f>
        <v/>
      </c>
      <c r="I2181" s="1"/>
    </row>
    <row r="2182" spans="1:9" ht="18" customHeight="1" x14ac:dyDescent="0.25">
      <c r="A2182" s="40">
        <v>2167</v>
      </c>
      <c r="B2182" s="41" t="str">
        <f t="array" ref="B2182">IFERROR(IF(INDEX(Transactions!$F$8:$F$3006,MATCH(0,COUNTIF($B$11:B2181,Transactions!$F$8:$F$3006),0))="","",INDEX(Transactions!$F$8:$F$3006,MATCH(0,COUNTIF($B$11:B2181,Transactions!$F$8:$F$3006),0))),"")</f>
        <v/>
      </c>
      <c r="C2182" s="42" t="str">
        <f>IF(B2182="","",SUMIF(Transactions!$F$8:$F$3006,B2182,Transactions!$H$8:$H$3006))</f>
        <v/>
      </c>
      <c r="D2182" s="43" t="str">
        <f>IF(B2182="","",SUMIF(Transactions!$F$8:$F$3006,B2182,Transactions!$N$8:$N$3006))</f>
        <v/>
      </c>
      <c r="E2182" s="44" t="str">
        <f>IF(B2182="","",SUMIF(Transactions!$F$8:$F$3006,B2182,Transactions!$O$8:$O$3006))</f>
        <v/>
      </c>
      <c r="F2182" s="45" t="str">
        <f>IF(B2182="","",SUMIF(Transactions!$F$8:$F$3006,B2182,Transactions!$R$8:$R$3006))</f>
        <v/>
      </c>
      <c r="G2182" s="46" t="str">
        <f>IF(B2182="","",(C2182+F2182)-(D2182+E2182+SUMIF(Transactions!$F$8:$F$3006,B2182,Transactions!$Q$8:$Q$3006)))</f>
        <v/>
      </c>
      <c r="H2182" s="47" t="str">
        <f>IF(B2182="","",IF(G2182&gt;0,"OUTSTANDING",IF(G2182=0,"SETTLED",IF(SUMIF(Transactions!$F$8:$F$3006,B2182,Transactions!$Q$8:$Q$3006)&gt;SUMIF(Transactions!$F$8:$F$3006,B2182,Transactions!$R$8:$R$3006),"OWES","OVERPAID"))))</f>
        <v/>
      </c>
      <c r="I2182" s="1"/>
    </row>
    <row r="2183" spans="1:9" ht="18" customHeight="1" x14ac:dyDescent="0.25">
      <c r="A2183" s="48">
        <v>2168</v>
      </c>
      <c r="B2183" s="49" t="str">
        <f t="array" ref="B2183">IFERROR(IF(INDEX(Transactions!$F$8:$F$3006,MATCH(0,COUNTIF($B$11:B2182,Transactions!$F$8:$F$3006),0))="","",INDEX(Transactions!$F$8:$F$3006,MATCH(0,COUNTIF($B$11:B2182,Transactions!$F$8:$F$3006),0))),"")</f>
        <v/>
      </c>
      <c r="C2183" s="50" t="str">
        <f>IF(B2183="","",SUMIF(Transactions!$F$8:$F$3006,B2183,Transactions!$H$8:$H$3006))</f>
        <v/>
      </c>
      <c r="D2183" s="51" t="str">
        <f>IF(B2183="","",SUMIF(Transactions!$F$8:$F$3006,B2183,Transactions!$N$8:$N$3006))</f>
        <v/>
      </c>
      <c r="E2183" s="52" t="str">
        <f>IF(B2183="","",SUMIF(Transactions!$F$8:$F$3006,B2183,Transactions!$O$8:$O$3006))</f>
        <v/>
      </c>
      <c r="F2183" s="53" t="str">
        <f>IF(B2183="","",SUMIF(Transactions!$F$8:$F$3006,B2183,Transactions!$R$8:$R$3006))</f>
        <v/>
      </c>
      <c r="G2183" s="54" t="str">
        <f>IF(B2183="","",(C2183+F2183)-(D2183+E2183+SUMIF(Transactions!$F$8:$F$3006,B2183,Transactions!$Q$8:$Q$3006)))</f>
        <v/>
      </c>
      <c r="H2183" s="55" t="str">
        <f>IF(B2183="","",IF(G2183&gt;0,"OUTSTANDING",IF(G2183=0,"SETTLED",IF(SUMIF(Transactions!$F$8:$F$3006,B2183,Transactions!$Q$8:$Q$3006)&gt;SUMIF(Transactions!$F$8:$F$3006,B2183,Transactions!$R$8:$R$3006),"OWES","OVERPAID"))))</f>
        <v/>
      </c>
      <c r="I2183" s="1"/>
    </row>
    <row r="2184" spans="1:9" ht="18" customHeight="1" x14ac:dyDescent="0.25">
      <c r="A2184" s="40">
        <v>2169</v>
      </c>
      <c r="B2184" s="41" t="str">
        <f t="array" ref="B2184">IFERROR(IF(INDEX(Transactions!$F$8:$F$3006,MATCH(0,COUNTIF($B$11:B2183,Transactions!$F$8:$F$3006),0))="","",INDEX(Transactions!$F$8:$F$3006,MATCH(0,COUNTIF($B$11:B2183,Transactions!$F$8:$F$3006),0))),"")</f>
        <v/>
      </c>
      <c r="C2184" s="42" t="str">
        <f>IF(B2184="","",SUMIF(Transactions!$F$8:$F$3006,B2184,Transactions!$H$8:$H$3006))</f>
        <v/>
      </c>
      <c r="D2184" s="43" t="str">
        <f>IF(B2184="","",SUMIF(Transactions!$F$8:$F$3006,B2184,Transactions!$N$8:$N$3006))</f>
        <v/>
      </c>
      <c r="E2184" s="44" t="str">
        <f>IF(B2184="","",SUMIF(Transactions!$F$8:$F$3006,B2184,Transactions!$O$8:$O$3006))</f>
        <v/>
      </c>
      <c r="F2184" s="45" t="str">
        <f>IF(B2184="","",SUMIF(Transactions!$F$8:$F$3006,B2184,Transactions!$R$8:$R$3006))</f>
        <v/>
      </c>
      <c r="G2184" s="46" t="str">
        <f>IF(B2184="","",(C2184+F2184)-(D2184+E2184+SUMIF(Transactions!$F$8:$F$3006,B2184,Transactions!$Q$8:$Q$3006)))</f>
        <v/>
      </c>
      <c r="H2184" s="47" t="str">
        <f>IF(B2184="","",IF(G2184&gt;0,"OUTSTANDING",IF(G2184=0,"SETTLED",IF(SUMIF(Transactions!$F$8:$F$3006,B2184,Transactions!$Q$8:$Q$3006)&gt;SUMIF(Transactions!$F$8:$F$3006,B2184,Transactions!$R$8:$R$3006),"OWES","OVERPAID"))))</f>
        <v/>
      </c>
      <c r="I2184" s="1"/>
    </row>
    <row r="2185" spans="1:9" ht="18" customHeight="1" x14ac:dyDescent="0.25">
      <c r="A2185" s="48">
        <v>2170</v>
      </c>
      <c r="B2185" s="49" t="str">
        <f t="array" ref="B2185">IFERROR(IF(INDEX(Transactions!$F$8:$F$3006,MATCH(0,COUNTIF($B$11:B2184,Transactions!$F$8:$F$3006),0))="","",INDEX(Transactions!$F$8:$F$3006,MATCH(0,COUNTIF($B$11:B2184,Transactions!$F$8:$F$3006),0))),"")</f>
        <v/>
      </c>
      <c r="C2185" s="50" t="str">
        <f>IF(B2185="","",SUMIF(Transactions!$F$8:$F$3006,B2185,Transactions!$H$8:$H$3006))</f>
        <v/>
      </c>
      <c r="D2185" s="51" t="str">
        <f>IF(B2185="","",SUMIF(Transactions!$F$8:$F$3006,B2185,Transactions!$N$8:$N$3006))</f>
        <v/>
      </c>
      <c r="E2185" s="52" t="str">
        <f>IF(B2185="","",SUMIF(Transactions!$F$8:$F$3006,B2185,Transactions!$O$8:$O$3006))</f>
        <v/>
      </c>
      <c r="F2185" s="53" t="str">
        <f>IF(B2185="","",SUMIF(Transactions!$F$8:$F$3006,B2185,Transactions!$R$8:$R$3006))</f>
        <v/>
      </c>
      <c r="G2185" s="54" t="str">
        <f>IF(B2185="","",(C2185+F2185)-(D2185+E2185+SUMIF(Transactions!$F$8:$F$3006,B2185,Transactions!$Q$8:$Q$3006)))</f>
        <v/>
      </c>
      <c r="H2185" s="55" t="str">
        <f>IF(B2185="","",IF(G2185&gt;0,"OUTSTANDING",IF(G2185=0,"SETTLED",IF(SUMIF(Transactions!$F$8:$F$3006,B2185,Transactions!$Q$8:$Q$3006)&gt;SUMIF(Transactions!$F$8:$F$3006,B2185,Transactions!$R$8:$R$3006),"OWES","OVERPAID"))))</f>
        <v/>
      </c>
      <c r="I2185" s="1"/>
    </row>
    <row r="2186" spans="1:9" ht="18" customHeight="1" x14ac:dyDescent="0.25">
      <c r="A2186" s="40">
        <v>2171</v>
      </c>
      <c r="B2186" s="41" t="str">
        <f t="array" ref="B2186">IFERROR(IF(INDEX(Transactions!$F$8:$F$3006,MATCH(0,COUNTIF($B$11:B2185,Transactions!$F$8:$F$3006),0))="","",INDEX(Transactions!$F$8:$F$3006,MATCH(0,COUNTIF($B$11:B2185,Transactions!$F$8:$F$3006),0))),"")</f>
        <v/>
      </c>
      <c r="C2186" s="42" t="str">
        <f>IF(B2186="","",SUMIF(Transactions!$F$8:$F$3006,B2186,Transactions!$H$8:$H$3006))</f>
        <v/>
      </c>
      <c r="D2186" s="43" t="str">
        <f>IF(B2186="","",SUMIF(Transactions!$F$8:$F$3006,B2186,Transactions!$N$8:$N$3006))</f>
        <v/>
      </c>
      <c r="E2186" s="44" t="str">
        <f>IF(B2186="","",SUMIF(Transactions!$F$8:$F$3006,B2186,Transactions!$O$8:$O$3006))</f>
        <v/>
      </c>
      <c r="F2186" s="45" t="str">
        <f>IF(B2186="","",SUMIF(Transactions!$F$8:$F$3006,B2186,Transactions!$R$8:$R$3006))</f>
        <v/>
      </c>
      <c r="G2186" s="46" t="str">
        <f>IF(B2186="","",(C2186+F2186)-(D2186+E2186+SUMIF(Transactions!$F$8:$F$3006,B2186,Transactions!$Q$8:$Q$3006)))</f>
        <v/>
      </c>
      <c r="H2186" s="47" t="str">
        <f>IF(B2186="","",IF(G2186&gt;0,"OUTSTANDING",IF(G2186=0,"SETTLED",IF(SUMIF(Transactions!$F$8:$F$3006,B2186,Transactions!$Q$8:$Q$3006)&gt;SUMIF(Transactions!$F$8:$F$3006,B2186,Transactions!$R$8:$R$3006),"OWES","OVERPAID"))))</f>
        <v/>
      </c>
      <c r="I2186" s="1"/>
    </row>
    <row r="2187" spans="1:9" ht="18" customHeight="1" x14ac:dyDescent="0.25">
      <c r="A2187" s="48">
        <v>2172</v>
      </c>
      <c r="B2187" s="49" t="str">
        <f t="array" ref="B2187">IFERROR(IF(INDEX(Transactions!$F$8:$F$3006,MATCH(0,COUNTIF($B$11:B2186,Transactions!$F$8:$F$3006),0))="","",INDEX(Transactions!$F$8:$F$3006,MATCH(0,COUNTIF($B$11:B2186,Transactions!$F$8:$F$3006),0))),"")</f>
        <v/>
      </c>
      <c r="C2187" s="50" t="str">
        <f>IF(B2187="","",SUMIF(Transactions!$F$8:$F$3006,B2187,Transactions!$H$8:$H$3006))</f>
        <v/>
      </c>
      <c r="D2187" s="51" t="str">
        <f>IF(B2187="","",SUMIF(Transactions!$F$8:$F$3006,B2187,Transactions!$N$8:$N$3006))</f>
        <v/>
      </c>
      <c r="E2187" s="52" t="str">
        <f>IF(B2187="","",SUMIF(Transactions!$F$8:$F$3006,B2187,Transactions!$O$8:$O$3006))</f>
        <v/>
      </c>
      <c r="F2187" s="53" t="str">
        <f>IF(B2187="","",SUMIF(Transactions!$F$8:$F$3006,B2187,Transactions!$R$8:$R$3006))</f>
        <v/>
      </c>
      <c r="G2187" s="54" t="str">
        <f>IF(B2187="","",(C2187+F2187)-(D2187+E2187+SUMIF(Transactions!$F$8:$F$3006,B2187,Transactions!$Q$8:$Q$3006)))</f>
        <v/>
      </c>
      <c r="H2187" s="55" t="str">
        <f>IF(B2187="","",IF(G2187&gt;0,"OUTSTANDING",IF(G2187=0,"SETTLED",IF(SUMIF(Transactions!$F$8:$F$3006,B2187,Transactions!$Q$8:$Q$3006)&gt;SUMIF(Transactions!$F$8:$F$3006,B2187,Transactions!$R$8:$R$3006),"OWES","OVERPAID"))))</f>
        <v/>
      </c>
      <c r="I2187" s="1"/>
    </row>
    <row r="2188" spans="1:9" ht="18" customHeight="1" x14ac:dyDescent="0.25">
      <c r="A2188" s="40">
        <v>2173</v>
      </c>
      <c r="B2188" s="41" t="str">
        <f t="array" ref="B2188">IFERROR(IF(INDEX(Transactions!$F$8:$F$3006,MATCH(0,COUNTIF($B$11:B2187,Transactions!$F$8:$F$3006),0))="","",INDEX(Transactions!$F$8:$F$3006,MATCH(0,COUNTIF($B$11:B2187,Transactions!$F$8:$F$3006),0))),"")</f>
        <v/>
      </c>
      <c r="C2188" s="42" t="str">
        <f>IF(B2188="","",SUMIF(Transactions!$F$8:$F$3006,B2188,Transactions!$H$8:$H$3006))</f>
        <v/>
      </c>
      <c r="D2188" s="43" t="str">
        <f>IF(B2188="","",SUMIF(Transactions!$F$8:$F$3006,B2188,Transactions!$N$8:$N$3006))</f>
        <v/>
      </c>
      <c r="E2188" s="44" t="str">
        <f>IF(B2188="","",SUMIF(Transactions!$F$8:$F$3006,B2188,Transactions!$O$8:$O$3006))</f>
        <v/>
      </c>
      <c r="F2188" s="45" t="str">
        <f>IF(B2188="","",SUMIF(Transactions!$F$8:$F$3006,B2188,Transactions!$R$8:$R$3006))</f>
        <v/>
      </c>
      <c r="G2188" s="46" t="str">
        <f>IF(B2188="","",(C2188+F2188)-(D2188+E2188+SUMIF(Transactions!$F$8:$F$3006,B2188,Transactions!$Q$8:$Q$3006)))</f>
        <v/>
      </c>
      <c r="H2188" s="47" t="str">
        <f>IF(B2188="","",IF(G2188&gt;0,"OUTSTANDING",IF(G2188=0,"SETTLED",IF(SUMIF(Transactions!$F$8:$F$3006,B2188,Transactions!$Q$8:$Q$3006)&gt;SUMIF(Transactions!$F$8:$F$3006,B2188,Transactions!$R$8:$R$3006),"OWES","OVERPAID"))))</f>
        <v/>
      </c>
      <c r="I2188" s="1"/>
    </row>
    <row r="2189" spans="1:9" ht="18" customHeight="1" x14ac:dyDescent="0.25">
      <c r="A2189" s="48">
        <v>2174</v>
      </c>
      <c r="B2189" s="49" t="str">
        <f t="array" ref="B2189">IFERROR(IF(INDEX(Transactions!$F$8:$F$3006,MATCH(0,COUNTIF($B$11:B2188,Transactions!$F$8:$F$3006),0))="","",INDEX(Transactions!$F$8:$F$3006,MATCH(0,COUNTIF($B$11:B2188,Transactions!$F$8:$F$3006),0))),"")</f>
        <v/>
      </c>
      <c r="C2189" s="50" t="str">
        <f>IF(B2189="","",SUMIF(Transactions!$F$8:$F$3006,B2189,Transactions!$H$8:$H$3006))</f>
        <v/>
      </c>
      <c r="D2189" s="51" t="str">
        <f>IF(B2189="","",SUMIF(Transactions!$F$8:$F$3006,B2189,Transactions!$N$8:$N$3006))</f>
        <v/>
      </c>
      <c r="E2189" s="52" t="str">
        <f>IF(B2189="","",SUMIF(Transactions!$F$8:$F$3006,B2189,Transactions!$O$8:$O$3006))</f>
        <v/>
      </c>
      <c r="F2189" s="53" t="str">
        <f>IF(B2189="","",SUMIF(Transactions!$F$8:$F$3006,B2189,Transactions!$R$8:$R$3006))</f>
        <v/>
      </c>
      <c r="G2189" s="54" t="str">
        <f>IF(B2189="","",(C2189+F2189)-(D2189+E2189+SUMIF(Transactions!$F$8:$F$3006,B2189,Transactions!$Q$8:$Q$3006)))</f>
        <v/>
      </c>
      <c r="H2189" s="55" t="str">
        <f>IF(B2189="","",IF(G2189&gt;0,"OUTSTANDING",IF(G2189=0,"SETTLED",IF(SUMIF(Transactions!$F$8:$F$3006,B2189,Transactions!$Q$8:$Q$3006)&gt;SUMIF(Transactions!$F$8:$F$3006,B2189,Transactions!$R$8:$R$3006),"OWES","OVERPAID"))))</f>
        <v/>
      </c>
      <c r="I2189" s="1"/>
    </row>
    <row r="2190" spans="1:9" ht="18" customHeight="1" x14ac:dyDescent="0.25">
      <c r="A2190" s="40">
        <v>2175</v>
      </c>
      <c r="B2190" s="41" t="str">
        <f t="array" ref="B2190">IFERROR(IF(INDEX(Transactions!$F$8:$F$3006,MATCH(0,COUNTIF($B$11:B2189,Transactions!$F$8:$F$3006),0))="","",INDEX(Transactions!$F$8:$F$3006,MATCH(0,COUNTIF($B$11:B2189,Transactions!$F$8:$F$3006),0))),"")</f>
        <v/>
      </c>
      <c r="C2190" s="42" t="str">
        <f>IF(B2190="","",SUMIF(Transactions!$F$8:$F$3006,B2190,Transactions!$H$8:$H$3006))</f>
        <v/>
      </c>
      <c r="D2190" s="43" t="str">
        <f>IF(B2190="","",SUMIF(Transactions!$F$8:$F$3006,B2190,Transactions!$N$8:$N$3006))</f>
        <v/>
      </c>
      <c r="E2190" s="44" t="str">
        <f>IF(B2190="","",SUMIF(Transactions!$F$8:$F$3006,B2190,Transactions!$O$8:$O$3006))</f>
        <v/>
      </c>
      <c r="F2190" s="45" t="str">
        <f>IF(B2190="","",SUMIF(Transactions!$F$8:$F$3006,B2190,Transactions!$R$8:$R$3006))</f>
        <v/>
      </c>
      <c r="G2190" s="46" t="str">
        <f>IF(B2190="","",(C2190+F2190)-(D2190+E2190+SUMIF(Transactions!$F$8:$F$3006,B2190,Transactions!$Q$8:$Q$3006)))</f>
        <v/>
      </c>
      <c r="H2190" s="47" t="str">
        <f>IF(B2190="","",IF(G2190&gt;0,"OUTSTANDING",IF(G2190=0,"SETTLED",IF(SUMIF(Transactions!$F$8:$F$3006,B2190,Transactions!$Q$8:$Q$3006)&gt;SUMIF(Transactions!$F$8:$F$3006,B2190,Transactions!$R$8:$R$3006),"OWES","OVERPAID"))))</f>
        <v/>
      </c>
      <c r="I2190" s="1"/>
    </row>
    <row r="2191" spans="1:9" ht="18" customHeight="1" x14ac:dyDescent="0.25">
      <c r="A2191" s="48">
        <v>2176</v>
      </c>
      <c r="B2191" s="49" t="str">
        <f t="array" ref="B2191">IFERROR(IF(INDEX(Transactions!$F$8:$F$3006,MATCH(0,COUNTIF($B$11:B2190,Transactions!$F$8:$F$3006),0))="","",INDEX(Transactions!$F$8:$F$3006,MATCH(0,COUNTIF($B$11:B2190,Transactions!$F$8:$F$3006),0))),"")</f>
        <v/>
      </c>
      <c r="C2191" s="50" t="str">
        <f>IF(B2191="","",SUMIF(Transactions!$F$8:$F$3006,B2191,Transactions!$H$8:$H$3006))</f>
        <v/>
      </c>
      <c r="D2191" s="51" t="str">
        <f>IF(B2191="","",SUMIF(Transactions!$F$8:$F$3006,B2191,Transactions!$N$8:$N$3006))</f>
        <v/>
      </c>
      <c r="E2191" s="52" t="str">
        <f>IF(B2191="","",SUMIF(Transactions!$F$8:$F$3006,B2191,Transactions!$O$8:$O$3006))</f>
        <v/>
      </c>
      <c r="F2191" s="53" t="str">
        <f>IF(B2191="","",SUMIF(Transactions!$F$8:$F$3006,B2191,Transactions!$R$8:$R$3006))</f>
        <v/>
      </c>
      <c r="G2191" s="54" t="str">
        <f>IF(B2191="","",(C2191+F2191)-(D2191+E2191+SUMIF(Transactions!$F$8:$F$3006,B2191,Transactions!$Q$8:$Q$3006)))</f>
        <v/>
      </c>
      <c r="H2191" s="55" t="str">
        <f>IF(B2191="","",IF(G2191&gt;0,"OUTSTANDING",IF(G2191=0,"SETTLED",IF(SUMIF(Transactions!$F$8:$F$3006,B2191,Transactions!$Q$8:$Q$3006)&gt;SUMIF(Transactions!$F$8:$F$3006,B2191,Transactions!$R$8:$R$3006),"OWES","OVERPAID"))))</f>
        <v/>
      </c>
      <c r="I2191" s="1"/>
    </row>
    <row r="2192" spans="1:9" ht="18" customHeight="1" x14ac:dyDescent="0.25">
      <c r="A2192" s="40">
        <v>2177</v>
      </c>
      <c r="B2192" s="41" t="str">
        <f t="array" ref="B2192">IFERROR(IF(INDEX(Transactions!$F$8:$F$3006,MATCH(0,COUNTIF($B$11:B2191,Transactions!$F$8:$F$3006),0))="","",INDEX(Transactions!$F$8:$F$3006,MATCH(0,COUNTIF($B$11:B2191,Transactions!$F$8:$F$3006),0))),"")</f>
        <v/>
      </c>
      <c r="C2192" s="42" t="str">
        <f>IF(B2192="","",SUMIF(Transactions!$F$8:$F$3006,B2192,Transactions!$H$8:$H$3006))</f>
        <v/>
      </c>
      <c r="D2192" s="43" t="str">
        <f>IF(B2192="","",SUMIF(Transactions!$F$8:$F$3006,B2192,Transactions!$N$8:$N$3006))</f>
        <v/>
      </c>
      <c r="E2192" s="44" t="str">
        <f>IF(B2192="","",SUMIF(Transactions!$F$8:$F$3006,B2192,Transactions!$O$8:$O$3006))</f>
        <v/>
      </c>
      <c r="F2192" s="45" t="str">
        <f>IF(B2192="","",SUMIF(Transactions!$F$8:$F$3006,B2192,Transactions!$R$8:$R$3006))</f>
        <v/>
      </c>
      <c r="G2192" s="46" t="str">
        <f>IF(B2192="","",(C2192+F2192)-(D2192+E2192+SUMIF(Transactions!$F$8:$F$3006,B2192,Transactions!$Q$8:$Q$3006)))</f>
        <v/>
      </c>
      <c r="H2192" s="47" t="str">
        <f>IF(B2192="","",IF(G2192&gt;0,"OUTSTANDING",IF(G2192=0,"SETTLED",IF(SUMIF(Transactions!$F$8:$F$3006,B2192,Transactions!$Q$8:$Q$3006)&gt;SUMIF(Transactions!$F$8:$F$3006,B2192,Transactions!$R$8:$R$3006),"OWES","OVERPAID"))))</f>
        <v/>
      </c>
      <c r="I2192" s="1"/>
    </row>
    <row r="2193" spans="1:9" ht="18" customHeight="1" x14ac:dyDescent="0.25">
      <c r="A2193" s="48">
        <v>2178</v>
      </c>
      <c r="B2193" s="49" t="str">
        <f t="array" ref="B2193">IFERROR(IF(INDEX(Transactions!$F$8:$F$3006,MATCH(0,COUNTIF($B$11:B2192,Transactions!$F$8:$F$3006),0))="","",INDEX(Transactions!$F$8:$F$3006,MATCH(0,COUNTIF($B$11:B2192,Transactions!$F$8:$F$3006),0))),"")</f>
        <v/>
      </c>
      <c r="C2193" s="50" t="str">
        <f>IF(B2193="","",SUMIF(Transactions!$F$8:$F$3006,B2193,Transactions!$H$8:$H$3006))</f>
        <v/>
      </c>
      <c r="D2193" s="51" t="str">
        <f>IF(B2193="","",SUMIF(Transactions!$F$8:$F$3006,B2193,Transactions!$N$8:$N$3006))</f>
        <v/>
      </c>
      <c r="E2193" s="52" t="str">
        <f>IF(B2193="","",SUMIF(Transactions!$F$8:$F$3006,B2193,Transactions!$O$8:$O$3006))</f>
        <v/>
      </c>
      <c r="F2193" s="53" t="str">
        <f>IF(B2193="","",SUMIF(Transactions!$F$8:$F$3006,B2193,Transactions!$R$8:$R$3006))</f>
        <v/>
      </c>
      <c r="G2193" s="54" t="str">
        <f>IF(B2193="","",(C2193+F2193)-(D2193+E2193+SUMIF(Transactions!$F$8:$F$3006,B2193,Transactions!$Q$8:$Q$3006)))</f>
        <v/>
      </c>
      <c r="H2193" s="55" t="str">
        <f>IF(B2193="","",IF(G2193&gt;0,"OUTSTANDING",IF(G2193=0,"SETTLED",IF(SUMIF(Transactions!$F$8:$F$3006,B2193,Transactions!$Q$8:$Q$3006)&gt;SUMIF(Transactions!$F$8:$F$3006,B2193,Transactions!$R$8:$R$3006),"OWES","OVERPAID"))))</f>
        <v/>
      </c>
      <c r="I2193" s="1"/>
    </row>
    <row r="2194" spans="1:9" ht="18" customHeight="1" x14ac:dyDescent="0.25">
      <c r="A2194" s="40">
        <v>2179</v>
      </c>
      <c r="B2194" s="41" t="str">
        <f t="array" ref="B2194">IFERROR(IF(INDEX(Transactions!$F$8:$F$3006,MATCH(0,COUNTIF($B$11:B2193,Transactions!$F$8:$F$3006),0))="","",INDEX(Transactions!$F$8:$F$3006,MATCH(0,COUNTIF($B$11:B2193,Transactions!$F$8:$F$3006),0))),"")</f>
        <v/>
      </c>
      <c r="C2194" s="42" t="str">
        <f>IF(B2194="","",SUMIF(Transactions!$F$8:$F$3006,B2194,Transactions!$H$8:$H$3006))</f>
        <v/>
      </c>
      <c r="D2194" s="43" t="str">
        <f>IF(B2194="","",SUMIF(Transactions!$F$8:$F$3006,B2194,Transactions!$N$8:$N$3006))</f>
        <v/>
      </c>
      <c r="E2194" s="44" t="str">
        <f>IF(B2194="","",SUMIF(Transactions!$F$8:$F$3006,B2194,Transactions!$O$8:$O$3006))</f>
        <v/>
      </c>
      <c r="F2194" s="45" t="str">
        <f>IF(B2194="","",SUMIF(Transactions!$F$8:$F$3006,B2194,Transactions!$R$8:$R$3006))</f>
        <v/>
      </c>
      <c r="G2194" s="46" t="str">
        <f>IF(B2194="","",(C2194+F2194)-(D2194+E2194+SUMIF(Transactions!$F$8:$F$3006,B2194,Transactions!$Q$8:$Q$3006)))</f>
        <v/>
      </c>
      <c r="H2194" s="47" t="str">
        <f>IF(B2194="","",IF(G2194&gt;0,"OUTSTANDING",IF(G2194=0,"SETTLED",IF(SUMIF(Transactions!$F$8:$F$3006,B2194,Transactions!$Q$8:$Q$3006)&gt;SUMIF(Transactions!$F$8:$F$3006,B2194,Transactions!$R$8:$R$3006),"OWES","OVERPAID"))))</f>
        <v/>
      </c>
      <c r="I2194" s="1"/>
    </row>
    <row r="2195" spans="1:9" ht="18" customHeight="1" x14ac:dyDescent="0.25">
      <c r="A2195" s="48">
        <v>2180</v>
      </c>
      <c r="B2195" s="49" t="str">
        <f t="array" ref="B2195">IFERROR(IF(INDEX(Transactions!$F$8:$F$3006,MATCH(0,COUNTIF($B$11:B2194,Transactions!$F$8:$F$3006),0))="","",INDEX(Transactions!$F$8:$F$3006,MATCH(0,COUNTIF($B$11:B2194,Transactions!$F$8:$F$3006),0))),"")</f>
        <v/>
      </c>
      <c r="C2195" s="50" t="str">
        <f>IF(B2195="","",SUMIF(Transactions!$F$8:$F$3006,B2195,Transactions!$H$8:$H$3006))</f>
        <v/>
      </c>
      <c r="D2195" s="51" t="str">
        <f>IF(B2195="","",SUMIF(Transactions!$F$8:$F$3006,B2195,Transactions!$N$8:$N$3006))</f>
        <v/>
      </c>
      <c r="E2195" s="52" t="str">
        <f>IF(B2195="","",SUMIF(Transactions!$F$8:$F$3006,B2195,Transactions!$O$8:$O$3006))</f>
        <v/>
      </c>
      <c r="F2195" s="53" t="str">
        <f>IF(B2195="","",SUMIF(Transactions!$F$8:$F$3006,B2195,Transactions!$R$8:$R$3006))</f>
        <v/>
      </c>
      <c r="G2195" s="54" t="str">
        <f>IF(B2195="","",(C2195+F2195)-(D2195+E2195+SUMIF(Transactions!$F$8:$F$3006,B2195,Transactions!$Q$8:$Q$3006)))</f>
        <v/>
      </c>
      <c r="H2195" s="55" t="str">
        <f>IF(B2195="","",IF(G2195&gt;0,"OUTSTANDING",IF(G2195=0,"SETTLED",IF(SUMIF(Transactions!$F$8:$F$3006,B2195,Transactions!$Q$8:$Q$3006)&gt;SUMIF(Transactions!$F$8:$F$3006,B2195,Transactions!$R$8:$R$3006),"OWES","OVERPAID"))))</f>
        <v/>
      </c>
      <c r="I2195" s="1"/>
    </row>
    <row r="2196" spans="1:9" ht="18" customHeight="1" x14ac:dyDescent="0.25">
      <c r="A2196" s="40">
        <v>2181</v>
      </c>
      <c r="B2196" s="41" t="str">
        <f t="array" ref="B2196">IFERROR(IF(INDEX(Transactions!$F$8:$F$3006,MATCH(0,COUNTIF($B$11:B2195,Transactions!$F$8:$F$3006),0))="","",INDEX(Transactions!$F$8:$F$3006,MATCH(0,COUNTIF($B$11:B2195,Transactions!$F$8:$F$3006),0))),"")</f>
        <v/>
      </c>
      <c r="C2196" s="42" t="str">
        <f>IF(B2196="","",SUMIF(Transactions!$F$8:$F$3006,B2196,Transactions!$H$8:$H$3006))</f>
        <v/>
      </c>
      <c r="D2196" s="43" t="str">
        <f>IF(B2196="","",SUMIF(Transactions!$F$8:$F$3006,B2196,Transactions!$N$8:$N$3006))</f>
        <v/>
      </c>
      <c r="E2196" s="44" t="str">
        <f>IF(B2196="","",SUMIF(Transactions!$F$8:$F$3006,B2196,Transactions!$O$8:$O$3006))</f>
        <v/>
      </c>
      <c r="F2196" s="45" t="str">
        <f>IF(B2196="","",SUMIF(Transactions!$F$8:$F$3006,B2196,Transactions!$R$8:$R$3006))</f>
        <v/>
      </c>
      <c r="G2196" s="46" t="str">
        <f>IF(B2196="","",(C2196+F2196)-(D2196+E2196+SUMIF(Transactions!$F$8:$F$3006,B2196,Transactions!$Q$8:$Q$3006)))</f>
        <v/>
      </c>
      <c r="H2196" s="47" t="str">
        <f>IF(B2196="","",IF(G2196&gt;0,"OUTSTANDING",IF(G2196=0,"SETTLED",IF(SUMIF(Transactions!$F$8:$F$3006,B2196,Transactions!$Q$8:$Q$3006)&gt;SUMIF(Transactions!$F$8:$F$3006,B2196,Transactions!$R$8:$R$3006),"OWES","OVERPAID"))))</f>
        <v/>
      </c>
      <c r="I2196" s="1"/>
    </row>
    <row r="2197" spans="1:9" ht="18" customHeight="1" x14ac:dyDescent="0.25">
      <c r="A2197" s="48">
        <v>2182</v>
      </c>
      <c r="B2197" s="49" t="str">
        <f t="array" ref="B2197">IFERROR(IF(INDEX(Transactions!$F$8:$F$3006,MATCH(0,COUNTIF($B$11:B2196,Transactions!$F$8:$F$3006),0))="","",INDEX(Transactions!$F$8:$F$3006,MATCH(0,COUNTIF($B$11:B2196,Transactions!$F$8:$F$3006),0))),"")</f>
        <v/>
      </c>
      <c r="C2197" s="50" t="str">
        <f>IF(B2197="","",SUMIF(Transactions!$F$8:$F$3006,B2197,Transactions!$H$8:$H$3006))</f>
        <v/>
      </c>
      <c r="D2197" s="51" t="str">
        <f>IF(B2197="","",SUMIF(Transactions!$F$8:$F$3006,B2197,Transactions!$N$8:$N$3006))</f>
        <v/>
      </c>
      <c r="E2197" s="52" t="str">
        <f>IF(B2197="","",SUMIF(Transactions!$F$8:$F$3006,B2197,Transactions!$O$8:$O$3006))</f>
        <v/>
      </c>
      <c r="F2197" s="53" t="str">
        <f>IF(B2197="","",SUMIF(Transactions!$F$8:$F$3006,B2197,Transactions!$R$8:$R$3006))</f>
        <v/>
      </c>
      <c r="G2197" s="54" t="str">
        <f>IF(B2197="","",(C2197+F2197)-(D2197+E2197+SUMIF(Transactions!$F$8:$F$3006,B2197,Transactions!$Q$8:$Q$3006)))</f>
        <v/>
      </c>
      <c r="H2197" s="55" t="str">
        <f>IF(B2197="","",IF(G2197&gt;0,"OUTSTANDING",IF(G2197=0,"SETTLED",IF(SUMIF(Transactions!$F$8:$F$3006,B2197,Transactions!$Q$8:$Q$3006)&gt;SUMIF(Transactions!$F$8:$F$3006,B2197,Transactions!$R$8:$R$3006),"OWES","OVERPAID"))))</f>
        <v/>
      </c>
      <c r="I2197" s="1"/>
    </row>
    <row r="2198" spans="1:9" ht="18" customHeight="1" x14ac:dyDescent="0.25">
      <c r="A2198" s="40">
        <v>2183</v>
      </c>
      <c r="B2198" s="41" t="str">
        <f t="array" ref="B2198">IFERROR(IF(INDEX(Transactions!$F$8:$F$3006,MATCH(0,COUNTIF($B$11:B2197,Transactions!$F$8:$F$3006),0))="","",INDEX(Transactions!$F$8:$F$3006,MATCH(0,COUNTIF($B$11:B2197,Transactions!$F$8:$F$3006),0))),"")</f>
        <v/>
      </c>
      <c r="C2198" s="42" t="str">
        <f>IF(B2198="","",SUMIF(Transactions!$F$8:$F$3006,B2198,Transactions!$H$8:$H$3006))</f>
        <v/>
      </c>
      <c r="D2198" s="43" t="str">
        <f>IF(B2198="","",SUMIF(Transactions!$F$8:$F$3006,B2198,Transactions!$N$8:$N$3006))</f>
        <v/>
      </c>
      <c r="E2198" s="44" t="str">
        <f>IF(B2198="","",SUMIF(Transactions!$F$8:$F$3006,B2198,Transactions!$O$8:$O$3006))</f>
        <v/>
      </c>
      <c r="F2198" s="45" t="str">
        <f>IF(B2198="","",SUMIF(Transactions!$F$8:$F$3006,B2198,Transactions!$R$8:$R$3006))</f>
        <v/>
      </c>
      <c r="G2198" s="46" t="str">
        <f>IF(B2198="","",(C2198+F2198)-(D2198+E2198+SUMIF(Transactions!$F$8:$F$3006,B2198,Transactions!$Q$8:$Q$3006)))</f>
        <v/>
      </c>
      <c r="H2198" s="47" t="str">
        <f>IF(B2198="","",IF(G2198&gt;0,"OUTSTANDING",IF(G2198=0,"SETTLED",IF(SUMIF(Transactions!$F$8:$F$3006,B2198,Transactions!$Q$8:$Q$3006)&gt;SUMIF(Transactions!$F$8:$F$3006,B2198,Transactions!$R$8:$R$3006),"OWES","OVERPAID"))))</f>
        <v/>
      </c>
      <c r="I2198" s="1"/>
    </row>
    <row r="2199" spans="1:9" ht="18" customHeight="1" x14ac:dyDescent="0.25">
      <c r="A2199" s="48">
        <v>2184</v>
      </c>
      <c r="B2199" s="49" t="str">
        <f t="array" ref="B2199">IFERROR(IF(INDEX(Transactions!$F$8:$F$3006,MATCH(0,COUNTIF($B$11:B2198,Transactions!$F$8:$F$3006),0))="","",INDEX(Transactions!$F$8:$F$3006,MATCH(0,COUNTIF($B$11:B2198,Transactions!$F$8:$F$3006),0))),"")</f>
        <v/>
      </c>
      <c r="C2199" s="50" t="str">
        <f>IF(B2199="","",SUMIF(Transactions!$F$8:$F$3006,B2199,Transactions!$H$8:$H$3006))</f>
        <v/>
      </c>
      <c r="D2199" s="51" t="str">
        <f>IF(B2199="","",SUMIF(Transactions!$F$8:$F$3006,B2199,Transactions!$N$8:$N$3006))</f>
        <v/>
      </c>
      <c r="E2199" s="52" t="str">
        <f>IF(B2199="","",SUMIF(Transactions!$F$8:$F$3006,B2199,Transactions!$O$8:$O$3006))</f>
        <v/>
      </c>
      <c r="F2199" s="53" t="str">
        <f>IF(B2199="","",SUMIF(Transactions!$F$8:$F$3006,B2199,Transactions!$R$8:$R$3006))</f>
        <v/>
      </c>
      <c r="G2199" s="54" t="str">
        <f>IF(B2199="","",(C2199+F2199)-(D2199+E2199+SUMIF(Transactions!$F$8:$F$3006,B2199,Transactions!$Q$8:$Q$3006)))</f>
        <v/>
      </c>
      <c r="H2199" s="55" t="str">
        <f>IF(B2199="","",IF(G2199&gt;0,"OUTSTANDING",IF(G2199=0,"SETTLED",IF(SUMIF(Transactions!$F$8:$F$3006,B2199,Transactions!$Q$8:$Q$3006)&gt;SUMIF(Transactions!$F$8:$F$3006,B2199,Transactions!$R$8:$R$3006),"OWES","OVERPAID"))))</f>
        <v/>
      </c>
      <c r="I2199" s="1"/>
    </row>
    <row r="2200" spans="1:9" ht="18" customHeight="1" x14ac:dyDescent="0.25">
      <c r="A2200" s="40">
        <v>2185</v>
      </c>
      <c r="B2200" s="41" t="str">
        <f t="array" ref="B2200">IFERROR(IF(INDEX(Transactions!$F$8:$F$3006,MATCH(0,COUNTIF($B$11:B2199,Transactions!$F$8:$F$3006),0))="","",INDEX(Transactions!$F$8:$F$3006,MATCH(0,COUNTIF($B$11:B2199,Transactions!$F$8:$F$3006),0))),"")</f>
        <v/>
      </c>
      <c r="C2200" s="42" t="str">
        <f>IF(B2200="","",SUMIF(Transactions!$F$8:$F$3006,B2200,Transactions!$H$8:$H$3006))</f>
        <v/>
      </c>
      <c r="D2200" s="43" t="str">
        <f>IF(B2200="","",SUMIF(Transactions!$F$8:$F$3006,B2200,Transactions!$N$8:$N$3006))</f>
        <v/>
      </c>
      <c r="E2200" s="44" t="str">
        <f>IF(B2200="","",SUMIF(Transactions!$F$8:$F$3006,B2200,Transactions!$O$8:$O$3006))</f>
        <v/>
      </c>
      <c r="F2200" s="45" t="str">
        <f>IF(B2200="","",SUMIF(Transactions!$F$8:$F$3006,B2200,Transactions!$R$8:$R$3006))</f>
        <v/>
      </c>
      <c r="G2200" s="46" t="str">
        <f>IF(B2200="","",(C2200+F2200)-(D2200+E2200+SUMIF(Transactions!$F$8:$F$3006,B2200,Transactions!$Q$8:$Q$3006)))</f>
        <v/>
      </c>
      <c r="H2200" s="47" t="str">
        <f>IF(B2200="","",IF(G2200&gt;0,"OUTSTANDING",IF(G2200=0,"SETTLED",IF(SUMIF(Transactions!$F$8:$F$3006,B2200,Transactions!$Q$8:$Q$3006)&gt;SUMIF(Transactions!$F$8:$F$3006,B2200,Transactions!$R$8:$R$3006),"OWES","OVERPAID"))))</f>
        <v/>
      </c>
      <c r="I2200" s="1"/>
    </row>
    <row r="2201" spans="1:9" ht="18" customHeight="1" x14ac:dyDescent="0.25">
      <c r="A2201" s="48">
        <v>2186</v>
      </c>
      <c r="B2201" s="49" t="str">
        <f t="array" ref="B2201">IFERROR(IF(INDEX(Transactions!$F$8:$F$3006,MATCH(0,COUNTIF($B$11:B2200,Transactions!$F$8:$F$3006),0))="","",INDEX(Transactions!$F$8:$F$3006,MATCH(0,COUNTIF($B$11:B2200,Transactions!$F$8:$F$3006),0))),"")</f>
        <v/>
      </c>
      <c r="C2201" s="50" t="str">
        <f>IF(B2201="","",SUMIF(Transactions!$F$8:$F$3006,B2201,Transactions!$H$8:$H$3006))</f>
        <v/>
      </c>
      <c r="D2201" s="51" t="str">
        <f>IF(B2201="","",SUMIF(Transactions!$F$8:$F$3006,B2201,Transactions!$N$8:$N$3006))</f>
        <v/>
      </c>
      <c r="E2201" s="52" t="str">
        <f>IF(B2201="","",SUMIF(Transactions!$F$8:$F$3006,B2201,Transactions!$O$8:$O$3006))</f>
        <v/>
      </c>
      <c r="F2201" s="53" t="str">
        <f>IF(B2201="","",SUMIF(Transactions!$F$8:$F$3006,B2201,Transactions!$R$8:$R$3006))</f>
        <v/>
      </c>
      <c r="G2201" s="54" t="str">
        <f>IF(B2201="","",(C2201+F2201)-(D2201+E2201+SUMIF(Transactions!$F$8:$F$3006,B2201,Transactions!$Q$8:$Q$3006)))</f>
        <v/>
      </c>
      <c r="H2201" s="55" t="str">
        <f>IF(B2201="","",IF(G2201&gt;0,"OUTSTANDING",IF(G2201=0,"SETTLED",IF(SUMIF(Transactions!$F$8:$F$3006,B2201,Transactions!$Q$8:$Q$3006)&gt;SUMIF(Transactions!$F$8:$F$3006,B2201,Transactions!$R$8:$R$3006),"OWES","OVERPAID"))))</f>
        <v/>
      </c>
      <c r="I2201" s="1"/>
    </row>
    <row r="2202" spans="1:9" ht="18" customHeight="1" x14ac:dyDescent="0.25">
      <c r="A2202" s="40">
        <v>2187</v>
      </c>
      <c r="B2202" s="41" t="str">
        <f t="array" ref="B2202">IFERROR(IF(INDEX(Transactions!$F$8:$F$3006,MATCH(0,COUNTIF($B$11:B2201,Transactions!$F$8:$F$3006),0))="","",INDEX(Transactions!$F$8:$F$3006,MATCH(0,COUNTIF($B$11:B2201,Transactions!$F$8:$F$3006),0))),"")</f>
        <v/>
      </c>
      <c r="C2202" s="42" t="str">
        <f>IF(B2202="","",SUMIF(Transactions!$F$8:$F$3006,B2202,Transactions!$H$8:$H$3006))</f>
        <v/>
      </c>
      <c r="D2202" s="43" t="str">
        <f>IF(B2202="","",SUMIF(Transactions!$F$8:$F$3006,B2202,Transactions!$N$8:$N$3006))</f>
        <v/>
      </c>
      <c r="E2202" s="44" t="str">
        <f>IF(B2202="","",SUMIF(Transactions!$F$8:$F$3006,B2202,Transactions!$O$8:$O$3006))</f>
        <v/>
      </c>
      <c r="F2202" s="45" t="str">
        <f>IF(B2202="","",SUMIF(Transactions!$F$8:$F$3006,B2202,Transactions!$R$8:$R$3006))</f>
        <v/>
      </c>
      <c r="G2202" s="46" t="str">
        <f>IF(B2202="","",(C2202+F2202)-(D2202+E2202+SUMIF(Transactions!$F$8:$F$3006,B2202,Transactions!$Q$8:$Q$3006)))</f>
        <v/>
      </c>
      <c r="H2202" s="47" t="str">
        <f>IF(B2202="","",IF(G2202&gt;0,"OUTSTANDING",IF(G2202=0,"SETTLED",IF(SUMIF(Transactions!$F$8:$F$3006,B2202,Transactions!$Q$8:$Q$3006)&gt;SUMIF(Transactions!$F$8:$F$3006,B2202,Transactions!$R$8:$R$3006),"OWES","OVERPAID"))))</f>
        <v/>
      </c>
      <c r="I2202" s="1"/>
    </row>
    <row r="2203" spans="1:9" ht="18" customHeight="1" x14ac:dyDescent="0.25">
      <c r="A2203" s="48">
        <v>2188</v>
      </c>
      <c r="B2203" s="49" t="str">
        <f t="array" ref="B2203">IFERROR(IF(INDEX(Transactions!$F$8:$F$3006,MATCH(0,COUNTIF($B$11:B2202,Transactions!$F$8:$F$3006),0))="","",INDEX(Transactions!$F$8:$F$3006,MATCH(0,COUNTIF($B$11:B2202,Transactions!$F$8:$F$3006),0))),"")</f>
        <v/>
      </c>
      <c r="C2203" s="50" t="str">
        <f>IF(B2203="","",SUMIF(Transactions!$F$8:$F$3006,B2203,Transactions!$H$8:$H$3006))</f>
        <v/>
      </c>
      <c r="D2203" s="51" t="str">
        <f>IF(B2203="","",SUMIF(Transactions!$F$8:$F$3006,B2203,Transactions!$N$8:$N$3006))</f>
        <v/>
      </c>
      <c r="E2203" s="52" t="str">
        <f>IF(B2203="","",SUMIF(Transactions!$F$8:$F$3006,B2203,Transactions!$O$8:$O$3006))</f>
        <v/>
      </c>
      <c r="F2203" s="53" t="str">
        <f>IF(B2203="","",SUMIF(Transactions!$F$8:$F$3006,B2203,Transactions!$R$8:$R$3006))</f>
        <v/>
      </c>
      <c r="G2203" s="54" t="str">
        <f>IF(B2203="","",(C2203+F2203)-(D2203+E2203+SUMIF(Transactions!$F$8:$F$3006,B2203,Transactions!$Q$8:$Q$3006)))</f>
        <v/>
      </c>
      <c r="H2203" s="55" t="str">
        <f>IF(B2203="","",IF(G2203&gt;0,"OUTSTANDING",IF(G2203=0,"SETTLED",IF(SUMIF(Transactions!$F$8:$F$3006,B2203,Transactions!$Q$8:$Q$3006)&gt;SUMIF(Transactions!$F$8:$F$3006,B2203,Transactions!$R$8:$R$3006),"OWES","OVERPAID"))))</f>
        <v/>
      </c>
      <c r="I2203" s="1"/>
    </row>
    <row r="2204" spans="1:9" ht="18" customHeight="1" x14ac:dyDescent="0.25">
      <c r="A2204" s="40">
        <v>2189</v>
      </c>
      <c r="B2204" s="41" t="str">
        <f t="array" ref="B2204">IFERROR(IF(INDEX(Transactions!$F$8:$F$3006,MATCH(0,COUNTIF($B$11:B2203,Transactions!$F$8:$F$3006),0))="","",INDEX(Transactions!$F$8:$F$3006,MATCH(0,COUNTIF($B$11:B2203,Transactions!$F$8:$F$3006),0))),"")</f>
        <v/>
      </c>
      <c r="C2204" s="42" t="str">
        <f>IF(B2204="","",SUMIF(Transactions!$F$8:$F$3006,B2204,Transactions!$H$8:$H$3006))</f>
        <v/>
      </c>
      <c r="D2204" s="43" t="str">
        <f>IF(B2204="","",SUMIF(Transactions!$F$8:$F$3006,B2204,Transactions!$N$8:$N$3006))</f>
        <v/>
      </c>
      <c r="E2204" s="44" t="str">
        <f>IF(B2204="","",SUMIF(Transactions!$F$8:$F$3006,B2204,Transactions!$O$8:$O$3006))</f>
        <v/>
      </c>
      <c r="F2204" s="45" t="str">
        <f>IF(B2204="","",SUMIF(Transactions!$F$8:$F$3006,B2204,Transactions!$R$8:$R$3006))</f>
        <v/>
      </c>
      <c r="G2204" s="46" t="str">
        <f>IF(B2204="","",(C2204+F2204)-(D2204+E2204+SUMIF(Transactions!$F$8:$F$3006,B2204,Transactions!$Q$8:$Q$3006)))</f>
        <v/>
      </c>
      <c r="H2204" s="47" t="str">
        <f>IF(B2204="","",IF(G2204&gt;0,"OUTSTANDING",IF(G2204=0,"SETTLED",IF(SUMIF(Transactions!$F$8:$F$3006,B2204,Transactions!$Q$8:$Q$3006)&gt;SUMIF(Transactions!$F$8:$F$3006,B2204,Transactions!$R$8:$R$3006),"OWES","OVERPAID"))))</f>
        <v/>
      </c>
      <c r="I2204" s="1"/>
    </row>
    <row r="2205" spans="1:9" ht="18" customHeight="1" x14ac:dyDescent="0.25">
      <c r="A2205" s="48">
        <v>2190</v>
      </c>
      <c r="B2205" s="49" t="str">
        <f t="array" ref="B2205">IFERROR(IF(INDEX(Transactions!$F$8:$F$3006,MATCH(0,COUNTIF($B$11:B2204,Transactions!$F$8:$F$3006),0))="","",INDEX(Transactions!$F$8:$F$3006,MATCH(0,COUNTIF($B$11:B2204,Transactions!$F$8:$F$3006),0))),"")</f>
        <v/>
      </c>
      <c r="C2205" s="50" t="str">
        <f>IF(B2205="","",SUMIF(Transactions!$F$8:$F$3006,B2205,Transactions!$H$8:$H$3006))</f>
        <v/>
      </c>
      <c r="D2205" s="51" t="str">
        <f>IF(B2205="","",SUMIF(Transactions!$F$8:$F$3006,B2205,Transactions!$N$8:$N$3006))</f>
        <v/>
      </c>
      <c r="E2205" s="52" t="str">
        <f>IF(B2205="","",SUMIF(Transactions!$F$8:$F$3006,B2205,Transactions!$O$8:$O$3006))</f>
        <v/>
      </c>
      <c r="F2205" s="53" t="str">
        <f>IF(B2205="","",SUMIF(Transactions!$F$8:$F$3006,B2205,Transactions!$R$8:$R$3006))</f>
        <v/>
      </c>
      <c r="G2205" s="54" t="str">
        <f>IF(B2205="","",(C2205+F2205)-(D2205+E2205+SUMIF(Transactions!$F$8:$F$3006,B2205,Transactions!$Q$8:$Q$3006)))</f>
        <v/>
      </c>
      <c r="H2205" s="55" t="str">
        <f>IF(B2205="","",IF(G2205&gt;0,"OUTSTANDING",IF(G2205=0,"SETTLED",IF(SUMIF(Transactions!$F$8:$F$3006,B2205,Transactions!$Q$8:$Q$3006)&gt;SUMIF(Transactions!$F$8:$F$3006,B2205,Transactions!$R$8:$R$3006),"OWES","OVERPAID"))))</f>
        <v/>
      </c>
      <c r="I2205" s="1"/>
    </row>
    <row r="2206" spans="1:9" ht="18" customHeight="1" x14ac:dyDescent="0.25">
      <c r="A2206" s="40">
        <v>2191</v>
      </c>
      <c r="B2206" s="41" t="str">
        <f t="array" ref="B2206">IFERROR(IF(INDEX(Transactions!$F$8:$F$3006,MATCH(0,COUNTIF($B$11:B2205,Transactions!$F$8:$F$3006),0))="","",INDEX(Transactions!$F$8:$F$3006,MATCH(0,COUNTIF($B$11:B2205,Transactions!$F$8:$F$3006),0))),"")</f>
        <v/>
      </c>
      <c r="C2206" s="42" t="str">
        <f>IF(B2206="","",SUMIF(Transactions!$F$8:$F$3006,B2206,Transactions!$H$8:$H$3006))</f>
        <v/>
      </c>
      <c r="D2206" s="43" t="str">
        <f>IF(B2206="","",SUMIF(Transactions!$F$8:$F$3006,B2206,Transactions!$N$8:$N$3006))</f>
        <v/>
      </c>
      <c r="E2206" s="44" t="str">
        <f>IF(B2206="","",SUMIF(Transactions!$F$8:$F$3006,B2206,Transactions!$O$8:$O$3006))</f>
        <v/>
      </c>
      <c r="F2206" s="45" t="str">
        <f>IF(B2206="","",SUMIF(Transactions!$F$8:$F$3006,B2206,Transactions!$R$8:$R$3006))</f>
        <v/>
      </c>
      <c r="G2206" s="46" t="str">
        <f>IF(B2206="","",(C2206+F2206)-(D2206+E2206+SUMIF(Transactions!$F$8:$F$3006,B2206,Transactions!$Q$8:$Q$3006)))</f>
        <v/>
      </c>
      <c r="H2206" s="47" t="str">
        <f>IF(B2206="","",IF(G2206&gt;0,"OUTSTANDING",IF(G2206=0,"SETTLED",IF(SUMIF(Transactions!$F$8:$F$3006,B2206,Transactions!$Q$8:$Q$3006)&gt;SUMIF(Transactions!$F$8:$F$3006,B2206,Transactions!$R$8:$R$3006),"OWES","OVERPAID"))))</f>
        <v/>
      </c>
      <c r="I2206" s="1"/>
    </row>
    <row r="2207" spans="1:9" ht="18" customHeight="1" x14ac:dyDescent="0.25">
      <c r="A2207" s="48">
        <v>2192</v>
      </c>
      <c r="B2207" s="49" t="str">
        <f t="array" ref="B2207">IFERROR(IF(INDEX(Transactions!$F$8:$F$3006,MATCH(0,COUNTIF($B$11:B2206,Transactions!$F$8:$F$3006),0))="","",INDEX(Transactions!$F$8:$F$3006,MATCH(0,COUNTIF($B$11:B2206,Transactions!$F$8:$F$3006),0))),"")</f>
        <v/>
      </c>
      <c r="C2207" s="50" t="str">
        <f>IF(B2207="","",SUMIF(Transactions!$F$8:$F$3006,B2207,Transactions!$H$8:$H$3006))</f>
        <v/>
      </c>
      <c r="D2207" s="51" t="str">
        <f>IF(B2207="","",SUMIF(Transactions!$F$8:$F$3006,B2207,Transactions!$N$8:$N$3006))</f>
        <v/>
      </c>
      <c r="E2207" s="52" t="str">
        <f>IF(B2207="","",SUMIF(Transactions!$F$8:$F$3006,B2207,Transactions!$O$8:$O$3006))</f>
        <v/>
      </c>
      <c r="F2207" s="53" t="str">
        <f>IF(B2207="","",SUMIF(Transactions!$F$8:$F$3006,B2207,Transactions!$R$8:$R$3006))</f>
        <v/>
      </c>
      <c r="G2207" s="54" t="str">
        <f>IF(B2207="","",(C2207+F2207)-(D2207+E2207+SUMIF(Transactions!$F$8:$F$3006,B2207,Transactions!$Q$8:$Q$3006)))</f>
        <v/>
      </c>
      <c r="H2207" s="55" t="str">
        <f>IF(B2207="","",IF(G2207&gt;0,"OUTSTANDING",IF(G2207=0,"SETTLED",IF(SUMIF(Transactions!$F$8:$F$3006,B2207,Transactions!$Q$8:$Q$3006)&gt;SUMIF(Transactions!$F$8:$F$3006,B2207,Transactions!$R$8:$R$3006),"OWES","OVERPAID"))))</f>
        <v/>
      </c>
      <c r="I2207" s="1"/>
    </row>
    <row r="2208" spans="1:9" ht="18" customHeight="1" x14ac:dyDescent="0.25">
      <c r="A2208" s="40">
        <v>2193</v>
      </c>
      <c r="B2208" s="41" t="str">
        <f t="array" ref="B2208">IFERROR(IF(INDEX(Transactions!$F$8:$F$3006,MATCH(0,COUNTIF($B$11:B2207,Transactions!$F$8:$F$3006),0))="","",INDEX(Transactions!$F$8:$F$3006,MATCH(0,COUNTIF($B$11:B2207,Transactions!$F$8:$F$3006),0))),"")</f>
        <v/>
      </c>
      <c r="C2208" s="42" t="str">
        <f>IF(B2208="","",SUMIF(Transactions!$F$8:$F$3006,B2208,Transactions!$H$8:$H$3006))</f>
        <v/>
      </c>
      <c r="D2208" s="43" t="str">
        <f>IF(B2208="","",SUMIF(Transactions!$F$8:$F$3006,B2208,Transactions!$N$8:$N$3006))</f>
        <v/>
      </c>
      <c r="E2208" s="44" t="str">
        <f>IF(B2208="","",SUMIF(Transactions!$F$8:$F$3006,B2208,Transactions!$O$8:$O$3006))</f>
        <v/>
      </c>
      <c r="F2208" s="45" t="str">
        <f>IF(B2208="","",SUMIF(Transactions!$F$8:$F$3006,B2208,Transactions!$R$8:$R$3006))</f>
        <v/>
      </c>
      <c r="G2208" s="46" t="str">
        <f>IF(B2208="","",(C2208+F2208)-(D2208+E2208+SUMIF(Transactions!$F$8:$F$3006,B2208,Transactions!$Q$8:$Q$3006)))</f>
        <v/>
      </c>
      <c r="H2208" s="47" t="str">
        <f>IF(B2208="","",IF(G2208&gt;0,"OUTSTANDING",IF(G2208=0,"SETTLED",IF(SUMIF(Transactions!$F$8:$F$3006,B2208,Transactions!$Q$8:$Q$3006)&gt;SUMIF(Transactions!$F$8:$F$3006,B2208,Transactions!$R$8:$R$3006),"OWES","OVERPAID"))))</f>
        <v/>
      </c>
      <c r="I2208" s="1"/>
    </row>
    <row r="2209" spans="1:9" ht="18" customHeight="1" x14ac:dyDescent="0.25">
      <c r="A2209" s="48">
        <v>2194</v>
      </c>
      <c r="B2209" s="49" t="str">
        <f t="array" ref="B2209">IFERROR(IF(INDEX(Transactions!$F$8:$F$3006,MATCH(0,COUNTIF($B$11:B2208,Transactions!$F$8:$F$3006),0))="","",INDEX(Transactions!$F$8:$F$3006,MATCH(0,COUNTIF($B$11:B2208,Transactions!$F$8:$F$3006),0))),"")</f>
        <v/>
      </c>
      <c r="C2209" s="50" t="str">
        <f>IF(B2209="","",SUMIF(Transactions!$F$8:$F$3006,B2209,Transactions!$H$8:$H$3006))</f>
        <v/>
      </c>
      <c r="D2209" s="51" t="str">
        <f>IF(B2209="","",SUMIF(Transactions!$F$8:$F$3006,B2209,Transactions!$N$8:$N$3006))</f>
        <v/>
      </c>
      <c r="E2209" s="52" t="str">
        <f>IF(B2209="","",SUMIF(Transactions!$F$8:$F$3006,B2209,Transactions!$O$8:$O$3006))</f>
        <v/>
      </c>
      <c r="F2209" s="53" t="str">
        <f>IF(B2209="","",SUMIF(Transactions!$F$8:$F$3006,B2209,Transactions!$R$8:$R$3006))</f>
        <v/>
      </c>
      <c r="G2209" s="54" t="str">
        <f>IF(B2209="","",(C2209+F2209)-(D2209+E2209+SUMIF(Transactions!$F$8:$F$3006,B2209,Transactions!$Q$8:$Q$3006)))</f>
        <v/>
      </c>
      <c r="H2209" s="55" t="str">
        <f>IF(B2209="","",IF(G2209&gt;0,"OUTSTANDING",IF(G2209=0,"SETTLED",IF(SUMIF(Transactions!$F$8:$F$3006,B2209,Transactions!$Q$8:$Q$3006)&gt;SUMIF(Transactions!$F$8:$F$3006,B2209,Transactions!$R$8:$R$3006),"OWES","OVERPAID"))))</f>
        <v/>
      </c>
      <c r="I2209" s="1"/>
    </row>
    <row r="2210" spans="1:9" ht="18" customHeight="1" x14ac:dyDescent="0.25">
      <c r="A2210" s="40">
        <v>2195</v>
      </c>
      <c r="B2210" s="41" t="str">
        <f t="array" ref="B2210">IFERROR(IF(INDEX(Transactions!$F$8:$F$3006,MATCH(0,COUNTIF($B$11:B2209,Transactions!$F$8:$F$3006),0))="","",INDEX(Transactions!$F$8:$F$3006,MATCH(0,COUNTIF($B$11:B2209,Transactions!$F$8:$F$3006),0))),"")</f>
        <v/>
      </c>
      <c r="C2210" s="42" t="str">
        <f>IF(B2210="","",SUMIF(Transactions!$F$8:$F$3006,B2210,Transactions!$H$8:$H$3006))</f>
        <v/>
      </c>
      <c r="D2210" s="43" t="str">
        <f>IF(B2210="","",SUMIF(Transactions!$F$8:$F$3006,B2210,Transactions!$N$8:$N$3006))</f>
        <v/>
      </c>
      <c r="E2210" s="44" t="str">
        <f>IF(B2210="","",SUMIF(Transactions!$F$8:$F$3006,B2210,Transactions!$O$8:$O$3006))</f>
        <v/>
      </c>
      <c r="F2210" s="45" t="str">
        <f>IF(B2210="","",SUMIF(Transactions!$F$8:$F$3006,B2210,Transactions!$R$8:$R$3006))</f>
        <v/>
      </c>
      <c r="G2210" s="46" t="str">
        <f>IF(B2210="","",(C2210+F2210)-(D2210+E2210+SUMIF(Transactions!$F$8:$F$3006,B2210,Transactions!$Q$8:$Q$3006)))</f>
        <v/>
      </c>
      <c r="H2210" s="47" t="str">
        <f>IF(B2210="","",IF(G2210&gt;0,"OUTSTANDING",IF(G2210=0,"SETTLED",IF(SUMIF(Transactions!$F$8:$F$3006,B2210,Transactions!$Q$8:$Q$3006)&gt;SUMIF(Transactions!$F$8:$F$3006,B2210,Transactions!$R$8:$R$3006),"OWES","OVERPAID"))))</f>
        <v/>
      </c>
      <c r="I2210" s="1"/>
    </row>
    <row r="2211" spans="1:9" ht="18" customHeight="1" x14ac:dyDescent="0.25">
      <c r="A2211" s="48">
        <v>2196</v>
      </c>
      <c r="B2211" s="49" t="str">
        <f t="array" ref="B2211">IFERROR(IF(INDEX(Transactions!$F$8:$F$3006,MATCH(0,COUNTIF($B$11:B2210,Transactions!$F$8:$F$3006),0))="","",INDEX(Transactions!$F$8:$F$3006,MATCH(0,COUNTIF($B$11:B2210,Transactions!$F$8:$F$3006),0))),"")</f>
        <v/>
      </c>
      <c r="C2211" s="50" t="str">
        <f>IF(B2211="","",SUMIF(Transactions!$F$8:$F$3006,B2211,Transactions!$H$8:$H$3006))</f>
        <v/>
      </c>
      <c r="D2211" s="51" t="str">
        <f>IF(B2211="","",SUMIF(Transactions!$F$8:$F$3006,B2211,Transactions!$N$8:$N$3006))</f>
        <v/>
      </c>
      <c r="E2211" s="52" t="str">
        <f>IF(B2211="","",SUMIF(Transactions!$F$8:$F$3006,B2211,Transactions!$O$8:$O$3006))</f>
        <v/>
      </c>
      <c r="F2211" s="53" t="str">
        <f>IF(B2211="","",SUMIF(Transactions!$F$8:$F$3006,B2211,Transactions!$R$8:$R$3006))</f>
        <v/>
      </c>
      <c r="G2211" s="54" t="str">
        <f>IF(B2211="","",(C2211+F2211)-(D2211+E2211+SUMIF(Transactions!$F$8:$F$3006,B2211,Transactions!$Q$8:$Q$3006)))</f>
        <v/>
      </c>
      <c r="H2211" s="55" t="str">
        <f>IF(B2211="","",IF(G2211&gt;0,"OUTSTANDING",IF(G2211=0,"SETTLED",IF(SUMIF(Transactions!$F$8:$F$3006,B2211,Transactions!$Q$8:$Q$3006)&gt;SUMIF(Transactions!$F$8:$F$3006,B2211,Transactions!$R$8:$R$3006),"OWES","OVERPAID"))))</f>
        <v/>
      </c>
      <c r="I2211" s="1"/>
    </row>
    <row r="2212" spans="1:9" ht="18" customHeight="1" x14ac:dyDescent="0.25">
      <c r="A2212" s="40">
        <v>2197</v>
      </c>
      <c r="B2212" s="41" t="str">
        <f t="array" ref="B2212">IFERROR(IF(INDEX(Transactions!$F$8:$F$3006,MATCH(0,COUNTIF($B$11:B2211,Transactions!$F$8:$F$3006),0))="","",INDEX(Transactions!$F$8:$F$3006,MATCH(0,COUNTIF($B$11:B2211,Transactions!$F$8:$F$3006),0))),"")</f>
        <v/>
      </c>
      <c r="C2212" s="42" t="str">
        <f>IF(B2212="","",SUMIF(Transactions!$F$8:$F$3006,B2212,Transactions!$H$8:$H$3006))</f>
        <v/>
      </c>
      <c r="D2212" s="43" t="str">
        <f>IF(B2212="","",SUMIF(Transactions!$F$8:$F$3006,B2212,Transactions!$N$8:$N$3006))</f>
        <v/>
      </c>
      <c r="E2212" s="44" t="str">
        <f>IF(B2212="","",SUMIF(Transactions!$F$8:$F$3006,B2212,Transactions!$O$8:$O$3006))</f>
        <v/>
      </c>
      <c r="F2212" s="45" t="str">
        <f>IF(B2212="","",SUMIF(Transactions!$F$8:$F$3006,B2212,Transactions!$R$8:$R$3006))</f>
        <v/>
      </c>
      <c r="G2212" s="46" t="str">
        <f>IF(B2212="","",(C2212+F2212)-(D2212+E2212+SUMIF(Transactions!$F$8:$F$3006,B2212,Transactions!$Q$8:$Q$3006)))</f>
        <v/>
      </c>
      <c r="H2212" s="47" t="str">
        <f>IF(B2212="","",IF(G2212&gt;0,"OUTSTANDING",IF(G2212=0,"SETTLED",IF(SUMIF(Transactions!$F$8:$F$3006,B2212,Transactions!$Q$8:$Q$3006)&gt;SUMIF(Transactions!$F$8:$F$3006,B2212,Transactions!$R$8:$R$3006),"OWES","OVERPAID"))))</f>
        <v/>
      </c>
      <c r="I2212" s="1"/>
    </row>
    <row r="2213" spans="1:9" ht="18" customHeight="1" x14ac:dyDescent="0.25">
      <c r="A2213" s="48">
        <v>2198</v>
      </c>
      <c r="B2213" s="49" t="str">
        <f t="array" ref="B2213">IFERROR(IF(INDEX(Transactions!$F$8:$F$3006,MATCH(0,COUNTIF($B$11:B2212,Transactions!$F$8:$F$3006),0))="","",INDEX(Transactions!$F$8:$F$3006,MATCH(0,COUNTIF($B$11:B2212,Transactions!$F$8:$F$3006),0))),"")</f>
        <v/>
      </c>
      <c r="C2213" s="50" t="str">
        <f>IF(B2213="","",SUMIF(Transactions!$F$8:$F$3006,B2213,Transactions!$H$8:$H$3006))</f>
        <v/>
      </c>
      <c r="D2213" s="51" t="str">
        <f>IF(B2213="","",SUMIF(Transactions!$F$8:$F$3006,B2213,Transactions!$N$8:$N$3006))</f>
        <v/>
      </c>
      <c r="E2213" s="52" t="str">
        <f>IF(B2213="","",SUMIF(Transactions!$F$8:$F$3006,B2213,Transactions!$O$8:$O$3006))</f>
        <v/>
      </c>
      <c r="F2213" s="53" t="str">
        <f>IF(B2213="","",SUMIF(Transactions!$F$8:$F$3006,B2213,Transactions!$R$8:$R$3006))</f>
        <v/>
      </c>
      <c r="G2213" s="54" t="str">
        <f>IF(B2213="","",(C2213+F2213)-(D2213+E2213+SUMIF(Transactions!$F$8:$F$3006,B2213,Transactions!$Q$8:$Q$3006)))</f>
        <v/>
      </c>
      <c r="H2213" s="55" t="str">
        <f>IF(B2213="","",IF(G2213&gt;0,"OUTSTANDING",IF(G2213=0,"SETTLED",IF(SUMIF(Transactions!$F$8:$F$3006,B2213,Transactions!$Q$8:$Q$3006)&gt;SUMIF(Transactions!$F$8:$F$3006,B2213,Transactions!$R$8:$R$3006),"OWES","OVERPAID"))))</f>
        <v/>
      </c>
      <c r="I2213" s="1"/>
    </row>
    <row r="2214" spans="1:9" ht="18" customHeight="1" x14ac:dyDescent="0.25">
      <c r="A2214" s="40">
        <v>2199</v>
      </c>
      <c r="B2214" s="41" t="str">
        <f t="array" ref="B2214">IFERROR(IF(INDEX(Transactions!$F$8:$F$3006,MATCH(0,COUNTIF($B$11:B2213,Transactions!$F$8:$F$3006),0))="","",INDEX(Transactions!$F$8:$F$3006,MATCH(0,COUNTIF($B$11:B2213,Transactions!$F$8:$F$3006),0))),"")</f>
        <v/>
      </c>
      <c r="C2214" s="42" t="str">
        <f>IF(B2214="","",SUMIF(Transactions!$F$8:$F$3006,B2214,Transactions!$H$8:$H$3006))</f>
        <v/>
      </c>
      <c r="D2214" s="43" t="str">
        <f>IF(B2214="","",SUMIF(Transactions!$F$8:$F$3006,B2214,Transactions!$N$8:$N$3006))</f>
        <v/>
      </c>
      <c r="E2214" s="44" t="str">
        <f>IF(B2214="","",SUMIF(Transactions!$F$8:$F$3006,B2214,Transactions!$O$8:$O$3006))</f>
        <v/>
      </c>
      <c r="F2214" s="45" t="str">
        <f>IF(B2214="","",SUMIF(Transactions!$F$8:$F$3006,B2214,Transactions!$R$8:$R$3006))</f>
        <v/>
      </c>
      <c r="G2214" s="46" t="str">
        <f>IF(B2214="","",(C2214+F2214)-(D2214+E2214+SUMIF(Transactions!$F$8:$F$3006,B2214,Transactions!$Q$8:$Q$3006)))</f>
        <v/>
      </c>
      <c r="H2214" s="47" t="str">
        <f>IF(B2214="","",IF(G2214&gt;0,"OUTSTANDING",IF(G2214=0,"SETTLED",IF(SUMIF(Transactions!$F$8:$F$3006,B2214,Transactions!$Q$8:$Q$3006)&gt;SUMIF(Transactions!$F$8:$F$3006,B2214,Transactions!$R$8:$R$3006),"OWES","OVERPAID"))))</f>
        <v/>
      </c>
      <c r="I2214" s="1"/>
    </row>
    <row r="2215" spans="1:9" ht="18" customHeight="1" x14ac:dyDescent="0.25">
      <c r="A2215" s="48">
        <v>2200</v>
      </c>
      <c r="B2215" s="49" t="str">
        <f t="array" ref="B2215">IFERROR(IF(INDEX(Transactions!$F$8:$F$3006,MATCH(0,COUNTIF($B$11:B2214,Transactions!$F$8:$F$3006),0))="","",INDEX(Transactions!$F$8:$F$3006,MATCH(0,COUNTIF($B$11:B2214,Transactions!$F$8:$F$3006),0))),"")</f>
        <v/>
      </c>
      <c r="C2215" s="50" t="str">
        <f>IF(B2215="","",SUMIF(Transactions!$F$8:$F$3006,B2215,Transactions!$H$8:$H$3006))</f>
        <v/>
      </c>
      <c r="D2215" s="51" t="str">
        <f>IF(B2215="","",SUMIF(Transactions!$F$8:$F$3006,B2215,Transactions!$N$8:$N$3006))</f>
        <v/>
      </c>
      <c r="E2215" s="52" t="str">
        <f>IF(B2215="","",SUMIF(Transactions!$F$8:$F$3006,B2215,Transactions!$O$8:$O$3006))</f>
        <v/>
      </c>
      <c r="F2215" s="53" t="str">
        <f>IF(B2215="","",SUMIF(Transactions!$F$8:$F$3006,B2215,Transactions!$R$8:$R$3006))</f>
        <v/>
      </c>
      <c r="G2215" s="54" t="str">
        <f>IF(B2215="","",(C2215+F2215)-(D2215+E2215+SUMIF(Transactions!$F$8:$F$3006,B2215,Transactions!$Q$8:$Q$3006)))</f>
        <v/>
      </c>
      <c r="H2215" s="55" t="str">
        <f>IF(B2215="","",IF(G2215&gt;0,"OUTSTANDING",IF(G2215=0,"SETTLED",IF(SUMIF(Transactions!$F$8:$F$3006,B2215,Transactions!$Q$8:$Q$3006)&gt;SUMIF(Transactions!$F$8:$F$3006,B2215,Transactions!$R$8:$R$3006),"OWES","OVERPAID"))))</f>
        <v/>
      </c>
      <c r="I2215" s="1"/>
    </row>
    <row r="2216" spans="1:9" ht="18" customHeight="1" x14ac:dyDescent="0.25">
      <c r="A2216" s="40">
        <v>2201</v>
      </c>
      <c r="B2216" s="41" t="str">
        <f t="array" ref="B2216">IFERROR(IF(INDEX(Transactions!$F$8:$F$3006,MATCH(0,COUNTIF($B$11:B2215,Transactions!$F$8:$F$3006),0))="","",INDEX(Transactions!$F$8:$F$3006,MATCH(0,COUNTIF($B$11:B2215,Transactions!$F$8:$F$3006),0))),"")</f>
        <v/>
      </c>
      <c r="C2216" s="42" t="str">
        <f>IF(B2216="","",SUMIF(Transactions!$F$8:$F$3006,B2216,Transactions!$H$8:$H$3006))</f>
        <v/>
      </c>
      <c r="D2216" s="43" t="str">
        <f>IF(B2216="","",SUMIF(Transactions!$F$8:$F$3006,B2216,Transactions!$N$8:$N$3006))</f>
        <v/>
      </c>
      <c r="E2216" s="44" t="str">
        <f>IF(B2216="","",SUMIF(Transactions!$F$8:$F$3006,B2216,Transactions!$O$8:$O$3006))</f>
        <v/>
      </c>
      <c r="F2216" s="45" t="str">
        <f>IF(B2216="","",SUMIF(Transactions!$F$8:$F$3006,B2216,Transactions!$R$8:$R$3006))</f>
        <v/>
      </c>
      <c r="G2216" s="46" t="str">
        <f>IF(B2216="","",(C2216+F2216)-(D2216+E2216+SUMIF(Transactions!$F$8:$F$3006,B2216,Transactions!$Q$8:$Q$3006)))</f>
        <v/>
      </c>
      <c r="H2216" s="47" t="str">
        <f>IF(B2216="","",IF(G2216&gt;0,"OUTSTANDING",IF(G2216=0,"SETTLED",IF(SUMIF(Transactions!$F$8:$F$3006,B2216,Transactions!$Q$8:$Q$3006)&gt;SUMIF(Transactions!$F$8:$F$3006,B2216,Transactions!$R$8:$R$3006),"OWES","OVERPAID"))))</f>
        <v/>
      </c>
      <c r="I2216" s="1"/>
    </row>
    <row r="2217" spans="1:9" ht="18" customHeight="1" x14ac:dyDescent="0.25">
      <c r="A2217" s="48">
        <v>2202</v>
      </c>
      <c r="B2217" s="49" t="str">
        <f t="array" ref="B2217">IFERROR(IF(INDEX(Transactions!$F$8:$F$3006,MATCH(0,COUNTIF($B$11:B2216,Transactions!$F$8:$F$3006),0))="","",INDEX(Transactions!$F$8:$F$3006,MATCH(0,COUNTIF($B$11:B2216,Transactions!$F$8:$F$3006),0))),"")</f>
        <v/>
      </c>
      <c r="C2217" s="50" t="str">
        <f>IF(B2217="","",SUMIF(Transactions!$F$8:$F$3006,B2217,Transactions!$H$8:$H$3006))</f>
        <v/>
      </c>
      <c r="D2217" s="51" t="str">
        <f>IF(B2217="","",SUMIF(Transactions!$F$8:$F$3006,B2217,Transactions!$N$8:$N$3006))</f>
        <v/>
      </c>
      <c r="E2217" s="52" t="str">
        <f>IF(B2217="","",SUMIF(Transactions!$F$8:$F$3006,B2217,Transactions!$O$8:$O$3006))</f>
        <v/>
      </c>
      <c r="F2217" s="53" t="str">
        <f>IF(B2217="","",SUMIF(Transactions!$F$8:$F$3006,B2217,Transactions!$R$8:$R$3006))</f>
        <v/>
      </c>
      <c r="G2217" s="54" t="str">
        <f>IF(B2217="","",(C2217+F2217)-(D2217+E2217+SUMIF(Transactions!$F$8:$F$3006,B2217,Transactions!$Q$8:$Q$3006)))</f>
        <v/>
      </c>
      <c r="H2217" s="55" t="str">
        <f>IF(B2217="","",IF(G2217&gt;0,"OUTSTANDING",IF(G2217=0,"SETTLED",IF(SUMIF(Transactions!$F$8:$F$3006,B2217,Transactions!$Q$8:$Q$3006)&gt;SUMIF(Transactions!$F$8:$F$3006,B2217,Transactions!$R$8:$R$3006),"OWES","OVERPAID"))))</f>
        <v/>
      </c>
      <c r="I2217" s="1"/>
    </row>
    <row r="2218" spans="1:9" ht="18" customHeight="1" x14ac:dyDescent="0.25">
      <c r="A2218" s="40">
        <v>2203</v>
      </c>
      <c r="B2218" s="41" t="str">
        <f t="array" ref="B2218">IFERROR(IF(INDEX(Transactions!$F$8:$F$3006,MATCH(0,COUNTIF($B$11:B2217,Transactions!$F$8:$F$3006),0))="","",INDEX(Transactions!$F$8:$F$3006,MATCH(0,COUNTIF($B$11:B2217,Transactions!$F$8:$F$3006),0))),"")</f>
        <v/>
      </c>
      <c r="C2218" s="42" t="str">
        <f>IF(B2218="","",SUMIF(Transactions!$F$8:$F$3006,B2218,Transactions!$H$8:$H$3006))</f>
        <v/>
      </c>
      <c r="D2218" s="43" t="str">
        <f>IF(B2218="","",SUMIF(Transactions!$F$8:$F$3006,B2218,Transactions!$N$8:$N$3006))</f>
        <v/>
      </c>
      <c r="E2218" s="44" t="str">
        <f>IF(B2218="","",SUMIF(Transactions!$F$8:$F$3006,B2218,Transactions!$O$8:$O$3006))</f>
        <v/>
      </c>
      <c r="F2218" s="45" t="str">
        <f>IF(B2218="","",SUMIF(Transactions!$F$8:$F$3006,B2218,Transactions!$R$8:$R$3006))</f>
        <v/>
      </c>
      <c r="G2218" s="46" t="str">
        <f>IF(B2218="","",(C2218+F2218)-(D2218+E2218+SUMIF(Transactions!$F$8:$F$3006,B2218,Transactions!$Q$8:$Q$3006)))</f>
        <v/>
      </c>
      <c r="H2218" s="47" t="str">
        <f>IF(B2218="","",IF(G2218&gt;0,"OUTSTANDING",IF(G2218=0,"SETTLED",IF(SUMIF(Transactions!$F$8:$F$3006,B2218,Transactions!$Q$8:$Q$3006)&gt;SUMIF(Transactions!$F$8:$F$3006,B2218,Transactions!$R$8:$R$3006),"OWES","OVERPAID"))))</f>
        <v/>
      </c>
      <c r="I2218" s="1"/>
    </row>
    <row r="2219" spans="1:9" ht="18" customHeight="1" x14ac:dyDescent="0.25">
      <c r="A2219" s="48">
        <v>2204</v>
      </c>
      <c r="B2219" s="49" t="str">
        <f t="array" ref="B2219">IFERROR(IF(INDEX(Transactions!$F$8:$F$3006,MATCH(0,COUNTIF($B$11:B2218,Transactions!$F$8:$F$3006),0))="","",INDEX(Transactions!$F$8:$F$3006,MATCH(0,COUNTIF($B$11:B2218,Transactions!$F$8:$F$3006),0))),"")</f>
        <v/>
      </c>
      <c r="C2219" s="50" t="str">
        <f>IF(B2219="","",SUMIF(Transactions!$F$8:$F$3006,B2219,Transactions!$H$8:$H$3006))</f>
        <v/>
      </c>
      <c r="D2219" s="51" t="str">
        <f>IF(B2219="","",SUMIF(Transactions!$F$8:$F$3006,B2219,Transactions!$N$8:$N$3006))</f>
        <v/>
      </c>
      <c r="E2219" s="52" t="str">
        <f>IF(B2219="","",SUMIF(Transactions!$F$8:$F$3006,B2219,Transactions!$O$8:$O$3006))</f>
        <v/>
      </c>
      <c r="F2219" s="53" t="str">
        <f>IF(B2219="","",SUMIF(Transactions!$F$8:$F$3006,B2219,Transactions!$R$8:$R$3006))</f>
        <v/>
      </c>
      <c r="G2219" s="54" t="str">
        <f>IF(B2219="","",(C2219+F2219)-(D2219+E2219+SUMIF(Transactions!$F$8:$F$3006,B2219,Transactions!$Q$8:$Q$3006)))</f>
        <v/>
      </c>
      <c r="H2219" s="55" t="str">
        <f>IF(B2219="","",IF(G2219&gt;0,"OUTSTANDING",IF(G2219=0,"SETTLED",IF(SUMIF(Transactions!$F$8:$F$3006,B2219,Transactions!$Q$8:$Q$3006)&gt;SUMIF(Transactions!$F$8:$F$3006,B2219,Transactions!$R$8:$R$3006),"OWES","OVERPAID"))))</f>
        <v/>
      </c>
      <c r="I2219" s="1"/>
    </row>
    <row r="2220" spans="1:9" ht="18" customHeight="1" x14ac:dyDescent="0.25">
      <c r="A2220" s="40">
        <v>2205</v>
      </c>
      <c r="B2220" s="41" t="str">
        <f t="array" ref="B2220">IFERROR(IF(INDEX(Transactions!$F$8:$F$3006,MATCH(0,COUNTIF($B$11:B2219,Transactions!$F$8:$F$3006),0))="","",INDEX(Transactions!$F$8:$F$3006,MATCH(0,COUNTIF($B$11:B2219,Transactions!$F$8:$F$3006),0))),"")</f>
        <v/>
      </c>
      <c r="C2220" s="42" t="str">
        <f>IF(B2220="","",SUMIF(Transactions!$F$8:$F$3006,B2220,Transactions!$H$8:$H$3006))</f>
        <v/>
      </c>
      <c r="D2220" s="43" t="str">
        <f>IF(B2220="","",SUMIF(Transactions!$F$8:$F$3006,B2220,Transactions!$N$8:$N$3006))</f>
        <v/>
      </c>
      <c r="E2220" s="44" t="str">
        <f>IF(B2220="","",SUMIF(Transactions!$F$8:$F$3006,B2220,Transactions!$O$8:$O$3006))</f>
        <v/>
      </c>
      <c r="F2220" s="45" t="str">
        <f>IF(B2220="","",SUMIF(Transactions!$F$8:$F$3006,B2220,Transactions!$R$8:$R$3006))</f>
        <v/>
      </c>
      <c r="G2220" s="46" t="str">
        <f>IF(B2220="","",(C2220+F2220)-(D2220+E2220+SUMIF(Transactions!$F$8:$F$3006,B2220,Transactions!$Q$8:$Q$3006)))</f>
        <v/>
      </c>
      <c r="H2220" s="47" t="str">
        <f>IF(B2220="","",IF(G2220&gt;0,"OUTSTANDING",IF(G2220=0,"SETTLED",IF(SUMIF(Transactions!$F$8:$F$3006,B2220,Transactions!$Q$8:$Q$3006)&gt;SUMIF(Transactions!$F$8:$F$3006,B2220,Transactions!$R$8:$R$3006),"OWES","OVERPAID"))))</f>
        <v/>
      </c>
      <c r="I2220" s="1"/>
    </row>
    <row r="2221" spans="1:9" ht="18" customHeight="1" x14ac:dyDescent="0.25">
      <c r="A2221" s="48">
        <v>2206</v>
      </c>
      <c r="B2221" s="49" t="str">
        <f t="array" ref="B2221">IFERROR(IF(INDEX(Transactions!$F$8:$F$3006,MATCH(0,COUNTIF($B$11:B2220,Transactions!$F$8:$F$3006),0))="","",INDEX(Transactions!$F$8:$F$3006,MATCH(0,COUNTIF($B$11:B2220,Transactions!$F$8:$F$3006),0))),"")</f>
        <v/>
      </c>
      <c r="C2221" s="50" t="str">
        <f>IF(B2221="","",SUMIF(Transactions!$F$8:$F$3006,B2221,Transactions!$H$8:$H$3006))</f>
        <v/>
      </c>
      <c r="D2221" s="51" t="str">
        <f>IF(B2221="","",SUMIF(Transactions!$F$8:$F$3006,B2221,Transactions!$N$8:$N$3006))</f>
        <v/>
      </c>
      <c r="E2221" s="52" t="str">
        <f>IF(B2221="","",SUMIF(Transactions!$F$8:$F$3006,B2221,Transactions!$O$8:$O$3006))</f>
        <v/>
      </c>
      <c r="F2221" s="53" t="str">
        <f>IF(B2221="","",SUMIF(Transactions!$F$8:$F$3006,B2221,Transactions!$R$8:$R$3006))</f>
        <v/>
      </c>
      <c r="G2221" s="54" t="str">
        <f>IF(B2221="","",(C2221+F2221)-(D2221+E2221+SUMIF(Transactions!$F$8:$F$3006,B2221,Transactions!$Q$8:$Q$3006)))</f>
        <v/>
      </c>
      <c r="H2221" s="55" t="str">
        <f>IF(B2221="","",IF(G2221&gt;0,"OUTSTANDING",IF(G2221=0,"SETTLED",IF(SUMIF(Transactions!$F$8:$F$3006,B2221,Transactions!$Q$8:$Q$3006)&gt;SUMIF(Transactions!$F$8:$F$3006,B2221,Transactions!$R$8:$R$3006),"OWES","OVERPAID"))))</f>
        <v/>
      </c>
      <c r="I2221" s="1"/>
    </row>
    <row r="2222" spans="1:9" ht="18" customHeight="1" x14ac:dyDescent="0.25">
      <c r="A2222" s="40">
        <v>2207</v>
      </c>
      <c r="B2222" s="41" t="str">
        <f t="array" ref="B2222">IFERROR(IF(INDEX(Transactions!$F$8:$F$3006,MATCH(0,COUNTIF($B$11:B2221,Transactions!$F$8:$F$3006),0))="","",INDEX(Transactions!$F$8:$F$3006,MATCH(0,COUNTIF($B$11:B2221,Transactions!$F$8:$F$3006),0))),"")</f>
        <v/>
      </c>
      <c r="C2222" s="42" t="str">
        <f>IF(B2222="","",SUMIF(Transactions!$F$8:$F$3006,B2222,Transactions!$H$8:$H$3006))</f>
        <v/>
      </c>
      <c r="D2222" s="43" t="str">
        <f>IF(B2222="","",SUMIF(Transactions!$F$8:$F$3006,B2222,Transactions!$N$8:$N$3006))</f>
        <v/>
      </c>
      <c r="E2222" s="44" t="str">
        <f>IF(B2222="","",SUMIF(Transactions!$F$8:$F$3006,B2222,Transactions!$O$8:$O$3006))</f>
        <v/>
      </c>
      <c r="F2222" s="45" t="str">
        <f>IF(B2222="","",SUMIF(Transactions!$F$8:$F$3006,B2222,Transactions!$R$8:$R$3006))</f>
        <v/>
      </c>
      <c r="G2222" s="46" t="str">
        <f>IF(B2222="","",(C2222+F2222)-(D2222+E2222+SUMIF(Transactions!$F$8:$F$3006,B2222,Transactions!$Q$8:$Q$3006)))</f>
        <v/>
      </c>
      <c r="H2222" s="47" t="str">
        <f>IF(B2222="","",IF(G2222&gt;0,"OUTSTANDING",IF(G2222=0,"SETTLED",IF(SUMIF(Transactions!$F$8:$F$3006,B2222,Transactions!$Q$8:$Q$3006)&gt;SUMIF(Transactions!$F$8:$F$3006,B2222,Transactions!$R$8:$R$3006),"OWES","OVERPAID"))))</f>
        <v/>
      </c>
      <c r="I2222" s="1"/>
    </row>
    <row r="2223" spans="1:9" ht="18" customHeight="1" x14ac:dyDescent="0.25">
      <c r="A2223" s="48">
        <v>2208</v>
      </c>
      <c r="B2223" s="49" t="str">
        <f t="array" ref="B2223">IFERROR(IF(INDEX(Transactions!$F$8:$F$3006,MATCH(0,COUNTIF($B$11:B2222,Transactions!$F$8:$F$3006),0))="","",INDEX(Transactions!$F$8:$F$3006,MATCH(0,COUNTIF($B$11:B2222,Transactions!$F$8:$F$3006),0))),"")</f>
        <v/>
      </c>
      <c r="C2223" s="50" t="str">
        <f>IF(B2223="","",SUMIF(Transactions!$F$8:$F$3006,B2223,Transactions!$H$8:$H$3006))</f>
        <v/>
      </c>
      <c r="D2223" s="51" t="str">
        <f>IF(B2223="","",SUMIF(Transactions!$F$8:$F$3006,B2223,Transactions!$N$8:$N$3006))</f>
        <v/>
      </c>
      <c r="E2223" s="52" t="str">
        <f>IF(B2223="","",SUMIF(Transactions!$F$8:$F$3006,B2223,Transactions!$O$8:$O$3006))</f>
        <v/>
      </c>
      <c r="F2223" s="53" t="str">
        <f>IF(B2223="","",SUMIF(Transactions!$F$8:$F$3006,B2223,Transactions!$R$8:$R$3006))</f>
        <v/>
      </c>
      <c r="G2223" s="54" t="str">
        <f>IF(B2223="","",(C2223+F2223)-(D2223+E2223+SUMIF(Transactions!$F$8:$F$3006,B2223,Transactions!$Q$8:$Q$3006)))</f>
        <v/>
      </c>
      <c r="H2223" s="55" t="str">
        <f>IF(B2223="","",IF(G2223&gt;0,"OUTSTANDING",IF(G2223=0,"SETTLED",IF(SUMIF(Transactions!$F$8:$F$3006,B2223,Transactions!$Q$8:$Q$3006)&gt;SUMIF(Transactions!$F$8:$F$3006,B2223,Transactions!$R$8:$R$3006),"OWES","OVERPAID"))))</f>
        <v/>
      </c>
      <c r="I2223" s="1"/>
    </row>
    <row r="2224" spans="1:9" ht="18" customHeight="1" x14ac:dyDescent="0.25">
      <c r="A2224" s="40">
        <v>2209</v>
      </c>
      <c r="B2224" s="41" t="str">
        <f t="array" ref="B2224">IFERROR(IF(INDEX(Transactions!$F$8:$F$3006,MATCH(0,COUNTIF($B$11:B2223,Transactions!$F$8:$F$3006),0))="","",INDEX(Transactions!$F$8:$F$3006,MATCH(0,COUNTIF($B$11:B2223,Transactions!$F$8:$F$3006),0))),"")</f>
        <v/>
      </c>
      <c r="C2224" s="42" t="str">
        <f>IF(B2224="","",SUMIF(Transactions!$F$8:$F$3006,B2224,Transactions!$H$8:$H$3006))</f>
        <v/>
      </c>
      <c r="D2224" s="43" t="str">
        <f>IF(B2224="","",SUMIF(Transactions!$F$8:$F$3006,B2224,Transactions!$N$8:$N$3006))</f>
        <v/>
      </c>
      <c r="E2224" s="44" t="str">
        <f>IF(B2224="","",SUMIF(Transactions!$F$8:$F$3006,B2224,Transactions!$O$8:$O$3006))</f>
        <v/>
      </c>
      <c r="F2224" s="45" t="str">
        <f>IF(B2224="","",SUMIF(Transactions!$F$8:$F$3006,B2224,Transactions!$R$8:$R$3006))</f>
        <v/>
      </c>
      <c r="G2224" s="46" t="str">
        <f>IF(B2224="","",(C2224+F2224)-(D2224+E2224+SUMIF(Transactions!$F$8:$F$3006,B2224,Transactions!$Q$8:$Q$3006)))</f>
        <v/>
      </c>
      <c r="H2224" s="47" t="str">
        <f>IF(B2224="","",IF(G2224&gt;0,"OUTSTANDING",IF(G2224=0,"SETTLED",IF(SUMIF(Transactions!$F$8:$F$3006,B2224,Transactions!$Q$8:$Q$3006)&gt;SUMIF(Transactions!$F$8:$F$3006,B2224,Transactions!$R$8:$R$3006),"OWES","OVERPAID"))))</f>
        <v/>
      </c>
      <c r="I2224" s="1"/>
    </row>
    <row r="2225" spans="1:9" ht="18" customHeight="1" x14ac:dyDescent="0.25">
      <c r="A2225" s="48">
        <v>2210</v>
      </c>
      <c r="B2225" s="49" t="str">
        <f t="array" ref="B2225">IFERROR(IF(INDEX(Transactions!$F$8:$F$3006,MATCH(0,COUNTIF($B$11:B2224,Transactions!$F$8:$F$3006),0))="","",INDEX(Transactions!$F$8:$F$3006,MATCH(0,COUNTIF($B$11:B2224,Transactions!$F$8:$F$3006),0))),"")</f>
        <v/>
      </c>
      <c r="C2225" s="50" t="str">
        <f>IF(B2225="","",SUMIF(Transactions!$F$8:$F$3006,B2225,Transactions!$H$8:$H$3006))</f>
        <v/>
      </c>
      <c r="D2225" s="51" t="str">
        <f>IF(B2225="","",SUMIF(Transactions!$F$8:$F$3006,B2225,Transactions!$N$8:$N$3006))</f>
        <v/>
      </c>
      <c r="E2225" s="52" t="str">
        <f>IF(B2225="","",SUMIF(Transactions!$F$8:$F$3006,B2225,Transactions!$O$8:$O$3006))</f>
        <v/>
      </c>
      <c r="F2225" s="53" t="str">
        <f>IF(B2225="","",SUMIF(Transactions!$F$8:$F$3006,B2225,Transactions!$R$8:$R$3006))</f>
        <v/>
      </c>
      <c r="G2225" s="54" t="str">
        <f>IF(B2225="","",(C2225+F2225)-(D2225+E2225+SUMIF(Transactions!$F$8:$F$3006,B2225,Transactions!$Q$8:$Q$3006)))</f>
        <v/>
      </c>
      <c r="H2225" s="55" t="str">
        <f>IF(B2225="","",IF(G2225&gt;0,"OUTSTANDING",IF(G2225=0,"SETTLED",IF(SUMIF(Transactions!$F$8:$F$3006,B2225,Transactions!$Q$8:$Q$3006)&gt;SUMIF(Transactions!$F$8:$F$3006,B2225,Transactions!$R$8:$R$3006),"OWES","OVERPAID"))))</f>
        <v/>
      </c>
      <c r="I2225" s="1"/>
    </row>
    <row r="2226" spans="1:9" ht="18" customHeight="1" x14ac:dyDescent="0.25">
      <c r="A2226" s="40">
        <v>2211</v>
      </c>
      <c r="B2226" s="41" t="str">
        <f t="array" ref="B2226">IFERROR(IF(INDEX(Transactions!$F$8:$F$3006,MATCH(0,COUNTIF($B$11:B2225,Transactions!$F$8:$F$3006),0))="","",INDEX(Transactions!$F$8:$F$3006,MATCH(0,COUNTIF($B$11:B2225,Transactions!$F$8:$F$3006),0))),"")</f>
        <v/>
      </c>
      <c r="C2226" s="42" t="str">
        <f>IF(B2226="","",SUMIF(Transactions!$F$8:$F$3006,B2226,Transactions!$H$8:$H$3006))</f>
        <v/>
      </c>
      <c r="D2226" s="43" t="str">
        <f>IF(B2226="","",SUMIF(Transactions!$F$8:$F$3006,B2226,Transactions!$N$8:$N$3006))</f>
        <v/>
      </c>
      <c r="E2226" s="44" t="str">
        <f>IF(B2226="","",SUMIF(Transactions!$F$8:$F$3006,B2226,Transactions!$O$8:$O$3006))</f>
        <v/>
      </c>
      <c r="F2226" s="45" t="str">
        <f>IF(B2226="","",SUMIF(Transactions!$F$8:$F$3006,B2226,Transactions!$R$8:$R$3006))</f>
        <v/>
      </c>
      <c r="G2226" s="46" t="str">
        <f>IF(B2226="","",(C2226+F2226)-(D2226+E2226+SUMIF(Transactions!$F$8:$F$3006,B2226,Transactions!$Q$8:$Q$3006)))</f>
        <v/>
      </c>
      <c r="H2226" s="47" t="str">
        <f>IF(B2226="","",IF(G2226&gt;0,"OUTSTANDING",IF(G2226=0,"SETTLED",IF(SUMIF(Transactions!$F$8:$F$3006,B2226,Transactions!$Q$8:$Q$3006)&gt;SUMIF(Transactions!$F$8:$F$3006,B2226,Transactions!$R$8:$R$3006),"OWES","OVERPAID"))))</f>
        <v/>
      </c>
      <c r="I2226" s="1"/>
    </row>
    <row r="2227" spans="1:9" ht="18" customHeight="1" x14ac:dyDescent="0.25">
      <c r="A2227" s="48">
        <v>2212</v>
      </c>
      <c r="B2227" s="49" t="str">
        <f t="array" ref="B2227">IFERROR(IF(INDEX(Transactions!$F$8:$F$3006,MATCH(0,COUNTIF($B$11:B2226,Transactions!$F$8:$F$3006),0))="","",INDEX(Transactions!$F$8:$F$3006,MATCH(0,COUNTIF($B$11:B2226,Transactions!$F$8:$F$3006),0))),"")</f>
        <v/>
      </c>
      <c r="C2227" s="50" t="str">
        <f>IF(B2227="","",SUMIF(Transactions!$F$8:$F$3006,B2227,Transactions!$H$8:$H$3006))</f>
        <v/>
      </c>
      <c r="D2227" s="51" t="str">
        <f>IF(B2227="","",SUMIF(Transactions!$F$8:$F$3006,B2227,Transactions!$N$8:$N$3006))</f>
        <v/>
      </c>
      <c r="E2227" s="52" t="str">
        <f>IF(B2227="","",SUMIF(Transactions!$F$8:$F$3006,B2227,Transactions!$O$8:$O$3006))</f>
        <v/>
      </c>
      <c r="F2227" s="53" t="str">
        <f>IF(B2227="","",SUMIF(Transactions!$F$8:$F$3006,B2227,Transactions!$R$8:$R$3006))</f>
        <v/>
      </c>
      <c r="G2227" s="54" t="str">
        <f>IF(B2227="","",(C2227+F2227)-(D2227+E2227+SUMIF(Transactions!$F$8:$F$3006,B2227,Transactions!$Q$8:$Q$3006)))</f>
        <v/>
      </c>
      <c r="H2227" s="55" t="str">
        <f>IF(B2227="","",IF(G2227&gt;0,"OUTSTANDING",IF(G2227=0,"SETTLED",IF(SUMIF(Transactions!$F$8:$F$3006,B2227,Transactions!$Q$8:$Q$3006)&gt;SUMIF(Transactions!$F$8:$F$3006,B2227,Transactions!$R$8:$R$3006),"OWES","OVERPAID"))))</f>
        <v/>
      </c>
      <c r="I2227" s="1"/>
    </row>
    <row r="2228" spans="1:9" ht="18" customHeight="1" x14ac:dyDescent="0.25">
      <c r="A2228" s="40">
        <v>2213</v>
      </c>
      <c r="B2228" s="41" t="str">
        <f t="array" ref="B2228">IFERROR(IF(INDEX(Transactions!$F$8:$F$3006,MATCH(0,COUNTIF($B$11:B2227,Transactions!$F$8:$F$3006),0))="","",INDEX(Transactions!$F$8:$F$3006,MATCH(0,COUNTIF($B$11:B2227,Transactions!$F$8:$F$3006),0))),"")</f>
        <v/>
      </c>
      <c r="C2228" s="42" t="str">
        <f>IF(B2228="","",SUMIF(Transactions!$F$8:$F$3006,B2228,Transactions!$H$8:$H$3006))</f>
        <v/>
      </c>
      <c r="D2228" s="43" t="str">
        <f>IF(B2228="","",SUMIF(Transactions!$F$8:$F$3006,B2228,Transactions!$N$8:$N$3006))</f>
        <v/>
      </c>
      <c r="E2228" s="44" t="str">
        <f>IF(B2228="","",SUMIF(Transactions!$F$8:$F$3006,B2228,Transactions!$O$8:$O$3006))</f>
        <v/>
      </c>
      <c r="F2228" s="45" t="str">
        <f>IF(B2228="","",SUMIF(Transactions!$F$8:$F$3006,B2228,Transactions!$R$8:$R$3006))</f>
        <v/>
      </c>
      <c r="G2228" s="46" t="str">
        <f>IF(B2228="","",(C2228+F2228)-(D2228+E2228+SUMIF(Transactions!$F$8:$F$3006,B2228,Transactions!$Q$8:$Q$3006)))</f>
        <v/>
      </c>
      <c r="H2228" s="47" t="str">
        <f>IF(B2228="","",IF(G2228&gt;0,"OUTSTANDING",IF(G2228=0,"SETTLED",IF(SUMIF(Transactions!$F$8:$F$3006,B2228,Transactions!$Q$8:$Q$3006)&gt;SUMIF(Transactions!$F$8:$F$3006,B2228,Transactions!$R$8:$R$3006),"OWES","OVERPAID"))))</f>
        <v/>
      </c>
      <c r="I2228" s="1"/>
    </row>
    <row r="2229" spans="1:9" ht="18" customHeight="1" x14ac:dyDescent="0.25">
      <c r="A2229" s="48">
        <v>2214</v>
      </c>
      <c r="B2229" s="49" t="str">
        <f t="array" ref="B2229">IFERROR(IF(INDEX(Transactions!$F$8:$F$3006,MATCH(0,COUNTIF($B$11:B2228,Transactions!$F$8:$F$3006),0))="","",INDEX(Transactions!$F$8:$F$3006,MATCH(0,COUNTIF($B$11:B2228,Transactions!$F$8:$F$3006),0))),"")</f>
        <v/>
      </c>
      <c r="C2229" s="50" t="str">
        <f>IF(B2229="","",SUMIF(Transactions!$F$8:$F$3006,B2229,Transactions!$H$8:$H$3006))</f>
        <v/>
      </c>
      <c r="D2229" s="51" t="str">
        <f>IF(B2229="","",SUMIF(Transactions!$F$8:$F$3006,B2229,Transactions!$N$8:$N$3006))</f>
        <v/>
      </c>
      <c r="E2229" s="52" t="str">
        <f>IF(B2229="","",SUMIF(Transactions!$F$8:$F$3006,B2229,Transactions!$O$8:$O$3006))</f>
        <v/>
      </c>
      <c r="F2229" s="53" t="str">
        <f>IF(B2229="","",SUMIF(Transactions!$F$8:$F$3006,B2229,Transactions!$R$8:$R$3006))</f>
        <v/>
      </c>
      <c r="G2229" s="54" t="str">
        <f>IF(B2229="","",(C2229+F2229)-(D2229+E2229+SUMIF(Transactions!$F$8:$F$3006,B2229,Transactions!$Q$8:$Q$3006)))</f>
        <v/>
      </c>
      <c r="H2229" s="55" t="str">
        <f>IF(B2229="","",IF(G2229&gt;0,"OUTSTANDING",IF(G2229=0,"SETTLED",IF(SUMIF(Transactions!$F$8:$F$3006,B2229,Transactions!$Q$8:$Q$3006)&gt;SUMIF(Transactions!$F$8:$F$3006,B2229,Transactions!$R$8:$R$3006),"OWES","OVERPAID"))))</f>
        <v/>
      </c>
      <c r="I2229" s="1"/>
    </row>
    <row r="2230" spans="1:9" ht="18" customHeight="1" x14ac:dyDescent="0.25">
      <c r="A2230" s="40">
        <v>2215</v>
      </c>
      <c r="B2230" s="41" t="str">
        <f t="array" ref="B2230">IFERROR(IF(INDEX(Transactions!$F$8:$F$3006,MATCH(0,COUNTIF($B$11:B2229,Transactions!$F$8:$F$3006),0))="","",INDEX(Transactions!$F$8:$F$3006,MATCH(0,COUNTIF($B$11:B2229,Transactions!$F$8:$F$3006),0))),"")</f>
        <v/>
      </c>
      <c r="C2230" s="42" t="str">
        <f>IF(B2230="","",SUMIF(Transactions!$F$8:$F$3006,B2230,Transactions!$H$8:$H$3006))</f>
        <v/>
      </c>
      <c r="D2230" s="43" t="str">
        <f>IF(B2230="","",SUMIF(Transactions!$F$8:$F$3006,B2230,Transactions!$N$8:$N$3006))</f>
        <v/>
      </c>
      <c r="E2230" s="44" t="str">
        <f>IF(B2230="","",SUMIF(Transactions!$F$8:$F$3006,B2230,Transactions!$O$8:$O$3006))</f>
        <v/>
      </c>
      <c r="F2230" s="45" t="str">
        <f>IF(B2230="","",SUMIF(Transactions!$F$8:$F$3006,B2230,Transactions!$R$8:$R$3006))</f>
        <v/>
      </c>
      <c r="G2230" s="46" t="str">
        <f>IF(B2230="","",(C2230+F2230)-(D2230+E2230+SUMIF(Transactions!$F$8:$F$3006,B2230,Transactions!$Q$8:$Q$3006)))</f>
        <v/>
      </c>
      <c r="H2230" s="47" t="str">
        <f>IF(B2230="","",IF(G2230&gt;0,"OUTSTANDING",IF(G2230=0,"SETTLED",IF(SUMIF(Transactions!$F$8:$F$3006,B2230,Transactions!$Q$8:$Q$3006)&gt;SUMIF(Transactions!$F$8:$F$3006,B2230,Transactions!$R$8:$R$3006),"OWES","OVERPAID"))))</f>
        <v/>
      </c>
      <c r="I2230" s="1"/>
    </row>
    <row r="2231" spans="1:9" ht="18" customHeight="1" x14ac:dyDescent="0.25">
      <c r="A2231" s="48">
        <v>2216</v>
      </c>
      <c r="B2231" s="49" t="str">
        <f t="array" ref="B2231">IFERROR(IF(INDEX(Transactions!$F$8:$F$3006,MATCH(0,COUNTIF($B$11:B2230,Transactions!$F$8:$F$3006),0))="","",INDEX(Transactions!$F$8:$F$3006,MATCH(0,COUNTIF($B$11:B2230,Transactions!$F$8:$F$3006),0))),"")</f>
        <v/>
      </c>
      <c r="C2231" s="50" t="str">
        <f>IF(B2231="","",SUMIF(Transactions!$F$8:$F$3006,B2231,Transactions!$H$8:$H$3006))</f>
        <v/>
      </c>
      <c r="D2231" s="51" t="str">
        <f>IF(B2231="","",SUMIF(Transactions!$F$8:$F$3006,B2231,Transactions!$N$8:$N$3006))</f>
        <v/>
      </c>
      <c r="E2231" s="52" t="str">
        <f>IF(B2231="","",SUMIF(Transactions!$F$8:$F$3006,B2231,Transactions!$O$8:$O$3006))</f>
        <v/>
      </c>
      <c r="F2231" s="53" t="str">
        <f>IF(B2231="","",SUMIF(Transactions!$F$8:$F$3006,B2231,Transactions!$R$8:$R$3006))</f>
        <v/>
      </c>
      <c r="G2231" s="54" t="str">
        <f>IF(B2231="","",(C2231+F2231)-(D2231+E2231+SUMIF(Transactions!$F$8:$F$3006,B2231,Transactions!$Q$8:$Q$3006)))</f>
        <v/>
      </c>
      <c r="H2231" s="55" t="str">
        <f>IF(B2231="","",IF(G2231&gt;0,"OUTSTANDING",IF(G2231=0,"SETTLED",IF(SUMIF(Transactions!$F$8:$F$3006,B2231,Transactions!$Q$8:$Q$3006)&gt;SUMIF(Transactions!$F$8:$F$3006,B2231,Transactions!$R$8:$R$3006),"OWES","OVERPAID"))))</f>
        <v/>
      </c>
      <c r="I2231" s="1"/>
    </row>
    <row r="2232" spans="1:9" ht="18" customHeight="1" x14ac:dyDescent="0.25">
      <c r="A2232" s="40">
        <v>2217</v>
      </c>
      <c r="B2232" s="41" t="str">
        <f t="array" ref="B2232">IFERROR(IF(INDEX(Transactions!$F$8:$F$3006,MATCH(0,COUNTIF($B$11:B2231,Transactions!$F$8:$F$3006),0))="","",INDEX(Transactions!$F$8:$F$3006,MATCH(0,COUNTIF($B$11:B2231,Transactions!$F$8:$F$3006),0))),"")</f>
        <v/>
      </c>
      <c r="C2232" s="42" t="str">
        <f>IF(B2232="","",SUMIF(Transactions!$F$8:$F$3006,B2232,Transactions!$H$8:$H$3006))</f>
        <v/>
      </c>
      <c r="D2232" s="43" t="str">
        <f>IF(B2232="","",SUMIF(Transactions!$F$8:$F$3006,B2232,Transactions!$N$8:$N$3006))</f>
        <v/>
      </c>
      <c r="E2232" s="44" t="str">
        <f>IF(B2232="","",SUMIF(Transactions!$F$8:$F$3006,B2232,Transactions!$O$8:$O$3006))</f>
        <v/>
      </c>
      <c r="F2232" s="45" t="str">
        <f>IF(B2232="","",SUMIF(Transactions!$F$8:$F$3006,B2232,Transactions!$R$8:$R$3006))</f>
        <v/>
      </c>
      <c r="G2232" s="46" t="str">
        <f>IF(B2232="","",(C2232+F2232)-(D2232+E2232+SUMIF(Transactions!$F$8:$F$3006,B2232,Transactions!$Q$8:$Q$3006)))</f>
        <v/>
      </c>
      <c r="H2232" s="47" t="str">
        <f>IF(B2232="","",IF(G2232&gt;0,"OUTSTANDING",IF(G2232=0,"SETTLED",IF(SUMIF(Transactions!$F$8:$F$3006,B2232,Transactions!$Q$8:$Q$3006)&gt;SUMIF(Transactions!$F$8:$F$3006,B2232,Transactions!$R$8:$R$3006),"OWES","OVERPAID"))))</f>
        <v/>
      </c>
      <c r="I2232" s="1"/>
    </row>
    <row r="2233" spans="1:9" ht="18" customHeight="1" x14ac:dyDescent="0.25">
      <c r="A2233" s="48">
        <v>2218</v>
      </c>
      <c r="B2233" s="49" t="str">
        <f t="array" ref="B2233">IFERROR(IF(INDEX(Transactions!$F$8:$F$3006,MATCH(0,COUNTIF($B$11:B2232,Transactions!$F$8:$F$3006),0))="","",INDEX(Transactions!$F$8:$F$3006,MATCH(0,COUNTIF($B$11:B2232,Transactions!$F$8:$F$3006),0))),"")</f>
        <v/>
      </c>
      <c r="C2233" s="50" t="str">
        <f>IF(B2233="","",SUMIF(Transactions!$F$8:$F$3006,B2233,Transactions!$H$8:$H$3006))</f>
        <v/>
      </c>
      <c r="D2233" s="51" t="str">
        <f>IF(B2233="","",SUMIF(Transactions!$F$8:$F$3006,B2233,Transactions!$N$8:$N$3006))</f>
        <v/>
      </c>
      <c r="E2233" s="52" t="str">
        <f>IF(B2233="","",SUMIF(Transactions!$F$8:$F$3006,B2233,Transactions!$O$8:$O$3006))</f>
        <v/>
      </c>
      <c r="F2233" s="53" t="str">
        <f>IF(B2233="","",SUMIF(Transactions!$F$8:$F$3006,B2233,Transactions!$R$8:$R$3006))</f>
        <v/>
      </c>
      <c r="G2233" s="54" t="str">
        <f>IF(B2233="","",(C2233+F2233)-(D2233+E2233+SUMIF(Transactions!$F$8:$F$3006,B2233,Transactions!$Q$8:$Q$3006)))</f>
        <v/>
      </c>
      <c r="H2233" s="55" t="str">
        <f>IF(B2233="","",IF(G2233&gt;0,"OUTSTANDING",IF(G2233=0,"SETTLED",IF(SUMIF(Transactions!$F$8:$F$3006,B2233,Transactions!$Q$8:$Q$3006)&gt;SUMIF(Transactions!$F$8:$F$3006,B2233,Transactions!$R$8:$R$3006),"OWES","OVERPAID"))))</f>
        <v/>
      </c>
      <c r="I2233" s="1"/>
    </row>
    <row r="2234" spans="1:9" ht="18" customHeight="1" x14ac:dyDescent="0.25">
      <c r="A2234" s="40">
        <v>2219</v>
      </c>
      <c r="B2234" s="41" t="str">
        <f t="array" ref="B2234">IFERROR(IF(INDEX(Transactions!$F$8:$F$3006,MATCH(0,COUNTIF($B$11:B2233,Transactions!$F$8:$F$3006),0))="","",INDEX(Transactions!$F$8:$F$3006,MATCH(0,COUNTIF($B$11:B2233,Transactions!$F$8:$F$3006),0))),"")</f>
        <v/>
      </c>
      <c r="C2234" s="42" t="str">
        <f>IF(B2234="","",SUMIF(Transactions!$F$8:$F$3006,B2234,Transactions!$H$8:$H$3006))</f>
        <v/>
      </c>
      <c r="D2234" s="43" t="str">
        <f>IF(B2234="","",SUMIF(Transactions!$F$8:$F$3006,B2234,Transactions!$N$8:$N$3006))</f>
        <v/>
      </c>
      <c r="E2234" s="44" t="str">
        <f>IF(B2234="","",SUMIF(Transactions!$F$8:$F$3006,B2234,Transactions!$O$8:$O$3006))</f>
        <v/>
      </c>
      <c r="F2234" s="45" t="str">
        <f>IF(B2234="","",SUMIF(Transactions!$F$8:$F$3006,B2234,Transactions!$R$8:$R$3006))</f>
        <v/>
      </c>
      <c r="G2234" s="46" t="str">
        <f>IF(B2234="","",(C2234+F2234)-(D2234+E2234+SUMIF(Transactions!$F$8:$F$3006,B2234,Transactions!$Q$8:$Q$3006)))</f>
        <v/>
      </c>
      <c r="H2234" s="47" t="str">
        <f>IF(B2234="","",IF(G2234&gt;0,"OUTSTANDING",IF(G2234=0,"SETTLED",IF(SUMIF(Transactions!$F$8:$F$3006,B2234,Transactions!$Q$8:$Q$3006)&gt;SUMIF(Transactions!$F$8:$F$3006,B2234,Transactions!$R$8:$R$3006),"OWES","OVERPAID"))))</f>
        <v/>
      </c>
      <c r="I2234" s="1"/>
    </row>
    <row r="2235" spans="1:9" ht="18" customHeight="1" x14ac:dyDescent="0.25">
      <c r="A2235" s="48">
        <v>2220</v>
      </c>
      <c r="B2235" s="49" t="str">
        <f t="array" ref="B2235">IFERROR(IF(INDEX(Transactions!$F$8:$F$3006,MATCH(0,COUNTIF($B$11:B2234,Transactions!$F$8:$F$3006),0))="","",INDEX(Transactions!$F$8:$F$3006,MATCH(0,COUNTIF($B$11:B2234,Transactions!$F$8:$F$3006),0))),"")</f>
        <v/>
      </c>
      <c r="C2235" s="50" t="str">
        <f>IF(B2235="","",SUMIF(Transactions!$F$8:$F$3006,B2235,Transactions!$H$8:$H$3006))</f>
        <v/>
      </c>
      <c r="D2235" s="51" t="str">
        <f>IF(B2235="","",SUMIF(Transactions!$F$8:$F$3006,B2235,Transactions!$N$8:$N$3006))</f>
        <v/>
      </c>
      <c r="E2235" s="52" t="str">
        <f>IF(B2235="","",SUMIF(Transactions!$F$8:$F$3006,B2235,Transactions!$O$8:$O$3006))</f>
        <v/>
      </c>
      <c r="F2235" s="53" t="str">
        <f>IF(B2235="","",SUMIF(Transactions!$F$8:$F$3006,B2235,Transactions!$R$8:$R$3006))</f>
        <v/>
      </c>
      <c r="G2235" s="54" t="str">
        <f>IF(B2235="","",(C2235+F2235)-(D2235+E2235+SUMIF(Transactions!$F$8:$F$3006,B2235,Transactions!$Q$8:$Q$3006)))</f>
        <v/>
      </c>
      <c r="H2235" s="55" t="str">
        <f>IF(B2235="","",IF(G2235&gt;0,"OUTSTANDING",IF(G2235=0,"SETTLED",IF(SUMIF(Transactions!$F$8:$F$3006,B2235,Transactions!$Q$8:$Q$3006)&gt;SUMIF(Transactions!$F$8:$F$3006,B2235,Transactions!$R$8:$R$3006),"OWES","OVERPAID"))))</f>
        <v/>
      </c>
      <c r="I2235" s="1"/>
    </row>
    <row r="2236" spans="1:9" ht="18" customHeight="1" x14ac:dyDescent="0.25">
      <c r="A2236" s="40">
        <v>2221</v>
      </c>
      <c r="B2236" s="41" t="str">
        <f t="array" ref="B2236">IFERROR(IF(INDEX(Transactions!$F$8:$F$3006,MATCH(0,COUNTIF($B$11:B2235,Transactions!$F$8:$F$3006),0))="","",INDEX(Transactions!$F$8:$F$3006,MATCH(0,COUNTIF($B$11:B2235,Transactions!$F$8:$F$3006),0))),"")</f>
        <v/>
      </c>
      <c r="C2236" s="42" t="str">
        <f>IF(B2236="","",SUMIF(Transactions!$F$8:$F$3006,B2236,Transactions!$H$8:$H$3006))</f>
        <v/>
      </c>
      <c r="D2236" s="43" t="str">
        <f>IF(B2236="","",SUMIF(Transactions!$F$8:$F$3006,B2236,Transactions!$N$8:$N$3006))</f>
        <v/>
      </c>
      <c r="E2236" s="44" t="str">
        <f>IF(B2236="","",SUMIF(Transactions!$F$8:$F$3006,B2236,Transactions!$O$8:$O$3006))</f>
        <v/>
      </c>
      <c r="F2236" s="45" t="str">
        <f>IF(B2236="","",SUMIF(Transactions!$F$8:$F$3006,B2236,Transactions!$R$8:$R$3006))</f>
        <v/>
      </c>
      <c r="G2236" s="46" t="str">
        <f>IF(B2236="","",(C2236+F2236)-(D2236+E2236+SUMIF(Transactions!$F$8:$F$3006,B2236,Transactions!$Q$8:$Q$3006)))</f>
        <v/>
      </c>
      <c r="H2236" s="47" t="str">
        <f>IF(B2236="","",IF(G2236&gt;0,"OUTSTANDING",IF(G2236=0,"SETTLED",IF(SUMIF(Transactions!$F$8:$F$3006,B2236,Transactions!$Q$8:$Q$3006)&gt;SUMIF(Transactions!$F$8:$F$3006,B2236,Transactions!$R$8:$R$3006),"OWES","OVERPAID"))))</f>
        <v/>
      </c>
      <c r="I2236" s="1"/>
    </row>
    <row r="2237" spans="1:9" ht="18" customHeight="1" x14ac:dyDescent="0.25">
      <c r="A2237" s="48">
        <v>2222</v>
      </c>
      <c r="B2237" s="49" t="str">
        <f t="array" ref="B2237">IFERROR(IF(INDEX(Transactions!$F$8:$F$3006,MATCH(0,COUNTIF($B$11:B2236,Transactions!$F$8:$F$3006),0))="","",INDEX(Transactions!$F$8:$F$3006,MATCH(0,COUNTIF($B$11:B2236,Transactions!$F$8:$F$3006),0))),"")</f>
        <v/>
      </c>
      <c r="C2237" s="50" t="str">
        <f>IF(B2237="","",SUMIF(Transactions!$F$8:$F$3006,B2237,Transactions!$H$8:$H$3006))</f>
        <v/>
      </c>
      <c r="D2237" s="51" t="str">
        <f>IF(B2237="","",SUMIF(Transactions!$F$8:$F$3006,B2237,Transactions!$N$8:$N$3006))</f>
        <v/>
      </c>
      <c r="E2237" s="52" t="str">
        <f>IF(B2237="","",SUMIF(Transactions!$F$8:$F$3006,B2237,Transactions!$O$8:$O$3006))</f>
        <v/>
      </c>
      <c r="F2237" s="53" t="str">
        <f>IF(B2237="","",SUMIF(Transactions!$F$8:$F$3006,B2237,Transactions!$R$8:$R$3006))</f>
        <v/>
      </c>
      <c r="G2237" s="54" t="str">
        <f>IF(B2237="","",(C2237+F2237)-(D2237+E2237+SUMIF(Transactions!$F$8:$F$3006,B2237,Transactions!$Q$8:$Q$3006)))</f>
        <v/>
      </c>
      <c r="H2237" s="55" t="str">
        <f>IF(B2237="","",IF(G2237&gt;0,"OUTSTANDING",IF(G2237=0,"SETTLED",IF(SUMIF(Transactions!$F$8:$F$3006,B2237,Transactions!$Q$8:$Q$3006)&gt;SUMIF(Transactions!$F$8:$F$3006,B2237,Transactions!$R$8:$R$3006),"OWES","OVERPAID"))))</f>
        <v/>
      </c>
      <c r="I2237" s="1"/>
    </row>
    <row r="2238" spans="1:9" ht="18" customHeight="1" x14ac:dyDescent="0.25">
      <c r="A2238" s="40">
        <v>2223</v>
      </c>
      <c r="B2238" s="41" t="str">
        <f t="array" ref="B2238">IFERROR(IF(INDEX(Transactions!$F$8:$F$3006,MATCH(0,COUNTIF($B$11:B2237,Transactions!$F$8:$F$3006),0))="","",INDEX(Transactions!$F$8:$F$3006,MATCH(0,COUNTIF($B$11:B2237,Transactions!$F$8:$F$3006),0))),"")</f>
        <v/>
      </c>
      <c r="C2238" s="42" t="str">
        <f>IF(B2238="","",SUMIF(Transactions!$F$8:$F$3006,B2238,Transactions!$H$8:$H$3006))</f>
        <v/>
      </c>
      <c r="D2238" s="43" t="str">
        <f>IF(B2238="","",SUMIF(Transactions!$F$8:$F$3006,B2238,Transactions!$N$8:$N$3006))</f>
        <v/>
      </c>
      <c r="E2238" s="44" t="str">
        <f>IF(B2238="","",SUMIF(Transactions!$F$8:$F$3006,B2238,Transactions!$O$8:$O$3006))</f>
        <v/>
      </c>
      <c r="F2238" s="45" t="str">
        <f>IF(B2238="","",SUMIF(Transactions!$F$8:$F$3006,B2238,Transactions!$R$8:$R$3006))</f>
        <v/>
      </c>
      <c r="G2238" s="46" t="str">
        <f>IF(B2238="","",(C2238+F2238)-(D2238+E2238+SUMIF(Transactions!$F$8:$F$3006,B2238,Transactions!$Q$8:$Q$3006)))</f>
        <v/>
      </c>
      <c r="H2238" s="47" t="str">
        <f>IF(B2238="","",IF(G2238&gt;0,"OUTSTANDING",IF(G2238=0,"SETTLED",IF(SUMIF(Transactions!$F$8:$F$3006,B2238,Transactions!$Q$8:$Q$3006)&gt;SUMIF(Transactions!$F$8:$F$3006,B2238,Transactions!$R$8:$R$3006),"OWES","OVERPAID"))))</f>
        <v/>
      </c>
      <c r="I2238" s="1"/>
    </row>
    <row r="2239" spans="1:9" ht="18" customHeight="1" x14ac:dyDescent="0.25">
      <c r="A2239" s="48">
        <v>2224</v>
      </c>
      <c r="B2239" s="49" t="str">
        <f t="array" ref="B2239">IFERROR(IF(INDEX(Transactions!$F$8:$F$3006,MATCH(0,COUNTIF($B$11:B2238,Transactions!$F$8:$F$3006),0))="","",INDEX(Transactions!$F$8:$F$3006,MATCH(0,COUNTIF($B$11:B2238,Transactions!$F$8:$F$3006),0))),"")</f>
        <v/>
      </c>
      <c r="C2239" s="50" t="str">
        <f>IF(B2239="","",SUMIF(Transactions!$F$8:$F$3006,B2239,Transactions!$H$8:$H$3006))</f>
        <v/>
      </c>
      <c r="D2239" s="51" t="str">
        <f>IF(B2239="","",SUMIF(Transactions!$F$8:$F$3006,B2239,Transactions!$N$8:$N$3006))</f>
        <v/>
      </c>
      <c r="E2239" s="52" t="str">
        <f>IF(B2239="","",SUMIF(Transactions!$F$8:$F$3006,B2239,Transactions!$O$8:$O$3006))</f>
        <v/>
      </c>
      <c r="F2239" s="53" t="str">
        <f>IF(B2239="","",SUMIF(Transactions!$F$8:$F$3006,B2239,Transactions!$R$8:$R$3006))</f>
        <v/>
      </c>
      <c r="G2239" s="54" t="str">
        <f>IF(B2239="","",(C2239+F2239)-(D2239+E2239+SUMIF(Transactions!$F$8:$F$3006,B2239,Transactions!$Q$8:$Q$3006)))</f>
        <v/>
      </c>
      <c r="H2239" s="55" t="str">
        <f>IF(B2239="","",IF(G2239&gt;0,"OUTSTANDING",IF(G2239=0,"SETTLED",IF(SUMIF(Transactions!$F$8:$F$3006,B2239,Transactions!$Q$8:$Q$3006)&gt;SUMIF(Transactions!$F$8:$F$3006,B2239,Transactions!$R$8:$R$3006),"OWES","OVERPAID"))))</f>
        <v/>
      </c>
      <c r="I2239" s="1"/>
    </row>
    <row r="2240" spans="1:9" ht="18" customHeight="1" x14ac:dyDescent="0.25">
      <c r="A2240" s="40">
        <v>2225</v>
      </c>
      <c r="B2240" s="41" t="str">
        <f t="array" ref="B2240">IFERROR(IF(INDEX(Transactions!$F$8:$F$3006,MATCH(0,COUNTIF($B$11:B2239,Transactions!$F$8:$F$3006),0))="","",INDEX(Transactions!$F$8:$F$3006,MATCH(0,COUNTIF($B$11:B2239,Transactions!$F$8:$F$3006),0))),"")</f>
        <v/>
      </c>
      <c r="C2240" s="42" t="str">
        <f>IF(B2240="","",SUMIF(Transactions!$F$8:$F$3006,B2240,Transactions!$H$8:$H$3006))</f>
        <v/>
      </c>
      <c r="D2240" s="43" t="str">
        <f>IF(B2240="","",SUMIF(Transactions!$F$8:$F$3006,B2240,Transactions!$N$8:$N$3006))</f>
        <v/>
      </c>
      <c r="E2240" s="44" t="str">
        <f>IF(B2240="","",SUMIF(Transactions!$F$8:$F$3006,B2240,Transactions!$O$8:$O$3006))</f>
        <v/>
      </c>
      <c r="F2240" s="45" t="str">
        <f>IF(B2240="","",SUMIF(Transactions!$F$8:$F$3006,B2240,Transactions!$R$8:$R$3006))</f>
        <v/>
      </c>
      <c r="G2240" s="46" t="str">
        <f>IF(B2240="","",(C2240+F2240)-(D2240+E2240+SUMIF(Transactions!$F$8:$F$3006,B2240,Transactions!$Q$8:$Q$3006)))</f>
        <v/>
      </c>
      <c r="H2240" s="47" t="str">
        <f>IF(B2240="","",IF(G2240&gt;0,"OUTSTANDING",IF(G2240=0,"SETTLED",IF(SUMIF(Transactions!$F$8:$F$3006,B2240,Transactions!$Q$8:$Q$3006)&gt;SUMIF(Transactions!$F$8:$F$3006,B2240,Transactions!$R$8:$R$3006),"OWES","OVERPAID"))))</f>
        <v/>
      </c>
      <c r="I2240" s="1"/>
    </row>
    <row r="2241" spans="1:9" ht="18" customHeight="1" x14ac:dyDescent="0.25">
      <c r="A2241" s="48">
        <v>2226</v>
      </c>
      <c r="B2241" s="49" t="str">
        <f t="array" ref="B2241">IFERROR(IF(INDEX(Transactions!$F$8:$F$3006,MATCH(0,COUNTIF($B$11:B2240,Transactions!$F$8:$F$3006),0))="","",INDEX(Transactions!$F$8:$F$3006,MATCH(0,COUNTIF($B$11:B2240,Transactions!$F$8:$F$3006),0))),"")</f>
        <v/>
      </c>
      <c r="C2241" s="50" t="str">
        <f>IF(B2241="","",SUMIF(Transactions!$F$8:$F$3006,B2241,Transactions!$H$8:$H$3006))</f>
        <v/>
      </c>
      <c r="D2241" s="51" t="str">
        <f>IF(B2241="","",SUMIF(Transactions!$F$8:$F$3006,B2241,Transactions!$N$8:$N$3006))</f>
        <v/>
      </c>
      <c r="E2241" s="52" t="str">
        <f>IF(B2241="","",SUMIF(Transactions!$F$8:$F$3006,B2241,Transactions!$O$8:$O$3006))</f>
        <v/>
      </c>
      <c r="F2241" s="53" t="str">
        <f>IF(B2241="","",SUMIF(Transactions!$F$8:$F$3006,B2241,Transactions!$R$8:$R$3006))</f>
        <v/>
      </c>
      <c r="G2241" s="54" t="str">
        <f>IF(B2241="","",(C2241+F2241)-(D2241+E2241+SUMIF(Transactions!$F$8:$F$3006,B2241,Transactions!$Q$8:$Q$3006)))</f>
        <v/>
      </c>
      <c r="H2241" s="55" t="str">
        <f>IF(B2241="","",IF(G2241&gt;0,"OUTSTANDING",IF(G2241=0,"SETTLED",IF(SUMIF(Transactions!$F$8:$F$3006,B2241,Transactions!$Q$8:$Q$3006)&gt;SUMIF(Transactions!$F$8:$F$3006,B2241,Transactions!$R$8:$R$3006),"OWES","OVERPAID"))))</f>
        <v/>
      </c>
      <c r="I2241" s="1"/>
    </row>
    <row r="2242" spans="1:9" ht="18" customHeight="1" x14ac:dyDescent="0.25">
      <c r="A2242" s="40">
        <v>2227</v>
      </c>
      <c r="B2242" s="41" t="str">
        <f t="array" ref="B2242">IFERROR(IF(INDEX(Transactions!$F$8:$F$3006,MATCH(0,COUNTIF($B$11:B2241,Transactions!$F$8:$F$3006),0))="","",INDEX(Transactions!$F$8:$F$3006,MATCH(0,COUNTIF($B$11:B2241,Transactions!$F$8:$F$3006),0))),"")</f>
        <v/>
      </c>
      <c r="C2242" s="42" t="str">
        <f>IF(B2242="","",SUMIF(Transactions!$F$8:$F$3006,B2242,Transactions!$H$8:$H$3006))</f>
        <v/>
      </c>
      <c r="D2242" s="43" t="str">
        <f>IF(B2242="","",SUMIF(Transactions!$F$8:$F$3006,B2242,Transactions!$N$8:$N$3006))</f>
        <v/>
      </c>
      <c r="E2242" s="44" t="str">
        <f>IF(B2242="","",SUMIF(Transactions!$F$8:$F$3006,B2242,Transactions!$O$8:$O$3006))</f>
        <v/>
      </c>
      <c r="F2242" s="45" t="str">
        <f>IF(B2242="","",SUMIF(Transactions!$F$8:$F$3006,B2242,Transactions!$R$8:$R$3006))</f>
        <v/>
      </c>
      <c r="G2242" s="46" t="str">
        <f>IF(B2242="","",(C2242+F2242)-(D2242+E2242+SUMIF(Transactions!$F$8:$F$3006,B2242,Transactions!$Q$8:$Q$3006)))</f>
        <v/>
      </c>
      <c r="H2242" s="47" t="str">
        <f>IF(B2242="","",IF(G2242&gt;0,"OUTSTANDING",IF(G2242=0,"SETTLED",IF(SUMIF(Transactions!$F$8:$F$3006,B2242,Transactions!$Q$8:$Q$3006)&gt;SUMIF(Transactions!$F$8:$F$3006,B2242,Transactions!$R$8:$R$3006),"OWES","OVERPAID"))))</f>
        <v/>
      </c>
      <c r="I2242" s="1"/>
    </row>
    <row r="2243" spans="1:9" ht="18" customHeight="1" x14ac:dyDescent="0.25">
      <c r="A2243" s="48">
        <v>2228</v>
      </c>
      <c r="B2243" s="49" t="str">
        <f t="array" ref="B2243">IFERROR(IF(INDEX(Transactions!$F$8:$F$3006,MATCH(0,COUNTIF($B$11:B2242,Transactions!$F$8:$F$3006),0))="","",INDEX(Transactions!$F$8:$F$3006,MATCH(0,COUNTIF($B$11:B2242,Transactions!$F$8:$F$3006),0))),"")</f>
        <v/>
      </c>
      <c r="C2243" s="50" t="str">
        <f>IF(B2243="","",SUMIF(Transactions!$F$8:$F$3006,B2243,Transactions!$H$8:$H$3006))</f>
        <v/>
      </c>
      <c r="D2243" s="51" t="str">
        <f>IF(B2243="","",SUMIF(Transactions!$F$8:$F$3006,B2243,Transactions!$N$8:$N$3006))</f>
        <v/>
      </c>
      <c r="E2243" s="52" t="str">
        <f>IF(B2243="","",SUMIF(Transactions!$F$8:$F$3006,B2243,Transactions!$O$8:$O$3006))</f>
        <v/>
      </c>
      <c r="F2243" s="53" t="str">
        <f>IF(B2243="","",SUMIF(Transactions!$F$8:$F$3006,B2243,Transactions!$R$8:$R$3006))</f>
        <v/>
      </c>
      <c r="G2243" s="54" t="str">
        <f>IF(B2243="","",(C2243+F2243)-(D2243+E2243+SUMIF(Transactions!$F$8:$F$3006,B2243,Transactions!$Q$8:$Q$3006)))</f>
        <v/>
      </c>
      <c r="H2243" s="55" t="str">
        <f>IF(B2243="","",IF(G2243&gt;0,"OUTSTANDING",IF(G2243=0,"SETTLED",IF(SUMIF(Transactions!$F$8:$F$3006,B2243,Transactions!$Q$8:$Q$3006)&gt;SUMIF(Transactions!$F$8:$F$3006,B2243,Transactions!$R$8:$R$3006),"OWES","OVERPAID"))))</f>
        <v/>
      </c>
      <c r="I2243" s="1"/>
    </row>
    <row r="2244" spans="1:9" ht="18" customHeight="1" x14ac:dyDescent="0.25">
      <c r="A2244" s="40">
        <v>2229</v>
      </c>
      <c r="B2244" s="41" t="str">
        <f t="array" ref="B2244">IFERROR(IF(INDEX(Transactions!$F$8:$F$3006,MATCH(0,COUNTIF($B$11:B2243,Transactions!$F$8:$F$3006),0))="","",INDEX(Transactions!$F$8:$F$3006,MATCH(0,COUNTIF($B$11:B2243,Transactions!$F$8:$F$3006),0))),"")</f>
        <v/>
      </c>
      <c r="C2244" s="42" t="str">
        <f>IF(B2244="","",SUMIF(Transactions!$F$8:$F$3006,B2244,Transactions!$H$8:$H$3006))</f>
        <v/>
      </c>
      <c r="D2244" s="43" t="str">
        <f>IF(B2244="","",SUMIF(Transactions!$F$8:$F$3006,B2244,Transactions!$N$8:$N$3006))</f>
        <v/>
      </c>
      <c r="E2244" s="44" t="str">
        <f>IF(B2244="","",SUMIF(Transactions!$F$8:$F$3006,B2244,Transactions!$O$8:$O$3006))</f>
        <v/>
      </c>
      <c r="F2244" s="45" t="str">
        <f>IF(B2244="","",SUMIF(Transactions!$F$8:$F$3006,B2244,Transactions!$R$8:$R$3006))</f>
        <v/>
      </c>
      <c r="G2244" s="46" t="str">
        <f>IF(B2244="","",(C2244+F2244)-(D2244+E2244+SUMIF(Transactions!$F$8:$F$3006,B2244,Transactions!$Q$8:$Q$3006)))</f>
        <v/>
      </c>
      <c r="H2244" s="47" t="str">
        <f>IF(B2244="","",IF(G2244&gt;0,"OUTSTANDING",IF(G2244=0,"SETTLED",IF(SUMIF(Transactions!$F$8:$F$3006,B2244,Transactions!$Q$8:$Q$3006)&gt;SUMIF(Transactions!$F$8:$F$3006,B2244,Transactions!$R$8:$R$3006),"OWES","OVERPAID"))))</f>
        <v/>
      </c>
      <c r="I2244" s="1"/>
    </row>
    <row r="2245" spans="1:9" ht="18" customHeight="1" x14ac:dyDescent="0.25">
      <c r="A2245" s="48">
        <v>2230</v>
      </c>
      <c r="B2245" s="49" t="str">
        <f t="array" ref="B2245">IFERROR(IF(INDEX(Transactions!$F$8:$F$3006,MATCH(0,COUNTIF($B$11:B2244,Transactions!$F$8:$F$3006),0))="","",INDEX(Transactions!$F$8:$F$3006,MATCH(0,COUNTIF($B$11:B2244,Transactions!$F$8:$F$3006),0))),"")</f>
        <v/>
      </c>
      <c r="C2245" s="50" t="str">
        <f>IF(B2245="","",SUMIF(Transactions!$F$8:$F$3006,B2245,Transactions!$H$8:$H$3006))</f>
        <v/>
      </c>
      <c r="D2245" s="51" t="str">
        <f>IF(B2245="","",SUMIF(Transactions!$F$8:$F$3006,B2245,Transactions!$N$8:$N$3006))</f>
        <v/>
      </c>
      <c r="E2245" s="52" t="str">
        <f>IF(B2245="","",SUMIF(Transactions!$F$8:$F$3006,B2245,Transactions!$O$8:$O$3006))</f>
        <v/>
      </c>
      <c r="F2245" s="53" t="str">
        <f>IF(B2245="","",SUMIF(Transactions!$F$8:$F$3006,B2245,Transactions!$R$8:$R$3006))</f>
        <v/>
      </c>
      <c r="G2245" s="54" t="str">
        <f>IF(B2245="","",(C2245+F2245)-(D2245+E2245+SUMIF(Transactions!$F$8:$F$3006,B2245,Transactions!$Q$8:$Q$3006)))</f>
        <v/>
      </c>
      <c r="H2245" s="55" t="str">
        <f>IF(B2245="","",IF(G2245&gt;0,"OUTSTANDING",IF(G2245=0,"SETTLED",IF(SUMIF(Transactions!$F$8:$F$3006,B2245,Transactions!$Q$8:$Q$3006)&gt;SUMIF(Transactions!$F$8:$F$3006,B2245,Transactions!$R$8:$R$3006),"OWES","OVERPAID"))))</f>
        <v/>
      </c>
      <c r="I2245" s="1"/>
    </row>
    <row r="2246" spans="1:9" ht="18" customHeight="1" x14ac:dyDescent="0.25">
      <c r="A2246" s="40">
        <v>2231</v>
      </c>
      <c r="B2246" s="41" t="str">
        <f t="array" ref="B2246">IFERROR(IF(INDEX(Transactions!$F$8:$F$3006,MATCH(0,COUNTIF($B$11:B2245,Transactions!$F$8:$F$3006),0))="","",INDEX(Transactions!$F$8:$F$3006,MATCH(0,COUNTIF($B$11:B2245,Transactions!$F$8:$F$3006),0))),"")</f>
        <v/>
      </c>
      <c r="C2246" s="42" t="str">
        <f>IF(B2246="","",SUMIF(Transactions!$F$8:$F$3006,B2246,Transactions!$H$8:$H$3006))</f>
        <v/>
      </c>
      <c r="D2246" s="43" t="str">
        <f>IF(B2246="","",SUMIF(Transactions!$F$8:$F$3006,B2246,Transactions!$N$8:$N$3006))</f>
        <v/>
      </c>
      <c r="E2246" s="44" t="str">
        <f>IF(B2246="","",SUMIF(Transactions!$F$8:$F$3006,B2246,Transactions!$O$8:$O$3006))</f>
        <v/>
      </c>
      <c r="F2246" s="45" t="str">
        <f>IF(B2246="","",SUMIF(Transactions!$F$8:$F$3006,B2246,Transactions!$R$8:$R$3006))</f>
        <v/>
      </c>
      <c r="G2246" s="46" t="str">
        <f>IF(B2246="","",(C2246+F2246)-(D2246+E2246+SUMIF(Transactions!$F$8:$F$3006,B2246,Transactions!$Q$8:$Q$3006)))</f>
        <v/>
      </c>
      <c r="H2246" s="47" t="str">
        <f>IF(B2246="","",IF(G2246&gt;0,"OUTSTANDING",IF(G2246=0,"SETTLED",IF(SUMIF(Transactions!$F$8:$F$3006,B2246,Transactions!$Q$8:$Q$3006)&gt;SUMIF(Transactions!$F$8:$F$3006,B2246,Transactions!$R$8:$R$3006),"OWES","OVERPAID"))))</f>
        <v/>
      </c>
      <c r="I2246" s="1"/>
    </row>
    <row r="2247" spans="1:9" ht="18" customHeight="1" x14ac:dyDescent="0.25">
      <c r="A2247" s="48">
        <v>2232</v>
      </c>
      <c r="B2247" s="49" t="str">
        <f t="array" ref="B2247">IFERROR(IF(INDEX(Transactions!$F$8:$F$3006,MATCH(0,COUNTIF($B$11:B2246,Transactions!$F$8:$F$3006),0))="","",INDEX(Transactions!$F$8:$F$3006,MATCH(0,COUNTIF($B$11:B2246,Transactions!$F$8:$F$3006),0))),"")</f>
        <v/>
      </c>
      <c r="C2247" s="50" t="str">
        <f>IF(B2247="","",SUMIF(Transactions!$F$8:$F$3006,B2247,Transactions!$H$8:$H$3006))</f>
        <v/>
      </c>
      <c r="D2247" s="51" t="str">
        <f>IF(B2247="","",SUMIF(Transactions!$F$8:$F$3006,B2247,Transactions!$N$8:$N$3006))</f>
        <v/>
      </c>
      <c r="E2247" s="52" t="str">
        <f>IF(B2247="","",SUMIF(Transactions!$F$8:$F$3006,B2247,Transactions!$O$8:$O$3006))</f>
        <v/>
      </c>
      <c r="F2247" s="53" t="str">
        <f>IF(B2247="","",SUMIF(Transactions!$F$8:$F$3006,B2247,Transactions!$R$8:$R$3006))</f>
        <v/>
      </c>
      <c r="G2247" s="54" t="str">
        <f>IF(B2247="","",(C2247+F2247)-(D2247+E2247+SUMIF(Transactions!$F$8:$F$3006,B2247,Transactions!$Q$8:$Q$3006)))</f>
        <v/>
      </c>
      <c r="H2247" s="55" t="str">
        <f>IF(B2247="","",IF(G2247&gt;0,"OUTSTANDING",IF(G2247=0,"SETTLED",IF(SUMIF(Transactions!$F$8:$F$3006,B2247,Transactions!$Q$8:$Q$3006)&gt;SUMIF(Transactions!$F$8:$F$3006,B2247,Transactions!$R$8:$R$3006),"OWES","OVERPAID"))))</f>
        <v/>
      </c>
      <c r="I2247" s="1"/>
    </row>
    <row r="2248" spans="1:9" ht="18" customHeight="1" x14ac:dyDescent="0.25">
      <c r="A2248" s="40">
        <v>2233</v>
      </c>
      <c r="B2248" s="41" t="str">
        <f t="array" ref="B2248">IFERROR(IF(INDEX(Transactions!$F$8:$F$3006,MATCH(0,COUNTIF($B$11:B2247,Transactions!$F$8:$F$3006),0))="","",INDEX(Transactions!$F$8:$F$3006,MATCH(0,COUNTIF($B$11:B2247,Transactions!$F$8:$F$3006),0))),"")</f>
        <v/>
      </c>
      <c r="C2248" s="42" t="str">
        <f>IF(B2248="","",SUMIF(Transactions!$F$8:$F$3006,B2248,Transactions!$H$8:$H$3006))</f>
        <v/>
      </c>
      <c r="D2248" s="43" t="str">
        <f>IF(B2248="","",SUMIF(Transactions!$F$8:$F$3006,B2248,Transactions!$N$8:$N$3006))</f>
        <v/>
      </c>
      <c r="E2248" s="44" t="str">
        <f>IF(B2248="","",SUMIF(Transactions!$F$8:$F$3006,B2248,Transactions!$O$8:$O$3006))</f>
        <v/>
      </c>
      <c r="F2248" s="45" t="str">
        <f>IF(B2248="","",SUMIF(Transactions!$F$8:$F$3006,B2248,Transactions!$R$8:$R$3006))</f>
        <v/>
      </c>
      <c r="G2248" s="46" t="str">
        <f>IF(B2248="","",(C2248+F2248)-(D2248+E2248+SUMIF(Transactions!$F$8:$F$3006,B2248,Transactions!$Q$8:$Q$3006)))</f>
        <v/>
      </c>
      <c r="H2248" s="47" t="str">
        <f>IF(B2248="","",IF(G2248&gt;0,"OUTSTANDING",IF(G2248=0,"SETTLED",IF(SUMIF(Transactions!$F$8:$F$3006,B2248,Transactions!$Q$8:$Q$3006)&gt;SUMIF(Transactions!$F$8:$F$3006,B2248,Transactions!$R$8:$R$3006),"OWES","OVERPAID"))))</f>
        <v/>
      </c>
      <c r="I2248" s="1"/>
    </row>
    <row r="2249" spans="1:9" ht="18" customHeight="1" x14ac:dyDescent="0.25">
      <c r="A2249" s="48">
        <v>2234</v>
      </c>
      <c r="B2249" s="49" t="str">
        <f t="array" ref="B2249">IFERROR(IF(INDEX(Transactions!$F$8:$F$3006,MATCH(0,COUNTIF($B$11:B2248,Transactions!$F$8:$F$3006),0))="","",INDEX(Transactions!$F$8:$F$3006,MATCH(0,COUNTIF($B$11:B2248,Transactions!$F$8:$F$3006),0))),"")</f>
        <v/>
      </c>
      <c r="C2249" s="50" t="str">
        <f>IF(B2249="","",SUMIF(Transactions!$F$8:$F$3006,B2249,Transactions!$H$8:$H$3006))</f>
        <v/>
      </c>
      <c r="D2249" s="51" t="str">
        <f>IF(B2249="","",SUMIF(Transactions!$F$8:$F$3006,B2249,Transactions!$N$8:$N$3006))</f>
        <v/>
      </c>
      <c r="E2249" s="52" t="str">
        <f>IF(B2249="","",SUMIF(Transactions!$F$8:$F$3006,B2249,Transactions!$O$8:$O$3006))</f>
        <v/>
      </c>
      <c r="F2249" s="53" t="str">
        <f>IF(B2249="","",SUMIF(Transactions!$F$8:$F$3006,B2249,Transactions!$R$8:$R$3006))</f>
        <v/>
      </c>
      <c r="G2249" s="54" t="str">
        <f>IF(B2249="","",(C2249+F2249)-(D2249+E2249+SUMIF(Transactions!$F$8:$F$3006,B2249,Transactions!$Q$8:$Q$3006)))</f>
        <v/>
      </c>
      <c r="H2249" s="55" t="str">
        <f>IF(B2249="","",IF(G2249&gt;0,"OUTSTANDING",IF(G2249=0,"SETTLED",IF(SUMIF(Transactions!$F$8:$F$3006,B2249,Transactions!$Q$8:$Q$3006)&gt;SUMIF(Transactions!$F$8:$F$3006,B2249,Transactions!$R$8:$R$3006),"OWES","OVERPAID"))))</f>
        <v/>
      </c>
      <c r="I2249" s="1"/>
    </row>
    <row r="2250" spans="1:9" ht="18" customHeight="1" x14ac:dyDescent="0.25">
      <c r="A2250" s="40">
        <v>2235</v>
      </c>
      <c r="B2250" s="41" t="str">
        <f t="array" ref="B2250">IFERROR(IF(INDEX(Transactions!$F$8:$F$3006,MATCH(0,COUNTIF($B$11:B2249,Transactions!$F$8:$F$3006),0))="","",INDEX(Transactions!$F$8:$F$3006,MATCH(0,COUNTIF($B$11:B2249,Transactions!$F$8:$F$3006),0))),"")</f>
        <v/>
      </c>
      <c r="C2250" s="42" t="str">
        <f>IF(B2250="","",SUMIF(Transactions!$F$8:$F$3006,B2250,Transactions!$H$8:$H$3006))</f>
        <v/>
      </c>
      <c r="D2250" s="43" t="str">
        <f>IF(B2250="","",SUMIF(Transactions!$F$8:$F$3006,B2250,Transactions!$N$8:$N$3006))</f>
        <v/>
      </c>
      <c r="E2250" s="44" t="str">
        <f>IF(B2250="","",SUMIF(Transactions!$F$8:$F$3006,B2250,Transactions!$O$8:$O$3006))</f>
        <v/>
      </c>
      <c r="F2250" s="45" t="str">
        <f>IF(B2250="","",SUMIF(Transactions!$F$8:$F$3006,B2250,Transactions!$R$8:$R$3006))</f>
        <v/>
      </c>
      <c r="G2250" s="46" t="str">
        <f>IF(B2250="","",(C2250+F2250)-(D2250+E2250+SUMIF(Transactions!$F$8:$F$3006,B2250,Transactions!$Q$8:$Q$3006)))</f>
        <v/>
      </c>
      <c r="H2250" s="47" t="str">
        <f>IF(B2250="","",IF(G2250&gt;0,"OUTSTANDING",IF(G2250=0,"SETTLED",IF(SUMIF(Transactions!$F$8:$F$3006,B2250,Transactions!$Q$8:$Q$3006)&gt;SUMIF(Transactions!$F$8:$F$3006,B2250,Transactions!$R$8:$R$3006),"OWES","OVERPAID"))))</f>
        <v/>
      </c>
      <c r="I2250" s="1"/>
    </row>
    <row r="2251" spans="1:9" ht="18" customHeight="1" x14ac:dyDescent="0.25">
      <c r="A2251" s="48">
        <v>2236</v>
      </c>
      <c r="B2251" s="49" t="str">
        <f t="array" ref="B2251">IFERROR(IF(INDEX(Transactions!$F$8:$F$3006,MATCH(0,COUNTIF($B$11:B2250,Transactions!$F$8:$F$3006),0))="","",INDEX(Transactions!$F$8:$F$3006,MATCH(0,COUNTIF($B$11:B2250,Transactions!$F$8:$F$3006),0))),"")</f>
        <v/>
      </c>
      <c r="C2251" s="50" t="str">
        <f>IF(B2251="","",SUMIF(Transactions!$F$8:$F$3006,B2251,Transactions!$H$8:$H$3006))</f>
        <v/>
      </c>
      <c r="D2251" s="51" t="str">
        <f>IF(B2251="","",SUMIF(Transactions!$F$8:$F$3006,B2251,Transactions!$N$8:$N$3006))</f>
        <v/>
      </c>
      <c r="E2251" s="52" t="str">
        <f>IF(B2251="","",SUMIF(Transactions!$F$8:$F$3006,B2251,Transactions!$O$8:$O$3006))</f>
        <v/>
      </c>
      <c r="F2251" s="53" t="str">
        <f>IF(B2251="","",SUMIF(Transactions!$F$8:$F$3006,B2251,Transactions!$R$8:$R$3006))</f>
        <v/>
      </c>
      <c r="G2251" s="54" t="str">
        <f>IF(B2251="","",(C2251+F2251)-(D2251+E2251+SUMIF(Transactions!$F$8:$F$3006,B2251,Transactions!$Q$8:$Q$3006)))</f>
        <v/>
      </c>
      <c r="H2251" s="55" t="str">
        <f>IF(B2251="","",IF(G2251&gt;0,"OUTSTANDING",IF(G2251=0,"SETTLED",IF(SUMIF(Transactions!$F$8:$F$3006,B2251,Transactions!$Q$8:$Q$3006)&gt;SUMIF(Transactions!$F$8:$F$3006,B2251,Transactions!$R$8:$R$3006),"OWES","OVERPAID"))))</f>
        <v/>
      </c>
      <c r="I2251" s="1"/>
    </row>
    <row r="2252" spans="1:9" ht="18" customHeight="1" x14ac:dyDescent="0.25">
      <c r="A2252" s="40">
        <v>2237</v>
      </c>
      <c r="B2252" s="41" t="str">
        <f t="array" ref="B2252">IFERROR(IF(INDEX(Transactions!$F$8:$F$3006,MATCH(0,COUNTIF($B$11:B2251,Transactions!$F$8:$F$3006),0))="","",INDEX(Transactions!$F$8:$F$3006,MATCH(0,COUNTIF($B$11:B2251,Transactions!$F$8:$F$3006),0))),"")</f>
        <v/>
      </c>
      <c r="C2252" s="42" t="str">
        <f>IF(B2252="","",SUMIF(Transactions!$F$8:$F$3006,B2252,Transactions!$H$8:$H$3006))</f>
        <v/>
      </c>
      <c r="D2252" s="43" t="str">
        <f>IF(B2252="","",SUMIF(Transactions!$F$8:$F$3006,B2252,Transactions!$N$8:$N$3006))</f>
        <v/>
      </c>
      <c r="E2252" s="44" t="str">
        <f>IF(B2252="","",SUMIF(Transactions!$F$8:$F$3006,B2252,Transactions!$O$8:$O$3006))</f>
        <v/>
      </c>
      <c r="F2252" s="45" t="str">
        <f>IF(B2252="","",SUMIF(Transactions!$F$8:$F$3006,B2252,Transactions!$R$8:$R$3006))</f>
        <v/>
      </c>
      <c r="G2252" s="46" t="str">
        <f>IF(B2252="","",(C2252+F2252)-(D2252+E2252+SUMIF(Transactions!$F$8:$F$3006,B2252,Transactions!$Q$8:$Q$3006)))</f>
        <v/>
      </c>
      <c r="H2252" s="47" t="str">
        <f>IF(B2252="","",IF(G2252&gt;0,"OUTSTANDING",IF(G2252=0,"SETTLED",IF(SUMIF(Transactions!$F$8:$F$3006,B2252,Transactions!$Q$8:$Q$3006)&gt;SUMIF(Transactions!$F$8:$F$3006,B2252,Transactions!$R$8:$R$3006),"OWES","OVERPAID"))))</f>
        <v/>
      </c>
      <c r="I2252" s="1"/>
    </row>
    <row r="2253" spans="1:9" ht="18" customHeight="1" x14ac:dyDescent="0.25">
      <c r="A2253" s="48">
        <v>2238</v>
      </c>
      <c r="B2253" s="49" t="str">
        <f t="array" ref="B2253">IFERROR(IF(INDEX(Transactions!$F$8:$F$3006,MATCH(0,COUNTIF($B$11:B2252,Transactions!$F$8:$F$3006),0))="","",INDEX(Transactions!$F$8:$F$3006,MATCH(0,COUNTIF($B$11:B2252,Transactions!$F$8:$F$3006),0))),"")</f>
        <v/>
      </c>
      <c r="C2253" s="50" t="str">
        <f>IF(B2253="","",SUMIF(Transactions!$F$8:$F$3006,B2253,Transactions!$H$8:$H$3006))</f>
        <v/>
      </c>
      <c r="D2253" s="51" t="str">
        <f>IF(B2253="","",SUMIF(Transactions!$F$8:$F$3006,B2253,Transactions!$N$8:$N$3006))</f>
        <v/>
      </c>
      <c r="E2253" s="52" t="str">
        <f>IF(B2253="","",SUMIF(Transactions!$F$8:$F$3006,B2253,Transactions!$O$8:$O$3006))</f>
        <v/>
      </c>
      <c r="F2253" s="53" t="str">
        <f>IF(B2253="","",SUMIF(Transactions!$F$8:$F$3006,B2253,Transactions!$R$8:$R$3006))</f>
        <v/>
      </c>
      <c r="G2253" s="54" t="str">
        <f>IF(B2253="","",(C2253+F2253)-(D2253+E2253+SUMIF(Transactions!$F$8:$F$3006,B2253,Transactions!$Q$8:$Q$3006)))</f>
        <v/>
      </c>
      <c r="H2253" s="55" t="str">
        <f>IF(B2253="","",IF(G2253&gt;0,"OUTSTANDING",IF(G2253=0,"SETTLED",IF(SUMIF(Transactions!$F$8:$F$3006,B2253,Transactions!$Q$8:$Q$3006)&gt;SUMIF(Transactions!$F$8:$F$3006,B2253,Transactions!$R$8:$R$3006),"OWES","OVERPAID"))))</f>
        <v/>
      </c>
      <c r="I2253" s="1"/>
    </row>
    <row r="2254" spans="1:9" ht="18" customHeight="1" x14ac:dyDescent="0.25">
      <c r="A2254" s="40">
        <v>2239</v>
      </c>
      <c r="B2254" s="41" t="str">
        <f t="array" ref="B2254">IFERROR(IF(INDEX(Transactions!$F$8:$F$3006,MATCH(0,COUNTIF($B$11:B2253,Transactions!$F$8:$F$3006),0))="","",INDEX(Transactions!$F$8:$F$3006,MATCH(0,COUNTIF($B$11:B2253,Transactions!$F$8:$F$3006),0))),"")</f>
        <v/>
      </c>
      <c r="C2254" s="42" t="str">
        <f>IF(B2254="","",SUMIF(Transactions!$F$8:$F$3006,B2254,Transactions!$H$8:$H$3006))</f>
        <v/>
      </c>
      <c r="D2254" s="43" t="str">
        <f>IF(B2254="","",SUMIF(Transactions!$F$8:$F$3006,B2254,Transactions!$N$8:$N$3006))</f>
        <v/>
      </c>
      <c r="E2254" s="44" t="str">
        <f>IF(B2254="","",SUMIF(Transactions!$F$8:$F$3006,B2254,Transactions!$O$8:$O$3006))</f>
        <v/>
      </c>
      <c r="F2254" s="45" t="str">
        <f>IF(B2254="","",SUMIF(Transactions!$F$8:$F$3006,B2254,Transactions!$R$8:$R$3006))</f>
        <v/>
      </c>
      <c r="G2254" s="46" t="str">
        <f>IF(B2254="","",(C2254+F2254)-(D2254+E2254+SUMIF(Transactions!$F$8:$F$3006,B2254,Transactions!$Q$8:$Q$3006)))</f>
        <v/>
      </c>
      <c r="H2254" s="47" t="str">
        <f>IF(B2254="","",IF(G2254&gt;0,"OUTSTANDING",IF(G2254=0,"SETTLED",IF(SUMIF(Transactions!$F$8:$F$3006,B2254,Transactions!$Q$8:$Q$3006)&gt;SUMIF(Transactions!$F$8:$F$3006,B2254,Transactions!$R$8:$R$3006),"OWES","OVERPAID"))))</f>
        <v/>
      </c>
      <c r="I2254" s="1"/>
    </row>
    <row r="2255" spans="1:9" ht="18" customHeight="1" x14ac:dyDescent="0.25">
      <c r="A2255" s="48">
        <v>2240</v>
      </c>
      <c r="B2255" s="49" t="str">
        <f t="array" ref="B2255">IFERROR(IF(INDEX(Transactions!$F$8:$F$3006,MATCH(0,COUNTIF($B$11:B2254,Transactions!$F$8:$F$3006),0))="","",INDEX(Transactions!$F$8:$F$3006,MATCH(0,COUNTIF($B$11:B2254,Transactions!$F$8:$F$3006),0))),"")</f>
        <v/>
      </c>
      <c r="C2255" s="50" t="str">
        <f>IF(B2255="","",SUMIF(Transactions!$F$8:$F$3006,B2255,Transactions!$H$8:$H$3006))</f>
        <v/>
      </c>
      <c r="D2255" s="51" t="str">
        <f>IF(B2255="","",SUMIF(Transactions!$F$8:$F$3006,B2255,Transactions!$N$8:$N$3006))</f>
        <v/>
      </c>
      <c r="E2255" s="52" t="str">
        <f>IF(B2255="","",SUMIF(Transactions!$F$8:$F$3006,B2255,Transactions!$O$8:$O$3006))</f>
        <v/>
      </c>
      <c r="F2255" s="53" t="str">
        <f>IF(B2255="","",SUMIF(Transactions!$F$8:$F$3006,B2255,Transactions!$R$8:$R$3006))</f>
        <v/>
      </c>
      <c r="G2255" s="54" t="str">
        <f>IF(B2255="","",(C2255+F2255)-(D2255+E2255+SUMIF(Transactions!$F$8:$F$3006,B2255,Transactions!$Q$8:$Q$3006)))</f>
        <v/>
      </c>
      <c r="H2255" s="55" t="str">
        <f>IF(B2255="","",IF(G2255&gt;0,"OUTSTANDING",IF(G2255=0,"SETTLED",IF(SUMIF(Transactions!$F$8:$F$3006,B2255,Transactions!$Q$8:$Q$3006)&gt;SUMIF(Transactions!$F$8:$F$3006,B2255,Transactions!$R$8:$R$3006),"OWES","OVERPAID"))))</f>
        <v/>
      </c>
      <c r="I2255" s="1"/>
    </row>
    <row r="2256" spans="1:9" ht="18" customHeight="1" x14ac:dyDescent="0.25">
      <c r="A2256" s="40">
        <v>2241</v>
      </c>
      <c r="B2256" s="41" t="str">
        <f t="array" ref="B2256">IFERROR(IF(INDEX(Transactions!$F$8:$F$3006,MATCH(0,COUNTIF($B$11:B2255,Transactions!$F$8:$F$3006),0))="","",INDEX(Transactions!$F$8:$F$3006,MATCH(0,COUNTIF($B$11:B2255,Transactions!$F$8:$F$3006),0))),"")</f>
        <v/>
      </c>
      <c r="C2256" s="42" t="str">
        <f>IF(B2256="","",SUMIF(Transactions!$F$8:$F$3006,B2256,Transactions!$H$8:$H$3006))</f>
        <v/>
      </c>
      <c r="D2256" s="43" t="str">
        <f>IF(B2256="","",SUMIF(Transactions!$F$8:$F$3006,B2256,Transactions!$N$8:$N$3006))</f>
        <v/>
      </c>
      <c r="E2256" s="44" t="str">
        <f>IF(B2256="","",SUMIF(Transactions!$F$8:$F$3006,B2256,Transactions!$O$8:$O$3006))</f>
        <v/>
      </c>
      <c r="F2256" s="45" t="str">
        <f>IF(B2256="","",SUMIF(Transactions!$F$8:$F$3006,B2256,Transactions!$R$8:$R$3006))</f>
        <v/>
      </c>
      <c r="G2256" s="46" t="str">
        <f>IF(B2256="","",(C2256+F2256)-(D2256+E2256+SUMIF(Transactions!$F$8:$F$3006,B2256,Transactions!$Q$8:$Q$3006)))</f>
        <v/>
      </c>
      <c r="H2256" s="47" t="str">
        <f>IF(B2256="","",IF(G2256&gt;0,"OUTSTANDING",IF(G2256=0,"SETTLED",IF(SUMIF(Transactions!$F$8:$F$3006,B2256,Transactions!$Q$8:$Q$3006)&gt;SUMIF(Transactions!$F$8:$F$3006,B2256,Transactions!$R$8:$R$3006),"OWES","OVERPAID"))))</f>
        <v/>
      </c>
      <c r="I2256" s="1"/>
    </row>
    <row r="2257" spans="1:9" ht="18" customHeight="1" x14ac:dyDescent="0.25">
      <c r="A2257" s="48">
        <v>2242</v>
      </c>
      <c r="B2257" s="49" t="str">
        <f t="array" ref="B2257">IFERROR(IF(INDEX(Transactions!$F$8:$F$3006,MATCH(0,COUNTIF($B$11:B2256,Transactions!$F$8:$F$3006),0))="","",INDEX(Transactions!$F$8:$F$3006,MATCH(0,COUNTIF($B$11:B2256,Transactions!$F$8:$F$3006),0))),"")</f>
        <v/>
      </c>
      <c r="C2257" s="50" t="str">
        <f>IF(B2257="","",SUMIF(Transactions!$F$8:$F$3006,B2257,Transactions!$H$8:$H$3006))</f>
        <v/>
      </c>
      <c r="D2257" s="51" t="str">
        <f>IF(B2257="","",SUMIF(Transactions!$F$8:$F$3006,B2257,Transactions!$N$8:$N$3006))</f>
        <v/>
      </c>
      <c r="E2257" s="52" t="str">
        <f>IF(B2257="","",SUMIF(Transactions!$F$8:$F$3006,B2257,Transactions!$O$8:$O$3006))</f>
        <v/>
      </c>
      <c r="F2257" s="53" t="str">
        <f>IF(B2257="","",SUMIF(Transactions!$F$8:$F$3006,B2257,Transactions!$R$8:$R$3006))</f>
        <v/>
      </c>
      <c r="G2257" s="54" t="str">
        <f>IF(B2257="","",(C2257+F2257)-(D2257+E2257+SUMIF(Transactions!$F$8:$F$3006,B2257,Transactions!$Q$8:$Q$3006)))</f>
        <v/>
      </c>
      <c r="H2257" s="55" t="str">
        <f>IF(B2257="","",IF(G2257&gt;0,"OUTSTANDING",IF(G2257=0,"SETTLED",IF(SUMIF(Transactions!$F$8:$F$3006,B2257,Transactions!$Q$8:$Q$3006)&gt;SUMIF(Transactions!$F$8:$F$3006,B2257,Transactions!$R$8:$R$3006),"OWES","OVERPAID"))))</f>
        <v/>
      </c>
      <c r="I2257" s="1"/>
    </row>
    <row r="2258" spans="1:9" ht="18" customHeight="1" x14ac:dyDescent="0.25">
      <c r="A2258" s="40">
        <v>2243</v>
      </c>
      <c r="B2258" s="41" t="str">
        <f t="array" ref="B2258">IFERROR(IF(INDEX(Transactions!$F$8:$F$3006,MATCH(0,COUNTIF($B$11:B2257,Transactions!$F$8:$F$3006),0))="","",INDEX(Transactions!$F$8:$F$3006,MATCH(0,COUNTIF($B$11:B2257,Transactions!$F$8:$F$3006),0))),"")</f>
        <v/>
      </c>
      <c r="C2258" s="42" t="str">
        <f>IF(B2258="","",SUMIF(Transactions!$F$8:$F$3006,B2258,Transactions!$H$8:$H$3006))</f>
        <v/>
      </c>
      <c r="D2258" s="43" t="str">
        <f>IF(B2258="","",SUMIF(Transactions!$F$8:$F$3006,B2258,Transactions!$N$8:$N$3006))</f>
        <v/>
      </c>
      <c r="E2258" s="44" t="str">
        <f>IF(B2258="","",SUMIF(Transactions!$F$8:$F$3006,B2258,Transactions!$O$8:$O$3006))</f>
        <v/>
      </c>
      <c r="F2258" s="45" t="str">
        <f>IF(B2258="","",SUMIF(Transactions!$F$8:$F$3006,B2258,Transactions!$R$8:$R$3006))</f>
        <v/>
      </c>
      <c r="G2258" s="46" t="str">
        <f>IF(B2258="","",(C2258+F2258)-(D2258+E2258+SUMIF(Transactions!$F$8:$F$3006,B2258,Transactions!$Q$8:$Q$3006)))</f>
        <v/>
      </c>
      <c r="H2258" s="47" t="str">
        <f>IF(B2258="","",IF(G2258&gt;0,"OUTSTANDING",IF(G2258=0,"SETTLED",IF(SUMIF(Transactions!$F$8:$F$3006,B2258,Transactions!$Q$8:$Q$3006)&gt;SUMIF(Transactions!$F$8:$F$3006,B2258,Transactions!$R$8:$R$3006),"OWES","OVERPAID"))))</f>
        <v/>
      </c>
      <c r="I2258" s="1"/>
    </row>
    <row r="2259" spans="1:9" ht="18" customHeight="1" x14ac:dyDescent="0.25">
      <c r="A2259" s="48">
        <v>2244</v>
      </c>
      <c r="B2259" s="49" t="str">
        <f t="array" ref="B2259">IFERROR(IF(INDEX(Transactions!$F$8:$F$3006,MATCH(0,COUNTIF($B$11:B2258,Transactions!$F$8:$F$3006),0))="","",INDEX(Transactions!$F$8:$F$3006,MATCH(0,COUNTIF($B$11:B2258,Transactions!$F$8:$F$3006),0))),"")</f>
        <v/>
      </c>
      <c r="C2259" s="50" t="str">
        <f>IF(B2259="","",SUMIF(Transactions!$F$8:$F$3006,B2259,Transactions!$H$8:$H$3006))</f>
        <v/>
      </c>
      <c r="D2259" s="51" t="str">
        <f>IF(B2259="","",SUMIF(Transactions!$F$8:$F$3006,B2259,Transactions!$N$8:$N$3006))</f>
        <v/>
      </c>
      <c r="E2259" s="52" t="str">
        <f>IF(B2259="","",SUMIF(Transactions!$F$8:$F$3006,B2259,Transactions!$O$8:$O$3006))</f>
        <v/>
      </c>
      <c r="F2259" s="53" t="str">
        <f>IF(B2259="","",SUMIF(Transactions!$F$8:$F$3006,B2259,Transactions!$R$8:$R$3006))</f>
        <v/>
      </c>
      <c r="G2259" s="54" t="str">
        <f>IF(B2259="","",(C2259+F2259)-(D2259+E2259+SUMIF(Transactions!$F$8:$F$3006,B2259,Transactions!$Q$8:$Q$3006)))</f>
        <v/>
      </c>
      <c r="H2259" s="55" t="str">
        <f>IF(B2259="","",IF(G2259&gt;0,"OUTSTANDING",IF(G2259=0,"SETTLED",IF(SUMIF(Transactions!$F$8:$F$3006,B2259,Transactions!$Q$8:$Q$3006)&gt;SUMIF(Transactions!$F$8:$F$3006,B2259,Transactions!$R$8:$R$3006),"OWES","OVERPAID"))))</f>
        <v/>
      </c>
      <c r="I2259" s="1"/>
    </row>
    <row r="2260" spans="1:9" ht="18" customHeight="1" x14ac:dyDescent="0.25">
      <c r="A2260" s="40">
        <v>2245</v>
      </c>
      <c r="B2260" s="41" t="str">
        <f t="array" ref="B2260">IFERROR(IF(INDEX(Transactions!$F$8:$F$3006,MATCH(0,COUNTIF($B$11:B2259,Transactions!$F$8:$F$3006),0))="","",INDEX(Transactions!$F$8:$F$3006,MATCH(0,COUNTIF($B$11:B2259,Transactions!$F$8:$F$3006),0))),"")</f>
        <v/>
      </c>
      <c r="C2260" s="42" t="str">
        <f>IF(B2260="","",SUMIF(Transactions!$F$8:$F$3006,B2260,Transactions!$H$8:$H$3006))</f>
        <v/>
      </c>
      <c r="D2260" s="43" t="str">
        <f>IF(B2260="","",SUMIF(Transactions!$F$8:$F$3006,B2260,Transactions!$N$8:$N$3006))</f>
        <v/>
      </c>
      <c r="E2260" s="44" t="str">
        <f>IF(B2260="","",SUMIF(Transactions!$F$8:$F$3006,B2260,Transactions!$O$8:$O$3006))</f>
        <v/>
      </c>
      <c r="F2260" s="45" t="str">
        <f>IF(B2260="","",SUMIF(Transactions!$F$8:$F$3006,B2260,Transactions!$R$8:$R$3006))</f>
        <v/>
      </c>
      <c r="G2260" s="46" t="str">
        <f>IF(B2260="","",(C2260+F2260)-(D2260+E2260+SUMIF(Transactions!$F$8:$F$3006,B2260,Transactions!$Q$8:$Q$3006)))</f>
        <v/>
      </c>
      <c r="H2260" s="47" t="str">
        <f>IF(B2260="","",IF(G2260&gt;0,"OUTSTANDING",IF(G2260=0,"SETTLED",IF(SUMIF(Transactions!$F$8:$F$3006,B2260,Transactions!$Q$8:$Q$3006)&gt;SUMIF(Transactions!$F$8:$F$3006,B2260,Transactions!$R$8:$R$3006),"OWES","OVERPAID"))))</f>
        <v/>
      </c>
      <c r="I2260" s="1"/>
    </row>
    <row r="2261" spans="1:9" ht="18" customHeight="1" x14ac:dyDescent="0.25">
      <c r="A2261" s="48">
        <v>2246</v>
      </c>
      <c r="B2261" s="49" t="str">
        <f t="array" ref="B2261">IFERROR(IF(INDEX(Transactions!$F$8:$F$3006,MATCH(0,COUNTIF($B$11:B2260,Transactions!$F$8:$F$3006),0))="","",INDEX(Transactions!$F$8:$F$3006,MATCH(0,COUNTIF($B$11:B2260,Transactions!$F$8:$F$3006),0))),"")</f>
        <v/>
      </c>
      <c r="C2261" s="50" t="str">
        <f>IF(B2261="","",SUMIF(Transactions!$F$8:$F$3006,B2261,Transactions!$H$8:$H$3006))</f>
        <v/>
      </c>
      <c r="D2261" s="51" t="str">
        <f>IF(B2261="","",SUMIF(Transactions!$F$8:$F$3006,B2261,Transactions!$N$8:$N$3006))</f>
        <v/>
      </c>
      <c r="E2261" s="52" t="str">
        <f>IF(B2261="","",SUMIF(Transactions!$F$8:$F$3006,B2261,Transactions!$O$8:$O$3006))</f>
        <v/>
      </c>
      <c r="F2261" s="53" t="str">
        <f>IF(B2261="","",SUMIF(Transactions!$F$8:$F$3006,B2261,Transactions!$R$8:$R$3006))</f>
        <v/>
      </c>
      <c r="G2261" s="54" t="str">
        <f>IF(B2261="","",(C2261+F2261)-(D2261+E2261+SUMIF(Transactions!$F$8:$F$3006,B2261,Transactions!$Q$8:$Q$3006)))</f>
        <v/>
      </c>
      <c r="H2261" s="55" t="str">
        <f>IF(B2261="","",IF(G2261&gt;0,"OUTSTANDING",IF(G2261=0,"SETTLED",IF(SUMIF(Transactions!$F$8:$F$3006,B2261,Transactions!$Q$8:$Q$3006)&gt;SUMIF(Transactions!$F$8:$F$3006,B2261,Transactions!$R$8:$R$3006),"OWES","OVERPAID"))))</f>
        <v/>
      </c>
      <c r="I2261" s="1"/>
    </row>
    <row r="2262" spans="1:9" ht="18" customHeight="1" x14ac:dyDescent="0.25">
      <c r="A2262" s="40">
        <v>2247</v>
      </c>
      <c r="B2262" s="41" t="str">
        <f t="array" ref="B2262">IFERROR(IF(INDEX(Transactions!$F$8:$F$3006,MATCH(0,COUNTIF($B$11:B2261,Transactions!$F$8:$F$3006),0))="","",INDEX(Transactions!$F$8:$F$3006,MATCH(0,COUNTIF($B$11:B2261,Transactions!$F$8:$F$3006),0))),"")</f>
        <v/>
      </c>
      <c r="C2262" s="42" t="str">
        <f>IF(B2262="","",SUMIF(Transactions!$F$8:$F$3006,B2262,Transactions!$H$8:$H$3006))</f>
        <v/>
      </c>
      <c r="D2262" s="43" t="str">
        <f>IF(B2262="","",SUMIF(Transactions!$F$8:$F$3006,B2262,Transactions!$N$8:$N$3006))</f>
        <v/>
      </c>
      <c r="E2262" s="44" t="str">
        <f>IF(B2262="","",SUMIF(Transactions!$F$8:$F$3006,B2262,Transactions!$O$8:$O$3006))</f>
        <v/>
      </c>
      <c r="F2262" s="45" t="str">
        <f>IF(B2262="","",SUMIF(Transactions!$F$8:$F$3006,B2262,Transactions!$R$8:$R$3006))</f>
        <v/>
      </c>
      <c r="G2262" s="46" t="str">
        <f>IF(B2262="","",(C2262+F2262)-(D2262+E2262+SUMIF(Transactions!$F$8:$F$3006,B2262,Transactions!$Q$8:$Q$3006)))</f>
        <v/>
      </c>
      <c r="H2262" s="47" t="str">
        <f>IF(B2262="","",IF(G2262&gt;0,"OUTSTANDING",IF(G2262=0,"SETTLED",IF(SUMIF(Transactions!$F$8:$F$3006,B2262,Transactions!$Q$8:$Q$3006)&gt;SUMIF(Transactions!$F$8:$F$3006,B2262,Transactions!$R$8:$R$3006),"OWES","OVERPAID"))))</f>
        <v/>
      </c>
      <c r="I2262" s="1"/>
    </row>
    <row r="2263" spans="1:9" ht="18" customHeight="1" x14ac:dyDescent="0.25">
      <c r="A2263" s="48">
        <v>2248</v>
      </c>
      <c r="B2263" s="49" t="str">
        <f t="array" ref="B2263">IFERROR(IF(INDEX(Transactions!$F$8:$F$3006,MATCH(0,COUNTIF($B$11:B2262,Transactions!$F$8:$F$3006),0))="","",INDEX(Transactions!$F$8:$F$3006,MATCH(0,COUNTIF($B$11:B2262,Transactions!$F$8:$F$3006),0))),"")</f>
        <v/>
      </c>
      <c r="C2263" s="50" t="str">
        <f>IF(B2263="","",SUMIF(Transactions!$F$8:$F$3006,B2263,Transactions!$H$8:$H$3006))</f>
        <v/>
      </c>
      <c r="D2263" s="51" t="str">
        <f>IF(B2263="","",SUMIF(Transactions!$F$8:$F$3006,B2263,Transactions!$N$8:$N$3006))</f>
        <v/>
      </c>
      <c r="E2263" s="52" t="str">
        <f>IF(B2263="","",SUMIF(Transactions!$F$8:$F$3006,B2263,Transactions!$O$8:$O$3006))</f>
        <v/>
      </c>
      <c r="F2263" s="53" t="str">
        <f>IF(B2263="","",SUMIF(Transactions!$F$8:$F$3006,B2263,Transactions!$R$8:$R$3006))</f>
        <v/>
      </c>
      <c r="G2263" s="54" t="str">
        <f>IF(B2263="","",(C2263+F2263)-(D2263+E2263+SUMIF(Transactions!$F$8:$F$3006,B2263,Transactions!$Q$8:$Q$3006)))</f>
        <v/>
      </c>
      <c r="H2263" s="55" t="str">
        <f>IF(B2263="","",IF(G2263&gt;0,"OUTSTANDING",IF(G2263=0,"SETTLED",IF(SUMIF(Transactions!$F$8:$F$3006,B2263,Transactions!$Q$8:$Q$3006)&gt;SUMIF(Transactions!$F$8:$F$3006,B2263,Transactions!$R$8:$R$3006),"OWES","OVERPAID"))))</f>
        <v/>
      </c>
      <c r="I2263" s="1"/>
    </row>
    <row r="2264" spans="1:9" ht="18" customHeight="1" x14ac:dyDescent="0.25">
      <c r="A2264" s="40">
        <v>2249</v>
      </c>
      <c r="B2264" s="41" t="str">
        <f t="array" ref="B2264">IFERROR(IF(INDEX(Transactions!$F$8:$F$3006,MATCH(0,COUNTIF($B$11:B2263,Transactions!$F$8:$F$3006),0))="","",INDEX(Transactions!$F$8:$F$3006,MATCH(0,COUNTIF($B$11:B2263,Transactions!$F$8:$F$3006),0))),"")</f>
        <v/>
      </c>
      <c r="C2264" s="42" t="str">
        <f>IF(B2264="","",SUMIF(Transactions!$F$8:$F$3006,B2264,Transactions!$H$8:$H$3006))</f>
        <v/>
      </c>
      <c r="D2264" s="43" t="str">
        <f>IF(B2264="","",SUMIF(Transactions!$F$8:$F$3006,B2264,Transactions!$N$8:$N$3006))</f>
        <v/>
      </c>
      <c r="E2264" s="44" t="str">
        <f>IF(B2264="","",SUMIF(Transactions!$F$8:$F$3006,B2264,Transactions!$O$8:$O$3006))</f>
        <v/>
      </c>
      <c r="F2264" s="45" t="str">
        <f>IF(B2264="","",SUMIF(Transactions!$F$8:$F$3006,B2264,Transactions!$R$8:$R$3006))</f>
        <v/>
      </c>
      <c r="G2264" s="46" t="str">
        <f>IF(B2264="","",(C2264+F2264)-(D2264+E2264+SUMIF(Transactions!$F$8:$F$3006,B2264,Transactions!$Q$8:$Q$3006)))</f>
        <v/>
      </c>
      <c r="H2264" s="47" t="str">
        <f>IF(B2264="","",IF(G2264&gt;0,"OUTSTANDING",IF(G2264=0,"SETTLED",IF(SUMIF(Transactions!$F$8:$F$3006,B2264,Transactions!$Q$8:$Q$3006)&gt;SUMIF(Transactions!$F$8:$F$3006,B2264,Transactions!$R$8:$R$3006),"OWES","OVERPAID"))))</f>
        <v/>
      </c>
      <c r="I2264" s="1"/>
    </row>
    <row r="2265" spans="1:9" ht="18" customHeight="1" x14ac:dyDescent="0.25">
      <c r="A2265" s="48">
        <v>2250</v>
      </c>
      <c r="B2265" s="49" t="str">
        <f t="array" ref="B2265">IFERROR(IF(INDEX(Transactions!$F$8:$F$3006,MATCH(0,COUNTIF($B$11:B2264,Transactions!$F$8:$F$3006),0))="","",INDEX(Transactions!$F$8:$F$3006,MATCH(0,COUNTIF($B$11:B2264,Transactions!$F$8:$F$3006),0))),"")</f>
        <v/>
      </c>
      <c r="C2265" s="50" t="str">
        <f>IF(B2265="","",SUMIF(Transactions!$F$8:$F$3006,B2265,Transactions!$H$8:$H$3006))</f>
        <v/>
      </c>
      <c r="D2265" s="51" t="str">
        <f>IF(B2265="","",SUMIF(Transactions!$F$8:$F$3006,B2265,Transactions!$N$8:$N$3006))</f>
        <v/>
      </c>
      <c r="E2265" s="52" t="str">
        <f>IF(B2265="","",SUMIF(Transactions!$F$8:$F$3006,B2265,Transactions!$O$8:$O$3006))</f>
        <v/>
      </c>
      <c r="F2265" s="53" t="str">
        <f>IF(B2265="","",SUMIF(Transactions!$F$8:$F$3006,B2265,Transactions!$R$8:$R$3006))</f>
        <v/>
      </c>
      <c r="G2265" s="54" t="str">
        <f>IF(B2265="","",(C2265+F2265)-(D2265+E2265+SUMIF(Transactions!$F$8:$F$3006,B2265,Transactions!$Q$8:$Q$3006)))</f>
        <v/>
      </c>
      <c r="H2265" s="55" t="str">
        <f>IF(B2265="","",IF(G2265&gt;0,"OUTSTANDING",IF(G2265=0,"SETTLED",IF(SUMIF(Transactions!$F$8:$F$3006,B2265,Transactions!$Q$8:$Q$3006)&gt;SUMIF(Transactions!$F$8:$F$3006,B2265,Transactions!$R$8:$R$3006),"OWES","OVERPAID"))))</f>
        <v/>
      </c>
      <c r="I2265" s="1"/>
    </row>
    <row r="2266" spans="1:9" ht="18" customHeight="1" x14ac:dyDescent="0.25">
      <c r="A2266" s="40">
        <v>2251</v>
      </c>
      <c r="B2266" s="41" t="str">
        <f t="array" ref="B2266">IFERROR(IF(INDEX(Transactions!$F$8:$F$3006,MATCH(0,COUNTIF($B$11:B2265,Transactions!$F$8:$F$3006),0))="","",INDEX(Transactions!$F$8:$F$3006,MATCH(0,COUNTIF($B$11:B2265,Transactions!$F$8:$F$3006),0))),"")</f>
        <v/>
      </c>
      <c r="C2266" s="42" t="str">
        <f>IF(B2266="","",SUMIF(Transactions!$F$8:$F$3006,B2266,Transactions!$H$8:$H$3006))</f>
        <v/>
      </c>
      <c r="D2266" s="43" t="str">
        <f>IF(B2266="","",SUMIF(Transactions!$F$8:$F$3006,B2266,Transactions!$N$8:$N$3006))</f>
        <v/>
      </c>
      <c r="E2266" s="44" t="str">
        <f>IF(B2266="","",SUMIF(Transactions!$F$8:$F$3006,B2266,Transactions!$O$8:$O$3006))</f>
        <v/>
      </c>
      <c r="F2266" s="45" t="str">
        <f>IF(B2266="","",SUMIF(Transactions!$F$8:$F$3006,B2266,Transactions!$R$8:$R$3006))</f>
        <v/>
      </c>
      <c r="G2266" s="46" t="str">
        <f>IF(B2266="","",(C2266+F2266)-(D2266+E2266+SUMIF(Transactions!$F$8:$F$3006,B2266,Transactions!$Q$8:$Q$3006)))</f>
        <v/>
      </c>
      <c r="H2266" s="47" t="str">
        <f>IF(B2266="","",IF(G2266&gt;0,"OUTSTANDING",IF(G2266=0,"SETTLED",IF(SUMIF(Transactions!$F$8:$F$3006,B2266,Transactions!$Q$8:$Q$3006)&gt;SUMIF(Transactions!$F$8:$F$3006,B2266,Transactions!$R$8:$R$3006),"OWES","OVERPAID"))))</f>
        <v/>
      </c>
      <c r="I2266" s="1"/>
    </row>
    <row r="2267" spans="1:9" ht="18" customHeight="1" x14ac:dyDescent="0.25">
      <c r="A2267" s="48">
        <v>2252</v>
      </c>
      <c r="B2267" s="49" t="str">
        <f t="array" ref="B2267">IFERROR(IF(INDEX(Transactions!$F$8:$F$3006,MATCH(0,COUNTIF($B$11:B2266,Transactions!$F$8:$F$3006),0))="","",INDEX(Transactions!$F$8:$F$3006,MATCH(0,COUNTIF($B$11:B2266,Transactions!$F$8:$F$3006),0))),"")</f>
        <v/>
      </c>
      <c r="C2267" s="50" t="str">
        <f>IF(B2267="","",SUMIF(Transactions!$F$8:$F$3006,B2267,Transactions!$H$8:$H$3006))</f>
        <v/>
      </c>
      <c r="D2267" s="51" t="str">
        <f>IF(B2267="","",SUMIF(Transactions!$F$8:$F$3006,B2267,Transactions!$N$8:$N$3006))</f>
        <v/>
      </c>
      <c r="E2267" s="52" t="str">
        <f>IF(B2267="","",SUMIF(Transactions!$F$8:$F$3006,B2267,Transactions!$O$8:$O$3006))</f>
        <v/>
      </c>
      <c r="F2267" s="53" t="str">
        <f>IF(B2267="","",SUMIF(Transactions!$F$8:$F$3006,B2267,Transactions!$R$8:$R$3006))</f>
        <v/>
      </c>
      <c r="G2267" s="54" t="str">
        <f>IF(B2267="","",(C2267+F2267)-(D2267+E2267+SUMIF(Transactions!$F$8:$F$3006,B2267,Transactions!$Q$8:$Q$3006)))</f>
        <v/>
      </c>
      <c r="H2267" s="55" t="str">
        <f>IF(B2267="","",IF(G2267&gt;0,"OUTSTANDING",IF(G2267=0,"SETTLED",IF(SUMIF(Transactions!$F$8:$F$3006,B2267,Transactions!$Q$8:$Q$3006)&gt;SUMIF(Transactions!$F$8:$F$3006,B2267,Transactions!$R$8:$R$3006),"OWES","OVERPAID"))))</f>
        <v/>
      </c>
      <c r="I2267" s="1"/>
    </row>
    <row r="2268" spans="1:9" ht="18" customHeight="1" x14ac:dyDescent="0.25">
      <c r="A2268" s="40">
        <v>2253</v>
      </c>
      <c r="B2268" s="41" t="str">
        <f t="array" ref="B2268">IFERROR(IF(INDEX(Transactions!$F$8:$F$3006,MATCH(0,COUNTIF($B$11:B2267,Transactions!$F$8:$F$3006),0))="","",INDEX(Transactions!$F$8:$F$3006,MATCH(0,COUNTIF($B$11:B2267,Transactions!$F$8:$F$3006),0))),"")</f>
        <v/>
      </c>
      <c r="C2268" s="42" t="str">
        <f>IF(B2268="","",SUMIF(Transactions!$F$8:$F$3006,B2268,Transactions!$H$8:$H$3006))</f>
        <v/>
      </c>
      <c r="D2268" s="43" t="str">
        <f>IF(B2268="","",SUMIF(Transactions!$F$8:$F$3006,B2268,Transactions!$N$8:$N$3006))</f>
        <v/>
      </c>
      <c r="E2268" s="44" t="str">
        <f>IF(B2268="","",SUMIF(Transactions!$F$8:$F$3006,B2268,Transactions!$O$8:$O$3006))</f>
        <v/>
      </c>
      <c r="F2268" s="45" t="str">
        <f>IF(B2268="","",SUMIF(Transactions!$F$8:$F$3006,B2268,Transactions!$R$8:$R$3006))</f>
        <v/>
      </c>
      <c r="G2268" s="46" t="str">
        <f>IF(B2268="","",(C2268+F2268)-(D2268+E2268+SUMIF(Transactions!$F$8:$F$3006,B2268,Transactions!$Q$8:$Q$3006)))</f>
        <v/>
      </c>
      <c r="H2268" s="47" t="str">
        <f>IF(B2268="","",IF(G2268&gt;0,"OUTSTANDING",IF(G2268=0,"SETTLED",IF(SUMIF(Transactions!$F$8:$F$3006,B2268,Transactions!$Q$8:$Q$3006)&gt;SUMIF(Transactions!$F$8:$F$3006,B2268,Transactions!$R$8:$R$3006),"OWES","OVERPAID"))))</f>
        <v/>
      </c>
      <c r="I2268" s="1"/>
    </row>
    <row r="2269" spans="1:9" ht="18" customHeight="1" x14ac:dyDescent="0.25">
      <c r="A2269" s="48">
        <v>2254</v>
      </c>
      <c r="B2269" s="49" t="str">
        <f t="array" ref="B2269">IFERROR(IF(INDEX(Transactions!$F$8:$F$3006,MATCH(0,COUNTIF($B$11:B2268,Transactions!$F$8:$F$3006),0))="","",INDEX(Transactions!$F$8:$F$3006,MATCH(0,COUNTIF($B$11:B2268,Transactions!$F$8:$F$3006),0))),"")</f>
        <v/>
      </c>
      <c r="C2269" s="50" t="str">
        <f>IF(B2269="","",SUMIF(Transactions!$F$8:$F$3006,B2269,Transactions!$H$8:$H$3006))</f>
        <v/>
      </c>
      <c r="D2269" s="51" t="str">
        <f>IF(B2269="","",SUMIF(Transactions!$F$8:$F$3006,B2269,Transactions!$N$8:$N$3006))</f>
        <v/>
      </c>
      <c r="E2269" s="52" t="str">
        <f>IF(B2269="","",SUMIF(Transactions!$F$8:$F$3006,B2269,Transactions!$O$8:$O$3006))</f>
        <v/>
      </c>
      <c r="F2269" s="53" t="str">
        <f>IF(B2269="","",SUMIF(Transactions!$F$8:$F$3006,B2269,Transactions!$R$8:$R$3006))</f>
        <v/>
      </c>
      <c r="G2269" s="54" t="str">
        <f>IF(B2269="","",(C2269+F2269)-(D2269+E2269+SUMIF(Transactions!$F$8:$F$3006,B2269,Transactions!$Q$8:$Q$3006)))</f>
        <v/>
      </c>
      <c r="H2269" s="55" t="str">
        <f>IF(B2269="","",IF(G2269&gt;0,"OUTSTANDING",IF(G2269=0,"SETTLED",IF(SUMIF(Transactions!$F$8:$F$3006,B2269,Transactions!$Q$8:$Q$3006)&gt;SUMIF(Transactions!$F$8:$F$3006,B2269,Transactions!$R$8:$R$3006),"OWES","OVERPAID"))))</f>
        <v/>
      </c>
      <c r="I2269" s="1"/>
    </row>
    <row r="2270" spans="1:9" ht="18" customHeight="1" x14ac:dyDescent="0.25">
      <c r="A2270" s="40">
        <v>2255</v>
      </c>
      <c r="B2270" s="41" t="str">
        <f t="array" ref="B2270">IFERROR(IF(INDEX(Transactions!$F$8:$F$3006,MATCH(0,COUNTIF($B$11:B2269,Transactions!$F$8:$F$3006),0))="","",INDEX(Transactions!$F$8:$F$3006,MATCH(0,COUNTIF($B$11:B2269,Transactions!$F$8:$F$3006),0))),"")</f>
        <v/>
      </c>
      <c r="C2270" s="42" t="str">
        <f>IF(B2270="","",SUMIF(Transactions!$F$8:$F$3006,B2270,Transactions!$H$8:$H$3006))</f>
        <v/>
      </c>
      <c r="D2270" s="43" t="str">
        <f>IF(B2270="","",SUMIF(Transactions!$F$8:$F$3006,B2270,Transactions!$N$8:$N$3006))</f>
        <v/>
      </c>
      <c r="E2270" s="44" t="str">
        <f>IF(B2270="","",SUMIF(Transactions!$F$8:$F$3006,B2270,Transactions!$O$8:$O$3006))</f>
        <v/>
      </c>
      <c r="F2270" s="45" t="str">
        <f>IF(B2270="","",SUMIF(Transactions!$F$8:$F$3006,B2270,Transactions!$R$8:$R$3006))</f>
        <v/>
      </c>
      <c r="G2270" s="46" t="str">
        <f>IF(B2270="","",(C2270+F2270)-(D2270+E2270+SUMIF(Transactions!$F$8:$F$3006,B2270,Transactions!$Q$8:$Q$3006)))</f>
        <v/>
      </c>
      <c r="H2270" s="47" t="str">
        <f>IF(B2270="","",IF(G2270&gt;0,"OUTSTANDING",IF(G2270=0,"SETTLED",IF(SUMIF(Transactions!$F$8:$F$3006,B2270,Transactions!$Q$8:$Q$3006)&gt;SUMIF(Transactions!$F$8:$F$3006,B2270,Transactions!$R$8:$R$3006),"OWES","OVERPAID"))))</f>
        <v/>
      </c>
      <c r="I2270" s="1"/>
    </row>
    <row r="2271" spans="1:9" ht="18" customHeight="1" x14ac:dyDescent="0.25">
      <c r="A2271" s="48">
        <v>2256</v>
      </c>
      <c r="B2271" s="49" t="str">
        <f t="array" ref="B2271">IFERROR(IF(INDEX(Transactions!$F$8:$F$3006,MATCH(0,COUNTIF($B$11:B2270,Transactions!$F$8:$F$3006),0))="","",INDEX(Transactions!$F$8:$F$3006,MATCH(0,COUNTIF($B$11:B2270,Transactions!$F$8:$F$3006),0))),"")</f>
        <v/>
      </c>
      <c r="C2271" s="50" t="str">
        <f>IF(B2271="","",SUMIF(Transactions!$F$8:$F$3006,B2271,Transactions!$H$8:$H$3006))</f>
        <v/>
      </c>
      <c r="D2271" s="51" t="str">
        <f>IF(B2271="","",SUMIF(Transactions!$F$8:$F$3006,B2271,Transactions!$N$8:$N$3006))</f>
        <v/>
      </c>
      <c r="E2271" s="52" t="str">
        <f>IF(B2271="","",SUMIF(Transactions!$F$8:$F$3006,B2271,Transactions!$O$8:$O$3006))</f>
        <v/>
      </c>
      <c r="F2271" s="53" t="str">
        <f>IF(B2271="","",SUMIF(Transactions!$F$8:$F$3006,B2271,Transactions!$R$8:$R$3006))</f>
        <v/>
      </c>
      <c r="G2271" s="54" t="str">
        <f>IF(B2271="","",(C2271+F2271)-(D2271+E2271+SUMIF(Transactions!$F$8:$F$3006,B2271,Transactions!$Q$8:$Q$3006)))</f>
        <v/>
      </c>
      <c r="H2271" s="55" t="str">
        <f>IF(B2271="","",IF(G2271&gt;0,"OUTSTANDING",IF(G2271=0,"SETTLED",IF(SUMIF(Transactions!$F$8:$F$3006,B2271,Transactions!$Q$8:$Q$3006)&gt;SUMIF(Transactions!$F$8:$F$3006,B2271,Transactions!$R$8:$R$3006),"OWES","OVERPAID"))))</f>
        <v/>
      </c>
      <c r="I2271" s="1"/>
    </row>
    <row r="2272" spans="1:9" ht="18" customHeight="1" x14ac:dyDescent="0.25">
      <c r="A2272" s="40">
        <v>2257</v>
      </c>
      <c r="B2272" s="41" t="str">
        <f t="array" ref="B2272">IFERROR(IF(INDEX(Transactions!$F$8:$F$3006,MATCH(0,COUNTIF($B$11:B2271,Transactions!$F$8:$F$3006),0))="","",INDEX(Transactions!$F$8:$F$3006,MATCH(0,COUNTIF($B$11:B2271,Transactions!$F$8:$F$3006),0))),"")</f>
        <v/>
      </c>
      <c r="C2272" s="42" t="str">
        <f>IF(B2272="","",SUMIF(Transactions!$F$8:$F$3006,B2272,Transactions!$H$8:$H$3006))</f>
        <v/>
      </c>
      <c r="D2272" s="43" t="str">
        <f>IF(B2272="","",SUMIF(Transactions!$F$8:$F$3006,B2272,Transactions!$N$8:$N$3006))</f>
        <v/>
      </c>
      <c r="E2272" s="44" t="str">
        <f>IF(B2272="","",SUMIF(Transactions!$F$8:$F$3006,B2272,Transactions!$O$8:$O$3006))</f>
        <v/>
      </c>
      <c r="F2272" s="45" t="str">
        <f>IF(B2272="","",SUMIF(Transactions!$F$8:$F$3006,B2272,Transactions!$R$8:$R$3006))</f>
        <v/>
      </c>
      <c r="G2272" s="46" t="str">
        <f>IF(B2272="","",(C2272+F2272)-(D2272+E2272+SUMIF(Transactions!$F$8:$F$3006,B2272,Transactions!$Q$8:$Q$3006)))</f>
        <v/>
      </c>
      <c r="H2272" s="47" t="str">
        <f>IF(B2272="","",IF(G2272&gt;0,"OUTSTANDING",IF(G2272=0,"SETTLED",IF(SUMIF(Transactions!$F$8:$F$3006,B2272,Transactions!$Q$8:$Q$3006)&gt;SUMIF(Transactions!$F$8:$F$3006,B2272,Transactions!$R$8:$R$3006),"OWES","OVERPAID"))))</f>
        <v/>
      </c>
      <c r="I2272" s="1"/>
    </row>
    <row r="2273" spans="1:9" ht="18" customHeight="1" x14ac:dyDescent="0.25">
      <c r="A2273" s="48">
        <v>2258</v>
      </c>
      <c r="B2273" s="49" t="str">
        <f t="array" ref="B2273">IFERROR(IF(INDEX(Transactions!$F$8:$F$3006,MATCH(0,COUNTIF($B$11:B2272,Transactions!$F$8:$F$3006),0))="","",INDEX(Transactions!$F$8:$F$3006,MATCH(0,COUNTIF($B$11:B2272,Transactions!$F$8:$F$3006),0))),"")</f>
        <v/>
      </c>
      <c r="C2273" s="50" t="str">
        <f>IF(B2273="","",SUMIF(Transactions!$F$8:$F$3006,B2273,Transactions!$H$8:$H$3006))</f>
        <v/>
      </c>
      <c r="D2273" s="51" t="str">
        <f>IF(B2273="","",SUMIF(Transactions!$F$8:$F$3006,B2273,Transactions!$N$8:$N$3006))</f>
        <v/>
      </c>
      <c r="E2273" s="52" t="str">
        <f>IF(B2273="","",SUMIF(Transactions!$F$8:$F$3006,B2273,Transactions!$O$8:$O$3006))</f>
        <v/>
      </c>
      <c r="F2273" s="53" t="str">
        <f>IF(B2273="","",SUMIF(Transactions!$F$8:$F$3006,B2273,Transactions!$R$8:$R$3006))</f>
        <v/>
      </c>
      <c r="G2273" s="54" t="str">
        <f>IF(B2273="","",(C2273+F2273)-(D2273+E2273+SUMIF(Transactions!$F$8:$F$3006,B2273,Transactions!$Q$8:$Q$3006)))</f>
        <v/>
      </c>
      <c r="H2273" s="55" t="str">
        <f>IF(B2273="","",IF(G2273&gt;0,"OUTSTANDING",IF(G2273=0,"SETTLED",IF(SUMIF(Transactions!$F$8:$F$3006,B2273,Transactions!$Q$8:$Q$3006)&gt;SUMIF(Transactions!$F$8:$F$3006,B2273,Transactions!$R$8:$R$3006),"OWES","OVERPAID"))))</f>
        <v/>
      </c>
      <c r="I2273" s="1"/>
    </row>
    <row r="2274" spans="1:9" ht="18" customHeight="1" x14ac:dyDescent="0.25">
      <c r="A2274" s="40">
        <v>2259</v>
      </c>
      <c r="B2274" s="41" t="str">
        <f t="array" ref="B2274">IFERROR(IF(INDEX(Transactions!$F$8:$F$3006,MATCH(0,COUNTIF($B$11:B2273,Transactions!$F$8:$F$3006),0))="","",INDEX(Transactions!$F$8:$F$3006,MATCH(0,COUNTIF($B$11:B2273,Transactions!$F$8:$F$3006),0))),"")</f>
        <v/>
      </c>
      <c r="C2274" s="42" t="str">
        <f>IF(B2274="","",SUMIF(Transactions!$F$8:$F$3006,B2274,Transactions!$H$8:$H$3006))</f>
        <v/>
      </c>
      <c r="D2274" s="43" t="str">
        <f>IF(B2274="","",SUMIF(Transactions!$F$8:$F$3006,B2274,Transactions!$N$8:$N$3006))</f>
        <v/>
      </c>
      <c r="E2274" s="44" t="str">
        <f>IF(B2274="","",SUMIF(Transactions!$F$8:$F$3006,B2274,Transactions!$O$8:$O$3006))</f>
        <v/>
      </c>
      <c r="F2274" s="45" t="str">
        <f>IF(B2274="","",SUMIF(Transactions!$F$8:$F$3006,B2274,Transactions!$R$8:$R$3006))</f>
        <v/>
      </c>
      <c r="G2274" s="46" t="str">
        <f>IF(B2274="","",(C2274+F2274)-(D2274+E2274+SUMIF(Transactions!$F$8:$F$3006,B2274,Transactions!$Q$8:$Q$3006)))</f>
        <v/>
      </c>
      <c r="H2274" s="47" t="str">
        <f>IF(B2274="","",IF(G2274&gt;0,"OUTSTANDING",IF(G2274=0,"SETTLED",IF(SUMIF(Transactions!$F$8:$F$3006,B2274,Transactions!$Q$8:$Q$3006)&gt;SUMIF(Transactions!$F$8:$F$3006,B2274,Transactions!$R$8:$R$3006),"OWES","OVERPAID"))))</f>
        <v/>
      </c>
      <c r="I2274" s="1"/>
    </row>
    <row r="2275" spans="1:9" ht="18" customHeight="1" x14ac:dyDescent="0.25">
      <c r="A2275" s="48">
        <v>2260</v>
      </c>
      <c r="B2275" s="49" t="str">
        <f t="array" ref="B2275">IFERROR(IF(INDEX(Transactions!$F$8:$F$3006,MATCH(0,COUNTIF($B$11:B2274,Transactions!$F$8:$F$3006),0))="","",INDEX(Transactions!$F$8:$F$3006,MATCH(0,COUNTIF($B$11:B2274,Transactions!$F$8:$F$3006),0))),"")</f>
        <v/>
      </c>
      <c r="C2275" s="50" t="str">
        <f>IF(B2275="","",SUMIF(Transactions!$F$8:$F$3006,B2275,Transactions!$H$8:$H$3006))</f>
        <v/>
      </c>
      <c r="D2275" s="51" t="str">
        <f>IF(B2275="","",SUMIF(Transactions!$F$8:$F$3006,B2275,Transactions!$N$8:$N$3006))</f>
        <v/>
      </c>
      <c r="E2275" s="52" t="str">
        <f>IF(B2275="","",SUMIF(Transactions!$F$8:$F$3006,B2275,Transactions!$O$8:$O$3006))</f>
        <v/>
      </c>
      <c r="F2275" s="53" t="str">
        <f>IF(B2275="","",SUMIF(Transactions!$F$8:$F$3006,B2275,Transactions!$R$8:$R$3006))</f>
        <v/>
      </c>
      <c r="G2275" s="54" t="str">
        <f>IF(B2275="","",(C2275+F2275)-(D2275+E2275+SUMIF(Transactions!$F$8:$F$3006,B2275,Transactions!$Q$8:$Q$3006)))</f>
        <v/>
      </c>
      <c r="H2275" s="55" t="str">
        <f>IF(B2275="","",IF(G2275&gt;0,"OUTSTANDING",IF(G2275=0,"SETTLED",IF(SUMIF(Transactions!$F$8:$F$3006,B2275,Transactions!$Q$8:$Q$3006)&gt;SUMIF(Transactions!$F$8:$F$3006,B2275,Transactions!$R$8:$R$3006),"OWES","OVERPAID"))))</f>
        <v/>
      </c>
      <c r="I2275" s="1"/>
    </row>
    <row r="2276" spans="1:9" ht="18" customHeight="1" x14ac:dyDescent="0.25">
      <c r="A2276" s="40">
        <v>2261</v>
      </c>
      <c r="B2276" s="41" t="str">
        <f t="array" ref="B2276">IFERROR(IF(INDEX(Transactions!$F$8:$F$3006,MATCH(0,COUNTIF($B$11:B2275,Transactions!$F$8:$F$3006),0))="","",INDEX(Transactions!$F$8:$F$3006,MATCH(0,COUNTIF($B$11:B2275,Transactions!$F$8:$F$3006),0))),"")</f>
        <v/>
      </c>
      <c r="C2276" s="42" t="str">
        <f>IF(B2276="","",SUMIF(Transactions!$F$8:$F$3006,B2276,Transactions!$H$8:$H$3006))</f>
        <v/>
      </c>
      <c r="D2276" s="43" t="str">
        <f>IF(B2276="","",SUMIF(Transactions!$F$8:$F$3006,B2276,Transactions!$N$8:$N$3006))</f>
        <v/>
      </c>
      <c r="E2276" s="44" t="str">
        <f>IF(B2276="","",SUMIF(Transactions!$F$8:$F$3006,B2276,Transactions!$O$8:$O$3006))</f>
        <v/>
      </c>
      <c r="F2276" s="45" t="str">
        <f>IF(B2276="","",SUMIF(Transactions!$F$8:$F$3006,B2276,Transactions!$R$8:$R$3006))</f>
        <v/>
      </c>
      <c r="G2276" s="46" t="str">
        <f>IF(B2276="","",(C2276+F2276)-(D2276+E2276+SUMIF(Transactions!$F$8:$F$3006,B2276,Transactions!$Q$8:$Q$3006)))</f>
        <v/>
      </c>
      <c r="H2276" s="47" t="str">
        <f>IF(B2276="","",IF(G2276&gt;0,"OUTSTANDING",IF(G2276=0,"SETTLED",IF(SUMIF(Transactions!$F$8:$F$3006,B2276,Transactions!$Q$8:$Q$3006)&gt;SUMIF(Transactions!$F$8:$F$3006,B2276,Transactions!$R$8:$R$3006),"OWES","OVERPAID"))))</f>
        <v/>
      </c>
      <c r="I2276" s="1"/>
    </row>
    <row r="2277" spans="1:9" ht="18" customHeight="1" x14ac:dyDescent="0.25">
      <c r="A2277" s="48">
        <v>2262</v>
      </c>
      <c r="B2277" s="49" t="str">
        <f t="array" ref="B2277">IFERROR(IF(INDEX(Transactions!$F$8:$F$3006,MATCH(0,COUNTIF($B$11:B2276,Transactions!$F$8:$F$3006),0))="","",INDEX(Transactions!$F$8:$F$3006,MATCH(0,COUNTIF($B$11:B2276,Transactions!$F$8:$F$3006),0))),"")</f>
        <v/>
      </c>
      <c r="C2277" s="50" t="str">
        <f>IF(B2277="","",SUMIF(Transactions!$F$8:$F$3006,B2277,Transactions!$H$8:$H$3006))</f>
        <v/>
      </c>
      <c r="D2277" s="51" t="str">
        <f>IF(B2277="","",SUMIF(Transactions!$F$8:$F$3006,B2277,Transactions!$N$8:$N$3006))</f>
        <v/>
      </c>
      <c r="E2277" s="52" t="str">
        <f>IF(B2277="","",SUMIF(Transactions!$F$8:$F$3006,B2277,Transactions!$O$8:$O$3006))</f>
        <v/>
      </c>
      <c r="F2277" s="53" t="str">
        <f>IF(B2277="","",SUMIF(Transactions!$F$8:$F$3006,B2277,Transactions!$R$8:$R$3006))</f>
        <v/>
      </c>
      <c r="G2277" s="54" t="str">
        <f>IF(B2277="","",(C2277+F2277)-(D2277+E2277+SUMIF(Transactions!$F$8:$F$3006,B2277,Transactions!$Q$8:$Q$3006)))</f>
        <v/>
      </c>
      <c r="H2277" s="55" t="str">
        <f>IF(B2277="","",IF(G2277&gt;0,"OUTSTANDING",IF(G2277=0,"SETTLED",IF(SUMIF(Transactions!$F$8:$F$3006,B2277,Transactions!$Q$8:$Q$3006)&gt;SUMIF(Transactions!$F$8:$F$3006,B2277,Transactions!$R$8:$R$3006),"OWES","OVERPAID"))))</f>
        <v/>
      </c>
      <c r="I2277" s="1"/>
    </row>
    <row r="2278" spans="1:9" ht="18" customHeight="1" x14ac:dyDescent="0.25">
      <c r="A2278" s="40">
        <v>2263</v>
      </c>
      <c r="B2278" s="41" t="str">
        <f t="array" ref="B2278">IFERROR(IF(INDEX(Transactions!$F$8:$F$3006,MATCH(0,COUNTIF($B$11:B2277,Transactions!$F$8:$F$3006),0))="","",INDEX(Transactions!$F$8:$F$3006,MATCH(0,COUNTIF($B$11:B2277,Transactions!$F$8:$F$3006),0))),"")</f>
        <v/>
      </c>
      <c r="C2278" s="42" t="str">
        <f>IF(B2278="","",SUMIF(Transactions!$F$8:$F$3006,B2278,Transactions!$H$8:$H$3006))</f>
        <v/>
      </c>
      <c r="D2278" s="43" t="str">
        <f>IF(B2278="","",SUMIF(Transactions!$F$8:$F$3006,B2278,Transactions!$N$8:$N$3006))</f>
        <v/>
      </c>
      <c r="E2278" s="44" t="str">
        <f>IF(B2278="","",SUMIF(Transactions!$F$8:$F$3006,B2278,Transactions!$O$8:$O$3006))</f>
        <v/>
      </c>
      <c r="F2278" s="45" t="str">
        <f>IF(B2278="","",SUMIF(Transactions!$F$8:$F$3006,B2278,Transactions!$R$8:$R$3006))</f>
        <v/>
      </c>
      <c r="G2278" s="46" t="str">
        <f>IF(B2278="","",(C2278+F2278)-(D2278+E2278+SUMIF(Transactions!$F$8:$F$3006,B2278,Transactions!$Q$8:$Q$3006)))</f>
        <v/>
      </c>
      <c r="H2278" s="47" t="str">
        <f>IF(B2278="","",IF(G2278&gt;0,"OUTSTANDING",IF(G2278=0,"SETTLED",IF(SUMIF(Transactions!$F$8:$F$3006,B2278,Transactions!$Q$8:$Q$3006)&gt;SUMIF(Transactions!$F$8:$F$3006,B2278,Transactions!$R$8:$R$3006),"OWES","OVERPAID"))))</f>
        <v/>
      </c>
      <c r="I2278" s="1"/>
    </row>
    <row r="2279" spans="1:9" ht="18" customHeight="1" x14ac:dyDescent="0.25">
      <c r="A2279" s="48">
        <v>2264</v>
      </c>
      <c r="B2279" s="49" t="str">
        <f t="array" ref="B2279">IFERROR(IF(INDEX(Transactions!$F$8:$F$3006,MATCH(0,COUNTIF($B$11:B2278,Transactions!$F$8:$F$3006),0))="","",INDEX(Transactions!$F$8:$F$3006,MATCH(0,COUNTIF($B$11:B2278,Transactions!$F$8:$F$3006),0))),"")</f>
        <v/>
      </c>
      <c r="C2279" s="50" t="str">
        <f>IF(B2279="","",SUMIF(Transactions!$F$8:$F$3006,B2279,Transactions!$H$8:$H$3006))</f>
        <v/>
      </c>
      <c r="D2279" s="51" t="str">
        <f>IF(B2279="","",SUMIF(Transactions!$F$8:$F$3006,B2279,Transactions!$N$8:$N$3006))</f>
        <v/>
      </c>
      <c r="E2279" s="52" t="str">
        <f>IF(B2279="","",SUMIF(Transactions!$F$8:$F$3006,B2279,Transactions!$O$8:$O$3006))</f>
        <v/>
      </c>
      <c r="F2279" s="53" t="str">
        <f>IF(B2279="","",SUMIF(Transactions!$F$8:$F$3006,B2279,Transactions!$R$8:$R$3006))</f>
        <v/>
      </c>
      <c r="G2279" s="54" t="str">
        <f>IF(B2279="","",(C2279+F2279)-(D2279+E2279+SUMIF(Transactions!$F$8:$F$3006,B2279,Transactions!$Q$8:$Q$3006)))</f>
        <v/>
      </c>
      <c r="H2279" s="55" t="str">
        <f>IF(B2279="","",IF(G2279&gt;0,"OUTSTANDING",IF(G2279=0,"SETTLED",IF(SUMIF(Transactions!$F$8:$F$3006,B2279,Transactions!$Q$8:$Q$3006)&gt;SUMIF(Transactions!$F$8:$F$3006,B2279,Transactions!$R$8:$R$3006),"OWES","OVERPAID"))))</f>
        <v/>
      </c>
      <c r="I2279" s="1"/>
    </row>
    <row r="2280" spans="1:9" ht="18" customHeight="1" x14ac:dyDescent="0.25">
      <c r="A2280" s="40">
        <v>2265</v>
      </c>
      <c r="B2280" s="41" t="str">
        <f t="array" ref="B2280">IFERROR(IF(INDEX(Transactions!$F$8:$F$3006,MATCH(0,COUNTIF($B$11:B2279,Transactions!$F$8:$F$3006),0))="","",INDEX(Transactions!$F$8:$F$3006,MATCH(0,COUNTIF($B$11:B2279,Transactions!$F$8:$F$3006),0))),"")</f>
        <v/>
      </c>
      <c r="C2280" s="42" t="str">
        <f>IF(B2280="","",SUMIF(Transactions!$F$8:$F$3006,B2280,Transactions!$H$8:$H$3006))</f>
        <v/>
      </c>
      <c r="D2280" s="43" t="str">
        <f>IF(B2280="","",SUMIF(Transactions!$F$8:$F$3006,B2280,Transactions!$N$8:$N$3006))</f>
        <v/>
      </c>
      <c r="E2280" s="44" t="str">
        <f>IF(B2280="","",SUMIF(Transactions!$F$8:$F$3006,B2280,Transactions!$O$8:$O$3006))</f>
        <v/>
      </c>
      <c r="F2280" s="45" t="str">
        <f>IF(B2280="","",SUMIF(Transactions!$F$8:$F$3006,B2280,Transactions!$R$8:$R$3006))</f>
        <v/>
      </c>
      <c r="G2280" s="46" t="str">
        <f>IF(B2280="","",(C2280+F2280)-(D2280+E2280+SUMIF(Transactions!$F$8:$F$3006,B2280,Transactions!$Q$8:$Q$3006)))</f>
        <v/>
      </c>
      <c r="H2280" s="47" t="str">
        <f>IF(B2280="","",IF(G2280&gt;0,"OUTSTANDING",IF(G2280=0,"SETTLED",IF(SUMIF(Transactions!$F$8:$F$3006,B2280,Transactions!$Q$8:$Q$3006)&gt;SUMIF(Transactions!$F$8:$F$3006,B2280,Transactions!$R$8:$R$3006),"OWES","OVERPAID"))))</f>
        <v/>
      </c>
      <c r="I2280" s="1"/>
    </row>
    <row r="2281" spans="1:9" ht="18" customHeight="1" x14ac:dyDescent="0.25">
      <c r="A2281" s="48">
        <v>2266</v>
      </c>
      <c r="B2281" s="49" t="str">
        <f t="array" ref="B2281">IFERROR(IF(INDEX(Transactions!$F$8:$F$3006,MATCH(0,COUNTIF($B$11:B2280,Transactions!$F$8:$F$3006),0))="","",INDEX(Transactions!$F$8:$F$3006,MATCH(0,COUNTIF($B$11:B2280,Transactions!$F$8:$F$3006),0))),"")</f>
        <v/>
      </c>
      <c r="C2281" s="50" t="str">
        <f>IF(B2281="","",SUMIF(Transactions!$F$8:$F$3006,B2281,Transactions!$H$8:$H$3006))</f>
        <v/>
      </c>
      <c r="D2281" s="51" t="str">
        <f>IF(B2281="","",SUMIF(Transactions!$F$8:$F$3006,B2281,Transactions!$N$8:$N$3006))</f>
        <v/>
      </c>
      <c r="E2281" s="52" t="str">
        <f>IF(B2281="","",SUMIF(Transactions!$F$8:$F$3006,B2281,Transactions!$O$8:$O$3006))</f>
        <v/>
      </c>
      <c r="F2281" s="53" t="str">
        <f>IF(B2281="","",SUMIF(Transactions!$F$8:$F$3006,B2281,Transactions!$R$8:$R$3006))</f>
        <v/>
      </c>
      <c r="G2281" s="54" t="str">
        <f>IF(B2281="","",(C2281+F2281)-(D2281+E2281+SUMIF(Transactions!$F$8:$F$3006,B2281,Transactions!$Q$8:$Q$3006)))</f>
        <v/>
      </c>
      <c r="H2281" s="55" t="str">
        <f>IF(B2281="","",IF(G2281&gt;0,"OUTSTANDING",IF(G2281=0,"SETTLED",IF(SUMIF(Transactions!$F$8:$F$3006,B2281,Transactions!$Q$8:$Q$3006)&gt;SUMIF(Transactions!$F$8:$F$3006,B2281,Transactions!$R$8:$R$3006),"OWES","OVERPAID"))))</f>
        <v/>
      </c>
      <c r="I2281" s="1"/>
    </row>
    <row r="2282" spans="1:9" ht="18" customHeight="1" x14ac:dyDescent="0.25">
      <c r="A2282" s="40">
        <v>2267</v>
      </c>
      <c r="B2282" s="41" t="str">
        <f t="array" ref="B2282">IFERROR(IF(INDEX(Transactions!$F$8:$F$3006,MATCH(0,COUNTIF($B$11:B2281,Transactions!$F$8:$F$3006),0))="","",INDEX(Transactions!$F$8:$F$3006,MATCH(0,COUNTIF($B$11:B2281,Transactions!$F$8:$F$3006),0))),"")</f>
        <v/>
      </c>
      <c r="C2282" s="42" t="str">
        <f>IF(B2282="","",SUMIF(Transactions!$F$8:$F$3006,B2282,Transactions!$H$8:$H$3006))</f>
        <v/>
      </c>
      <c r="D2282" s="43" t="str">
        <f>IF(B2282="","",SUMIF(Transactions!$F$8:$F$3006,B2282,Transactions!$N$8:$N$3006))</f>
        <v/>
      </c>
      <c r="E2282" s="44" t="str">
        <f>IF(B2282="","",SUMIF(Transactions!$F$8:$F$3006,B2282,Transactions!$O$8:$O$3006))</f>
        <v/>
      </c>
      <c r="F2282" s="45" t="str">
        <f>IF(B2282="","",SUMIF(Transactions!$F$8:$F$3006,B2282,Transactions!$R$8:$R$3006))</f>
        <v/>
      </c>
      <c r="G2282" s="46" t="str">
        <f>IF(B2282="","",(C2282+F2282)-(D2282+E2282+SUMIF(Transactions!$F$8:$F$3006,B2282,Transactions!$Q$8:$Q$3006)))</f>
        <v/>
      </c>
      <c r="H2282" s="47" t="str">
        <f>IF(B2282="","",IF(G2282&gt;0,"OUTSTANDING",IF(G2282=0,"SETTLED",IF(SUMIF(Transactions!$F$8:$F$3006,B2282,Transactions!$Q$8:$Q$3006)&gt;SUMIF(Transactions!$F$8:$F$3006,B2282,Transactions!$R$8:$R$3006),"OWES","OVERPAID"))))</f>
        <v/>
      </c>
      <c r="I2282" s="1"/>
    </row>
    <row r="2283" spans="1:9" ht="18" customHeight="1" x14ac:dyDescent="0.25">
      <c r="A2283" s="48">
        <v>2268</v>
      </c>
      <c r="B2283" s="49" t="str">
        <f t="array" ref="B2283">IFERROR(IF(INDEX(Transactions!$F$8:$F$3006,MATCH(0,COUNTIF($B$11:B2282,Transactions!$F$8:$F$3006),0))="","",INDEX(Transactions!$F$8:$F$3006,MATCH(0,COUNTIF($B$11:B2282,Transactions!$F$8:$F$3006),0))),"")</f>
        <v/>
      </c>
      <c r="C2283" s="50" t="str">
        <f>IF(B2283="","",SUMIF(Transactions!$F$8:$F$3006,B2283,Transactions!$H$8:$H$3006))</f>
        <v/>
      </c>
      <c r="D2283" s="51" t="str">
        <f>IF(B2283="","",SUMIF(Transactions!$F$8:$F$3006,B2283,Transactions!$N$8:$N$3006))</f>
        <v/>
      </c>
      <c r="E2283" s="52" t="str">
        <f>IF(B2283="","",SUMIF(Transactions!$F$8:$F$3006,B2283,Transactions!$O$8:$O$3006))</f>
        <v/>
      </c>
      <c r="F2283" s="53" t="str">
        <f>IF(B2283="","",SUMIF(Transactions!$F$8:$F$3006,B2283,Transactions!$R$8:$R$3006))</f>
        <v/>
      </c>
      <c r="G2283" s="54" t="str">
        <f>IF(B2283="","",(C2283+F2283)-(D2283+E2283+SUMIF(Transactions!$F$8:$F$3006,B2283,Transactions!$Q$8:$Q$3006)))</f>
        <v/>
      </c>
      <c r="H2283" s="55" t="str">
        <f>IF(B2283="","",IF(G2283&gt;0,"OUTSTANDING",IF(G2283=0,"SETTLED",IF(SUMIF(Transactions!$F$8:$F$3006,B2283,Transactions!$Q$8:$Q$3006)&gt;SUMIF(Transactions!$F$8:$F$3006,B2283,Transactions!$R$8:$R$3006),"OWES","OVERPAID"))))</f>
        <v/>
      </c>
      <c r="I2283" s="1"/>
    </row>
    <row r="2284" spans="1:9" ht="18" customHeight="1" x14ac:dyDescent="0.25">
      <c r="A2284" s="40">
        <v>2269</v>
      </c>
      <c r="B2284" s="41" t="str">
        <f t="array" ref="B2284">IFERROR(IF(INDEX(Transactions!$F$8:$F$3006,MATCH(0,COUNTIF($B$11:B2283,Transactions!$F$8:$F$3006),0))="","",INDEX(Transactions!$F$8:$F$3006,MATCH(0,COUNTIF($B$11:B2283,Transactions!$F$8:$F$3006),0))),"")</f>
        <v/>
      </c>
      <c r="C2284" s="42" t="str">
        <f>IF(B2284="","",SUMIF(Transactions!$F$8:$F$3006,B2284,Transactions!$H$8:$H$3006))</f>
        <v/>
      </c>
      <c r="D2284" s="43" t="str">
        <f>IF(B2284="","",SUMIF(Transactions!$F$8:$F$3006,B2284,Transactions!$N$8:$N$3006))</f>
        <v/>
      </c>
      <c r="E2284" s="44" t="str">
        <f>IF(B2284="","",SUMIF(Transactions!$F$8:$F$3006,B2284,Transactions!$O$8:$O$3006))</f>
        <v/>
      </c>
      <c r="F2284" s="45" t="str">
        <f>IF(B2284="","",SUMIF(Transactions!$F$8:$F$3006,B2284,Transactions!$R$8:$R$3006))</f>
        <v/>
      </c>
      <c r="G2284" s="46" t="str">
        <f>IF(B2284="","",(C2284+F2284)-(D2284+E2284+SUMIF(Transactions!$F$8:$F$3006,B2284,Transactions!$Q$8:$Q$3006)))</f>
        <v/>
      </c>
      <c r="H2284" s="47" t="str">
        <f>IF(B2284="","",IF(G2284&gt;0,"OUTSTANDING",IF(G2284=0,"SETTLED",IF(SUMIF(Transactions!$F$8:$F$3006,B2284,Transactions!$Q$8:$Q$3006)&gt;SUMIF(Transactions!$F$8:$F$3006,B2284,Transactions!$R$8:$R$3006),"OWES","OVERPAID"))))</f>
        <v/>
      </c>
      <c r="I2284" s="1"/>
    </row>
    <row r="2285" spans="1:9" ht="18" customHeight="1" x14ac:dyDescent="0.25">
      <c r="A2285" s="48">
        <v>2270</v>
      </c>
      <c r="B2285" s="49" t="str">
        <f t="array" ref="B2285">IFERROR(IF(INDEX(Transactions!$F$8:$F$3006,MATCH(0,COUNTIF($B$11:B2284,Transactions!$F$8:$F$3006),0))="","",INDEX(Transactions!$F$8:$F$3006,MATCH(0,COUNTIF($B$11:B2284,Transactions!$F$8:$F$3006),0))),"")</f>
        <v/>
      </c>
      <c r="C2285" s="50" t="str">
        <f>IF(B2285="","",SUMIF(Transactions!$F$8:$F$3006,B2285,Transactions!$H$8:$H$3006))</f>
        <v/>
      </c>
      <c r="D2285" s="51" t="str">
        <f>IF(B2285="","",SUMIF(Transactions!$F$8:$F$3006,B2285,Transactions!$N$8:$N$3006))</f>
        <v/>
      </c>
      <c r="E2285" s="52" t="str">
        <f>IF(B2285="","",SUMIF(Transactions!$F$8:$F$3006,B2285,Transactions!$O$8:$O$3006))</f>
        <v/>
      </c>
      <c r="F2285" s="53" t="str">
        <f>IF(B2285="","",SUMIF(Transactions!$F$8:$F$3006,B2285,Transactions!$R$8:$R$3006))</f>
        <v/>
      </c>
      <c r="G2285" s="54" t="str">
        <f>IF(B2285="","",(C2285+F2285)-(D2285+E2285+SUMIF(Transactions!$F$8:$F$3006,B2285,Transactions!$Q$8:$Q$3006)))</f>
        <v/>
      </c>
      <c r="H2285" s="55" t="str">
        <f>IF(B2285="","",IF(G2285&gt;0,"OUTSTANDING",IF(G2285=0,"SETTLED",IF(SUMIF(Transactions!$F$8:$F$3006,B2285,Transactions!$Q$8:$Q$3006)&gt;SUMIF(Transactions!$F$8:$F$3006,B2285,Transactions!$R$8:$R$3006),"OWES","OVERPAID"))))</f>
        <v/>
      </c>
      <c r="I2285" s="1"/>
    </row>
    <row r="2286" spans="1:9" ht="18" customHeight="1" x14ac:dyDescent="0.25">
      <c r="A2286" s="40">
        <v>2271</v>
      </c>
      <c r="B2286" s="41" t="str">
        <f t="array" ref="B2286">IFERROR(IF(INDEX(Transactions!$F$8:$F$3006,MATCH(0,COUNTIF($B$11:B2285,Transactions!$F$8:$F$3006),0))="","",INDEX(Transactions!$F$8:$F$3006,MATCH(0,COUNTIF($B$11:B2285,Transactions!$F$8:$F$3006),0))),"")</f>
        <v/>
      </c>
      <c r="C2286" s="42" t="str">
        <f>IF(B2286="","",SUMIF(Transactions!$F$8:$F$3006,B2286,Transactions!$H$8:$H$3006))</f>
        <v/>
      </c>
      <c r="D2286" s="43" t="str">
        <f>IF(B2286="","",SUMIF(Transactions!$F$8:$F$3006,B2286,Transactions!$N$8:$N$3006))</f>
        <v/>
      </c>
      <c r="E2286" s="44" t="str">
        <f>IF(B2286="","",SUMIF(Transactions!$F$8:$F$3006,B2286,Transactions!$O$8:$O$3006))</f>
        <v/>
      </c>
      <c r="F2286" s="45" t="str">
        <f>IF(B2286="","",SUMIF(Transactions!$F$8:$F$3006,B2286,Transactions!$R$8:$R$3006))</f>
        <v/>
      </c>
      <c r="G2286" s="46" t="str">
        <f>IF(B2286="","",(C2286+F2286)-(D2286+E2286+SUMIF(Transactions!$F$8:$F$3006,B2286,Transactions!$Q$8:$Q$3006)))</f>
        <v/>
      </c>
      <c r="H2286" s="47" t="str">
        <f>IF(B2286="","",IF(G2286&gt;0,"OUTSTANDING",IF(G2286=0,"SETTLED",IF(SUMIF(Transactions!$F$8:$F$3006,B2286,Transactions!$Q$8:$Q$3006)&gt;SUMIF(Transactions!$F$8:$F$3006,B2286,Transactions!$R$8:$R$3006),"OWES","OVERPAID"))))</f>
        <v/>
      </c>
      <c r="I2286" s="1"/>
    </row>
    <row r="2287" spans="1:9" ht="18" customHeight="1" x14ac:dyDescent="0.25">
      <c r="A2287" s="48">
        <v>2272</v>
      </c>
      <c r="B2287" s="49" t="str">
        <f t="array" ref="B2287">IFERROR(IF(INDEX(Transactions!$F$8:$F$3006,MATCH(0,COUNTIF($B$11:B2286,Transactions!$F$8:$F$3006),0))="","",INDEX(Transactions!$F$8:$F$3006,MATCH(0,COUNTIF($B$11:B2286,Transactions!$F$8:$F$3006),0))),"")</f>
        <v/>
      </c>
      <c r="C2287" s="50" t="str">
        <f>IF(B2287="","",SUMIF(Transactions!$F$8:$F$3006,B2287,Transactions!$H$8:$H$3006))</f>
        <v/>
      </c>
      <c r="D2287" s="51" t="str">
        <f>IF(B2287="","",SUMIF(Transactions!$F$8:$F$3006,B2287,Transactions!$N$8:$N$3006))</f>
        <v/>
      </c>
      <c r="E2287" s="52" t="str">
        <f>IF(B2287="","",SUMIF(Transactions!$F$8:$F$3006,B2287,Transactions!$O$8:$O$3006))</f>
        <v/>
      </c>
      <c r="F2287" s="53" t="str">
        <f>IF(B2287="","",SUMIF(Transactions!$F$8:$F$3006,B2287,Transactions!$R$8:$R$3006))</f>
        <v/>
      </c>
      <c r="G2287" s="54" t="str">
        <f>IF(B2287="","",(C2287+F2287)-(D2287+E2287+SUMIF(Transactions!$F$8:$F$3006,B2287,Transactions!$Q$8:$Q$3006)))</f>
        <v/>
      </c>
      <c r="H2287" s="55" t="str">
        <f>IF(B2287="","",IF(G2287&gt;0,"OUTSTANDING",IF(G2287=0,"SETTLED",IF(SUMIF(Transactions!$F$8:$F$3006,B2287,Transactions!$Q$8:$Q$3006)&gt;SUMIF(Transactions!$F$8:$F$3006,B2287,Transactions!$R$8:$R$3006),"OWES","OVERPAID"))))</f>
        <v/>
      </c>
      <c r="I2287" s="1"/>
    </row>
    <row r="2288" spans="1:9" ht="18" customHeight="1" x14ac:dyDescent="0.25">
      <c r="A2288" s="40">
        <v>2273</v>
      </c>
      <c r="B2288" s="41" t="str">
        <f t="array" ref="B2288">IFERROR(IF(INDEX(Transactions!$F$8:$F$3006,MATCH(0,COUNTIF($B$11:B2287,Transactions!$F$8:$F$3006),0))="","",INDEX(Transactions!$F$8:$F$3006,MATCH(0,COUNTIF($B$11:B2287,Transactions!$F$8:$F$3006),0))),"")</f>
        <v/>
      </c>
      <c r="C2288" s="42" t="str">
        <f>IF(B2288="","",SUMIF(Transactions!$F$8:$F$3006,B2288,Transactions!$H$8:$H$3006))</f>
        <v/>
      </c>
      <c r="D2288" s="43" t="str">
        <f>IF(B2288="","",SUMIF(Transactions!$F$8:$F$3006,B2288,Transactions!$N$8:$N$3006))</f>
        <v/>
      </c>
      <c r="E2288" s="44" t="str">
        <f>IF(B2288="","",SUMIF(Transactions!$F$8:$F$3006,B2288,Transactions!$O$8:$O$3006))</f>
        <v/>
      </c>
      <c r="F2288" s="45" t="str">
        <f>IF(B2288="","",SUMIF(Transactions!$F$8:$F$3006,B2288,Transactions!$R$8:$R$3006))</f>
        <v/>
      </c>
      <c r="G2288" s="46" t="str">
        <f>IF(B2288="","",(C2288+F2288)-(D2288+E2288+SUMIF(Transactions!$F$8:$F$3006,B2288,Transactions!$Q$8:$Q$3006)))</f>
        <v/>
      </c>
      <c r="H2288" s="47" t="str">
        <f>IF(B2288="","",IF(G2288&gt;0,"OUTSTANDING",IF(G2288=0,"SETTLED",IF(SUMIF(Transactions!$F$8:$F$3006,B2288,Transactions!$Q$8:$Q$3006)&gt;SUMIF(Transactions!$F$8:$F$3006,B2288,Transactions!$R$8:$R$3006),"OWES","OVERPAID"))))</f>
        <v/>
      </c>
      <c r="I2288" s="1"/>
    </row>
    <row r="2289" spans="1:9" ht="18" customHeight="1" x14ac:dyDescent="0.25">
      <c r="A2289" s="48">
        <v>2274</v>
      </c>
      <c r="B2289" s="49" t="str">
        <f t="array" ref="B2289">IFERROR(IF(INDEX(Transactions!$F$8:$F$3006,MATCH(0,COUNTIF($B$11:B2288,Transactions!$F$8:$F$3006),0))="","",INDEX(Transactions!$F$8:$F$3006,MATCH(0,COUNTIF($B$11:B2288,Transactions!$F$8:$F$3006),0))),"")</f>
        <v/>
      </c>
      <c r="C2289" s="50" t="str">
        <f>IF(B2289="","",SUMIF(Transactions!$F$8:$F$3006,B2289,Transactions!$H$8:$H$3006))</f>
        <v/>
      </c>
      <c r="D2289" s="51" t="str">
        <f>IF(B2289="","",SUMIF(Transactions!$F$8:$F$3006,B2289,Transactions!$N$8:$N$3006))</f>
        <v/>
      </c>
      <c r="E2289" s="52" t="str">
        <f>IF(B2289="","",SUMIF(Transactions!$F$8:$F$3006,B2289,Transactions!$O$8:$O$3006))</f>
        <v/>
      </c>
      <c r="F2289" s="53" t="str">
        <f>IF(B2289="","",SUMIF(Transactions!$F$8:$F$3006,B2289,Transactions!$R$8:$R$3006))</f>
        <v/>
      </c>
      <c r="G2289" s="54" t="str">
        <f>IF(B2289="","",(C2289+F2289)-(D2289+E2289+SUMIF(Transactions!$F$8:$F$3006,B2289,Transactions!$Q$8:$Q$3006)))</f>
        <v/>
      </c>
      <c r="H2289" s="55" t="str">
        <f>IF(B2289="","",IF(G2289&gt;0,"OUTSTANDING",IF(G2289=0,"SETTLED",IF(SUMIF(Transactions!$F$8:$F$3006,B2289,Transactions!$Q$8:$Q$3006)&gt;SUMIF(Transactions!$F$8:$F$3006,B2289,Transactions!$R$8:$R$3006),"OWES","OVERPAID"))))</f>
        <v/>
      </c>
      <c r="I2289" s="1"/>
    </row>
    <row r="2290" spans="1:9" ht="18" customHeight="1" x14ac:dyDescent="0.25">
      <c r="A2290" s="40">
        <v>2275</v>
      </c>
      <c r="B2290" s="41" t="str">
        <f t="array" ref="B2290">IFERROR(IF(INDEX(Transactions!$F$8:$F$3006,MATCH(0,COUNTIF($B$11:B2289,Transactions!$F$8:$F$3006),0))="","",INDEX(Transactions!$F$8:$F$3006,MATCH(0,COUNTIF($B$11:B2289,Transactions!$F$8:$F$3006),0))),"")</f>
        <v/>
      </c>
      <c r="C2290" s="42" t="str">
        <f>IF(B2290="","",SUMIF(Transactions!$F$8:$F$3006,B2290,Transactions!$H$8:$H$3006))</f>
        <v/>
      </c>
      <c r="D2290" s="43" t="str">
        <f>IF(B2290="","",SUMIF(Transactions!$F$8:$F$3006,B2290,Transactions!$N$8:$N$3006))</f>
        <v/>
      </c>
      <c r="E2290" s="44" t="str">
        <f>IF(B2290="","",SUMIF(Transactions!$F$8:$F$3006,B2290,Transactions!$O$8:$O$3006))</f>
        <v/>
      </c>
      <c r="F2290" s="45" t="str">
        <f>IF(B2290="","",SUMIF(Transactions!$F$8:$F$3006,B2290,Transactions!$R$8:$R$3006))</f>
        <v/>
      </c>
      <c r="G2290" s="46" t="str">
        <f>IF(B2290="","",(C2290+F2290)-(D2290+E2290+SUMIF(Transactions!$F$8:$F$3006,B2290,Transactions!$Q$8:$Q$3006)))</f>
        <v/>
      </c>
      <c r="H2290" s="47" t="str">
        <f>IF(B2290="","",IF(G2290&gt;0,"OUTSTANDING",IF(G2290=0,"SETTLED",IF(SUMIF(Transactions!$F$8:$F$3006,B2290,Transactions!$Q$8:$Q$3006)&gt;SUMIF(Transactions!$F$8:$F$3006,B2290,Transactions!$R$8:$R$3006),"OWES","OVERPAID"))))</f>
        <v/>
      </c>
      <c r="I2290" s="1"/>
    </row>
    <row r="2291" spans="1:9" ht="18" customHeight="1" x14ac:dyDescent="0.25">
      <c r="A2291" s="48">
        <v>2276</v>
      </c>
      <c r="B2291" s="49" t="str">
        <f t="array" ref="B2291">IFERROR(IF(INDEX(Transactions!$F$8:$F$3006,MATCH(0,COUNTIF($B$11:B2290,Transactions!$F$8:$F$3006),0))="","",INDEX(Transactions!$F$8:$F$3006,MATCH(0,COUNTIF($B$11:B2290,Transactions!$F$8:$F$3006),0))),"")</f>
        <v/>
      </c>
      <c r="C2291" s="50" t="str">
        <f>IF(B2291="","",SUMIF(Transactions!$F$8:$F$3006,B2291,Transactions!$H$8:$H$3006))</f>
        <v/>
      </c>
      <c r="D2291" s="51" t="str">
        <f>IF(B2291="","",SUMIF(Transactions!$F$8:$F$3006,B2291,Transactions!$N$8:$N$3006))</f>
        <v/>
      </c>
      <c r="E2291" s="52" t="str">
        <f>IF(B2291="","",SUMIF(Transactions!$F$8:$F$3006,B2291,Transactions!$O$8:$O$3006))</f>
        <v/>
      </c>
      <c r="F2291" s="53" t="str">
        <f>IF(B2291="","",SUMIF(Transactions!$F$8:$F$3006,B2291,Transactions!$R$8:$R$3006))</f>
        <v/>
      </c>
      <c r="G2291" s="54" t="str">
        <f>IF(B2291="","",(C2291+F2291)-(D2291+E2291+SUMIF(Transactions!$F$8:$F$3006,B2291,Transactions!$Q$8:$Q$3006)))</f>
        <v/>
      </c>
      <c r="H2291" s="55" t="str">
        <f>IF(B2291="","",IF(G2291&gt;0,"OUTSTANDING",IF(G2291=0,"SETTLED",IF(SUMIF(Transactions!$F$8:$F$3006,B2291,Transactions!$Q$8:$Q$3006)&gt;SUMIF(Transactions!$F$8:$F$3006,B2291,Transactions!$R$8:$R$3006),"OWES","OVERPAID"))))</f>
        <v/>
      </c>
      <c r="I2291" s="1"/>
    </row>
    <row r="2292" spans="1:9" ht="18" customHeight="1" x14ac:dyDescent="0.25">
      <c r="A2292" s="40">
        <v>2277</v>
      </c>
      <c r="B2292" s="41" t="str">
        <f t="array" ref="B2292">IFERROR(IF(INDEX(Transactions!$F$8:$F$3006,MATCH(0,COUNTIF($B$11:B2291,Transactions!$F$8:$F$3006),0))="","",INDEX(Transactions!$F$8:$F$3006,MATCH(0,COUNTIF($B$11:B2291,Transactions!$F$8:$F$3006),0))),"")</f>
        <v/>
      </c>
      <c r="C2292" s="42" t="str">
        <f>IF(B2292="","",SUMIF(Transactions!$F$8:$F$3006,B2292,Transactions!$H$8:$H$3006))</f>
        <v/>
      </c>
      <c r="D2292" s="43" t="str">
        <f>IF(B2292="","",SUMIF(Transactions!$F$8:$F$3006,B2292,Transactions!$N$8:$N$3006))</f>
        <v/>
      </c>
      <c r="E2292" s="44" t="str">
        <f>IF(B2292="","",SUMIF(Transactions!$F$8:$F$3006,B2292,Transactions!$O$8:$O$3006))</f>
        <v/>
      </c>
      <c r="F2292" s="45" t="str">
        <f>IF(B2292="","",SUMIF(Transactions!$F$8:$F$3006,B2292,Transactions!$R$8:$R$3006))</f>
        <v/>
      </c>
      <c r="G2292" s="46" t="str">
        <f>IF(B2292="","",(C2292+F2292)-(D2292+E2292+SUMIF(Transactions!$F$8:$F$3006,B2292,Transactions!$Q$8:$Q$3006)))</f>
        <v/>
      </c>
      <c r="H2292" s="47" t="str">
        <f>IF(B2292="","",IF(G2292&gt;0,"OUTSTANDING",IF(G2292=0,"SETTLED",IF(SUMIF(Transactions!$F$8:$F$3006,B2292,Transactions!$Q$8:$Q$3006)&gt;SUMIF(Transactions!$F$8:$F$3006,B2292,Transactions!$R$8:$R$3006),"OWES","OVERPAID"))))</f>
        <v/>
      </c>
      <c r="I2292" s="1"/>
    </row>
    <row r="2293" spans="1:9" ht="18" customHeight="1" x14ac:dyDescent="0.25">
      <c r="A2293" s="48">
        <v>2278</v>
      </c>
      <c r="B2293" s="49" t="str">
        <f t="array" ref="B2293">IFERROR(IF(INDEX(Transactions!$F$8:$F$3006,MATCH(0,COUNTIF($B$11:B2292,Transactions!$F$8:$F$3006),0))="","",INDEX(Transactions!$F$8:$F$3006,MATCH(0,COUNTIF($B$11:B2292,Transactions!$F$8:$F$3006),0))),"")</f>
        <v/>
      </c>
      <c r="C2293" s="50" t="str">
        <f>IF(B2293="","",SUMIF(Transactions!$F$8:$F$3006,B2293,Transactions!$H$8:$H$3006))</f>
        <v/>
      </c>
      <c r="D2293" s="51" t="str">
        <f>IF(B2293="","",SUMIF(Transactions!$F$8:$F$3006,B2293,Transactions!$N$8:$N$3006))</f>
        <v/>
      </c>
      <c r="E2293" s="52" t="str">
        <f>IF(B2293="","",SUMIF(Transactions!$F$8:$F$3006,B2293,Transactions!$O$8:$O$3006))</f>
        <v/>
      </c>
      <c r="F2293" s="53" t="str">
        <f>IF(B2293="","",SUMIF(Transactions!$F$8:$F$3006,B2293,Transactions!$R$8:$R$3006))</f>
        <v/>
      </c>
      <c r="G2293" s="54" t="str">
        <f>IF(B2293="","",(C2293+F2293)-(D2293+E2293+SUMIF(Transactions!$F$8:$F$3006,B2293,Transactions!$Q$8:$Q$3006)))</f>
        <v/>
      </c>
      <c r="H2293" s="55" t="str">
        <f>IF(B2293="","",IF(G2293&gt;0,"OUTSTANDING",IF(G2293=0,"SETTLED",IF(SUMIF(Transactions!$F$8:$F$3006,B2293,Transactions!$Q$8:$Q$3006)&gt;SUMIF(Transactions!$F$8:$F$3006,B2293,Transactions!$R$8:$R$3006),"OWES","OVERPAID"))))</f>
        <v/>
      </c>
      <c r="I2293" s="1"/>
    </row>
    <row r="2294" spans="1:9" ht="18" customHeight="1" x14ac:dyDescent="0.25">
      <c r="A2294" s="40">
        <v>2279</v>
      </c>
      <c r="B2294" s="41" t="str">
        <f t="array" ref="B2294">IFERROR(IF(INDEX(Transactions!$F$8:$F$3006,MATCH(0,COUNTIF($B$11:B2293,Transactions!$F$8:$F$3006),0))="","",INDEX(Transactions!$F$8:$F$3006,MATCH(0,COUNTIF($B$11:B2293,Transactions!$F$8:$F$3006),0))),"")</f>
        <v/>
      </c>
      <c r="C2294" s="42" t="str">
        <f>IF(B2294="","",SUMIF(Transactions!$F$8:$F$3006,B2294,Transactions!$H$8:$H$3006))</f>
        <v/>
      </c>
      <c r="D2294" s="43" t="str">
        <f>IF(B2294="","",SUMIF(Transactions!$F$8:$F$3006,B2294,Transactions!$N$8:$N$3006))</f>
        <v/>
      </c>
      <c r="E2294" s="44" t="str">
        <f>IF(B2294="","",SUMIF(Transactions!$F$8:$F$3006,B2294,Transactions!$O$8:$O$3006))</f>
        <v/>
      </c>
      <c r="F2294" s="45" t="str">
        <f>IF(B2294="","",SUMIF(Transactions!$F$8:$F$3006,B2294,Transactions!$R$8:$R$3006))</f>
        <v/>
      </c>
      <c r="G2294" s="46" t="str">
        <f>IF(B2294="","",(C2294+F2294)-(D2294+E2294+SUMIF(Transactions!$F$8:$F$3006,B2294,Transactions!$Q$8:$Q$3006)))</f>
        <v/>
      </c>
      <c r="H2294" s="47" t="str">
        <f>IF(B2294="","",IF(G2294&gt;0,"OUTSTANDING",IF(G2294=0,"SETTLED",IF(SUMIF(Transactions!$F$8:$F$3006,B2294,Transactions!$Q$8:$Q$3006)&gt;SUMIF(Transactions!$F$8:$F$3006,B2294,Transactions!$R$8:$R$3006),"OWES","OVERPAID"))))</f>
        <v/>
      </c>
      <c r="I2294" s="1"/>
    </row>
    <row r="2295" spans="1:9" ht="18" customHeight="1" x14ac:dyDescent="0.25">
      <c r="A2295" s="48">
        <v>2280</v>
      </c>
      <c r="B2295" s="49" t="str">
        <f t="array" ref="B2295">IFERROR(IF(INDEX(Transactions!$F$8:$F$3006,MATCH(0,COUNTIF($B$11:B2294,Transactions!$F$8:$F$3006),0))="","",INDEX(Transactions!$F$8:$F$3006,MATCH(0,COUNTIF($B$11:B2294,Transactions!$F$8:$F$3006),0))),"")</f>
        <v/>
      </c>
      <c r="C2295" s="50" t="str">
        <f>IF(B2295="","",SUMIF(Transactions!$F$8:$F$3006,B2295,Transactions!$H$8:$H$3006))</f>
        <v/>
      </c>
      <c r="D2295" s="51" t="str">
        <f>IF(B2295="","",SUMIF(Transactions!$F$8:$F$3006,B2295,Transactions!$N$8:$N$3006))</f>
        <v/>
      </c>
      <c r="E2295" s="52" t="str">
        <f>IF(B2295="","",SUMIF(Transactions!$F$8:$F$3006,B2295,Transactions!$O$8:$O$3006))</f>
        <v/>
      </c>
      <c r="F2295" s="53" t="str">
        <f>IF(B2295="","",SUMIF(Transactions!$F$8:$F$3006,B2295,Transactions!$R$8:$R$3006))</f>
        <v/>
      </c>
      <c r="G2295" s="54" t="str">
        <f>IF(B2295="","",(C2295+F2295)-(D2295+E2295+SUMIF(Transactions!$F$8:$F$3006,B2295,Transactions!$Q$8:$Q$3006)))</f>
        <v/>
      </c>
      <c r="H2295" s="55" t="str">
        <f>IF(B2295="","",IF(G2295&gt;0,"OUTSTANDING",IF(G2295=0,"SETTLED",IF(SUMIF(Transactions!$F$8:$F$3006,B2295,Transactions!$Q$8:$Q$3006)&gt;SUMIF(Transactions!$F$8:$F$3006,B2295,Transactions!$R$8:$R$3006),"OWES","OVERPAID"))))</f>
        <v/>
      </c>
      <c r="I2295" s="1"/>
    </row>
    <row r="2296" spans="1:9" ht="18" customHeight="1" x14ac:dyDescent="0.25">
      <c r="A2296" s="40">
        <v>2281</v>
      </c>
      <c r="B2296" s="41" t="str">
        <f t="array" ref="B2296">IFERROR(IF(INDEX(Transactions!$F$8:$F$3006,MATCH(0,COUNTIF($B$11:B2295,Transactions!$F$8:$F$3006),0))="","",INDEX(Transactions!$F$8:$F$3006,MATCH(0,COUNTIF($B$11:B2295,Transactions!$F$8:$F$3006),0))),"")</f>
        <v/>
      </c>
      <c r="C2296" s="42" t="str">
        <f>IF(B2296="","",SUMIF(Transactions!$F$8:$F$3006,B2296,Transactions!$H$8:$H$3006))</f>
        <v/>
      </c>
      <c r="D2296" s="43" t="str">
        <f>IF(B2296="","",SUMIF(Transactions!$F$8:$F$3006,B2296,Transactions!$N$8:$N$3006))</f>
        <v/>
      </c>
      <c r="E2296" s="44" t="str">
        <f>IF(B2296="","",SUMIF(Transactions!$F$8:$F$3006,B2296,Transactions!$O$8:$O$3006))</f>
        <v/>
      </c>
      <c r="F2296" s="45" t="str">
        <f>IF(B2296="","",SUMIF(Transactions!$F$8:$F$3006,B2296,Transactions!$R$8:$R$3006))</f>
        <v/>
      </c>
      <c r="G2296" s="46" t="str">
        <f>IF(B2296="","",(C2296+F2296)-(D2296+E2296+SUMIF(Transactions!$F$8:$F$3006,B2296,Transactions!$Q$8:$Q$3006)))</f>
        <v/>
      </c>
      <c r="H2296" s="47" t="str">
        <f>IF(B2296="","",IF(G2296&gt;0,"OUTSTANDING",IF(G2296=0,"SETTLED",IF(SUMIF(Transactions!$F$8:$F$3006,B2296,Transactions!$Q$8:$Q$3006)&gt;SUMIF(Transactions!$F$8:$F$3006,B2296,Transactions!$R$8:$R$3006),"OWES","OVERPAID"))))</f>
        <v/>
      </c>
      <c r="I2296" s="1"/>
    </row>
    <row r="2297" spans="1:9" ht="18" customHeight="1" x14ac:dyDescent="0.25">
      <c r="A2297" s="48">
        <v>2282</v>
      </c>
      <c r="B2297" s="49" t="str">
        <f t="array" ref="B2297">IFERROR(IF(INDEX(Transactions!$F$8:$F$3006,MATCH(0,COUNTIF($B$11:B2296,Transactions!$F$8:$F$3006),0))="","",INDEX(Transactions!$F$8:$F$3006,MATCH(0,COUNTIF($B$11:B2296,Transactions!$F$8:$F$3006),0))),"")</f>
        <v/>
      </c>
      <c r="C2297" s="50" t="str">
        <f>IF(B2297="","",SUMIF(Transactions!$F$8:$F$3006,B2297,Transactions!$H$8:$H$3006))</f>
        <v/>
      </c>
      <c r="D2297" s="51" t="str">
        <f>IF(B2297="","",SUMIF(Transactions!$F$8:$F$3006,B2297,Transactions!$N$8:$N$3006))</f>
        <v/>
      </c>
      <c r="E2297" s="52" t="str">
        <f>IF(B2297="","",SUMIF(Transactions!$F$8:$F$3006,B2297,Transactions!$O$8:$O$3006))</f>
        <v/>
      </c>
      <c r="F2297" s="53" t="str">
        <f>IF(B2297="","",SUMIF(Transactions!$F$8:$F$3006,B2297,Transactions!$R$8:$R$3006))</f>
        <v/>
      </c>
      <c r="G2297" s="54" t="str">
        <f>IF(B2297="","",(C2297+F2297)-(D2297+E2297+SUMIF(Transactions!$F$8:$F$3006,B2297,Transactions!$Q$8:$Q$3006)))</f>
        <v/>
      </c>
      <c r="H2297" s="55" t="str">
        <f>IF(B2297="","",IF(G2297&gt;0,"OUTSTANDING",IF(G2297=0,"SETTLED",IF(SUMIF(Transactions!$F$8:$F$3006,B2297,Transactions!$Q$8:$Q$3006)&gt;SUMIF(Transactions!$F$8:$F$3006,B2297,Transactions!$R$8:$R$3006),"OWES","OVERPAID"))))</f>
        <v/>
      </c>
      <c r="I2297" s="1"/>
    </row>
    <row r="2298" spans="1:9" ht="18" customHeight="1" x14ac:dyDescent="0.25">
      <c r="A2298" s="40">
        <v>2283</v>
      </c>
      <c r="B2298" s="41" t="str">
        <f t="array" ref="B2298">IFERROR(IF(INDEX(Transactions!$F$8:$F$3006,MATCH(0,COUNTIF($B$11:B2297,Transactions!$F$8:$F$3006),0))="","",INDEX(Transactions!$F$8:$F$3006,MATCH(0,COUNTIF($B$11:B2297,Transactions!$F$8:$F$3006),0))),"")</f>
        <v/>
      </c>
      <c r="C2298" s="42" t="str">
        <f>IF(B2298="","",SUMIF(Transactions!$F$8:$F$3006,B2298,Transactions!$H$8:$H$3006))</f>
        <v/>
      </c>
      <c r="D2298" s="43" t="str">
        <f>IF(B2298="","",SUMIF(Transactions!$F$8:$F$3006,B2298,Transactions!$N$8:$N$3006))</f>
        <v/>
      </c>
      <c r="E2298" s="44" t="str">
        <f>IF(B2298="","",SUMIF(Transactions!$F$8:$F$3006,B2298,Transactions!$O$8:$O$3006))</f>
        <v/>
      </c>
      <c r="F2298" s="45" t="str">
        <f>IF(B2298="","",SUMIF(Transactions!$F$8:$F$3006,B2298,Transactions!$R$8:$R$3006))</f>
        <v/>
      </c>
      <c r="G2298" s="46" t="str">
        <f>IF(B2298="","",(C2298+F2298)-(D2298+E2298+SUMIF(Transactions!$F$8:$F$3006,B2298,Transactions!$Q$8:$Q$3006)))</f>
        <v/>
      </c>
      <c r="H2298" s="47" t="str">
        <f>IF(B2298="","",IF(G2298&gt;0,"OUTSTANDING",IF(G2298=0,"SETTLED",IF(SUMIF(Transactions!$F$8:$F$3006,B2298,Transactions!$Q$8:$Q$3006)&gt;SUMIF(Transactions!$F$8:$F$3006,B2298,Transactions!$R$8:$R$3006),"OWES","OVERPAID"))))</f>
        <v/>
      </c>
      <c r="I2298" s="1"/>
    </row>
    <row r="2299" spans="1:9" ht="18" customHeight="1" x14ac:dyDescent="0.25">
      <c r="A2299" s="48">
        <v>2284</v>
      </c>
      <c r="B2299" s="49" t="str">
        <f t="array" ref="B2299">IFERROR(IF(INDEX(Transactions!$F$8:$F$3006,MATCH(0,COUNTIF($B$11:B2298,Transactions!$F$8:$F$3006),0))="","",INDEX(Transactions!$F$8:$F$3006,MATCH(0,COUNTIF($B$11:B2298,Transactions!$F$8:$F$3006),0))),"")</f>
        <v/>
      </c>
      <c r="C2299" s="50" t="str">
        <f>IF(B2299="","",SUMIF(Transactions!$F$8:$F$3006,B2299,Transactions!$H$8:$H$3006))</f>
        <v/>
      </c>
      <c r="D2299" s="51" t="str">
        <f>IF(B2299="","",SUMIF(Transactions!$F$8:$F$3006,B2299,Transactions!$N$8:$N$3006))</f>
        <v/>
      </c>
      <c r="E2299" s="52" t="str">
        <f>IF(B2299="","",SUMIF(Transactions!$F$8:$F$3006,B2299,Transactions!$O$8:$O$3006))</f>
        <v/>
      </c>
      <c r="F2299" s="53" t="str">
        <f>IF(B2299="","",SUMIF(Transactions!$F$8:$F$3006,B2299,Transactions!$R$8:$R$3006))</f>
        <v/>
      </c>
      <c r="G2299" s="54" t="str">
        <f>IF(B2299="","",(C2299+F2299)-(D2299+E2299+SUMIF(Transactions!$F$8:$F$3006,B2299,Transactions!$Q$8:$Q$3006)))</f>
        <v/>
      </c>
      <c r="H2299" s="55" t="str">
        <f>IF(B2299="","",IF(G2299&gt;0,"OUTSTANDING",IF(G2299=0,"SETTLED",IF(SUMIF(Transactions!$F$8:$F$3006,B2299,Transactions!$Q$8:$Q$3006)&gt;SUMIF(Transactions!$F$8:$F$3006,B2299,Transactions!$R$8:$R$3006),"OWES","OVERPAID"))))</f>
        <v/>
      </c>
      <c r="I2299" s="1"/>
    </row>
    <row r="2300" spans="1:9" ht="18" customHeight="1" x14ac:dyDescent="0.25">
      <c r="A2300" s="40">
        <v>2285</v>
      </c>
      <c r="B2300" s="41" t="str">
        <f t="array" ref="B2300">IFERROR(IF(INDEX(Transactions!$F$8:$F$3006,MATCH(0,COUNTIF($B$11:B2299,Transactions!$F$8:$F$3006),0))="","",INDEX(Transactions!$F$8:$F$3006,MATCH(0,COUNTIF($B$11:B2299,Transactions!$F$8:$F$3006),0))),"")</f>
        <v/>
      </c>
      <c r="C2300" s="42" t="str">
        <f>IF(B2300="","",SUMIF(Transactions!$F$8:$F$3006,B2300,Transactions!$H$8:$H$3006))</f>
        <v/>
      </c>
      <c r="D2300" s="43" t="str">
        <f>IF(B2300="","",SUMIF(Transactions!$F$8:$F$3006,B2300,Transactions!$N$8:$N$3006))</f>
        <v/>
      </c>
      <c r="E2300" s="44" t="str">
        <f>IF(B2300="","",SUMIF(Transactions!$F$8:$F$3006,B2300,Transactions!$O$8:$O$3006))</f>
        <v/>
      </c>
      <c r="F2300" s="45" t="str">
        <f>IF(B2300="","",SUMIF(Transactions!$F$8:$F$3006,B2300,Transactions!$R$8:$R$3006))</f>
        <v/>
      </c>
      <c r="G2300" s="46" t="str">
        <f>IF(B2300="","",(C2300+F2300)-(D2300+E2300+SUMIF(Transactions!$F$8:$F$3006,B2300,Transactions!$Q$8:$Q$3006)))</f>
        <v/>
      </c>
      <c r="H2300" s="47" t="str">
        <f>IF(B2300="","",IF(G2300&gt;0,"OUTSTANDING",IF(G2300=0,"SETTLED",IF(SUMIF(Transactions!$F$8:$F$3006,B2300,Transactions!$Q$8:$Q$3006)&gt;SUMIF(Transactions!$F$8:$F$3006,B2300,Transactions!$R$8:$R$3006),"OWES","OVERPAID"))))</f>
        <v/>
      </c>
      <c r="I2300" s="1"/>
    </row>
    <row r="2301" spans="1:9" ht="18" customHeight="1" x14ac:dyDescent="0.25">
      <c r="A2301" s="48">
        <v>2286</v>
      </c>
      <c r="B2301" s="49" t="str">
        <f t="array" ref="B2301">IFERROR(IF(INDEX(Transactions!$F$8:$F$3006,MATCH(0,COUNTIF($B$11:B2300,Transactions!$F$8:$F$3006),0))="","",INDEX(Transactions!$F$8:$F$3006,MATCH(0,COUNTIF($B$11:B2300,Transactions!$F$8:$F$3006),0))),"")</f>
        <v/>
      </c>
      <c r="C2301" s="50" t="str">
        <f>IF(B2301="","",SUMIF(Transactions!$F$8:$F$3006,B2301,Transactions!$H$8:$H$3006))</f>
        <v/>
      </c>
      <c r="D2301" s="51" t="str">
        <f>IF(B2301="","",SUMIF(Transactions!$F$8:$F$3006,B2301,Transactions!$N$8:$N$3006))</f>
        <v/>
      </c>
      <c r="E2301" s="52" t="str">
        <f>IF(B2301="","",SUMIF(Transactions!$F$8:$F$3006,B2301,Transactions!$O$8:$O$3006))</f>
        <v/>
      </c>
      <c r="F2301" s="53" t="str">
        <f>IF(B2301="","",SUMIF(Transactions!$F$8:$F$3006,B2301,Transactions!$R$8:$R$3006))</f>
        <v/>
      </c>
      <c r="G2301" s="54" t="str">
        <f>IF(B2301="","",(C2301+F2301)-(D2301+E2301+SUMIF(Transactions!$F$8:$F$3006,B2301,Transactions!$Q$8:$Q$3006)))</f>
        <v/>
      </c>
      <c r="H2301" s="55" t="str">
        <f>IF(B2301="","",IF(G2301&gt;0,"OUTSTANDING",IF(G2301=0,"SETTLED",IF(SUMIF(Transactions!$F$8:$F$3006,B2301,Transactions!$Q$8:$Q$3006)&gt;SUMIF(Transactions!$F$8:$F$3006,B2301,Transactions!$R$8:$R$3006),"OWES","OVERPAID"))))</f>
        <v/>
      </c>
      <c r="I2301" s="1"/>
    </row>
    <row r="2302" spans="1:9" ht="18" customHeight="1" x14ac:dyDescent="0.25">
      <c r="A2302" s="40">
        <v>2287</v>
      </c>
      <c r="B2302" s="41" t="str">
        <f t="array" ref="B2302">IFERROR(IF(INDEX(Transactions!$F$8:$F$3006,MATCH(0,COUNTIF($B$11:B2301,Transactions!$F$8:$F$3006),0))="","",INDEX(Transactions!$F$8:$F$3006,MATCH(0,COUNTIF($B$11:B2301,Transactions!$F$8:$F$3006),0))),"")</f>
        <v/>
      </c>
      <c r="C2302" s="42" t="str">
        <f>IF(B2302="","",SUMIF(Transactions!$F$8:$F$3006,B2302,Transactions!$H$8:$H$3006))</f>
        <v/>
      </c>
      <c r="D2302" s="43" t="str">
        <f>IF(B2302="","",SUMIF(Transactions!$F$8:$F$3006,B2302,Transactions!$N$8:$N$3006))</f>
        <v/>
      </c>
      <c r="E2302" s="44" t="str">
        <f>IF(B2302="","",SUMIF(Transactions!$F$8:$F$3006,B2302,Transactions!$O$8:$O$3006))</f>
        <v/>
      </c>
      <c r="F2302" s="45" t="str">
        <f>IF(B2302="","",SUMIF(Transactions!$F$8:$F$3006,B2302,Transactions!$R$8:$R$3006))</f>
        <v/>
      </c>
      <c r="G2302" s="46" t="str">
        <f>IF(B2302="","",(C2302+F2302)-(D2302+E2302+SUMIF(Transactions!$F$8:$F$3006,B2302,Transactions!$Q$8:$Q$3006)))</f>
        <v/>
      </c>
      <c r="H2302" s="47" t="str">
        <f>IF(B2302="","",IF(G2302&gt;0,"OUTSTANDING",IF(G2302=0,"SETTLED",IF(SUMIF(Transactions!$F$8:$F$3006,B2302,Transactions!$Q$8:$Q$3006)&gt;SUMIF(Transactions!$F$8:$F$3006,B2302,Transactions!$R$8:$R$3006),"OWES","OVERPAID"))))</f>
        <v/>
      </c>
      <c r="I2302" s="1"/>
    </row>
    <row r="2303" spans="1:9" ht="18" customHeight="1" x14ac:dyDescent="0.25">
      <c r="A2303" s="48">
        <v>2288</v>
      </c>
      <c r="B2303" s="49" t="str">
        <f t="array" ref="B2303">IFERROR(IF(INDEX(Transactions!$F$8:$F$3006,MATCH(0,COUNTIF($B$11:B2302,Transactions!$F$8:$F$3006),0))="","",INDEX(Transactions!$F$8:$F$3006,MATCH(0,COUNTIF($B$11:B2302,Transactions!$F$8:$F$3006),0))),"")</f>
        <v/>
      </c>
      <c r="C2303" s="50" t="str">
        <f>IF(B2303="","",SUMIF(Transactions!$F$8:$F$3006,B2303,Transactions!$H$8:$H$3006))</f>
        <v/>
      </c>
      <c r="D2303" s="51" t="str">
        <f>IF(B2303="","",SUMIF(Transactions!$F$8:$F$3006,B2303,Transactions!$N$8:$N$3006))</f>
        <v/>
      </c>
      <c r="E2303" s="52" t="str">
        <f>IF(B2303="","",SUMIF(Transactions!$F$8:$F$3006,B2303,Transactions!$O$8:$O$3006))</f>
        <v/>
      </c>
      <c r="F2303" s="53" t="str">
        <f>IF(B2303="","",SUMIF(Transactions!$F$8:$F$3006,B2303,Transactions!$R$8:$R$3006))</f>
        <v/>
      </c>
      <c r="G2303" s="54" t="str">
        <f>IF(B2303="","",(C2303+F2303)-(D2303+E2303+SUMIF(Transactions!$F$8:$F$3006,B2303,Transactions!$Q$8:$Q$3006)))</f>
        <v/>
      </c>
      <c r="H2303" s="55" t="str">
        <f>IF(B2303="","",IF(G2303&gt;0,"OUTSTANDING",IF(G2303=0,"SETTLED",IF(SUMIF(Transactions!$F$8:$F$3006,B2303,Transactions!$Q$8:$Q$3006)&gt;SUMIF(Transactions!$F$8:$F$3006,B2303,Transactions!$R$8:$R$3006),"OWES","OVERPAID"))))</f>
        <v/>
      </c>
      <c r="I2303" s="1"/>
    </row>
    <row r="2304" spans="1:9" ht="18" customHeight="1" x14ac:dyDescent="0.25">
      <c r="A2304" s="40">
        <v>2289</v>
      </c>
      <c r="B2304" s="41" t="str">
        <f t="array" ref="B2304">IFERROR(IF(INDEX(Transactions!$F$8:$F$3006,MATCH(0,COUNTIF($B$11:B2303,Transactions!$F$8:$F$3006),0))="","",INDEX(Transactions!$F$8:$F$3006,MATCH(0,COUNTIF($B$11:B2303,Transactions!$F$8:$F$3006),0))),"")</f>
        <v/>
      </c>
      <c r="C2304" s="42" t="str">
        <f>IF(B2304="","",SUMIF(Transactions!$F$8:$F$3006,B2304,Transactions!$H$8:$H$3006))</f>
        <v/>
      </c>
      <c r="D2304" s="43" t="str">
        <f>IF(B2304="","",SUMIF(Transactions!$F$8:$F$3006,B2304,Transactions!$N$8:$N$3006))</f>
        <v/>
      </c>
      <c r="E2304" s="44" t="str">
        <f>IF(B2304="","",SUMIF(Transactions!$F$8:$F$3006,B2304,Transactions!$O$8:$O$3006))</f>
        <v/>
      </c>
      <c r="F2304" s="45" t="str">
        <f>IF(B2304="","",SUMIF(Transactions!$F$8:$F$3006,B2304,Transactions!$R$8:$R$3006))</f>
        <v/>
      </c>
      <c r="G2304" s="46" t="str">
        <f>IF(B2304="","",(C2304+F2304)-(D2304+E2304+SUMIF(Transactions!$F$8:$F$3006,B2304,Transactions!$Q$8:$Q$3006)))</f>
        <v/>
      </c>
      <c r="H2304" s="47" t="str">
        <f>IF(B2304="","",IF(G2304&gt;0,"OUTSTANDING",IF(G2304=0,"SETTLED",IF(SUMIF(Transactions!$F$8:$F$3006,B2304,Transactions!$Q$8:$Q$3006)&gt;SUMIF(Transactions!$F$8:$F$3006,B2304,Transactions!$R$8:$R$3006),"OWES","OVERPAID"))))</f>
        <v/>
      </c>
      <c r="I2304" s="1"/>
    </row>
    <row r="2305" spans="1:9" ht="18" customHeight="1" x14ac:dyDescent="0.25">
      <c r="A2305" s="48">
        <v>2290</v>
      </c>
      <c r="B2305" s="49" t="str">
        <f t="array" ref="B2305">IFERROR(IF(INDEX(Transactions!$F$8:$F$3006,MATCH(0,COUNTIF($B$11:B2304,Transactions!$F$8:$F$3006),0))="","",INDEX(Transactions!$F$8:$F$3006,MATCH(0,COUNTIF($B$11:B2304,Transactions!$F$8:$F$3006),0))),"")</f>
        <v/>
      </c>
      <c r="C2305" s="50" t="str">
        <f>IF(B2305="","",SUMIF(Transactions!$F$8:$F$3006,B2305,Transactions!$H$8:$H$3006))</f>
        <v/>
      </c>
      <c r="D2305" s="51" t="str">
        <f>IF(B2305="","",SUMIF(Transactions!$F$8:$F$3006,B2305,Transactions!$N$8:$N$3006))</f>
        <v/>
      </c>
      <c r="E2305" s="52" t="str">
        <f>IF(B2305="","",SUMIF(Transactions!$F$8:$F$3006,B2305,Transactions!$O$8:$O$3006))</f>
        <v/>
      </c>
      <c r="F2305" s="53" t="str">
        <f>IF(B2305="","",SUMIF(Transactions!$F$8:$F$3006,B2305,Transactions!$R$8:$R$3006))</f>
        <v/>
      </c>
      <c r="G2305" s="54" t="str">
        <f>IF(B2305="","",(C2305+F2305)-(D2305+E2305+SUMIF(Transactions!$F$8:$F$3006,B2305,Transactions!$Q$8:$Q$3006)))</f>
        <v/>
      </c>
      <c r="H2305" s="55" t="str">
        <f>IF(B2305="","",IF(G2305&gt;0,"OUTSTANDING",IF(G2305=0,"SETTLED",IF(SUMIF(Transactions!$F$8:$F$3006,B2305,Transactions!$Q$8:$Q$3006)&gt;SUMIF(Transactions!$F$8:$F$3006,B2305,Transactions!$R$8:$R$3006),"OWES","OVERPAID"))))</f>
        <v/>
      </c>
      <c r="I2305" s="1"/>
    </row>
    <row r="2306" spans="1:9" ht="18" customHeight="1" x14ac:dyDescent="0.25">
      <c r="A2306" s="40">
        <v>2291</v>
      </c>
      <c r="B2306" s="41" t="str">
        <f t="array" ref="B2306">IFERROR(IF(INDEX(Transactions!$F$8:$F$3006,MATCH(0,COUNTIF($B$11:B2305,Transactions!$F$8:$F$3006),0))="","",INDEX(Transactions!$F$8:$F$3006,MATCH(0,COUNTIF($B$11:B2305,Transactions!$F$8:$F$3006),0))),"")</f>
        <v/>
      </c>
      <c r="C2306" s="42" t="str">
        <f>IF(B2306="","",SUMIF(Transactions!$F$8:$F$3006,B2306,Transactions!$H$8:$H$3006))</f>
        <v/>
      </c>
      <c r="D2306" s="43" t="str">
        <f>IF(B2306="","",SUMIF(Transactions!$F$8:$F$3006,B2306,Transactions!$N$8:$N$3006))</f>
        <v/>
      </c>
      <c r="E2306" s="44" t="str">
        <f>IF(B2306="","",SUMIF(Transactions!$F$8:$F$3006,B2306,Transactions!$O$8:$O$3006))</f>
        <v/>
      </c>
      <c r="F2306" s="45" t="str">
        <f>IF(B2306="","",SUMIF(Transactions!$F$8:$F$3006,B2306,Transactions!$R$8:$R$3006))</f>
        <v/>
      </c>
      <c r="G2306" s="46" t="str">
        <f>IF(B2306="","",(C2306+F2306)-(D2306+E2306+SUMIF(Transactions!$F$8:$F$3006,B2306,Transactions!$Q$8:$Q$3006)))</f>
        <v/>
      </c>
      <c r="H2306" s="47" t="str">
        <f>IF(B2306="","",IF(G2306&gt;0,"OUTSTANDING",IF(G2306=0,"SETTLED",IF(SUMIF(Transactions!$F$8:$F$3006,B2306,Transactions!$Q$8:$Q$3006)&gt;SUMIF(Transactions!$F$8:$F$3006,B2306,Transactions!$R$8:$R$3006),"OWES","OVERPAID"))))</f>
        <v/>
      </c>
      <c r="I2306" s="1"/>
    </row>
    <row r="2307" spans="1:9" ht="18" customHeight="1" x14ac:dyDescent="0.25">
      <c r="A2307" s="48">
        <v>2292</v>
      </c>
      <c r="B2307" s="49" t="str">
        <f t="array" ref="B2307">IFERROR(IF(INDEX(Transactions!$F$8:$F$3006,MATCH(0,COUNTIF($B$11:B2306,Transactions!$F$8:$F$3006),0))="","",INDEX(Transactions!$F$8:$F$3006,MATCH(0,COUNTIF($B$11:B2306,Transactions!$F$8:$F$3006),0))),"")</f>
        <v/>
      </c>
      <c r="C2307" s="50" t="str">
        <f>IF(B2307="","",SUMIF(Transactions!$F$8:$F$3006,B2307,Transactions!$H$8:$H$3006))</f>
        <v/>
      </c>
      <c r="D2307" s="51" t="str">
        <f>IF(B2307="","",SUMIF(Transactions!$F$8:$F$3006,B2307,Transactions!$N$8:$N$3006))</f>
        <v/>
      </c>
      <c r="E2307" s="52" t="str">
        <f>IF(B2307="","",SUMIF(Transactions!$F$8:$F$3006,B2307,Transactions!$O$8:$O$3006))</f>
        <v/>
      </c>
      <c r="F2307" s="53" t="str">
        <f>IF(B2307="","",SUMIF(Transactions!$F$8:$F$3006,B2307,Transactions!$R$8:$R$3006))</f>
        <v/>
      </c>
      <c r="G2307" s="54" t="str">
        <f>IF(B2307="","",(C2307+F2307)-(D2307+E2307+SUMIF(Transactions!$F$8:$F$3006,B2307,Transactions!$Q$8:$Q$3006)))</f>
        <v/>
      </c>
      <c r="H2307" s="55" t="str">
        <f>IF(B2307="","",IF(G2307&gt;0,"OUTSTANDING",IF(G2307=0,"SETTLED",IF(SUMIF(Transactions!$F$8:$F$3006,B2307,Transactions!$Q$8:$Q$3006)&gt;SUMIF(Transactions!$F$8:$F$3006,B2307,Transactions!$R$8:$R$3006),"OWES","OVERPAID"))))</f>
        <v/>
      </c>
      <c r="I2307" s="1"/>
    </row>
    <row r="2308" spans="1:9" ht="18" customHeight="1" x14ac:dyDescent="0.25">
      <c r="A2308" s="40">
        <v>2293</v>
      </c>
      <c r="B2308" s="41" t="str">
        <f t="array" ref="B2308">IFERROR(IF(INDEX(Transactions!$F$8:$F$3006,MATCH(0,COUNTIF($B$11:B2307,Transactions!$F$8:$F$3006),0))="","",INDEX(Transactions!$F$8:$F$3006,MATCH(0,COUNTIF($B$11:B2307,Transactions!$F$8:$F$3006),0))),"")</f>
        <v/>
      </c>
      <c r="C2308" s="42" t="str">
        <f>IF(B2308="","",SUMIF(Transactions!$F$8:$F$3006,B2308,Transactions!$H$8:$H$3006))</f>
        <v/>
      </c>
      <c r="D2308" s="43" t="str">
        <f>IF(B2308="","",SUMIF(Transactions!$F$8:$F$3006,B2308,Transactions!$N$8:$N$3006))</f>
        <v/>
      </c>
      <c r="E2308" s="44" t="str">
        <f>IF(B2308="","",SUMIF(Transactions!$F$8:$F$3006,B2308,Transactions!$O$8:$O$3006))</f>
        <v/>
      </c>
      <c r="F2308" s="45" t="str">
        <f>IF(B2308="","",SUMIF(Transactions!$F$8:$F$3006,B2308,Transactions!$R$8:$R$3006))</f>
        <v/>
      </c>
      <c r="G2308" s="46" t="str">
        <f>IF(B2308="","",(C2308+F2308)-(D2308+E2308+SUMIF(Transactions!$F$8:$F$3006,B2308,Transactions!$Q$8:$Q$3006)))</f>
        <v/>
      </c>
      <c r="H2308" s="47" t="str">
        <f>IF(B2308="","",IF(G2308&gt;0,"OUTSTANDING",IF(G2308=0,"SETTLED",IF(SUMIF(Transactions!$F$8:$F$3006,B2308,Transactions!$Q$8:$Q$3006)&gt;SUMIF(Transactions!$F$8:$F$3006,B2308,Transactions!$R$8:$R$3006),"OWES","OVERPAID"))))</f>
        <v/>
      </c>
      <c r="I2308" s="1"/>
    </row>
    <row r="2309" spans="1:9" ht="18" customHeight="1" x14ac:dyDescent="0.25">
      <c r="A2309" s="48">
        <v>2294</v>
      </c>
      <c r="B2309" s="49" t="str">
        <f t="array" ref="B2309">IFERROR(IF(INDEX(Transactions!$F$8:$F$3006,MATCH(0,COUNTIF($B$11:B2308,Transactions!$F$8:$F$3006),0))="","",INDEX(Transactions!$F$8:$F$3006,MATCH(0,COUNTIF($B$11:B2308,Transactions!$F$8:$F$3006),0))),"")</f>
        <v/>
      </c>
      <c r="C2309" s="50" t="str">
        <f>IF(B2309="","",SUMIF(Transactions!$F$8:$F$3006,B2309,Transactions!$H$8:$H$3006))</f>
        <v/>
      </c>
      <c r="D2309" s="51" t="str">
        <f>IF(B2309="","",SUMIF(Transactions!$F$8:$F$3006,B2309,Transactions!$N$8:$N$3006))</f>
        <v/>
      </c>
      <c r="E2309" s="52" t="str">
        <f>IF(B2309="","",SUMIF(Transactions!$F$8:$F$3006,B2309,Transactions!$O$8:$O$3006))</f>
        <v/>
      </c>
      <c r="F2309" s="53" t="str">
        <f>IF(B2309="","",SUMIF(Transactions!$F$8:$F$3006,B2309,Transactions!$R$8:$R$3006))</f>
        <v/>
      </c>
      <c r="G2309" s="54" t="str">
        <f>IF(B2309="","",(C2309+F2309)-(D2309+E2309+SUMIF(Transactions!$F$8:$F$3006,B2309,Transactions!$Q$8:$Q$3006)))</f>
        <v/>
      </c>
      <c r="H2309" s="55" t="str">
        <f>IF(B2309="","",IF(G2309&gt;0,"OUTSTANDING",IF(G2309=0,"SETTLED",IF(SUMIF(Transactions!$F$8:$F$3006,B2309,Transactions!$Q$8:$Q$3006)&gt;SUMIF(Transactions!$F$8:$F$3006,B2309,Transactions!$R$8:$R$3006),"OWES","OVERPAID"))))</f>
        <v/>
      </c>
      <c r="I2309" s="1"/>
    </row>
    <row r="2310" spans="1:9" ht="18" customHeight="1" x14ac:dyDescent="0.25">
      <c r="A2310" s="40">
        <v>2295</v>
      </c>
      <c r="B2310" s="41" t="str">
        <f t="array" ref="B2310">IFERROR(IF(INDEX(Transactions!$F$8:$F$3006,MATCH(0,COUNTIF($B$11:B2309,Transactions!$F$8:$F$3006),0))="","",INDEX(Transactions!$F$8:$F$3006,MATCH(0,COUNTIF($B$11:B2309,Transactions!$F$8:$F$3006),0))),"")</f>
        <v/>
      </c>
      <c r="C2310" s="42" t="str">
        <f>IF(B2310="","",SUMIF(Transactions!$F$8:$F$3006,B2310,Transactions!$H$8:$H$3006))</f>
        <v/>
      </c>
      <c r="D2310" s="43" t="str">
        <f>IF(B2310="","",SUMIF(Transactions!$F$8:$F$3006,B2310,Transactions!$N$8:$N$3006))</f>
        <v/>
      </c>
      <c r="E2310" s="44" t="str">
        <f>IF(B2310="","",SUMIF(Transactions!$F$8:$F$3006,B2310,Transactions!$O$8:$O$3006))</f>
        <v/>
      </c>
      <c r="F2310" s="45" t="str">
        <f>IF(B2310="","",SUMIF(Transactions!$F$8:$F$3006,B2310,Transactions!$R$8:$R$3006))</f>
        <v/>
      </c>
      <c r="G2310" s="46" t="str">
        <f>IF(B2310="","",(C2310+F2310)-(D2310+E2310+SUMIF(Transactions!$F$8:$F$3006,B2310,Transactions!$Q$8:$Q$3006)))</f>
        <v/>
      </c>
      <c r="H2310" s="47" t="str">
        <f>IF(B2310="","",IF(G2310&gt;0,"OUTSTANDING",IF(G2310=0,"SETTLED",IF(SUMIF(Transactions!$F$8:$F$3006,B2310,Transactions!$Q$8:$Q$3006)&gt;SUMIF(Transactions!$F$8:$F$3006,B2310,Transactions!$R$8:$R$3006),"OWES","OVERPAID"))))</f>
        <v/>
      </c>
      <c r="I2310" s="1"/>
    </row>
    <row r="2311" spans="1:9" ht="18" customHeight="1" x14ac:dyDescent="0.25">
      <c r="A2311" s="48">
        <v>2296</v>
      </c>
      <c r="B2311" s="49" t="str">
        <f t="array" ref="B2311">IFERROR(IF(INDEX(Transactions!$F$8:$F$3006,MATCH(0,COUNTIF($B$11:B2310,Transactions!$F$8:$F$3006),0))="","",INDEX(Transactions!$F$8:$F$3006,MATCH(0,COUNTIF($B$11:B2310,Transactions!$F$8:$F$3006),0))),"")</f>
        <v/>
      </c>
      <c r="C2311" s="50" t="str">
        <f>IF(B2311="","",SUMIF(Transactions!$F$8:$F$3006,B2311,Transactions!$H$8:$H$3006))</f>
        <v/>
      </c>
      <c r="D2311" s="51" t="str">
        <f>IF(B2311="","",SUMIF(Transactions!$F$8:$F$3006,B2311,Transactions!$N$8:$N$3006))</f>
        <v/>
      </c>
      <c r="E2311" s="52" t="str">
        <f>IF(B2311="","",SUMIF(Transactions!$F$8:$F$3006,B2311,Transactions!$O$8:$O$3006))</f>
        <v/>
      </c>
      <c r="F2311" s="53" t="str">
        <f>IF(B2311="","",SUMIF(Transactions!$F$8:$F$3006,B2311,Transactions!$R$8:$R$3006))</f>
        <v/>
      </c>
      <c r="G2311" s="54" t="str">
        <f>IF(B2311="","",(C2311+F2311)-(D2311+E2311+SUMIF(Transactions!$F$8:$F$3006,B2311,Transactions!$Q$8:$Q$3006)))</f>
        <v/>
      </c>
      <c r="H2311" s="55" t="str">
        <f>IF(B2311="","",IF(G2311&gt;0,"OUTSTANDING",IF(G2311=0,"SETTLED",IF(SUMIF(Transactions!$F$8:$F$3006,B2311,Transactions!$Q$8:$Q$3006)&gt;SUMIF(Transactions!$F$8:$F$3006,B2311,Transactions!$R$8:$R$3006),"OWES","OVERPAID"))))</f>
        <v/>
      </c>
      <c r="I2311" s="1"/>
    </row>
    <row r="2312" spans="1:9" ht="18" customHeight="1" x14ac:dyDescent="0.25">
      <c r="A2312" s="40">
        <v>2297</v>
      </c>
      <c r="B2312" s="41" t="str">
        <f t="array" ref="B2312">IFERROR(IF(INDEX(Transactions!$F$8:$F$3006,MATCH(0,COUNTIF($B$11:B2311,Transactions!$F$8:$F$3006),0))="","",INDEX(Transactions!$F$8:$F$3006,MATCH(0,COUNTIF($B$11:B2311,Transactions!$F$8:$F$3006),0))),"")</f>
        <v/>
      </c>
      <c r="C2312" s="42" t="str">
        <f>IF(B2312="","",SUMIF(Transactions!$F$8:$F$3006,B2312,Transactions!$H$8:$H$3006))</f>
        <v/>
      </c>
      <c r="D2312" s="43" t="str">
        <f>IF(B2312="","",SUMIF(Transactions!$F$8:$F$3006,B2312,Transactions!$N$8:$N$3006))</f>
        <v/>
      </c>
      <c r="E2312" s="44" t="str">
        <f>IF(B2312="","",SUMIF(Transactions!$F$8:$F$3006,B2312,Transactions!$O$8:$O$3006))</f>
        <v/>
      </c>
      <c r="F2312" s="45" t="str">
        <f>IF(B2312="","",SUMIF(Transactions!$F$8:$F$3006,B2312,Transactions!$R$8:$R$3006))</f>
        <v/>
      </c>
      <c r="G2312" s="46" t="str">
        <f>IF(B2312="","",(C2312+F2312)-(D2312+E2312+SUMIF(Transactions!$F$8:$F$3006,B2312,Transactions!$Q$8:$Q$3006)))</f>
        <v/>
      </c>
      <c r="H2312" s="47" t="str">
        <f>IF(B2312="","",IF(G2312&gt;0,"OUTSTANDING",IF(G2312=0,"SETTLED",IF(SUMIF(Transactions!$F$8:$F$3006,B2312,Transactions!$Q$8:$Q$3006)&gt;SUMIF(Transactions!$F$8:$F$3006,B2312,Transactions!$R$8:$R$3006),"OWES","OVERPAID"))))</f>
        <v/>
      </c>
      <c r="I2312" s="1"/>
    </row>
    <row r="2313" spans="1:9" ht="18" customHeight="1" x14ac:dyDescent="0.25">
      <c r="A2313" s="48">
        <v>2298</v>
      </c>
      <c r="B2313" s="49" t="str">
        <f t="array" ref="B2313">IFERROR(IF(INDEX(Transactions!$F$8:$F$3006,MATCH(0,COUNTIF($B$11:B2312,Transactions!$F$8:$F$3006),0))="","",INDEX(Transactions!$F$8:$F$3006,MATCH(0,COUNTIF($B$11:B2312,Transactions!$F$8:$F$3006),0))),"")</f>
        <v/>
      </c>
      <c r="C2313" s="50" t="str">
        <f>IF(B2313="","",SUMIF(Transactions!$F$8:$F$3006,B2313,Transactions!$H$8:$H$3006))</f>
        <v/>
      </c>
      <c r="D2313" s="51" t="str">
        <f>IF(B2313="","",SUMIF(Transactions!$F$8:$F$3006,B2313,Transactions!$N$8:$N$3006))</f>
        <v/>
      </c>
      <c r="E2313" s="52" t="str">
        <f>IF(B2313="","",SUMIF(Transactions!$F$8:$F$3006,B2313,Transactions!$O$8:$O$3006))</f>
        <v/>
      </c>
      <c r="F2313" s="53" t="str">
        <f>IF(B2313="","",SUMIF(Transactions!$F$8:$F$3006,B2313,Transactions!$R$8:$R$3006))</f>
        <v/>
      </c>
      <c r="G2313" s="54" t="str">
        <f>IF(B2313="","",(C2313+F2313)-(D2313+E2313+SUMIF(Transactions!$F$8:$F$3006,B2313,Transactions!$Q$8:$Q$3006)))</f>
        <v/>
      </c>
      <c r="H2313" s="55" t="str">
        <f>IF(B2313="","",IF(G2313&gt;0,"OUTSTANDING",IF(G2313=0,"SETTLED",IF(SUMIF(Transactions!$F$8:$F$3006,B2313,Transactions!$Q$8:$Q$3006)&gt;SUMIF(Transactions!$F$8:$F$3006,B2313,Transactions!$R$8:$R$3006),"OWES","OVERPAID"))))</f>
        <v/>
      </c>
      <c r="I2313" s="1"/>
    </row>
    <row r="2314" spans="1:9" ht="18" customHeight="1" x14ac:dyDescent="0.25">
      <c r="A2314" s="40">
        <v>2299</v>
      </c>
      <c r="B2314" s="41" t="str">
        <f t="array" ref="B2314">IFERROR(IF(INDEX(Transactions!$F$8:$F$3006,MATCH(0,COUNTIF($B$11:B2313,Transactions!$F$8:$F$3006),0))="","",INDEX(Transactions!$F$8:$F$3006,MATCH(0,COUNTIF($B$11:B2313,Transactions!$F$8:$F$3006),0))),"")</f>
        <v/>
      </c>
      <c r="C2314" s="42" t="str">
        <f>IF(B2314="","",SUMIF(Transactions!$F$8:$F$3006,B2314,Transactions!$H$8:$H$3006))</f>
        <v/>
      </c>
      <c r="D2314" s="43" t="str">
        <f>IF(B2314="","",SUMIF(Transactions!$F$8:$F$3006,B2314,Transactions!$N$8:$N$3006))</f>
        <v/>
      </c>
      <c r="E2314" s="44" t="str">
        <f>IF(B2314="","",SUMIF(Transactions!$F$8:$F$3006,B2314,Transactions!$O$8:$O$3006))</f>
        <v/>
      </c>
      <c r="F2314" s="45" t="str">
        <f>IF(B2314="","",SUMIF(Transactions!$F$8:$F$3006,B2314,Transactions!$R$8:$R$3006))</f>
        <v/>
      </c>
      <c r="G2314" s="46" t="str">
        <f>IF(B2314="","",(C2314+F2314)-(D2314+E2314+SUMIF(Transactions!$F$8:$F$3006,B2314,Transactions!$Q$8:$Q$3006)))</f>
        <v/>
      </c>
      <c r="H2314" s="47" t="str">
        <f>IF(B2314="","",IF(G2314&gt;0,"OUTSTANDING",IF(G2314=0,"SETTLED",IF(SUMIF(Transactions!$F$8:$F$3006,B2314,Transactions!$Q$8:$Q$3006)&gt;SUMIF(Transactions!$F$8:$F$3006,B2314,Transactions!$R$8:$R$3006),"OWES","OVERPAID"))))</f>
        <v/>
      </c>
      <c r="I2314" s="1"/>
    </row>
    <row r="2315" spans="1:9" ht="18" customHeight="1" x14ac:dyDescent="0.25">
      <c r="A2315" s="48">
        <v>2300</v>
      </c>
      <c r="B2315" s="49" t="str">
        <f t="array" ref="B2315">IFERROR(IF(INDEX(Transactions!$F$8:$F$3006,MATCH(0,COUNTIF($B$11:B2314,Transactions!$F$8:$F$3006),0))="","",INDEX(Transactions!$F$8:$F$3006,MATCH(0,COUNTIF($B$11:B2314,Transactions!$F$8:$F$3006),0))),"")</f>
        <v/>
      </c>
      <c r="C2315" s="50" t="str">
        <f>IF(B2315="","",SUMIF(Transactions!$F$8:$F$3006,B2315,Transactions!$H$8:$H$3006))</f>
        <v/>
      </c>
      <c r="D2315" s="51" t="str">
        <f>IF(B2315="","",SUMIF(Transactions!$F$8:$F$3006,B2315,Transactions!$N$8:$N$3006))</f>
        <v/>
      </c>
      <c r="E2315" s="52" t="str">
        <f>IF(B2315="","",SUMIF(Transactions!$F$8:$F$3006,B2315,Transactions!$O$8:$O$3006))</f>
        <v/>
      </c>
      <c r="F2315" s="53" t="str">
        <f>IF(B2315="","",SUMIF(Transactions!$F$8:$F$3006,B2315,Transactions!$R$8:$R$3006))</f>
        <v/>
      </c>
      <c r="G2315" s="54" t="str">
        <f>IF(B2315="","",(C2315+F2315)-(D2315+E2315+SUMIF(Transactions!$F$8:$F$3006,B2315,Transactions!$Q$8:$Q$3006)))</f>
        <v/>
      </c>
      <c r="H2315" s="55" t="str">
        <f>IF(B2315="","",IF(G2315&gt;0,"OUTSTANDING",IF(G2315=0,"SETTLED",IF(SUMIF(Transactions!$F$8:$F$3006,B2315,Transactions!$Q$8:$Q$3006)&gt;SUMIF(Transactions!$F$8:$F$3006,B2315,Transactions!$R$8:$R$3006),"OWES","OVERPAID"))))</f>
        <v/>
      </c>
      <c r="I2315" s="1"/>
    </row>
    <row r="2316" spans="1:9" ht="18" customHeight="1" x14ac:dyDescent="0.25">
      <c r="A2316" s="40">
        <v>2301</v>
      </c>
      <c r="B2316" s="41" t="str">
        <f t="array" ref="B2316">IFERROR(IF(INDEX(Transactions!$F$8:$F$3006,MATCH(0,COUNTIF($B$11:B2315,Transactions!$F$8:$F$3006),0))="","",INDEX(Transactions!$F$8:$F$3006,MATCH(0,COUNTIF($B$11:B2315,Transactions!$F$8:$F$3006),0))),"")</f>
        <v/>
      </c>
      <c r="C2316" s="42" t="str">
        <f>IF(B2316="","",SUMIF(Transactions!$F$8:$F$3006,B2316,Transactions!$H$8:$H$3006))</f>
        <v/>
      </c>
      <c r="D2316" s="43" t="str">
        <f>IF(B2316="","",SUMIF(Transactions!$F$8:$F$3006,B2316,Transactions!$N$8:$N$3006))</f>
        <v/>
      </c>
      <c r="E2316" s="44" t="str">
        <f>IF(B2316="","",SUMIF(Transactions!$F$8:$F$3006,B2316,Transactions!$O$8:$O$3006))</f>
        <v/>
      </c>
      <c r="F2316" s="45" t="str">
        <f>IF(B2316="","",SUMIF(Transactions!$F$8:$F$3006,B2316,Transactions!$R$8:$R$3006))</f>
        <v/>
      </c>
      <c r="G2316" s="46" t="str">
        <f>IF(B2316="","",(C2316+F2316)-(D2316+E2316+SUMIF(Transactions!$F$8:$F$3006,B2316,Transactions!$Q$8:$Q$3006)))</f>
        <v/>
      </c>
      <c r="H2316" s="47" t="str">
        <f>IF(B2316="","",IF(G2316&gt;0,"OUTSTANDING",IF(G2316=0,"SETTLED",IF(SUMIF(Transactions!$F$8:$F$3006,B2316,Transactions!$Q$8:$Q$3006)&gt;SUMIF(Transactions!$F$8:$F$3006,B2316,Transactions!$R$8:$R$3006),"OWES","OVERPAID"))))</f>
        <v/>
      </c>
      <c r="I2316" s="1"/>
    </row>
    <row r="2317" spans="1:9" ht="18" customHeight="1" x14ac:dyDescent="0.25">
      <c r="A2317" s="48">
        <v>2302</v>
      </c>
      <c r="B2317" s="49" t="str">
        <f t="array" ref="B2317">IFERROR(IF(INDEX(Transactions!$F$8:$F$3006,MATCH(0,COUNTIF($B$11:B2316,Transactions!$F$8:$F$3006),0))="","",INDEX(Transactions!$F$8:$F$3006,MATCH(0,COUNTIF($B$11:B2316,Transactions!$F$8:$F$3006),0))),"")</f>
        <v/>
      </c>
      <c r="C2317" s="50" t="str">
        <f>IF(B2317="","",SUMIF(Transactions!$F$8:$F$3006,B2317,Transactions!$H$8:$H$3006))</f>
        <v/>
      </c>
      <c r="D2317" s="51" t="str">
        <f>IF(B2317="","",SUMIF(Transactions!$F$8:$F$3006,B2317,Transactions!$N$8:$N$3006))</f>
        <v/>
      </c>
      <c r="E2317" s="52" t="str">
        <f>IF(B2317="","",SUMIF(Transactions!$F$8:$F$3006,B2317,Transactions!$O$8:$O$3006))</f>
        <v/>
      </c>
      <c r="F2317" s="53" t="str">
        <f>IF(B2317="","",SUMIF(Transactions!$F$8:$F$3006,B2317,Transactions!$R$8:$R$3006))</f>
        <v/>
      </c>
      <c r="G2317" s="54" t="str">
        <f>IF(B2317="","",(C2317+F2317)-(D2317+E2317+SUMIF(Transactions!$F$8:$F$3006,B2317,Transactions!$Q$8:$Q$3006)))</f>
        <v/>
      </c>
      <c r="H2317" s="55" t="str">
        <f>IF(B2317="","",IF(G2317&gt;0,"OUTSTANDING",IF(G2317=0,"SETTLED",IF(SUMIF(Transactions!$F$8:$F$3006,B2317,Transactions!$Q$8:$Q$3006)&gt;SUMIF(Transactions!$F$8:$F$3006,B2317,Transactions!$R$8:$R$3006),"OWES","OVERPAID"))))</f>
        <v/>
      </c>
      <c r="I2317" s="1"/>
    </row>
    <row r="2318" spans="1:9" ht="18" customHeight="1" x14ac:dyDescent="0.25">
      <c r="A2318" s="40">
        <v>2303</v>
      </c>
      <c r="B2318" s="41" t="str">
        <f t="array" ref="B2318">IFERROR(IF(INDEX(Transactions!$F$8:$F$3006,MATCH(0,COUNTIF($B$11:B2317,Transactions!$F$8:$F$3006),0))="","",INDEX(Transactions!$F$8:$F$3006,MATCH(0,COUNTIF($B$11:B2317,Transactions!$F$8:$F$3006),0))),"")</f>
        <v/>
      </c>
      <c r="C2318" s="42" t="str">
        <f>IF(B2318="","",SUMIF(Transactions!$F$8:$F$3006,B2318,Transactions!$H$8:$H$3006))</f>
        <v/>
      </c>
      <c r="D2318" s="43" t="str">
        <f>IF(B2318="","",SUMIF(Transactions!$F$8:$F$3006,B2318,Transactions!$N$8:$N$3006))</f>
        <v/>
      </c>
      <c r="E2318" s="44" t="str">
        <f>IF(B2318="","",SUMIF(Transactions!$F$8:$F$3006,B2318,Transactions!$O$8:$O$3006))</f>
        <v/>
      </c>
      <c r="F2318" s="45" t="str">
        <f>IF(B2318="","",SUMIF(Transactions!$F$8:$F$3006,B2318,Transactions!$R$8:$R$3006))</f>
        <v/>
      </c>
      <c r="G2318" s="46" t="str">
        <f>IF(B2318="","",(C2318+F2318)-(D2318+E2318+SUMIF(Transactions!$F$8:$F$3006,B2318,Transactions!$Q$8:$Q$3006)))</f>
        <v/>
      </c>
      <c r="H2318" s="47" t="str">
        <f>IF(B2318="","",IF(G2318&gt;0,"OUTSTANDING",IF(G2318=0,"SETTLED",IF(SUMIF(Transactions!$F$8:$F$3006,B2318,Transactions!$Q$8:$Q$3006)&gt;SUMIF(Transactions!$F$8:$F$3006,B2318,Transactions!$R$8:$R$3006),"OWES","OVERPAID"))))</f>
        <v/>
      </c>
      <c r="I2318" s="1"/>
    </row>
    <row r="2319" spans="1:9" ht="18" customHeight="1" x14ac:dyDescent="0.25">
      <c r="A2319" s="48">
        <v>2304</v>
      </c>
      <c r="B2319" s="49" t="str">
        <f t="array" ref="B2319">IFERROR(IF(INDEX(Transactions!$F$8:$F$3006,MATCH(0,COUNTIF($B$11:B2318,Transactions!$F$8:$F$3006),0))="","",INDEX(Transactions!$F$8:$F$3006,MATCH(0,COUNTIF($B$11:B2318,Transactions!$F$8:$F$3006),0))),"")</f>
        <v/>
      </c>
      <c r="C2319" s="50" t="str">
        <f>IF(B2319="","",SUMIF(Transactions!$F$8:$F$3006,B2319,Transactions!$H$8:$H$3006))</f>
        <v/>
      </c>
      <c r="D2319" s="51" t="str">
        <f>IF(B2319="","",SUMIF(Transactions!$F$8:$F$3006,B2319,Transactions!$N$8:$N$3006))</f>
        <v/>
      </c>
      <c r="E2319" s="52" t="str">
        <f>IF(B2319="","",SUMIF(Transactions!$F$8:$F$3006,B2319,Transactions!$O$8:$O$3006))</f>
        <v/>
      </c>
      <c r="F2319" s="53" t="str">
        <f>IF(B2319="","",SUMIF(Transactions!$F$8:$F$3006,B2319,Transactions!$R$8:$R$3006))</f>
        <v/>
      </c>
      <c r="G2319" s="54" t="str">
        <f>IF(B2319="","",(C2319+F2319)-(D2319+E2319+SUMIF(Transactions!$F$8:$F$3006,B2319,Transactions!$Q$8:$Q$3006)))</f>
        <v/>
      </c>
      <c r="H2319" s="55" t="str">
        <f>IF(B2319="","",IF(G2319&gt;0,"OUTSTANDING",IF(G2319=0,"SETTLED",IF(SUMIF(Transactions!$F$8:$F$3006,B2319,Transactions!$Q$8:$Q$3006)&gt;SUMIF(Transactions!$F$8:$F$3006,B2319,Transactions!$R$8:$R$3006),"OWES","OVERPAID"))))</f>
        <v/>
      </c>
      <c r="I2319" s="1"/>
    </row>
    <row r="2320" spans="1:9" ht="18" customHeight="1" x14ac:dyDescent="0.25">
      <c r="A2320" s="40">
        <v>2305</v>
      </c>
      <c r="B2320" s="41" t="str">
        <f t="array" ref="B2320">IFERROR(IF(INDEX(Transactions!$F$8:$F$3006,MATCH(0,COUNTIF($B$11:B2319,Transactions!$F$8:$F$3006),0))="","",INDEX(Transactions!$F$8:$F$3006,MATCH(0,COUNTIF($B$11:B2319,Transactions!$F$8:$F$3006),0))),"")</f>
        <v/>
      </c>
      <c r="C2320" s="42" t="str">
        <f>IF(B2320="","",SUMIF(Transactions!$F$8:$F$3006,B2320,Transactions!$H$8:$H$3006))</f>
        <v/>
      </c>
      <c r="D2320" s="43" t="str">
        <f>IF(B2320="","",SUMIF(Transactions!$F$8:$F$3006,B2320,Transactions!$N$8:$N$3006))</f>
        <v/>
      </c>
      <c r="E2320" s="44" t="str">
        <f>IF(B2320="","",SUMIF(Transactions!$F$8:$F$3006,B2320,Transactions!$O$8:$O$3006))</f>
        <v/>
      </c>
      <c r="F2320" s="45" t="str">
        <f>IF(B2320="","",SUMIF(Transactions!$F$8:$F$3006,B2320,Transactions!$R$8:$R$3006))</f>
        <v/>
      </c>
      <c r="G2320" s="46" t="str">
        <f>IF(B2320="","",(C2320+F2320)-(D2320+E2320+SUMIF(Transactions!$F$8:$F$3006,B2320,Transactions!$Q$8:$Q$3006)))</f>
        <v/>
      </c>
      <c r="H2320" s="47" t="str">
        <f>IF(B2320="","",IF(G2320&gt;0,"OUTSTANDING",IF(G2320=0,"SETTLED",IF(SUMIF(Transactions!$F$8:$F$3006,B2320,Transactions!$Q$8:$Q$3006)&gt;SUMIF(Transactions!$F$8:$F$3006,B2320,Transactions!$R$8:$R$3006),"OWES","OVERPAID"))))</f>
        <v/>
      </c>
      <c r="I2320" s="1"/>
    </row>
    <row r="2321" spans="1:9" ht="18" customHeight="1" x14ac:dyDescent="0.25">
      <c r="A2321" s="48">
        <v>2306</v>
      </c>
      <c r="B2321" s="49" t="str">
        <f t="array" ref="B2321">IFERROR(IF(INDEX(Transactions!$F$8:$F$3006,MATCH(0,COUNTIF($B$11:B2320,Transactions!$F$8:$F$3006),0))="","",INDEX(Transactions!$F$8:$F$3006,MATCH(0,COUNTIF($B$11:B2320,Transactions!$F$8:$F$3006),0))),"")</f>
        <v/>
      </c>
      <c r="C2321" s="50" t="str">
        <f>IF(B2321="","",SUMIF(Transactions!$F$8:$F$3006,B2321,Transactions!$H$8:$H$3006))</f>
        <v/>
      </c>
      <c r="D2321" s="51" t="str">
        <f>IF(B2321="","",SUMIF(Transactions!$F$8:$F$3006,B2321,Transactions!$N$8:$N$3006))</f>
        <v/>
      </c>
      <c r="E2321" s="52" t="str">
        <f>IF(B2321="","",SUMIF(Transactions!$F$8:$F$3006,B2321,Transactions!$O$8:$O$3006))</f>
        <v/>
      </c>
      <c r="F2321" s="53" t="str">
        <f>IF(B2321="","",SUMIF(Transactions!$F$8:$F$3006,B2321,Transactions!$R$8:$R$3006))</f>
        <v/>
      </c>
      <c r="G2321" s="54" t="str">
        <f>IF(B2321="","",(C2321+F2321)-(D2321+E2321+SUMIF(Transactions!$F$8:$F$3006,B2321,Transactions!$Q$8:$Q$3006)))</f>
        <v/>
      </c>
      <c r="H2321" s="55" t="str">
        <f>IF(B2321="","",IF(G2321&gt;0,"OUTSTANDING",IF(G2321=0,"SETTLED",IF(SUMIF(Transactions!$F$8:$F$3006,B2321,Transactions!$Q$8:$Q$3006)&gt;SUMIF(Transactions!$F$8:$F$3006,B2321,Transactions!$R$8:$R$3006),"OWES","OVERPAID"))))</f>
        <v/>
      </c>
      <c r="I2321" s="1"/>
    </row>
    <row r="2322" spans="1:9" ht="18" customHeight="1" x14ac:dyDescent="0.25">
      <c r="A2322" s="40">
        <v>2307</v>
      </c>
      <c r="B2322" s="41" t="str">
        <f t="array" ref="B2322">IFERROR(IF(INDEX(Transactions!$F$8:$F$3006,MATCH(0,COUNTIF($B$11:B2321,Transactions!$F$8:$F$3006),0))="","",INDEX(Transactions!$F$8:$F$3006,MATCH(0,COUNTIF($B$11:B2321,Transactions!$F$8:$F$3006),0))),"")</f>
        <v/>
      </c>
      <c r="C2322" s="42" t="str">
        <f>IF(B2322="","",SUMIF(Transactions!$F$8:$F$3006,B2322,Transactions!$H$8:$H$3006))</f>
        <v/>
      </c>
      <c r="D2322" s="43" t="str">
        <f>IF(B2322="","",SUMIF(Transactions!$F$8:$F$3006,B2322,Transactions!$N$8:$N$3006))</f>
        <v/>
      </c>
      <c r="E2322" s="44" t="str">
        <f>IF(B2322="","",SUMIF(Transactions!$F$8:$F$3006,B2322,Transactions!$O$8:$O$3006))</f>
        <v/>
      </c>
      <c r="F2322" s="45" t="str">
        <f>IF(B2322="","",SUMIF(Transactions!$F$8:$F$3006,B2322,Transactions!$R$8:$R$3006))</f>
        <v/>
      </c>
      <c r="G2322" s="46" t="str">
        <f>IF(B2322="","",(C2322+F2322)-(D2322+E2322+SUMIF(Transactions!$F$8:$F$3006,B2322,Transactions!$Q$8:$Q$3006)))</f>
        <v/>
      </c>
      <c r="H2322" s="47" t="str">
        <f>IF(B2322="","",IF(G2322&gt;0,"OUTSTANDING",IF(G2322=0,"SETTLED",IF(SUMIF(Transactions!$F$8:$F$3006,B2322,Transactions!$Q$8:$Q$3006)&gt;SUMIF(Transactions!$F$8:$F$3006,B2322,Transactions!$R$8:$R$3006),"OWES","OVERPAID"))))</f>
        <v/>
      </c>
      <c r="I2322" s="1"/>
    </row>
    <row r="2323" spans="1:9" ht="18" customHeight="1" x14ac:dyDescent="0.25">
      <c r="A2323" s="48">
        <v>2308</v>
      </c>
      <c r="B2323" s="49" t="str">
        <f t="array" ref="B2323">IFERROR(IF(INDEX(Transactions!$F$8:$F$3006,MATCH(0,COUNTIF($B$11:B2322,Transactions!$F$8:$F$3006),0))="","",INDEX(Transactions!$F$8:$F$3006,MATCH(0,COUNTIF($B$11:B2322,Transactions!$F$8:$F$3006),0))),"")</f>
        <v/>
      </c>
      <c r="C2323" s="50" t="str">
        <f>IF(B2323="","",SUMIF(Transactions!$F$8:$F$3006,B2323,Transactions!$H$8:$H$3006))</f>
        <v/>
      </c>
      <c r="D2323" s="51" t="str">
        <f>IF(B2323="","",SUMIF(Transactions!$F$8:$F$3006,B2323,Transactions!$N$8:$N$3006))</f>
        <v/>
      </c>
      <c r="E2323" s="52" t="str">
        <f>IF(B2323="","",SUMIF(Transactions!$F$8:$F$3006,B2323,Transactions!$O$8:$O$3006))</f>
        <v/>
      </c>
      <c r="F2323" s="53" t="str">
        <f>IF(B2323="","",SUMIF(Transactions!$F$8:$F$3006,B2323,Transactions!$R$8:$R$3006))</f>
        <v/>
      </c>
      <c r="G2323" s="54" t="str">
        <f>IF(B2323="","",(C2323+F2323)-(D2323+E2323+SUMIF(Transactions!$F$8:$F$3006,B2323,Transactions!$Q$8:$Q$3006)))</f>
        <v/>
      </c>
      <c r="H2323" s="55" t="str">
        <f>IF(B2323="","",IF(G2323&gt;0,"OUTSTANDING",IF(G2323=0,"SETTLED",IF(SUMIF(Transactions!$F$8:$F$3006,B2323,Transactions!$Q$8:$Q$3006)&gt;SUMIF(Transactions!$F$8:$F$3006,B2323,Transactions!$R$8:$R$3006),"OWES","OVERPAID"))))</f>
        <v/>
      </c>
      <c r="I2323" s="1"/>
    </row>
    <row r="2324" spans="1:9" ht="18" customHeight="1" x14ac:dyDescent="0.25">
      <c r="A2324" s="40">
        <v>2309</v>
      </c>
      <c r="B2324" s="41" t="str">
        <f t="array" ref="B2324">IFERROR(IF(INDEX(Transactions!$F$8:$F$3006,MATCH(0,COUNTIF($B$11:B2323,Transactions!$F$8:$F$3006),0))="","",INDEX(Transactions!$F$8:$F$3006,MATCH(0,COUNTIF($B$11:B2323,Transactions!$F$8:$F$3006),0))),"")</f>
        <v/>
      </c>
      <c r="C2324" s="42" t="str">
        <f>IF(B2324="","",SUMIF(Transactions!$F$8:$F$3006,B2324,Transactions!$H$8:$H$3006))</f>
        <v/>
      </c>
      <c r="D2324" s="43" t="str">
        <f>IF(B2324="","",SUMIF(Transactions!$F$8:$F$3006,B2324,Transactions!$N$8:$N$3006))</f>
        <v/>
      </c>
      <c r="E2324" s="44" t="str">
        <f>IF(B2324="","",SUMIF(Transactions!$F$8:$F$3006,B2324,Transactions!$O$8:$O$3006))</f>
        <v/>
      </c>
      <c r="F2324" s="45" t="str">
        <f>IF(B2324="","",SUMIF(Transactions!$F$8:$F$3006,B2324,Transactions!$R$8:$R$3006))</f>
        <v/>
      </c>
      <c r="G2324" s="46" t="str">
        <f>IF(B2324="","",(C2324+F2324)-(D2324+E2324+SUMIF(Transactions!$F$8:$F$3006,B2324,Transactions!$Q$8:$Q$3006)))</f>
        <v/>
      </c>
      <c r="H2324" s="47" t="str">
        <f>IF(B2324="","",IF(G2324&gt;0,"OUTSTANDING",IF(G2324=0,"SETTLED",IF(SUMIF(Transactions!$F$8:$F$3006,B2324,Transactions!$Q$8:$Q$3006)&gt;SUMIF(Transactions!$F$8:$F$3006,B2324,Transactions!$R$8:$R$3006),"OWES","OVERPAID"))))</f>
        <v/>
      </c>
      <c r="I2324" s="1"/>
    </row>
    <row r="2325" spans="1:9" ht="18" customHeight="1" x14ac:dyDescent="0.25">
      <c r="A2325" s="48">
        <v>2310</v>
      </c>
      <c r="B2325" s="49" t="str">
        <f t="array" ref="B2325">IFERROR(IF(INDEX(Transactions!$F$8:$F$3006,MATCH(0,COUNTIF($B$11:B2324,Transactions!$F$8:$F$3006),0))="","",INDEX(Transactions!$F$8:$F$3006,MATCH(0,COUNTIF($B$11:B2324,Transactions!$F$8:$F$3006),0))),"")</f>
        <v/>
      </c>
      <c r="C2325" s="50" t="str">
        <f>IF(B2325="","",SUMIF(Transactions!$F$8:$F$3006,B2325,Transactions!$H$8:$H$3006))</f>
        <v/>
      </c>
      <c r="D2325" s="51" t="str">
        <f>IF(B2325="","",SUMIF(Transactions!$F$8:$F$3006,B2325,Transactions!$N$8:$N$3006))</f>
        <v/>
      </c>
      <c r="E2325" s="52" t="str">
        <f>IF(B2325="","",SUMIF(Transactions!$F$8:$F$3006,B2325,Transactions!$O$8:$O$3006))</f>
        <v/>
      </c>
      <c r="F2325" s="53" t="str">
        <f>IF(B2325="","",SUMIF(Transactions!$F$8:$F$3006,B2325,Transactions!$R$8:$R$3006))</f>
        <v/>
      </c>
      <c r="G2325" s="54" t="str">
        <f>IF(B2325="","",(C2325+F2325)-(D2325+E2325+SUMIF(Transactions!$F$8:$F$3006,B2325,Transactions!$Q$8:$Q$3006)))</f>
        <v/>
      </c>
      <c r="H2325" s="55" t="str">
        <f>IF(B2325="","",IF(G2325&gt;0,"OUTSTANDING",IF(G2325=0,"SETTLED",IF(SUMIF(Transactions!$F$8:$F$3006,B2325,Transactions!$Q$8:$Q$3006)&gt;SUMIF(Transactions!$F$8:$F$3006,B2325,Transactions!$R$8:$R$3006),"OWES","OVERPAID"))))</f>
        <v/>
      </c>
      <c r="I2325" s="1"/>
    </row>
    <row r="2326" spans="1:9" ht="18" customHeight="1" x14ac:dyDescent="0.25">
      <c r="A2326" s="40">
        <v>2311</v>
      </c>
      <c r="B2326" s="41" t="str">
        <f t="array" ref="B2326">IFERROR(IF(INDEX(Transactions!$F$8:$F$3006,MATCH(0,COUNTIF($B$11:B2325,Transactions!$F$8:$F$3006),0))="","",INDEX(Transactions!$F$8:$F$3006,MATCH(0,COUNTIF($B$11:B2325,Transactions!$F$8:$F$3006),0))),"")</f>
        <v/>
      </c>
      <c r="C2326" s="42" t="str">
        <f>IF(B2326="","",SUMIF(Transactions!$F$8:$F$3006,B2326,Transactions!$H$8:$H$3006))</f>
        <v/>
      </c>
      <c r="D2326" s="43" t="str">
        <f>IF(B2326="","",SUMIF(Transactions!$F$8:$F$3006,B2326,Transactions!$N$8:$N$3006))</f>
        <v/>
      </c>
      <c r="E2326" s="44" t="str">
        <f>IF(B2326="","",SUMIF(Transactions!$F$8:$F$3006,B2326,Transactions!$O$8:$O$3006))</f>
        <v/>
      </c>
      <c r="F2326" s="45" t="str">
        <f>IF(B2326="","",SUMIF(Transactions!$F$8:$F$3006,B2326,Transactions!$R$8:$R$3006))</f>
        <v/>
      </c>
      <c r="G2326" s="46" t="str">
        <f>IF(B2326="","",(C2326+F2326)-(D2326+E2326+SUMIF(Transactions!$F$8:$F$3006,B2326,Transactions!$Q$8:$Q$3006)))</f>
        <v/>
      </c>
      <c r="H2326" s="47" t="str">
        <f>IF(B2326="","",IF(G2326&gt;0,"OUTSTANDING",IF(G2326=0,"SETTLED",IF(SUMIF(Transactions!$F$8:$F$3006,B2326,Transactions!$Q$8:$Q$3006)&gt;SUMIF(Transactions!$F$8:$F$3006,B2326,Transactions!$R$8:$R$3006),"OWES","OVERPAID"))))</f>
        <v/>
      </c>
      <c r="I2326" s="1"/>
    </row>
    <row r="2327" spans="1:9" ht="18" customHeight="1" x14ac:dyDescent="0.25">
      <c r="A2327" s="48">
        <v>2312</v>
      </c>
      <c r="B2327" s="49" t="str">
        <f t="array" ref="B2327">IFERROR(IF(INDEX(Transactions!$F$8:$F$3006,MATCH(0,COUNTIF($B$11:B2326,Transactions!$F$8:$F$3006),0))="","",INDEX(Transactions!$F$8:$F$3006,MATCH(0,COUNTIF($B$11:B2326,Transactions!$F$8:$F$3006),0))),"")</f>
        <v/>
      </c>
      <c r="C2327" s="50" t="str">
        <f>IF(B2327="","",SUMIF(Transactions!$F$8:$F$3006,B2327,Transactions!$H$8:$H$3006))</f>
        <v/>
      </c>
      <c r="D2327" s="51" t="str">
        <f>IF(B2327="","",SUMIF(Transactions!$F$8:$F$3006,B2327,Transactions!$N$8:$N$3006))</f>
        <v/>
      </c>
      <c r="E2327" s="52" t="str">
        <f>IF(B2327="","",SUMIF(Transactions!$F$8:$F$3006,B2327,Transactions!$O$8:$O$3006))</f>
        <v/>
      </c>
      <c r="F2327" s="53" t="str">
        <f>IF(B2327="","",SUMIF(Transactions!$F$8:$F$3006,B2327,Transactions!$R$8:$R$3006))</f>
        <v/>
      </c>
      <c r="G2327" s="54" t="str">
        <f>IF(B2327="","",(C2327+F2327)-(D2327+E2327+SUMIF(Transactions!$F$8:$F$3006,B2327,Transactions!$Q$8:$Q$3006)))</f>
        <v/>
      </c>
      <c r="H2327" s="55" t="str">
        <f>IF(B2327="","",IF(G2327&gt;0,"OUTSTANDING",IF(G2327=0,"SETTLED",IF(SUMIF(Transactions!$F$8:$F$3006,B2327,Transactions!$Q$8:$Q$3006)&gt;SUMIF(Transactions!$F$8:$F$3006,B2327,Transactions!$R$8:$R$3006),"OWES","OVERPAID"))))</f>
        <v/>
      </c>
      <c r="I2327" s="1"/>
    </row>
    <row r="2328" spans="1:9" ht="18" customHeight="1" x14ac:dyDescent="0.25">
      <c r="A2328" s="40">
        <v>2313</v>
      </c>
      <c r="B2328" s="41" t="str">
        <f t="array" ref="B2328">IFERROR(IF(INDEX(Transactions!$F$8:$F$3006,MATCH(0,COUNTIF($B$11:B2327,Transactions!$F$8:$F$3006),0))="","",INDEX(Transactions!$F$8:$F$3006,MATCH(0,COUNTIF($B$11:B2327,Transactions!$F$8:$F$3006),0))),"")</f>
        <v/>
      </c>
      <c r="C2328" s="42" t="str">
        <f>IF(B2328="","",SUMIF(Transactions!$F$8:$F$3006,B2328,Transactions!$H$8:$H$3006))</f>
        <v/>
      </c>
      <c r="D2328" s="43" t="str">
        <f>IF(B2328="","",SUMIF(Transactions!$F$8:$F$3006,B2328,Transactions!$N$8:$N$3006))</f>
        <v/>
      </c>
      <c r="E2328" s="44" t="str">
        <f>IF(B2328="","",SUMIF(Transactions!$F$8:$F$3006,B2328,Transactions!$O$8:$O$3006))</f>
        <v/>
      </c>
      <c r="F2328" s="45" t="str">
        <f>IF(B2328="","",SUMIF(Transactions!$F$8:$F$3006,B2328,Transactions!$R$8:$R$3006))</f>
        <v/>
      </c>
      <c r="G2328" s="46" t="str">
        <f>IF(B2328="","",(C2328+F2328)-(D2328+E2328+SUMIF(Transactions!$F$8:$F$3006,B2328,Transactions!$Q$8:$Q$3006)))</f>
        <v/>
      </c>
      <c r="H2328" s="47" t="str">
        <f>IF(B2328="","",IF(G2328&gt;0,"OUTSTANDING",IF(G2328=0,"SETTLED",IF(SUMIF(Transactions!$F$8:$F$3006,B2328,Transactions!$Q$8:$Q$3006)&gt;SUMIF(Transactions!$F$8:$F$3006,B2328,Transactions!$R$8:$R$3006),"OWES","OVERPAID"))))</f>
        <v/>
      </c>
      <c r="I2328" s="1"/>
    </row>
    <row r="2329" spans="1:9" ht="18" customHeight="1" x14ac:dyDescent="0.25">
      <c r="A2329" s="48">
        <v>2314</v>
      </c>
      <c r="B2329" s="49" t="str">
        <f t="array" ref="B2329">IFERROR(IF(INDEX(Transactions!$F$8:$F$3006,MATCH(0,COUNTIF($B$11:B2328,Transactions!$F$8:$F$3006),0))="","",INDEX(Transactions!$F$8:$F$3006,MATCH(0,COUNTIF($B$11:B2328,Transactions!$F$8:$F$3006),0))),"")</f>
        <v/>
      </c>
      <c r="C2329" s="50" t="str">
        <f>IF(B2329="","",SUMIF(Transactions!$F$8:$F$3006,B2329,Transactions!$H$8:$H$3006))</f>
        <v/>
      </c>
      <c r="D2329" s="51" t="str">
        <f>IF(B2329="","",SUMIF(Transactions!$F$8:$F$3006,B2329,Transactions!$N$8:$N$3006))</f>
        <v/>
      </c>
      <c r="E2329" s="52" t="str">
        <f>IF(B2329="","",SUMIF(Transactions!$F$8:$F$3006,B2329,Transactions!$O$8:$O$3006))</f>
        <v/>
      </c>
      <c r="F2329" s="53" t="str">
        <f>IF(B2329="","",SUMIF(Transactions!$F$8:$F$3006,B2329,Transactions!$R$8:$R$3006))</f>
        <v/>
      </c>
      <c r="G2329" s="54" t="str">
        <f>IF(B2329="","",(C2329+F2329)-(D2329+E2329+SUMIF(Transactions!$F$8:$F$3006,B2329,Transactions!$Q$8:$Q$3006)))</f>
        <v/>
      </c>
      <c r="H2329" s="55" t="str">
        <f>IF(B2329="","",IF(G2329&gt;0,"OUTSTANDING",IF(G2329=0,"SETTLED",IF(SUMIF(Transactions!$F$8:$F$3006,B2329,Transactions!$Q$8:$Q$3006)&gt;SUMIF(Transactions!$F$8:$F$3006,B2329,Transactions!$R$8:$R$3006),"OWES","OVERPAID"))))</f>
        <v/>
      </c>
      <c r="I2329" s="1"/>
    </row>
    <row r="2330" spans="1:9" ht="18" customHeight="1" x14ac:dyDescent="0.25">
      <c r="A2330" s="40">
        <v>2315</v>
      </c>
      <c r="B2330" s="41" t="str">
        <f t="array" ref="B2330">IFERROR(IF(INDEX(Transactions!$F$8:$F$3006,MATCH(0,COUNTIF($B$11:B2329,Transactions!$F$8:$F$3006),0))="","",INDEX(Transactions!$F$8:$F$3006,MATCH(0,COUNTIF($B$11:B2329,Transactions!$F$8:$F$3006),0))),"")</f>
        <v/>
      </c>
      <c r="C2330" s="42" t="str">
        <f>IF(B2330="","",SUMIF(Transactions!$F$8:$F$3006,B2330,Transactions!$H$8:$H$3006))</f>
        <v/>
      </c>
      <c r="D2330" s="43" t="str">
        <f>IF(B2330="","",SUMIF(Transactions!$F$8:$F$3006,B2330,Transactions!$N$8:$N$3006))</f>
        <v/>
      </c>
      <c r="E2330" s="44" t="str">
        <f>IF(B2330="","",SUMIF(Transactions!$F$8:$F$3006,B2330,Transactions!$O$8:$O$3006))</f>
        <v/>
      </c>
      <c r="F2330" s="45" t="str">
        <f>IF(B2330="","",SUMIF(Transactions!$F$8:$F$3006,B2330,Transactions!$R$8:$R$3006))</f>
        <v/>
      </c>
      <c r="G2330" s="46" t="str">
        <f>IF(B2330="","",(C2330+F2330)-(D2330+E2330+SUMIF(Transactions!$F$8:$F$3006,B2330,Transactions!$Q$8:$Q$3006)))</f>
        <v/>
      </c>
      <c r="H2330" s="47" t="str">
        <f>IF(B2330="","",IF(G2330&gt;0,"OUTSTANDING",IF(G2330=0,"SETTLED",IF(SUMIF(Transactions!$F$8:$F$3006,B2330,Transactions!$Q$8:$Q$3006)&gt;SUMIF(Transactions!$F$8:$F$3006,B2330,Transactions!$R$8:$R$3006),"OWES","OVERPAID"))))</f>
        <v/>
      </c>
      <c r="I2330" s="1"/>
    </row>
    <row r="2331" spans="1:9" ht="18" customHeight="1" x14ac:dyDescent="0.25">
      <c r="A2331" s="48">
        <v>2316</v>
      </c>
      <c r="B2331" s="49" t="str">
        <f t="array" ref="B2331">IFERROR(IF(INDEX(Transactions!$F$8:$F$3006,MATCH(0,COUNTIF($B$11:B2330,Transactions!$F$8:$F$3006),0))="","",INDEX(Transactions!$F$8:$F$3006,MATCH(0,COUNTIF($B$11:B2330,Transactions!$F$8:$F$3006),0))),"")</f>
        <v/>
      </c>
      <c r="C2331" s="50" t="str">
        <f>IF(B2331="","",SUMIF(Transactions!$F$8:$F$3006,B2331,Transactions!$H$8:$H$3006))</f>
        <v/>
      </c>
      <c r="D2331" s="51" t="str">
        <f>IF(B2331="","",SUMIF(Transactions!$F$8:$F$3006,B2331,Transactions!$N$8:$N$3006))</f>
        <v/>
      </c>
      <c r="E2331" s="52" t="str">
        <f>IF(B2331="","",SUMIF(Transactions!$F$8:$F$3006,B2331,Transactions!$O$8:$O$3006))</f>
        <v/>
      </c>
      <c r="F2331" s="53" t="str">
        <f>IF(B2331="","",SUMIF(Transactions!$F$8:$F$3006,B2331,Transactions!$R$8:$R$3006))</f>
        <v/>
      </c>
      <c r="G2331" s="54" t="str">
        <f>IF(B2331="","",(C2331+F2331)-(D2331+E2331+SUMIF(Transactions!$F$8:$F$3006,B2331,Transactions!$Q$8:$Q$3006)))</f>
        <v/>
      </c>
      <c r="H2331" s="55" t="str">
        <f>IF(B2331="","",IF(G2331&gt;0,"OUTSTANDING",IF(G2331=0,"SETTLED",IF(SUMIF(Transactions!$F$8:$F$3006,B2331,Transactions!$Q$8:$Q$3006)&gt;SUMIF(Transactions!$F$8:$F$3006,B2331,Transactions!$R$8:$R$3006),"OWES","OVERPAID"))))</f>
        <v/>
      </c>
      <c r="I2331" s="1"/>
    </row>
    <row r="2332" spans="1:9" ht="18" customHeight="1" x14ac:dyDescent="0.25">
      <c r="A2332" s="40">
        <v>2317</v>
      </c>
      <c r="B2332" s="41" t="str">
        <f t="array" ref="B2332">IFERROR(IF(INDEX(Transactions!$F$8:$F$3006,MATCH(0,COUNTIF($B$11:B2331,Transactions!$F$8:$F$3006),0))="","",INDEX(Transactions!$F$8:$F$3006,MATCH(0,COUNTIF($B$11:B2331,Transactions!$F$8:$F$3006),0))),"")</f>
        <v/>
      </c>
      <c r="C2332" s="42" t="str">
        <f>IF(B2332="","",SUMIF(Transactions!$F$8:$F$3006,B2332,Transactions!$H$8:$H$3006))</f>
        <v/>
      </c>
      <c r="D2332" s="43" t="str">
        <f>IF(B2332="","",SUMIF(Transactions!$F$8:$F$3006,B2332,Transactions!$N$8:$N$3006))</f>
        <v/>
      </c>
      <c r="E2332" s="44" t="str">
        <f>IF(B2332="","",SUMIF(Transactions!$F$8:$F$3006,B2332,Transactions!$O$8:$O$3006))</f>
        <v/>
      </c>
      <c r="F2332" s="45" t="str">
        <f>IF(B2332="","",SUMIF(Transactions!$F$8:$F$3006,B2332,Transactions!$R$8:$R$3006))</f>
        <v/>
      </c>
      <c r="G2332" s="46" t="str">
        <f>IF(B2332="","",(C2332+F2332)-(D2332+E2332+SUMIF(Transactions!$F$8:$F$3006,B2332,Transactions!$Q$8:$Q$3006)))</f>
        <v/>
      </c>
      <c r="H2332" s="47" t="str">
        <f>IF(B2332="","",IF(G2332&gt;0,"OUTSTANDING",IF(G2332=0,"SETTLED",IF(SUMIF(Transactions!$F$8:$F$3006,B2332,Transactions!$Q$8:$Q$3006)&gt;SUMIF(Transactions!$F$8:$F$3006,B2332,Transactions!$R$8:$R$3006),"OWES","OVERPAID"))))</f>
        <v/>
      </c>
      <c r="I2332" s="1"/>
    </row>
    <row r="2333" spans="1:9" ht="18" customHeight="1" x14ac:dyDescent="0.25">
      <c r="A2333" s="48">
        <v>2318</v>
      </c>
      <c r="B2333" s="49" t="str">
        <f t="array" ref="B2333">IFERROR(IF(INDEX(Transactions!$F$8:$F$3006,MATCH(0,COUNTIF($B$11:B2332,Transactions!$F$8:$F$3006),0))="","",INDEX(Transactions!$F$8:$F$3006,MATCH(0,COUNTIF($B$11:B2332,Transactions!$F$8:$F$3006),0))),"")</f>
        <v/>
      </c>
      <c r="C2333" s="50" t="str">
        <f>IF(B2333="","",SUMIF(Transactions!$F$8:$F$3006,B2333,Transactions!$H$8:$H$3006))</f>
        <v/>
      </c>
      <c r="D2333" s="51" t="str">
        <f>IF(B2333="","",SUMIF(Transactions!$F$8:$F$3006,B2333,Transactions!$N$8:$N$3006))</f>
        <v/>
      </c>
      <c r="E2333" s="52" t="str">
        <f>IF(B2333="","",SUMIF(Transactions!$F$8:$F$3006,B2333,Transactions!$O$8:$O$3006))</f>
        <v/>
      </c>
      <c r="F2333" s="53" t="str">
        <f>IF(B2333="","",SUMIF(Transactions!$F$8:$F$3006,B2333,Transactions!$R$8:$R$3006))</f>
        <v/>
      </c>
      <c r="G2333" s="54" t="str">
        <f>IF(B2333="","",(C2333+F2333)-(D2333+E2333+SUMIF(Transactions!$F$8:$F$3006,B2333,Transactions!$Q$8:$Q$3006)))</f>
        <v/>
      </c>
      <c r="H2333" s="55" t="str">
        <f>IF(B2333="","",IF(G2333&gt;0,"OUTSTANDING",IF(G2333=0,"SETTLED",IF(SUMIF(Transactions!$F$8:$F$3006,B2333,Transactions!$Q$8:$Q$3006)&gt;SUMIF(Transactions!$F$8:$F$3006,B2333,Transactions!$R$8:$R$3006),"OWES","OVERPAID"))))</f>
        <v/>
      </c>
      <c r="I2333" s="1"/>
    </row>
    <row r="2334" spans="1:9" ht="18" customHeight="1" x14ac:dyDescent="0.25">
      <c r="A2334" s="40">
        <v>2319</v>
      </c>
      <c r="B2334" s="41" t="str">
        <f t="array" ref="B2334">IFERROR(IF(INDEX(Transactions!$F$8:$F$3006,MATCH(0,COUNTIF($B$11:B2333,Transactions!$F$8:$F$3006),0))="","",INDEX(Transactions!$F$8:$F$3006,MATCH(0,COUNTIF($B$11:B2333,Transactions!$F$8:$F$3006),0))),"")</f>
        <v/>
      </c>
      <c r="C2334" s="42" t="str">
        <f>IF(B2334="","",SUMIF(Transactions!$F$8:$F$3006,B2334,Transactions!$H$8:$H$3006))</f>
        <v/>
      </c>
      <c r="D2334" s="43" t="str">
        <f>IF(B2334="","",SUMIF(Transactions!$F$8:$F$3006,B2334,Transactions!$N$8:$N$3006))</f>
        <v/>
      </c>
      <c r="E2334" s="44" t="str">
        <f>IF(B2334="","",SUMIF(Transactions!$F$8:$F$3006,B2334,Transactions!$O$8:$O$3006))</f>
        <v/>
      </c>
      <c r="F2334" s="45" t="str">
        <f>IF(B2334="","",SUMIF(Transactions!$F$8:$F$3006,B2334,Transactions!$R$8:$R$3006))</f>
        <v/>
      </c>
      <c r="G2334" s="46" t="str">
        <f>IF(B2334="","",(C2334+F2334)-(D2334+E2334+SUMIF(Transactions!$F$8:$F$3006,B2334,Transactions!$Q$8:$Q$3006)))</f>
        <v/>
      </c>
      <c r="H2334" s="47" t="str">
        <f>IF(B2334="","",IF(G2334&gt;0,"OUTSTANDING",IF(G2334=0,"SETTLED",IF(SUMIF(Transactions!$F$8:$F$3006,B2334,Transactions!$Q$8:$Q$3006)&gt;SUMIF(Transactions!$F$8:$F$3006,B2334,Transactions!$R$8:$R$3006),"OWES","OVERPAID"))))</f>
        <v/>
      </c>
      <c r="I2334" s="1"/>
    </row>
    <row r="2335" spans="1:9" ht="18" customHeight="1" x14ac:dyDescent="0.25">
      <c r="A2335" s="48">
        <v>2320</v>
      </c>
      <c r="B2335" s="49" t="str">
        <f t="array" ref="B2335">IFERROR(IF(INDEX(Transactions!$F$8:$F$3006,MATCH(0,COUNTIF($B$11:B2334,Transactions!$F$8:$F$3006),0))="","",INDEX(Transactions!$F$8:$F$3006,MATCH(0,COUNTIF($B$11:B2334,Transactions!$F$8:$F$3006),0))),"")</f>
        <v/>
      </c>
      <c r="C2335" s="50" t="str">
        <f>IF(B2335="","",SUMIF(Transactions!$F$8:$F$3006,B2335,Transactions!$H$8:$H$3006))</f>
        <v/>
      </c>
      <c r="D2335" s="51" t="str">
        <f>IF(B2335="","",SUMIF(Transactions!$F$8:$F$3006,B2335,Transactions!$N$8:$N$3006))</f>
        <v/>
      </c>
      <c r="E2335" s="52" t="str">
        <f>IF(B2335="","",SUMIF(Transactions!$F$8:$F$3006,B2335,Transactions!$O$8:$O$3006))</f>
        <v/>
      </c>
      <c r="F2335" s="53" t="str">
        <f>IF(B2335="","",SUMIF(Transactions!$F$8:$F$3006,B2335,Transactions!$R$8:$R$3006))</f>
        <v/>
      </c>
      <c r="G2335" s="54" t="str">
        <f>IF(B2335="","",(C2335+F2335)-(D2335+E2335+SUMIF(Transactions!$F$8:$F$3006,B2335,Transactions!$Q$8:$Q$3006)))</f>
        <v/>
      </c>
      <c r="H2335" s="55" t="str">
        <f>IF(B2335="","",IF(G2335&gt;0,"OUTSTANDING",IF(G2335=0,"SETTLED",IF(SUMIF(Transactions!$F$8:$F$3006,B2335,Transactions!$Q$8:$Q$3006)&gt;SUMIF(Transactions!$F$8:$F$3006,B2335,Transactions!$R$8:$R$3006),"OWES","OVERPAID"))))</f>
        <v/>
      </c>
      <c r="I2335" s="1"/>
    </row>
    <row r="2336" spans="1:9" ht="18" customHeight="1" x14ac:dyDescent="0.25">
      <c r="A2336" s="40">
        <v>2321</v>
      </c>
      <c r="B2336" s="41" t="str">
        <f t="array" ref="B2336">IFERROR(IF(INDEX(Transactions!$F$8:$F$3006,MATCH(0,COUNTIF($B$11:B2335,Transactions!$F$8:$F$3006),0))="","",INDEX(Transactions!$F$8:$F$3006,MATCH(0,COUNTIF($B$11:B2335,Transactions!$F$8:$F$3006),0))),"")</f>
        <v/>
      </c>
      <c r="C2336" s="42" t="str">
        <f>IF(B2336="","",SUMIF(Transactions!$F$8:$F$3006,B2336,Transactions!$H$8:$H$3006))</f>
        <v/>
      </c>
      <c r="D2336" s="43" t="str">
        <f>IF(B2336="","",SUMIF(Transactions!$F$8:$F$3006,B2336,Transactions!$N$8:$N$3006))</f>
        <v/>
      </c>
      <c r="E2336" s="44" t="str">
        <f>IF(B2336="","",SUMIF(Transactions!$F$8:$F$3006,B2336,Transactions!$O$8:$O$3006))</f>
        <v/>
      </c>
      <c r="F2336" s="45" t="str">
        <f>IF(B2336="","",SUMIF(Transactions!$F$8:$F$3006,B2336,Transactions!$R$8:$R$3006))</f>
        <v/>
      </c>
      <c r="G2336" s="46" t="str">
        <f>IF(B2336="","",(C2336+F2336)-(D2336+E2336+SUMIF(Transactions!$F$8:$F$3006,B2336,Transactions!$Q$8:$Q$3006)))</f>
        <v/>
      </c>
      <c r="H2336" s="47" t="str">
        <f>IF(B2336="","",IF(G2336&gt;0,"OUTSTANDING",IF(G2336=0,"SETTLED",IF(SUMIF(Transactions!$F$8:$F$3006,B2336,Transactions!$Q$8:$Q$3006)&gt;SUMIF(Transactions!$F$8:$F$3006,B2336,Transactions!$R$8:$R$3006),"OWES","OVERPAID"))))</f>
        <v/>
      </c>
      <c r="I2336" s="1"/>
    </row>
    <row r="2337" spans="1:9" ht="18" customHeight="1" x14ac:dyDescent="0.25">
      <c r="A2337" s="48">
        <v>2322</v>
      </c>
      <c r="B2337" s="49" t="str">
        <f t="array" ref="B2337">IFERROR(IF(INDEX(Transactions!$F$8:$F$3006,MATCH(0,COUNTIF($B$11:B2336,Transactions!$F$8:$F$3006),0))="","",INDEX(Transactions!$F$8:$F$3006,MATCH(0,COUNTIF($B$11:B2336,Transactions!$F$8:$F$3006),0))),"")</f>
        <v/>
      </c>
      <c r="C2337" s="50" t="str">
        <f>IF(B2337="","",SUMIF(Transactions!$F$8:$F$3006,B2337,Transactions!$H$8:$H$3006))</f>
        <v/>
      </c>
      <c r="D2337" s="51" t="str">
        <f>IF(B2337="","",SUMIF(Transactions!$F$8:$F$3006,B2337,Transactions!$N$8:$N$3006))</f>
        <v/>
      </c>
      <c r="E2337" s="52" t="str">
        <f>IF(B2337="","",SUMIF(Transactions!$F$8:$F$3006,B2337,Transactions!$O$8:$O$3006))</f>
        <v/>
      </c>
      <c r="F2337" s="53" t="str">
        <f>IF(B2337="","",SUMIF(Transactions!$F$8:$F$3006,B2337,Transactions!$R$8:$R$3006))</f>
        <v/>
      </c>
      <c r="G2337" s="54" t="str">
        <f>IF(B2337="","",(C2337+F2337)-(D2337+E2337+SUMIF(Transactions!$F$8:$F$3006,B2337,Transactions!$Q$8:$Q$3006)))</f>
        <v/>
      </c>
      <c r="H2337" s="55" t="str">
        <f>IF(B2337="","",IF(G2337&gt;0,"OUTSTANDING",IF(G2337=0,"SETTLED",IF(SUMIF(Transactions!$F$8:$F$3006,B2337,Transactions!$Q$8:$Q$3006)&gt;SUMIF(Transactions!$F$8:$F$3006,B2337,Transactions!$R$8:$R$3006),"OWES","OVERPAID"))))</f>
        <v/>
      </c>
      <c r="I2337" s="1"/>
    </row>
    <row r="2338" spans="1:9" ht="18" customHeight="1" x14ac:dyDescent="0.25">
      <c r="A2338" s="40">
        <v>2323</v>
      </c>
      <c r="B2338" s="41" t="str">
        <f t="array" ref="B2338">IFERROR(IF(INDEX(Transactions!$F$8:$F$3006,MATCH(0,COUNTIF($B$11:B2337,Transactions!$F$8:$F$3006),0))="","",INDEX(Transactions!$F$8:$F$3006,MATCH(0,COUNTIF($B$11:B2337,Transactions!$F$8:$F$3006),0))),"")</f>
        <v/>
      </c>
      <c r="C2338" s="42" t="str">
        <f>IF(B2338="","",SUMIF(Transactions!$F$8:$F$3006,B2338,Transactions!$H$8:$H$3006))</f>
        <v/>
      </c>
      <c r="D2338" s="43" t="str">
        <f>IF(B2338="","",SUMIF(Transactions!$F$8:$F$3006,B2338,Transactions!$N$8:$N$3006))</f>
        <v/>
      </c>
      <c r="E2338" s="44" t="str">
        <f>IF(B2338="","",SUMIF(Transactions!$F$8:$F$3006,B2338,Transactions!$O$8:$O$3006))</f>
        <v/>
      </c>
      <c r="F2338" s="45" t="str">
        <f>IF(B2338="","",SUMIF(Transactions!$F$8:$F$3006,B2338,Transactions!$R$8:$R$3006))</f>
        <v/>
      </c>
      <c r="G2338" s="46" t="str">
        <f>IF(B2338="","",(C2338+F2338)-(D2338+E2338+SUMIF(Transactions!$F$8:$F$3006,B2338,Transactions!$Q$8:$Q$3006)))</f>
        <v/>
      </c>
      <c r="H2338" s="47" t="str">
        <f>IF(B2338="","",IF(G2338&gt;0,"OUTSTANDING",IF(G2338=0,"SETTLED",IF(SUMIF(Transactions!$F$8:$F$3006,B2338,Transactions!$Q$8:$Q$3006)&gt;SUMIF(Transactions!$F$8:$F$3006,B2338,Transactions!$R$8:$R$3006),"OWES","OVERPAID"))))</f>
        <v/>
      </c>
      <c r="I2338" s="1"/>
    </row>
    <row r="2339" spans="1:9" ht="18" customHeight="1" x14ac:dyDescent="0.25">
      <c r="A2339" s="48">
        <v>2324</v>
      </c>
      <c r="B2339" s="49" t="str">
        <f t="array" ref="B2339">IFERROR(IF(INDEX(Transactions!$F$8:$F$3006,MATCH(0,COUNTIF($B$11:B2338,Transactions!$F$8:$F$3006),0))="","",INDEX(Transactions!$F$8:$F$3006,MATCH(0,COUNTIF($B$11:B2338,Transactions!$F$8:$F$3006),0))),"")</f>
        <v/>
      </c>
      <c r="C2339" s="50" t="str">
        <f>IF(B2339="","",SUMIF(Transactions!$F$8:$F$3006,B2339,Transactions!$H$8:$H$3006))</f>
        <v/>
      </c>
      <c r="D2339" s="51" t="str">
        <f>IF(B2339="","",SUMIF(Transactions!$F$8:$F$3006,B2339,Transactions!$N$8:$N$3006))</f>
        <v/>
      </c>
      <c r="E2339" s="52" t="str">
        <f>IF(B2339="","",SUMIF(Transactions!$F$8:$F$3006,B2339,Transactions!$O$8:$O$3006))</f>
        <v/>
      </c>
      <c r="F2339" s="53" t="str">
        <f>IF(B2339="","",SUMIF(Transactions!$F$8:$F$3006,B2339,Transactions!$R$8:$R$3006))</f>
        <v/>
      </c>
      <c r="G2339" s="54" t="str">
        <f>IF(B2339="","",(C2339+F2339)-(D2339+E2339+SUMIF(Transactions!$F$8:$F$3006,B2339,Transactions!$Q$8:$Q$3006)))</f>
        <v/>
      </c>
      <c r="H2339" s="55" t="str">
        <f>IF(B2339="","",IF(G2339&gt;0,"OUTSTANDING",IF(G2339=0,"SETTLED",IF(SUMIF(Transactions!$F$8:$F$3006,B2339,Transactions!$Q$8:$Q$3006)&gt;SUMIF(Transactions!$F$8:$F$3006,B2339,Transactions!$R$8:$R$3006),"OWES","OVERPAID"))))</f>
        <v/>
      </c>
      <c r="I2339" s="1"/>
    </row>
    <row r="2340" spans="1:9" ht="18" customHeight="1" x14ac:dyDescent="0.25">
      <c r="A2340" s="40">
        <v>2325</v>
      </c>
      <c r="B2340" s="41" t="str">
        <f t="array" ref="B2340">IFERROR(IF(INDEX(Transactions!$F$8:$F$3006,MATCH(0,COUNTIF($B$11:B2339,Transactions!$F$8:$F$3006),0))="","",INDEX(Transactions!$F$8:$F$3006,MATCH(0,COUNTIF($B$11:B2339,Transactions!$F$8:$F$3006),0))),"")</f>
        <v/>
      </c>
      <c r="C2340" s="42" t="str">
        <f>IF(B2340="","",SUMIF(Transactions!$F$8:$F$3006,B2340,Transactions!$H$8:$H$3006))</f>
        <v/>
      </c>
      <c r="D2340" s="43" t="str">
        <f>IF(B2340="","",SUMIF(Transactions!$F$8:$F$3006,B2340,Transactions!$N$8:$N$3006))</f>
        <v/>
      </c>
      <c r="E2340" s="44" t="str">
        <f>IF(B2340="","",SUMIF(Transactions!$F$8:$F$3006,B2340,Transactions!$O$8:$O$3006))</f>
        <v/>
      </c>
      <c r="F2340" s="45" t="str">
        <f>IF(B2340="","",SUMIF(Transactions!$F$8:$F$3006,B2340,Transactions!$R$8:$R$3006))</f>
        <v/>
      </c>
      <c r="G2340" s="46" t="str">
        <f>IF(B2340="","",(C2340+F2340)-(D2340+E2340+SUMIF(Transactions!$F$8:$F$3006,B2340,Transactions!$Q$8:$Q$3006)))</f>
        <v/>
      </c>
      <c r="H2340" s="47" t="str">
        <f>IF(B2340="","",IF(G2340&gt;0,"OUTSTANDING",IF(G2340=0,"SETTLED",IF(SUMIF(Transactions!$F$8:$F$3006,B2340,Transactions!$Q$8:$Q$3006)&gt;SUMIF(Transactions!$F$8:$F$3006,B2340,Transactions!$R$8:$R$3006),"OWES","OVERPAID"))))</f>
        <v/>
      </c>
      <c r="I2340" s="1"/>
    </row>
    <row r="2341" spans="1:9" ht="18" customHeight="1" x14ac:dyDescent="0.25">
      <c r="A2341" s="48">
        <v>2326</v>
      </c>
      <c r="B2341" s="49" t="str">
        <f t="array" ref="B2341">IFERROR(IF(INDEX(Transactions!$F$8:$F$3006,MATCH(0,COUNTIF($B$11:B2340,Transactions!$F$8:$F$3006),0))="","",INDEX(Transactions!$F$8:$F$3006,MATCH(0,COUNTIF($B$11:B2340,Transactions!$F$8:$F$3006),0))),"")</f>
        <v/>
      </c>
      <c r="C2341" s="50" t="str">
        <f>IF(B2341="","",SUMIF(Transactions!$F$8:$F$3006,B2341,Transactions!$H$8:$H$3006))</f>
        <v/>
      </c>
      <c r="D2341" s="51" t="str">
        <f>IF(B2341="","",SUMIF(Transactions!$F$8:$F$3006,B2341,Transactions!$N$8:$N$3006))</f>
        <v/>
      </c>
      <c r="E2341" s="52" t="str">
        <f>IF(B2341="","",SUMIF(Transactions!$F$8:$F$3006,B2341,Transactions!$O$8:$O$3006))</f>
        <v/>
      </c>
      <c r="F2341" s="53" t="str">
        <f>IF(B2341="","",SUMIF(Transactions!$F$8:$F$3006,B2341,Transactions!$R$8:$R$3006))</f>
        <v/>
      </c>
      <c r="G2341" s="54" t="str">
        <f>IF(B2341="","",(C2341+F2341)-(D2341+E2341+SUMIF(Transactions!$F$8:$F$3006,B2341,Transactions!$Q$8:$Q$3006)))</f>
        <v/>
      </c>
      <c r="H2341" s="55" t="str">
        <f>IF(B2341="","",IF(G2341&gt;0,"OUTSTANDING",IF(G2341=0,"SETTLED",IF(SUMIF(Transactions!$F$8:$F$3006,B2341,Transactions!$Q$8:$Q$3006)&gt;SUMIF(Transactions!$F$8:$F$3006,B2341,Transactions!$R$8:$R$3006),"OWES","OVERPAID"))))</f>
        <v/>
      </c>
      <c r="I2341" s="1"/>
    </row>
    <row r="2342" spans="1:9" ht="18" customHeight="1" x14ac:dyDescent="0.25">
      <c r="A2342" s="40">
        <v>2327</v>
      </c>
      <c r="B2342" s="41" t="str">
        <f t="array" ref="B2342">IFERROR(IF(INDEX(Transactions!$F$8:$F$3006,MATCH(0,COUNTIF($B$11:B2341,Transactions!$F$8:$F$3006),0))="","",INDEX(Transactions!$F$8:$F$3006,MATCH(0,COUNTIF($B$11:B2341,Transactions!$F$8:$F$3006),0))),"")</f>
        <v/>
      </c>
      <c r="C2342" s="42" t="str">
        <f>IF(B2342="","",SUMIF(Transactions!$F$8:$F$3006,B2342,Transactions!$H$8:$H$3006))</f>
        <v/>
      </c>
      <c r="D2342" s="43" t="str">
        <f>IF(B2342="","",SUMIF(Transactions!$F$8:$F$3006,B2342,Transactions!$N$8:$N$3006))</f>
        <v/>
      </c>
      <c r="E2342" s="44" t="str">
        <f>IF(B2342="","",SUMIF(Transactions!$F$8:$F$3006,B2342,Transactions!$O$8:$O$3006))</f>
        <v/>
      </c>
      <c r="F2342" s="45" t="str">
        <f>IF(B2342="","",SUMIF(Transactions!$F$8:$F$3006,B2342,Transactions!$R$8:$R$3006))</f>
        <v/>
      </c>
      <c r="G2342" s="46" t="str">
        <f>IF(B2342="","",(C2342+F2342)-(D2342+E2342+SUMIF(Transactions!$F$8:$F$3006,B2342,Transactions!$Q$8:$Q$3006)))</f>
        <v/>
      </c>
      <c r="H2342" s="47" t="str">
        <f>IF(B2342="","",IF(G2342&gt;0,"OUTSTANDING",IF(G2342=0,"SETTLED",IF(SUMIF(Transactions!$F$8:$F$3006,B2342,Transactions!$Q$8:$Q$3006)&gt;SUMIF(Transactions!$F$8:$F$3006,B2342,Transactions!$R$8:$R$3006),"OWES","OVERPAID"))))</f>
        <v/>
      </c>
      <c r="I2342" s="1"/>
    </row>
    <row r="2343" spans="1:9" ht="18" customHeight="1" x14ac:dyDescent="0.25">
      <c r="A2343" s="48">
        <v>2328</v>
      </c>
      <c r="B2343" s="49" t="str">
        <f t="array" ref="B2343">IFERROR(IF(INDEX(Transactions!$F$8:$F$3006,MATCH(0,COUNTIF($B$11:B2342,Transactions!$F$8:$F$3006),0))="","",INDEX(Transactions!$F$8:$F$3006,MATCH(0,COUNTIF($B$11:B2342,Transactions!$F$8:$F$3006),0))),"")</f>
        <v/>
      </c>
      <c r="C2343" s="50" t="str">
        <f>IF(B2343="","",SUMIF(Transactions!$F$8:$F$3006,B2343,Transactions!$H$8:$H$3006))</f>
        <v/>
      </c>
      <c r="D2343" s="51" t="str">
        <f>IF(B2343="","",SUMIF(Transactions!$F$8:$F$3006,B2343,Transactions!$N$8:$N$3006))</f>
        <v/>
      </c>
      <c r="E2343" s="52" t="str">
        <f>IF(B2343="","",SUMIF(Transactions!$F$8:$F$3006,B2343,Transactions!$O$8:$O$3006))</f>
        <v/>
      </c>
      <c r="F2343" s="53" t="str">
        <f>IF(B2343="","",SUMIF(Transactions!$F$8:$F$3006,B2343,Transactions!$R$8:$R$3006))</f>
        <v/>
      </c>
      <c r="G2343" s="54" t="str">
        <f>IF(B2343="","",(C2343+F2343)-(D2343+E2343+SUMIF(Transactions!$F$8:$F$3006,B2343,Transactions!$Q$8:$Q$3006)))</f>
        <v/>
      </c>
      <c r="H2343" s="55" t="str">
        <f>IF(B2343="","",IF(G2343&gt;0,"OUTSTANDING",IF(G2343=0,"SETTLED",IF(SUMIF(Transactions!$F$8:$F$3006,B2343,Transactions!$Q$8:$Q$3006)&gt;SUMIF(Transactions!$F$8:$F$3006,B2343,Transactions!$R$8:$R$3006),"OWES","OVERPAID"))))</f>
        <v/>
      </c>
      <c r="I2343" s="1"/>
    </row>
    <row r="2344" spans="1:9" ht="18" customHeight="1" x14ac:dyDescent="0.25">
      <c r="A2344" s="40">
        <v>2329</v>
      </c>
      <c r="B2344" s="41" t="str">
        <f t="array" ref="B2344">IFERROR(IF(INDEX(Transactions!$F$8:$F$3006,MATCH(0,COUNTIF($B$11:B2343,Transactions!$F$8:$F$3006),0))="","",INDEX(Transactions!$F$8:$F$3006,MATCH(0,COUNTIF($B$11:B2343,Transactions!$F$8:$F$3006),0))),"")</f>
        <v/>
      </c>
      <c r="C2344" s="42" t="str">
        <f>IF(B2344="","",SUMIF(Transactions!$F$8:$F$3006,B2344,Transactions!$H$8:$H$3006))</f>
        <v/>
      </c>
      <c r="D2344" s="43" t="str">
        <f>IF(B2344="","",SUMIF(Transactions!$F$8:$F$3006,B2344,Transactions!$N$8:$N$3006))</f>
        <v/>
      </c>
      <c r="E2344" s="44" t="str">
        <f>IF(B2344="","",SUMIF(Transactions!$F$8:$F$3006,B2344,Transactions!$O$8:$O$3006))</f>
        <v/>
      </c>
      <c r="F2344" s="45" t="str">
        <f>IF(B2344="","",SUMIF(Transactions!$F$8:$F$3006,B2344,Transactions!$R$8:$R$3006))</f>
        <v/>
      </c>
      <c r="G2344" s="46" t="str">
        <f>IF(B2344="","",(C2344+F2344)-(D2344+E2344+SUMIF(Transactions!$F$8:$F$3006,B2344,Transactions!$Q$8:$Q$3006)))</f>
        <v/>
      </c>
      <c r="H2344" s="47" t="str">
        <f>IF(B2344="","",IF(G2344&gt;0,"OUTSTANDING",IF(G2344=0,"SETTLED",IF(SUMIF(Transactions!$F$8:$F$3006,B2344,Transactions!$Q$8:$Q$3006)&gt;SUMIF(Transactions!$F$8:$F$3006,B2344,Transactions!$R$8:$R$3006),"OWES","OVERPAID"))))</f>
        <v/>
      </c>
      <c r="I2344" s="1"/>
    </row>
    <row r="2345" spans="1:9" ht="18" customHeight="1" x14ac:dyDescent="0.25">
      <c r="A2345" s="48">
        <v>2330</v>
      </c>
      <c r="B2345" s="49" t="str">
        <f t="array" ref="B2345">IFERROR(IF(INDEX(Transactions!$F$8:$F$3006,MATCH(0,COUNTIF($B$11:B2344,Transactions!$F$8:$F$3006),0))="","",INDEX(Transactions!$F$8:$F$3006,MATCH(0,COUNTIF($B$11:B2344,Transactions!$F$8:$F$3006),0))),"")</f>
        <v/>
      </c>
      <c r="C2345" s="50" t="str">
        <f>IF(B2345="","",SUMIF(Transactions!$F$8:$F$3006,B2345,Transactions!$H$8:$H$3006))</f>
        <v/>
      </c>
      <c r="D2345" s="51" t="str">
        <f>IF(B2345="","",SUMIF(Transactions!$F$8:$F$3006,B2345,Transactions!$N$8:$N$3006))</f>
        <v/>
      </c>
      <c r="E2345" s="52" t="str">
        <f>IF(B2345="","",SUMIF(Transactions!$F$8:$F$3006,B2345,Transactions!$O$8:$O$3006))</f>
        <v/>
      </c>
      <c r="F2345" s="53" t="str">
        <f>IF(B2345="","",SUMIF(Transactions!$F$8:$F$3006,B2345,Transactions!$R$8:$R$3006))</f>
        <v/>
      </c>
      <c r="G2345" s="54" t="str">
        <f>IF(B2345="","",(C2345+F2345)-(D2345+E2345+SUMIF(Transactions!$F$8:$F$3006,B2345,Transactions!$Q$8:$Q$3006)))</f>
        <v/>
      </c>
      <c r="H2345" s="55" t="str">
        <f>IF(B2345="","",IF(G2345&gt;0,"OUTSTANDING",IF(G2345=0,"SETTLED",IF(SUMIF(Transactions!$F$8:$F$3006,B2345,Transactions!$Q$8:$Q$3006)&gt;SUMIF(Transactions!$F$8:$F$3006,B2345,Transactions!$R$8:$R$3006),"OWES","OVERPAID"))))</f>
        <v/>
      </c>
      <c r="I2345" s="1"/>
    </row>
    <row r="2346" spans="1:9" ht="18" customHeight="1" x14ac:dyDescent="0.25">
      <c r="A2346" s="40">
        <v>2331</v>
      </c>
      <c r="B2346" s="41" t="str">
        <f t="array" ref="B2346">IFERROR(IF(INDEX(Transactions!$F$8:$F$3006,MATCH(0,COUNTIF($B$11:B2345,Transactions!$F$8:$F$3006),0))="","",INDEX(Transactions!$F$8:$F$3006,MATCH(0,COUNTIF($B$11:B2345,Transactions!$F$8:$F$3006),0))),"")</f>
        <v/>
      </c>
      <c r="C2346" s="42" t="str">
        <f>IF(B2346="","",SUMIF(Transactions!$F$8:$F$3006,B2346,Transactions!$H$8:$H$3006))</f>
        <v/>
      </c>
      <c r="D2346" s="43" t="str">
        <f>IF(B2346="","",SUMIF(Transactions!$F$8:$F$3006,B2346,Transactions!$N$8:$N$3006))</f>
        <v/>
      </c>
      <c r="E2346" s="44" t="str">
        <f>IF(B2346="","",SUMIF(Transactions!$F$8:$F$3006,B2346,Transactions!$O$8:$O$3006))</f>
        <v/>
      </c>
      <c r="F2346" s="45" t="str">
        <f>IF(B2346="","",SUMIF(Transactions!$F$8:$F$3006,B2346,Transactions!$R$8:$R$3006))</f>
        <v/>
      </c>
      <c r="G2346" s="46" t="str">
        <f>IF(B2346="","",(C2346+F2346)-(D2346+E2346+SUMIF(Transactions!$F$8:$F$3006,B2346,Transactions!$Q$8:$Q$3006)))</f>
        <v/>
      </c>
      <c r="H2346" s="47" t="str">
        <f>IF(B2346="","",IF(G2346&gt;0,"OUTSTANDING",IF(G2346=0,"SETTLED",IF(SUMIF(Transactions!$F$8:$F$3006,B2346,Transactions!$Q$8:$Q$3006)&gt;SUMIF(Transactions!$F$8:$F$3006,B2346,Transactions!$R$8:$R$3006),"OWES","OVERPAID"))))</f>
        <v/>
      </c>
      <c r="I2346" s="1"/>
    </row>
    <row r="2347" spans="1:9" ht="18" customHeight="1" x14ac:dyDescent="0.25">
      <c r="A2347" s="48">
        <v>2332</v>
      </c>
      <c r="B2347" s="49" t="str">
        <f t="array" ref="B2347">IFERROR(IF(INDEX(Transactions!$F$8:$F$3006,MATCH(0,COUNTIF($B$11:B2346,Transactions!$F$8:$F$3006),0))="","",INDEX(Transactions!$F$8:$F$3006,MATCH(0,COUNTIF($B$11:B2346,Transactions!$F$8:$F$3006),0))),"")</f>
        <v/>
      </c>
      <c r="C2347" s="50" t="str">
        <f>IF(B2347="","",SUMIF(Transactions!$F$8:$F$3006,B2347,Transactions!$H$8:$H$3006))</f>
        <v/>
      </c>
      <c r="D2347" s="51" t="str">
        <f>IF(B2347="","",SUMIF(Transactions!$F$8:$F$3006,B2347,Transactions!$N$8:$N$3006))</f>
        <v/>
      </c>
      <c r="E2347" s="52" t="str">
        <f>IF(B2347="","",SUMIF(Transactions!$F$8:$F$3006,B2347,Transactions!$O$8:$O$3006))</f>
        <v/>
      </c>
      <c r="F2347" s="53" t="str">
        <f>IF(B2347="","",SUMIF(Transactions!$F$8:$F$3006,B2347,Transactions!$R$8:$R$3006))</f>
        <v/>
      </c>
      <c r="G2347" s="54" t="str">
        <f>IF(B2347="","",(C2347+F2347)-(D2347+E2347+SUMIF(Transactions!$F$8:$F$3006,B2347,Transactions!$Q$8:$Q$3006)))</f>
        <v/>
      </c>
      <c r="H2347" s="55" t="str">
        <f>IF(B2347="","",IF(G2347&gt;0,"OUTSTANDING",IF(G2347=0,"SETTLED",IF(SUMIF(Transactions!$F$8:$F$3006,B2347,Transactions!$Q$8:$Q$3006)&gt;SUMIF(Transactions!$F$8:$F$3006,B2347,Transactions!$R$8:$R$3006),"OWES","OVERPAID"))))</f>
        <v/>
      </c>
      <c r="I2347" s="1"/>
    </row>
    <row r="2348" spans="1:9" ht="18" customHeight="1" x14ac:dyDescent="0.25">
      <c r="A2348" s="40">
        <v>2333</v>
      </c>
      <c r="B2348" s="41" t="str">
        <f t="array" ref="B2348">IFERROR(IF(INDEX(Transactions!$F$8:$F$3006,MATCH(0,COUNTIF($B$11:B2347,Transactions!$F$8:$F$3006),0))="","",INDEX(Transactions!$F$8:$F$3006,MATCH(0,COUNTIF($B$11:B2347,Transactions!$F$8:$F$3006),0))),"")</f>
        <v/>
      </c>
      <c r="C2348" s="42" t="str">
        <f>IF(B2348="","",SUMIF(Transactions!$F$8:$F$3006,B2348,Transactions!$H$8:$H$3006))</f>
        <v/>
      </c>
      <c r="D2348" s="43" t="str">
        <f>IF(B2348="","",SUMIF(Transactions!$F$8:$F$3006,B2348,Transactions!$N$8:$N$3006))</f>
        <v/>
      </c>
      <c r="E2348" s="44" t="str">
        <f>IF(B2348="","",SUMIF(Transactions!$F$8:$F$3006,B2348,Transactions!$O$8:$O$3006))</f>
        <v/>
      </c>
      <c r="F2348" s="45" t="str">
        <f>IF(B2348="","",SUMIF(Transactions!$F$8:$F$3006,B2348,Transactions!$R$8:$R$3006))</f>
        <v/>
      </c>
      <c r="G2348" s="46" t="str">
        <f>IF(B2348="","",(C2348+F2348)-(D2348+E2348+SUMIF(Transactions!$F$8:$F$3006,B2348,Transactions!$Q$8:$Q$3006)))</f>
        <v/>
      </c>
      <c r="H2348" s="47" t="str">
        <f>IF(B2348="","",IF(G2348&gt;0,"OUTSTANDING",IF(G2348=0,"SETTLED",IF(SUMIF(Transactions!$F$8:$F$3006,B2348,Transactions!$Q$8:$Q$3006)&gt;SUMIF(Transactions!$F$8:$F$3006,B2348,Transactions!$R$8:$R$3006),"OWES","OVERPAID"))))</f>
        <v/>
      </c>
      <c r="I2348" s="1"/>
    </row>
    <row r="2349" spans="1:9" ht="18" customHeight="1" x14ac:dyDescent="0.25">
      <c r="A2349" s="48">
        <v>2334</v>
      </c>
      <c r="B2349" s="49" t="str">
        <f t="array" ref="B2349">IFERROR(IF(INDEX(Transactions!$F$8:$F$3006,MATCH(0,COUNTIF($B$11:B2348,Transactions!$F$8:$F$3006),0))="","",INDEX(Transactions!$F$8:$F$3006,MATCH(0,COUNTIF($B$11:B2348,Transactions!$F$8:$F$3006),0))),"")</f>
        <v/>
      </c>
      <c r="C2349" s="50" t="str">
        <f>IF(B2349="","",SUMIF(Transactions!$F$8:$F$3006,B2349,Transactions!$H$8:$H$3006))</f>
        <v/>
      </c>
      <c r="D2349" s="51" t="str">
        <f>IF(B2349="","",SUMIF(Transactions!$F$8:$F$3006,B2349,Transactions!$N$8:$N$3006))</f>
        <v/>
      </c>
      <c r="E2349" s="52" t="str">
        <f>IF(B2349="","",SUMIF(Transactions!$F$8:$F$3006,B2349,Transactions!$O$8:$O$3006))</f>
        <v/>
      </c>
      <c r="F2349" s="53" t="str">
        <f>IF(B2349="","",SUMIF(Transactions!$F$8:$F$3006,B2349,Transactions!$R$8:$R$3006))</f>
        <v/>
      </c>
      <c r="G2349" s="54" t="str">
        <f>IF(B2349="","",(C2349+F2349)-(D2349+E2349+SUMIF(Transactions!$F$8:$F$3006,B2349,Transactions!$Q$8:$Q$3006)))</f>
        <v/>
      </c>
      <c r="H2349" s="55" t="str">
        <f>IF(B2349="","",IF(G2349&gt;0,"OUTSTANDING",IF(G2349=0,"SETTLED",IF(SUMIF(Transactions!$F$8:$F$3006,B2349,Transactions!$Q$8:$Q$3006)&gt;SUMIF(Transactions!$F$8:$F$3006,B2349,Transactions!$R$8:$R$3006),"OWES","OVERPAID"))))</f>
        <v/>
      </c>
      <c r="I2349" s="1"/>
    </row>
    <row r="2350" spans="1:9" ht="18" customHeight="1" x14ac:dyDescent="0.25">
      <c r="A2350" s="40">
        <v>2335</v>
      </c>
      <c r="B2350" s="41" t="str">
        <f t="array" ref="B2350">IFERROR(IF(INDEX(Transactions!$F$8:$F$3006,MATCH(0,COUNTIF($B$11:B2349,Transactions!$F$8:$F$3006),0))="","",INDEX(Transactions!$F$8:$F$3006,MATCH(0,COUNTIF($B$11:B2349,Transactions!$F$8:$F$3006),0))),"")</f>
        <v/>
      </c>
      <c r="C2350" s="42" t="str">
        <f>IF(B2350="","",SUMIF(Transactions!$F$8:$F$3006,B2350,Transactions!$H$8:$H$3006))</f>
        <v/>
      </c>
      <c r="D2350" s="43" t="str">
        <f>IF(B2350="","",SUMIF(Transactions!$F$8:$F$3006,B2350,Transactions!$N$8:$N$3006))</f>
        <v/>
      </c>
      <c r="E2350" s="44" t="str">
        <f>IF(B2350="","",SUMIF(Transactions!$F$8:$F$3006,B2350,Transactions!$O$8:$O$3006))</f>
        <v/>
      </c>
      <c r="F2350" s="45" t="str">
        <f>IF(B2350="","",SUMIF(Transactions!$F$8:$F$3006,B2350,Transactions!$R$8:$R$3006))</f>
        <v/>
      </c>
      <c r="G2350" s="46" t="str">
        <f>IF(B2350="","",(C2350+F2350)-(D2350+E2350+SUMIF(Transactions!$F$8:$F$3006,B2350,Transactions!$Q$8:$Q$3006)))</f>
        <v/>
      </c>
      <c r="H2350" s="47" t="str">
        <f>IF(B2350="","",IF(G2350&gt;0,"OUTSTANDING",IF(G2350=0,"SETTLED",IF(SUMIF(Transactions!$F$8:$F$3006,B2350,Transactions!$Q$8:$Q$3006)&gt;SUMIF(Transactions!$F$8:$F$3006,B2350,Transactions!$R$8:$R$3006),"OWES","OVERPAID"))))</f>
        <v/>
      </c>
      <c r="I2350" s="1"/>
    </row>
    <row r="2351" spans="1:9" ht="18" customHeight="1" x14ac:dyDescent="0.25">
      <c r="A2351" s="48">
        <v>2336</v>
      </c>
      <c r="B2351" s="49" t="str">
        <f t="array" ref="B2351">IFERROR(IF(INDEX(Transactions!$F$8:$F$3006,MATCH(0,COUNTIF($B$11:B2350,Transactions!$F$8:$F$3006),0))="","",INDEX(Transactions!$F$8:$F$3006,MATCH(0,COUNTIF($B$11:B2350,Transactions!$F$8:$F$3006),0))),"")</f>
        <v/>
      </c>
      <c r="C2351" s="50" t="str">
        <f>IF(B2351="","",SUMIF(Transactions!$F$8:$F$3006,B2351,Transactions!$H$8:$H$3006))</f>
        <v/>
      </c>
      <c r="D2351" s="51" t="str">
        <f>IF(B2351="","",SUMIF(Transactions!$F$8:$F$3006,B2351,Transactions!$N$8:$N$3006))</f>
        <v/>
      </c>
      <c r="E2351" s="52" t="str">
        <f>IF(B2351="","",SUMIF(Transactions!$F$8:$F$3006,B2351,Transactions!$O$8:$O$3006))</f>
        <v/>
      </c>
      <c r="F2351" s="53" t="str">
        <f>IF(B2351="","",SUMIF(Transactions!$F$8:$F$3006,B2351,Transactions!$R$8:$R$3006))</f>
        <v/>
      </c>
      <c r="G2351" s="54" t="str">
        <f>IF(B2351="","",(C2351+F2351)-(D2351+E2351+SUMIF(Transactions!$F$8:$F$3006,B2351,Transactions!$Q$8:$Q$3006)))</f>
        <v/>
      </c>
      <c r="H2351" s="55" t="str">
        <f>IF(B2351="","",IF(G2351&gt;0,"OUTSTANDING",IF(G2351=0,"SETTLED",IF(SUMIF(Transactions!$F$8:$F$3006,B2351,Transactions!$Q$8:$Q$3006)&gt;SUMIF(Transactions!$F$8:$F$3006,B2351,Transactions!$R$8:$R$3006),"OWES","OVERPAID"))))</f>
        <v/>
      </c>
      <c r="I2351" s="1"/>
    </row>
    <row r="2352" spans="1:9" ht="18" customHeight="1" x14ac:dyDescent="0.25">
      <c r="A2352" s="40">
        <v>2337</v>
      </c>
      <c r="B2352" s="41" t="str">
        <f t="array" ref="B2352">IFERROR(IF(INDEX(Transactions!$F$8:$F$3006,MATCH(0,COUNTIF($B$11:B2351,Transactions!$F$8:$F$3006),0))="","",INDEX(Transactions!$F$8:$F$3006,MATCH(0,COUNTIF($B$11:B2351,Transactions!$F$8:$F$3006),0))),"")</f>
        <v/>
      </c>
      <c r="C2352" s="42" t="str">
        <f>IF(B2352="","",SUMIF(Transactions!$F$8:$F$3006,B2352,Transactions!$H$8:$H$3006))</f>
        <v/>
      </c>
      <c r="D2352" s="43" t="str">
        <f>IF(B2352="","",SUMIF(Transactions!$F$8:$F$3006,B2352,Transactions!$N$8:$N$3006))</f>
        <v/>
      </c>
      <c r="E2352" s="44" t="str">
        <f>IF(B2352="","",SUMIF(Transactions!$F$8:$F$3006,B2352,Transactions!$O$8:$O$3006))</f>
        <v/>
      </c>
      <c r="F2352" s="45" t="str">
        <f>IF(B2352="","",SUMIF(Transactions!$F$8:$F$3006,B2352,Transactions!$R$8:$R$3006))</f>
        <v/>
      </c>
      <c r="G2352" s="46" t="str">
        <f>IF(B2352="","",(C2352+F2352)-(D2352+E2352+SUMIF(Transactions!$F$8:$F$3006,B2352,Transactions!$Q$8:$Q$3006)))</f>
        <v/>
      </c>
      <c r="H2352" s="47" t="str">
        <f>IF(B2352="","",IF(G2352&gt;0,"OUTSTANDING",IF(G2352=0,"SETTLED",IF(SUMIF(Transactions!$F$8:$F$3006,B2352,Transactions!$Q$8:$Q$3006)&gt;SUMIF(Transactions!$F$8:$F$3006,B2352,Transactions!$R$8:$R$3006),"OWES","OVERPAID"))))</f>
        <v/>
      </c>
      <c r="I2352" s="1"/>
    </row>
    <row r="2353" spans="1:9" ht="18" customHeight="1" x14ac:dyDescent="0.25">
      <c r="A2353" s="48">
        <v>2338</v>
      </c>
      <c r="B2353" s="49" t="str">
        <f t="array" ref="B2353">IFERROR(IF(INDEX(Transactions!$F$8:$F$3006,MATCH(0,COUNTIF($B$11:B2352,Transactions!$F$8:$F$3006),0))="","",INDEX(Transactions!$F$8:$F$3006,MATCH(0,COUNTIF($B$11:B2352,Transactions!$F$8:$F$3006),0))),"")</f>
        <v/>
      </c>
      <c r="C2353" s="50" t="str">
        <f>IF(B2353="","",SUMIF(Transactions!$F$8:$F$3006,B2353,Transactions!$H$8:$H$3006))</f>
        <v/>
      </c>
      <c r="D2353" s="51" t="str">
        <f>IF(B2353="","",SUMIF(Transactions!$F$8:$F$3006,B2353,Transactions!$N$8:$N$3006))</f>
        <v/>
      </c>
      <c r="E2353" s="52" t="str">
        <f>IF(B2353="","",SUMIF(Transactions!$F$8:$F$3006,B2353,Transactions!$O$8:$O$3006))</f>
        <v/>
      </c>
      <c r="F2353" s="53" t="str">
        <f>IF(B2353="","",SUMIF(Transactions!$F$8:$F$3006,B2353,Transactions!$R$8:$R$3006))</f>
        <v/>
      </c>
      <c r="G2353" s="54" t="str">
        <f>IF(B2353="","",(C2353+F2353)-(D2353+E2353+SUMIF(Transactions!$F$8:$F$3006,B2353,Transactions!$Q$8:$Q$3006)))</f>
        <v/>
      </c>
      <c r="H2353" s="55" t="str">
        <f>IF(B2353="","",IF(G2353&gt;0,"OUTSTANDING",IF(G2353=0,"SETTLED",IF(SUMIF(Transactions!$F$8:$F$3006,B2353,Transactions!$Q$8:$Q$3006)&gt;SUMIF(Transactions!$F$8:$F$3006,B2353,Transactions!$R$8:$R$3006),"OWES","OVERPAID"))))</f>
        <v/>
      </c>
      <c r="I2353" s="1"/>
    </row>
    <row r="2354" spans="1:9" ht="18" customHeight="1" x14ac:dyDescent="0.25">
      <c r="A2354" s="40">
        <v>2339</v>
      </c>
      <c r="B2354" s="41" t="str">
        <f t="array" ref="B2354">IFERROR(IF(INDEX(Transactions!$F$8:$F$3006,MATCH(0,COUNTIF($B$11:B2353,Transactions!$F$8:$F$3006),0))="","",INDEX(Transactions!$F$8:$F$3006,MATCH(0,COUNTIF($B$11:B2353,Transactions!$F$8:$F$3006),0))),"")</f>
        <v/>
      </c>
      <c r="C2354" s="42" t="str">
        <f>IF(B2354="","",SUMIF(Transactions!$F$8:$F$3006,B2354,Transactions!$H$8:$H$3006))</f>
        <v/>
      </c>
      <c r="D2354" s="43" t="str">
        <f>IF(B2354="","",SUMIF(Transactions!$F$8:$F$3006,B2354,Transactions!$N$8:$N$3006))</f>
        <v/>
      </c>
      <c r="E2354" s="44" t="str">
        <f>IF(B2354="","",SUMIF(Transactions!$F$8:$F$3006,B2354,Transactions!$O$8:$O$3006))</f>
        <v/>
      </c>
      <c r="F2354" s="45" t="str">
        <f>IF(B2354="","",SUMIF(Transactions!$F$8:$F$3006,B2354,Transactions!$R$8:$R$3006))</f>
        <v/>
      </c>
      <c r="G2354" s="46" t="str">
        <f>IF(B2354="","",(C2354+F2354)-(D2354+E2354+SUMIF(Transactions!$F$8:$F$3006,B2354,Transactions!$Q$8:$Q$3006)))</f>
        <v/>
      </c>
      <c r="H2354" s="47" t="str">
        <f>IF(B2354="","",IF(G2354&gt;0,"OUTSTANDING",IF(G2354=0,"SETTLED",IF(SUMIF(Transactions!$F$8:$F$3006,B2354,Transactions!$Q$8:$Q$3006)&gt;SUMIF(Transactions!$F$8:$F$3006,B2354,Transactions!$R$8:$R$3006),"OWES","OVERPAID"))))</f>
        <v/>
      </c>
      <c r="I2354" s="1"/>
    </row>
    <row r="2355" spans="1:9" ht="18" customHeight="1" x14ac:dyDescent="0.25">
      <c r="A2355" s="48">
        <v>2340</v>
      </c>
      <c r="B2355" s="49" t="str">
        <f t="array" ref="B2355">IFERROR(IF(INDEX(Transactions!$F$8:$F$3006,MATCH(0,COUNTIF($B$11:B2354,Transactions!$F$8:$F$3006),0))="","",INDEX(Transactions!$F$8:$F$3006,MATCH(0,COUNTIF($B$11:B2354,Transactions!$F$8:$F$3006),0))),"")</f>
        <v/>
      </c>
      <c r="C2355" s="50" t="str">
        <f>IF(B2355="","",SUMIF(Transactions!$F$8:$F$3006,B2355,Transactions!$H$8:$H$3006))</f>
        <v/>
      </c>
      <c r="D2355" s="51" t="str">
        <f>IF(B2355="","",SUMIF(Transactions!$F$8:$F$3006,B2355,Transactions!$N$8:$N$3006))</f>
        <v/>
      </c>
      <c r="E2355" s="52" t="str">
        <f>IF(B2355="","",SUMIF(Transactions!$F$8:$F$3006,B2355,Transactions!$O$8:$O$3006))</f>
        <v/>
      </c>
      <c r="F2355" s="53" t="str">
        <f>IF(B2355="","",SUMIF(Transactions!$F$8:$F$3006,B2355,Transactions!$R$8:$R$3006))</f>
        <v/>
      </c>
      <c r="G2355" s="54" t="str">
        <f>IF(B2355="","",(C2355+F2355)-(D2355+E2355+SUMIF(Transactions!$F$8:$F$3006,B2355,Transactions!$Q$8:$Q$3006)))</f>
        <v/>
      </c>
      <c r="H2355" s="55" t="str">
        <f>IF(B2355="","",IF(G2355&gt;0,"OUTSTANDING",IF(G2355=0,"SETTLED",IF(SUMIF(Transactions!$F$8:$F$3006,B2355,Transactions!$Q$8:$Q$3006)&gt;SUMIF(Transactions!$F$8:$F$3006,B2355,Transactions!$R$8:$R$3006),"OWES","OVERPAID"))))</f>
        <v/>
      </c>
      <c r="I2355" s="1"/>
    </row>
    <row r="2356" spans="1:9" ht="18" customHeight="1" x14ac:dyDescent="0.25">
      <c r="A2356" s="40">
        <v>2341</v>
      </c>
      <c r="B2356" s="41" t="str">
        <f t="array" ref="B2356">IFERROR(IF(INDEX(Transactions!$F$8:$F$3006,MATCH(0,COUNTIF($B$11:B2355,Transactions!$F$8:$F$3006),0))="","",INDEX(Transactions!$F$8:$F$3006,MATCH(0,COUNTIF($B$11:B2355,Transactions!$F$8:$F$3006),0))),"")</f>
        <v/>
      </c>
      <c r="C2356" s="42" t="str">
        <f>IF(B2356="","",SUMIF(Transactions!$F$8:$F$3006,B2356,Transactions!$H$8:$H$3006))</f>
        <v/>
      </c>
      <c r="D2356" s="43" t="str">
        <f>IF(B2356="","",SUMIF(Transactions!$F$8:$F$3006,B2356,Transactions!$N$8:$N$3006))</f>
        <v/>
      </c>
      <c r="E2356" s="44" t="str">
        <f>IF(B2356="","",SUMIF(Transactions!$F$8:$F$3006,B2356,Transactions!$O$8:$O$3006))</f>
        <v/>
      </c>
      <c r="F2356" s="45" t="str">
        <f>IF(B2356="","",SUMIF(Transactions!$F$8:$F$3006,B2356,Transactions!$R$8:$R$3006))</f>
        <v/>
      </c>
      <c r="G2356" s="46" t="str">
        <f>IF(B2356="","",(C2356+F2356)-(D2356+E2356+SUMIF(Transactions!$F$8:$F$3006,B2356,Transactions!$Q$8:$Q$3006)))</f>
        <v/>
      </c>
      <c r="H2356" s="47" t="str">
        <f>IF(B2356="","",IF(G2356&gt;0,"OUTSTANDING",IF(G2356=0,"SETTLED",IF(SUMIF(Transactions!$F$8:$F$3006,B2356,Transactions!$Q$8:$Q$3006)&gt;SUMIF(Transactions!$F$8:$F$3006,B2356,Transactions!$R$8:$R$3006),"OWES","OVERPAID"))))</f>
        <v/>
      </c>
      <c r="I2356" s="1"/>
    </row>
    <row r="2357" spans="1:9" ht="18" customHeight="1" x14ac:dyDescent="0.25">
      <c r="A2357" s="48">
        <v>2342</v>
      </c>
      <c r="B2357" s="49" t="str">
        <f t="array" ref="B2357">IFERROR(IF(INDEX(Transactions!$F$8:$F$3006,MATCH(0,COUNTIF($B$11:B2356,Transactions!$F$8:$F$3006),0))="","",INDEX(Transactions!$F$8:$F$3006,MATCH(0,COUNTIF($B$11:B2356,Transactions!$F$8:$F$3006),0))),"")</f>
        <v/>
      </c>
      <c r="C2357" s="50" t="str">
        <f>IF(B2357="","",SUMIF(Transactions!$F$8:$F$3006,B2357,Transactions!$H$8:$H$3006))</f>
        <v/>
      </c>
      <c r="D2357" s="51" t="str">
        <f>IF(B2357="","",SUMIF(Transactions!$F$8:$F$3006,B2357,Transactions!$N$8:$N$3006))</f>
        <v/>
      </c>
      <c r="E2357" s="52" t="str">
        <f>IF(B2357="","",SUMIF(Transactions!$F$8:$F$3006,B2357,Transactions!$O$8:$O$3006))</f>
        <v/>
      </c>
      <c r="F2357" s="53" t="str">
        <f>IF(B2357="","",SUMIF(Transactions!$F$8:$F$3006,B2357,Transactions!$R$8:$R$3006))</f>
        <v/>
      </c>
      <c r="G2357" s="54" t="str">
        <f>IF(B2357="","",(C2357+F2357)-(D2357+E2357+SUMIF(Transactions!$F$8:$F$3006,B2357,Transactions!$Q$8:$Q$3006)))</f>
        <v/>
      </c>
      <c r="H2357" s="55" t="str">
        <f>IF(B2357="","",IF(G2357&gt;0,"OUTSTANDING",IF(G2357=0,"SETTLED",IF(SUMIF(Transactions!$F$8:$F$3006,B2357,Transactions!$Q$8:$Q$3006)&gt;SUMIF(Transactions!$F$8:$F$3006,B2357,Transactions!$R$8:$R$3006),"OWES","OVERPAID"))))</f>
        <v/>
      </c>
      <c r="I2357" s="1"/>
    </row>
    <row r="2358" spans="1:9" ht="18" customHeight="1" x14ac:dyDescent="0.25">
      <c r="A2358" s="40">
        <v>2343</v>
      </c>
      <c r="B2358" s="41" t="str">
        <f t="array" ref="B2358">IFERROR(IF(INDEX(Transactions!$F$8:$F$3006,MATCH(0,COUNTIF($B$11:B2357,Transactions!$F$8:$F$3006),0))="","",INDEX(Transactions!$F$8:$F$3006,MATCH(0,COUNTIF($B$11:B2357,Transactions!$F$8:$F$3006),0))),"")</f>
        <v/>
      </c>
      <c r="C2358" s="42" t="str">
        <f>IF(B2358="","",SUMIF(Transactions!$F$8:$F$3006,B2358,Transactions!$H$8:$H$3006))</f>
        <v/>
      </c>
      <c r="D2358" s="43" t="str">
        <f>IF(B2358="","",SUMIF(Transactions!$F$8:$F$3006,B2358,Transactions!$N$8:$N$3006))</f>
        <v/>
      </c>
      <c r="E2358" s="44" t="str">
        <f>IF(B2358="","",SUMIF(Transactions!$F$8:$F$3006,B2358,Transactions!$O$8:$O$3006))</f>
        <v/>
      </c>
      <c r="F2358" s="45" t="str">
        <f>IF(B2358="","",SUMIF(Transactions!$F$8:$F$3006,B2358,Transactions!$R$8:$R$3006))</f>
        <v/>
      </c>
      <c r="G2358" s="46" t="str">
        <f>IF(B2358="","",(C2358+F2358)-(D2358+E2358+SUMIF(Transactions!$F$8:$F$3006,B2358,Transactions!$Q$8:$Q$3006)))</f>
        <v/>
      </c>
      <c r="H2358" s="47" t="str">
        <f>IF(B2358="","",IF(G2358&gt;0,"OUTSTANDING",IF(G2358=0,"SETTLED",IF(SUMIF(Transactions!$F$8:$F$3006,B2358,Transactions!$Q$8:$Q$3006)&gt;SUMIF(Transactions!$F$8:$F$3006,B2358,Transactions!$R$8:$R$3006),"OWES","OVERPAID"))))</f>
        <v/>
      </c>
      <c r="I2358" s="1"/>
    </row>
    <row r="2359" spans="1:9" ht="18" customHeight="1" x14ac:dyDescent="0.25">
      <c r="A2359" s="48">
        <v>2344</v>
      </c>
      <c r="B2359" s="49" t="str">
        <f t="array" ref="B2359">IFERROR(IF(INDEX(Transactions!$F$8:$F$3006,MATCH(0,COUNTIF($B$11:B2358,Transactions!$F$8:$F$3006),0))="","",INDEX(Transactions!$F$8:$F$3006,MATCH(0,COUNTIF($B$11:B2358,Transactions!$F$8:$F$3006),0))),"")</f>
        <v/>
      </c>
      <c r="C2359" s="50" t="str">
        <f>IF(B2359="","",SUMIF(Transactions!$F$8:$F$3006,B2359,Transactions!$H$8:$H$3006))</f>
        <v/>
      </c>
      <c r="D2359" s="51" t="str">
        <f>IF(B2359="","",SUMIF(Transactions!$F$8:$F$3006,B2359,Transactions!$N$8:$N$3006))</f>
        <v/>
      </c>
      <c r="E2359" s="52" t="str">
        <f>IF(B2359="","",SUMIF(Transactions!$F$8:$F$3006,B2359,Transactions!$O$8:$O$3006))</f>
        <v/>
      </c>
      <c r="F2359" s="53" t="str">
        <f>IF(B2359="","",SUMIF(Transactions!$F$8:$F$3006,B2359,Transactions!$R$8:$R$3006))</f>
        <v/>
      </c>
      <c r="G2359" s="54" t="str">
        <f>IF(B2359="","",(C2359+F2359)-(D2359+E2359+SUMIF(Transactions!$F$8:$F$3006,B2359,Transactions!$Q$8:$Q$3006)))</f>
        <v/>
      </c>
      <c r="H2359" s="55" t="str">
        <f>IF(B2359="","",IF(G2359&gt;0,"OUTSTANDING",IF(G2359=0,"SETTLED",IF(SUMIF(Transactions!$F$8:$F$3006,B2359,Transactions!$Q$8:$Q$3006)&gt;SUMIF(Transactions!$F$8:$F$3006,B2359,Transactions!$R$8:$R$3006),"OWES","OVERPAID"))))</f>
        <v/>
      </c>
      <c r="I2359" s="1"/>
    </row>
    <row r="2360" spans="1:9" ht="18" customHeight="1" x14ac:dyDescent="0.25">
      <c r="A2360" s="40">
        <v>2345</v>
      </c>
      <c r="B2360" s="41" t="str">
        <f t="array" ref="B2360">IFERROR(IF(INDEX(Transactions!$F$8:$F$3006,MATCH(0,COUNTIF($B$11:B2359,Transactions!$F$8:$F$3006),0))="","",INDEX(Transactions!$F$8:$F$3006,MATCH(0,COUNTIF($B$11:B2359,Transactions!$F$8:$F$3006),0))),"")</f>
        <v/>
      </c>
      <c r="C2360" s="42" t="str">
        <f>IF(B2360="","",SUMIF(Transactions!$F$8:$F$3006,B2360,Transactions!$H$8:$H$3006))</f>
        <v/>
      </c>
      <c r="D2360" s="43" t="str">
        <f>IF(B2360="","",SUMIF(Transactions!$F$8:$F$3006,B2360,Transactions!$N$8:$N$3006))</f>
        <v/>
      </c>
      <c r="E2360" s="44" t="str">
        <f>IF(B2360="","",SUMIF(Transactions!$F$8:$F$3006,B2360,Transactions!$O$8:$O$3006))</f>
        <v/>
      </c>
      <c r="F2360" s="45" t="str">
        <f>IF(B2360="","",SUMIF(Transactions!$F$8:$F$3006,B2360,Transactions!$R$8:$R$3006))</f>
        <v/>
      </c>
      <c r="G2360" s="46" t="str">
        <f>IF(B2360="","",(C2360+F2360)-(D2360+E2360+SUMIF(Transactions!$F$8:$F$3006,B2360,Transactions!$Q$8:$Q$3006)))</f>
        <v/>
      </c>
      <c r="H2360" s="47" t="str">
        <f>IF(B2360="","",IF(G2360&gt;0,"OUTSTANDING",IF(G2360=0,"SETTLED",IF(SUMIF(Transactions!$F$8:$F$3006,B2360,Transactions!$Q$8:$Q$3006)&gt;SUMIF(Transactions!$F$8:$F$3006,B2360,Transactions!$R$8:$R$3006),"OWES","OVERPAID"))))</f>
        <v/>
      </c>
      <c r="I2360" s="1"/>
    </row>
    <row r="2361" spans="1:9" ht="18" customHeight="1" x14ac:dyDescent="0.25">
      <c r="A2361" s="48">
        <v>2346</v>
      </c>
      <c r="B2361" s="49" t="str">
        <f t="array" ref="B2361">IFERROR(IF(INDEX(Transactions!$F$8:$F$3006,MATCH(0,COUNTIF($B$11:B2360,Transactions!$F$8:$F$3006),0))="","",INDEX(Transactions!$F$8:$F$3006,MATCH(0,COUNTIF($B$11:B2360,Transactions!$F$8:$F$3006),0))),"")</f>
        <v/>
      </c>
      <c r="C2361" s="50" t="str">
        <f>IF(B2361="","",SUMIF(Transactions!$F$8:$F$3006,B2361,Transactions!$H$8:$H$3006))</f>
        <v/>
      </c>
      <c r="D2361" s="51" t="str">
        <f>IF(B2361="","",SUMIF(Transactions!$F$8:$F$3006,B2361,Transactions!$N$8:$N$3006))</f>
        <v/>
      </c>
      <c r="E2361" s="52" t="str">
        <f>IF(B2361="","",SUMIF(Transactions!$F$8:$F$3006,B2361,Transactions!$O$8:$O$3006))</f>
        <v/>
      </c>
      <c r="F2361" s="53" t="str">
        <f>IF(B2361="","",SUMIF(Transactions!$F$8:$F$3006,B2361,Transactions!$R$8:$R$3006))</f>
        <v/>
      </c>
      <c r="G2361" s="54" t="str">
        <f>IF(B2361="","",(C2361+F2361)-(D2361+E2361+SUMIF(Transactions!$F$8:$F$3006,B2361,Transactions!$Q$8:$Q$3006)))</f>
        <v/>
      </c>
      <c r="H2361" s="55" t="str">
        <f>IF(B2361="","",IF(G2361&gt;0,"OUTSTANDING",IF(G2361=0,"SETTLED",IF(SUMIF(Transactions!$F$8:$F$3006,B2361,Transactions!$Q$8:$Q$3006)&gt;SUMIF(Transactions!$F$8:$F$3006,B2361,Transactions!$R$8:$R$3006),"OWES","OVERPAID"))))</f>
        <v/>
      </c>
      <c r="I2361" s="1"/>
    </row>
    <row r="2362" spans="1:9" ht="18" customHeight="1" x14ac:dyDescent="0.25">
      <c r="A2362" s="40">
        <v>2347</v>
      </c>
      <c r="B2362" s="41" t="str">
        <f t="array" ref="B2362">IFERROR(IF(INDEX(Transactions!$F$8:$F$3006,MATCH(0,COUNTIF($B$11:B2361,Transactions!$F$8:$F$3006),0))="","",INDEX(Transactions!$F$8:$F$3006,MATCH(0,COUNTIF($B$11:B2361,Transactions!$F$8:$F$3006),0))),"")</f>
        <v/>
      </c>
      <c r="C2362" s="42" t="str">
        <f>IF(B2362="","",SUMIF(Transactions!$F$8:$F$3006,B2362,Transactions!$H$8:$H$3006))</f>
        <v/>
      </c>
      <c r="D2362" s="43" t="str">
        <f>IF(B2362="","",SUMIF(Transactions!$F$8:$F$3006,B2362,Transactions!$N$8:$N$3006))</f>
        <v/>
      </c>
      <c r="E2362" s="44" t="str">
        <f>IF(B2362="","",SUMIF(Transactions!$F$8:$F$3006,B2362,Transactions!$O$8:$O$3006))</f>
        <v/>
      </c>
      <c r="F2362" s="45" t="str">
        <f>IF(B2362="","",SUMIF(Transactions!$F$8:$F$3006,B2362,Transactions!$R$8:$R$3006))</f>
        <v/>
      </c>
      <c r="G2362" s="46" t="str">
        <f>IF(B2362="","",(C2362+F2362)-(D2362+E2362+SUMIF(Transactions!$F$8:$F$3006,B2362,Transactions!$Q$8:$Q$3006)))</f>
        <v/>
      </c>
      <c r="H2362" s="47" t="str">
        <f>IF(B2362="","",IF(G2362&gt;0,"OUTSTANDING",IF(G2362=0,"SETTLED",IF(SUMIF(Transactions!$F$8:$F$3006,B2362,Transactions!$Q$8:$Q$3006)&gt;SUMIF(Transactions!$F$8:$F$3006,B2362,Transactions!$R$8:$R$3006),"OWES","OVERPAID"))))</f>
        <v/>
      </c>
      <c r="I2362" s="1"/>
    </row>
    <row r="2363" spans="1:9" ht="18" customHeight="1" x14ac:dyDescent="0.25">
      <c r="A2363" s="48">
        <v>2348</v>
      </c>
      <c r="B2363" s="49" t="str">
        <f t="array" ref="B2363">IFERROR(IF(INDEX(Transactions!$F$8:$F$3006,MATCH(0,COUNTIF($B$11:B2362,Transactions!$F$8:$F$3006),0))="","",INDEX(Transactions!$F$8:$F$3006,MATCH(0,COUNTIF($B$11:B2362,Transactions!$F$8:$F$3006),0))),"")</f>
        <v/>
      </c>
      <c r="C2363" s="50" t="str">
        <f>IF(B2363="","",SUMIF(Transactions!$F$8:$F$3006,B2363,Transactions!$H$8:$H$3006))</f>
        <v/>
      </c>
      <c r="D2363" s="51" t="str">
        <f>IF(B2363="","",SUMIF(Transactions!$F$8:$F$3006,B2363,Transactions!$N$8:$N$3006))</f>
        <v/>
      </c>
      <c r="E2363" s="52" t="str">
        <f>IF(B2363="","",SUMIF(Transactions!$F$8:$F$3006,B2363,Transactions!$O$8:$O$3006))</f>
        <v/>
      </c>
      <c r="F2363" s="53" t="str">
        <f>IF(B2363="","",SUMIF(Transactions!$F$8:$F$3006,B2363,Transactions!$R$8:$R$3006))</f>
        <v/>
      </c>
      <c r="G2363" s="54" t="str">
        <f>IF(B2363="","",(C2363+F2363)-(D2363+E2363+SUMIF(Transactions!$F$8:$F$3006,B2363,Transactions!$Q$8:$Q$3006)))</f>
        <v/>
      </c>
      <c r="H2363" s="55" t="str">
        <f>IF(B2363="","",IF(G2363&gt;0,"OUTSTANDING",IF(G2363=0,"SETTLED",IF(SUMIF(Transactions!$F$8:$F$3006,B2363,Transactions!$Q$8:$Q$3006)&gt;SUMIF(Transactions!$F$8:$F$3006,B2363,Transactions!$R$8:$R$3006),"OWES","OVERPAID"))))</f>
        <v/>
      </c>
      <c r="I2363" s="1"/>
    </row>
    <row r="2364" spans="1:9" ht="18" customHeight="1" x14ac:dyDescent="0.25">
      <c r="A2364" s="40">
        <v>2349</v>
      </c>
      <c r="B2364" s="41" t="str">
        <f t="array" ref="B2364">IFERROR(IF(INDEX(Transactions!$F$8:$F$3006,MATCH(0,COUNTIF($B$11:B2363,Transactions!$F$8:$F$3006),0))="","",INDEX(Transactions!$F$8:$F$3006,MATCH(0,COUNTIF($B$11:B2363,Transactions!$F$8:$F$3006),0))),"")</f>
        <v/>
      </c>
      <c r="C2364" s="42" t="str">
        <f>IF(B2364="","",SUMIF(Transactions!$F$8:$F$3006,B2364,Transactions!$H$8:$H$3006))</f>
        <v/>
      </c>
      <c r="D2364" s="43" t="str">
        <f>IF(B2364="","",SUMIF(Transactions!$F$8:$F$3006,B2364,Transactions!$N$8:$N$3006))</f>
        <v/>
      </c>
      <c r="E2364" s="44" t="str">
        <f>IF(B2364="","",SUMIF(Transactions!$F$8:$F$3006,B2364,Transactions!$O$8:$O$3006))</f>
        <v/>
      </c>
      <c r="F2364" s="45" t="str">
        <f>IF(B2364="","",SUMIF(Transactions!$F$8:$F$3006,B2364,Transactions!$R$8:$R$3006))</f>
        <v/>
      </c>
      <c r="G2364" s="46" t="str">
        <f>IF(B2364="","",(C2364+F2364)-(D2364+E2364+SUMIF(Transactions!$F$8:$F$3006,B2364,Transactions!$Q$8:$Q$3006)))</f>
        <v/>
      </c>
      <c r="H2364" s="47" t="str">
        <f>IF(B2364="","",IF(G2364&gt;0,"OUTSTANDING",IF(G2364=0,"SETTLED",IF(SUMIF(Transactions!$F$8:$F$3006,B2364,Transactions!$Q$8:$Q$3006)&gt;SUMIF(Transactions!$F$8:$F$3006,B2364,Transactions!$R$8:$R$3006),"OWES","OVERPAID"))))</f>
        <v/>
      </c>
      <c r="I2364" s="1"/>
    </row>
    <row r="2365" spans="1:9" ht="18" customHeight="1" x14ac:dyDescent="0.25">
      <c r="A2365" s="48">
        <v>2350</v>
      </c>
      <c r="B2365" s="49" t="str">
        <f t="array" ref="B2365">IFERROR(IF(INDEX(Transactions!$F$8:$F$3006,MATCH(0,COUNTIF($B$11:B2364,Transactions!$F$8:$F$3006),0))="","",INDEX(Transactions!$F$8:$F$3006,MATCH(0,COUNTIF($B$11:B2364,Transactions!$F$8:$F$3006),0))),"")</f>
        <v/>
      </c>
      <c r="C2365" s="50" t="str">
        <f>IF(B2365="","",SUMIF(Transactions!$F$8:$F$3006,B2365,Transactions!$H$8:$H$3006))</f>
        <v/>
      </c>
      <c r="D2365" s="51" t="str">
        <f>IF(B2365="","",SUMIF(Transactions!$F$8:$F$3006,B2365,Transactions!$N$8:$N$3006))</f>
        <v/>
      </c>
      <c r="E2365" s="52" t="str">
        <f>IF(B2365="","",SUMIF(Transactions!$F$8:$F$3006,B2365,Transactions!$O$8:$O$3006))</f>
        <v/>
      </c>
      <c r="F2365" s="53" t="str">
        <f>IF(B2365="","",SUMIF(Transactions!$F$8:$F$3006,B2365,Transactions!$R$8:$R$3006))</f>
        <v/>
      </c>
      <c r="G2365" s="54" t="str">
        <f>IF(B2365="","",(C2365+F2365)-(D2365+E2365+SUMIF(Transactions!$F$8:$F$3006,B2365,Transactions!$Q$8:$Q$3006)))</f>
        <v/>
      </c>
      <c r="H2365" s="55" t="str">
        <f>IF(B2365="","",IF(G2365&gt;0,"OUTSTANDING",IF(G2365=0,"SETTLED",IF(SUMIF(Transactions!$F$8:$F$3006,B2365,Transactions!$Q$8:$Q$3006)&gt;SUMIF(Transactions!$F$8:$F$3006,B2365,Transactions!$R$8:$R$3006),"OWES","OVERPAID"))))</f>
        <v/>
      </c>
      <c r="I2365" s="1"/>
    </row>
    <row r="2366" spans="1:9" ht="18" customHeight="1" x14ac:dyDescent="0.25">
      <c r="A2366" s="40">
        <v>2351</v>
      </c>
      <c r="B2366" s="41" t="str">
        <f t="array" ref="B2366">IFERROR(IF(INDEX(Transactions!$F$8:$F$3006,MATCH(0,COUNTIF($B$11:B2365,Transactions!$F$8:$F$3006),0))="","",INDEX(Transactions!$F$8:$F$3006,MATCH(0,COUNTIF($B$11:B2365,Transactions!$F$8:$F$3006),0))),"")</f>
        <v/>
      </c>
      <c r="C2366" s="42" t="str">
        <f>IF(B2366="","",SUMIF(Transactions!$F$8:$F$3006,B2366,Transactions!$H$8:$H$3006))</f>
        <v/>
      </c>
      <c r="D2366" s="43" t="str">
        <f>IF(B2366="","",SUMIF(Transactions!$F$8:$F$3006,B2366,Transactions!$N$8:$N$3006))</f>
        <v/>
      </c>
      <c r="E2366" s="44" t="str">
        <f>IF(B2366="","",SUMIF(Transactions!$F$8:$F$3006,B2366,Transactions!$O$8:$O$3006))</f>
        <v/>
      </c>
      <c r="F2366" s="45" t="str">
        <f>IF(B2366="","",SUMIF(Transactions!$F$8:$F$3006,B2366,Transactions!$R$8:$R$3006))</f>
        <v/>
      </c>
      <c r="G2366" s="46" t="str">
        <f>IF(B2366="","",(C2366+F2366)-(D2366+E2366+SUMIF(Transactions!$F$8:$F$3006,B2366,Transactions!$Q$8:$Q$3006)))</f>
        <v/>
      </c>
      <c r="H2366" s="47" t="str">
        <f>IF(B2366="","",IF(G2366&gt;0,"OUTSTANDING",IF(G2366=0,"SETTLED",IF(SUMIF(Transactions!$F$8:$F$3006,B2366,Transactions!$Q$8:$Q$3006)&gt;SUMIF(Transactions!$F$8:$F$3006,B2366,Transactions!$R$8:$R$3006),"OWES","OVERPAID"))))</f>
        <v/>
      </c>
      <c r="I2366" s="1"/>
    </row>
    <row r="2367" spans="1:9" ht="18" customHeight="1" x14ac:dyDescent="0.25">
      <c r="A2367" s="48">
        <v>2352</v>
      </c>
      <c r="B2367" s="49" t="str">
        <f t="array" ref="B2367">IFERROR(IF(INDEX(Transactions!$F$8:$F$3006,MATCH(0,COUNTIF($B$11:B2366,Transactions!$F$8:$F$3006),0))="","",INDEX(Transactions!$F$8:$F$3006,MATCH(0,COUNTIF($B$11:B2366,Transactions!$F$8:$F$3006),0))),"")</f>
        <v/>
      </c>
      <c r="C2367" s="50" t="str">
        <f>IF(B2367="","",SUMIF(Transactions!$F$8:$F$3006,B2367,Transactions!$H$8:$H$3006))</f>
        <v/>
      </c>
      <c r="D2367" s="51" t="str">
        <f>IF(B2367="","",SUMIF(Transactions!$F$8:$F$3006,B2367,Transactions!$N$8:$N$3006))</f>
        <v/>
      </c>
      <c r="E2367" s="52" t="str">
        <f>IF(B2367="","",SUMIF(Transactions!$F$8:$F$3006,B2367,Transactions!$O$8:$O$3006))</f>
        <v/>
      </c>
      <c r="F2367" s="53" t="str">
        <f>IF(B2367="","",SUMIF(Transactions!$F$8:$F$3006,B2367,Transactions!$R$8:$R$3006))</f>
        <v/>
      </c>
      <c r="G2367" s="54" t="str">
        <f>IF(B2367="","",(C2367+F2367)-(D2367+E2367+SUMIF(Transactions!$F$8:$F$3006,B2367,Transactions!$Q$8:$Q$3006)))</f>
        <v/>
      </c>
      <c r="H2367" s="55" t="str">
        <f>IF(B2367="","",IF(G2367&gt;0,"OUTSTANDING",IF(G2367=0,"SETTLED",IF(SUMIF(Transactions!$F$8:$F$3006,B2367,Transactions!$Q$8:$Q$3006)&gt;SUMIF(Transactions!$F$8:$F$3006,B2367,Transactions!$R$8:$R$3006),"OWES","OVERPAID"))))</f>
        <v/>
      </c>
      <c r="I2367" s="1"/>
    </row>
    <row r="2368" spans="1:9" ht="18" customHeight="1" x14ac:dyDescent="0.25">
      <c r="A2368" s="40">
        <v>2353</v>
      </c>
      <c r="B2368" s="41" t="str">
        <f t="array" ref="B2368">IFERROR(IF(INDEX(Transactions!$F$8:$F$3006,MATCH(0,COUNTIF($B$11:B2367,Transactions!$F$8:$F$3006),0))="","",INDEX(Transactions!$F$8:$F$3006,MATCH(0,COUNTIF($B$11:B2367,Transactions!$F$8:$F$3006),0))),"")</f>
        <v/>
      </c>
      <c r="C2368" s="42" t="str">
        <f>IF(B2368="","",SUMIF(Transactions!$F$8:$F$3006,B2368,Transactions!$H$8:$H$3006))</f>
        <v/>
      </c>
      <c r="D2368" s="43" t="str">
        <f>IF(B2368="","",SUMIF(Transactions!$F$8:$F$3006,B2368,Transactions!$N$8:$N$3006))</f>
        <v/>
      </c>
      <c r="E2368" s="44" t="str">
        <f>IF(B2368="","",SUMIF(Transactions!$F$8:$F$3006,B2368,Transactions!$O$8:$O$3006))</f>
        <v/>
      </c>
      <c r="F2368" s="45" t="str">
        <f>IF(B2368="","",SUMIF(Transactions!$F$8:$F$3006,B2368,Transactions!$R$8:$R$3006))</f>
        <v/>
      </c>
      <c r="G2368" s="46" t="str">
        <f>IF(B2368="","",(C2368+F2368)-(D2368+E2368+SUMIF(Transactions!$F$8:$F$3006,B2368,Transactions!$Q$8:$Q$3006)))</f>
        <v/>
      </c>
      <c r="H2368" s="47" t="str">
        <f>IF(B2368="","",IF(G2368&gt;0,"OUTSTANDING",IF(G2368=0,"SETTLED",IF(SUMIF(Transactions!$F$8:$F$3006,B2368,Transactions!$Q$8:$Q$3006)&gt;SUMIF(Transactions!$F$8:$F$3006,B2368,Transactions!$R$8:$R$3006),"OWES","OVERPAID"))))</f>
        <v/>
      </c>
      <c r="I2368" s="1"/>
    </row>
    <row r="2369" spans="1:9" ht="18" customHeight="1" x14ac:dyDescent="0.25">
      <c r="A2369" s="48">
        <v>2354</v>
      </c>
      <c r="B2369" s="49" t="str">
        <f t="array" ref="B2369">IFERROR(IF(INDEX(Transactions!$F$8:$F$3006,MATCH(0,COUNTIF($B$11:B2368,Transactions!$F$8:$F$3006),0))="","",INDEX(Transactions!$F$8:$F$3006,MATCH(0,COUNTIF($B$11:B2368,Transactions!$F$8:$F$3006),0))),"")</f>
        <v/>
      </c>
      <c r="C2369" s="50" t="str">
        <f>IF(B2369="","",SUMIF(Transactions!$F$8:$F$3006,B2369,Transactions!$H$8:$H$3006))</f>
        <v/>
      </c>
      <c r="D2369" s="51" t="str">
        <f>IF(B2369="","",SUMIF(Transactions!$F$8:$F$3006,B2369,Transactions!$N$8:$N$3006))</f>
        <v/>
      </c>
      <c r="E2369" s="52" t="str">
        <f>IF(B2369="","",SUMIF(Transactions!$F$8:$F$3006,B2369,Transactions!$O$8:$O$3006))</f>
        <v/>
      </c>
      <c r="F2369" s="53" t="str">
        <f>IF(B2369="","",SUMIF(Transactions!$F$8:$F$3006,B2369,Transactions!$R$8:$R$3006))</f>
        <v/>
      </c>
      <c r="G2369" s="54" t="str">
        <f>IF(B2369="","",(C2369+F2369)-(D2369+E2369+SUMIF(Transactions!$F$8:$F$3006,B2369,Transactions!$Q$8:$Q$3006)))</f>
        <v/>
      </c>
      <c r="H2369" s="55" t="str">
        <f>IF(B2369="","",IF(G2369&gt;0,"OUTSTANDING",IF(G2369=0,"SETTLED",IF(SUMIF(Transactions!$F$8:$F$3006,B2369,Transactions!$Q$8:$Q$3006)&gt;SUMIF(Transactions!$F$8:$F$3006,B2369,Transactions!$R$8:$R$3006),"OWES","OVERPAID"))))</f>
        <v/>
      </c>
      <c r="I2369" s="1"/>
    </row>
    <row r="2370" spans="1:9" ht="18" customHeight="1" x14ac:dyDescent="0.25">
      <c r="A2370" s="40">
        <v>2355</v>
      </c>
      <c r="B2370" s="41" t="str">
        <f t="array" ref="B2370">IFERROR(IF(INDEX(Transactions!$F$8:$F$3006,MATCH(0,COUNTIF($B$11:B2369,Transactions!$F$8:$F$3006),0))="","",INDEX(Transactions!$F$8:$F$3006,MATCH(0,COUNTIF($B$11:B2369,Transactions!$F$8:$F$3006),0))),"")</f>
        <v/>
      </c>
      <c r="C2370" s="42" t="str">
        <f>IF(B2370="","",SUMIF(Transactions!$F$8:$F$3006,B2370,Transactions!$H$8:$H$3006))</f>
        <v/>
      </c>
      <c r="D2370" s="43" t="str">
        <f>IF(B2370="","",SUMIF(Transactions!$F$8:$F$3006,B2370,Transactions!$N$8:$N$3006))</f>
        <v/>
      </c>
      <c r="E2370" s="44" t="str">
        <f>IF(B2370="","",SUMIF(Transactions!$F$8:$F$3006,B2370,Transactions!$O$8:$O$3006))</f>
        <v/>
      </c>
      <c r="F2370" s="45" t="str">
        <f>IF(B2370="","",SUMIF(Transactions!$F$8:$F$3006,B2370,Transactions!$R$8:$R$3006))</f>
        <v/>
      </c>
      <c r="G2370" s="46" t="str">
        <f>IF(B2370="","",(C2370+F2370)-(D2370+E2370+SUMIF(Transactions!$F$8:$F$3006,B2370,Transactions!$Q$8:$Q$3006)))</f>
        <v/>
      </c>
      <c r="H2370" s="47" t="str">
        <f>IF(B2370="","",IF(G2370&gt;0,"OUTSTANDING",IF(G2370=0,"SETTLED",IF(SUMIF(Transactions!$F$8:$F$3006,B2370,Transactions!$Q$8:$Q$3006)&gt;SUMIF(Transactions!$F$8:$F$3006,B2370,Transactions!$R$8:$R$3006),"OWES","OVERPAID"))))</f>
        <v/>
      </c>
      <c r="I2370" s="1"/>
    </row>
    <row r="2371" spans="1:9" ht="18" customHeight="1" x14ac:dyDescent="0.25">
      <c r="A2371" s="48">
        <v>2356</v>
      </c>
      <c r="B2371" s="49" t="str">
        <f t="array" ref="B2371">IFERROR(IF(INDEX(Transactions!$F$8:$F$3006,MATCH(0,COUNTIF($B$11:B2370,Transactions!$F$8:$F$3006),0))="","",INDEX(Transactions!$F$8:$F$3006,MATCH(0,COUNTIF($B$11:B2370,Transactions!$F$8:$F$3006),0))),"")</f>
        <v/>
      </c>
      <c r="C2371" s="50" t="str">
        <f>IF(B2371="","",SUMIF(Transactions!$F$8:$F$3006,B2371,Transactions!$H$8:$H$3006))</f>
        <v/>
      </c>
      <c r="D2371" s="51" t="str">
        <f>IF(B2371="","",SUMIF(Transactions!$F$8:$F$3006,B2371,Transactions!$N$8:$N$3006))</f>
        <v/>
      </c>
      <c r="E2371" s="52" t="str">
        <f>IF(B2371="","",SUMIF(Transactions!$F$8:$F$3006,B2371,Transactions!$O$8:$O$3006))</f>
        <v/>
      </c>
      <c r="F2371" s="53" t="str">
        <f>IF(B2371="","",SUMIF(Transactions!$F$8:$F$3006,B2371,Transactions!$R$8:$R$3006))</f>
        <v/>
      </c>
      <c r="G2371" s="54" t="str">
        <f>IF(B2371="","",(C2371+F2371)-(D2371+E2371+SUMIF(Transactions!$F$8:$F$3006,B2371,Transactions!$Q$8:$Q$3006)))</f>
        <v/>
      </c>
      <c r="H2371" s="55" t="str">
        <f>IF(B2371="","",IF(G2371&gt;0,"OUTSTANDING",IF(G2371=0,"SETTLED",IF(SUMIF(Transactions!$F$8:$F$3006,B2371,Transactions!$Q$8:$Q$3006)&gt;SUMIF(Transactions!$F$8:$F$3006,B2371,Transactions!$R$8:$R$3006),"OWES","OVERPAID"))))</f>
        <v/>
      </c>
      <c r="I2371" s="1"/>
    </row>
    <row r="2372" spans="1:9" ht="18" customHeight="1" x14ac:dyDescent="0.25">
      <c r="A2372" s="40">
        <v>2357</v>
      </c>
      <c r="B2372" s="41" t="str">
        <f t="array" ref="B2372">IFERROR(IF(INDEX(Transactions!$F$8:$F$3006,MATCH(0,COUNTIF($B$11:B2371,Transactions!$F$8:$F$3006),0))="","",INDEX(Transactions!$F$8:$F$3006,MATCH(0,COUNTIF($B$11:B2371,Transactions!$F$8:$F$3006),0))),"")</f>
        <v/>
      </c>
      <c r="C2372" s="42" t="str">
        <f>IF(B2372="","",SUMIF(Transactions!$F$8:$F$3006,B2372,Transactions!$H$8:$H$3006))</f>
        <v/>
      </c>
      <c r="D2372" s="43" t="str">
        <f>IF(B2372="","",SUMIF(Transactions!$F$8:$F$3006,B2372,Transactions!$N$8:$N$3006))</f>
        <v/>
      </c>
      <c r="E2372" s="44" t="str">
        <f>IF(B2372="","",SUMIF(Transactions!$F$8:$F$3006,B2372,Transactions!$O$8:$O$3006))</f>
        <v/>
      </c>
      <c r="F2372" s="45" t="str">
        <f>IF(B2372="","",SUMIF(Transactions!$F$8:$F$3006,B2372,Transactions!$R$8:$R$3006))</f>
        <v/>
      </c>
      <c r="G2372" s="46" t="str">
        <f>IF(B2372="","",(C2372+F2372)-(D2372+E2372+SUMIF(Transactions!$F$8:$F$3006,B2372,Transactions!$Q$8:$Q$3006)))</f>
        <v/>
      </c>
      <c r="H2372" s="47" t="str">
        <f>IF(B2372="","",IF(G2372&gt;0,"OUTSTANDING",IF(G2372=0,"SETTLED",IF(SUMIF(Transactions!$F$8:$F$3006,B2372,Transactions!$Q$8:$Q$3006)&gt;SUMIF(Transactions!$F$8:$F$3006,B2372,Transactions!$R$8:$R$3006),"OWES","OVERPAID"))))</f>
        <v/>
      </c>
      <c r="I2372" s="1"/>
    </row>
    <row r="2373" spans="1:9" ht="18" customHeight="1" x14ac:dyDescent="0.25">
      <c r="A2373" s="48">
        <v>2358</v>
      </c>
      <c r="B2373" s="49" t="str">
        <f t="array" ref="B2373">IFERROR(IF(INDEX(Transactions!$F$8:$F$3006,MATCH(0,COUNTIF($B$11:B2372,Transactions!$F$8:$F$3006),0))="","",INDEX(Transactions!$F$8:$F$3006,MATCH(0,COUNTIF($B$11:B2372,Transactions!$F$8:$F$3006),0))),"")</f>
        <v/>
      </c>
      <c r="C2373" s="50" t="str">
        <f>IF(B2373="","",SUMIF(Transactions!$F$8:$F$3006,B2373,Transactions!$H$8:$H$3006))</f>
        <v/>
      </c>
      <c r="D2373" s="51" t="str">
        <f>IF(B2373="","",SUMIF(Transactions!$F$8:$F$3006,B2373,Transactions!$N$8:$N$3006))</f>
        <v/>
      </c>
      <c r="E2373" s="52" t="str">
        <f>IF(B2373="","",SUMIF(Transactions!$F$8:$F$3006,B2373,Transactions!$O$8:$O$3006))</f>
        <v/>
      </c>
      <c r="F2373" s="53" t="str">
        <f>IF(B2373="","",SUMIF(Transactions!$F$8:$F$3006,B2373,Transactions!$R$8:$R$3006))</f>
        <v/>
      </c>
      <c r="G2373" s="54" t="str">
        <f>IF(B2373="","",(C2373+F2373)-(D2373+E2373+SUMIF(Transactions!$F$8:$F$3006,B2373,Transactions!$Q$8:$Q$3006)))</f>
        <v/>
      </c>
      <c r="H2373" s="55" t="str">
        <f>IF(B2373="","",IF(G2373&gt;0,"OUTSTANDING",IF(G2373=0,"SETTLED",IF(SUMIF(Transactions!$F$8:$F$3006,B2373,Transactions!$Q$8:$Q$3006)&gt;SUMIF(Transactions!$F$8:$F$3006,B2373,Transactions!$R$8:$R$3006),"OWES","OVERPAID"))))</f>
        <v/>
      </c>
      <c r="I2373" s="1"/>
    </row>
    <row r="2374" spans="1:9" ht="18" customHeight="1" x14ac:dyDescent="0.25">
      <c r="A2374" s="40">
        <v>2359</v>
      </c>
      <c r="B2374" s="41" t="str">
        <f t="array" ref="B2374">IFERROR(IF(INDEX(Transactions!$F$8:$F$3006,MATCH(0,COUNTIF($B$11:B2373,Transactions!$F$8:$F$3006),0))="","",INDEX(Transactions!$F$8:$F$3006,MATCH(0,COUNTIF($B$11:B2373,Transactions!$F$8:$F$3006),0))),"")</f>
        <v/>
      </c>
      <c r="C2374" s="42" t="str">
        <f>IF(B2374="","",SUMIF(Transactions!$F$8:$F$3006,B2374,Transactions!$H$8:$H$3006))</f>
        <v/>
      </c>
      <c r="D2374" s="43" t="str">
        <f>IF(B2374="","",SUMIF(Transactions!$F$8:$F$3006,B2374,Transactions!$N$8:$N$3006))</f>
        <v/>
      </c>
      <c r="E2374" s="44" t="str">
        <f>IF(B2374="","",SUMIF(Transactions!$F$8:$F$3006,B2374,Transactions!$O$8:$O$3006))</f>
        <v/>
      </c>
      <c r="F2374" s="45" t="str">
        <f>IF(B2374="","",SUMIF(Transactions!$F$8:$F$3006,B2374,Transactions!$R$8:$R$3006))</f>
        <v/>
      </c>
      <c r="G2374" s="46" t="str">
        <f>IF(B2374="","",(C2374+F2374)-(D2374+E2374+SUMIF(Transactions!$F$8:$F$3006,B2374,Transactions!$Q$8:$Q$3006)))</f>
        <v/>
      </c>
      <c r="H2374" s="47" t="str">
        <f>IF(B2374="","",IF(G2374&gt;0,"OUTSTANDING",IF(G2374=0,"SETTLED",IF(SUMIF(Transactions!$F$8:$F$3006,B2374,Transactions!$Q$8:$Q$3006)&gt;SUMIF(Transactions!$F$8:$F$3006,B2374,Transactions!$R$8:$R$3006),"OWES","OVERPAID"))))</f>
        <v/>
      </c>
      <c r="I2374" s="1"/>
    </row>
    <row r="2375" spans="1:9" ht="18" customHeight="1" x14ac:dyDescent="0.25">
      <c r="A2375" s="48">
        <v>2360</v>
      </c>
      <c r="B2375" s="49" t="str">
        <f t="array" ref="B2375">IFERROR(IF(INDEX(Transactions!$F$8:$F$3006,MATCH(0,COUNTIF($B$11:B2374,Transactions!$F$8:$F$3006),0))="","",INDEX(Transactions!$F$8:$F$3006,MATCH(0,COUNTIF($B$11:B2374,Transactions!$F$8:$F$3006),0))),"")</f>
        <v/>
      </c>
      <c r="C2375" s="50" t="str">
        <f>IF(B2375="","",SUMIF(Transactions!$F$8:$F$3006,B2375,Transactions!$H$8:$H$3006))</f>
        <v/>
      </c>
      <c r="D2375" s="51" t="str">
        <f>IF(B2375="","",SUMIF(Transactions!$F$8:$F$3006,B2375,Transactions!$N$8:$N$3006))</f>
        <v/>
      </c>
      <c r="E2375" s="52" t="str">
        <f>IF(B2375="","",SUMIF(Transactions!$F$8:$F$3006,B2375,Transactions!$O$8:$O$3006))</f>
        <v/>
      </c>
      <c r="F2375" s="53" t="str">
        <f>IF(B2375="","",SUMIF(Transactions!$F$8:$F$3006,B2375,Transactions!$R$8:$R$3006))</f>
        <v/>
      </c>
      <c r="G2375" s="54" t="str">
        <f>IF(B2375="","",(C2375+F2375)-(D2375+E2375+SUMIF(Transactions!$F$8:$F$3006,B2375,Transactions!$Q$8:$Q$3006)))</f>
        <v/>
      </c>
      <c r="H2375" s="55" t="str">
        <f>IF(B2375="","",IF(G2375&gt;0,"OUTSTANDING",IF(G2375=0,"SETTLED",IF(SUMIF(Transactions!$F$8:$F$3006,B2375,Transactions!$Q$8:$Q$3006)&gt;SUMIF(Transactions!$F$8:$F$3006,B2375,Transactions!$R$8:$R$3006),"OWES","OVERPAID"))))</f>
        <v/>
      </c>
      <c r="I2375" s="1"/>
    </row>
    <row r="2376" spans="1:9" ht="18" customHeight="1" x14ac:dyDescent="0.25">
      <c r="A2376" s="40">
        <v>2361</v>
      </c>
      <c r="B2376" s="41" t="str">
        <f t="array" ref="B2376">IFERROR(IF(INDEX(Transactions!$F$8:$F$3006,MATCH(0,COUNTIF($B$11:B2375,Transactions!$F$8:$F$3006),0))="","",INDEX(Transactions!$F$8:$F$3006,MATCH(0,COUNTIF($B$11:B2375,Transactions!$F$8:$F$3006),0))),"")</f>
        <v/>
      </c>
      <c r="C2376" s="42" t="str">
        <f>IF(B2376="","",SUMIF(Transactions!$F$8:$F$3006,B2376,Transactions!$H$8:$H$3006))</f>
        <v/>
      </c>
      <c r="D2376" s="43" t="str">
        <f>IF(B2376="","",SUMIF(Transactions!$F$8:$F$3006,B2376,Transactions!$N$8:$N$3006))</f>
        <v/>
      </c>
      <c r="E2376" s="44" t="str">
        <f>IF(B2376="","",SUMIF(Transactions!$F$8:$F$3006,B2376,Transactions!$O$8:$O$3006))</f>
        <v/>
      </c>
      <c r="F2376" s="45" t="str">
        <f>IF(B2376="","",SUMIF(Transactions!$F$8:$F$3006,B2376,Transactions!$R$8:$R$3006))</f>
        <v/>
      </c>
      <c r="G2376" s="46" t="str">
        <f>IF(B2376="","",(C2376+F2376)-(D2376+E2376+SUMIF(Transactions!$F$8:$F$3006,B2376,Transactions!$Q$8:$Q$3006)))</f>
        <v/>
      </c>
      <c r="H2376" s="47" t="str">
        <f>IF(B2376="","",IF(G2376&gt;0,"OUTSTANDING",IF(G2376=0,"SETTLED",IF(SUMIF(Transactions!$F$8:$F$3006,B2376,Transactions!$Q$8:$Q$3006)&gt;SUMIF(Transactions!$F$8:$F$3006,B2376,Transactions!$R$8:$R$3006),"OWES","OVERPAID"))))</f>
        <v/>
      </c>
      <c r="I2376" s="1"/>
    </row>
    <row r="2377" spans="1:9" ht="18" customHeight="1" x14ac:dyDescent="0.25">
      <c r="A2377" s="48">
        <v>2362</v>
      </c>
      <c r="B2377" s="49" t="str">
        <f t="array" ref="B2377">IFERROR(IF(INDEX(Transactions!$F$8:$F$3006,MATCH(0,COUNTIF($B$11:B2376,Transactions!$F$8:$F$3006),0))="","",INDEX(Transactions!$F$8:$F$3006,MATCH(0,COUNTIF($B$11:B2376,Transactions!$F$8:$F$3006),0))),"")</f>
        <v/>
      </c>
      <c r="C2377" s="50" t="str">
        <f>IF(B2377="","",SUMIF(Transactions!$F$8:$F$3006,B2377,Transactions!$H$8:$H$3006))</f>
        <v/>
      </c>
      <c r="D2377" s="51" t="str">
        <f>IF(B2377="","",SUMIF(Transactions!$F$8:$F$3006,B2377,Transactions!$N$8:$N$3006))</f>
        <v/>
      </c>
      <c r="E2377" s="52" t="str">
        <f>IF(B2377="","",SUMIF(Transactions!$F$8:$F$3006,B2377,Transactions!$O$8:$O$3006))</f>
        <v/>
      </c>
      <c r="F2377" s="53" t="str">
        <f>IF(B2377="","",SUMIF(Transactions!$F$8:$F$3006,B2377,Transactions!$R$8:$R$3006))</f>
        <v/>
      </c>
      <c r="G2377" s="54" t="str">
        <f>IF(B2377="","",(C2377+F2377)-(D2377+E2377+SUMIF(Transactions!$F$8:$F$3006,B2377,Transactions!$Q$8:$Q$3006)))</f>
        <v/>
      </c>
      <c r="H2377" s="55" t="str">
        <f>IF(B2377="","",IF(G2377&gt;0,"OUTSTANDING",IF(G2377=0,"SETTLED",IF(SUMIF(Transactions!$F$8:$F$3006,B2377,Transactions!$Q$8:$Q$3006)&gt;SUMIF(Transactions!$F$8:$F$3006,B2377,Transactions!$R$8:$R$3006),"OWES","OVERPAID"))))</f>
        <v/>
      </c>
      <c r="I2377" s="1"/>
    </row>
    <row r="2378" spans="1:9" ht="18" customHeight="1" x14ac:dyDescent="0.25">
      <c r="A2378" s="40">
        <v>2363</v>
      </c>
      <c r="B2378" s="41" t="str">
        <f t="array" ref="B2378">IFERROR(IF(INDEX(Transactions!$F$8:$F$3006,MATCH(0,COUNTIF($B$11:B2377,Transactions!$F$8:$F$3006),0))="","",INDEX(Transactions!$F$8:$F$3006,MATCH(0,COUNTIF($B$11:B2377,Transactions!$F$8:$F$3006),0))),"")</f>
        <v/>
      </c>
      <c r="C2378" s="42" t="str">
        <f>IF(B2378="","",SUMIF(Transactions!$F$8:$F$3006,B2378,Transactions!$H$8:$H$3006))</f>
        <v/>
      </c>
      <c r="D2378" s="43" t="str">
        <f>IF(B2378="","",SUMIF(Transactions!$F$8:$F$3006,B2378,Transactions!$N$8:$N$3006))</f>
        <v/>
      </c>
      <c r="E2378" s="44" t="str">
        <f>IF(B2378="","",SUMIF(Transactions!$F$8:$F$3006,B2378,Transactions!$O$8:$O$3006))</f>
        <v/>
      </c>
      <c r="F2378" s="45" t="str">
        <f>IF(B2378="","",SUMIF(Transactions!$F$8:$F$3006,B2378,Transactions!$R$8:$R$3006))</f>
        <v/>
      </c>
      <c r="G2378" s="46" t="str">
        <f>IF(B2378="","",(C2378+F2378)-(D2378+E2378+SUMIF(Transactions!$F$8:$F$3006,B2378,Transactions!$Q$8:$Q$3006)))</f>
        <v/>
      </c>
      <c r="H2378" s="47" t="str">
        <f>IF(B2378="","",IF(G2378&gt;0,"OUTSTANDING",IF(G2378=0,"SETTLED",IF(SUMIF(Transactions!$F$8:$F$3006,B2378,Transactions!$Q$8:$Q$3006)&gt;SUMIF(Transactions!$F$8:$F$3006,B2378,Transactions!$R$8:$R$3006),"OWES","OVERPAID"))))</f>
        <v/>
      </c>
      <c r="I2378" s="1"/>
    </row>
    <row r="2379" spans="1:9" ht="18" customHeight="1" x14ac:dyDescent="0.25">
      <c r="A2379" s="48">
        <v>2364</v>
      </c>
      <c r="B2379" s="49" t="str">
        <f t="array" ref="B2379">IFERROR(IF(INDEX(Transactions!$F$8:$F$3006,MATCH(0,COUNTIF($B$11:B2378,Transactions!$F$8:$F$3006),0))="","",INDEX(Transactions!$F$8:$F$3006,MATCH(0,COUNTIF($B$11:B2378,Transactions!$F$8:$F$3006),0))),"")</f>
        <v/>
      </c>
      <c r="C2379" s="50" t="str">
        <f>IF(B2379="","",SUMIF(Transactions!$F$8:$F$3006,B2379,Transactions!$H$8:$H$3006))</f>
        <v/>
      </c>
      <c r="D2379" s="51" t="str">
        <f>IF(B2379="","",SUMIF(Transactions!$F$8:$F$3006,B2379,Transactions!$N$8:$N$3006))</f>
        <v/>
      </c>
      <c r="E2379" s="52" t="str">
        <f>IF(B2379="","",SUMIF(Transactions!$F$8:$F$3006,B2379,Transactions!$O$8:$O$3006))</f>
        <v/>
      </c>
      <c r="F2379" s="53" t="str">
        <f>IF(B2379="","",SUMIF(Transactions!$F$8:$F$3006,B2379,Transactions!$R$8:$R$3006))</f>
        <v/>
      </c>
      <c r="G2379" s="54" t="str">
        <f>IF(B2379="","",(C2379+F2379)-(D2379+E2379+SUMIF(Transactions!$F$8:$F$3006,B2379,Transactions!$Q$8:$Q$3006)))</f>
        <v/>
      </c>
      <c r="H2379" s="55" t="str">
        <f>IF(B2379="","",IF(G2379&gt;0,"OUTSTANDING",IF(G2379=0,"SETTLED",IF(SUMIF(Transactions!$F$8:$F$3006,B2379,Transactions!$Q$8:$Q$3006)&gt;SUMIF(Transactions!$F$8:$F$3006,B2379,Transactions!$R$8:$R$3006),"OWES","OVERPAID"))))</f>
        <v/>
      </c>
      <c r="I2379" s="1"/>
    </row>
    <row r="2380" spans="1:9" ht="18" customHeight="1" x14ac:dyDescent="0.25">
      <c r="A2380" s="40">
        <v>2365</v>
      </c>
      <c r="B2380" s="41" t="str">
        <f t="array" ref="B2380">IFERROR(IF(INDEX(Transactions!$F$8:$F$3006,MATCH(0,COUNTIF($B$11:B2379,Transactions!$F$8:$F$3006),0))="","",INDEX(Transactions!$F$8:$F$3006,MATCH(0,COUNTIF($B$11:B2379,Transactions!$F$8:$F$3006),0))),"")</f>
        <v/>
      </c>
      <c r="C2380" s="42" t="str">
        <f>IF(B2380="","",SUMIF(Transactions!$F$8:$F$3006,B2380,Transactions!$H$8:$H$3006))</f>
        <v/>
      </c>
      <c r="D2380" s="43" t="str">
        <f>IF(B2380="","",SUMIF(Transactions!$F$8:$F$3006,B2380,Transactions!$N$8:$N$3006))</f>
        <v/>
      </c>
      <c r="E2380" s="44" t="str">
        <f>IF(B2380="","",SUMIF(Transactions!$F$8:$F$3006,B2380,Transactions!$O$8:$O$3006))</f>
        <v/>
      </c>
      <c r="F2380" s="45" t="str">
        <f>IF(B2380="","",SUMIF(Transactions!$F$8:$F$3006,B2380,Transactions!$R$8:$R$3006))</f>
        <v/>
      </c>
      <c r="G2380" s="46" t="str">
        <f>IF(B2380="","",(C2380+F2380)-(D2380+E2380+SUMIF(Transactions!$F$8:$F$3006,B2380,Transactions!$Q$8:$Q$3006)))</f>
        <v/>
      </c>
      <c r="H2380" s="47" t="str">
        <f>IF(B2380="","",IF(G2380&gt;0,"OUTSTANDING",IF(G2380=0,"SETTLED",IF(SUMIF(Transactions!$F$8:$F$3006,B2380,Transactions!$Q$8:$Q$3006)&gt;SUMIF(Transactions!$F$8:$F$3006,B2380,Transactions!$R$8:$R$3006),"OWES","OVERPAID"))))</f>
        <v/>
      </c>
      <c r="I2380" s="1"/>
    </row>
    <row r="2381" spans="1:9" ht="18" customHeight="1" x14ac:dyDescent="0.25">
      <c r="A2381" s="48">
        <v>2366</v>
      </c>
      <c r="B2381" s="49" t="str">
        <f t="array" ref="B2381">IFERROR(IF(INDEX(Transactions!$F$8:$F$3006,MATCH(0,COUNTIF($B$11:B2380,Transactions!$F$8:$F$3006),0))="","",INDEX(Transactions!$F$8:$F$3006,MATCH(0,COUNTIF($B$11:B2380,Transactions!$F$8:$F$3006),0))),"")</f>
        <v/>
      </c>
      <c r="C2381" s="50" t="str">
        <f>IF(B2381="","",SUMIF(Transactions!$F$8:$F$3006,B2381,Transactions!$H$8:$H$3006))</f>
        <v/>
      </c>
      <c r="D2381" s="51" t="str">
        <f>IF(B2381="","",SUMIF(Transactions!$F$8:$F$3006,B2381,Transactions!$N$8:$N$3006))</f>
        <v/>
      </c>
      <c r="E2381" s="52" t="str">
        <f>IF(B2381="","",SUMIF(Transactions!$F$8:$F$3006,B2381,Transactions!$O$8:$O$3006))</f>
        <v/>
      </c>
      <c r="F2381" s="53" t="str">
        <f>IF(B2381="","",SUMIF(Transactions!$F$8:$F$3006,B2381,Transactions!$R$8:$R$3006))</f>
        <v/>
      </c>
      <c r="G2381" s="54" t="str">
        <f>IF(B2381="","",(C2381+F2381)-(D2381+E2381+SUMIF(Transactions!$F$8:$F$3006,B2381,Transactions!$Q$8:$Q$3006)))</f>
        <v/>
      </c>
      <c r="H2381" s="55" t="str">
        <f>IF(B2381="","",IF(G2381&gt;0,"OUTSTANDING",IF(G2381=0,"SETTLED",IF(SUMIF(Transactions!$F$8:$F$3006,B2381,Transactions!$Q$8:$Q$3006)&gt;SUMIF(Transactions!$F$8:$F$3006,B2381,Transactions!$R$8:$R$3006),"OWES","OVERPAID"))))</f>
        <v/>
      </c>
      <c r="I2381" s="1"/>
    </row>
    <row r="2382" spans="1:9" ht="18" customHeight="1" x14ac:dyDescent="0.25">
      <c r="A2382" s="40">
        <v>2367</v>
      </c>
      <c r="B2382" s="41" t="str">
        <f t="array" ref="B2382">IFERROR(IF(INDEX(Transactions!$F$8:$F$3006,MATCH(0,COUNTIF($B$11:B2381,Transactions!$F$8:$F$3006),0))="","",INDEX(Transactions!$F$8:$F$3006,MATCH(0,COUNTIF($B$11:B2381,Transactions!$F$8:$F$3006),0))),"")</f>
        <v/>
      </c>
      <c r="C2382" s="42" t="str">
        <f>IF(B2382="","",SUMIF(Transactions!$F$8:$F$3006,B2382,Transactions!$H$8:$H$3006))</f>
        <v/>
      </c>
      <c r="D2382" s="43" t="str">
        <f>IF(B2382="","",SUMIF(Transactions!$F$8:$F$3006,B2382,Transactions!$N$8:$N$3006))</f>
        <v/>
      </c>
      <c r="E2382" s="44" t="str">
        <f>IF(B2382="","",SUMIF(Transactions!$F$8:$F$3006,B2382,Transactions!$O$8:$O$3006))</f>
        <v/>
      </c>
      <c r="F2382" s="45" t="str">
        <f>IF(B2382="","",SUMIF(Transactions!$F$8:$F$3006,B2382,Transactions!$R$8:$R$3006))</f>
        <v/>
      </c>
      <c r="G2382" s="46" t="str">
        <f>IF(B2382="","",(C2382+F2382)-(D2382+E2382+SUMIF(Transactions!$F$8:$F$3006,B2382,Transactions!$Q$8:$Q$3006)))</f>
        <v/>
      </c>
      <c r="H2382" s="47" t="str">
        <f>IF(B2382="","",IF(G2382&gt;0,"OUTSTANDING",IF(G2382=0,"SETTLED",IF(SUMIF(Transactions!$F$8:$F$3006,B2382,Transactions!$Q$8:$Q$3006)&gt;SUMIF(Transactions!$F$8:$F$3006,B2382,Transactions!$R$8:$R$3006),"OWES","OVERPAID"))))</f>
        <v/>
      </c>
      <c r="I2382" s="1"/>
    </row>
    <row r="2383" spans="1:9" ht="18" customHeight="1" x14ac:dyDescent="0.25">
      <c r="A2383" s="48">
        <v>2368</v>
      </c>
      <c r="B2383" s="49" t="str">
        <f t="array" ref="B2383">IFERROR(IF(INDEX(Transactions!$F$8:$F$3006,MATCH(0,COUNTIF($B$11:B2382,Transactions!$F$8:$F$3006),0))="","",INDEX(Transactions!$F$8:$F$3006,MATCH(0,COUNTIF($B$11:B2382,Transactions!$F$8:$F$3006),0))),"")</f>
        <v/>
      </c>
      <c r="C2383" s="50" t="str">
        <f>IF(B2383="","",SUMIF(Transactions!$F$8:$F$3006,B2383,Transactions!$H$8:$H$3006))</f>
        <v/>
      </c>
      <c r="D2383" s="51" t="str">
        <f>IF(B2383="","",SUMIF(Transactions!$F$8:$F$3006,B2383,Transactions!$N$8:$N$3006))</f>
        <v/>
      </c>
      <c r="E2383" s="52" t="str">
        <f>IF(B2383="","",SUMIF(Transactions!$F$8:$F$3006,B2383,Transactions!$O$8:$O$3006))</f>
        <v/>
      </c>
      <c r="F2383" s="53" t="str">
        <f>IF(B2383="","",SUMIF(Transactions!$F$8:$F$3006,B2383,Transactions!$R$8:$R$3006))</f>
        <v/>
      </c>
      <c r="G2383" s="54" t="str">
        <f>IF(B2383="","",(C2383+F2383)-(D2383+E2383+SUMIF(Transactions!$F$8:$F$3006,B2383,Transactions!$Q$8:$Q$3006)))</f>
        <v/>
      </c>
      <c r="H2383" s="55" t="str">
        <f>IF(B2383="","",IF(G2383&gt;0,"OUTSTANDING",IF(G2383=0,"SETTLED",IF(SUMIF(Transactions!$F$8:$F$3006,B2383,Transactions!$Q$8:$Q$3006)&gt;SUMIF(Transactions!$F$8:$F$3006,B2383,Transactions!$R$8:$R$3006),"OWES","OVERPAID"))))</f>
        <v/>
      </c>
      <c r="I2383" s="1"/>
    </row>
    <row r="2384" spans="1:9" ht="18" customHeight="1" x14ac:dyDescent="0.25">
      <c r="A2384" s="40">
        <v>2369</v>
      </c>
      <c r="B2384" s="41" t="str">
        <f t="array" ref="B2384">IFERROR(IF(INDEX(Transactions!$F$8:$F$3006,MATCH(0,COUNTIF($B$11:B2383,Transactions!$F$8:$F$3006),0))="","",INDEX(Transactions!$F$8:$F$3006,MATCH(0,COUNTIF($B$11:B2383,Transactions!$F$8:$F$3006),0))),"")</f>
        <v/>
      </c>
      <c r="C2384" s="42" t="str">
        <f>IF(B2384="","",SUMIF(Transactions!$F$8:$F$3006,B2384,Transactions!$H$8:$H$3006))</f>
        <v/>
      </c>
      <c r="D2384" s="43" t="str">
        <f>IF(B2384="","",SUMIF(Transactions!$F$8:$F$3006,B2384,Transactions!$N$8:$N$3006))</f>
        <v/>
      </c>
      <c r="E2384" s="44" t="str">
        <f>IF(B2384="","",SUMIF(Transactions!$F$8:$F$3006,B2384,Transactions!$O$8:$O$3006))</f>
        <v/>
      </c>
      <c r="F2384" s="45" t="str">
        <f>IF(B2384="","",SUMIF(Transactions!$F$8:$F$3006,B2384,Transactions!$R$8:$R$3006))</f>
        <v/>
      </c>
      <c r="G2384" s="46" t="str">
        <f>IF(B2384="","",(C2384+F2384)-(D2384+E2384+SUMIF(Transactions!$F$8:$F$3006,B2384,Transactions!$Q$8:$Q$3006)))</f>
        <v/>
      </c>
      <c r="H2384" s="47" t="str">
        <f>IF(B2384="","",IF(G2384&gt;0,"OUTSTANDING",IF(G2384=0,"SETTLED",IF(SUMIF(Transactions!$F$8:$F$3006,B2384,Transactions!$Q$8:$Q$3006)&gt;SUMIF(Transactions!$F$8:$F$3006,B2384,Transactions!$R$8:$R$3006),"OWES","OVERPAID"))))</f>
        <v/>
      </c>
      <c r="I2384" s="1"/>
    </row>
    <row r="2385" spans="1:9" ht="18" customHeight="1" x14ac:dyDescent="0.25">
      <c r="A2385" s="48">
        <v>2370</v>
      </c>
      <c r="B2385" s="49" t="str">
        <f t="array" ref="B2385">IFERROR(IF(INDEX(Transactions!$F$8:$F$3006,MATCH(0,COUNTIF($B$11:B2384,Transactions!$F$8:$F$3006),0))="","",INDEX(Transactions!$F$8:$F$3006,MATCH(0,COUNTIF($B$11:B2384,Transactions!$F$8:$F$3006),0))),"")</f>
        <v/>
      </c>
      <c r="C2385" s="50" t="str">
        <f>IF(B2385="","",SUMIF(Transactions!$F$8:$F$3006,B2385,Transactions!$H$8:$H$3006))</f>
        <v/>
      </c>
      <c r="D2385" s="51" t="str">
        <f>IF(B2385="","",SUMIF(Transactions!$F$8:$F$3006,B2385,Transactions!$N$8:$N$3006))</f>
        <v/>
      </c>
      <c r="E2385" s="52" t="str">
        <f>IF(B2385="","",SUMIF(Transactions!$F$8:$F$3006,B2385,Transactions!$O$8:$O$3006))</f>
        <v/>
      </c>
      <c r="F2385" s="53" t="str">
        <f>IF(B2385="","",SUMIF(Transactions!$F$8:$F$3006,B2385,Transactions!$R$8:$R$3006))</f>
        <v/>
      </c>
      <c r="G2385" s="54" t="str">
        <f>IF(B2385="","",(C2385+F2385)-(D2385+E2385+SUMIF(Transactions!$F$8:$F$3006,B2385,Transactions!$Q$8:$Q$3006)))</f>
        <v/>
      </c>
      <c r="H2385" s="55" t="str">
        <f>IF(B2385="","",IF(G2385&gt;0,"OUTSTANDING",IF(G2385=0,"SETTLED",IF(SUMIF(Transactions!$F$8:$F$3006,B2385,Transactions!$Q$8:$Q$3006)&gt;SUMIF(Transactions!$F$8:$F$3006,B2385,Transactions!$R$8:$R$3006),"OWES","OVERPAID"))))</f>
        <v/>
      </c>
      <c r="I2385" s="1"/>
    </row>
    <row r="2386" spans="1:9" ht="18" customHeight="1" x14ac:dyDescent="0.25">
      <c r="A2386" s="40">
        <v>2371</v>
      </c>
      <c r="B2386" s="41" t="str">
        <f t="array" ref="B2386">IFERROR(IF(INDEX(Transactions!$F$8:$F$3006,MATCH(0,COUNTIF($B$11:B2385,Transactions!$F$8:$F$3006),0))="","",INDEX(Transactions!$F$8:$F$3006,MATCH(0,COUNTIF($B$11:B2385,Transactions!$F$8:$F$3006),0))),"")</f>
        <v/>
      </c>
      <c r="C2386" s="42" t="str">
        <f>IF(B2386="","",SUMIF(Transactions!$F$8:$F$3006,B2386,Transactions!$H$8:$H$3006))</f>
        <v/>
      </c>
      <c r="D2386" s="43" t="str">
        <f>IF(B2386="","",SUMIF(Transactions!$F$8:$F$3006,B2386,Transactions!$N$8:$N$3006))</f>
        <v/>
      </c>
      <c r="E2386" s="44" t="str">
        <f>IF(B2386="","",SUMIF(Transactions!$F$8:$F$3006,B2386,Transactions!$O$8:$O$3006))</f>
        <v/>
      </c>
      <c r="F2386" s="45" t="str">
        <f>IF(B2386="","",SUMIF(Transactions!$F$8:$F$3006,B2386,Transactions!$R$8:$R$3006))</f>
        <v/>
      </c>
      <c r="G2386" s="46" t="str">
        <f>IF(B2386="","",(C2386+F2386)-(D2386+E2386+SUMIF(Transactions!$F$8:$F$3006,B2386,Transactions!$Q$8:$Q$3006)))</f>
        <v/>
      </c>
      <c r="H2386" s="47" t="str">
        <f>IF(B2386="","",IF(G2386&gt;0,"OUTSTANDING",IF(G2386=0,"SETTLED",IF(SUMIF(Transactions!$F$8:$F$3006,B2386,Transactions!$Q$8:$Q$3006)&gt;SUMIF(Transactions!$F$8:$F$3006,B2386,Transactions!$R$8:$R$3006),"OWES","OVERPAID"))))</f>
        <v/>
      </c>
      <c r="I2386" s="1"/>
    </row>
    <row r="2387" spans="1:9" ht="18" customHeight="1" x14ac:dyDescent="0.25">
      <c r="A2387" s="48">
        <v>2372</v>
      </c>
      <c r="B2387" s="49" t="str">
        <f t="array" ref="B2387">IFERROR(IF(INDEX(Transactions!$F$8:$F$3006,MATCH(0,COUNTIF($B$11:B2386,Transactions!$F$8:$F$3006),0))="","",INDEX(Transactions!$F$8:$F$3006,MATCH(0,COUNTIF($B$11:B2386,Transactions!$F$8:$F$3006),0))),"")</f>
        <v/>
      </c>
      <c r="C2387" s="50" t="str">
        <f>IF(B2387="","",SUMIF(Transactions!$F$8:$F$3006,B2387,Transactions!$H$8:$H$3006))</f>
        <v/>
      </c>
      <c r="D2387" s="51" t="str">
        <f>IF(B2387="","",SUMIF(Transactions!$F$8:$F$3006,B2387,Transactions!$N$8:$N$3006))</f>
        <v/>
      </c>
      <c r="E2387" s="52" t="str">
        <f>IF(B2387="","",SUMIF(Transactions!$F$8:$F$3006,B2387,Transactions!$O$8:$O$3006))</f>
        <v/>
      </c>
      <c r="F2387" s="53" t="str">
        <f>IF(B2387="","",SUMIF(Transactions!$F$8:$F$3006,B2387,Transactions!$R$8:$R$3006))</f>
        <v/>
      </c>
      <c r="G2387" s="54" t="str">
        <f>IF(B2387="","",(C2387+F2387)-(D2387+E2387+SUMIF(Transactions!$F$8:$F$3006,B2387,Transactions!$Q$8:$Q$3006)))</f>
        <v/>
      </c>
      <c r="H2387" s="55" t="str">
        <f>IF(B2387="","",IF(G2387&gt;0,"OUTSTANDING",IF(G2387=0,"SETTLED",IF(SUMIF(Transactions!$F$8:$F$3006,B2387,Transactions!$Q$8:$Q$3006)&gt;SUMIF(Transactions!$F$8:$F$3006,B2387,Transactions!$R$8:$R$3006),"OWES","OVERPAID"))))</f>
        <v/>
      </c>
      <c r="I2387" s="1"/>
    </row>
    <row r="2388" spans="1:9" ht="18" customHeight="1" x14ac:dyDescent="0.25">
      <c r="A2388" s="40">
        <v>2373</v>
      </c>
      <c r="B2388" s="41" t="str">
        <f t="array" ref="B2388">IFERROR(IF(INDEX(Transactions!$F$8:$F$3006,MATCH(0,COUNTIF($B$11:B2387,Transactions!$F$8:$F$3006),0))="","",INDEX(Transactions!$F$8:$F$3006,MATCH(0,COUNTIF($B$11:B2387,Transactions!$F$8:$F$3006),0))),"")</f>
        <v/>
      </c>
      <c r="C2388" s="42" t="str">
        <f>IF(B2388="","",SUMIF(Transactions!$F$8:$F$3006,B2388,Transactions!$H$8:$H$3006))</f>
        <v/>
      </c>
      <c r="D2388" s="43" t="str">
        <f>IF(B2388="","",SUMIF(Transactions!$F$8:$F$3006,B2388,Transactions!$N$8:$N$3006))</f>
        <v/>
      </c>
      <c r="E2388" s="44" t="str">
        <f>IF(B2388="","",SUMIF(Transactions!$F$8:$F$3006,B2388,Transactions!$O$8:$O$3006))</f>
        <v/>
      </c>
      <c r="F2388" s="45" t="str">
        <f>IF(B2388="","",SUMIF(Transactions!$F$8:$F$3006,B2388,Transactions!$R$8:$R$3006))</f>
        <v/>
      </c>
      <c r="G2388" s="46" t="str">
        <f>IF(B2388="","",(C2388+F2388)-(D2388+E2388+SUMIF(Transactions!$F$8:$F$3006,B2388,Transactions!$Q$8:$Q$3006)))</f>
        <v/>
      </c>
      <c r="H2388" s="47" t="str">
        <f>IF(B2388="","",IF(G2388&gt;0,"OUTSTANDING",IF(G2388=0,"SETTLED",IF(SUMIF(Transactions!$F$8:$F$3006,B2388,Transactions!$Q$8:$Q$3006)&gt;SUMIF(Transactions!$F$8:$F$3006,B2388,Transactions!$R$8:$R$3006),"OWES","OVERPAID"))))</f>
        <v/>
      </c>
      <c r="I2388" s="1"/>
    </row>
    <row r="2389" spans="1:9" ht="18" customHeight="1" x14ac:dyDescent="0.25">
      <c r="A2389" s="48">
        <v>2374</v>
      </c>
      <c r="B2389" s="49" t="str">
        <f t="array" ref="B2389">IFERROR(IF(INDEX(Transactions!$F$8:$F$3006,MATCH(0,COUNTIF($B$11:B2388,Transactions!$F$8:$F$3006),0))="","",INDEX(Transactions!$F$8:$F$3006,MATCH(0,COUNTIF($B$11:B2388,Transactions!$F$8:$F$3006),0))),"")</f>
        <v/>
      </c>
      <c r="C2389" s="50" t="str">
        <f>IF(B2389="","",SUMIF(Transactions!$F$8:$F$3006,B2389,Transactions!$H$8:$H$3006))</f>
        <v/>
      </c>
      <c r="D2389" s="51" t="str">
        <f>IF(B2389="","",SUMIF(Transactions!$F$8:$F$3006,B2389,Transactions!$N$8:$N$3006))</f>
        <v/>
      </c>
      <c r="E2389" s="52" t="str">
        <f>IF(B2389="","",SUMIF(Transactions!$F$8:$F$3006,B2389,Transactions!$O$8:$O$3006))</f>
        <v/>
      </c>
      <c r="F2389" s="53" t="str">
        <f>IF(B2389="","",SUMIF(Transactions!$F$8:$F$3006,B2389,Transactions!$R$8:$R$3006))</f>
        <v/>
      </c>
      <c r="G2389" s="54" t="str">
        <f>IF(B2389="","",(C2389+F2389)-(D2389+E2389+SUMIF(Transactions!$F$8:$F$3006,B2389,Transactions!$Q$8:$Q$3006)))</f>
        <v/>
      </c>
      <c r="H2389" s="55" t="str">
        <f>IF(B2389="","",IF(G2389&gt;0,"OUTSTANDING",IF(G2389=0,"SETTLED",IF(SUMIF(Transactions!$F$8:$F$3006,B2389,Transactions!$Q$8:$Q$3006)&gt;SUMIF(Transactions!$F$8:$F$3006,B2389,Transactions!$R$8:$R$3006),"OWES","OVERPAID"))))</f>
        <v/>
      </c>
      <c r="I2389" s="1"/>
    </row>
    <row r="2390" spans="1:9" ht="18" customHeight="1" x14ac:dyDescent="0.25">
      <c r="A2390" s="40">
        <v>2375</v>
      </c>
      <c r="B2390" s="41" t="str">
        <f t="array" ref="B2390">IFERROR(IF(INDEX(Transactions!$F$8:$F$3006,MATCH(0,COUNTIF($B$11:B2389,Transactions!$F$8:$F$3006),0))="","",INDEX(Transactions!$F$8:$F$3006,MATCH(0,COUNTIF($B$11:B2389,Transactions!$F$8:$F$3006),0))),"")</f>
        <v/>
      </c>
      <c r="C2390" s="42" t="str">
        <f>IF(B2390="","",SUMIF(Transactions!$F$8:$F$3006,B2390,Transactions!$H$8:$H$3006))</f>
        <v/>
      </c>
      <c r="D2390" s="43" t="str">
        <f>IF(B2390="","",SUMIF(Transactions!$F$8:$F$3006,B2390,Transactions!$N$8:$N$3006))</f>
        <v/>
      </c>
      <c r="E2390" s="44" t="str">
        <f>IF(B2390="","",SUMIF(Transactions!$F$8:$F$3006,B2390,Transactions!$O$8:$O$3006))</f>
        <v/>
      </c>
      <c r="F2390" s="45" t="str">
        <f>IF(B2390="","",SUMIF(Transactions!$F$8:$F$3006,B2390,Transactions!$R$8:$R$3006))</f>
        <v/>
      </c>
      <c r="G2390" s="46" t="str">
        <f>IF(B2390="","",(C2390+F2390)-(D2390+E2390+SUMIF(Transactions!$F$8:$F$3006,B2390,Transactions!$Q$8:$Q$3006)))</f>
        <v/>
      </c>
      <c r="H2390" s="47" t="str">
        <f>IF(B2390="","",IF(G2390&gt;0,"OUTSTANDING",IF(G2390=0,"SETTLED",IF(SUMIF(Transactions!$F$8:$F$3006,B2390,Transactions!$Q$8:$Q$3006)&gt;SUMIF(Transactions!$F$8:$F$3006,B2390,Transactions!$R$8:$R$3006),"OWES","OVERPAID"))))</f>
        <v/>
      </c>
      <c r="I2390" s="1"/>
    </row>
    <row r="2391" spans="1:9" ht="18" customHeight="1" x14ac:dyDescent="0.25">
      <c r="A2391" s="48">
        <v>2376</v>
      </c>
      <c r="B2391" s="49" t="str">
        <f t="array" ref="B2391">IFERROR(IF(INDEX(Transactions!$F$8:$F$3006,MATCH(0,COUNTIF($B$11:B2390,Transactions!$F$8:$F$3006),0))="","",INDEX(Transactions!$F$8:$F$3006,MATCH(0,COUNTIF($B$11:B2390,Transactions!$F$8:$F$3006),0))),"")</f>
        <v/>
      </c>
      <c r="C2391" s="50" t="str">
        <f>IF(B2391="","",SUMIF(Transactions!$F$8:$F$3006,B2391,Transactions!$H$8:$H$3006))</f>
        <v/>
      </c>
      <c r="D2391" s="51" t="str">
        <f>IF(B2391="","",SUMIF(Transactions!$F$8:$F$3006,B2391,Transactions!$N$8:$N$3006))</f>
        <v/>
      </c>
      <c r="E2391" s="52" t="str">
        <f>IF(B2391="","",SUMIF(Transactions!$F$8:$F$3006,B2391,Transactions!$O$8:$O$3006))</f>
        <v/>
      </c>
      <c r="F2391" s="53" t="str">
        <f>IF(B2391="","",SUMIF(Transactions!$F$8:$F$3006,B2391,Transactions!$R$8:$R$3006))</f>
        <v/>
      </c>
      <c r="G2391" s="54" t="str">
        <f>IF(B2391="","",(C2391+F2391)-(D2391+E2391+SUMIF(Transactions!$F$8:$F$3006,B2391,Transactions!$Q$8:$Q$3006)))</f>
        <v/>
      </c>
      <c r="H2391" s="55" t="str">
        <f>IF(B2391="","",IF(G2391&gt;0,"OUTSTANDING",IF(G2391=0,"SETTLED",IF(SUMIF(Transactions!$F$8:$F$3006,B2391,Transactions!$Q$8:$Q$3006)&gt;SUMIF(Transactions!$F$8:$F$3006,B2391,Transactions!$R$8:$R$3006),"OWES","OVERPAID"))))</f>
        <v/>
      </c>
      <c r="I2391" s="1"/>
    </row>
    <row r="2392" spans="1:9" ht="18" customHeight="1" x14ac:dyDescent="0.25">
      <c r="A2392" s="40">
        <v>2377</v>
      </c>
      <c r="B2392" s="41" t="str">
        <f t="array" ref="B2392">IFERROR(IF(INDEX(Transactions!$F$8:$F$3006,MATCH(0,COUNTIF($B$11:B2391,Transactions!$F$8:$F$3006),0))="","",INDEX(Transactions!$F$8:$F$3006,MATCH(0,COUNTIF($B$11:B2391,Transactions!$F$8:$F$3006),0))),"")</f>
        <v/>
      </c>
      <c r="C2392" s="42" t="str">
        <f>IF(B2392="","",SUMIF(Transactions!$F$8:$F$3006,B2392,Transactions!$H$8:$H$3006))</f>
        <v/>
      </c>
      <c r="D2392" s="43" t="str">
        <f>IF(B2392="","",SUMIF(Transactions!$F$8:$F$3006,B2392,Transactions!$N$8:$N$3006))</f>
        <v/>
      </c>
      <c r="E2392" s="44" t="str">
        <f>IF(B2392="","",SUMIF(Transactions!$F$8:$F$3006,B2392,Transactions!$O$8:$O$3006))</f>
        <v/>
      </c>
      <c r="F2392" s="45" t="str">
        <f>IF(B2392="","",SUMIF(Transactions!$F$8:$F$3006,B2392,Transactions!$R$8:$R$3006))</f>
        <v/>
      </c>
      <c r="G2392" s="46" t="str">
        <f>IF(B2392="","",(C2392+F2392)-(D2392+E2392+SUMIF(Transactions!$F$8:$F$3006,B2392,Transactions!$Q$8:$Q$3006)))</f>
        <v/>
      </c>
      <c r="H2392" s="47" t="str">
        <f>IF(B2392="","",IF(G2392&gt;0,"OUTSTANDING",IF(G2392=0,"SETTLED",IF(SUMIF(Transactions!$F$8:$F$3006,B2392,Transactions!$Q$8:$Q$3006)&gt;SUMIF(Transactions!$F$8:$F$3006,B2392,Transactions!$R$8:$R$3006),"OWES","OVERPAID"))))</f>
        <v/>
      </c>
      <c r="I2392" s="1"/>
    </row>
    <row r="2393" spans="1:9" ht="18" customHeight="1" x14ac:dyDescent="0.25">
      <c r="A2393" s="48">
        <v>2378</v>
      </c>
      <c r="B2393" s="49" t="str">
        <f t="array" ref="B2393">IFERROR(IF(INDEX(Transactions!$F$8:$F$3006,MATCH(0,COUNTIF($B$11:B2392,Transactions!$F$8:$F$3006),0))="","",INDEX(Transactions!$F$8:$F$3006,MATCH(0,COUNTIF($B$11:B2392,Transactions!$F$8:$F$3006),0))),"")</f>
        <v/>
      </c>
      <c r="C2393" s="50" t="str">
        <f>IF(B2393="","",SUMIF(Transactions!$F$8:$F$3006,B2393,Transactions!$H$8:$H$3006))</f>
        <v/>
      </c>
      <c r="D2393" s="51" t="str">
        <f>IF(B2393="","",SUMIF(Transactions!$F$8:$F$3006,B2393,Transactions!$N$8:$N$3006))</f>
        <v/>
      </c>
      <c r="E2393" s="52" t="str">
        <f>IF(B2393="","",SUMIF(Transactions!$F$8:$F$3006,B2393,Transactions!$O$8:$O$3006))</f>
        <v/>
      </c>
      <c r="F2393" s="53" t="str">
        <f>IF(B2393="","",SUMIF(Transactions!$F$8:$F$3006,B2393,Transactions!$R$8:$R$3006))</f>
        <v/>
      </c>
      <c r="G2393" s="54" t="str">
        <f>IF(B2393="","",(C2393+F2393)-(D2393+E2393+SUMIF(Transactions!$F$8:$F$3006,B2393,Transactions!$Q$8:$Q$3006)))</f>
        <v/>
      </c>
      <c r="H2393" s="55" t="str">
        <f>IF(B2393="","",IF(G2393&gt;0,"OUTSTANDING",IF(G2393=0,"SETTLED",IF(SUMIF(Transactions!$F$8:$F$3006,B2393,Transactions!$Q$8:$Q$3006)&gt;SUMIF(Transactions!$F$8:$F$3006,B2393,Transactions!$R$8:$R$3006),"OWES","OVERPAID"))))</f>
        <v/>
      </c>
      <c r="I2393" s="1"/>
    </row>
    <row r="2394" spans="1:9" ht="18" customHeight="1" x14ac:dyDescent="0.25">
      <c r="A2394" s="40">
        <v>2379</v>
      </c>
      <c r="B2394" s="41" t="str">
        <f t="array" ref="B2394">IFERROR(IF(INDEX(Transactions!$F$8:$F$3006,MATCH(0,COUNTIF($B$11:B2393,Transactions!$F$8:$F$3006),0))="","",INDEX(Transactions!$F$8:$F$3006,MATCH(0,COUNTIF($B$11:B2393,Transactions!$F$8:$F$3006),0))),"")</f>
        <v/>
      </c>
      <c r="C2394" s="42" t="str">
        <f>IF(B2394="","",SUMIF(Transactions!$F$8:$F$3006,B2394,Transactions!$H$8:$H$3006))</f>
        <v/>
      </c>
      <c r="D2394" s="43" t="str">
        <f>IF(B2394="","",SUMIF(Transactions!$F$8:$F$3006,B2394,Transactions!$N$8:$N$3006))</f>
        <v/>
      </c>
      <c r="E2394" s="44" t="str">
        <f>IF(B2394="","",SUMIF(Transactions!$F$8:$F$3006,B2394,Transactions!$O$8:$O$3006))</f>
        <v/>
      </c>
      <c r="F2394" s="45" t="str">
        <f>IF(B2394="","",SUMIF(Transactions!$F$8:$F$3006,B2394,Transactions!$R$8:$R$3006))</f>
        <v/>
      </c>
      <c r="G2394" s="46" t="str">
        <f>IF(B2394="","",(C2394+F2394)-(D2394+E2394+SUMIF(Transactions!$F$8:$F$3006,B2394,Transactions!$Q$8:$Q$3006)))</f>
        <v/>
      </c>
      <c r="H2394" s="47" t="str">
        <f>IF(B2394="","",IF(G2394&gt;0,"OUTSTANDING",IF(G2394=0,"SETTLED",IF(SUMIF(Transactions!$F$8:$F$3006,B2394,Transactions!$Q$8:$Q$3006)&gt;SUMIF(Transactions!$F$8:$F$3006,B2394,Transactions!$R$8:$R$3006),"OWES","OVERPAID"))))</f>
        <v/>
      </c>
      <c r="I2394" s="1"/>
    </row>
    <row r="2395" spans="1:9" ht="18" customHeight="1" x14ac:dyDescent="0.25">
      <c r="A2395" s="48">
        <v>2380</v>
      </c>
      <c r="B2395" s="49" t="str">
        <f t="array" ref="B2395">IFERROR(IF(INDEX(Transactions!$F$8:$F$3006,MATCH(0,COUNTIF($B$11:B2394,Transactions!$F$8:$F$3006),0))="","",INDEX(Transactions!$F$8:$F$3006,MATCH(0,COUNTIF($B$11:B2394,Transactions!$F$8:$F$3006),0))),"")</f>
        <v/>
      </c>
      <c r="C2395" s="50" t="str">
        <f>IF(B2395="","",SUMIF(Transactions!$F$8:$F$3006,B2395,Transactions!$H$8:$H$3006))</f>
        <v/>
      </c>
      <c r="D2395" s="51" t="str">
        <f>IF(B2395="","",SUMIF(Transactions!$F$8:$F$3006,B2395,Transactions!$N$8:$N$3006))</f>
        <v/>
      </c>
      <c r="E2395" s="52" t="str">
        <f>IF(B2395="","",SUMIF(Transactions!$F$8:$F$3006,B2395,Transactions!$O$8:$O$3006))</f>
        <v/>
      </c>
      <c r="F2395" s="53" t="str">
        <f>IF(B2395="","",SUMIF(Transactions!$F$8:$F$3006,B2395,Transactions!$R$8:$R$3006))</f>
        <v/>
      </c>
      <c r="G2395" s="54" t="str">
        <f>IF(B2395="","",(C2395+F2395)-(D2395+E2395+SUMIF(Transactions!$F$8:$F$3006,B2395,Transactions!$Q$8:$Q$3006)))</f>
        <v/>
      </c>
      <c r="H2395" s="55" t="str">
        <f>IF(B2395="","",IF(G2395&gt;0,"OUTSTANDING",IF(G2395=0,"SETTLED",IF(SUMIF(Transactions!$F$8:$F$3006,B2395,Transactions!$Q$8:$Q$3006)&gt;SUMIF(Transactions!$F$8:$F$3006,B2395,Transactions!$R$8:$R$3006),"OWES","OVERPAID"))))</f>
        <v/>
      </c>
      <c r="I2395" s="1"/>
    </row>
    <row r="2396" spans="1:9" ht="18" customHeight="1" x14ac:dyDescent="0.25">
      <c r="A2396" s="40">
        <v>2381</v>
      </c>
      <c r="B2396" s="41" t="str">
        <f t="array" ref="B2396">IFERROR(IF(INDEX(Transactions!$F$8:$F$3006,MATCH(0,COUNTIF($B$11:B2395,Transactions!$F$8:$F$3006),0))="","",INDEX(Transactions!$F$8:$F$3006,MATCH(0,COUNTIF($B$11:B2395,Transactions!$F$8:$F$3006),0))),"")</f>
        <v/>
      </c>
      <c r="C2396" s="42" t="str">
        <f>IF(B2396="","",SUMIF(Transactions!$F$8:$F$3006,B2396,Transactions!$H$8:$H$3006))</f>
        <v/>
      </c>
      <c r="D2396" s="43" t="str">
        <f>IF(B2396="","",SUMIF(Transactions!$F$8:$F$3006,B2396,Transactions!$N$8:$N$3006))</f>
        <v/>
      </c>
      <c r="E2396" s="44" t="str">
        <f>IF(B2396="","",SUMIF(Transactions!$F$8:$F$3006,B2396,Transactions!$O$8:$O$3006))</f>
        <v/>
      </c>
      <c r="F2396" s="45" t="str">
        <f>IF(B2396="","",SUMIF(Transactions!$F$8:$F$3006,B2396,Transactions!$R$8:$R$3006))</f>
        <v/>
      </c>
      <c r="G2396" s="46" t="str">
        <f>IF(B2396="","",(C2396+F2396)-(D2396+E2396+SUMIF(Transactions!$F$8:$F$3006,B2396,Transactions!$Q$8:$Q$3006)))</f>
        <v/>
      </c>
      <c r="H2396" s="47" t="str">
        <f>IF(B2396="","",IF(G2396&gt;0,"OUTSTANDING",IF(G2396=0,"SETTLED",IF(SUMIF(Transactions!$F$8:$F$3006,B2396,Transactions!$Q$8:$Q$3006)&gt;SUMIF(Transactions!$F$8:$F$3006,B2396,Transactions!$R$8:$R$3006),"OWES","OVERPAID"))))</f>
        <v/>
      </c>
      <c r="I2396" s="1"/>
    </row>
    <row r="2397" spans="1:9" ht="18" customHeight="1" x14ac:dyDescent="0.25">
      <c r="A2397" s="48">
        <v>2382</v>
      </c>
      <c r="B2397" s="49" t="str">
        <f t="array" ref="B2397">IFERROR(IF(INDEX(Transactions!$F$8:$F$3006,MATCH(0,COUNTIF($B$11:B2396,Transactions!$F$8:$F$3006),0))="","",INDEX(Transactions!$F$8:$F$3006,MATCH(0,COUNTIF($B$11:B2396,Transactions!$F$8:$F$3006),0))),"")</f>
        <v/>
      </c>
      <c r="C2397" s="50" t="str">
        <f>IF(B2397="","",SUMIF(Transactions!$F$8:$F$3006,B2397,Transactions!$H$8:$H$3006))</f>
        <v/>
      </c>
      <c r="D2397" s="51" t="str">
        <f>IF(B2397="","",SUMIF(Transactions!$F$8:$F$3006,B2397,Transactions!$N$8:$N$3006))</f>
        <v/>
      </c>
      <c r="E2397" s="52" t="str">
        <f>IF(B2397="","",SUMIF(Transactions!$F$8:$F$3006,B2397,Transactions!$O$8:$O$3006))</f>
        <v/>
      </c>
      <c r="F2397" s="53" t="str">
        <f>IF(B2397="","",SUMIF(Transactions!$F$8:$F$3006,B2397,Transactions!$R$8:$R$3006))</f>
        <v/>
      </c>
      <c r="G2397" s="54" t="str">
        <f>IF(B2397="","",(C2397+F2397)-(D2397+E2397+SUMIF(Transactions!$F$8:$F$3006,B2397,Transactions!$Q$8:$Q$3006)))</f>
        <v/>
      </c>
      <c r="H2397" s="55" t="str">
        <f>IF(B2397="","",IF(G2397&gt;0,"OUTSTANDING",IF(G2397=0,"SETTLED",IF(SUMIF(Transactions!$F$8:$F$3006,B2397,Transactions!$Q$8:$Q$3006)&gt;SUMIF(Transactions!$F$8:$F$3006,B2397,Transactions!$R$8:$R$3006),"OWES","OVERPAID"))))</f>
        <v/>
      </c>
      <c r="I2397" s="1"/>
    </row>
    <row r="2398" spans="1:9" ht="18" customHeight="1" x14ac:dyDescent="0.25">
      <c r="A2398" s="40">
        <v>2383</v>
      </c>
      <c r="B2398" s="41" t="str">
        <f t="array" ref="B2398">IFERROR(IF(INDEX(Transactions!$F$8:$F$3006,MATCH(0,COUNTIF($B$11:B2397,Transactions!$F$8:$F$3006),0))="","",INDEX(Transactions!$F$8:$F$3006,MATCH(0,COUNTIF($B$11:B2397,Transactions!$F$8:$F$3006),0))),"")</f>
        <v/>
      </c>
      <c r="C2398" s="42" t="str">
        <f>IF(B2398="","",SUMIF(Transactions!$F$8:$F$3006,B2398,Transactions!$H$8:$H$3006))</f>
        <v/>
      </c>
      <c r="D2398" s="43" t="str">
        <f>IF(B2398="","",SUMIF(Transactions!$F$8:$F$3006,B2398,Transactions!$N$8:$N$3006))</f>
        <v/>
      </c>
      <c r="E2398" s="44" t="str">
        <f>IF(B2398="","",SUMIF(Transactions!$F$8:$F$3006,B2398,Transactions!$O$8:$O$3006))</f>
        <v/>
      </c>
      <c r="F2398" s="45" t="str">
        <f>IF(B2398="","",SUMIF(Transactions!$F$8:$F$3006,B2398,Transactions!$R$8:$R$3006))</f>
        <v/>
      </c>
      <c r="G2398" s="46" t="str">
        <f>IF(B2398="","",(C2398+F2398)-(D2398+E2398+SUMIF(Transactions!$F$8:$F$3006,B2398,Transactions!$Q$8:$Q$3006)))</f>
        <v/>
      </c>
      <c r="H2398" s="47" t="str">
        <f>IF(B2398="","",IF(G2398&gt;0,"OUTSTANDING",IF(G2398=0,"SETTLED",IF(SUMIF(Transactions!$F$8:$F$3006,B2398,Transactions!$Q$8:$Q$3006)&gt;SUMIF(Transactions!$F$8:$F$3006,B2398,Transactions!$R$8:$R$3006),"OWES","OVERPAID"))))</f>
        <v/>
      </c>
      <c r="I2398" s="1"/>
    </row>
    <row r="2399" spans="1:9" ht="18" customHeight="1" x14ac:dyDescent="0.25">
      <c r="A2399" s="48">
        <v>2384</v>
      </c>
      <c r="B2399" s="49" t="str">
        <f t="array" ref="B2399">IFERROR(IF(INDEX(Transactions!$F$8:$F$3006,MATCH(0,COUNTIF($B$11:B2398,Transactions!$F$8:$F$3006),0))="","",INDEX(Transactions!$F$8:$F$3006,MATCH(0,COUNTIF($B$11:B2398,Transactions!$F$8:$F$3006),0))),"")</f>
        <v/>
      </c>
      <c r="C2399" s="50" t="str">
        <f>IF(B2399="","",SUMIF(Transactions!$F$8:$F$3006,B2399,Transactions!$H$8:$H$3006))</f>
        <v/>
      </c>
      <c r="D2399" s="51" t="str">
        <f>IF(B2399="","",SUMIF(Transactions!$F$8:$F$3006,B2399,Transactions!$N$8:$N$3006))</f>
        <v/>
      </c>
      <c r="E2399" s="52" t="str">
        <f>IF(B2399="","",SUMIF(Transactions!$F$8:$F$3006,B2399,Transactions!$O$8:$O$3006))</f>
        <v/>
      </c>
      <c r="F2399" s="53" t="str">
        <f>IF(B2399="","",SUMIF(Transactions!$F$8:$F$3006,B2399,Transactions!$R$8:$R$3006))</f>
        <v/>
      </c>
      <c r="G2399" s="54" t="str">
        <f>IF(B2399="","",(C2399+F2399)-(D2399+E2399+SUMIF(Transactions!$F$8:$F$3006,B2399,Transactions!$Q$8:$Q$3006)))</f>
        <v/>
      </c>
      <c r="H2399" s="55" t="str">
        <f>IF(B2399="","",IF(G2399&gt;0,"OUTSTANDING",IF(G2399=0,"SETTLED",IF(SUMIF(Transactions!$F$8:$F$3006,B2399,Transactions!$Q$8:$Q$3006)&gt;SUMIF(Transactions!$F$8:$F$3006,B2399,Transactions!$R$8:$R$3006),"OWES","OVERPAID"))))</f>
        <v/>
      </c>
      <c r="I2399" s="1"/>
    </row>
    <row r="2400" spans="1:9" ht="18" customHeight="1" x14ac:dyDescent="0.25">
      <c r="A2400" s="40">
        <v>2385</v>
      </c>
      <c r="B2400" s="41" t="str">
        <f t="array" ref="B2400">IFERROR(IF(INDEX(Transactions!$F$8:$F$3006,MATCH(0,COUNTIF($B$11:B2399,Transactions!$F$8:$F$3006),0))="","",INDEX(Transactions!$F$8:$F$3006,MATCH(0,COUNTIF($B$11:B2399,Transactions!$F$8:$F$3006),0))),"")</f>
        <v/>
      </c>
      <c r="C2400" s="42" t="str">
        <f>IF(B2400="","",SUMIF(Transactions!$F$8:$F$3006,B2400,Transactions!$H$8:$H$3006))</f>
        <v/>
      </c>
      <c r="D2400" s="43" t="str">
        <f>IF(B2400="","",SUMIF(Transactions!$F$8:$F$3006,B2400,Transactions!$N$8:$N$3006))</f>
        <v/>
      </c>
      <c r="E2400" s="44" t="str">
        <f>IF(B2400="","",SUMIF(Transactions!$F$8:$F$3006,B2400,Transactions!$O$8:$O$3006))</f>
        <v/>
      </c>
      <c r="F2400" s="45" t="str">
        <f>IF(B2400="","",SUMIF(Transactions!$F$8:$F$3006,B2400,Transactions!$R$8:$R$3006))</f>
        <v/>
      </c>
      <c r="G2400" s="46" t="str">
        <f>IF(B2400="","",(C2400+F2400)-(D2400+E2400+SUMIF(Transactions!$F$8:$F$3006,B2400,Transactions!$Q$8:$Q$3006)))</f>
        <v/>
      </c>
      <c r="H2400" s="47" t="str">
        <f>IF(B2400="","",IF(G2400&gt;0,"OUTSTANDING",IF(G2400=0,"SETTLED",IF(SUMIF(Transactions!$F$8:$F$3006,B2400,Transactions!$Q$8:$Q$3006)&gt;SUMIF(Transactions!$F$8:$F$3006,B2400,Transactions!$R$8:$R$3006),"OWES","OVERPAID"))))</f>
        <v/>
      </c>
      <c r="I2400" s="1"/>
    </row>
    <row r="2401" spans="1:9" ht="18" customHeight="1" x14ac:dyDescent="0.25">
      <c r="A2401" s="48">
        <v>2386</v>
      </c>
      <c r="B2401" s="49" t="str">
        <f t="array" ref="B2401">IFERROR(IF(INDEX(Transactions!$F$8:$F$3006,MATCH(0,COUNTIF($B$11:B2400,Transactions!$F$8:$F$3006),0))="","",INDEX(Transactions!$F$8:$F$3006,MATCH(0,COUNTIF($B$11:B2400,Transactions!$F$8:$F$3006),0))),"")</f>
        <v/>
      </c>
      <c r="C2401" s="50" t="str">
        <f>IF(B2401="","",SUMIF(Transactions!$F$8:$F$3006,B2401,Transactions!$H$8:$H$3006))</f>
        <v/>
      </c>
      <c r="D2401" s="51" t="str">
        <f>IF(B2401="","",SUMIF(Transactions!$F$8:$F$3006,B2401,Transactions!$N$8:$N$3006))</f>
        <v/>
      </c>
      <c r="E2401" s="52" t="str">
        <f>IF(B2401="","",SUMIF(Transactions!$F$8:$F$3006,B2401,Transactions!$O$8:$O$3006))</f>
        <v/>
      </c>
      <c r="F2401" s="53" t="str">
        <f>IF(B2401="","",SUMIF(Transactions!$F$8:$F$3006,B2401,Transactions!$R$8:$R$3006))</f>
        <v/>
      </c>
      <c r="G2401" s="54" t="str">
        <f>IF(B2401="","",(C2401+F2401)-(D2401+E2401+SUMIF(Transactions!$F$8:$F$3006,B2401,Transactions!$Q$8:$Q$3006)))</f>
        <v/>
      </c>
      <c r="H2401" s="55" t="str">
        <f>IF(B2401="","",IF(G2401&gt;0,"OUTSTANDING",IF(G2401=0,"SETTLED",IF(SUMIF(Transactions!$F$8:$F$3006,B2401,Transactions!$Q$8:$Q$3006)&gt;SUMIF(Transactions!$F$8:$F$3006,B2401,Transactions!$R$8:$R$3006),"OWES","OVERPAID"))))</f>
        <v/>
      </c>
      <c r="I2401" s="1"/>
    </row>
    <row r="2402" spans="1:9" ht="18" customHeight="1" x14ac:dyDescent="0.25">
      <c r="A2402" s="40">
        <v>2387</v>
      </c>
      <c r="B2402" s="41" t="str">
        <f t="array" ref="B2402">IFERROR(IF(INDEX(Transactions!$F$8:$F$3006,MATCH(0,COUNTIF($B$11:B2401,Transactions!$F$8:$F$3006),0))="","",INDEX(Transactions!$F$8:$F$3006,MATCH(0,COUNTIF($B$11:B2401,Transactions!$F$8:$F$3006),0))),"")</f>
        <v/>
      </c>
      <c r="C2402" s="42" t="str">
        <f>IF(B2402="","",SUMIF(Transactions!$F$8:$F$3006,B2402,Transactions!$H$8:$H$3006))</f>
        <v/>
      </c>
      <c r="D2402" s="43" t="str">
        <f>IF(B2402="","",SUMIF(Transactions!$F$8:$F$3006,B2402,Transactions!$N$8:$N$3006))</f>
        <v/>
      </c>
      <c r="E2402" s="44" t="str">
        <f>IF(B2402="","",SUMIF(Transactions!$F$8:$F$3006,B2402,Transactions!$O$8:$O$3006))</f>
        <v/>
      </c>
      <c r="F2402" s="45" t="str">
        <f>IF(B2402="","",SUMIF(Transactions!$F$8:$F$3006,B2402,Transactions!$R$8:$R$3006))</f>
        <v/>
      </c>
      <c r="G2402" s="46" t="str">
        <f>IF(B2402="","",(C2402+F2402)-(D2402+E2402+SUMIF(Transactions!$F$8:$F$3006,B2402,Transactions!$Q$8:$Q$3006)))</f>
        <v/>
      </c>
      <c r="H2402" s="47" t="str">
        <f>IF(B2402="","",IF(G2402&gt;0,"OUTSTANDING",IF(G2402=0,"SETTLED",IF(SUMIF(Transactions!$F$8:$F$3006,B2402,Transactions!$Q$8:$Q$3006)&gt;SUMIF(Transactions!$F$8:$F$3006,B2402,Transactions!$R$8:$R$3006),"OWES","OVERPAID"))))</f>
        <v/>
      </c>
      <c r="I2402" s="1"/>
    </row>
    <row r="2403" spans="1:9" ht="18" customHeight="1" x14ac:dyDescent="0.25">
      <c r="A2403" s="48">
        <v>2388</v>
      </c>
      <c r="B2403" s="49" t="str">
        <f t="array" ref="B2403">IFERROR(IF(INDEX(Transactions!$F$8:$F$3006,MATCH(0,COUNTIF($B$11:B2402,Transactions!$F$8:$F$3006),0))="","",INDEX(Transactions!$F$8:$F$3006,MATCH(0,COUNTIF($B$11:B2402,Transactions!$F$8:$F$3006),0))),"")</f>
        <v/>
      </c>
      <c r="C2403" s="50" t="str">
        <f>IF(B2403="","",SUMIF(Transactions!$F$8:$F$3006,B2403,Transactions!$H$8:$H$3006))</f>
        <v/>
      </c>
      <c r="D2403" s="51" t="str">
        <f>IF(B2403="","",SUMIF(Transactions!$F$8:$F$3006,B2403,Transactions!$N$8:$N$3006))</f>
        <v/>
      </c>
      <c r="E2403" s="52" t="str">
        <f>IF(B2403="","",SUMIF(Transactions!$F$8:$F$3006,B2403,Transactions!$O$8:$O$3006))</f>
        <v/>
      </c>
      <c r="F2403" s="53" t="str">
        <f>IF(B2403="","",SUMIF(Transactions!$F$8:$F$3006,B2403,Transactions!$R$8:$R$3006))</f>
        <v/>
      </c>
      <c r="G2403" s="54" t="str">
        <f>IF(B2403="","",(C2403+F2403)-(D2403+E2403+SUMIF(Transactions!$F$8:$F$3006,B2403,Transactions!$Q$8:$Q$3006)))</f>
        <v/>
      </c>
      <c r="H2403" s="55" t="str">
        <f>IF(B2403="","",IF(G2403&gt;0,"OUTSTANDING",IF(G2403=0,"SETTLED",IF(SUMIF(Transactions!$F$8:$F$3006,B2403,Transactions!$Q$8:$Q$3006)&gt;SUMIF(Transactions!$F$8:$F$3006,B2403,Transactions!$R$8:$R$3006),"OWES","OVERPAID"))))</f>
        <v/>
      </c>
      <c r="I2403" s="1"/>
    </row>
    <row r="2404" spans="1:9" ht="18" customHeight="1" x14ac:dyDescent="0.25">
      <c r="A2404" s="40">
        <v>2389</v>
      </c>
      <c r="B2404" s="41" t="str">
        <f t="array" ref="B2404">IFERROR(IF(INDEX(Transactions!$F$8:$F$3006,MATCH(0,COUNTIF($B$11:B2403,Transactions!$F$8:$F$3006),0))="","",INDEX(Transactions!$F$8:$F$3006,MATCH(0,COUNTIF($B$11:B2403,Transactions!$F$8:$F$3006),0))),"")</f>
        <v/>
      </c>
      <c r="C2404" s="42" t="str">
        <f>IF(B2404="","",SUMIF(Transactions!$F$8:$F$3006,B2404,Transactions!$H$8:$H$3006))</f>
        <v/>
      </c>
      <c r="D2404" s="43" t="str">
        <f>IF(B2404="","",SUMIF(Transactions!$F$8:$F$3006,B2404,Transactions!$N$8:$N$3006))</f>
        <v/>
      </c>
      <c r="E2404" s="44" t="str">
        <f>IF(B2404="","",SUMIF(Transactions!$F$8:$F$3006,B2404,Transactions!$O$8:$O$3006))</f>
        <v/>
      </c>
      <c r="F2404" s="45" t="str">
        <f>IF(B2404="","",SUMIF(Transactions!$F$8:$F$3006,B2404,Transactions!$R$8:$R$3006))</f>
        <v/>
      </c>
      <c r="G2404" s="46" t="str">
        <f>IF(B2404="","",(C2404+F2404)-(D2404+E2404+SUMIF(Transactions!$F$8:$F$3006,B2404,Transactions!$Q$8:$Q$3006)))</f>
        <v/>
      </c>
      <c r="H2404" s="47" t="str">
        <f>IF(B2404="","",IF(G2404&gt;0,"OUTSTANDING",IF(G2404=0,"SETTLED",IF(SUMIF(Transactions!$F$8:$F$3006,B2404,Transactions!$Q$8:$Q$3006)&gt;SUMIF(Transactions!$F$8:$F$3006,B2404,Transactions!$R$8:$R$3006),"OWES","OVERPAID"))))</f>
        <v/>
      </c>
      <c r="I2404" s="1"/>
    </row>
    <row r="2405" spans="1:9" ht="18" customHeight="1" x14ac:dyDescent="0.25">
      <c r="A2405" s="48">
        <v>2390</v>
      </c>
      <c r="B2405" s="49" t="str">
        <f t="array" ref="B2405">IFERROR(IF(INDEX(Transactions!$F$8:$F$3006,MATCH(0,COUNTIF($B$11:B2404,Transactions!$F$8:$F$3006),0))="","",INDEX(Transactions!$F$8:$F$3006,MATCH(0,COUNTIF($B$11:B2404,Transactions!$F$8:$F$3006),0))),"")</f>
        <v/>
      </c>
      <c r="C2405" s="50" t="str">
        <f>IF(B2405="","",SUMIF(Transactions!$F$8:$F$3006,B2405,Transactions!$H$8:$H$3006))</f>
        <v/>
      </c>
      <c r="D2405" s="51" t="str">
        <f>IF(B2405="","",SUMIF(Transactions!$F$8:$F$3006,B2405,Transactions!$N$8:$N$3006))</f>
        <v/>
      </c>
      <c r="E2405" s="52" t="str">
        <f>IF(B2405="","",SUMIF(Transactions!$F$8:$F$3006,B2405,Transactions!$O$8:$O$3006))</f>
        <v/>
      </c>
      <c r="F2405" s="53" t="str">
        <f>IF(B2405="","",SUMIF(Transactions!$F$8:$F$3006,B2405,Transactions!$R$8:$R$3006))</f>
        <v/>
      </c>
      <c r="G2405" s="54" t="str">
        <f>IF(B2405="","",(C2405+F2405)-(D2405+E2405+SUMIF(Transactions!$F$8:$F$3006,B2405,Transactions!$Q$8:$Q$3006)))</f>
        <v/>
      </c>
      <c r="H2405" s="55" t="str">
        <f>IF(B2405="","",IF(G2405&gt;0,"OUTSTANDING",IF(G2405=0,"SETTLED",IF(SUMIF(Transactions!$F$8:$F$3006,B2405,Transactions!$Q$8:$Q$3006)&gt;SUMIF(Transactions!$F$8:$F$3006,B2405,Transactions!$R$8:$R$3006),"OWES","OVERPAID"))))</f>
        <v/>
      </c>
      <c r="I2405" s="1"/>
    </row>
    <row r="2406" spans="1:9" ht="18" customHeight="1" x14ac:dyDescent="0.25">
      <c r="A2406" s="40">
        <v>2391</v>
      </c>
      <c r="B2406" s="41" t="str">
        <f t="array" ref="B2406">IFERROR(IF(INDEX(Transactions!$F$8:$F$3006,MATCH(0,COUNTIF($B$11:B2405,Transactions!$F$8:$F$3006),0))="","",INDEX(Transactions!$F$8:$F$3006,MATCH(0,COUNTIF($B$11:B2405,Transactions!$F$8:$F$3006),0))),"")</f>
        <v/>
      </c>
      <c r="C2406" s="42" t="str">
        <f>IF(B2406="","",SUMIF(Transactions!$F$8:$F$3006,B2406,Transactions!$H$8:$H$3006))</f>
        <v/>
      </c>
      <c r="D2406" s="43" t="str">
        <f>IF(B2406="","",SUMIF(Transactions!$F$8:$F$3006,B2406,Transactions!$N$8:$N$3006))</f>
        <v/>
      </c>
      <c r="E2406" s="44" t="str">
        <f>IF(B2406="","",SUMIF(Transactions!$F$8:$F$3006,B2406,Transactions!$O$8:$O$3006))</f>
        <v/>
      </c>
      <c r="F2406" s="45" t="str">
        <f>IF(B2406="","",SUMIF(Transactions!$F$8:$F$3006,B2406,Transactions!$R$8:$R$3006))</f>
        <v/>
      </c>
      <c r="G2406" s="46" t="str">
        <f>IF(B2406="","",(C2406+F2406)-(D2406+E2406+SUMIF(Transactions!$F$8:$F$3006,B2406,Transactions!$Q$8:$Q$3006)))</f>
        <v/>
      </c>
      <c r="H2406" s="47" t="str">
        <f>IF(B2406="","",IF(G2406&gt;0,"OUTSTANDING",IF(G2406=0,"SETTLED",IF(SUMIF(Transactions!$F$8:$F$3006,B2406,Transactions!$Q$8:$Q$3006)&gt;SUMIF(Transactions!$F$8:$F$3006,B2406,Transactions!$R$8:$R$3006),"OWES","OVERPAID"))))</f>
        <v/>
      </c>
      <c r="I2406" s="1"/>
    </row>
    <row r="2407" spans="1:9" ht="18" customHeight="1" x14ac:dyDescent="0.25">
      <c r="A2407" s="48">
        <v>2392</v>
      </c>
      <c r="B2407" s="49" t="str">
        <f t="array" ref="B2407">IFERROR(IF(INDEX(Transactions!$F$8:$F$3006,MATCH(0,COUNTIF($B$11:B2406,Transactions!$F$8:$F$3006),0))="","",INDEX(Transactions!$F$8:$F$3006,MATCH(0,COUNTIF($B$11:B2406,Transactions!$F$8:$F$3006),0))),"")</f>
        <v/>
      </c>
      <c r="C2407" s="50" t="str">
        <f>IF(B2407="","",SUMIF(Transactions!$F$8:$F$3006,B2407,Transactions!$H$8:$H$3006))</f>
        <v/>
      </c>
      <c r="D2407" s="51" t="str">
        <f>IF(B2407="","",SUMIF(Transactions!$F$8:$F$3006,B2407,Transactions!$N$8:$N$3006))</f>
        <v/>
      </c>
      <c r="E2407" s="52" t="str">
        <f>IF(B2407="","",SUMIF(Transactions!$F$8:$F$3006,B2407,Transactions!$O$8:$O$3006))</f>
        <v/>
      </c>
      <c r="F2407" s="53" t="str">
        <f>IF(B2407="","",SUMIF(Transactions!$F$8:$F$3006,B2407,Transactions!$R$8:$R$3006))</f>
        <v/>
      </c>
      <c r="G2407" s="54" t="str">
        <f>IF(B2407="","",(C2407+F2407)-(D2407+E2407+SUMIF(Transactions!$F$8:$F$3006,B2407,Transactions!$Q$8:$Q$3006)))</f>
        <v/>
      </c>
      <c r="H2407" s="55" t="str">
        <f>IF(B2407="","",IF(G2407&gt;0,"OUTSTANDING",IF(G2407=0,"SETTLED",IF(SUMIF(Transactions!$F$8:$F$3006,B2407,Transactions!$Q$8:$Q$3006)&gt;SUMIF(Transactions!$F$8:$F$3006,B2407,Transactions!$R$8:$R$3006),"OWES","OVERPAID"))))</f>
        <v/>
      </c>
      <c r="I2407" s="1"/>
    </row>
    <row r="2408" spans="1:9" ht="18" customHeight="1" x14ac:dyDescent="0.25">
      <c r="A2408" s="40">
        <v>2393</v>
      </c>
      <c r="B2408" s="41" t="str">
        <f t="array" ref="B2408">IFERROR(IF(INDEX(Transactions!$F$8:$F$3006,MATCH(0,COUNTIF($B$11:B2407,Transactions!$F$8:$F$3006),0))="","",INDEX(Transactions!$F$8:$F$3006,MATCH(0,COUNTIF($B$11:B2407,Transactions!$F$8:$F$3006),0))),"")</f>
        <v/>
      </c>
      <c r="C2408" s="42" t="str">
        <f>IF(B2408="","",SUMIF(Transactions!$F$8:$F$3006,B2408,Transactions!$H$8:$H$3006))</f>
        <v/>
      </c>
      <c r="D2408" s="43" t="str">
        <f>IF(B2408="","",SUMIF(Transactions!$F$8:$F$3006,B2408,Transactions!$N$8:$N$3006))</f>
        <v/>
      </c>
      <c r="E2408" s="44" t="str">
        <f>IF(B2408="","",SUMIF(Transactions!$F$8:$F$3006,B2408,Transactions!$O$8:$O$3006))</f>
        <v/>
      </c>
      <c r="F2408" s="45" t="str">
        <f>IF(B2408="","",SUMIF(Transactions!$F$8:$F$3006,B2408,Transactions!$R$8:$R$3006))</f>
        <v/>
      </c>
      <c r="G2408" s="46" t="str">
        <f>IF(B2408="","",(C2408+F2408)-(D2408+E2408+SUMIF(Transactions!$F$8:$F$3006,B2408,Transactions!$Q$8:$Q$3006)))</f>
        <v/>
      </c>
      <c r="H2408" s="47" t="str">
        <f>IF(B2408="","",IF(G2408&gt;0,"OUTSTANDING",IF(G2408=0,"SETTLED",IF(SUMIF(Transactions!$F$8:$F$3006,B2408,Transactions!$Q$8:$Q$3006)&gt;SUMIF(Transactions!$F$8:$F$3006,B2408,Transactions!$R$8:$R$3006),"OWES","OVERPAID"))))</f>
        <v/>
      </c>
      <c r="I2408" s="1"/>
    </row>
    <row r="2409" spans="1:9" ht="18" customHeight="1" x14ac:dyDescent="0.25">
      <c r="A2409" s="48">
        <v>2394</v>
      </c>
      <c r="B2409" s="49" t="str">
        <f t="array" ref="B2409">IFERROR(IF(INDEX(Transactions!$F$8:$F$3006,MATCH(0,COUNTIF($B$11:B2408,Transactions!$F$8:$F$3006),0))="","",INDEX(Transactions!$F$8:$F$3006,MATCH(0,COUNTIF($B$11:B2408,Transactions!$F$8:$F$3006),0))),"")</f>
        <v/>
      </c>
      <c r="C2409" s="50" t="str">
        <f>IF(B2409="","",SUMIF(Transactions!$F$8:$F$3006,B2409,Transactions!$H$8:$H$3006))</f>
        <v/>
      </c>
      <c r="D2409" s="51" t="str">
        <f>IF(B2409="","",SUMIF(Transactions!$F$8:$F$3006,B2409,Transactions!$N$8:$N$3006))</f>
        <v/>
      </c>
      <c r="E2409" s="52" t="str">
        <f>IF(B2409="","",SUMIF(Transactions!$F$8:$F$3006,B2409,Transactions!$O$8:$O$3006))</f>
        <v/>
      </c>
      <c r="F2409" s="53" t="str">
        <f>IF(B2409="","",SUMIF(Transactions!$F$8:$F$3006,B2409,Transactions!$R$8:$R$3006))</f>
        <v/>
      </c>
      <c r="G2409" s="54" t="str">
        <f>IF(B2409="","",(C2409+F2409)-(D2409+E2409+SUMIF(Transactions!$F$8:$F$3006,B2409,Transactions!$Q$8:$Q$3006)))</f>
        <v/>
      </c>
      <c r="H2409" s="55" t="str">
        <f>IF(B2409="","",IF(G2409&gt;0,"OUTSTANDING",IF(G2409=0,"SETTLED",IF(SUMIF(Transactions!$F$8:$F$3006,B2409,Transactions!$Q$8:$Q$3006)&gt;SUMIF(Transactions!$F$8:$F$3006,B2409,Transactions!$R$8:$R$3006),"OWES","OVERPAID"))))</f>
        <v/>
      </c>
      <c r="I2409" s="1"/>
    </row>
    <row r="2410" spans="1:9" ht="18" customHeight="1" x14ac:dyDescent="0.25">
      <c r="A2410" s="40">
        <v>2395</v>
      </c>
      <c r="B2410" s="41" t="str">
        <f t="array" ref="B2410">IFERROR(IF(INDEX(Transactions!$F$8:$F$3006,MATCH(0,COUNTIF($B$11:B2409,Transactions!$F$8:$F$3006),0))="","",INDEX(Transactions!$F$8:$F$3006,MATCH(0,COUNTIF($B$11:B2409,Transactions!$F$8:$F$3006),0))),"")</f>
        <v/>
      </c>
      <c r="C2410" s="42" t="str">
        <f>IF(B2410="","",SUMIF(Transactions!$F$8:$F$3006,B2410,Transactions!$H$8:$H$3006))</f>
        <v/>
      </c>
      <c r="D2410" s="43" t="str">
        <f>IF(B2410="","",SUMIF(Transactions!$F$8:$F$3006,B2410,Transactions!$N$8:$N$3006))</f>
        <v/>
      </c>
      <c r="E2410" s="44" t="str">
        <f>IF(B2410="","",SUMIF(Transactions!$F$8:$F$3006,B2410,Transactions!$O$8:$O$3006))</f>
        <v/>
      </c>
      <c r="F2410" s="45" t="str">
        <f>IF(B2410="","",SUMIF(Transactions!$F$8:$F$3006,B2410,Transactions!$R$8:$R$3006))</f>
        <v/>
      </c>
      <c r="G2410" s="46" t="str">
        <f>IF(B2410="","",(C2410+F2410)-(D2410+E2410+SUMIF(Transactions!$F$8:$F$3006,B2410,Transactions!$Q$8:$Q$3006)))</f>
        <v/>
      </c>
      <c r="H2410" s="47" t="str">
        <f>IF(B2410="","",IF(G2410&gt;0,"OUTSTANDING",IF(G2410=0,"SETTLED",IF(SUMIF(Transactions!$F$8:$F$3006,B2410,Transactions!$Q$8:$Q$3006)&gt;SUMIF(Transactions!$F$8:$F$3006,B2410,Transactions!$R$8:$R$3006),"OWES","OVERPAID"))))</f>
        <v/>
      </c>
      <c r="I2410" s="1"/>
    </row>
    <row r="2411" spans="1:9" ht="18" customHeight="1" x14ac:dyDescent="0.25">
      <c r="A2411" s="48">
        <v>2396</v>
      </c>
      <c r="B2411" s="49" t="str">
        <f t="array" ref="B2411">IFERROR(IF(INDEX(Transactions!$F$8:$F$3006,MATCH(0,COUNTIF($B$11:B2410,Transactions!$F$8:$F$3006),0))="","",INDEX(Transactions!$F$8:$F$3006,MATCH(0,COUNTIF($B$11:B2410,Transactions!$F$8:$F$3006),0))),"")</f>
        <v/>
      </c>
      <c r="C2411" s="50" t="str">
        <f>IF(B2411="","",SUMIF(Transactions!$F$8:$F$3006,B2411,Transactions!$H$8:$H$3006))</f>
        <v/>
      </c>
      <c r="D2411" s="51" t="str">
        <f>IF(B2411="","",SUMIF(Transactions!$F$8:$F$3006,B2411,Transactions!$N$8:$N$3006))</f>
        <v/>
      </c>
      <c r="E2411" s="52" t="str">
        <f>IF(B2411="","",SUMIF(Transactions!$F$8:$F$3006,B2411,Transactions!$O$8:$O$3006))</f>
        <v/>
      </c>
      <c r="F2411" s="53" t="str">
        <f>IF(B2411="","",SUMIF(Transactions!$F$8:$F$3006,B2411,Transactions!$R$8:$R$3006))</f>
        <v/>
      </c>
      <c r="G2411" s="54" t="str">
        <f>IF(B2411="","",(C2411+F2411)-(D2411+E2411+SUMIF(Transactions!$F$8:$F$3006,B2411,Transactions!$Q$8:$Q$3006)))</f>
        <v/>
      </c>
      <c r="H2411" s="55" t="str">
        <f>IF(B2411="","",IF(G2411&gt;0,"OUTSTANDING",IF(G2411=0,"SETTLED",IF(SUMIF(Transactions!$F$8:$F$3006,B2411,Transactions!$Q$8:$Q$3006)&gt;SUMIF(Transactions!$F$8:$F$3006,B2411,Transactions!$R$8:$R$3006),"OWES","OVERPAID"))))</f>
        <v/>
      </c>
      <c r="I2411" s="1"/>
    </row>
    <row r="2412" spans="1:9" ht="18" customHeight="1" x14ac:dyDescent="0.25">
      <c r="A2412" s="40">
        <v>2397</v>
      </c>
      <c r="B2412" s="41" t="str">
        <f t="array" ref="B2412">IFERROR(IF(INDEX(Transactions!$F$8:$F$3006,MATCH(0,COUNTIF($B$11:B2411,Transactions!$F$8:$F$3006),0))="","",INDEX(Transactions!$F$8:$F$3006,MATCH(0,COUNTIF($B$11:B2411,Transactions!$F$8:$F$3006),0))),"")</f>
        <v/>
      </c>
      <c r="C2412" s="42" t="str">
        <f>IF(B2412="","",SUMIF(Transactions!$F$8:$F$3006,B2412,Transactions!$H$8:$H$3006))</f>
        <v/>
      </c>
      <c r="D2412" s="43" t="str">
        <f>IF(B2412="","",SUMIF(Transactions!$F$8:$F$3006,B2412,Transactions!$N$8:$N$3006))</f>
        <v/>
      </c>
      <c r="E2412" s="44" t="str">
        <f>IF(B2412="","",SUMIF(Transactions!$F$8:$F$3006,B2412,Transactions!$O$8:$O$3006))</f>
        <v/>
      </c>
      <c r="F2412" s="45" t="str">
        <f>IF(B2412="","",SUMIF(Transactions!$F$8:$F$3006,B2412,Transactions!$R$8:$R$3006))</f>
        <v/>
      </c>
      <c r="G2412" s="46" t="str">
        <f>IF(B2412="","",(C2412+F2412)-(D2412+E2412+SUMIF(Transactions!$F$8:$F$3006,B2412,Transactions!$Q$8:$Q$3006)))</f>
        <v/>
      </c>
      <c r="H2412" s="47" t="str">
        <f>IF(B2412="","",IF(G2412&gt;0,"OUTSTANDING",IF(G2412=0,"SETTLED",IF(SUMIF(Transactions!$F$8:$F$3006,B2412,Transactions!$Q$8:$Q$3006)&gt;SUMIF(Transactions!$F$8:$F$3006,B2412,Transactions!$R$8:$R$3006),"OWES","OVERPAID"))))</f>
        <v/>
      </c>
      <c r="I2412" s="1"/>
    </row>
    <row r="2413" spans="1:9" ht="18" customHeight="1" x14ac:dyDescent="0.25">
      <c r="A2413" s="48">
        <v>2398</v>
      </c>
      <c r="B2413" s="49" t="str">
        <f t="array" ref="B2413">IFERROR(IF(INDEX(Transactions!$F$8:$F$3006,MATCH(0,COUNTIF($B$11:B2412,Transactions!$F$8:$F$3006),0))="","",INDEX(Transactions!$F$8:$F$3006,MATCH(0,COUNTIF($B$11:B2412,Transactions!$F$8:$F$3006),0))),"")</f>
        <v/>
      </c>
      <c r="C2413" s="50" t="str">
        <f>IF(B2413="","",SUMIF(Transactions!$F$8:$F$3006,B2413,Transactions!$H$8:$H$3006))</f>
        <v/>
      </c>
      <c r="D2413" s="51" t="str">
        <f>IF(B2413="","",SUMIF(Transactions!$F$8:$F$3006,B2413,Transactions!$N$8:$N$3006))</f>
        <v/>
      </c>
      <c r="E2413" s="52" t="str">
        <f>IF(B2413="","",SUMIF(Transactions!$F$8:$F$3006,B2413,Transactions!$O$8:$O$3006))</f>
        <v/>
      </c>
      <c r="F2413" s="53" t="str">
        <f>IF(B2413="","",SUMIF(Transactions!$F$8:$F$3006,B2413,Transactions!$R$8:$R$3006))</f>
        <v/>
      </c>
      <c r="G2413" s="54" t="str">
        <f>IF(B2413="","",(C2413+F2413)-(D2413+E2413+SUMIF(Transactions!$F$8:$F$3006,B2413,Transactions!$Q$8:$Q$3006)))</f>
        <v/>
      </c>
      <c r="H2413" s="55" t="str">
        <f>IF(B2413="","",IF(G2413&gt;0,"OUTSTANDING",IF(G2413=0,"SETTLED",IF(SUMIF(Transactions!$F$8:$F$3006,B2413,Transactions!$Q$8:$Q$3006)&gt;SUMIF(Transactions!$F$8:$F$3006,B2413,Transactions!$R$8:$R$3006),"OWES","OVERPAID"))))</f>
        <v/>
      </c>
      <c r="I2413" s="1"/>
    </row>
    <row r="2414" spans="1:9" ht="18" customHeight="1" x14ac:dyDescent="0.25">
      <c r="A2414" s="40">
        <v>2399</v>
      </c>
      <c r="B2414" s="41" t="str">
        <f t="array" ref="B2414">IFERROR(IF(INDEX(Transactions!$F$8:$F$3006,MATCH(0,COUNTIF($B$11:B2413,Transactions!$F$8:$F$3006),0))="","",INDEX(Transactions!$F$8:$F$3006,MATCH(0,COUNTIF($B$11:B2413,Transactions!$F$8:$F$3006),0))),"")</f>
        <v/>
      </c>
      <c r="C2414" s="42" t="str">
        <f>IF(B2414="","",SUMIF(Transactions!$F$8:$F$3006,B2414,Transactions!$H$8:$H$3006))</f>
        <v/>
      </c>
      <c r="D2414" s="43" t="str">
        <f>IF(B2414="","",SUMIF(Transactions!$F$8:$F$3006,B2414,Transactions!$N$8:$N$3006))</f>
        <v/>
      </c>
      <c r="E2414" s="44" t="str">
        <f>IF(B2414="","",SUMIF(Transactions!$F$8:$F$3006,B2414,Transactions!$O$8:$O$3006))</f>
        <v/>
      </c>
      <c r="F2414" s="45" t="str">
        <f>IF(B2414="","",SUMIF(Transactions!$F$8:$F$3006,B2414,Transactions!$R$8:$R$3006))</f>
        <v/>
      </c>
      <c r="G2414" s="46" t="str">
        <f>IF(B2414="","",(C2414+F2414)-(D2414+E2414+SUMIF(Transactions!$F$8:$F$3006,B2414,Transactions!$Q$8:$Q$3006)))</f>
        <v/>
      </c>
      <c r="H2414" s="47" t="str">
        <f>IF(B2414="","",IF(G2414&gt;0,"OUTSTANDING",IF(G2414=0,"SETTLED",IF(SUMIF(Transactions!$F$8:$F$3006,B2414,Transactions!$Q$8:$Q$3006)&gt;SUMIF(Transactions!$F$8:$F$3006,B2414,Transactions!$R$8:$R$3006),"OWES","OVERPAID"))))</f>
        <v/>
      </c>
      <c r="I2414" s="1"/>
    </row>
    <row r="2415" spans="1:9" ht="18" customHeight="1" x14ac:dyDescent="0.25">
      <c r="A2415" s="48">
        <v>2400</v>
      </c>
      <c r="B2415" s="49" t="str">
        <f t="array" ref="B2415">IFERROR(IF(INDEX(Transactions!$F$8:$F$3006,MATCH(0,COUNTIF($B$11:B2414,Transactions!$F$8:$F$3006),0))="","",INDEX(Transactions!$F$8:$F$3006,MATCH(0,COUNTIF($B$11:B2414,Transactions!$F$8:$F$3006),0))),"")</f>
        <v/>
      </c>
      <c r="C2415" s="50" t="str">
        <f>IF(B2415="","",SUMIF(Transactions!$F$8:$F$3006,B2415,Transactions!$H$8:$H$3006))</f>
        <v/>
      </c>
      <c r="D2415" s="51" t="str">
        <f>IF(B2415="","",SUMIF(Transactions!$F$8:$F$3006,B2415,Transactions!$N$8:$N$3006))</f>
        <v/>
      </c>
      <c r="E2415" s="52" t="str">
        <f>IF(B2415="","",SUMIF(Transactions!$F$8:$F$3006,B2415,Transactions!$O$8:$O$3006))</f>
        <v/>
      </c>
      <c r="F2415" s="53" t="str">
        <f>IF(B2415="","",SUMIF(Transactions!$F$8:$F$3006,B2415,Transactions!$R$8:$R$3006))</f>
        <v/>
      </c>
      <c r="G2415" s="54" t="str">
        <f>IF(B2415="","",(C2415+F2415)-(D2415+E2415+SUMIF(Transactions!$F$8:$F$3006,B2415,Transactions!$Q$8:$Q$3006)))</f>
        <v/>
      </c>
      <c r="H2415" s="55" t="str">
        <f>IF(B2415="","",IF(G2415&gt;0,"OUTSTANDING",IF(G2415=0,"SETTLED",IF(SUMIF(Transactions!$F$8:$F$3006,B2415,Transactions!$Q$8:$Q$3006)&gt;SUMIF(Transactions!$F$8:$F$3006,B2415,Transactions!$R$8:$R$3006),"OWES","OVERPAID"))))</f>
        <v/>
      </c>
      <c r="I2415" s="1"/>
    </row>
    <row r="2416" spans="1:9" ht="18" customHeight="1" x14ac:dyDescent="0.25">
      <c r="A2416" s="40">
        <v>2401</v>
      </c>
      <c r="B2416" s="41" t="str">
        <f t="array" ref="B2416">IFERROR(IF(INDEX(Transactions!$F$8:$F$3006,MATCH(0,COUNTIF($B$11:B2415,Transactions!$F$8:$F$3006),0))="","",INDEX(Transactions!$F$8:$F$3006,MATCH(0,COUNTIF($B$11:B2415,Transactions!$F$8:$F$3006),0))),"")</f>
        <v/>
      </c>
      <c r="C2416" s="42" t="str">
        <f>IF(B2416="","",SUMIF(Transactions!$F$8:$F$3006,B2416,Transactions!$H$8:$H$3006))</f>
        <v/>
      </c>
      <c r="D2416" s="43" t="str">
        <f>IF(B2416="","",SUMIF(Transactions!$F$8:$F$3006,B2416,Transactions!$N$8:$N$3006))</f>
        <v/>
      </c>
      <c r="E2416" s="44" t="str">
        <f>IF(B2416="","",SUMIF(Transactions!$F$8:$F$3006,B2416,Transactions!$O$8:$O$3006))</f>
        <v/>
      </c>
      <c r="F2416" s="45" t="str">
        <f>IF(B2416="","",SUMIF(Transactions!$F$8:$F$3006,B2416,Transactions!$R$8:$R$3006))</f>
        <v/>
      </c>
      <c r="G2416" s="46" t="str">
        <f>IF(B2416="","",(C2416+F2416)-(D2416+E2416+SUMIF(Transactions!$F$8:$F$3006,B2416,Transactions!$Q$8:$Q$3006)))</f>
        <v/>
      </c>
      <c r="H2416" s="47" t="str">
        <f>IF(B2416="","",IF(G2416&gt;0,"OUTSTANDING",IF(G2416=0,"SETTLED",IF(SUMIF(Transactions!$F$8:$F$3006,B2416,Transactions!$Q$8:$Q$3006)&gt;SUMIF(Transactions!$F$8:$F$3006,B2416,Transactions!$R$8:$R$3006),"OWES","OVERPAID"))))</f>
        <v/>
      </c>
      <c r="I2416" s="1"/>
    </row>
    <row r="2417" spans="1:9" ht="18" customHeight="1" x14ac:dyDescent="0.25">
      <c r="A2417" s="48">
        <v>2402</v>
      </c>
      <c r="B2417" s="49" t="str">
        <f t="array" ref="B2417">IFERROR(IF(INDEX(Transactions!$F$8:$F$3006,MATCH(0,COUNTIF($B$11:B2416,Transactions!$F$8:$F$3006),0))="","",INDEX(Transactions!$F$8:$F$3006,MATCH(0,COUNTIF($B$11:B2416,Transactions!$F$8:$F$3006),0))),"")</f>
        <v/>
      </c>
      <c r="C2417" s="50" t="str">
        <f>IF(B2417="","",SUMIF(Transactions!$F$8:$F$3006,B2417,Transactions!$H$8:$H$3006))</f>
        <v/>
      </c>
      <c r="D2417" s="51" t="str">
        <f>IF(B2417="","",SUMIF(Transactions!$F$8:$F$3006,B2417,Transactions!$N$8:$N$3006))</f>
        <v/>
      </c>
      <c r="E2417" s="52" t="str">
        <f>IF(B2417="","",SUMIF(Transactions!$F$8:$F$3006,B2417,Transactions!$O$8:$O$3006))</f>
        <v/>
      </c>
      <c r="F2417" s="53" t="str">
        <f>IF(B2417="","",SUMIF(Transactions!$F$8:$F$3006,B2417,Transactions!$R$8:$R$3006))</f>
        <v/>
      </c>
      <c r="G2417" s="54" t="str">
        <f>IF(B2417="","",(C2417+F2417)-(D2417+E2417+SUMIF(Transactions!$F$8:$F$3006,B2417,Transactions!$Q$8:$Q$3006)))</f>
        <v/>
      </c>
      <c r="H2417" s="55" t="str">
        <f>IF(B2417="","",IF(G2417&gt;0,"OUTSTANDING",IF(G2417=0,"SETTLED",IF(SUMIF(Transactions!$F$8:$F$3006,B2417,Transactions!$Q$8:$Q$3006)&gt;SUMIF(Transactions!$F$8:$F$3006,B2417,Transactions!$R$8:$R$3006),"OWES","OVERPAID"))))</f>
        <v/>
      </c>
      <c r="I2417" s="1"/>
    </row>
    <row r="2418" spans="1:9" ht="18" customHeight="1" x14ac:dyDescent="0.25">
      <c r="A2418" s="40">
        <v>2403</v>
      </c>
      <c r="B2418" s="41" t="str">
        <f t="array" ref="B2418">IFERROR(IF(INDEX(Transactions!$F$8:$F$3006,MATCH(0,COUNTIF($B$11:B2417,Transactions!$F$8:$F$3006),0))="","",INDEX(Transactions!$F$8:$F$3006,MATCH(0,COUNTIF($B$11:B2417,Transactions!$F$8:$F$3006),0))),"")</f>
        <v/>
      </c>
      <c r="C2418" s="42" t="str">
        <f>IF(B2418="","",SUMIF(Transactions!$F$8:$F$3006,B2418,Transactions!$H$8:$H$3006))</f>
        <v/>
      </c>
      <c r="D2418" s="43" t="str">
        <f>IF(B2418="","",SUMIF(Transactions!$F$8:$F$3006,B2418,Transactions!$N$8:$N$3006))</f>
        <v/>
      </c>
      <c r="E2418" s="44" t="str">
        <f>IF(B2418="","",SUMIF(Transactions!$F$8:$F$3006,B2418,Transactions!$O$8:$O$3006))</f>
        <v/>
      </c>
      <c r="F2418" s="45" t="str">
        <f>IF(B2418="","",SUMIF(Transactions!$F$8:$F$3006,B2418,Transactions!$R$8:$R$3006))</f>
        <v/>
      </c>
      <c r="G2418" s="46" t="str">
        <f>IF(B2418="","",(C2418+F2418)-(D2418+E2418+SUMIF(Transactions!$F$8:$F$3006,B2418,Transactions!$Q$8:$Q$3006)))</f>
        <v/>
      </c>
      <c r="H2418" s="47" t="str">
        <f>IF(B2418="","",IF(G2418&gt;0,"OUTSTANDING",IF(G2418=0,"SETTLED",IF(SUMIF(Transactions!$F$8:$F$3006,B2418,Transactions!$Q$8:$Q$3006)&gt;SUMIF(Transactions!$F$8:$F$3006,B2418,Transactions!$R$8:$R$3006),"OWES","OVERPAID"))))</f>
        <v/>
      </c>
      <c r="I2418" s="1"/>
    </row>
    <row r="2419" spans="1:9" ht="18" customHeight="1" x14ac:dyDescent="0.25">
      <c r="A2419" s="48">
        <v>2404</v>
      </c>
      <c r="B2419" s="49" t="str">
        <f t="array" ref="B2419">IFERROR(IF(INDEX(Transactions!$F$8:$F$3006,MATCH(0,COUNTIF($B$11:B2418,Transactions!$F$8:$F$3006),0))="","",INDEX(Transactions!$F$8:$F$3006,MATCH(0,COUNTIF($B$11:B2418,Transactions!$F$8:$F$3006),0))),"")</f>
        <v/>
      </c>
      <c r="C2419" s="50" t="str">
        <f>IF(B2419="","",SUMIF(Transactions!$F$8:$F$3006,B2419,Transactions!$H$8:$H$3006))</f>
        <v/>
      </c>
      <c r="D2419" s="51" t="str">
        <f>IF(B2419="","",SUMIF(Transactions!$F$8:$F$3006,B2419,Transactions!$N$8:$N$3006))</f>
        <v/>
      </c>
      <c r="E2419" s="52" t="str">
        <f>IF(B2419="","",SUMIF(Transactions!$F$8:$F$3006,B2419,Transactions!$O$8:$O$3006))</f>
        <v/>
      </c>
      <c r="F2419" s="53" t="str">
        <f>IF(B2419="","",SUMIF(Transactions!$F$8:$F$3006,B2419,Transactions!$R$8:$R$3006))</f>
        <v/>
      </c>
      <c r="G2419" s="54" t="str">
        <f>IF(B2419="","",(C2419+F2419)-(D2419+E2419+SUMIF(Transactions!$F$8:$F$3006,B2419,Transactions!$Q$8:$Q$3006)))</f>
        <v/>
      </c>
      <c r="H2419" s="55" t="str">
        <f>IF(B2419="","",IF(G2419&gt;0,"OUTSTANDING",IF(G2419=0,"SETTLED",IF(SUMIF(Transactions!$F$8:$F$3006,B2419,Transactions!$Q$8:$Q$3006)&gt;SUMIF(Transactions!$F$8:$F$3006,B2419,Transactions!$R$8:$R$3006),"OWES","OVERPAID"))))</f>
        <v/>
      </c>
      <c r="I2419" s="1"/>
    </row>
    <row r="2420" spans="1:9" ht="18" customHeight="1" x14ac:dyDescent="0.25">
      <c r="A2420" s="40">
        <v>2405</v>
      </c>
      <c r="B2420" s="41" t="str">
        <f t="array" ref="B2420">IFERROR(IF(INDEX(Transactions!$F$8:$F$3006,MATCH(0,COUNTIF($B$11:B2419,Transactions!$F$8:$F$3006),0))="","",INDEX(Transactions!$F$8:$F$3006,MATCH(0,COUNTIF($B$11:B2419,Transactions!$F$8:$F$3006),0))),"")</f>
        <v/>
      </c>
      <c r="C2420" s="42" t="str">
        <f>IF(B2420="","",SUMIF(Transactions!$F$8:$F$3006,B2420,Transactions!$H$8:$H$3006))</f>
        <v/>
      </c>
      <c r="D2420" s="43" t="str">
        <f>IF(B2420="","",SUMIF(Transactions!$F$8:$F$3006,B2420,Transactions!$N$8:$N$3006))</f>
        <v/>
      </c>
      <c r="E2420" s="44" t="str">
        <f>IF(B2420="","",SUMIF(Transactions!$F$8:$F$3006,B2420,Transactions!$O$8:$O$3006))</f>
        <v/>
      </c>
      <c r="F2420" s="45" t="str">
        <f>IF(B2420="","",SUMIF(Transactions!$F$8:$F$3006,B2420,Transactions!$R$8:$R$3006))</f>
        <v/>
      </c>
      <c r="G2420" s="46" t="str">
        <f>IF(B2420="","",(C2420+F2420)-(D2420+E2420+SUMIF(Transactions!$F$8:$F$3006,B2420,Transactions!$Q$8:$Q$3006)))</f>
        <v/>
      </c>
      <c r="H2420" s="47" t="str">
        <f>IF(B2420="","",IF(G2420&gt;0,"OUTSTANDING",IF(G2420=0,"SETTLED",IF(SUMIF(Transactions!$F$8:$F$3006,B2420,Transactions!$Q$8:$Q$3006)&gt;SUMIF(Transactions!$F$8:$F$3006,B2420,Transactions!$R$8:$R$3006),"OWES","OVERPAID"))))</f>
        <v/>
      </c>
      <c r="I2420" s="1"/>
    </row>
    <row r="2421" spans="1:9" ht="18" customHeight="1" x14ac:dyDescent="0.25">
      <c r="A2421" s="48">
        <v>2406</v>
      </c>
      <c r="B2421" s="49" t="str">
        <f t="array" ref="B2421">IFERROR(IF(INDEX(Transactions!$F$8:$F$3006,MATCH(0,COUNTIF($B$11:B2420,Transactions!$F$8:$F$3006),0))="","",INDEX(Transactions!$F$8:$F$3006,MATCH(0,COUNTIF($B$11:B2420,Transactions!$F$8:$F$3006),0))),"")</f>
        <v/>
      </c>
      <c r="C2421" s="50" t="str">
        <f>IF(B2421="","",SUMIF(Transactions!$F$8:$F$3006,B2421,Transactions!$H$8:$H$3006))</f>
        <v/>
      </c>
      <c r="D2421" s="51" t="str">
        <f>IF(B2421="","",SUMIF(Transactions!$F$8:$F$3006,B2421,Transactions!$N$8:$N$3006))</f>
        <v/>
      </c>
      <c r="E2421" s="52" t="str">
        <f>IF(B2421="","",SUMIF(Transactions!$F$8:$F$3006,B2421,Transactions!$O$8:$O$3006))</f>
        <v/>
      </c>
      <c r="F2421" s="53" t="str">
        <f>IF(B2421="","",SUMIF(Transactions!$F$8:$F$3006,B2421,Transactions!$R$8:$R$3006))</f>
        <v/>
      </c>
      <c r="G2421" s="54" t="str">
        <f>IF(B2421="","",(C2421+F2421)-(D2421+E2421+SUMIF(Transactions!$F$8:$F$3006,B2421,Transactions!$Q$8:$Q$3006)))</f>
        <v/>
      </c>
      <c r="H2421" s="55" t="str">
        <f>IF(B2421="","",IF(G2421&gt;0,"OUTSTANDING",IF(G2421=0,"SETTLED",IF(SUMIF(Transactions!$F$8:$F$3006,B2421,Transactions!$Q$8:$Q$3006)&gt;SUMIF(Transactions!$F$8:$F$3006,B2421,Transactions!$R$8:$R$3006),"OWES","OVERPAID"))))</f>
        <v/>
      </c>
      <c r="I2421" s="1"/>
    </row>
    <row r="2422" spans="1:9" ht="18" customHeight="1" x14ac:dyDescent="0.25">
      <c r="A2422" s="40">
        <v>2407</v>
      </c>
      <c r="B2422" s="41" t="str">
        <f t="array" ref="B2422">IFERROR(IF(INDEX(Transactions!$F$8:$F$3006,MATCH(0,COUNTIF($B$11:B2421,Transactions!$F$8:$F$3006),0))="","",INDEX(Transactions!$F$8:$F$3006,MATCH(0,COUNTIF($B$11:B2421,Transactions!$F$8:$F$3006),0))),"")</f>
        <v/>
      </c>
      <c r="C2422" s="42" t="str">
        <f>IF(B2422="","",SUMIF(Transactions!$F$8:$F$3006,B2422,Transactions!$H$8:$H$3006))</f>
        <v/>
      </c>
      <c r="D2422" s="43" t="str">
        <f>IF(B2422="","",SUMIF(Transactions!$F$8:$F$3006,B2422,Transactions!$N$8:$N$3006))</f>
        <v/>
      </c>
      <c r="E2422" s="44" t="str">
        <f>IF(B2422="","",SUMIF(Transactions!$F$8:$F$3006,B2422,Transactions!$O$8:$O$3006))</f>
        <v/>
      </c>
      <c r="F2422" s="45" t="str">
        <f>IF(B2422="","",SUMIF(Transactions!$F$8:$F$3006,B2422,Transactions!$R$8:$R$3006))</f>
        <v/>
      </c>
      <c r="G2422" s="46" t="str">
        <f>IF(B2422="","",(C2422+F2422)-(D2422+E2422+SUMIF(Transactions!$F$8:$F$3006,B2422,Transactions!$Q$8:$Q$3006)))</f>
        <v/>
      </c>
      <c r="H2422" s="47" t="str">
        <f>IF(B2422="","",IF(G2422&gt;0,"OUTSTANDING",IF(G2422=0,"SETTLED",IF(SUMIF(Transactions!$F$8:$F$3006,B2422,Transactions!$Q$8:$Q$3006)&gt;SUMIF(Transactions!$F$8:$F$3006,B2422,Transactions!$R$8:$R$3006),"OWES","OVERPAID"))))</f>
        <v/>
      </c>
      <c r="I2422" s="1"/>
    </row>
    <row r="2423" spans="1:9" ht="18" customHeight="1" x14ac:dyDescent="0.25">
      <c r="A2423" s="48">
        <v>2408</v>
      </c>
      <c r="B2423" s="49" t="str">
        <f t="array" ref="B2423">IFERROR(IF(INDEX(Transactions!$F$8:$F$3006,MATCH(0,COUNTIF($B$11:B2422,Transactions!$F$8:$F$3006),0))="","",INDEX(Transactions!$F$8:$F$3006,MATCH(0,COUNTIF($B$11:B2422,Transactions!$F$8:$F$3006),0))),"")</f>
        <v/>
      </c>
      <c r="C2423" s="50" t="str">
        <f>IF(B2423="","",SUMIF(Transactions!$F$8:$F$3006,B2423,Transactions!$H$8:$H$3006))</f>
        <v/>
      </c>
      <c r="D2423" s="51" t="str">
        <f>IF(B2423="","",SUMIF(Transactions!$F$8:$F$3006,B2423,Transactions!$N$8:$N$3006))</f>
        <v/>
      </c>
      <c r="E2423" s="52" t="str">
        <f>IF(B2423="","",SUMIF(Transactions!$F$8:$F$3006,B2423,Transactions!$O$8:$O$3006))</f>
        <v/>
      </c>
      <c r="F2423" s="53" t="str">
        <f>IF(B2423="","",SUMIF(Transactions!$F$8:$F$3006,B2423,Transactions!$R$8:$R$3006))</f>
        <v/>
      </c>
      <c r="G2423" s="54" t="str">
        <f>IF(B2423="","",(C2423+F2423)-(D2423+E2423+SUMIF(Transactions!$F$8:$F$3006,B2423,Transactions!$Q$8:$Q$3006)))</f>
        <v/>
      </c>
      <c r="H2423" s="55" t="str">
        <f>IF(B2423="","",IF(G2423&gt;0,"OUTSTANDING",IF(G2423=0,"SETTLED",IF(SUMIF(Transactions!$F$8:$F$3006,B2423,Transactions!$Q$8:$Q$3006)&gt;SUMIF(Transactions!$F$8:$F$3006,B2423,Transactions!$R$8:$R$3006),"OWES","OVERPAID"))))</f>
        <v/>
      </c>
      <c r="I2423" s="1"/>
    </row>
    <row r="2424" spans="1:9" ht="18" customHeight="1" x14ac:dyDescent="0.25">
      <c r="A2424" s="40">
        <v>2409</v>
      </c>
      <c r="B2424" s="41" t="str">
        <f t="array" ref="B2424">IFERROR(IF(INDEX(Transactions!$F$8:$F$3006,MATCH(0,COUNTIF($B$11:B2423,Transactions!$F$8:$F$3006),0))="","",INDEX(Transactions!$F$8:$F$3006,MATCH(0,COUNTIF($B$11:B2423,Transactions!$F$8:$F$3006),0))),"")</f>
        <v/>
      </c>
      <c r="C2424" s="42" t="str">
        <f>IF(B2424="","",SUMIF(Transactions!$F$8:$F$3006,B2424,Transactions!$H$8:$H$3006))</f>
        <v/>
      </c>
      <c r="D2424" s="43" t="str">
        <f>IF(B2424="","",SUMIF(Transactions!$F$8:$F$3006,B2424,Transactions!$N$8:$N$3006))</f>
        <v/>
      </c>
      <c r="E2424" s="44" t="str">
        <f>IF(B2424="","",SUMIF(Transactions!$F$8:$F$3006,B2424,Transactions!$O$8:$O$3006))</f>
        <v/>
      </c>
      <c r="F2424" s="45" t="str">
        <f>IF(B2424="","",SUMIF(Transactions!$F$8:$F$3006,B2424,Transactions!$R$8:$R$3006))</f>
        <v/>
      </c>
      <c r="G2424" s="46" t="str">
        <f>IF(B2424="","",(C2424+F2424)-(D2424+E2424+SUMIF(Transactions!$F$8:$F$3006,B2424,Transactions!$Q$8:$Q$3006)))</f>
        <v/>
      </c>
      <c r="H2424" s="47" t="str">
        <f>IF(B2424="","",IF(G2424&gt;0,"OUTSTANDING",IF(G2424=0,"SETTLED",IF(SUMIF(Transactions!$F$8:$F$3006,B2424,Transactions!$Q$8:$Q$3006)&gt;SUMIF(Transactions!$F$8:$F$3006,B2424,Transactions!$R$8:$R$3006),"OWES","OVERPAID"))))</f>
        <v/>
      </c>
      <c r="I2424" s="1"/>
    </row>
    <row r="2425" spans="1:9" ht="18" customHeight="1" x14ac:dyDescent="0.25">
      <c r="A2425" s="48">
        <v>2410</v>
      </c>
      <c r="B2425" s="49" t="str">
        <f t="array" ref="B2425">IFERROR(IF(INDEX(Transactions!$F$8:$F$3006,MATCH(0,COUNTIF($B$11:B2424,Transactions!$F$8:$F$3006),0))="","",INDEX(Transactions!$F$8:$F$3006,MATCH(0,COUNTIF($B$11:B2424,Transactions!$F$8:$F$3006),0))),"")</f>
        <v/>
      </c>
      <c r="C2425" s="50" t="str">
        <f>IF(B2425="","",SUMIF(Transactions!$F$8:$F$3006,B2425,Transactions!$H$8:$H$3006))</f>
        <v/>
      </c>
      <c r="D2425" s="51" t="str">
        <f>IF(B2425="","",SUMIF(Transactions!$F$8:$F$3006,B2425,Transactions!$N$8:$N$3006))</f>
        <v/>
      </c>
      <c r="E2425" s="52" t="str">
        <f>IF(B2425="","",SUMIF(Transactions!$F$8:$F$3006,B2425,Transactions!$O$8:$O$3006))</f>
        <v/>
      </c>
      <c r="F2425" s="53" t="str">
        <f>IF(B2425="","",SUMIF(Transactions!$F$8:$F$3006,B2425,Transactions!$R$8:$R$3006))</f>
        <v/>
      </c>
      <c r="G2425" s="54" t="str">
        <f>IF(B2425="","",(C2425+F2425)-(D2425+E2425+SUMIF(Transactions!$F$8:$F$3006,B2425,Transactions!$Q$8:$Q$3006)))</f>
        <v/>
      </c>
      <c r="H2425" s="55" t="str">
        <f>IF(B2425="","",IF(G2425&gt;0,"OUTSTANDING",IF(G2425=0,"SETTLED",IF(SUMIF(Transactions!$F$8:$F$3006,B2425,Transactions!$Q$8:$Q$3006)&gt;SUMIF(Transactions!$F$8:$F$3006,B2425,Transactions!$R$8:$R$3006),"OWES","OVERPAID"))))</f>
        <v/>
      </c>
      <c r="I2425" s="1"/>
    </row>
    <row r="2426" spans="1:9" ht="18" customHeight="1" x14ac:dyDescent="0.25">
      <c r="A2426" s="40">
        <v>2411</v>
      </c>
      <c r="B2426" s="41" t="str">
        <f t="array" ref="B2426">IFERROR(IF(INDEX(Transactions!$F$8:$F$3006,MATCH(0,COUNTIF($B$11:B2425,Transactions!$F$8:$F$3006),0))="","",INDEX(Transactions!$F$8:$F$3006,MATCH(0,COUNTIF($B$11:B2425,Transactions!$F$8:$F$3006),0))),"")</f>
        <v/>
      </c>
      <c r="C2426" s="42" t="str">
        <f>IF(B2426="","",SUMIF(Transactions!$F$8:$F$3006,B2426,Transactions!$H$8:$H$3006))</f>
        <v/>
      </c>
      <c r="D2426" s="43" t="str">
        <f>IF(B2426="","",SUMIF(Transactions!$F$8:$F$3006,B2426,Transactions!$N$8:$N$3006))</f>
        <v/>
      </c>
      <c r="E2426" s="44" t="str">
        <f>IF(B2426="","",SUMIF(Transactions!$F$8:$F$3006,B2426,Transactions!$O$8:$O$3006))</f>
        <v/>
      </c>
      <c r="F2426" s="45" t="str">
        <f>IF(B2426="","",SUMIF(Transactions!$F$8:$F$3006,B2426,Transactions!$R$8:$R$3006))</f>
        <v/>
      </c>
      <c r="G2426" s="46" t="str">
        <f>IF(B2426="","",(C2426+F2426)-(D2426+E2426+SUMIF(Transactions!$F$8:$F$3006,B2426,Transactions!$Q$8:$Q$3006)))</f>
        <v/>
      </c>
      <c r="H2426" s="47" t="str">
        <f>IF(B2426="","",IF(G2426&gt;0,"OUTSTANDING",IF(G2426=0,"SETTLED",IF(SUMIF(Transactions!$F$8:$F$3006,B2426,Transactions!$Q$8:$Q$3006)&gt;SUMIF(Transactions!$F$8:$F$3006,B2426,Transactions!$R$8:$R$3006),"OWES","OVERPAID"))))</f>
        <v/>
      </c>
      <c r="I2426" s="1"/>
    </row>
    <row r="2427" spans="1:9" ht="18" customHeight="1" x14ac:dyDescent="0.25">
      <c r="A2427" s="48">
        <v>2412</v>
      </c>
      <c r="B2427" s="49" t="str">
        <f t="array" ref="B2427">IFERROR(IF(INDEX(Transactions!$F$8:$F$3006,MATCH(0,COUNTIF($B$11:B2426,Transactions!$F$8:$F$3006),0))="","",INDEX(Transactions!$F$8:$F$3006,MATCH(0,COUNTIF($B$11:B2426,Transactions!$F$8:$F$3006),0))),"")</f>
        <v/>
      </c>
      <c r="C2427" s="50" t="str">
        <f>IF(B2427="","",SUMIF(Transactions!$F$8:$F$3006,B2427,Transactions!$H$8:$H$3006))</f>
        <v/>
      </c>
      <c r="D2427" s="51" t="str">
        <f>IF(B2427="","",SUMIF(Transactions!$F$8:$F$3006,B2427,Transactions!$N$8:$N$3006))</f>
        <v/>
      </c>
      <c r="E2427" s="52" t="str">
        <f>IF(B2427="","",SUMIF(Transactions!$F$8:$F$3006,B2427,Transactions!$O$8:$O$3006))</f>
        <v/>
      </c>
      <c r="F2427" s="53" t="str">
        <f>IF(B2427="","",SUMIF(Transactions!$F$8:$F$3006,B2427,Transactions!$R$8:$R$3006))</f>
        <v/>
      </c>
      <c r="G2427" s="54" t="str">
        <f>IF(B2427="","",(C2427+F2427)-(D2427+E2427+SUMIF(Transactions!$F$8:$F$3006,B2427,Transactions!$Q$8:$Q$3006)))</f>
        <v/>
      </c>
      <c r="H2427" s="55" t="str">
        <f>IF(B2427="","",IF(G2427&gt;0,"OUTSTANDING",IF(G2427=0,"SETTLED",IF(SUMIF(Transactions!$F$8:$F$3006,B2427,Transactions!$Q$8:$Q$3006)&gt;SUMIF(Transactions!$F$8:$F$3006,B2427,Transactions!$R$8:$R$3006),"OWES","OVERPAID"))))</f>
        <v/>
      </c>
      <c r="I2427" s="1"/>
    </row>
    <row r="2428" spans="1:9" ht="18" customHeight="1" x14ac:dyDescent="0.25">
      <c r="A2428" s="40">
        <v>2413</v>
      </c>
      <c r="B2428" s="41" t="str">
        <f t="array" ref="B2428">IFERROR(IF(INDEX(Transactions!$F$8:$F$3006,MATCH(0,COUNTIF($B$11:B2427,Transactions!$F$8:$F$3006),0))="","",INDEX(Transactions!$F$8:$F$3006,MATCH(0,COUNTIF($B$11:B2427,Transactions!$F$8:$F$3006),0))),"")</f>
        <v/>
      </c>
      <c r="C2428" s="42" t="str">
        <f>IF(B2428="","",SUMIF(Transactions!$F$8:$F$3006,B2428,Transactions!$H$8:$H$3006))</f>
        <v/>
      </c>
      <c r="D2428" s="43" t="str">
        <f>IF(B2428="","",SUMIF(Transactions!$F$8:$F$3006,B2428,Transactions!$N$8:$N$3006))</f>
        <v/>
      </c>
      <c r="E2428" s="44" t="str">
        <f>IF(B2428="","",SUMIF(Transactions!$F$8:$F$3006,B2428,Transactions!$O$8:$O$3006))</f>
        <v/>
      </c>
      <c r="F2428" s="45" t="str">
        <f>IF(B2428="","",SUMIF(Transactions!$F$8:$F$3006,B2428,Transactions!$R$8:$R$3006))</f>
        <v/>
      </c>
      <c r="G2428" s="46" t="str">
        <f>IF(B2428="","",(C2428+F2428)-(D2428+E2428+SUMIF(Transactions!$F$8:$F$3006,B2428,Transactions!$Q$8:$Q$3006)))</f>
        <v/>
      </c>
      <c r="H2428" s="47" t="str">
        <f>IF(B2428="","",IF(G2428&gt;0,"OUTSTANDING",IF(G2428=0,"SETTLED",IF(SUMIF(Transactions!$F$8:$F$3006,B2428,Transactions!$Q$8:$Q$3006)&gt;SUMIF(Transactions!$F$8:$F$3006,B2428,Transactions!$R$8:$R$3006),"OWES","OVERPAID"))))</f>
        <v/>
      </c>
      <c r="I2428" s="1"/>
    </row>
    <row r="2429" spans="1:9" ht="18" customHeight="1" x14ac:dyDescent="0.25">
      <c r="A2429" s="48">
        <v>2414</v>
      </c>
      <c r="B2429" s="49" t="str">
        <f t="array" ref="B2429">IFERROR(IF(INDEX(Transactions!$F$8:$F$3006,MATCH(0,COUNTIF($B$11:B2428,Transactions!$F$8:$F$3006),0))="","",INDEX(Transactions!$F$8:$F$3006,MATCH(0,COUNTIF($B$11:B2428,Transactions!$F$8:$F$3006),0))),"")</f>
        <v/>
      </c>
      <c r="C2429" s="50" t="str">
        <f>IF(B2429="","",SUMIF(Transactions!$F$8:$F$3006,B2429,Transactions!$H$8:$H$3006))</f>
        <v/>
      </c>
      <c r="D2429" s="51" t="str">
        <f>IF(B2429="","",SUMIF(Transactions!$F$8:$F$3006,B2429,Transactions!$N$8:$N$3006))</f>
        <v/>
      </c>
      <c r="E2429" s="52" t="str">
        <f>IF(B2429="","",SUMIF(Transactions!$F$8:$F$3006,B2429,Transactions!$O$8:$O$3006))</f>
        <v/>
      </c>
      <c r="F2429" s="53" t="str">
        <f>IF(B2429="","",SUMIF(Transactions!$F$8:$F$3006,B2429,Transactions!$R$8:$R$3006))</f>
        <v/>
      </c>
      <c r="G2429" s="54" t="str">
        <f>IF(B2429="","",(C2429+F2429)-(D2429+E2429+SUMIF(Transactions!$F$8:$F$3006,B2429,Transactions!$Q$8:$Q$3006)))</f>
        <v/>
      </c>
      <c r="H2429" s="55" t="str">
        <f>IF(B2429="","",IF(G2429&gt;0,"OUTSTANDING",IF(G2429=0,"SETTLED",IF(SUMIF(Transactions!$F$8:$F$3006,B2429,Transactions!$Q$8:$Q$3006)&gt;SUMIF(Transactions!$F$8:$F$3006,B2429,Transactions!$R$8:$R$3006),"OWES","OVERPAID"))))</f>
        <v/>
      </c>
      <c r="I2429" s="1"/>
    </row>
    <row r="2430" spans="1:9" ht="18" customHeight="1" x14ac:dyDescent="0.25">
      <c r="A2430" s="40">
        <v>2415</v>
      </c>
      <c r="B2430" s="41" t="str">
        <f t="array" ref="B2430">IFERROR(IF(INDEX(Transactions!$F$8:$F$3006,MATCH(0,COUNTIF($B$11:B2429,Transactions!$F$8:$F$3006),0))="","",INDEX(Transactions!$F$8:$F$3006,MATCH(0,COUNTIF($B$11:B2429,Transactions!$F$8:$F$3006),0))),"")</f>
        <v/>
      </c>
      <c r="C2430" s="42" t="str">
        <f>IF(B2430="","",SUMIF(Transactions!$F$8:$F$3006,B2430,Transactions!$H$8:$H$3006))</f>
        <v/>
      </c>
      <c r="D2430" s="43" t="str">
        <f>IF(B2430="","",SUMIF(Transactions!$F$8:$F$3006,B2430,Transactions!$N$8:$N$3006))</f>
        <v/>
      </c>
      <c r="E2430" s="44" t="str">
        <f>IF(B2430="","",SUMIF(Transactions!$F$8:$F$3006,B2430,Transactions!$O$8:$O$3006))</f>
        <v/>
      </c>
      <c r="F2430" s="45" t="str">
        <f>IF(B2430="","",SUMIF(Transactions!$F$8:$F$3006,B2430,Transactions!$R$8:$R$3006))</f>
        <v/>
      </c>
      <c r="G2430" s="46" t="str">
        <f>IF(B2430="","",(C2430+F2430)-(D2430+E2430+SUMIF(Transactions!$F$8:$F$3006,B2430,Transactions!$Q$8:$Q$3006)))</f>
        <v/>
      </c>
      <c r="H2430" s="47" t="str">
        <f>IF(B2430="","",IF(G2430&gt;0,"OUTSTANDING",IF(G2430=0,"SETTLED",IF(SUMIF(Transactions!$F$8:$F$3006,B2430,Transactions!$Q$8:$Q$3006)&gt;SUMIF(Transactions!$F$8:$F$3006,B2430,Transactions!$R$8:$R$3006),"OWES","OVERPAID"))))</f>
        <v/>
      </c>
      <c r="I2430" s="1"/>
    </row>
    <row r="2431" spans="1:9" ht="18" customHeight="1" x14ac:dyDescent="0.25">
      <c r="A2431" s="48">
        <v>2416</v>
      </c>
      <c r="B2431" s="49" t="str">
        <f t="array" ref="B2431">IFERROR(IF(INDEX(Transactions!$F$8:$F$3006,MATCH(0,COUNTIF($B$11:B2430,Transactions!$F$8:$F$3006),0))="","",INDEX(Transactions!$F$8:$F$3006,MATCH(0,COUNTIF($B$11:B2430,Transactions!$F$8:$F$3006),0))),"")</f>
        <v/>
      </c>
      <c r="C2431" s="50" t="str">
        <f>IF(B2431="","",SUMIF(Transactions!$F$8:$F$3006,B2431,Transactions!$H$8:$H$3006))</f>
        <v/>
      </c>
      <c r="D2431" s="51" t="str">
        <f>IF(B2431="","",SUMIF(Transactions!$F$8:$F$3006,B2431,Transactions!$N$8:$N$3006))</f>
        <v/>
      </c>
      <c r="E2431" s="52" t="str">
        <f>IF(B2431="","",SUMIF(Transactions!$F$8:$F$3006,B2431,Transactions!$O$8:$O$3006))</f>
        <v/>
      </c>
      <c r="F2431" s="53" t="str">
        <f>IF(B2431="","",SUMIF(Transactions!$F$8:$F$3006,B2431,Transactions!$R$8:$R$3006))</f>
        <v/>
      </c>
      <c r="G2431" s="54" t="str">
        <f>IF(B2431="","",(C2431+F2431)-(D2431+E2431+SUMIF(Transactions!$F$8:$F$3006,B2431,Transactions!$Q$8:$Q$3006)))</f>
        <v/>
      </c>
      <c r="H2431" s="55" t="str">
        <f>IF(B2431="","",IF(G2431&gt;0,"OUTSTANDING",IF(G2431=0,"SETTLED",IF(SUMIF(Transactions!$F$8:$F$3006,B2431,Transactions!$Q$8:$Q$3006)&gt;SUMIF(Transactions!$F$8:$F$3006,B2431,Transactions!$R$8:$R$3006),"OWES","OVERPAID"))))</f>
        <v/>
      </c>
      <c r="I2431" s="1"/>
    </row>
    <row r="2432" spans="1:9" ht="18" customHeight="1" x14ac:dyDescent="0.25">
      <c r="A2432" s="40">
        <v>2417</v>
      </c>
      <c r="B2432" s="41" t="str">
        <f t="array" ref="B2432">IFERROR(IF(INDEX(Transactions!$F$8:$F$3006,MATCH(0,COUNTIF($B$11:B2431,Transactions!$F$8:$F$3006),0))="","",INDEX(Transactions!$F$8:$F$3006,MATCH(0,COUNTIF($B$11:B2431,Transactions!$F$8:$F$3006),0))),"")</f>
        <v/>
      </c>
      <c r="C2432" s="42" t="str">
        <f>IF(B2432="","",SUMIF(Transactions!$F$8:$F$3006,B2432,Transactions!$H$8:$H$3006))</f>
        <v/>
      </c>
      <c r="D2432" s="43" t="str">
        <f>IF(B2432="","",SUMIF(Transactions!$F$8:$F$3006,B2432,Transactions!$N$8:$N$3006))</f>
        <v/>
      </c>
      <c r="E2432" s="44" t="str">
        <f>IF(B2432="","",SUMIF(Transactions!$F$8:$F$3006,B2432,Transactions!$O$8:$O$3006))</f>
        <v/>
      </c>
      <c r="F2432" s="45" t="str">
        <f>IF(B2432="","",SUMIF(Transactions!$F$8:$F$3006,B2432,Transactions!$R$8:$R$3006))</f>
        <v/>
      </c>
      <c r="G2432" s="46" t="str">
        <f>IF(B2432="","",(C2432+F2432)-(D2432+E2432+SUMIF(Transactions!$F$8:$F$3006,B2432,Transactions!$Q$8:$Q$3006)))</f>
        <v/>
      </c>
      <c r="H2432" s="47" t="str">
        <f>IF(B2432="","",IF(G2432&gt;0,"OUTSTANDING",IF(G2432=0,"SETTLED",IF(SUMIF(Transactions!$F$8:$F$3006,B2432,Transactions!$Q$8:$Q$3006)&gt;SUMIF(Transactions!$F$8:$F$3006,B2432,Transactions!$R$8:$R$3006),"OWES","OVERPAID"))))</f>
        <v/>
      </c>
      <c r="I2432" s="1"/>
    </row>
    <row r="2433" spans="1:9" ht="18" customHeight="1" x14ac:dyDescent="0.25">
      <c r="A2433" s="48">
        <v>2418</v>
      </c>
      <c r="B2433" s="49" t="str">
        <f t="array" ref="B2433">IFERROR(IF(INDEX(Transactions!$F$8:$F$3006,MATCH(0,COUNTIF($B$11:B2432,Transactions!$F$8:$F$3006),0))="","",INDEX(Transactions!$F$8:$F$3006,MATCH(0,COUNTIF($B$11:B2432,Transactions!$F$8:$F$3006),0))),"")</f>
        <v/>
      </c>
      <c r="C2433" s="50" t="str">
        <f>IF(B2433="","",SUMIF(Transactions!$F$8:$F$3006,B2433,Transactions!$H$8:$H$3006))</f>
        <v/>
      </c>
      <c r="D2433" s="51" t="str">
        <f>IF(B2433="","",SUMIF(Transactions!$F$8:$F$3006,B2433,Transactions!$N$8:$N$3006))</f>
        <v/>
      </c>
      <c r="E2433" s="52" t="str">
        <f>IF(B2433="","",SUMIF(Transactions!$F$8:$F$3006,B2433,Transactions!$O$8:$O$3006))</f>
        <v/>
      </c>
      <c r="F2433" s="53" t="str">
        <f>IF(B2433="","",SUMIF(Transactions!$F$8:$F$3006,B2433,Transactions!$R$8:$R$3006))</f>
        <v/>
      </c>
      <c r="G2433" s="54" t="str">
        <f>IF(B2433="","",(C2433+F2433)-(D2433+E2433+SUMIF(Transactions!$F$8:$F$3006,B2433,Transactions!$Q$8:$Q$3006)))</f>
        <v/>
      </c>
      <c r="H2433" s="55" t="str">
        <f>IF(B2433="","",IF(G2433&gt;0,"OUTSTANDING",IF(G2433=0,"SETTLED",IF(SUMIF(Transactions!$F$8:$F$3006,B2433,Transactions!$Q$8:$Q$3006)&gt;SUMIF(Transactions!$F$8:$F$3006,B2433,Transactions!$R$8:$R$3006),"OWES","OVERPAID"))))</f>
        <v/>
      </c>
      <c r="I2433" s="1"/>
    </row>
    <row r="2434" spans="1:9" ht="18" customHeight="1" x14ac:dyDescent="0.25">
      <c r="A2434" s="40">
        <v>2419</v>
      </c>
      <c r="B2434" s="41" t="str">
        <f t="array" ref="B2434">IFERROR(IF(INDEX(Transactions!$F$8:$F$3006,MATCH(0,COUNTIF($B$11:B2433,Transactions!$F$8:$F$3006),0))="","",INDEX(Transactions!$F$8:$F$3006,MATCH(0,COUNTIF($B$11:B2433,Transactions!$F$8:$F$3006),0))),"")</f>
        <v/>
      </c>
      <c r="C2434" s="42" t="str">
        <f>IF(B2434="","",SUMIF(Transactions!$F$8:$F$3006,B2434,Transactions!$H$8:$H$3006))</f>
        <v/>
      </c>
      <c r="D2434" s="43" t="str">
        <f>IF(B2434="","",SUMIF(Transactions!$F$8:$F$3006,B2434,Transactions!$N$8:$N$3006))</f>
        <v/>
      </c>
      <c r="E2434" s="44" t="str">
        <f>IF(B2434="","",SUMIF(Transactions!$F$8:$F$3006,B2434,Transactions!$O$8:$O$3006))</f>
        <v/>
      </c>
      <c r="F2434" s="45" t="str">
        <f>IF(B2434="","",SUMIF(Transactions!$F$8:$F$3006,B2434,Transactions!$R$8:$R$3006))</f>
        <v/>
      </c>
      <c r="G2434" s="46" t="str">
        <f>IF(B2434="","",(C2434+F2434)-(D2434+E2434+SUMIF(Transactions!$F$8:$F$3006,B2434,Transactions!$Q$8:$Q$3006)))</f>
        <v/>
      </c>
      <c r="H2434" s="47" t="str">
        <f>IF(B2434="","",IF(G2434&gt;0,"OUTSTANDING",IF(G2434=0,"SETTLED",IF(SUMIF(Transactions!$F$8:$F$3006,B2434,Transactions!$Q$8:$Q$3006)&gt;SUMIF(Transactions!$F$8:$F$3006,B2434,Transactions!$R$8:$R$3006),"OWES","OVERPAID"))))</f>
        <v/>
      </c>
      <c r="I2434" s="1"/>
    </row>
    <row r="2435" spans="1:9" ht="18" customHeight="1" x14ac:dyDescent="0.25">
      <c r="A2435" s="48">
        <v>2420</v>
      </c>
      <c r="B2435" s="49" t="str">
        <f t="array" ref="B2435">IFERROR(IF(INDEX(Transactions!$F$8:$F$3006,MATCH(0,COUNTIF($B$11:B2434,Transactions!$F$8:$F$3006),0))="","",INDEX(Transactions!$F$8:$F$3006,MATCH(0,COUNTIF($B$11:B2434,Transactions!$F$8:$F$3006),0))),"")</f>
        <v/>
      </c>
      <c r="C2435" s="50" t="str">
        <f>IF(B2435="","",SUMIF(Transactions!$F$8:$F$3006,B2435,Transactions!$H$8:$H$3006))</f>
        <v/>
      </c>
      <c r="D2435" s="51" t="str">
        <f>IF(B2435="","",SUMIF(Transactions!$F$8:$F$3006,B2435,Transactions!$N$8:$N$3006))</f>
        <v/>
      </c>
      <c r="E2435" s="52" t="str">
        <f>IF(B2435="","",SUMIF(Transactions!$F$8:$F$3006,B2435,Transactions!$O$8:$O$3006))</f>
        <v/>
      </c>
      <c r="F2435" s="53" t="str">
        <f>IF(B2435="","",SUMIF(Transactions!$F$8:$F$3006,B2435,Transactions!$R$8:$R$3006))</f>
        <v/>
      </c>
      <c r="G2435" s="54" t="str">
        <f>IF(B2435="","",(C2435+F2435)-(D2435+E2435+SUMIF(Transactions!$F$8:$F$3006,B2435,Transactions!$Q$8:$Q$3006)))</f>
        <v/>
      </c>
      <c r="H2435" s="55" t="str">
        <f>IF(B2435="","",IF(G2435&gt;0,"OUTSTANDING",IF(G2435=0,"SETTLED",IF(SUMIF(Transactions!$F$8:$F$3006,B2435,Transactions!$Q$8:$Q$3006)&gt;SUMIF(Transactions!$F$8:$F$3006,B2435,Transactions!$R$8:$R$3006),"OWES","OVERPAID"))))</f>
        <v/>
      </c>
      <c r="I2435" s="1"/>
    </row>
    <row r="2436" spans="1:9" ht="18" customHeight="1" x14ac:dyDescent="0.25">
      <c r="A2436" s="40">
        <v>2421</v>
      </c>
      <c r="B2436" s="41" t="str">
        <f t="array" ref="B2436">IFERROR(IF(INDEX(Transactions!$F$8:$F$3006,MATCH(0,COUNTIF($B$11:B2435,Transactions!$F$8:$F$3006),0))="","",INDEX(Transactions!$F$8:$F$3006,MATCH(0,COUNTIF($B$11:B2435,Transactions!$F$8:$F$3006),0))),"")</f>
        <v/>
      </c>
      <c r="C2436" s="42" t="str">
        <f>IF(B2436="","",SUMIF(Transactions!$F$8:$F$3006,B2436,Transactions!$H$8:$H$3006))</f>
        <v/>
      </c>
      <c r="D2436" s="43" t="str">
        <f>IF(B2436="","",SUMIF(Transactions!$F$8:$F$3006,B2436,Transactions!$N$8:$N$3006))</f>
        <v/>
      </c>
      <c r="E2436" s="44" t="str">
        <f>IF(B2436="","",SUMIF(Transactions!$F$8:$F$3006,B2436,Transactions!$O$8:$O$3006))</f>
        <v/>
      </c>
      <c r="F2436" s="45" t="str">
        <f>IF(B2436="","",SUMIF(Transactions!$F$8:$F$3006,B2436,Transactions!$R$8:$R$3006))</f>
        <v/>
      </c>
      <c r="G2436" s="46" t="str">
        <f>IF(B2436="","",(C2436+F2436)-(D2436+E2436+SUMIF(Transactions!$F$8:$F$3006,B2436,Transactions!$Q$8:$Q$3006)))</f>
        <v/>
      </c>
      <c r="H2436" s="47" t="str">
        <f>IF(B2436="","",IF(G2436&gt;0,"OUTSTANDING",IF(G2436=0,"SETTLED",IF(SUMIF(Transactions!$F$8:$F$3006,B2436,Transactions!$Q$8:$Q$3006)&gt;SUMIF(Transactions!$F$8:$F$3006,B2436,Transactions!$R$8:$R$3006),"OWES","OVERPAID"))))</f>
        <v/>
      </c>
      <c r="I2436" s="1"/>
    </row>
    <row r="2437" spans="1:9" ht="18" customHeight="1" x14ac:dyDescent="0.25">
      <c r="A2437" s="48">
        <v>2422</v>
      </c>
      <c r="B2437" s="49" t="str">
        <f t="array" ref="B2437">IFERROR(IF(INDEX(Transactions!$F$8:$F$3006,MATCH(0,COUNTIF($B$11:B2436,Transactions!$F$8:$F$3006),0))="","",INDEX(Transactions!$F$8:$F$3006,MATCH(0,COUNTIF($B$11:B2436,Transactions!$F$8:$F$3006),0))),"")</f>
        <v/>
      </c>
      <c r="C2437" s="50" t="str">
        <f>IF(B2437="","",SUMIF(Transactions!$F$8:$F$3006,B2437,Transactions!$H$8:$H$3006))</f>
        <v/>
      </c>
      <c r="D2437" s="51" t="str">
        <f>IF(B2437="","",SUMIF(Transactions!$F$8:$F$3006,B2437,Transactions!$N$8:$N$3006))</f>
        <v/>
      </c>
      <c r="E2437" s="52" t="str">
        <f>IF(B2437="","",SUMIF(Transactions!$F$8:$F$3006,B2437,Transactions!$O$8:$O$3006))</f>
        <v/>
      </c>
      <c r="F2437" s="53" t="str">
        <f>IF(B2437="","",SUMIF(Transactions!$F$8:$F$3006,B2437,Transactions!$R$8:$R$3006))</f>
        <v/>
      </c>
      <c r="G2437" s="54" t="str">
        <f>IF(B2437="","",(C2437+F2437)-(D2437+E2437+SUMIF(Transactions!$F$8:$F$3006,B2437,Transactions!$Q$8:$Q$3006)))</f>
        <v/>
      </c>
      <c r="H2437" s="55" t="str">
        <f>IF(B2437="","",IF(G2437&gt;0,"OUTSTANDING",IF(G2437=0,"SETTLED",IF(SUMIF(Transactions!$F$8:$F$3006,B2437,Transactions!$Q$8:$Q$3006)&gt;SUMIF(Transactions!$F$8:$F$3006,B2437,Transactions!$R$8:$R$3006),"OWES","OVERPAID"))))</f>
        <v/>
      </c>
      <c r="I2437" s="1"/>
    </row>
    <row r="2438" spans="1:9" ht="18" customHeight="1" x14ac:dyDescent="0.25">
      <c r="A2438" s="40">
        <v>2423</v>
      </c>
      <c r="B2438" s="41" t="str">
        <f t="array" ref="B2438">IFERROR(IF(INDEX(Transactions!$F$8:$F$3006,MATCH(0,COUNTIF($B$11:B2437,Transactions!$F$8:$F$3006),0))="","",INDEX(Transactions!$F$8:$F$3006,MATCH(0,COUNTIF($B$11:B2437,Transactions!$F$8:$F$3006),0))),"")</f>
        <v/>
      </c>
      <c r="C2438" s="42" t="str">
        <f>IF(B2438="","",SUMIF(Transactions!$F$8:$F$3006,B2438,Transactions!$H$8:$H$3006))</f>
        <v/>
      </c>
      <c r="D2438" s="43" t="str">
        <f>IF(B2438="","",SUMIF(Transactions!$F$8:$F$3006,B2438,Transactions!$N$8:$N$3006))</f>
        <v/>
      </c>
      <c r="E2438" s="44" t="str">
        <f>IF(B2438="","",SUMIF(Transactions!$F$8:$F$3006,B2438,Transactions!$O$8:$O$3006))</f>
        <v/>
      </c>
      <c r="F2438" s="45" t="str">
        <f>IF(B2438="","",SUMIF(Transactions!$F$8:$F$3006,B2438,Transactions!$R$8:$R$3006))</f>
        <v/>
      </c>
      <c r="G2438" s="46" t="str">
        <f>IF(B2438="","",(C2438+F2438)-(D2438+E2438+SUMIF(Transactions!$F$8:$F$3006,B2438,Transactions!$Q$8:$Q$3006)))</f>
        <v/>
      </c>
      <c r="H2438" s="47" t="str">
        <f>IF(B2438="","",IF(G2438&gt;0,"OUTSTANDING",IF(G2438=0,"SETTLED",IF(SUMIF(Transactions!$F$8:$F$3006,B2438,Transactions!$Q$8:$Q$3006)&gt;SUMIF(Transactions!$F$8:$F$3006,B2438,Transactions!$R$8:$R$3006),"OWES","OVERPAID"))))</f>
        <v/>
      </c>
      <c r="I2438" s="1"/>
    </row>
    <row r="2439" spans="1:9" ht="18" customHeight="1" x14ac:dyDescent="0.25">
      <c r="A2439" s="48">
        <v>2424</v>
      </c>
      <c r="B2439" s="49" t="str">
        <f t="array" ref="B2439">IFERROR(IF(INDEX(Transactions!$F$8:$F$3006,MATCH(0,COUNTIF($B$11:B2438,Transactions!$F$8:$F$3006),0))="","",INDEX(Transactions!$F$8:$F$3006,MATCH(0,COUNTIF($B$11:B2438,Transactions!$F$8:$F$3006),0))),"")</f>
        <v/>
      </c>
      <c r="C2439" s="50" t="str">
        <f>IF(B2439="","",SUMIF(Transactions!$F$8:$F$3006,B2439,Transactions!$H$8:$H$3006))</f>
        <v/>
      </c>
      <c r="D2439" s="51" t="str">
        <f>IF(B2439="","",SUMIF(Transactions!$F$8:$F$3006,B2439,Transactions!$N$8:$N$3006))</f>
        <v/>
      </c>
      <c r="E2439" s="52" t="str">
        <f>IF(B2439="","",SUMIF(Transactions!$F$8:$F$3006,B2439,Transactions!$O$8:$O$3006))</f>
        <v/>
      </c>
      <c r="F2439" s="53" t="str">
        <f>IF(B2439="","",SUMIF(Transactions!$F$8:$F$3006,B2439,Transactions!$R$8:$R$3006))</f>
        <v/>
      </c>
      <c r="G2439" s="54" t="str">
        <f>IF(B2439="","",(C2439+F2439)-(D2439+E2439+SUMIF(Transactions!$F$8:$F$3006,B2439,Transactions!$Q$8:$Q$3006)))</f>
        <v/>
      </c>
      <c r="H2439" s="55" t="str">
        <f>IF(B2439="","",IF(G2439&gt;0,"OUTSTANDING",IF(G2439=0,"SETTLED",IF(SUMIF(Transactions!$F$8:$F$3006,B2439,Transactions!$Q$8:$Q$3006)&gt;SUMIF(Transactions!$F$8:$F$3006,B2439,Transactions!$R$8:$R$3006),"OWES","OVERPAID"))))</f>
        <v/>
      </c>
      <c r="I2439" s="1"/>
    </row>
    <row r="2440" spans="1:9" ht="18" customHeight="1" x14ac:dyDescent="0.25">
      <c r="A2440" s="40">
        <v>2425</v>
      </c>
      <c r="B2440" s="41" t="str">
        <f t="array" ref="B2440">IFERROR(IF(INDEX(Transactions!$F$8:$F$3006,MATCH(0,COUNTIF($B$11:B2439,Transactions!$F$8:$F$3006),0))="","",INDEX(Transactions!$F$8:$F$3006,MATCH(0,COUNTIF($B$11:B2439,Transactions!$F$8:$F$3006),0))),"")</f>
        <v/>
      </c>
      <c r="C2440" s="42" t="str">
        <f>IF(B2440="","",SUMIF(Transactions!$F$8:$F$3006,B2440,Transactions!$H$8:$H$3006))</f>
        <v/>
      </c>
      <c r="D2440" s="43" t="str">
        <f>IF(B2440="","",SUMIF(Transactions!$F$8:$F$3006,B2440,Transactions!$N$8:$N$3006))</f>
        <v/>
      </c>
      <c r="E2440" s="44" t="str">
        <f>IF(B2440="","",SUMIF(Transactions!$F$8:$F$3006,B2440,Transactions!$O$8:$O$3006))</f>
        <v/>
      </c>
      <c r="F2440" s="45" t="str">
        <f>IF(B2440="","",SUMIF(Transactions!$F$8:$F$3006,B2440,Transactions!$R$8:$R$3006))</f>
        <v/>
      </c>
      <c r="G2440" s="46" t="str">
        <f>IF(B2440="","",(C2440+F2440)-(D2440+E2440+SUMIF(Transactions!$F$8:$F$3006,B2440,Transactions!$Q$8:$Q$3006)))</f>
        <v/>
      </c>
      <c r="H2440" s="47" t="str">
        <f>IF(B2440="","",IF(G2440&gt;0,"OUTSTANDING",IF(G2440=0,"SETTLED",IF(SUMIF(Transactions!$F$8:$F$3006,B2440,Transactions!$Q$8:$Q$3006)&gt;SUMIF(Transactions!$F$8:$F$3006,B2440,Transactions!$R$8:$R$3006),"OWES","OVERPAID"))))</f>
        <v/>
      </c>
      <c r="I2440" s="1"/>
    </row>
    <row r="2441" spans="1:9" ht="18" customHeight="1" x14ac:dyDescent="0.25">
      <c r="A2441" s="48">
        <v>2426</v>
      </c>
      <c r="B2441" s="49" t="str">
        <f t="array" ref="B2441">IFERROR(IF(INDEX(Transactions!$F$8:$F$3006,MATCH(0,COUNTIF($B$11:B2440,Transactions!$F$8:$F$3006),0))="","",INDEX(Transactions!$F$8:$F$3006,MATCH(0,COUNTIF($B$11:B2440,Transactions!$F$8:$F$3006),0))),"")</f>
        <v/>
      </c>
      <c r="C2441" s="50" t="str">
        <f>IF(B2441="","",SUMIF(Transactions!$F$8:$F$3006,B2441,Transactions!$H$8:$H$3006))</f>
        <v/>
      </c>
      <c r="D2441" s="51" t="str">
        <f>IF(B2441="","",SUMIF(Transactions!$F$8:$F$3006,B2441,Transactions!$N$8:$N$3006))</f>
        <v/>
      </c>
      <c r="E2441" s="52" t="str">
        <f>IF(B2441="","",SUMIF(Transactions!$F$8:$F$3006,B2441,Transactions!$O$8:$O$3006))</f>
        <v/>
      </c>
      <c r="F2441" s="53" t="str">
        <f>IF(B2441="","",SUMIF(Transactions!$F$8:$F$3006,B2441,Transactions!$R$8:$R$3006))</f>
        <v/>
      </c>
      <c r="G2441" s="54" t="str">
        <f>IF(B2441="","",(C2441+F2441)-(D2441+E2441+SUMIF(Transactions!$F$8:$F$3006,B2441,Transactions!$Q$8:$Q$3006)))</f>
        <v/>
      </c>
      <c r="H2441" s="55" t="str">
        <f>IF(B2441="","",IF(G2441&gt;0,"OUTSTANDING",IF(G2441=0,"SETTLED",IF(SUMIF(Transactions!$F$8:$F$3006,B2441,Transactions!$Q$8:$Q$3006)&gt;SUMIF(Transactions!$F$8:$F$3006,B2441,Transactions!$R$8:$R$3006),"OWES","OVERPAID"))))</f>
        <v/>
      </c>
      <c r="I2441" s="1"/>
    </row>
    <row r="2442" spans="1:9" ht="18" customHeight="1" x14ac:dyDescent="0.25">
      <c r="A2442" s="40">
        <v>2427</v>
      </c>
      <c r="B2442" s="41" t="str">
        <f t="array" ref="B2442">IFERROR(IF(INDEX(Transactions!$F$8:$F$3006,MATCH(0,COUNTIF($B$11:B2441,Transactions!$F$8:$F$3006),0))="","",INDEX(Transactions!$F$8:$F$3006,MATCH(0,COUNTIF($B$11:B2441,Transactions!$F$8:$F$3006),0))),"")</f>
        <v/>
      </c>
      <c r="C2442" s="42" t="str">
        <f>IF(B2442="","",SUMIF(Transactions!$F$8:$F$3006,B2442,Transactions!$H$8:$H$3006))</f>
        <v/>
      </c>
      <c r="D2442" s="43" t="str">
        <f>IF(B2442="","",SUMIF(Transactions!$F$8:$F$3006,B2442,Transactions!$N$8:$N$3006))</f>
        <v/>
      </c>
      <c r="E2442" s="44" t="str">
        <f>IF(B2442="","",SUMIF(Transactions!$F$8:$F$3006,B2442,Transactions!$O$8:$O$3006))</f>
        <v/>
      </c>
      <c r="F2442" s="45" t="str">
        <f>IF(B2442="","",SUMIF(Transactions!$F$8:$F$3006,B2442,Transactions!$R$8:$R$3006))</f>
        <v/>
      </c>
      <c r="G2442" s="46" t="str">
        <f>IF(B2442="","",(C2442+F2442)-(D2442+E2442+SUMIF(Transactions!$F$8:$F$3006,B2442,Transactions!$Q$8:$Q$3006)))</f>
        <v/>
      </c>
      <c r="H2442" s="47" t="str">
        <f>IF(B2442="","",IF(G2442&gt;0,"OUTSTANDING",IF(G2442=0,"SETTLED",IF(SUMIF(Transactions!$F$8:$F$3006,B2442,Transactions!$Q$8:$Q$3006)&gt;SUMIF(Transactions!$F$8:$F$3006,B2442,Transactions!$R$8:$R$3006),"OWES","OVERPAID"))))</f>
        <v/>
      </c>
      <c r="I2442" s="1"/>
    </row>
    <row r="2443" spans="1:9" ht="18" customHeight="1" x14ac:dyDescent="0.25">
      <c r="A2443" s="48">
        <v>2428</v>
      </c>
      <c r="B2443" s="49" t="str">
        <f t="array" ref="B2443">IFERROR(IF(INDEX(Transactions!$F$8:$F$3006,MATCH(0,COUNTIF($B$11:B2442,Transactions!$F$8:$F$3006),0))="","",INDEX(Transactions!$F$8:$F$3006,MATCH(0,COUNTIF($B$11:B2442,Transactions!$F$8:$F$3006),0))),"")</f>
        <v/>
      </c>
      <c r="C2443" s="50" t="str">
        <f>IF(B2443="","",SUMIF(Transactions!$F$8:$F$3006,B2443,Transactions!$H$8:$H$3006))</f>
        <v/>
      </c>
      <c r="D2443" s="51" t="str">
        <f>IF(B2443="","",SUMIF(Transactions!$F$8:$F$3006,B2443,Transactions!$N$8:$N$3006))</f>
        <v/>
      </c>
      <c r="E2443" s="52" t="str">
        <f>IF(B2443="","",SUMIF(Transactions!$F$8:$F$3006,B2443,Transactions!$O$8:$O$3006))</f>
        <v/>
      </c>
      <c r="F2443" s="53" t="str">
        <f>IF(B2443="","",SUMIF(Transactions!$F$8:$F$3006,B2443,Transactions!$R$8:$R$3006))</f>
        <v/>
      </c>
      <c r="G2443" s="54" t="str">
        <f>IF(B2443="","",(C2443+F2443)-(D2443+E2443+SUMIF(Transactions!$F$8:$F$3006,B2443,Transactions!$Q$8:$Q$3006)))</f>
        <v/>
      </c>
      <c r="H2443" s="55" t="str">
        <f>IF(B2443="","",IF(G2443&gt;0,"OUTSTANDING",IF(G2443=0,"SETTLED",IF(SUMIF(Transactions!$F$8:$F$3006,B2443,Transactions!$Q$8:$Q$3006)&gt;SUMIF(Transactions!$F$8:$F$3006,B2443,Transactions!$R$8:$R$3006),"OWES","OVERPAID"))))</f>
        <v/>
      </c>
      <c r="I2443" s="1"/>
    </row>
    <row r="2444" spans="1:9" ht="18" customHeight="1" x14ac:dyDescent="0.25">
      <c r="A2444" s="40">
        <v>2429</v>
      </c>
      <c r="B2444" s="41" t="str">
        <f t="array" ref="B2444">IFERROR(IF(INDEX(Transactions!$F$8:$F$3006,MATCH(0,COUNTIF($B$11:B2443,Transactions!$F$8:$F$3006),0))="","",INDEX(Transactions!$F$8:$F$3006,MATCH(0,COUNTIF($B$11:B2443,Transactions!$F$8:$F$3006),0))),"")</f>
        <v/>
      </c>
      <c r="C2444" s="42" t="str">
        <f>IF(B2444="","",SUMIF(Transactions!$F$8:$F$3006,B2444,Transactions!$H$8:$H$3006))</f>
        <v/>
      </c>
      <c r="D2444" s="43" t="str">
        <f>IF(B2444="","",SUMIF(Transactions!$F$8:$F$3006,B2444,Transactions!$N$8:$N$3006))</f>
        <v/>
      </c>
      <c r="E2444" s="44" t="str">
        <f>IF(B2444="","",SUMIF(Transactions!$F$8:$F$3006,B2444,Transactions!$O$8:$O$3006))</f>
        <v/>
      </c>
      <c r="F2444" s="45" t="str">
        <f>IF(B2444="","",SUMIF(Transactions!$F$8:$F$3006,B2444,Transactions!$R$8:$R$3006))</f>
        <v/>
      </c>
      <c r="G2444" s="46" t="str">
        <f>IF(B2444="","",(C2444+F2444)-(D2444+E2444+SUMIF(Transactions!$F$8:$F$3006,B2444,Transactions!$Q$8:$Q$3006)))</f>
        <v/>
      </c>
      <c r="H2444" s="47" t="str">
        <f>IF(B2444="","",IF(G2444&gt;0,"OUTSTANDING",IF(G2444=0,"SETTLED",IF(SUMIF(Transactions!$F$8:$F$3006,B2444,Transactions!$Q$8:$Q$3006)&gt;SUMIF(Transactions!$F$8:$F$3006,B2444,Transactions!$R$8:$R$3006),"OWES","OVERPAID"))))</f>
        <v/>
      </c>
      <c r="I2444" s="1"/>
    </row>
    <row r="2445" spans="1:9" ht="18" customHeight="1" x14ac:dyDescent="0.25">
      <c r="A2445" s="48">
        <v>2430</v>
      </c>
      <c r="B2445" s="49" t="str">
        <f t="array" ref="B2445">IFERROR(IF(INDEX(Transactions!$F$8:$F$3006,MATCH(0,COUNTIF($B$11:B2444,Transactions!$F$8:$F$3006),0))="","",INDEX(Transactions!$F$8:$F$3006,MATCH(0,COUNTIF($B$11:B2444,Transactions!$F$8:$F$3006),0))),"")</f>
        <v/>
      </c>
      <c r="C2445" s="50" t="str">
        <f>IF(B2445="","",SUMIF(Transactions!$F$8:$F$3006,B2445,Transactions!$H$8:$H$3006))</f>
        <v/>
      </c>
      <c r="D2445" s="51" t="str">
        <f>IF(B2445="","",SUMIF(Transactions!$F$8:$F$3006,B2445,Transactions!$N$8:$N$3006))</f>
        <v/>
      </c>
      <c r="E2445" s="52" t="str">
        <f>IF(B2445="","",SUMIF(Transactions!$F$8:$F$3006,B2445,Transactions!$O$8:$O$3006))</f>
        <v/>
      </c>
      <c r="F2445" s="53" t="str">
        <f>IF(B2445="","",SUMIF(Transactions!$F$8:$F$3006,B2445,Transactions!$R$8:$R$3006))</f>
        <v/>
      </c>
      <c r="G2445" s="54" t="str">
        <f>IF(B2445="","",(C2445+F2445)-(D2445+E2445+SUMIF(Transactions!$F$8:$F$3006,B2445,Transactions!$Q$8:$Q$3006)))</f>
        <v/>
      </c>
      <c r="H2445" s="55" t="str">
        <f>IF(B2445="","",IF(G2445&gt;0,"OUTSTANDING",IF(G2445=0,"SETTLED",IF(SUMIF(Transactions!$F$8:$F$3006,B2445,Transactions!$Q$8:$Q$3006)&gt;SUMIF(Transactions!$F$8:$F$3006,B2445,Transactions!$R$8:$R$3006),"OWES","OVERPAID"))))</f>
        <v/>
      </c>
      <c r="I2445" s="1"/>
    </row>
    <row r="2446" spans="1:9" ht="18" customHeight="1" x14ac:dyDescent="0.25">
      <c r="A2446" s="40">
        <v>2431</v>
      </c>
      <c r="B2446" s="41" t="str">
        <f t="array" ref="B2446">IFERROR(IF(INDEX(Transactions!$F$8:$F$3006,MATCH(0,COUNTIF($B$11:B2445,Transactions!$F$8:$F$3006),0))="","",INDEX(Transactions!$F$8:$F$3006,MATCH(0,COUNTIF($B$11:B2445,Transactions!$F$8:$F$3006),0))),"")</f>
        <v/>
      </c>
      <c r="C2446" s="42" t="str">
        <f>IF(B2446="","",SUMIF(Transactions!$F$8:$F$3006,B2446,Transactions!$H$8:$H$3006))</f>
        <v/>
      </c>
      <c r="D2446" s="43" t="str">
        <f>IF(B2446="","",SUMIF(Transactions!$F$8:$F$3006,B2446,Transactions!$N$8:$N$3006))</f>
        <v/>
      </c>
      <c r="E2446" s="44" t="str">
        <f>IF(B2446="","",SUMIF(Transactions!$F$8:$F$3006,B2446,Transactions!$O$8:$O$3006))</f>
        <v/>
      </c>
      <c r="F2446" s="45" t="str">
        <f>IF(B2446="","",SUMIF(Transactions!$F$8:$F$3006,B2446,Transactions!$R$8:$R$3006))</f>
        <v/>
      </c>
      <c r="G2446" s="46" t="str">
        <f>IF(B2446="","",(C2446+F2446)-(D2446+E2446+SUMIF(Transactions!$F$8:$F$3006,B2446,Transactions!$Q$8:$Q$3006)))</f>
        <v/>
      </c>
      <c r="H2446" s="47" t="str">
        <f>IF(B2446="","",IF(G2446&gt;0,"OUTSTANDING",IF(G2446=0,"SETTLED",IF(SUMIF(Transactions!$F$8:$F$3006,B2446,Transactions!$Q$8:$Q$3006)&gt;SUMIF(Transactions!$F$8:$F$3006,B2446,Transactions!$R$8:$R$3006),"OWES","OVERPAID"))))</f>
        <v/>
      </c>
      <c r="I2446" s="1"/>
    </row>
    <row r="2447" spans="1:9" ht="18" customHeight="1" x14ac:dyDescent="0.25">
      <c r="A2447" s="48">
        <v>2432</v>
      </c>
      <c r="B2447" s="49" t="str">
        <f t="array" ref="B2447">IFERROR(IF(INDEX(Transactions!$F$8:$F$3006,MATCH(0,COUNTIF($B$11:B2446,Transactions!$F$8:$F$3006),0))="","",INDEX(Transactions!$F$8:$F$3006,MATCH(0,COUNTIF($B$11:B2446,Transactions!$F$8:$F$3006),0))),"")</f>
        <v/>
      </c>
      <c r="C2447" s="50" t="str">
        <f>IF(B2447="","",SUMIF(Transactions!$F$8:$F$3006,B2447,Transactions!$H$8:$H$3006))</f>
        <v/>
      </c>
      <c r="D2447" s="51" t="str">
        <f>IF(B2447="","",SUMIF(Transactions!$F$8:$F$3006,B2447,Transactions!$N$8:$N$3006))</f>
        <v/>
      </c>
      <c r="E2447" s="52" t="str">
        <f>IF(B2447="","",SUMIF(Transactions!$F$8:$F$3006,B2447,Transactions!$O$8:$O$3006))</f>
        <v/>
      </c>
      <c r="F2447" s="53" t="str">
        <f>IF(B2447="","",SUMIF(Transactions!$F$8:$F$3006,B2447,Transactions!$R$8:$R$3006))</f>
        <v/>
      </c>
      <c r="G2447" s="54" t="str">
        <f>IF(B2447="","",(C2447+F2447)-(D2447+E2447+SUMIF(Transactions!$F$8:$F$3006,B2447,Transactions!$Q$8:$Q$3006)))</f>
        <v/>
      </c>
      <c r="H2447" s="55" t="str">
        <f>IF(B2447="","",IF(G2447&gt;0,"OUTSTANDING",IF(G2447=0,"SETTLED",IF(SUMIF(Transactions!$F$8:$F$3006,B2447,Transactions!$Q$8:$Q$3006)&gt;SUMIF(Transactions!$F$8:$F$3006,B2447,Transactions!$R$8:$R$3006),"OWES","OVERPAID"))))</f>
        <v/>
      </c>
      <c r="I2447" s="1"/>
    </row>
    <row r="2448" spans="1:9" ht="18" customHeight="1" x14ac:dyDescent="0.25">
      <c r="A2448" s="40">
        <v>2433</v>
      </c>
      <c r="B2448" s="41" t="str">
        <f t="array" ref="B2448">IFERROR(IF(INDEX(Transactions!$F$8:$F$3006,MATCH(0,COUNTIF($B$11:B2447,Transactions!$F$8:$F$3006),0))="","",INDEX(Transactions!$F$8:$F$3006,MATCH(0,COUNTIF($B$11:B2447,Transactions!$F$8:$F$3006),0))),"")</f>
        <v/>
      </c>
      <c r="C2448" s="42" t="str">
        <f>IF(B2448="","",SUMIF(Transactions!$F$8:$F$3006,B2448,Transactions!$H$8:$H$3006))</f>
        <v/>
      </c>
      <c r="D2448" s="43" t="str">
        <f>IF(B2448="","",SUMIF(Transactions!$F$8:$F$3006,B2448,Transactions!$N$8:$N$3006))</f>
        <v/>
      </c>
      <c r="E2448" s="44" t="str">
        <f>IF(B2448="","",SUMIF(Transactions!$F$8:$F$3006,B2448,Transactions!$O$8:$O$3006))</f>
        <v/>
      </c>
      <c r="F2448" s="45" t="str">
        <f>IF(B2448="","",SUMIF(Transactions!$F$8:$F$3006,B2448,Transactions!$R$8:$R$3006))</f>
        <v/>
      </c>
      <c r="G2448" s="46" t="str">
        <f>IF(B2448="","",(C2448+F2448)-(D2448+E2448+SUMIF(Transactions!$F$8:$F$3006,B2448,Transactions!$Q$8:$Q$3006)))</f>
        <v/>
      </c>
      <c r="H2448" s="47" t="str">
        <f>IF(B2448="","",IF(G2448&gt;0,"OUTSTANDING",IF(G2448=0,"SETTLED",IF(SUMIF(Transactions!$F$8:$F$3006,B2448,Transactions!$Q$8:$Q$3006)&gt;SUMIF(Transactions!$F$8:$F$3006,B2448,Transactions!$R$8:$R$3006),"OWES","OVERPAID"))))</f>
        <v/>
      </c>
      <c r="I2448" s="1"/>
    </row>
    <row r="2449" spans="1:9" ht="18" customHeight="1" x14ac:dyDescent="0.25">
      <c r="A2449" s="48">
        <v>2434</v>
      </c>
      <c r="B2449" s="49" t="str">
        <f t="array" ref="B2449">IFERROR(IF(INDEX(Transactions!$F$8:$F$3006,MATCH(0,COUNTIF($B$11:B2448,Transactions!$F$8:$F$3006),0))="","",INDEX(Transactions!$F$8:$F$3006,MATCH(0,COUNTIF($B$11:B2448,Transactions!$F$8:$F$3006),0))),"")</f>
        <v/>
      </c>
      <c r="C2449" s="50" t="str">
        <f>IF(B2449="","",SUMIF(Transactions!$F$8:$F$3006,B2449,Transactions!$H$8:$H$3006))</f>
        <v/>
      </c>
      <c r="D2449" s="51" t="str">
        <f>IF(B2449="","",SUMIF(Transactions!$F$8:$F$3006,B2449,Transactions!$N$8:$N$3006))</f>
        <v/>
      </c>
      <c r="E2449" s="52" t="str">
        <f>IF(B2449="","",SUMIF(Transactions!$F$8:$F$3006,B2449,Transactions!$O$8:$O$3006))</f>
        <v/>
      </c>
      <c r="F2449" s="53" t="str">
        <f>IF(B2449="","",SUMIF(Transactions!$F$8:$F$3006,B2449,Transactions!$R$8:$R$3006))</f>
        <v/>
      </c>
      <c r="G2449" s="54" t="str">
        <f>IF(B2449="","",(C2449+F2449)-(D2449+E2449+SUMIF(Transactions!$F$8:$F$3006,B2449,Transactions!$Q$8:$Q$3006)))</f>
        <v/>
      </c>
      <c r="H2449" s="55" t="str">
        <f>IF(B2449="","",IF(G2449&gt;0,"OUTSTANDING",IF(G2449=0,"SETTLED",IF(SUMIF(Transactions!$F$8:$F$3006,B2449,Transactions!$Q$8:$Q$3006)&gt;SUMIF(Transactions!$F$8:$F$3006,B2449,Transactions!$R$8:$R$3006),"OWES","OVERPAID"))))</f>
        <v/>
      </c>
      <c r="I2449" s="1"/>
    </row>
    <row r="2450" spans="1:9" ht="18" customHeight="1" x14ac:dyDescent="0.25">
      <c r="A2450" s="40">
        <v>2435</v>
      </c>
      <c r="B2450" s="41" t="str">
        <f t="array" ref="B2450">IFERROR(IF(INDEX(Transactions!$F$8:$F$3006,MATCH(0,COUNTIF($B$11:B2449,Transactions!$F$8:$F$3006),0))="","",INDEX(Transactions!$F$8:$F$3006,MATCH(0,COUNTIF($B$11:B2449,Transactions!$F$8:$F$3006),0))),"")</f>
        <v/>
      </c>
      <c r="C2450" s="42" t="str">
        <f>IF(B2450="","",SUMIF(Transactions!$F$8:$F$3006,B2450,Transactions!$H$8:$H$3006))</f>
        <v/>
      </c>
      <c r="D2450" s="43" t="str">
        <f>IF(B2450="","",SUMIF(Transactions!$F$8:$F$3006,B2450,Transactions!$N$8:$N$3006))</f>
        <v/>
      </c>
      <c r="E2450" s="44" t="str">
        <f>IF(B2450="","",SUMIF(Transactions!$F$8:$F$3006,B2450,Transactions!$O$8:$O$3006))</f>
        <v/>
      </c>
      <c r="F2450" s="45" t="str">
        <f>IF(B2450="","",SUMIF(Transactions!$F$8:$F$3006,B2450,Transactions!$R$8:$R$3006))</f>
        <v/>
      </c>
      <c r="G2450" s="46" t="str">
        <f>IF(B2450="","",(C2450+F2450)-(D2450+E2450+SUMIF(Transactions!$F$8:$F$3006,B2450,Transactions!$Q$8:$Q$3006)))</f>
        <v/>
      </c>
      <c r="H2450" s="47" t="str">
        <f>IF(B2450="","",IF(G2450&gt;0,"OUTSTANDING",IF(G2450=0,"SETTLED",IF(SUMIF(Transactions!$F$8:$F$3006,B2450,Transactions!$Q$8:$Q$3006)&gt;SUMIF(Transactions!$F$8:$F$3006,B2450,Transactions!$R$8:$R$3006),"OWES","OVERPAID"))))</f>
        <v/>
      </c>
      <c r="I2450" s="1"/>
    </row>
    <row r="2451" spans="1:9" ht="18" customHeight="1" x14ac:dyDescent="0.25">
      <c r="A2451" s="48">
        <v>2436</v>
      </c>
      <c r="B2451" s="49" t="str">
        <f t="array" ref="B2451">IFERROR(IF(INDEX(Transactions!$F$8:$F$3006,MATCH(0,COUNTIF($B$11:B2450,Transactions!$F$8:$F$3006),0))="","",INDEX(Transactions!$F$8:$F$3006,MATCH(0,COUNTIF($B$11:B2450,Transactions!$F$8:$F$3006),0))),"")</f>
        <v/>
      </c>
      <c r="C2451" s="50" t="str">
        <f>IF(B2451="","",SUMIF(Transactions!$F$8:$F$3006,B2451,Transactions!$H$8:$H$3006))</f>
        <v/>
      </c>
      <c r="D2451" s="51" t="str">
        <f>IF(B2451="","",SUMIF(Transactions!$F$8:$F$3006,B2451,Transactions!$N$8:$N$3006))</f>
        <v/>
      </c>
      <c r="E2451" s="52" t="str">
        <f>IF(B2451="","",SUMIF(Transactions!$F$8:$F$3006,B2451,Transactions!$O$8:$O$3006))</f>
        <v/>
      </c>
      <c r="F2451" s="53" t="str">
        <f>IF(B2451="","",SUMIF(Transactions!$F$8:$F$3006,B2451,Transactions!$R$8:$R$3006))</f>
        <v/>
      </c>
      <c r="G2451" s="54" t="str">
        <f>IF(B2451="","",(C2451+F2451)-(D2451+E2451+SUMIF(Transactions!$F$8:$F$3006,B2451,Transactions!$Q$8:$Q$3006)))</f>
        <v/>
      </c>
      <c r="H2451" s="55" t="str">
        <f>IF(B2451="","",IF(G2451&gt;0,"OUTSTANDING",IF(G2451=0,"SETTLED",IF(SUMIF(Transactions!$F$8:$F$3006,B2451,Transactions!$Q$8:$Q$3006)&gt;SUMIF(Transactions!$F$8:$F$3006,B2451,Transactions!$R$8:$R$3006),"OWES","OVERPAID"))))</f>
        <v/>
      </c>
      <c r="I2451" s="1"/>
    </row>
    <row r="2452" spans="1:9" ht="18" customHeight="1" x14ac:dyDescent="0.25">
      <c r="A2452" s="40">
        <v>2437</v>
      </c>
      <c r="B2452" s="41" t="str">
        <f t="array" ref="B2452">IFERROR(IF(INDEX(Transactions!$F$8:$F$3006,MATCH(0,COUNTIF($B$11:B2451,Transactions!$F$8:$F$3006),0))="","",INDEX(Transactions!$F$8:$F$3006,MATCH(0,COUNTIF($B$11:B2451,Transactions!$F$8:$F$3006),0))),"")</f>
        <v/>
      </c>
      <c r="C2452" s="42" t="str">
        <f>IF(B2452="","",SUMIF(Transactions!$F$8:$F$3006,B2452,Transactions!$H$8:$H$3006))</f>
        <v/>
      </c>
      <c r="D2452" s="43" t="str">
        <f>IF(B2452="","",SUMIF(Transactions!$F$8:$F$3006,B2452,Transactions!$N$8:$N$3006))</f>
        <v/>
      </c>
      <c r="E2452" s="44" t="str">
        <f>IF(B2452="","",SUMIF(Transactions!$F$8:$F$3006,B2452,Transactions!$O$8:$O$3006))</f>
        <v/>
      </c>
      <c r="F2452" s="45" t="str">
        <f>IF(B2452="","",SUMIF(Transactions!$F$8:$F$3006,B2452,Transactions!$R$8:$R$3006))</f>
        <v/>
      </c>
      <c r="G2452" s="46" t="str">
        <f>IF(B2452="","",(C2452+F2452)-(D2452+E2452+SUMIF(Transactions!$F$8:$F$3006,B2452,Transactions!$Q$8:$Q$3006)))</f>
        <v/>
      </c>
      <c r="H2452" s="47" t="str">
        <f>IF(B2452="","",IF(G2452&gt;0,"OUTSTANDING",IF(G2452=0,"SETTLED",IF(SUMIF(Transactions!$F$8:$F$3006,B2452,Transactions!$Q$8:$Q$3006)&gt;SUMIF(Transactions!$F$8:$F$3006,B2452,Transactions!$R$8:$R$3006),"OWES","OVERPAID"))))</f>
        <v/>
      </c>
      <c r="I2452" s="1"/>
    </row>
    <row r="2453" spans="1:9" ht="18" customHeight="1" x14ac:dyDescent="0.25">
      <c r="A2453" s="48">
        <v>2438</v>
      </c>
      <c r="B2453" s="49" t="str">
        <f t="array" ref="B2453">IFERROR(IF(INDEX(Transactions!$F$8:$F$3006,MATCH(0,COUNTIF($B$11:B2452,Transactions!$F$8:$F$3006),0))="","",INDEX(Transactions!$F$8:$F$3006,MATCH(0,COUNTIF($B$11:B2452,Transactions!$F$8:$F$3006),0))),"")</f>
        <v/>
      </c>
      <c r="C2453" s="50" t="str">
        <f>IF(B2453="","",SUMIF(Transactions!$F$8:$F$3006,B2453,Transactions!$H$8:$H$3006))</f>
        <v/>
      </c>
      <c r="D2453" s="51" t="str">
        <f>IF(B2453="","",SUMIF(Transactions!$F$8:$F$3006,B2453,Transactions!$N$8:$N$3006))</f>
        <v/>
      </c>
      <c r="E2453" s="52" t="str">
        <f>IF(B2453="","",SUMIF(Transactions!$F$8:$F$3006,B2453,Transactions!$O$8:$O$3006))</f>
        <v/>
      </c>
      <c r="F2453" s="53" t="str">
        <f>IF(B2453="","",SUMIF(Transactions!$F$8:$F$3006,B2453,Transactions!$R$8:$R$3006))</f>
        <v/>
      </c>
      <c r="G2453" s="54" t="str">
        <f>IF(B2453="","",(C2453+F2453)-(D2453+E2453+SUMIF(Transactions!$F$8:$F$3006,B2453,Transactions!$Q$8:$Q$3006)))</f>
        <v/>
      </c>
      <c r="H2453" s="55" t="str">
        <f>IF(B2453="","",IF(G2453&gt;0,"OUTSTANDING",IF(G2453=0,"SETTLED",IF(SUMIF(Transactions!$F$8:$F$3006,B2453,Transactions!$Q$8:$Q$3006)&gt;SUMIF(Transactions!$F$8:$F$3006,B2453,Transactions!$R$8:$R$3006),"OWES","OVERPAID"))))</f>
        <v/>
      </c>
      <c r="I2453" s="1"/>
    </row>
    <row r="2454" spans="1:9" ht="18" customHeight="1" x14ac:dyDescent="0.25">
      <c r="A2454" s="40">
        <v>2439</v>
      </c>
      <c r="B2454" s="41" t="str">
        <f t="array" ref="B2454">IFERROR(IF(INDEX(Transactions!$F$8:$F$3006,MATCH(0,COUNTIF($B$11:B2453,Transactions!$F$8:$F$3006),0))="","",INDEX(Transactions!$F$8:$F$3006,MATCH(0,COUNTIF($B$11:B2453,Transactions!$F$8:$F$3006),0))),"")</f>
        <v/>
      </c>
      <c r="C2454" s="42" t="str">
        <f>IF(B2454="","",SUMIF(Transactions!$F$8:$F$3006,B2454,Transactions!$H$8:$H$3006))</f>
        <v/>
      </c>
      <c r="D2454" s="43" t="str">
        <f>IF(B2454="","",SUMIF(Transactions!$F$8:$F$3006,B2454,Transactions!$N$8:$N$3006))</f>
        <v/>
      </c>
      <c r="E2454" s="44" t="str">
        <f>IF(B2454="","",SUMIF(Transactions!$F$8:$F$3006,B2454,Transactions!$O$8:$O$3006))</f>
        <v/>
      </c>
      <c r="F2454" s="45" t="str">
        <f>IF(B2454="","",SUMIF(Transactions!$F$8:$F$3006,B2454,Transactions!$R$8:$R$3006))</f>
        <v/>
      </c>
      <c r="G2454" s="46" t="str">
        <f>IF(B2454="","",(C2454+F2454)-(D2454+E2454+SUMIF(Transactions!$F$8:$F$3006,B2454,Transactions!$Q$8:$Q$3006)))</f>
        <v/>
      </c>
      <c r="H2454" s="47" t="str">
        <f>IF(B2454="","",IF(G2454&gt;0,"OUTSTANDING",IF(G2454=0,"SETTLED",IF(SUMIF(Transactions!$F$8:$F$3006,B2454,Transactions!$Q$8:$Q$3006)&gt;SUMIF(Transactions!$F$8:$F$3006,B2454,Transactions!$R$8:$R$3006),"OWES","OVERPAID"))))</f>
        <v/>
      </c>
      <c r="I2454" s="1"/>
    </row>
    <row r="2455" spans="1:9" ht="18" customHeight="1" x14ac:dyDescent="0.25">
      <c r="A2455" s="48">
        <v>2440</v>
      </c>
      <c r="B2455" s="49" t="str">
        <f t="array" ref="B2455">IFERROR(IF(INDEX(Transactions!$F$8:$F$3006,MATCH(0,COUNTIF($B$11:B2454,Transactions!$F$8:$F$3006),0))="","",INDEX(Transactions!$F$8:$F$3006,MATCH(0,COUNTIF($B$11:B2454,Transactions!$F$8:$F$3006),0))),"")</f>
        <v/>
      </c>
      <c r="C2455" s="50" t="str">
        <f>IF(B2455="","",SUMIF(Transactions!$F$8:$F$3006,B2455,Transactions!$H$8:$H$3006))</f>
        <v/>
      </c>
      <c r="D2455" s="51" t="str">
        <f>IF(B2455="","",SUMIF(Transactions!$F$8:$F$3006,B2455,Transactions!$N$8:$N$3006))</f>
        <v/>
      </c>
      <c r="E2455" s="52" t="str">
        <f>IF(B2455="","",SUMIF(Transactions!$F$8:$F$3006,B2455,Transactions!$O$8:$O$3006))</f>
        <v/>
      </c>
      <c r="F2455" s="53" t="str">
        <f>IF(B2455="","",SUMIF(Transactions!$F$8:$F$3006,B2455,Transactions!$R$8:$R$3006))</f>
        <v/>
      </c>
      <c r="G2455" s="54" t="str">
        <f>IF(B2455="","",(C2455+F2455)-(D2455+E2455+SUMIF(Transactions!$F$8:$F$3006,B2455,Transactions!$Q$8:$Q$3006)))</f>
        <v/>
      </c>
      <c r="H2455" s="55" t="str">
        <f>IF(B2455="","",IF(G2455&gt;0,"OUTSTANDING",IF(G2455=0,"SETTLED",IF(SUMIF(Transactions!$F$8:$F$3006,B2455,Transactions!$Q$8:$Q$3006)&gt;SUMIF(Transactions!$F$8:$F$3006,B2455,Transactions!$R$8:$R$3006),"OWES","OVERPAID"))))</f>
        <v/>
      </c>
      <c r="I2455" s="1"/>
    </row>
    <row r="2456" spans="1:9" ht="18" customHeight="1" x14ac:dyDescent="0.25">
      <c r="A2456" s="40">
        <v>2441</v>
      </c>
      <c r="B2456" s="41" t="str">
        <f t="array" ref="B2456">IFERROR(IF(INDEX(Transactions!$F$8:$F$3006,MATCH(0,COUNTIF($B$11:B2455,Transactions!$F$8:$F$3006),0))="","",INDEX(Transactions!$F$8:$F$3006,MATCH(0,COUNTIF($B$11:B2455,Transactions!$F$8:$F$3006),0))),"")</f>
        <v/>
      </c>
      <c r="C2456" s="42" t="str">
        <f>IF(B2456="","",SUMIF(Transactions!$F$8:$F$3006,B2456,Transactions!$H$8:$H$3006))</f>
        <v/>
      </c>
      <c r="D2456" s="43" t="str">
        <f>IF(B2456="","",SUMIF(Transactions!$F$8:$F$3006,B2456,Transactions!$N$8:$N$3006))</f>
        <v/>
      </c>
      <c r="E2456" s="44" t="str">
        <f>IF(B2456="","",SUMIF(Transactions!$F$8:$F$3006,B2456,Transactions!$O$8:$O$3006))</f>
        <v/>
      </c>
      <c r="F2456" s="45" t="str">
        <f>IF(B2456="","",SUMIF(Transactions!$F$8:$F$3006,B2456,Transactions!$R$8:$R$3006))</f>
        <v/>
      </c>
      <c r="G2456" s="46" t="str">
        <f>IF(B2456="","",(C2456+F2456)-(D2456+E2456+SUMIF(Transactions!$F$8:$F$3006,B2456,Transactions!$Q$8:$Q$3006)))</f>
        <v/>
      </c>
      <c r="H2456" s="47" t="str">
        <f>IF(B2456="","",IF(G2456&gt;0,"OUTSTANDING",IF(G2456=0,"SETTLED",IF(SUMIF(Transactions!$F$8:$F$3006,B2456,Transactions!$Q$8:$Q$3006)&gt;SUMIF(Transactions!$F$8:$F$3006,B2456,Transactions!$R$8:$R$3006),"OWES","OVERPAID"))))</f>
        <v/>
      </c>
      <c r="I2456" s="1"/>
    </row>
    <row r="2457" spans="1:9" ht="18" customHeight="1" x14ac:dyDescent="0.25">
      <c r="A2457" s="48">
        <v>2442</v>
      </c>
      <c r="B2457" s="49" t="str">
        <f t="array" ref="B2457">IFERROR(IF(INDEX(Transactions!$F$8:$F$3006,MATCH(0,COUNTIF($B$11:B2456,Transactions!$F$8:$F$3006),0))="","",INDEX(Transactions!$F$8:$F$3006,MATCH(0,COUNTIF($B$11:B2456,Transactions!$F$8:$F$3006),0))),"")</f>
        <v/>
      </c>
      <c r="C2457" s="50" t="str">
        <f>IF(B2457="","",SUMIF(Transactions!$F$8:$F$3006,B2457,Transactions!$H$8:$H$3006))</f>
        <v/>
      </c>
      <c r="D2457" s="51" t="str">
        <f>IF(B2457="","",SUMIF(Transactions!$F$8:$F$3006,B2457,Transactions!$N$8:$N$3006))</f>
        <v/>
      </c>
      <c r="E2457" s="52" t="str">
        <f>IF(B2457="","",SUMIF(Transactions!$F$8:$F$3006,B2457,Transactions!$O$8:$O$3006))</f>
        <v/>
      </c>
      <c r="F2457" s="53" t="str">
        <f>IF(B2457="","",SUMIF(Transactions!$F$8:$F$3006,B2457,Transactions!$R$8:$R$3006))</f>
        <v/>
      </c>
      <c r="G2457" s="54" t="str">
        <f>IF(B2457="","",(C2457+F2457)-(D2457+E2457+SUMIF(Transactions!$F$8:$F$3006,B2457,Transactions!$Q$8:$Q$3006)))</f>
        <v/>
      </c>
      <c r="H2457" s="55" t="str">
        <f>IF(B2457="","",IF(G2457&gt;0,"OUTSTANDING",IF(G2457=0,"SETTLED",IF(SUMIF(Transactions!$F$8:$F$3006,B2457,Transactions!$Q$8:$Q$3006)&gt;SUMIF(Transactions!$F$8:$F$3006,B2457,Transactions!$R$8:$R$3006),"OWES","OVERPAID"))))</f>
        <v/>
      </c>
      <c r="I2457" s="1"/>
    </row>
    <row r="2458" spans="1:9" ht="18" customHeight="1" x14ac:dyDescent="0.25">
      <c r="A2458" s="40">
        <v>2443</v>
      </c>
      <c r="B2458" s="41" t="str">
        <f t="array" ref="B2458">IFERROR(IF(INDEX(Transactions!$F$8:$F$3006,MATCH(0,COUNTIF($B$11:B2457,Transactions!$F$8:$F$3006),0))="","",INDEX(Transactions!$F$8:$F$3006,MATCH(0,COUNTIF($B$11:B2457,Transactions!$F$8:$F$3006),0))),"")</f>
        <v/>
      </c>
      <c r="C2458" s="42" t="str">
        <f>IF(B2458="","",SUMIF(Transactions!$F$8:$F$3006,B2458,Transactions!$H$8:$H$3006))</f>
        <v/>
      </c>
      <c r="D2458" s="43" t="str">
        <f>IF(B2458="","",SUMIF(Transactions!$F$8:$F$3006,B2458,Transactions!$N$8:$N$3006))</f>
        <v/>
      </c>
      <c r="E2458" s="44" t="str">
        <f>IF(B2458="","",SUMIF(Transactions!$F$8:$F$3006,B2458,Transactions!$O$8:$O$3006))</f>
        <v/>
      </c>
      <c r="F2458" s="45" t="str">
        <f>IF(B2458="","",SUMIF(Transactions!$F$8:$F$3006,B2458,Transactions!$R$8:$R$3006))</f>
        <v/>
      </c>
      <c r="G2458" s="46" t="str">
        <f>IF(B2458="","",(C2458+F2458)-(D2458+E2458+SUMIF(Transactions!$F$8:$F$3006,B2458,Transactions!$Q$8:$Q$3006)))</f>
        <v/>
      </c>
      <c r="H2458" s="47" t="str">
        <f>IF(B2458="","",IF(G2458&gt;0,"OUTSTANDING",IF(G2458=0,"SETTLED",IF(SUMIF(Transactions!$F$8:$F$3006,B2458,Transactions!$Q$8:$Q$3006)&gt;SUMIF(Transactions!$F$8:$F$3006,B2458,Transactions!$R$8:$R$3006),"OWES","OVERPAID"))))</f>
        <v/>
      </c>
      <c r="I2458" s="1"/>
    </row>
    <row r="2459" spans="1:9" ht="18" customHeight="1" x14ac:dyDescent="0.25">
      <c r="A2459" s="48">
        <v>2444</v>
      </c>
      <c r="B2459" s="49" t="str">
        <f t="array" ref="B2459">IFERROR(IF(INDEX(Transactions!$F$8:$F$3006,MATCH(0,COUNTIF($B$11:B2458,Transactions!$F$8:$F$3006),0))="","",INDEX(Transactions!$F$8:$F$3006,MATCH(0,COUNTIF($B$11:B2458,Transactions!$F$8:$F$3006),0))),"")</f>
        <v/>
      </c>
      <c r="C2459" s="50" t="str">
        <f>IF(B2459="","",SUMIF(Transactions!$F$8:$F$3006,B2459,Transactions!$H$8:$H$3006))</f>
        <v/>
      </c>
      <c r="D2459" s="51" t="str">
        <f>IF(B2459="","",SUMIF(Transactions!$F$8:$F$3006,B2459,Transactions!$N$8:$N$3006))</f>
        <v/>
      </c>
      <c r="E2459" s="52" t="str">
        <f>IF(B2459="","",SUMIF(Transactions!$F$8:$F$3006,B2459,Transactions!$O$8:$O$3006))</f>
        <v/>
      </c>
      <c r="F2459" s="53" t="str">
        <f>IF(B2459="","",SUMIF(Transactions!$F$8:$F$3006,B2459,Transactions!$R$8:$R$3006))</f>
        <v/>
      </c>
      <c r="G2459" s="54" t="str">
        <f>IF(B2459="","",(C2459+F2459)-(D2459+E2459+SUMIF(Transactions!$F$8:$F$3006,B2459,Transactions!$Q$8:$Q$3006)))</f>
        <v/>
      </c>
      <c r="H2459" s="55" t="str">
        <f>IF(B2459="","",IF(G2459&gt;0,"OUTSTANDING",IF(G2459=0,"SETTLED",IF(SUMIF(Transactions!$F$8:$F$3006,B2459,Transactions!$Q$8:$Q$3006)&gt;SUMIF(Transactions!$F$8:$F$3006,B2459,Transactions!$R$8:$R$3006),"OWES","OVERPAID"))))</f>
        <v/>
      </c>
      <c r="I2459" s="1"/>
    </row>
    <row r="2460" spans="1:9" ht="18" customHeight="1" x14ac:dyDescent="0.25">
      <c r="A2460" s="40">
        <v>2445</v>
      </c>
      <c r="B2460" s="41" t="str">
        <f t="array" ref="B2460">IFERROR(IF(INDEX(Transactions!$F$8:$F$3006,MATCH(0,COUNTIF($B$11:B2459,Transactions!$F$8:$F$3006),0))="","",INDEX(Transactions!$F$8:$F$3006,MATCH(0,COUNTIF($B$11:B2459,Transactions!$F$8:$F$3006),0))),"")</f>
        <v/>
      </c>
      <c r="C2460" s="42" t="str">
        <f>IF(B2460="","",SUMIF(Transactions!$F$8:$F$3006,B2460,Transactions!$H$8:$H$3006))</f>
        <v/>
      </c>
      <c r="D2460" s="43" t="str">
        <f>IF(B2460="","",SUMIF(Transactions!$F$8:$F$3006,B2460,Transactions!$N$8:$N$3006))</f>
        <v/>
      </c>
      <c r="E2460" s="44" t="str">
        <f>IF(B2460="","",SUMIF(Transactions!$F$8:$F$3006,B2460,Transactions!$O$8:$O$3006))</f>
        <v/>
      </c>
      <c r="F2460" s="45" t="str">
        <f>IF(B2460="","",SUMIF(Transactions!$F$8:$F$3006,B2460,Transactions!$R$8:$R$3006))</f>
        <v/>
      </c>
      <c r="G2460" s="46" t="str">
        <f>IF(B2460="","",(C2460+F2460)-(D2460+E2460+SUMIF(Transactions!$F$8:$F$3006,B2460,Transactions!$Q$8:$Q$3006)))</f>
        <v/>
      </c>
      <c r="H2460" s="47" t="str">
        <f>IF(B2460="","",IF(G2460&gt;0,"OUTSTANDING",IF(G2460=0,"SETTLED",IF(SUMIF(Transactions!$F$8:$F$3006,B2460,Transactions!$Q$8:$Q$3006)&gt;SUMIF(Transactions!$F$8:$F$3006,B2460,Transactions!$R$8:$R$3006),"OWES","OVERPAID"))))</f>
        <v/>
      </c>
      <c r="I2460" s="1"/>
    </row>
    <row r="2461" spans="1:9" ht="18" customHeight="1" x14ac:dyDescent="0.25">
      <c r="A2461" s="48">
        <v>2446</v>
      </c>
      <c r="B2461" s="49" t="str">
        <f t="array" ref="B2461">IFERROR(IF(INDEX(Transactions!$F$8:$F$3006,MATCH(0,COUNTIF($B$11:B2460,Transactions!$F$8:$F$3006),0))="","",INDEX(Transactions!$F$8:$F$3006,MATCH(0,COUNTIF($B$11:B2460,Transactions!$F$8:$F$3006),0))),"")</f>
        <v/>
      </c>
      <c r="C2461" s="50" t="str">
        <f>IF(B2461="","",SUMIF(Transactions!$F$8:$F$3006,B2461,Transactions!$H$8:$H$3006))</f>
        <v/>
      </c>
      <c r="D2461" s="51" t="str">
        <f>IF(B2461="","",SUMIF(Transactions!$F$8:$F$3006,B2461,Transactions!$N$8:$N$3006))</f>
        <v/>
      </c>
      <c r="E2461" s="52" t="str">
        <f>IF(B2461="","",SUMIF(Transactions!$F$8:$F$3006,B2461,Transactions!$O$8:$O$3006))</f>
        <v/>
      </c>
      <c r="F2461" s="53" t="str">
        <f>IF(B2461="","",SUMIF(Transactions!$F$8:$F$3006,B2461,Transactions!$R$8:$R$3006))</f>
        <v/>
      </c>
      <c r="G2461" s="54" t="str">
        <f>IF(B2461="","",(C2461+F2461)-(D2461+E2461+SUMIF(Transactions!$F$8:$F$3006,B2461,Transactions!$Q$8:$Q$3006)))</f>
        <v/>
      </c>
      <c r="H2461" s="55" t="str">
        <f>IF(B2461="","",IF(G2461&gt;0,"OUTSTANDING",IF(G2461=0,"SETTLED",IF(SUMIF(Transactions!$F$8:$F$3006,B2461,Transactions!$Q$8:$Q$3006)&gt;SUMIF(Transactions!$F$8:$F$3006,B2461,Transactions!$R$8:$R$3006),"OWES","OVERPAID"))))</f>
        <v/>
      </c>
      <c r="I2461" s="1"/>
    </row>
    <row r="2462" spans="1:9" ht="18" customHeight="1" x14ac:dyDescent="0.25">
      <c r="A2462" s="40">
        <v>2447</v>
      </c>
      <c r="B2462" s="41" t="str">
        <f t="array" ref="B2462">IFERROR(IF(INDEX(Transactions!$F$8:$F$3006,MATCH(0,COUNTIF($B$11:B2461,Transactions!$F$8:$F$3006),0))="","",INDEX(Transactions!$F$8:$F$3006,MATCH(0,COUNTIF($B$11:B2461,Transactions!$F$8:$F$3006),0))),"")</f>
        <v/>
      </c>
      <c r="C2462" s="42" t="str">
        <f>IF(B2462="","",SUMIF(Transactions!$F$8:$F$3006,B2462,Transactions!$H$8:$H$3006))</f>
        <v/>
      </c>
      <c r="D2462" s="43" t="str">
        <f>IF(B2462="","",SUMIF(Transactions!$F$8:$F$3006,B2462,Transactions!$N$8:$N$3006))</f>
        <v/>
      </c>
      <c r="E2462" s="44" t="str">
        <f>IF(B2462="","",SUMIF(Transactions!$F$8:$F$3006,B2462,Transactions!$O$8:$O$3006))</f>
        <v/>
      </c>
      <c r="F2462" s="45" t="str">
        <f>IF(B2462="","",SUMIF(Transactions!$F$8:$F$3006,B2462,Transactions!$R$8:$R$3006))</f>
        <v/>
      </c>
      <c r="G2462" s="46" t="str">
        <f>IF(B2462="","",(C2462+F2462)-(D2462+E2462+SUMIF(Transactions!$F$8:$F$3006,B2462,Transactions!$Q$8:$Q$3006)))</f>
        <v/>
      </c>
      <c r="H2462" s="47" t="str">
        <f>IF(B2462="","",IF(G2462&gt;0,"OUTSTANDING",IF(G2462=0,"SETTLED",IF(SUMIF(Transactions!$F$8:$F$3006,B2462,Transactions!$Q$8:$Q$3006)&gt;SUMIF(Transactions!$F$8:$F$3006,B2462,Transactions!$R$8:$R$3006),"OWES","OVERPAID"))))</f>
        <v/>
      </c>
      <c r="I2462" s="1"/>
    </row>
    <row r="2463" spans="1:9" ht="18" customHeight="1" x14ac:dyDescent="0.25">
      <c r="A2463" s="48">
        <v>2448</v>
      </c>
      <c r="B2463" s="49" t="str">
        <f t="array" ref="B2463">IFERROR(IF(INDEX(Transactions!$F$8:$F$3006,MATCH(0,COUNTIF($B$11:B2462,Transactions!$F$8:$F$3006),0))="","",INDEX(Transactions!$F$8:$F$3006,MATCH(0,COUNTIF($B$11:B2462,Transactions!$F$8:$F$3006),0))),"")</f>
        <v/>
      </c>
      <c r="C2463" s="50" t="str">
        <f>IF(B2463="","",SUMIF(Transactions!$F$8:$F$3006,B2463,Transactions!$H$8:$H$3006))</f>
        <v/>
      </c>
      <c r="D2463" s="51" t="str">
        <f>IF(B2463="","",SUMIF(Transactions!$F$8:$F$3006,B2463,Transactions!$N$8:$N$3006))</f>
        <v/>
      </c>
      <c r="E2463" s="52" t="str">
        <f>IF(B2463="","",SUMIF(Transactions!$F$8:$F$3006,B2463,Transactions!$O$8:$O$3006))</f>
        <v/>
      </c>
      <c r="F2463" s="53" t="str">
        <f>IF(B2463="","",SUMIF(Transactions!$F$8:$F$3006,B2463,Transactions!$R$8:$R$3006))</f>
        <v/>
      </c>
      <c r="G2463" s="54" t="str">
        <f>IF(B2463="","",(C2463+F2463)-(D2463+E2463+SUMIF(Transactions!$F$8:$F$3006,B2463,Transactions!$Q$8:$Q$3006)))</f>
        <v/>
      </c>
      <c r="H2463" s="55" t="str">
        <f>IF(B2463="","",IF(G2463&gt;0,"OUTSTANDING",IF(G2463=0,"SETTLED",IF(SUMIF(Transactions!$F$8:$F$3006,B2463,Transactions!$Q$8:$Q$3006)&gt;SUMIF(Transactions!$F$8:$F$3006,B2463,Transactions!$R$8:$R$3006),"OWES","OVERPAID"))))</f>
        <v/>
      </c>
      <c r="I2463" s="1"/>
    </row>
    <row r="2464" spans="1:9" ht="18" customHeight="1" x14ac:dyDescent="0.25">
      <c r="A2464" s="40">
        <v>2449</v>
      </c>
      <c r="B2464" s="41" t="str">
        <f t="array" ref="B2464">IFERROR(IF(INDEX(Transactions!$F$8:$F$3006,MATCH(0,COUNTIF($B$11:B2463,Transactions!$F$8:$F$3006),0))="","",INDEX(Transactions!$F$8:$F$3006,MATCH(0,COUNTIF($B$11:B2463,Transactions!$F$8:$F$3006),0))),"")</f>
        <v/>
      </c>
      <c r="C2464" s="42" t="str">
        <f>IF(B2464="","",SUMIF(Transactions!$F$8:$F$3006,B2464,Transactions!$H$8:$H$3006))</f>
        <v/>
      </c>
      <c r="D2464" s="43" t="str">
        <f>IF(B2464="","",SUMIF(Transactions!$F$8:$F$3006,B2464,Transactions!$N$8:$N$3006))</f>
        <v/>
      </c>
      <c r="E2464" s="44" t="str">
        <f>IF(B2464="","",SUMIF(Transactions!$F$8:$F$3006,B2464,Transactions!$O$8:$O$3006))</f>
        <v/>
      </c>
      <c r="F2464" s="45" t="str">
        <f>IF(B2464="","",SUMIF(Transactions!$F$8:$F$3006,B2464,Transactions!$R$8:$R$3006))</f>
        <v/>
      </c>
      <c r="G2464" s="46" t="str">
        <f>IF(B2464="","",(C2464+F2464)-(D2464+E2464+SUMIF(Transactions!$F$8:$F$3006,B2464,Transactions!$Q$8:$Q$3006)))</f>
        <v/>
      </c>
      <c r="H2464" s="47" t="str">
        <f>IF(B2464="","",IF(G2464&gt;0,"OUTSTANDING",IF(G2464=0,"SETTLED",IF(SUMIF(Transactions!$F$8:$F$3006,B2464,Transactions!$Q$8:$Q$3006)&gt;SUMIF(Transactions!$F$8:$F$3006,B2464,Transactions!$R$8:$R$3006),"OWES","OVERPAID"))))</f>
        <v/>
      </c>
      <c r="I2464" s="1"/>
    </row>
    <row r="2465" spans="1:9" ht="18" customHeight="1" x14ac:dyDescent="0.25">
      <c r="A2465" s="48">
        <v>2450</v>
      </c>
      <c r="B2465" s="49" t="str">
        <f t="array" ref="B2465">IFERROR(IF(INDEX(Transactions!$F$8:$F$3006,MATCH(0,COUNTIF($B$11:B2464,Transactions!$F$8:$F$3006),0))="","",INDEX(Transactions!$F$8:$F$3006,MATCH(0,COUNTIF($B$11:B2464,Transactions!$F$8:$F$3006),0))),"")</f>
        <v/>
      </c>
      <c r="C2465" s="50" t="str">
        <f>IF(B2465="","",SUMIF(Transactions!$F$8:$F$3006,B2465,Transactions!$H$8:$H$3006))</f>
        <v/>
      </c>
      <c r="D2465" s="51" t="str">
        <f>IF(B2465="","",SUMIF(Transactions!$F$8:$F$3006,B2465,Transactions!$N$8:$N$3006))</f>
        <v/>
      </c>
      <c r="E2465" s="52" t="str">
        <f>IF(B2465="","",SUMIF(Transactions!$F$8:$F$3006,B2465,Transactions!$O$8:$O$3006))</f>
        <v/>
      </c>
      <c r="F2465" s="53" t="str">
        <f>IF(B2465="","",SUMIF(Transactions!$F$8:$F$3006,B2465,Transactions!$R$8:$R$3006))</f>
        <v/>
      </c>
      <c r="G2465" s="54" t="str">
        <f>IF(B2465="","",(C2465+F2465)-(D2465+E2465+SUMIF(Transactions!$F$8:$F$3006,B2465,Transactions!$Q$8:$Q$3006)))</f>
        <v/>
      </c>
      <c r="H2465" s="55" t="str">
        <f>IF(B2465="","",IF(G2465&gt;0,"OUTSTANDING",IF(G2465=0,"SETTLED",IF(SUMIF(Transactions!$F$8:$F$3006,B2465,Transactions!$Q$8:$Q$3006)&gt;SUMIF(Transactions!$F$8:$F$3006,B2465,Transactions!$R$8:$R$3006),"OWES","OVERPAID"))))</f>
        <v/>
      </c>
      <c r="I2465" s="1"/>
    </row>
    <row r="2466" spans="1:9" ht="18" customHeight="1" x14ac:dyDescent="0.25">
      <c r="A2466" s="40">
        <v>2451</v>
      </c>
      <c r="B2466" s="41" t="str">
        <f t="array" ref="B2466">IFERROR(IF(INDEX(Transactions!$F$8:$F$3006,MATCH(0,COUNTIF($B$11:B2465,Transactions!$F$8:$F$3006),0))="","",INDEX(Transactions!$F$8:$F$3006,MATCH(0,COUNTIF($B$11:B2465,Transactions!$F$8:$F$3006),0))),"")</f>
        <v/>
      </c>
      <c r="C2466" s="42" t="str">
        <f>IF(B2466="","",SUMIF(Transactions!$F$8:$F$3006,B2466,Transactions!$H$8:$H$3006))</f>
        <v/>
      </c>
      <c r="D2466" s="43" t="str">
        <f>IF(B2466="","",SUMIF(Transactions!$F$8:$F$3006,B2466,Transactions!$N$8:$N$3006))</f>
        <v/>
      </c>
      <c r="E2466" s="44" t="str">
        <f>IF(B2466="","",SUMIF(Transactions!$F$8:$F$3006,B2466,Transactions!$O$8:$O$3006))</f>
        <v/>
      </c>
      <c r="F2466" s="45" t="str">
        <f>IF(B2466="","",SUMIF(Transactions!$F$8:$F$3006,B2466,Transactions!$R$8:$R$3006))</f>
        <v/>
      </c>
      <c r="G2466" s="46" t="str">
        <f>IF(B2466="","",(C2466+F2466)-(D2466+E2466+SUMIF(Transactions!$F$8:$F$3006,B2466,Transactions!$Q$8:$Q$3006)))</f>
        <v/>
      </c>
      <c r="H2466" s="47" t="str">
        <f>IF(B2466="","",IF(G2466&gt;0,"OUTSTANDING",IF(G2466=0,"SETTLED",IF(SUMIF(Transactions!$F$8:$F$3006,B2466,Transactions!$Q$8:$Q$3006)&gt;SUMIF(Transactions!$F$8:$F$3006,B2466,Transactions!$R$8:$R$3006),"OWES","OVERPAID"))))</f>
        <v/>
      </c>
      <c r="I2466" s="1"/>
    </row>
    <row r="2467" spans="1:9" ht="18" customHeight="1" x14ac:dyDescent="0.25">
      <c r="A2467" s="48">
        <v>2452</v>
      </c>
      <c r="B2467" s="49" t="str">
        <f t="array" ref="B2467">IFERROR(IF(INDEX(Transactions!$F$8:$F$3006,MATCH(0,COUNTIF($B$11:B2466,Transactions!$F$8:$F$3006),0))="","",INDEX(Transactions!$F$8:$F$3006,MATCH(0,COUNTIF($B$11:B2466,Transactions!$F$8:$F$3006),0))),"")</f>
        <v/>
      </c>
      <c r="C2467" s="50" t="str">
        <f>IF(B2467="","",SUMIF(Transactions!$F$8:$F$3006,B2467,Transactions!$H$8:$H$3006))</f>
        <v/>
      </c>
      <c r="D2467" s="51" t="str">
        <f>IF(B2467="","",SUMIF(Transactions!$F$8:$F$3006,B2467,Transactions!$N$8:$N$3006))</f>
        <v/>
      </c>
      <c r="E2467" s="52" t="str">
        <f>IF(B2467="","",SUMIF(Transactions!$F$8:$F$3006,B2467,Transactions!$O$8:$O$3006))</f>
        <v/>
      </c>
      <c r="F2467" s="53" t="str">
        <f>IF(B2467="","",SUMIF(Transactions!$F$8:$F$3006,B2467,Transactions!$R$8:$R$3006))</f>
        <v/>
      </c>
      <c r="G2467" s="54" t="str">
        <f>IF(B2467="","",(C2467+F2467)-(D2467+E2467+SUMIF(Transactions!$F$8:$F$3006,B2467,Transactions!$Q$8:$Q$3006)))</f>
        <v/>
      </c>
      <c r="H2467" s="55" t="str">
        <f>IF(B2467="","",IF(G2467&gt;0,"OUTSTANDING",IF(G2467=0,"SETTLED",IF(SUMIF(Transactions!$F$8:$F$3006,B2467,Transactions!$Q$8:$Q$3006)&gt;SUMIF(Transactions!$F$8:$F$3006,B2467,Transactions!$R$8:$R$3006),"OWES","OVERPAID"))))</f>
        <v/>
      </c>
      <c r="I2467" s="1"/>
    </row>
    <row r="2468" spans="1:9" ht="18" customHeight="1" x14ac:dyDescent="0.25">
      <c r="A2468" s="40">
        <v>2453</v>
      </c>
      <c r="B2468" s="41" t="str">
        <f t="array" ref="B2468">IFERROR(IF(INDEX(Transactions!$F$8:$F$3006,MATCH(0,COUNTIF($B$11:B2467,Transactions!$F$8:$F$3006),0))="","",INDEX(Transactions!$F$8:$F$3006,MATCH(0,COUNTIF($B$11:B2467,Transactions!$F$8:$F$3006),0))),"")</f>
        <v/>
      </c>
      <c r="C2468" s="42" t="str">
        <f>IF(B2468="","",SUMIF(Transactions!$F$8:$F$3006,B2468,Transactions!$H$8:$H$3006))</f>
        <v/>
      </c>
      <c r="D2468" s="43" t="str">
        <f>IF(B2468="","",SUMIF(Transactions!$F$8:$F$3006,B2468,Transactions!$N$8:$N$3006))</f>
        <v/>
      </c>
      <c r="E2468" s="44" t="str">
        <f>IF(B2468="","",SUMIF(Transactions!$F$8:$F$3006,B2468,Transactions!$O$8:$O$3006))</f>
        <v/>
      </c>
      <c r="F2468" s="45" t="str">
        <f>IF(B2468="","",SUMIF(Transactions!$F$8:$F$3006,B2468,Transactions!$R$8:$R$3006))</f>
        <v/>
      </c>
      <c r="G2468" s="46" t="str">
        <f>IF(B2468="","",(C2468+F2468)-(D2468+E2468+SUMIF(Transactions!$F$8:$F$3006,B2468,Transactions!$Q$8:$Q$3006)))</f>
        <v/>
      </c>
      <c r="H2468" s="47" t="str">
        <f>IF(B2468="","",IF(G2468&gt;0,"OUTSTANDING",IF(G2468=0,"SETTLED",IF(SUMIF(Transactions!$F$8:$F$3006,B2468,Transactions!$Q$8:$Q$3006)&gt;SUMIF(Transactions!$F$8:$F$3006,B2468,Transactions!$R$8:$R$3006),"OWES","OVERPAID"))))</f>
        <v/>
      </c>
      <c r="I2468" s="1"/>
    </row>
    <row r="2469" spans="1:9" ht="18" customHeight="1" x14ac:dyDescent="0.25">
      <c r="A2469" s="48">
        <v>2454</v>
      </c>
      <c r="B2469" s="49" t="str">
        <f t="array" ref="B2469">IFERROR(IF(INDEX(Transactions!$F$8:$F$3006,MATCH(0,COUNTIF($B$11:B2468,Transactions!$F$8:$F$3006),0))="","",INDEX(Transactions!$F$8:$F$3006,MATCH(0,COUNTIF($B$11:B2468,Transactions!$F$8:$F$3006),0))),"")</f>
        <v/>
      </c>
      <c r="C2469" s="50" t="str">
        <f>IF(B2469="","",SUMIF(Transactions!$F$8:$F$3006,B2469,Transactions!$H$8:$H$3006))</f>
        <v/>
      </c>
      <c r="D2469" s="51" t="str">
        <f>IF(B2469="","",SUMIF(Transactions!$F$8:$F$3006,B2469,Transactions!$N$8:$N$3006))</f>
        <v/>
      </c>
      <c r="E2469" s="52" t="str">
        <f>IF(B2469="","",SUMIF(Transactions!$F$8:$F$3006,B2469,Transactions!$O$8:$O$3006))</f>
        <v/>
      </c>
      <c r="F2469" s="53" t="str">
        <f>IF(B2469="","",SUMIF(Transactions!$F$8:$F$3006,B2469,Transactions!$R$8:$R$3006))</f>
        <v/>
      </c>
      <c r="G2469" s="54" t="str">
        <f>IF(B2469="","",(C2469+F2469)-(D2469+E2469+SUMIF(Transactions!$F$8:$F$3006,B2469,Transactions!$Q$8:$Q$3006)))</f>
        <v/>
      </c>
      <c r="H2469" s="55" t="str">
        <f>IF(B2469="","",IF(G2469&gt;0,"OUTSTANDING",IF(G2469=0,"SETTLED",IF(SUMIF(Transactions!$F$8:$F$3006,B2469,Transactions!$Q$8:$Q$3006)&gt;SUMIF(Transactions!$F$8:$F$3006,B2469,Transactions!$R$8:$R$3006),"OWES","OVERPAID"))))</f>
        <v/>
      </c>
      <c r="I2469" s="1"/>
    </row>
    <row r="2470" spans="1:9" ht="18" customHeight="1" x14ac:dyDescent="0.25">
      <c r="A2470" s="40">
        <v>2455</v>
      </c>
      <c r="B2470" s="41" t="str">
        <f t="array" ref="B2470">IFERROR(IF(INDEX(Transactions!$F$8:$F$3006,MATCH(0,COUNTIF($B$11:B2469,Transactions!$F$8:$F$3006),0))="","",INDEX(Transactions!$F$8:$F$3006,MATCH(0,COUNTIF($B$11:B2469,Transactions!$F$8:$F$3006),0))),"")</f>
        <v/>
      </c>
      <c r="C2470" s="42" t="str">
        <f>IF(B2470="","",SUMIF(Transactions!$F$8:$F$3006,B2470,Transactions!$H$8:$H$3006))</f>
        <v/>
      </c>
      <c r="D2470" s="43" t="str">
        <f>IF(B2470="","",SUMIF(Transactions!$F$8:$F$3006,B2470,Transactions!$N$8:$N$3006))</f>
        <v/>
      </c>
      <c r="E2470" s="44" t="str">
        <f>IF(B2470="","",SUMIF(Transactions!$F$8:$F$3006,B2470,Transactions!$O$8:$O$3006))</f>
        <v/>
      </c>
      <c r="F2470" s="45" t="str">
        <f>IF(B2470="","",SUMIF(Transactions!$F$8:$F$3006,B2470,Transactions!$R$8:$R$3006))</f>
        <v/>
      </c>
      <c r="G2470" s="46" t="str">
        <f>IF(B2470="","",(C2470+F2470)-(D2470+E2470+SUMIF(Transactions!$F$8:$F$3006,B2470,Transactions!$Q$8:$Q$3006)))</f>
        <v/>
      </c>
      <c r="H2470" s="47" t="str">
        <f>IF(B2470="","",IF(G2470&gt;0,"OUTSTANDING",IF(G2470=0,"SETTLED",IF(SUMIF(Transactions!$F$8:$F$3006,B2470,Transactions!$Q$8:$Q$3006)&gt;SUMIF(Transactions!$F$8:$F$3006,B2470,Transactions!$R$8:$R$3006),"OWES","OVERPAID"))))</f>
        <v/>
      </c>
      <c r="I2470" s="1"/>
    </row>
    <row r="2471" spans="1:9" ht="18" customHeight="1" x14ac:dyDescent="0.25">
      <c r="A2471" s="48">
        <v>2456</v>
      </c>
      <c r="B2471" s="49" t="str">
        <f t="array" ref="B2471">IFERROR(IF(INDEX(Transactions!$F$8:$F$3006,MATCH(0,COUNTIF($B$11:B2470,Transactions!$F$8:$F$3006),0))="","",INDEX(Transactions!$F$8:$F$3006,MATCH(0,COUNTIF($B$11:B2470,Transactions!$F$8:$F$3006),0))),"")</f>
        <v/>
      </c>
      <c r="C2471" s="50" t="str">
        <f>IF(B2471="","",SUMIF(Transactions!$F$8:$F$3006,B2471,Transactions!$H$8:$H$3006))</f>
        <v/>
      </c>
      <c r="D2471" s="51" t="str">
        <f>IF(B2471="","",SUMIF(Transactions!$F$8:$F$3006,B2471,Transactions!$N$8:$N$3006))</f>
        <v/>
      </c>
      <c r="E2471" s="52" t="str">
        <f>IF(B2471="","",SUMIF(Transactions!$F$8:$F$3006,B2471,Transactions!$O$8:$O$3006))</f>
        <v/>
      </c>
      <c r="F2471" s="53" t="str">
        <f>IF(B2471="","",SUMIF(Transactions!$F$8:$F$3006,B2471,Transactions!$R$8:$R$3006))</f>
        <v/>
      </c>
      <c r="G2471" s="54" t="str">
        <f>IF(B2471="","",(C2471+F2471)-(D2471+E2471+SUMIF(Transactions!$F$8:$F$3006,B2471,Transactions!$Q$8:$Q$3006)))</f>
        <v/>
      </c>
      <c r="H2471" s="55" t="str">
        <f>IF(B2471="","",IF(G2471&gt;0,"OUTSTANDING",IF(G2471=0,"SETTLED",IF(SUMIF(Transactions!$F$8:$F$3006,B2471,Transactions!$Q$8:$Q$3006)&gt;SUMIF(Transactions!$F$8:$F$3006,B2471,Transactions!$R$8:$R$3006),"OWES","OVERPAID"))))</f>
        <v/>
      </c>
      <c r="I2471" s="1"/>
    </row>
    <row r="2472" spans="1:9" ht="18" customHeight="1" x14ac:dyDescent="0.25">
      <c r="A2472" s="40">
        <v>2457</v>
      </c>
      <c r="B2472" s="41" t="str">
        <f t="array" ref="B2472">IFERROR(IF(INDEX(Transactions!$F$8:$F$3006,MATCH(0,COUNTIF($B$11:B2471,Transactions!$F$8:$F$3006),0))="","",INDEX(Transactions!$F$8:$F$3006,MATCH(0,COUNTIF($B$11:B2471,Transactions!$F$8:$F$3006),0))),"")</f>
        <v/>
      </c>
      <c r="C2472" s="42" t="str">
        <f>IF(B2472="","",SUMIF(Transactions!$F$8:$F$3006,B2472,Transactions!$H$8:$H$3006))</f>
        <v/>
      </c>
      <c r="D2472" s="43" t="str">
        <f>IF(B2472="","",SUMIF(Transactions!$F$8:$F$3006,B2472,Transactions!$N$8:$N$3006))</f>
        <v/>
      </c>
      <c r="E2472" s="44" t="str">
        <f>IF(B2472="","",SUMIF(Transactions!$F$8:$F$3006,B2472,Transactions!$O$8:$O$3006))</f>
        <v/>
      </c>
      <c r="F2472" s="45" t="str">
        <f>IF(B2472="","",SUMIF(Transactions!$F$8:$F$3006,B2472,Transactions!$R$8:$R$3006))</f>
        <v/>
      </c>
      <c r="G2472" s="46" t="str">
        <f>IF(B2472="","",(C2472+F2472)-(D2472+E2472+SUMIF(Transactions!$F$8:$F$3006,B2472,Transactions!$Q$8:$Q$3006)))</f>
        <v/>
      </c>
      <c r="H2472" s="47" t="str">
        <f>IF(B2472="","",IF(G2472&gt;0,"OUTSTANDING",IF(G2472=0,"SETTLED",IF(SUMIF(Transactions!$F$8:$F$3006,B2472,Transactions!$Q$8:$Q$3006)&gt;SUMIF(Transactions!$F$8:$F$3006,B2472,Transactions!$R$8:$R$3006),"OWES","OVERPAID"))))</f>
        <v/>
      </c>
      <c r="I2472" s="1"/>
    </row>
    <row r="2473" spans="1:9" ht="18" customHeight="1" x14ac:dyDescent="0.25">
      <c r="A2473" s="48">
        <v>2458</v>
      </c>
      <c r="B2473" s="49" t="str">
        <f t="array" ref="B2473">IFERROR(IF(INDEX(Transactions!$F$8:$F$3006,MATCH(0,COUNTIF($B$11:B2472,Transactions!$F$8:$F$3006),0))="","",INDEX(Transactions!$F$8:$F$3006,MATCH(0,COUNTIF($B$11:B2472,Transactions!$F$8:$F$3006),0))),"")</f>
        <v/>
      </c>
      <c r="C2473" s="50" t="str">
        <f>IF(B2473="","",SUMIF(Transactions!$F$8:$F$3006,B2473,Transactions!$H$8:$H$3006))</f>
        <v/>
      </c>
      <c r="D2473" s="51" t="str">
        <f>IF(B2473="","",SUMIF(Transactions!$F$8:$F$3006,B2473,Transactions!$N$8:$N$3006))</f>
        <v/>
      </c>
      <c r="E2473" s="52" t="str">
        <f>IF(B2473="","",SUMIF(Transactions!$F$8:$F$3006,B2473,Transactions!$O$8:$O$3006))</f>
        <v/>
      </c>
      <c r="F2473" s="53" t="str">
        <f>IF(B2473="","",SUMIF(Transactions!$F$8:$F$3006,B2473,Transactions!$R$8:$R$3006))</f>
        <v/>
      </c>
      <c r="G2473" s="54" t="str">
        <f>IF(B2473="","",(C2473+F2473)-(D2473+E2473+SUMIF(Transactions!$F$8:$F$3006,B2473,Transactions!$Q$8:$Q$3006)))</f>
        <v/>
      </c>
      <c r="H2473" s="55" t="str">
        <f>IF(B2473="","",IF(G2473&gt;0,"OUTSTANDING",IF(G2473=0,"SETTLED",IF(SUMIF(Transactions!$F$8:$F$3006,B2473,Transactions!$Q$8:$Q$3006)&gt;SUMIF(Transactions!$F$8:$F$3006,B2473,Transactions!$R$8:$R$3006),"OWES","OVERPAID"))))</f>
        <v/>
      </c>
      <c r="I2473" s="1"/>
    </row>
    <row r="2474" spans="1:9" ht="18" customHeight="1" x14ac:dyDescent="0.25">
      <c r="A2474" s="40">
        <v>2459</v>
      </c>
      <c r="B2474" s="41" t="str">
        <f t="array" ref="B2474">IFERROR(IF(INDEX(Transactions!$F$8:$F$3006,MATCH(0,COUNTIF($B$11:B2473,Transactions!$F$8:$F$3006),0))="","",INDEX(Transactions!$F$8:$F$3006,MATCH(0,COUNTIF($B$11:B2473,Transactions!$F$8:$F$3006),0))),"")</f>
        <v/>
      </c>
      <c r="C2474" s="42" t="str">
        <f>IF(B2474="","",SUMIF(Transactions!$F$8:$F$3006,B2474,Transactions!$H$8:$H$3006))</f>
        <v/>
      </c>
      <c r="D2474" s="43" t="str">
        <f>IF(B2474="","",SUMIF(Transactions!$F$8:$F$3006,B2474,Transactions!$N$8:$N$3006))</f>
        <v/>
      </c>
      <c r="E2474" s="44" t="str">
        <f>IF(B2474="","",SUMIF(Transactions!$F$8:$F$3006,B2474,Transactions!$O$8:$O$3006))</f>
        <v/>
      </c>
      <c r="F2474" s="45" t="str">
        <f>IF(B2474="","",SUMIF(Transactions!$F$8:$F$3006,B2474,Transactions!$R$8:$R$3006))</f>
        <v/>
      </c>
      <c r="G2474" s="46" t="str">
        <f>IF(B2474="","",(C2474+F2474)-(D2474+E2474+SUMIF(Transactions!$F$8:$F$3006,B2474,Transactions!$Q$8:$Q$3006)))</f>
        <v/>
      </c>
      <c r="H2474" s="47" t="str">
        <f>IF(B2474="","",IF(G2474&gt;0,"OUTSTANDING",IF(G2474=0,"SETTLED",IF(SUMIF(Transactions!$F$8:$F$3006,B2474,Transactions!$Q$8:$Q$3006)&gt;SUMIF(Transactions!$F$8:$F$3006,B2474,Transactions!$R$8:$R$3006),"OWES","OVERPAID"))))</f>
        <v/>
      </c>
      <c r="I2474" s="1"/>
    </row>
    <row r="2475" spans="1:9" ht="18" customHeight="1" x14ac:dyDescent="0.25">
      <c r="A2475" s="48">
        <v>2460</v>
      </c>
      <c r="B2475" s="49" t="str">
        <f t="array" ref="B2475">IFERROR(IF(INDEX(Transactions!$F$8:$F$3006,MATCH(0,COUNTIF($B$11:B2474,Transactions!$F$8:$F$3006),0))="","",INDEX(Transactions!$F$8:$F$3006,MATCH(0,COUNTIF($B$11:B2474,Transactions!$F$8:$F$3006),0))),"")</f>
        <v/>
      </c>
      <c r="C2475" s="50" t="str">
        <f>IF(B2475="","",SUMIF(Transactions!$F$8:$F$3006,B2475,Transactions!$H$8:$H$3006))</f>
        <v/>
      </c>
      <c r="D2475" s="51" t="str">
        <f>IF(B2475="","",SUMIF(Transactions!$F$8:$F$3006,B2475,Transactions!$N$8:$N$3006))</f>
        <v/>
      </c>
      <c r="E2475" s="52" t="str">
        <f>IF(B2475="","",SUMIF(Transactions!$F$8:$F$3006,B2475,Transactions!$O$8:$O$3006))</f>
        <v/>
      </c>
      <c r="F2475" s="53" t="str">
        <f>IF(B2475="","",SUMIF(Transactions!$F$8:$F$3006,B2475,Transactions!$R$8:$R$3006))</f>
        <v/>
      </c>
      <c r="G2475" s="54" t="str">
        <f>IF(B2475="","",(C2475+F2475)-(D2475+E2475+SUMIF(Transactions!$F$8:$F$3006,B2475,Transactions!$Q$8:$Q$3006)))</f>
        <v/>
      </c>
      <c r="H2475" s="55" t="str">
        <f>IF(B2475="","",IF(G2475&gt;0,"OUTSTANDING",IF(G2475=0,"SETTLED",IF(SUMIF(Transactions!$F$8:$F$3006,B2475,Transactions!$Q$8:$Q$3006)&gt;SUMIF(Transactions!$F$8:$F$3006,B2475,Transactions!$R$8:$R$3006),"OWES","OVERPAID"))))</f>
        <v/>
      </c>
      <c r="I2475" s="1"/>
    </row>
    <row r="2476" spans="1:9" ht="18" customHeight="1" x14ac:dyDescent="0.25">
      <c r="A2476" s="40">
        <v>2461</v>
      </c>
      <c r="B2476" s="41" t="str">
        <f t="array" ref="B2476">IFERROR(IF(INDEX(Transactions!$F$8:$F$3006,MATCH(0,COUNTIF($B$11:B2475,Transactions!$F$8:$F$3006),0))="","",INDEX(Transactions!$F$8:$F$3006,MATCH(0,COUNTIF($B$11:B2475,Transactions!$F$8:$F$3006),0))),"")</f>
        <v/>
      </c>
      <c r="C2476" s="42" t="str">
        <f>IF(B2476="","",SUMIF(Transactions!$F$8:$F$3006,B2476,Transactions!$H$8:$H$3006))</f>
        <v/>
      </c>
      <c r="D2476" s="43" t="str">
        <f>IF(B2476="","",SUMIF(Transactions!$F$8:$F$3006,B2476,Transactions!$N$8:$N$3006))</f>
        <v/>
      </c>
      <c r="E2476" s="44" t="str">
        <f>IF(B2476="","",SUMIF(Transactions!$F$8:$F$3006,B2476,Transactions!$O$8:$O$3006))</f>
        <v/>
      </c>
      <c r="F2476" s="45" t="str">
        <f>IF(B2476="","",SUMIF(Transactions!$F$8:$F$3006,B2476,Transactions!$R$8:$R$3006))</f>
        <v/>
      </c>
      <c r="G2476" s="46" t="str">
        <f>IF(B2476="","",(C2476+F2476)-(D2476+E2476+SUMIF(Transactions!$F$8:$F$3006,B2476,Transactions!$Q$8:$Q$3006)))</f>
        <v/>
      </c>
      <c r="H2476" s="47" t="str">
        <f>IF(B2476="","",IF(G2476&gt;0,"OUTSTANDING",IF(G2476=0,"SETTLED",IF(SUMIF(Transactions!$F$8:$F$3006,B2476,Transactions!$Q$8:$Q$3006)&gt;SUMIF(Transactions!$F$8:$F$3006,B2476,Transactions!$R$8:$R$3006),"OWES","OVERPAID"))))</f>
        <v/>
      </c>
      <c r="I2476" s="1"/>
    </row>
    <row r="2477" spans="1:9" ht="18" customHeight="1" x14ac:dyDescent="0.25">
      <c r="A2477" s="48">
        <v>2462</v>
      </c>
      <c r="B2477" s="49" t="str">
        <f t="array" ref="B2477">IFERROR(IF(INDEX(Transactions!$F$8:$F$3006,MATCH(0,COUNTIF($B$11:B2476,Transactions!$F$8:$F$3006),0))="","",INDEX(Transactions!$F$8:$F$3006,MATCH(0,COUNTIF($B$11:B2476,Transactions!$F$8:$F$3006),0))),"")</f>
        <v/>
      </c>
      <c r="C2477" s="50" t="str">
        <f>IF(B2477="","",SUMIF(Transactions!$F$8:$F$3006,B2477,Transactions!$H$8:$H$3006))</f>
        <v/>
      </c>
      <c r="D2477" s="51" t="str">
        <f>IF(B2477="","",SUMIF(Transactions!$F$8:$F$3006,B2477,Transactions!$N$8:$N$3006))</f>
        <v/>
      </c>
      <c r="E2477" s="52" t="str">
        <f>IF(B2477="","",SUMIF(Transactions!$F$8:$F$3006,B2477,Transactions!$O$8:$O$3006))</f>
        <v/>
      </c>
      <c r="F2477" s="53" t="str">
        <f>IF(B2477="","",SUMIF(Transactions!$F$8:$F$3006,B2477,Transactions!$R$8:$R$3006))</f>
        <v/>
      </c>
      <c r="G2477" s="54" t="str">
        <f>IF(B2477="","",(C2477+F2477)-(D2477+E2477+SUMIF(Transactions!$F$8:$F$3006,B2477,Transactions!$Q$8:$Q$3006)))</f>
        <v/>
      </c>
      <c r="H2477" s="55" t="str">
        <f>IF(B2477="","",IF(G2477&gt;0,"OUTSTANDING",IF(G2477=0,"SETTLED",IF(SUMIF(Transactions!$F$8:$F$3006,B2477,Transactions!$Q$8:$Q$3006)&gt;SUMIF(Transactions!$F$8:$F$3006,B2477,Transactions!$R$8:$R$3006),"OWES","OVERPAID"))))</f>
        <v/>
      </c>
      <c r="I2477" s="1"/>
    </row>
    <row r="2478" spans="1:9" ht="18" customHeight="1" x14ac:dyDescent="0.25">
      <c r="A2478" s="40">
        <v>2463</v>
      </c>
      <c r="B2478" s="41" t="str">
        <f t="array" ref="B2478">IFERROR(IF(INDEX(Transactions!$F$8:$F$3006,MATCH(0,COUNTIF($B$11:B2477,Transactions!$F$8:$F$3006),0))="","",INDEX(Transactions!$F$8:$F$3006,MATCH(0,COUNTIF($B$11:B2477,Transactions!$F$8:$F$3006),0))),"")</f>
        <v/>
      </c>
      <c r="C2478" s="42" t="str">
        <f>IF(B2478="","",SUMIF(Transactions!$F$8:$F$3006,B2478,Transactions!$H$8:$H$3006))</f>
        <v/>
      </c>
      <c r="D2478" s="43" t="str">
        <f>IF(B2478="","",SUMIF(Transactions!$F$8:$F$3006,B2478,Transactions!$N$8:$N$3006))</f>
        <v/>
      </c>
      <c r="E2478" s="44" t="str">
        <f>IF(B2478="","",SUMIF(Transactions!$F$8:$F$3006,B2478,Transactions!$O$8:$O$3006))</f>
        <v/>
      </c>
      <c r="F2478" s="45" t="str">
        <f>IF(B2478="","",SUMIF(Transactions!$F$8:$F$3006,B2478,Transactions!$R$8:$R$3006))</f>
        <v/>
      </c>
      <c r="G2478" s="46" t="str">
        <f>IF(B2478="","",(C2478+F2478)-(D2478+E2478+SUMIF(Transactions!$F$8:$F$3006,B2478,Transactions!$Q$8:$Q$3006)))</f>
        <v/>
      </c>
      <c r="H2478" s="47" t="str">
        <f>IF(B2478="","",IF(G2478&gt;0,"OUTSTANDING",IF(G2478=0,"SETTLED",IF(SUMIF(Transactions!$F$8:$F$3006,B2478,Transactions!$Q$8:$Q$3006)&gt;SUMIF(Transactions!$F$8:$F$3006,B2478,Transactions!$R$8:$R$3006),"OWES","OVERPAID"))))</f>
        <v/>
      </c>
      <c r="I2478" s="1"/>
    </row>
    <row r="2479" spans="1:9" ht="18" customHeight="1" x14ac:dyDescent="0.25">
      <c r="A2479" s="48">
        <v>2464</v>
      </c>
      <c r="B2479" s="49" t="str">
        <f t="array" ref="B2479">IFERROR(IF(INDEX(Transactions!$F$8:$F$3006,MATCH(0,COUNTIF($B$11:B2478,Transactions!$F$8:$F$3006),0))="","",INDEX(Transactions!$F$8:$F$3006,MATCH(0,COUNTIF($B$11:B2478,Transactions!$F$8:$F$3006),0))),"")</f>
        <v/>
      </c>
      <c r="C2479" s="50" t="str">
        <f>IF(B2479="","",SUMIF(Transactions!$F$8:$F$3006,B2479,Transactions!$H$8:$H$3006))</f>
        <v/>
      </c>
      <c r="D2479" s="51" t="str">
        <f>IF(B2479="","",SUMIF(Transactions!$F$8:$F$3006,B2479,Transactions!$N$8:$N$3006))</f>
        <v/>
      </c>
      <c r="E2479" s="52" t="str">
        <f>IF(B2479="","",SUMIF(Transactions!$F$8:$F$3006,B2479,Transactions!$O$8:$O$3006))</f>
        <v/>
      </c>
      <c r="F2479" s="53" t="str">
        <f>IF(B2479="","",SUMIF(Transactions!$F$8:$F$3006,B2479,Transactions!$R$8:$R$3006))</f>
        <v/>
      </c>
      <c r="G2479" s="54" t="str">
        <f>IF(B2479="","",(C2479+F2479)-(D2479+E2479+SUMIF(Transactions!$F$8:$F$3006,B2479,Transactions!$Q$8:$Q$3006)))</f>
        <v/>
      </c>
      <c r="H2479" s="55" t="str">
        <f>IF(B2479="","",IF(G2479&gt;0,"OUTSTANDING",IF(G2479=0,"SETTLED",IF(SUMIF(Transactions!$F$8:$F$3006,B2479,Transactions!$Q$8:$Q$3006)&gt;SUMIF(Transactions!$F$8:$F$3006,B2479,Transactions!$R$8:$R$3006),"OWES","OVERPAID"))))</f>
        <v/>
      </c>
      <c r="I2479" s="1"/>
    </row>
    <row r="2480" spans="1:9" ht="18" customHeight="1" x14ac:dyDescent="0.25">
      <c r="A2480" s="40">
        <v>2465</v>
      </c>
      <c r="B2480" s="41" t="str">
        <f t="array" ref="B2480">IFERROR(IF(INDEX(Transactions!$F$8:$F$3006,MATCH(0,COUNTIF($B$11:B2479,Transactions!$F$8:$F$3006),0))="","",INDEX(Transactions!$F$8:$F$3006,MATCH(0,COUNTIF($B$11:B2479,Transactions!$F$8:$F$3006),0))),"")</f>
        <v/>
      </c>
      <c r="C2480" s="42" t="str">
        <f>IF(B2480="","",SUMIF(Transactions!$F$8:$F$3006,B2480,Transactions!$H$8:$H$3006))</f>
        <v/>
      </c>
      <c r="D2480" s="43" t="str">
        <f>IF(B2480="","",SUMIF(Transactions!$F$8:$F$3006,B2480,Transactions!$N$8:$N$3006))</f>
        <v/>
      </c>
      <c r="E2480" s="44" t="str">
        <f>IF(B2480="","",SUMIF(Transactions!$F$8:$F$3006,B2480,Transactions!$O$8:$O$3006))</f>
        <v/>
      </c>
      <c r="F2480" s="45" t="str">
        <f>IF(B2480="","",SUMIF(Transactions!$F$8:$F$3006,B2480,Transactions!$R$8:$R$3006))</f>
        <v/>
      </c>
      <c r="G2480" s="46" t="str">
        <f>IF(B2480="","",(C2480+F2480)-(D2480+E2480+SUMIF(Transactions!$F$8:$F$3006,B2480,Transactions!$Q$8:$Q$3006)))</f>
        <v/>
      </c>
      <c r="H2480" s="47" t="str">
        <f>IF(B2480="","",IF(G2480&gt;0,"OUTSTANDING",IF(G2480=0,"SETTLED",IF(SUMIF(Transactions!$F$8:$F$3006,B2480,Transactions!$Q$8:$Q$3006)&gt;SUMIF(Transactions!$F$8:$F$3006,B2480,Transactions!$R$8:$R$3006),"OWES","OVERPAID"))))</f>
        <v/>
      </c>
      <c r="I2480" s="1"/>
    </row>
    <row r="2481" spans="1:9" ht="18" customHeight="1" x14ac:dyDescent="0.25">
      <c r="A2481" s="48">
        <v>2466</v>
      </c>
      <c r="B2481" s="49" t="str">
        <f t="array" ref="B2481">IFERROR(IF(INDEX(Transactions!$F$8:$F$3006,MATCH(0,COUNTIF($B$11:B2480,Transactions!$F$8:$F$3006),0))="","",INDEX(Transactions!$F$8:$F$3006,MATCH(0,COUNTIF($B$11:B2480,Transactions!$F$8:$F$3006),0))),"")</f>
        <v/>
      </c>
      <c r="C2481" s="50" t="str">
        <f>IF(B2481="","",SUMIF(Transactions!$F$8:$F$3006,B2481,Transactions!$H$8:$H$3006))</f>
        <v/>
      </c>
      <c r="D2481" s="51" t="str">
        <f>IF(B2481="","",SUMIF(Transactions!$F$8:$F$3006,B2481,Transactions!$N$8:$N$3006))</f>
        <v/>
      </c>
      <c r="E2481" s="52" t="str">
        <f>IF(B2481="","",SUMIF(Transactions!$F$8:$F$3006,B2481,Transactions!$O$8:$O$3006))</f>
        <v/>
      </c>
      <c r="F2481" s="53" t="str">
        <f>IF(B2481="","",SUMIF(Transactions!$F$8:$F$3006,B2481,Transactions!$R$8:$R$3006))</f>
        <v/>
      </c>
      <c r="G2481" s="54" t="str">
        <f>IF(B2481="","",(C2481+F2481)-(D2481+E2481+SUMIF(Transactions!$F$8:$F$3006,B2481,Transactions!$Q$8:$Q$3006)))</f>
        <v/>
      </c>
      <c r="H2481" s="55" t="str">
        <f>IF(B2481="","",IF(G2481&gt;0,"OUTSTANDING",IF(G2481=0,"SETTLED",IF(SUMIF(Transactions!$F$8:$F$3006,B2481,Transactions!$Q$8:$Q$3006)&gt;SUMIF(Transactions!$F$8:$F$3006,B2481,Transactions!$R$8:$R$3006),"OWES","OVERPAID"))))</f>
        <v/>
      </c>
      <c r="I2481" s="1"/>
    </row>
    <row r="2482" spans="1:9" ht="18" customHeight="1" x14ac:dyDescent="0.25">
      <c r="A2482" s="40">
        <v>2467</v>
      </c>
      <c r="B2482" s="41" t="str">
        <f t="array" ref="B2482">IFERROR(IF(INDEX(Transactions!$F$8:$F$3006,MATCH(0,COUNTIF($B$11:B2481,Transactions!$F$8:$F$3006),0))="","",INDEX(Transactions!$F$8:$F$3006,MATCH(0,COUNTIF($B$11:B2481,Transactions!$F$8:$F$3006),0))),"")</f>
        <v/>
      </c>
      <c r="C2482" s="42" t="str">
        <f>IF(B2482="","",SUMIF(Transactions!$F$8:$F$3006,B2482,Transactions!$H$8:$H$3006))</f>
        <v/>
      </c>
      <c r="D2482" s="43" t="str">
        <f>IF(B2482="","",SUMIF(Transactions!$F$8:$F$3006,B2482,Transactions!$N$8:$N$3006))</f>
        <v/>
      </c>
      <c r="E2482" s="44" t="str">
        <f>IF(B2482="","",SUMIF(Transactions!$F$8:$F$3006,B2482,Transactions!$O$8:$O$3006))</f>
        <v/>
      </c>
      <c r="F2482" s="45" t="str">
        <f>IF(B2482="","",SUMIF(Transactions!$F$8:$F$3006,B2482,Transactions!$R$8:$R$3006))</f>
        <v/>
      </c>
      <c r="G2482" s="46" t="str">
        <f>IF(B2482="","",(C2482+F2482)-(D2482+E2482+SUMIF(Transactions!$F$8:$F$3006,B2482,Transactions!$Q$8:$Q$3006)))</f>
        <v/>
      </c>
      <c r="H2482" s="47" t="str">
        <f>IF(B2482="","",IF(G2482&gt;0,"OUTSTANDING",IF(G2482=0,"SETTLED",IF(SUMIF(Transactions!$F$8:$F$3006,B2482,Transactions!$Q$8:$Q$3006)&gt;SUMIF(Transactions!$F$8:$F$3006,B2482,Transactions!$R$8:$R$3006),"OWES","OVERPAID"))))</f>
        <v/>
      </c>
      <c r="I2482" s="1"/>
    </row>
    <row r="2483" spans="1:9" ht="18" customHeight="1" x14ac:dyDescent="0.25">
      <c r="A2483" s="48">
        <v>2468</v>
      </c>
      <c r="B2483" s="49" t="str">
        <f t="array" ref="B2483">IFERROR(IF(INDEX(Transactions!$F$8:$F$3006,MATCH(0,COUNTIF($B$11:B2482,Transactions!$F$8:$F$3006),0))="","",INDEX(Transactions!$F$8:$F$3006,MATCH(0,COUNTIF($B$11:B2482,Transactions!$F$8:$F$3006),0))),"")</f>
        <v/>
      </c>
      <c r="C2483" s="50" t="str">
        <f>IF(B2483="","",SUMIF(Transactions!$F$8:$F$3006,B2483,Transactions!$H$8:$H$3006))</f>
        <v/>
      </c>
      <c r="D2483" s="51" t="str">
        <f>IF(B2483="","",SUMIF(Transactions!$F$8:$F$3006,B2483,Transactions!$N$8:$N$3006))</f>
        <v/>
      </c>
      <c r="E2483" s="52" t="str">
        <f>IF(B2483="","",SUMIF(Transactions!$F$8:$F$3006,B2483,Transactions!$O$8:$O$3006))</f>
        <v/>
      </c>
      <c r="F2483" s="53" t="str">
        <f>IF(B2483="","",SUMIF(Transactions!$F$8:$F$3006,B2483,Transactions!$R$8:$R$3006))</f>
        <v/>
      </c>
      <c r="G2483" s="54" t="str">
        <f>IF(B2483="","",(C2483+F2483)-(D2483+E2483+SUMIF(Transactions!$F$8:$F$3006,B2483,Transactions!$Q$8:$Q$3006)))</f>
        <v/>
      </c>
      <c r="H2483" s="55" t="str">
        <f>IF(B2483="","",IF(G2483&gt;0,"OUTSTANDING",IF(G2483=0,"SETTLED",IF(SUMIF(Transactions!$F$8:$F$3006,B2483,Transactions!$Q$8:$Q$3006)&gt;SUMIF(Transactions!$F$8:$F$3006,B2483,Transactions!$R$8:$R$3006),"OWES","OVERPAID"))))</f>
        <v/>
      </c>
      <c r="I2483" s="1"/>
    </row>
    <row r="2484" spans="1:9" ht="18" customHeight="1" x14ac:dyDescent="0.25">
      <c r="A2484" s="40">
        <v>2469</v>
      </c>
      <c r="B2484" s="41" t="str">
        <f t="array" ref="B2484">IFERROR(IF(INDEX(Transactions!$F$8:$F$3006,MATCH(0,COUNTIF($B$11:B2483,Transactions!$F$8:$F$3006),0))="","",INDEX(Transactions!$F$8:$F$3006,MATCH(0,COUNTIF($B$11:B2483,Transactions!$F$8:$F$3006),0))),"")</f>
        <v/>
      </c>
      <c r="C2484" s="42" t="str">
        <f>IF(B2484="","",SUMIF(Transactions!$F$8:$F$3006,B2484,Transactions!$H$8:$H$3006))</f>
        <v/>
      </c>
      <c r="D2484" s="43" t="str">
        <f>IF(B2484="","",SUMIF(Transactions!$F$8:$F$3006,B2484,Transactions!$N$8:$N$3006))</f>
        <v/>
      </c>
      <c r="E2484" s="44" t="str">
        <f>IF(B2484="","",SUMIF(Transactions!$F$8:$F$3006,B2484,Transactions!$O$8:$O$3006))</f>
        <v/>
      </c>
      <c r="F2484" s="45" t="str">
        <f>IF(B2484="","",SUMIF(Transactions!$F$8:$F$3006,B2484,Transactions!$R$8:$R$3006))</f>
        <v/>
      </c>
      <c r="G2484" s="46" t="str">
        <f>IF(B2484="","",(C2484+F2484)-(D2484+E2484+SUMIF(Transactions!$F$8:$F$3006,B2484,Transactions!$Q$8:$Q$3006)))</f>
        <v/>
      </c>
      <c r="H2484" s="47" t="str">
        <f>IF(B2484="","",IF(G2484&gt;0,"OUTSTANDING",IF(G2484=0,"SETTLED",IF(SUMIF(Transactions!$F$8:$F$3006,B2484,Transactions!$Q$8:$Q$3006)&gt;SUMIF(Transactions!$F$8:$F$3006,B2484,Transactions!$R$8:$R$3006),"OWES","OVERPAID"))))</f>
        <v/>
      </c>
      <c r="I2484" s="1"/>
    </row>
    <row r="2485" spans="1:9" ht="18" customHeight="1" x14ac:dyDescent="0.25">
      <c r="A2485" s="48">
        <v>2470</v>
      </c>
      <c r="B2485" s="49" t="str">
        <f t="array" ref="B2485">IFERROR(IF(INDEX(Transactions!$F$8:$F$3006,MATCH(0,COUNTIF($B$11:B2484,Transactions!$F$8:$F$3006),0))="","",INDEX(Transactions!$F$8:$F$3006,MATCH(0,COUNTIF($B$11:B2484,Transactions!$F$8:$F$3006),0))),"")</f>
        <v/>
      </c>
      <c r="C2485" s="50" t="str">
        <f>IF(B2485="","",SUMIF(Transactions!$F$8:$F$3006,B2485,Transactions!$H$8:$H$3006))</f>
        <v/>
      </c>
      <c r="D2485" s="51" t="str">
        <f>IF(B2485="","",SUMIF(Transactions!$F$8:$F$3006,B2485,Transactions!$N$8:$N$3006))</f>
        <v/>
      </c>
      <c r="E2485" s="52" t="str">
        <f>IF(B2485="","",SUMIF(Transactions!$F$8:$F$3006,B2485,Transactions!$O$8:$O$3006))</f>
        <v/>
      </c>
      <c r="F2485" s="53" t="str">
        <f>IF(B2485="","",SUMIF(Transactions!$F$8:$F$3006,B2485,Transactions!$R$8:$R$3006))</f>
        <v/>
      </c>
      <c r="G2485" s="54" t="str">
        <f>IF(B2485="","",(C2485+F2485)-(D2485+E2485+SUMIF(Transactions!$F$8:$F$3006,B2485,Transactions!$Q$8:$Q$3006)))</f>
        <v/>
      </c>
      <c r="H2485" s="55" t="str">
        <f>IF(B2485="","",IF(G2485&gt;0,"OUTSTANDING",IF(G2485=0,"SETTLED",IF(SUMIF(Transactions!$F$8:$F$3006,B2485,Transactions!$Q$8:$Q$3006)&gt;SUMIF(Transactions!$F$8:$F$3006,B2485,Transactions!$R$8:$R$3006),"OWES","OVERPAID"))))</f>
        <v/>
      </c>
      <c r="I2485" s="1"/>
    </row>
    <row r="2486" spans="1:9" ht="18" customHeight="1" x14ac:dyDescent="0.25">
      <c r="A2486" s="40">
        <v>2471</v>
      </c>
      <c r="B2486" s="41" t="str">
        <f t="array" ref="B2486">IFERROR(IF(INDEX(Transactions!$F$8:$F$3006,MATCH(0,COUNTIF($B$11:B2485,Transactions!$F$8:$F$3006),0))="","",INDEX(Transactions!$F$8:$F$3006,MATCH(0,COUNTIF($B$11:B2485,Transactions!$F$8:$F$3006),0))),"")</f>
        <v/>
      </c>
      <c r="C2486" s="42" t="str">
        <f>IF(B2486="","",SUMIF(Transactions!$F$8:$F$3006,B2486,Transactions!$H$8:$H$3006))</f>
        <v/>
      </c>
      <c r="D2486" s="43" t="str">
        <f>IF(B2486="","",SUMIF(Transactions!$F$8:$F$3006,B2486,Transactions!$N$8:$N$3006))</f>
        <v/>
      </c>
      <c r="E2486" s="44" t="str">
        <f>IF(B2486="","",SUMIF(Transactions!$F$8:$F$3006,B2486,Transactions!$O$8:$O$3006))</f>
        <v/>
      </c>
      <c r="F2486" s="45" t="str">
        <f>IF(B2486="","",SUMIF(Transactions!$F$8:$F$3006,B2486,Transactions!$R$8:$R$3006))</f>
        <v/>
      </c>
      <c r="G2486" s="46" t="str">
        <f>IF(B2486="","",(C2486+F2486)-(D2486+E2486+SUMIF(Transactions!$F$8:$F$3006,B2486,Transactions!$Q$8:$Q$3006)))</f>
        <v/>
      </c>
      <c r="H2486" s="47" t="str">
        <f>IF(B2486="","",IF(G2486&gt;0,"OUTSTANDING",IF(G2486=0,"SETTLED",IF(SUMIF(Transactions!$F$8:$F$3006,B2486,Transactions!$Q$8:$Q$3006)&gt;SUMIF(Transactions!$F$8:$F$3006,B2486,Transactions!$R$8:$R$3006),"OWES","OVERPAID"))))</f>
        <v/>
      </c>
      <c r="I2486" s="1"/>
    </row>
    <row r="2487" spans="1:9" ht="18" customHeight="1" x14ac:dyDescent="0.25">
      <c r="A2487" s="48">
        <v>2472</v>
      </c>
      <c r="B2487" s="49" t="str">
        <f t="array" ref="B2487">IFERROR(IF(INDEX(Transactions!$F$8:$F$3006,MATCH(0,COUNTIF($B$11:B2486,Transactions!$F$8:$F$3006),0))="","",INDEX(Transactions!$F$8:$F$3006,MATCH(0,COUNTIF($B$11:B2486,Transactions!$F$8:$F$3006),0))),"")</f>
        <v/>
      </c>
      <c r="C2487" s="50" t="str">
        <f>IF(B2487="","",SUMIF(Transactions!$F$8:$F$3006,B2487,Transactions!$H$8:$H$3006))</f>
        <v/>
      </c>
      <c r="D2487" s="51" t="str">
        <f>IF(B2487="","",SUMIF(Transactions!$F$8:$F$3006,B2487,Transactions!$N$8:$N$3006))</f>
        <v/>
      </c>
      <c r="E2487" s="52" t="str">
        <f>IF(B2487="","",SUMIF(Transactions!$F$8:$F$3006,B2487,Transactions!$O$8:$O$3006))</f>
        <v/>
      </c>
      <c r="F2487" s="53" t="str">
        <f>IF(B2487="","",SUMIF(Transactions!$F$8:$F$3006,B2487,Transactions!$R$8:$R$3006))</f>
        <v/>
      </c>
      <c r="G2487" s="54" t="str">
        <f>IF(B2487="","",(C2487+F2487)-(D2487+E2487+SUMIF(Transactions!$F$8:$F$3006,B2487,Transactions!$Q$8:$Q$3006)))</f>
        <v/>
      </c>
      <c r="H2487" s="55" t="str">
        <f>IF(B2487="","",IF(G2487&gt;0,"OUTSTANDING",IF(G2487=0,"SETTLED",IF(SUMIF(Transactions!$F$8:$F$3006,B2487,Transactions!$Q$8:$Q$3006)&gt;SUMIF(Transactions!$F$8:$F$3006,B2487,Transactions!$R$8:$R$3006),"OWES","OVERPAID"))))</f>
        <v/>
      </c>
      <c r="I2487" s="1"/>
    </row>
    <row r="2488" spans="1:9" ht="18" customHeight="1" x14ac:dyDescent="0.25">
      <c r="A2488" s="40">
        <v>2473</v>
      </c>
      <c r="B2488" s="41" t="str">
        <f t="array" ref="B2488">IFERROR(IF(INDEX(Transactions!$F$8:$F$3006,MATCH(0,COUNTIF($B$11:B2487,Transactions!$F$8:$F$3006),0))="","",INDEX(Transactions!$F$8:$F$3006,MATCH(0,COUNTIF($B$11:B2487,Transactions!$F$8:$F$3006),0))),"")</f>
        <v/>
      </c>
      <c r="C2488" s="42" t="str">
        <f>IF(B2488="","",SUMIF(Transactions!$F$8:$F$3006,B2488,Transactions!$H$8:$H$3006))</f>
        <v/>
      </c>
      <c r="D2488" s="43" t="str">
        <f>IF(B2488="","",SUMIF(Transactions!$F$8:$F$3006,B2488,Transactions!$N$8:$N$3006))</f>
        <v/>
      </c>
      <c r="E2488" s="44" t="str">
        <f>IF(B2488="","",SUMIF(Transactions!$F$8:$F$3006,B2488,Transactions!$O$8:$O$3006))</f>
        <v/>
      </c>
      <c r="F2488" s="45" t="str">
        <f>IF(B2488="","",SUMIF(Transactions!$F$8:$F$3006,B2488,Transactions!$R$8:$R$3006))</f>
        <v/>
      </c>
      <c r="G2488" s="46" t="str">
        <f>IF(B2488="","",(C2488+F2488)-(D2488+E2488+SUMIF(Transactions!$F$8:$F$3006,B2488,Transactions!$Q$8:$Q$3006)))</f>
        <v/>
      </c>
      <c r="H2488" s="47" t="str">
        <f>IF(B2488="","",IF(G2488&gt;0,"OUTSTANDING",IF(G2488=0,"SETTLED",IF(SUMIF(Transactions!$F$8:$F$3006,B2488,Transactions!$Q$8:$Q$3006)&gt;SUMIF(Transactions!$F$8:$F$3006,B2488,Transactions!$R$8:$R$3006),"OWES","OVERPAID"))))</f>
        <v/>
      </c>
      <c r="I2488" s="1"/>
    </row>
    <row r="2489" spans="1:9" ht="18" customHeight="1" x14ac:dyDescent="0.25">
      <c r="A2489" s="48">
        <v>2474</v>
      </c>
      <c r="B2489" s="49" t="str">
        <f t="array" ref="B2489">IFERROR(IF(INDEX(Transactions!$F$8:$F$3006,MATCH(0,COUNTIF($B$11:B2488,Transactions!$F$8:$F$3006),0))="","",INDEX(Transactions!$F$8:$F$3006,MATCH(0,COUNTIF($B$11:B2488,Transactions!$F$8:$F$3006),0))),"")</f>
        <v/>
      </c>
      <c r="C2489" s="50" t="str">
        <f>IF(B2489="","",SUMIF(Transactions!$F$8:$F$3006,B2489,Transactions!$H$8:$H$3006))</f>
        <v/>
      </c>
      <c r="D2489" s="51" t="str">
        <f>IF(B2489="","",SUMIF(Transactions!$F$8:$F$3006,B2489,Transactions!$N$8:$N$3006))</f>
        <v/>
      </c>
      <c r="E2489" s="52" t="str">
        <f>IF(B2489="","",SUMIF(Transactions!$F$8:$F$3006,B2489,Transactions!$O$8:$O$3006))</f>
        <v/>
      </c>
      <c r="F2489" s="53" t="str">
        <f>IF(B2489="","",SUMIF(Transactions!$F$8:$F$3006,B2489,Transactions!$R$8:$R$3006))</f>
        <v/>
      </c>
      <c r="G2489" s="54" t="str">
        <f>IF(B2489="","",(C2489+F2489)-(D2489+E2489+SUMIF(Transactions!$F$8:$F$3006,B2489,Transactions!$Q$8:$Q$3006)))</f>
        <v/>
      </c>
      <c r="H2489" s="55" t="str">
        <f>IF(B2489="","",IF(G2489&gt;0,"OUTSTANDING",IF(G2489=0,"SETTLED",IF(SUMIF(Transactions!$F$8:$F$3006,B2489,Transactions!$Q$8:$Q$3006)&gt;SUMIF(Transactions!$F$8:$F$3006,B2489,Transactions!$R$8:$R$3006),"OWES","OVERPAID"))))</f>
        <v/>
      </c>
      <c r="I2489" s="1"/>
    </row>
    <row r="2490" spans="1:9" ht="18" customHeight="1" x14ac:dyDescent="0.25">
      <c r="A2490" s="40">
        <v>2475</v>
      </c>
      <c r="B2490" s="41" t="str">
        <f t="array" ref="B2490">IFERROR(IF(INDEX(Transactions!$F$8:$F$3006,MATCH(0,COUNTIF($B$11:B2489,Transactions!$F$8:$F$3006),0))="","",INDEX(Transactions!$F$8:$F$3006,MATCH(0,COUNTIF($B$11:B2489,Transactions!$F$8:$F$3006),0))),"")</f>
        <v/>
      </c>
      <c r="C2490" s="42" t="str">
        <f>IF(B2490="","",SUMIF(Transactions!$F$8:$F$3006,B2490,Transactions!$H$8:$H$3006))</f>
        <v/>
      </c>
      <c r="D2490" s="43" t="str">
        <f>IF(B2490="","",SUMIF(Transactions!$F$8:$F$3006,B2490,Transactions!$N$8:$N$3006))</f>
        <v/>
      </c>
      <c r="E2490" s="44" t="str">
        <f>IF(B2490="","",SUMIF(Transactions!$F$8:$F$3006,B2490,Transactions!$O$8:$O$3006))</f>
        <v/>
      </c>
      <c r="F2490" s="45" t="str">
        <f>IF(B2490="","",SUMIF(Transactions!$F$8:$F$3006,B2490,Transactions!$R$8:$R$3006))</f>
        <v/>
      </c>
      <c r="G2490" s="46" t="str">
        <f>IF(B2490="","",(C2490+F2490)-(D2490+E2490+SUMIF(Transactions!$F$8:$F$3006,B2490,Transactions!$Q$8:$Q$3006)))</f>
        <v/>
      </c>
      <c r="H2490" s="47" t="str">
        <f>IF(B2490="","",IF(G2490&gt;0,"OUTSTANDING",IF(G2490=0,"SETTLED",IF(SUMIF(Transactions!$F$8:$F$3006,B2490,Transactions!$Q$8:$Q$3006)&gt;SUMIF(Transactions!$F$8:$F$3006,B2490,Transactions!$R$8:$R$3006),"OWES","OVERPAID"))))</f>
        <v/>
      </c>
      <c r="I2490" s="1"/>
    </row>
    <row r="2491" spans="1:9" ht="18" customHeight="1" x14ac:dyDescent="0.25">
      <c r="A2491" s="48">
        <v>2476</v>
      </c>
      <c r="B2491" s="49" t="str">
        <f t="array" ref="B2491">IFERROR(IF(INDEX(Transactions!$F$8:$F$3006,MATCH(0,COUNTIF($B$11:B2490,Transactions!$F$8:$F$3006),0))="","",INDEX(Transactions!$F$8:$F$3006,MATCH(0,COUNTIF($B$11:B2490,Transactions!$F$8:$F$3006),0))),"")</f>
        <v/>
      </c>
      <c r="C2491" s="50" t="str">
        <f>IF(B2491="","",SUMIF(Transactions!$F$8:$F$3006,B2491,Transactions!$H$8:$H$3006))</f>
        <v/>
      </c>
      <c r="D2491" s="51" t="str">
        <f>IF(B2491="","",SUMIF(Transactions!$F$8:$F$3006,B2491,Transactions!$N$8:$N$3006))</f>
        <v/>
      </c>
      <c r="E2491" s="52" t="str">
        <f>IF(B2491="","",SUMIF(Transactions!$F$8:$F$3006,B2491,Transactions!$O$8:$O$3006))</f>
        <v/>
      </c>
      <c r="F2491" s="53" t="str">
        <f>IF(B2491="","",SUMIF(Transactions!$F$8:$F$3006,B2491,Transactions!$R$8:$R$3006))</f>
        <v/>
      </c>
      <c r="G2491" s="54" t="str">
        <f>IF(B2491="","",(C2491+F2491)-(D2491+E2491+SUMIF(Transactions!$F$8:$F$3006,B2491,Transactions!$Q$8:$Q$3006)))</f>
        <v/>
      </c>
      <c r="H2491" s="55" t="str">
        <f>IF(B2491="","",IF(G2491&gt;0,"OUTSTANDING",IF(G2491=0,"SETTLED",IF(SUMIF(Transactions!$F$8:$F$3006,B2491,Transactions!$Q$8:$Q$3006)&gt;SUMIF(Transactions!$F$8:$F$3006,B2491,Transactions!$R$8:$R$3006),"OWES","OVERPAID"))))</f>
        <v/>
      </c>
      <c r="I2491" s="1"/>
    </row>
    <row r="2492" spans="1:9" ht="18" customHeight="1" x14ac:dyDescent="0.25">
      <c r="A2492" s="40">
        <v>2477</v>
      </c>
      <c r="B2492" s="41" t="str">
        <f t="array" ref="B2492">IFERROR(IF(INDEX(Transactions!$F$8:$F$3006,MATCH(0,COUNTIF($B$11:B2491,Transactions!$F$8:$F$3006),0))="","",INDEX(Transactions!$F$8:$F$3006,MATCH(0,COUNTIF($B$11:B2491,Transactions!$F$8:$F$3006),0))),"")</f>
        <v/>
      </c>
      <c r="C2492" s="42" t="str">
        <f>IF(B2492="","",SUMIF(Transactions!$F$8:$F$3006,B2492,Transactions!$H$8:$H$3006))</f>
        <v/>
      </c>
      <c r="D2492" s="43" t="str">
        <f>IF(B2492="","",SUMIF(Transactions!$F$8:$F$3006,B2492,Transactions!$N$8:$N$3006))</f>
        <v/>
      </c>
      <c r="E2492" s="44" t="str">
        <f>IF(B2492="","",SUMIF(Transactions!$F$8:$F$3006,B2492,Transactions!$O$8:$O$3006))</f>
        <v/>
      </c>
      <c r="F2492" s="45" t="str">
        <f>IF(B2492="","",SUMIF(Transactions!$F$8:$F$3006,B2492,Transactions!$R$8:$R$3006))</f>
        <v/>
      </c>
      <c r="G2492" s="46" t="str">
        <f>IF(B2492="","",(C2492+F2492)-(D2492+E2492+SUMIF(Transactions!$F$8:$F$3006,B2492,Transactions!$Q$8:$Q$3006)))</f>
        <v/>
      </c>
      <c r="H2492" s="47" t="str">
        <f>IF(B2492="","",IF(G2492&gt;0,"OUTSTANDING",IF(G2492=0,"SETTLED",IF(SUMIF(Transactions!$F$8:$F$3006,B2492,Transactions!$Q$8:$Q$3006)&gt;SUMIF(Transactions!$F$8:$F$3006,B2492,Transactions!$R$8:$R$3006),"OWES","OVERPAID"))))</f>
        <v/>
      </c>
      <c r="I2492" s="1"/>
    </row>
    <row r="2493" spans="1:9" ht="18" customHeight="1" x14ac:dyDescent="0.25">
      <c r="A2493" s="48">
        <v>2478</v>
      </c>
      <c r="B2493" s="49" t="str">
        <f t="array" ref="B2493">IFERROR(IF(INDEX(Transactions!$F$8:$F$3006,MATCH(0,COUNTIF($B$11:B2492,Transactions!$F$8:$F$3006),0))="","",INDEX(Transactions!$F$8:$F$3006,MATCH(0,COUNTIF($B$11:B2492,Transactions!$F$8:$F$3006),0))),"")</f>
        <v/>
      </c>
      <c r="C2493" s="50" t="str">
        <f>IF(B2493="","",SUMIF(Transactions!$F$8:$F$3006,B2493,Transactions!$H$8:$H$3006))</f>
        <v/>
      </c>
      <c r="D2493" s="51" t="str">
        <f>IF(B2493="","",SUMIF(Transactions!$F$8:$F$3006,B2493,Transactions!$N$8:$N$3006))</f>
        <v/>
      </c>
      <c r="E2493" s="52" t="str">
        <f>IF(B2493="","",SUMIF(Transactions!$F$8:$F$3006,B2493,Transactions!$O$8:$O$3006))</f>
        <v/>
      </c>
      <c r="F2493" s="53" t="str">
        <f>IF(B2493="","",SUMIF(Transactions!$F$8:$F$3006,B2493,Transactions!$R$8:$R$3006))</f>
        <v/>
      </c>
      <c r="G2493" s="54" t="str">
        <f>IF(B2493="","",(C2493+F2493)-(D2493+E2493+SUMIF(Transactions!$F$8:$F$3006,B2493,Transactions!$Q$8:$Q$3006)))</f>
        <v/>
      </c>
      <c r="H2493" s="55" t="str">
        <f>IF(B2493="","",IF(G2493&gt;0,"OUTSTANDING",IF(G2493=0,"SETTLED",IF(SUMIF(Transactions!$F$8:$F$3006,B2493,Transactions!$Q$8:$Q$3006)&gt;SUMIF(Transactions!$F$8:$F$3006,B2493,Transactions!$R$8:$R$3006),"OWES","OVERPAID"))))</f>
        <v/>
      </c>
      <c r="I2493" s="1"/>
    </row>
    <row r="2494" spans="1:9" ht="18" customHeight="1" x14ac:dyDescent="0.25">
      <c r="A2494" s="40">
        <v>2479</v>
      </c>
      <c r="B2494" s="41" t="str">
        <f t="array" ref="B2494">IFERROR(IF(INDEX(Transactions!$F$8:$F$3006,MATCH(0,COUNTIF($B$11:B2493,Transactions!$F$8:$F$3006),0))="","",INDEX(Transactions!$F$8:$F$3006,MATCH(0,COUNTIF($B$11:B2493,Transactions!$F$8:$F$3006),0))),"")</f>
        <v/>
      </c>
      <c r="C2494" s="42" t="str">
        <f>IF(B2494="","",SUMIF(Transactions!$F$8:$F$3006,B2494,Transactions!$H$8:$H$3006))</f>
        <v/>
      </c>
      <c r="D2494" s="43" t="str">
        <f>IF(B2494="","",SUMIF(Transactions!$F$8:$F$3006,B2494,Transactions!$N$8:$N$3006))</f>
        <v/>
      </c>
      <c r="E2494" s="44" t="str">
        <f>IF(B2494="","",SUMIF(Transactions!$F$8:$F$3006,B2494,Transactions!$O$8:$O$3006))</f>
        <v/>
      </c>
      <c r="F2494" s="45" t="str">
        <f>IF(B2494="","",SUMIF(Transactions!$F$8:$F$3006,B2494,Transactions!$R$8:$R$3006))</f>
        <v/>
      </c>
      <c r="G2494" s="46" t="str">
        <f>IF(B2494="","",(C2494+F2494)-(D2494+E2494+SUMIF(Transactions!$F$8:$F$3006,B2494,Transactions!$Q$8:$Q$3006)))</f>
        <v/>
      </c>
      <c r="H2494" s="47" t="str">
        <f>IF(B2494="","",IF(G2494&gt;0,"OUTSTANDING",IF(G2494=0,"SETTLED",IF(SUMIF(Transactions!$F$8:$F$3006,B2494,Transactions!$Q$8:$Q$3006)&gt;SUMIF(Transactions!$F$8:$F$3006,B2494,Transactions!$R$8:$R$3006),"OWES","OVERPAID"))))</f>
        <v/>
      </c>
      <c r="I2494" s="1"/>
    </row>
    <row r="2495" spans="1:9" ht="18" customHeight="1" x14ac:dyDescent="0.25">
      <c r="A2495" s="48">
        <v>2480</v>
      </c>
      <c r="B2495" s="49" t="str">
        <f t="array" ref="B2495">IFERROR(IF(INDEX(Transactions!$F$8:$F$3006,MATCH(0,COUNTIF($B$11:B2494,Transactions!$F$8:$F$3006),0))="","",INDEX(Transactions!$F$8:$F$3006,MATCH(0,COUNTIF($B$11:B2494,Transactions!$F$8:$F$3006),0))),"")</f>
        <v/>
      </c>
      <c r="C2495" s="50" t="str">
        <f>IF(B2495="","",SUMIF(Transactions!$F$8:$F$3006,B2495,Transactions!$H$8:$H$3006))</f>
        <v/>
      </c>
      <c r="D2495" s="51" t="str">
        <f>IF(B2495="","",SUMIF(Transactions!$F$8:$F$3006,B2495,Transactions!$N$8:$N$3006))</f>
        <v/>
      </c>
      <c r="E2495" s="52" t="str">
        <f>IF(B2495="","",SUMIF(Transactions!$F$8:$F$3006,B2495,Transactions!$O$8:$O$3006))</f>
        <v/>
      </c>
      <c r="F2495" s="53" t="str">
        <f>IF(B2495="","",SUMIF(Transactions!$F$8:$F$3006,B2495,Transactions!$R$8:$R$3006))</f>
        <v/>
      </c>
      <c r="G2495" s="54" t="str">
        <f>IF(B2495="","",(C2495+F2495)-(D2495+E2495+SUMIF(Transactions!$F$8:$F$3006,B2495,Transactions!$Q$8:$Q$3006)))</f>
        <v/>
      </c>
      <c r="H2495" s="55" t="str">
        <f>IF(B2495="","",IF(G2495&gt;0,"OUTSTANDING",IF(G2495=0,"SETTLED",IF(SUMIF(Transactions!$F$8:$F$3006,B2495,Transactions!$Q$8:$Q$3006)&gt;SUMIF(Transactions!$F$8:$F$3006,B2495,Transactions!$R$8:$R$3006),"OWES","OVERPAID"))))</f>
        <v/>
      </c>
      <c r="I2495" s="1"/>
    </row>
    <row r="2496" spans="1:9" ht="18" customHeight="1" x14ac:dyDescent="0.25">
      <c r="A2496" s="40">
        <v>2481</v>
      </c>
      <c r="B2496" s="41" t="str">
        <f t="array" ref="B2496">IFERROR(IF(INDEX(Transactions!$F$8:$F$3006,MATCH(0,COUNTIF($B$11:B2495,Transactions!$F$8:$F$3006),0))="","",INDEX(Transactions!$F$8:$F$3006,MATCH(0,COUNTIF($B$11:B2495,Transactions!$F$8:$F$3006),0))),"")</f>
        <v/>
      </c>
      <c r="C2496" s="42" t="str">
        <f>IF(B2496="","",SUMIF(Transactions!$F$8:$F$3006,B2496,Transactions!$H$8:$H$3006))</f>
        <v/>
      </c>
      <c r="D2496" s="43" t="str">
        <f>IF(B2496="","",SUMIF(Transactions!$F$8:$F$3006,B2496,Transactions!$N$8:$N$3006))</f>
        <v/>
      </c>
      <c r="E2496" s="44" t="str">
        <f>IF(B2496="","",SUMIF(Transactions!$F$8:$F$3006,B2496,Transactions!$O$8:$O$3006))</f>
        <v/>
      </c>
      <c r="F2496" s="45" t="str">
        <f>IF(B2496="","",SUMIF(Transactions!$F$8:$F$3006,B2496,Transactions!$R$8:$R$3006))</f>
        <v/>
      </c>
      <c r="G2496" s="46" t="str">
        <f>IF(B2496="","",(C2496+F2496)-(D2496+E2496+SUMIF(Transactions!$F$8:$F$3006,B2496,Transactions!$Q$8:$Q$3006)))</f>
        <v/>
      </c>
      <c r="H2496" s="47" t="str">
        <f>IF(B2496="","",IF(G2496&gt;0,"OUTSTANDING",IF(G2496=0,"SETTLED",IF(SUMIF(Transactions!$F$8:$F$3006,B2496,Transactions!$Q$8:$Q$3006)&gt;SUMIF(Transactions!$F$8:$F$3006,B2496,Transactions!$R$8:$R$3006),"OWES","OVERPAID"))))</f>
        <v/>
      </c>
      <c r="I2496" s="1"/>
    </row>
    <row r="2497" spans="1:9" ht="18" customHeight="1" x14ac:dyDescent="0.25">
      <c r="A2497" s="48">
        <v>2482</v>
      </c>
      <c r="B2497" s="49" t="str">
        <f t="array" ref="B2497">IFERROR(IF(INDEX(Transactions!$F$8:$F$3006,MATCH(0,COUNTIF($B$11:B2496,Transactions!$F$8:$F$3006),0))="","",INDEX(Transactions!$F$8:$F$3006,MATCH(0,COUNTIF($B$11:B2496,Transactions!$F$8:$F$3006),0))),"")</f>
        <v/>
      </c>
      <c r="C2497" s="50" t="str">
        <f>IF(B2497="","",SUMIF(Transactions!$F$8:$F$3006,B2497,Transactions!$H$8:$H$3006))</f>
        <v/>
      </c>
      <c r="D2497" s="51" t="str">
        <f>IF(B2497="","",SUMIF(Transactions!$F$8:$F$3006,B2497,Transactions!$N$8:$N$3006))</f>
        <v/>
      </c>
      <c r="E2497" s="52" t="str">
        <f>IF(B2497="","",SUMIF(Transactions!$F$8:$F$3006,B2497,Transactions!$O$8:$O$3006))</f>
        <v/>
      </c>
      <c r="F2497" s="53" t="str">
        <f>IF(B2497="","",SUMIF(Transactions!$F$8:$F$3006,B2497,Transactions!$R$8:$R$3006))</f>
        <v/>
      </c>
      <c r="G2497" s="54" t="str">
        <f>IF(B2497="","",(C2497+F2497)-(D2497+E2497+SUMIF(Transactions!$F$8:$F$3006,B2497,Transactions!$Q$8:$Q$3006)))</f>
        <v/>
      </c>
      <c r="H2497" s="55" t="str">
        <f>IF(B2497="","",IF(G2497&gt;0,"OUTSTANDING",IF(G2497=0,"SETTLED",IF(SUMIF(Transactions!$F$8:$F$3006,B2497,Transactions!$Q$8:$Q$3006)&gt;SUMIF(Transactions!$F$8:$F$3006,B2497,Transactions!$R$8:$R$3006),"OWES","OVERPAID"))))</f>
        <v/>
      </c>
      <c r="I2497" s="1"/>
    </row>
    <row r="2498" spans="1:9" ht="18" customHeight="1" x14ac:dyDescent="0.25">
      <c r="A2498" s="40">
        <v>2483</v>
      </c>
      <c r="B2498" s="41" t="str">
        <f t="array" ref="B2498">IFERROR(IF(INDEX(Transactions!$F$8:$F$3006,MATCH(0,COUNTIF($B$11:B2497,Transactions!$F$8:$F$3006),0))="","",INDEX(Transactions!$F$8:$F$3006,MATCH(0,COUNTIF($B$11:B2497,Transactions!$F$8:$F$3006),0))),"")</f>
        <v/>
      </c>
      <c r="C2498" s="42" t="str">
        <f>IF(B2498="","",SUMIF(Transactions!$F$8:$F$3006,B2498,Transactions!$H$8:$H$3006))</f>
        <v/>
      </c>
      <c r="D2498" s="43" t="str">
        <f>IF(B2498="","",SUMIF(Transactions!$F$8:$F$3006,B2498,Transactions!$N$8:$N$3006))</f>
        <v/>
      </c>
      <c r="E2498" s="44" t="str">
        <f>IF(B2498="","",SUMIF(Transactions!$F$8:$F$3006,B2498,Transactions!$O$8:$O$3006))</f>
        <v/>
      </c>
      <c r="F2498" s="45" t="str">
        <f>IF(B2498="","",SUMIF(Transactions!$F$8:$F$3006,B2498,Transactions!$R$8:$R$3006))</f>
        <v/>
      </c>
      <c r="G2498" s="46" t="str">
        <f>IF(B2498="","",(C2498+F2498)-(D2498+E2498+SUMIF(Transactions!$F$8:$F$3006,B2498,Transactions!$Q$8:$Q$3006)))</f>
        <v/>
      </c>
      <c r="H2498" s="47" t="str">
        <f>IF(B2498="","",IF(G2498&gt;0,"OUTSTANDING",IF(G2498=0,"SETTLED",IF(SUMIF(Transactions!$F$8:$F$3006,B2498,Transactions!$Q$8:$Q$3006)&gt;SUMIF(Transactions!$F$8:$F$3006,B2498,Transactions!$R$8:$R$3006),"OWES","OVERPAID"))))</f>
        <v/>
      </c>
      <c r="I2498" s="1"/>
    </row>
    <row r="2499" spans="1:9" ht="18" customHeight="1" x14ac:dyDescent="0.25">
      <c r="A2499" s="48">
        <v>2484</v>
      </c>
      <c r="B2499" s="49" t="str">
        <f t="array" ref="B2499">IFERROR(IF(INDEX(Transactions!$F$8:$F$3006,MATCH(0,COUNTIF($B$11:B2498,Transactions!$F$8:$F$3006),0))="","",INDEX(Transactions!$F$8:$F$3006,MATCH(0,COUNTIF($B$11:B2498,Transactions!$F$8:$F$3006),0))),"")</f>
        <v/>
      </c>
      <c r="C2499" s="50" t="str">
        <f>IF(B2499="","",SUMIF(Transactions!$F$8:$F$3006,B2499,Transactions!$H$8:$H$3006))</f>
        <v/>
      </c>
      <c r="D2499" s="51" t="str">
        <f>IF(B2499="","",SUMIF(Transactions!$F$8:$F$3006,B2499,Transactions!$N$8:$N$3006))</f>
        <v/>
      </c>
      <c r="E2499" s="52" t="str">
        <f>IF(B2499="","",SUMIF(Transactions!$F$8:$F$3006,B2499,Transactions!$O$8:$O$3006))</f>
        <v/>
      </c>
      <c r="F2499" s="53" t="str">
        <f>IF(B2499="","",SUMIF(Transactions!$F$8:$F$3006,B2499,Transactions!$R$8:$R$3006))</f>
        <v/>
      </c>
      <c r="G2499" s="54" t="str">
        <f>IF(B2499="","",(C2499+F2499)-(D2499+E2499+SUMIF(Transactions!$F$8:$F$3006,B2499,Transactions!$Q$8:$Q$3006)))</f>
        <v/>
      </c>
      <c r="H2499" s="55" t="str">
        <f>IF(B2499="","",IF(G2499&gt;0,"OUTSTANDING",IF(G2499=0,"SETTLED",IF(SUMIF(Transactions!$F$8:$F$3006,B2499,Transactions!$Q$8:$Q$3006)&gt;SUMIF(Transactions!$F$8:$F$3006,B2499,Transactions!$R$8:$R$3006),"OWES","OVERPAID"))))</f>
        <v/>
      </c>
      <c r="I2499" s="1"/>
    </row>
    <row r="2500" spans="1:9" ht="18" customHeight="1" x14ac:dyDescent="0.25">
      <c r="A2500" s="40">
        <v>2485</v>
      </c>
      <c r="B2500" s="41" t="str">
        <f t="array" ref="B2500">IFERROR(IF(INDEX(Transactions!$F$8:$F$3006,MATCH(0,COUNTIF($B$11:B2499,Transactions!$F$8:$F$3006),0))="","",INDEX(Transactions!$F$8:$F$3006,MATCH(0,COUNTIF($B$11:B2499,Transactions!$F$8:$F$3006),0))),"")</f>
        <v/>
      </c>
      <c r="C2500" s="42" t="str">
        <f>IF(B2500="","",SUMIF(Transactions!$F$8:$F$3006,B2500,Transactions!$H$8:$H$3006))</f>
        <v/>
      </c>
      <c r="D2500" s="43" t="str">
        <f>IF(B2500="","",SUMIF(Transactions!$F$8:$F$3006,B2500,Transactions!$N$8:$N$3006))</f>
        <v/>
      </c>
      <c r="E2500" s="44" t="str">
        <f>IF(B2500="","",SUMIF(Transactions!$F$8:$F$3006,B2500,Transactions!$O$8:$O$3006))</f>
        <v/>
      </c>
      <c r="F2500" s="45" t="str">
        <f>IF(B2500="","",SUMIF(Transactions!$F$8:$F$3006,B2500,Transactions!$R$8:$R$3006))</f>
        <v/>
      </c>
      <c r="G2500" s="46" t="str">
        <f>IF(B2500="","",(C2500+F2500)-(D2500+E2500+SUMIF(Transactions!$F$8:$F$3006,B2500,Transactions!$Q$8:$Q$3006)))</f>
        <v/>
      </c>
      <c r="H2500" s="47" t="str">
        <f>IF(B2500="","",IF(G2500&gt;0,"OUTSTANDING",IF(G2500=0,"SETTLED",IF(SUMIF(Transactions!$F$8:$F$3006,B2500,Transactions!$Q$8:$Q$3006)&gt;SUMIF(Transactions!$F$8:$F$3006,B2500,Transactions!$R$8:$R$3006),"OWES","OVERPAID"))))</f>
        <v/>
      </c>
      <c r="I2500" s="1"/>
    </row>
    <row r="2501" spans="1:9" ht="18" customHeight="1" x14ac:dyDescent="0.25">
      <c r="A2501" s="48">
        <v>2486</v>
      </c>
      <c r="B2501" s="49" t="str">
        <f t="array" ref="B2501">IFERROR(IF(INDEX(Transactions!$F$8:$F$3006,MATCH(0,COUNTIF($B$11:B2500,Transactions!$F$8:$F$3006),0))="","",INDEX(Transactions!$F$8:$F$3006,MATCH(0,COUNTIF($B$11:B2500,Transactions!$F$8:$F$3006),0))),"")</f>
        <v/>
      </c>
      <c r="C2501" s="50" t="str">
        <f>IF(B2501="","",SUMIF(Transactions!$F$8:$F$3006,B2501,Transactions!$H$8:$H$3006))</f>
        <v/>
      </c>
      <c r="D2501" s="51" t="str">
        <f>IF(B2501="","",SUMIF(Transactions!$F$8:$F$3006,B2501,Transactions!$N$8:$N$3006))</f>
        <v/>
      </c>
      <c r="E2501" s="52" t="str">
        <f>IF(B2501="","",SUMIF(Transactions!$F$8:$F$3006,B2501,Transactions!$O$8:$O$3006))</f>
        <v/>
      </c>
      <c r="F2501" s="53" t="str">
        <f>IF(B2501="","",SUMIF(Transactions!$F$8:$F$3006,B2501,Transactions!$R$8:$R$3006))</f>
        <v/>
      </c>
      <c r="G2501" s="54" t="str">
        <f>IF(B2501="","",(C2501+F2501)-(D2501+E2501+SUMIF(Transactions!$F$8:$F$3006,B2501,Transactions!$Q$8:$Q$3006)))</f>
        <v/>
      </c>
      <c r="H2501" s="55" t="str">
        <f>IF(B2501="","",IF(G2501&gt;0,"OUTSTANDING",IF(G2501=0,"SETTLED",IF(SUMIF(Transactions!$F$8:$F$3006,B2501,Transactions!$Q$8:$Q$3006)&gt;SUMIF(Transactions!$F$8:$F$3006,B2501,Transactions!$R$8:$R$3006),"OWES","OVERPAID"))))</f>
        <v/>
      </c>
      <c r="I2501" s="1"/>
    </row>
    <row r="2502" spans="1:9" ht="18" customHeight="1" x14ac:dyDescent="0.25">
      <c r="A2502" s="40">
        <v>2487</v>
      </c>
      <c r="B2502" s="41" t="str">
        <f t="array" ref="B2502">IFERROR(IF(INDEX(Transactions!$F$8:$F$3006,MATCH(0,COUNTIF($B$11:B2501,Transactions!$F$8:$F$3006),0))="","",INDEX(Transactions!$F$8:$F$3006,MATCH(0,COUNTIF($B$11:B2501,Transactions!$F$8:$F$3006),0))),"")</f>
        <v/>
      </c>
      <c r="C2502" s="42" t="str">
        <f>IF(B2502="","",SUMIF(Transactions!$F$8:$F$3006,B2502,Transactions!$H$8:$H$3006))</f>
        <v/>
      </c>
      <c r="D2502" s="43" t="str">
        <f>IF(B2502="","",SUMIF(Transactions!$F$8:$F$3006,B2502,Transactions!$N$8:$N$3006))</f>
        <v/>
      </c>
      <c r="E2502" s="44" t="str">
        <f>IF(B2502="","",SUMIF(Transactions!$F$8:$F$3006,B2502,Transactions!$O$8:$O$3006))</f>
        <v/>
      </c>
      <c r="F2502" s="45" t="str">
        <f>IF(B2502="","",SUMIF(Transactions!$F$8:$F$3006,B2502,Transactions!$R$8:$R$3006))</f>
        <v/>
      </c>
      <c r="G2502" s="46" t="str">
        <f>IF(B2502="","",(C2502+F2502)-(D2502+E2502+SUMIF(Transactions!$F$8:$F$3006,B2502,Transactions!$Q$8:$Q$3006)))</f>
        <v/>
      </c>
      <c r="H2502" s="47" t="str">
        <f>IF(B2502="","",IF(G2502&gt;0,"OUTSTANDING",IF(G2502=0,"SETTLED",IF(SUMIF(Transactions!$F$8:$F$3006,B2502,Transactions!$Q$8:$Q$3006)&gt;SUMIF(Transactions!$F$8:$F$3006,B2502,Transactions!$R$8:$R$3006),"OWES","OVERPAID"))))</f>
        <v/>
      </c>
      <c r="I2502" s="1"/>
    </row>
    <row r="2503" spans="1:9" ht="18" customHeight="1" x14ac:dyDescent="0.25">
      <c r="A2503" s="48">
        <v>2488</v>
      </c>
      <c r="B2503" s="49" t="str">
        <f t="array" ref="B2503">IFERROR(IF(INDEX(Transactions!$F$8:$F$3006,MATCH(0,COUNTIF($B$11:B2502,Transactions!$F$8:$F$3006),0))="","",INDEX(Transactions!$F$8:$F$3006,MATCH(0,COUNTIF($B$11:B2502,Transactions!$F$8:$F$3006),0))),"")</f>
        <v/>
      </c>
      <c r="C2503" s="50" t="str">
        <f>IF(B2503="","",SUMIF(Transactions!$F$8:$F$3006,B2503,Transactions!$H$8:$H$3006))</f>
        <v/>
      </c>
      <c r="D2503" s="51" t="str">
        <f>IF(B2503="","",SUMIF(Transactions!$F$8:$F$3006,B2503,Transactions!$N$8:$N$3006))</f>
        <v/>
      </c>
      <c r="E2503" s="52" t="str">
        <f>IF(B2503="","",SUMIF(Transactions!$F$8:$F$3006,B2503,Transactions!$O$8:$O$3006))</f>
        <v/>
      </c>
      <c r="F2503" s="53" t="str">
        <f>IF(B2503="","",SUMIF(Transactions!$F$8:$F$3006,B2503,Transactions!$R$8:$R$3006))</f>
        <v/>
      </c>
      <c r="G2503" s="54" t="str">
        <f>IF(B2503="","",(C2503+F2503)-(D2503+E2503+SUMIF(Transactions!$F$8:$F$3006,B2503,Transactions!$Q$8:$Q$3006)))</f>
        <v/>
      </c>
      <c r="H2503" s="55" t="str">
        <f>IF(B2503="","",IF(G2503&gt;0,"OUTSTANDING",IF(G2503=0,"SETTLED",IF(SUMIF(Transactions!$F$8:$F$3006,B2503,Transactions!$Q$8:$Q$3006)&gt;SUMIF(Transactions!$F$8:$F$3006,B2503,Transactions!$R$8:$R$3006),"OWES","OVERPAID"))))</f>
        <v/>
      </c>
      <c r="I2503" s="1"/>
    </row>
    <row r="2504" spans="1:9" ht="18" customHeight="1" x14ac:dyDescent="0.25">
      <c r="A2504" s="40">
        <v>2489</v>
      </c>
      <c r="B2504" s="41" t="str">
        <f t="array" ref="B2504">IFERROR(IF(INDEX(Transactions!$F$8:$F$3006,MATCH(0,COUNTIF($B$11:B2503,Transactions!$F$8:$F$3006),0))="","",INDEX(Transactions!$F$8:$F$3006,MATCH(0,COUNTIF($B$11:B2503,Transactions!$F$8:$F$3006),0))),"")</f>
        <v/>
      </c>
      <c r="C2504" s="42" t="str">
        <f>IF(B2504="","",SUMIF(Transactions!$F$8:$F$3006,B2504,Transactions!$H$8:$H$3006))</f>
        <v/>
      </c>
      <c r="D2504" s="43" t="str">
        <f>IF(B2504="","",SUMIF(Transactions!$F$8:$F$3006,B2504,Transactions!$N$8:$N$3006))</f>
        <v/>
      </c>
      <c r="E2504" s="44" t="str">
        <f>IF(B2504="","",SUMIF(Transactions!$F$8:$F$3006,B2504,Transactions!$O$8:$O$3006))</f>
        <v/>
      </c>
      <c r="F2504" s="45" t="str">
        <f>IF(B2504="","",SUMIF(Transactions!$F$8:$F$3006,B2504,Transactions!$R$8:$R$3006))</f>
        <v/>
      </c>
      <c r="G2504" s="46" t="str">
        <f>IF(B2504="","",(C2504+F2504)-(D2504+E2504+SUMIF(Transactions!$F$8:$F$3006,B2504,Transactions!$Q$8:$Q$3006)))</f>
        <v/>
      </c>
      <c r="H2504" s="47" t="str">
        <f>IF(B2504="","",IF(G2504&gt;0,"OUTSTANDING",IF(G2504=0,"SETTLED",IF(SUMIF(Transactions!$F$8:$F$3006,B2504,Transactions!$Q$8:$Q$3006)&gt;SUMIF(Transactions!$F$8:$F$3006,B2504,Transactions!$R$8:$R$3006),"OWES","OVERPAID"))))</f>
        <v/>
      </c>
      <c r="I2504" s="1"/>
    </row>
    <row r="2505" spans="1:9" ht="18" customHeight="1" x14ac:dyDescent="0.25">
      <c r="A2505" s="48">
        <v>2490</v>
      </c>
      <c r="B2505" s="49" t="str">
        <f t="array" ref="B2505">IFERROR(IF(INDEX(Transactions!$F$8:$F$3006,MATCH(0,COUNTIF($B$11:B2504,Transactions!$F$8:$F$3006),0))="","",INDEX(Transactions!$F$8:$F$3006,MATCH(0,COUNTIF($B$11:B2504,Transactions!$F$8:$F$3006),0))),"")</f>
        <v/>
      </c>
      <c r="C2505" s="50" t="str">
        <f>IF(B2505="","",SUMIF(Transactions!$F$8:$F$3006,B2505,Transactions!$H$8:$H$3006))</f>
        <v/>
      </c>
      <c r="D2505" s="51" t="str">
        <f>IF(B2505="","",SUMIF(Transactions!$F$8:$F$3006,B2505,Transactions!$N$8:$N$3006))</f>
        <v/>
      </c>
      <c r="E2505" s="52" t="str">
        <f>IF(B2505="","",SUMIF(Transactions!$F$8:$F$3006,B2505,Transactions!$O$8:$O$3006))</f>
        <v/>
      </c>
      <c r="F2505" s="53" t="str">
        <f>IF(B2505="","",SUMIF(Transactions!$F$8:$F$3006,B2505,Transactions!$R$8:$R$3006))</f>
        <v/>
      </c>
      <c r="G2505" s="54" t="str">
        <f>IF(B2505="","",(C2505+F2505)-(D2505+E2505+SUMIF(Transactions!$F$8:$F$3006,B2505,Transactions!$Q$8:$Q$3006)))</f>
        <v/>
      </c>
      <c r="H2505" s="55" t="str">
        <f>IF(B2505="","",IF(G2505&gt;0,"OUTSTANDING",IF(G2505=0,"SETTLED",IF(SUMIF(Transactions!$F$8:$F$3006,B2505,Transactions!$Q$8:$Q$3006)&gt;SUMIF(Transactions!$F$8:$F$3006,B2505,Transactions!$R$8:$R$3006),"OWES","OVERPAID"))))</f>
        <v/>
      </c>
      <c r="I2505" s="1"/>
    </row>
    <row r="2506" spans="1:9" ht="18" customHeight="1" x14ac:dyDescent="0.25">
      <c r="A2506" s="40">
        <v>2491</v>
      </c>
      <c r="B2506" s="41" t="str">
        <f t="array" ref="B2506">IFERROR(IF(INDEX(Transactions!$F$8:$F$3006,MATCH(0,COUNTIF($B$11:B2505,Transactions!$F$8:$F$3006),0))="","",INDEX(Transactions!$F$8:$F$3006,MATCH(0,COUNTIF($B$11:B2505,Transactions!$F$8:$F$3006),0))),"")</f>
        <v/>
      </c>
      <c r="C2506" s="42" t="str">
        <f>IF(B2506="","",SUMIF(Transactions!$F$8:$F$3006,B2506,Transactions!$H$8:$H$3006))</f>
        <v/>
      </c>
      <c r="D2506" s="43" t="str">
        <f>IF(B2506="","",SUMIF(Transactions!$F$8:$F$3006,B2506,Transactions!$N$8:$N$3006))</f>
        <v/>
      </c>
      <c r="E2506" s="44" t="str">
        <f>IF(B2506="","",SUMIF(Transactions!$F$8:$F$3006,B2506,Transactions!$O$8:$O$3006))</f>
        <v/>
      </c>
      <c r="F2506" s="45" t="str">
        <f>IF(B2506="","",SUMIF(Transactions!$F$8:$F$3006,B2506,Transactions!$R$8:$R$3006))</f>
        <v/>
      </c>
      <c r="G2506" s="46" t="str">
        <f>IF(B2506="","",(C2506+F2506)-(D2506+E2506+SUMIF(Transactions!$F$8:$F$3006,B2506,Transactions!$Q$8:$Q$3006)))</f>
        <v/>
      </c>
      <c r="H2506" s="47" t="str">
        <f>IF(B2506="","",IF(G2506&gt;0,"OUTSTANDING",IF(G2506=0,"SETTLED",IF(SUMIF(Transactions!$F$8:$F$3006,B2506,Transactions!$Q$8:$Q$3006)&gt;SUMIF(Transactions!$F$8:$F$3006,B2506,Transactions!$R$8:$R$3006),"OWES","OVERPAID"))))</f>
        <v/>
      </c>
      <c r="I2506" s="1"/>
    </row>
    <row r="2507" spans="1:9" ht="18" customHeight="1" x14ac:dyDescent="0.25">
      <c r="A2507" s="48">
        <v>2492</v>
      </c>
      <c r="B2507" s="49" t="str">
        <f t="array" ref="B2507">IFERROR(IF(INDEX(Transactions!$F$8:$F$3006,MATCH(0,COUNTIF($B$11:B2506,Transactions!$F$8:$F$3006),0))="","",INDEX(Transactions!$F$8:$F$3006,MATCH(0,COUNTIF($B$11:B2506,Transactions!$F$8:$F$3006),0))),"")</f>
        <v/>
      </c>
      <c r="C2507" s="50" t="str">
        <f>IF(B2507="","",SUMIF(Transactions!$F$8:$F$3006,B2507,Transactions!$H$8:$H$3006))</f>
        <v/>
      </c>
      <c r="D2507" s="51" t="str">
        <f>IF(B2507="","",SUMIF(Transactions!$F$8:$F$3006,B2507,Transactions!$N$8:$N$3006))</f>
        <v/>
      </c>
      <c r="E2507" s="52" t="str">
        <f>IF(B2507="","",SUMIF(Transactions!$F$8:$F$3006,B2507,Transactions!$O$8:$O$3006))</f>
        <v/>
      </c>
      <c r="F2507" s="53" t="str">
        <f>IF(B2507="","",SUMIF(Transactions!$F$8:$F$3006,B2507,Transactions!$R$8:$R$3006))</f>
        <v/>
      </c>
      <c r="G2507" s="54" t="str">
        <f>IF(B2507="","",(C2507+F2507)-(D2507+E2507+SUMIF(Transactions!$F$8:$F$3006,B2507,Transactions!$Q$8:$Q$3006)))</f>
        <v/>
      </c>
      <c r="H2507" s="55" t="str">
        <f>IF(B2507="","",IF(G2507&gt;0,"OUTSTANDING",IF(G2507=0,"SETTLED",IF(SUMIF(Transactions!$F$8:$F$3006,B2507,Transactions!$Q$8:$Q$3006)&gt;SUMIF(Transactions!$F$8:$F$3006,B2507,Transactions!$R$8:$R$3006),"OWES","OVERPAID"))))</f>
        <v/>
      </c>
      <c r="I2507" s="1"/>
    </row>
    <row r="2508" spans="1:9" ht="18" customHeight="1" x14ac:dyDescent="0.25">
      <c r="A2508" s="40">
        <v>2493</v>
      </c>
      <c r="B2508" s="41" t="str">
        <f t="array" ref="B2508">IFERROR(IF(INDEX(Transactions!$F$8:$F$3006,MATCH(0,COUNTIF($B$11:B2507,Transactions!$F$8:$F$3006),0))="","",INDEX(Transactions!$F$8:$F$3006,MATCH(0,COUNTIF($B$11:B2507,Transactions!$F$8:$F$3006),0))),"")</f>
        <v/>
      </c>
      <c r="C2508" s="42" t="str">
        <f>IF(B2508="","",SUMIF(Transactions!$F$8:$F$3006,B2508,Transactions!$H$8:$H$3006))</f>
        <v/>
      </c>
      <c r="D2508" s="43" t="str">
        <f>IF(B2508="","",SUMIF(Transactions!$F$8:$F$3006,B2508,Transactions!$N$8:$N$3006))</f>
        <v/>
      </c>
      <c r="E2508" s="44" t="str">
        <f>IF(B2508="","",SUMIF(Transactions!$F$8:$F$3006,B2508,Transactions!$O$8:$O$3006))</f>
        <v/>
      </c>
      <c r="F2508" s="45" t="str">
        <f>IF(B2508="","",SUMIF(Transactions!$F$8:$F$3006,B2508,Transactions!$R$8:$R$3006))</f>
        <v/>
      </c>
      <c r="G2508" s="46" t="str">
        <f>IF(B2508="","",(C2508+F2508)-(D2508+E2508+SUMIF(Transactions!$F$8:$F$3006,B2508,Transactions!$Q$8:$Q$3006)))</f>
        <v/>
      </c>
      <c r="H2508" s="47" t="str">
        <f>IF(B2508="","",IF(G2508&gt;0,"OUTSTANDING",IF(G2508=0,"SETTLED",IF(SUMIF(Transactions!$F$8:$F$3006,B2508,Transactions!$Q$8:$Q$3006)&gt;SUMIF(Transactions!$F$8:$F$3006,B2508,Transactions!$R$8:$R$3006),"OWES","OVERPAID"))))</f>
        <v/>
      </c>
      <c r="I2508" s="1"/>
    </row>
    <row r="2509" spans="1:9" ht="18" customHeight="1" x14ac:dyDescent="0.25">
      <c r="A2509" s="48">
        <v>2494</v>
      </c>
      <c r="B2509" s="49" t="str">
        <f t="array" ref="B2509">IFERROR(IF(INDEX(Transactions!$F$8:$F$3006,MATCH(0,COUNTIF($B$11:B2508,Transactions!$F$8:$F$3006),0))="","",INDEX(Transactions!$F$8:$F$3006,MATCH(0,COUNTIF($B$11:B2508,Transactions!$F$8:$F$3006),0))),"")</f>
        <v/>
      </c>
      <c r="C2509" s="50" t="str">
        <f>IF(B2509="","",SUMIF(Transactions!$F$8:$F$3006,B2509,Transactions!$H$8:$H$3006))</f>
        <v/>
      </c>
      <c r="D2509" s="51" t="str">
        <f>IF(B2509="","",SUMIF(Transactions!$F$8:$F$3006,B2509,Transactions!$N$8:$N$3006))</f>
        <v/>
      </c>
      <c r="E2509" s="52" t="str">
        <f>IF(B2509="","",SUMIF(Transactions!$F$8:$F$3006,B2509,Transactions!$O$8:$O$3006))</f>
        <v/>
      </c>
      <c r="F2509" s="53" t="str">
        <f>IF(B2509="","",SUMIF(Transactions!$F$8:$F$3006,B2509,Transactions!$R$8:$R$3006))</f>
        <v/>
      </c>
      <c r="G2509" s="54" t="str">
        <f>IF(B2509="","",(C2509+F2509)-(D2509+E2509+SUMIF(Transactions!$F$8:$F$3006,B2509,Transactions!$Q$8:$Q$3006)))</f>
        <v/>
      </c>
      <c r="H2509" s="55" t="str">
        <f>IF(B2509="","",IF(G2509&gt;0,"OUTSTANDING",IF(G2509=0,"SETTLED",IF(SUMIF(Transactions!$F$8:$F$3006,B2509,Transactions!$Q$8:$Q$3006)&gt;SUMIF(Transactions!$F$8:$F$3006,B2509,Transactions!$R$8:$R$3006),"OWES","OVERPAID"))))</f>
        <v/>
      </c>
      <c r="I2509" s="1"/>
    </row>
    <row r="2510" spans="1:9" ht="18" customHeight="1" x14ac:dyDescent="0.25">
      <c r="A2510" s="40">
        <v>2495</v>
      </c>
      <c r="B2510" s="41" t="str">
        <f t="array" ref="B2510">IFERROR(IF(INDEX(Transactions!$F$8:$F$3006,MATCH(0,COUNTIF($B$11:B2509,Transactions!$F$8:$F$3006),0))="","",INDEX(Transactions!$F$8:$F$3006,MATCH(0,COUNTIF($B$11:B2509,Transactions!$F$8:$F$3006),0))),"")</f>
        <v/>
      </c>
      <c r="C2510" s="42" t="str">
        <f>IF(B2510="","",SUMIF(Transactions!$F$8:$F$3006,B2510,Transactions!$H$8:$H$3006))</f>
        <v/>
      </c>
      <c r="D2510" s="43" t="str">
        <f>IF(B2510="","",SUMIF(Transactions!$F$8:$F$3006,B2510,Transactions!$N$8:$N$3006))</f>
        <v/>
      </c>
      <c r="E2510" s="44" t="str">
        <f>IF(B2510="","",SUMIF(Transactions!$F$8:$F$3006,B2510,Transactions!$O$8:$O$3006))</f>
        <v/>
      </c>
      <c r="F2510" s="45" t="str">
        <f>IF(B2510="","",SUMIF(Transactions!$F$8:$F$3006,B2510,Transactions!$R$8:$R$3006))</f>
        <v/>
      </c>
      <c r="G2510" s="46" t="str">
        <f>IF(B2510="","",(C2510+F2510)-(D2510+E2510+SUMIF(Transactions!$F$8:$F$3006,B2510,Transactions!$Q$8:$Q$3006)))</f>
        <v/>
      </c>
      <c r="H2510" s="47" t="str">
        <f>IF(B2510="","",IF(G2510&gt;0,"OUTSTANDING",IF(G2510=0,"SETTLED",IF(SUMIF(Transactions!$F$8:$F$3006,B2510,Transactions!$Q$8:$Q$3006)&gt;SUMIF(Transactions!$F$8:$F$3006,B2510,Transactions!$R$8:$R$3006),"OWES","OVERPAID"))))</f>
        <v/>
      </c>
      <c r="I2510" s="1"/>
    </row>
    <row r="2511" spans="1:9" ht="18" customHeight="1" x14ac:dyDescent="0.25">
      <c r="A2511" s="48">
        <v>2496</v>
      </c>
      <c r="B2511" s="49" t="str">
        <f t="array" ref="B2511">IFERROR(IF(INDEX(Transactions!$F$8:$F$3006,MATCH(0,COUNTIF($B$11:B2510,Transactions!$F$8:$F$3006),0))="","",INDEX(Transactions!$F$8:$F$3006,MATCH(0,COUNTIF($B$11:B2510,Transactions!$F$8:$F$3006),0))),"")</f>
        <v/>
      </c>
      <c r="C2511" s="50" t="str">
        <f>IF(B2511="","",SUMIF(Transactions!$F$8:$F$3006,B2511,Transactions!$H$8:$H$3006))</f>
        <v/>
      </c>
      <c r="D2511" s="51" t="str">
        <f>IF(B2511="","",SUMIF(Transactions!$F$8:$F$3006,B2511,Transactions!$N$8:$N$3006))</f>
        <v/>
      </c>
      <c r="E2511" s="52" t="str">
        <f>IF(B2511="","",SUMIF(Transactions!$F$8:$F$3006,B2511,Transactions!$O$8:$O$3006))</f>
        <v/>
      </c>
      <c r="F2511" s="53" t="str">
        <f>IF(B2511="","",SUMIF(Transactions!$F$8:$F$3006,B2511,Transactions!$R$8:$R$3006))</f>
        <v/>
      </c>
      <c r="G2511" s="54" t="str">
        <f>IF(B2511="","",(C2511+F2511)-(D2511+E2511+SUMIF(Transactions!$F$8:$F$3006,B2511,Transactions!$Q$8:$Q$3006)))</f>
        <v/>
      </c>
      <c r="H2511" s="55" t="str">
        <f>IF(B2511="","",IF(G2511&gt;0,"OUTSTANDING",IF(G2511=0,"SETTLED",IF(SUMIF(Transactions!$F$8:$F$3006,B2511,Transactions!$Q$8:$Q$3006)&gt;SUMIF(Transactions!$F$8:$F$3006,B2511,Transactions!$R$8:$R$3006),"OWES","OVERPAID"))))</f>
        <v/>
      </c>
      <c r="I2511" s="1"/>
    </row>
    <row r="2512" spans="1:9" ht="18" customHeight="1" x14ac:dyDescent="0.25">
      <c r="A2512" s="40">
        <v>2497</v>
      </c>
      <c r="B2512" s="41" t="str">
        <f t="array" ref="B2512">IFERROR(IF(INDEX(Transactions!$F$8:$F$3006,MATCH(0,COUNTIF($B$11:B2511,Transactions!$F$8:$F$3006),0))="","",INDEX(Transactions!$F$8:$F$3006,MATCH(0,COUNTIF($B$11:B2511,Transactions!$F$8:$F$3006),0))),"")</f>
        <v/>
      </c>
      <c r="C2512" s="42" t="str">
        <f>IF(B2512="","",SUMIF(Transactions!$F$8:$F$3006,B2512,Transactions!$H$8:$H$3006))</f>
        <v/>
      </c>
      <c r="D2512" s="43" t="str">
        <f>IF(B2512="","",SUMIF(Transactions!$F$8:$F$3006,B2512,Transactions!$N$8:$N$3006))</f>
        <v/>
      </c>
      <c r="E2512" s="44" t="str">
        <f>IF(B2512="","",SUMIF(Transactions!$F$8:$F$3006,B2512,Transactions!$O$8:$O$3006))</f>
        <v/>
      </c>
      <c r="F2512" s="45" t="str">
        <f>IF(B2512="","",SUMIF(Transactions!$F$8:$F$3006,B2512,Transactions!$R$8:$R$3006))</f>
        <v/>
      </c>
      <c r="G2512" s="46" t="str">
        <f>IF(B2512="","",(C2512+F2512)-(D2512+E2512+SUMIF(Transactions!$F$8:$F$3006,B2512,Transactions!$Q$8:$Q$3006)))</f>
        <v/>
      </c>
      <c r="H2512" s="47" t="str">
        <f>IF(B2512="","",IF(G2512&gt;0,"OUTSTANDING",IF(G2512=0,"SETTLED",IF(SUMIF(Transactions!$F$8:$F$3006,B2512,Transactions!$Q$8:$Q$3006)&gt;SUMIF(Transactions!$F$8:$F$3006,B2512,Transactions!$R$8:$R$3006),"OWES","OVERPAID"))))</f>
        <v/>
      </c>
      <c r="I2512" s="1"/>
    </row>
    <row r="2513" spans="1:9" ht="18" customHeight="1" x14ac:dyDescent="0.25">
      <c r="A2513" s="48">
        <v>2498</v>
      </c>
      <c r="B2513" s="49" t="str">
        <f t="array" ref="B2513">IFERROR(IF(INDEX(Transactions!$F$8:$F$3006,MATCH(0,COUNTIF($B$11:B2512,Transactions!$F$8:$F$3006),0))="","",INDEX(Transactions!$F$8:$F$3006,MATCH(0,COUNTIF($B$11:B2512,Transactions!$F$8:$F$3006),0))),"")</f>
        <v/>
      </c>
      <c r="C2513" s="50" t="str">
        <f>IF(B2513="","",SUMIF(Transactions!$F$8:$F$3006,B2513,Transactions!$H$8:$H$3006))</f>
        <v/>
      </c>
      <c r="D2513" s="51" t="str">
        <f>IF(B2513="","",SUMIF(Transactions!$F$8:$F$3006,B2513,Transactions!$N$8:$N$3006))</f>
        <v/>
      </c>
      <c r="E2513" s="52" t="str">
        <f>IF(B2513="","",SUMIF(Transactions!$F$8:$F$3006,B2513,Transactions!$O$8:$O$3006))</f>
        <v/>
      </c>
      <c r="F2513" s="53" t="str">
        <f>IF(B2513="","",SUMIF(Transactions!$F$8:$F$3006,B2513,Transactions!$R$8:$R$3006))</f>
        <v/>
      </c>
      <c r="G2513" s="54" t="str">
        <f>IF(B2513="","",(C2513+F2513)-(D2513+E2513+SUMIF(Transactions!$F$8:$F$3006,B2513,Transactions!$Q$8:$Q$3006)))</f>
        <v/>
      </c>
      <c r="H2513" s="55" t="str">
        <f>IF(B2513="","",IF(G2513&gt;0,"OUTSTANDING",IF(G2513=0,"SETTLED",IF(SUMIF(Transactions!$F$8:$F$3006,B2513,Transactions!$Q$8:$Q$3006)&gt;SUMIF(Transactions!$F$8:$F$3006,B2513,Transactions!$R$8:$R$3006),"OWES","OVERPAID"))))</f>
        <v/>
      </c>
      <c r="I2513" s="1"/>
    </row>
    <row r="2514" spans="1:9" ht="18" customHeight="1" x14ac:dyDescent="0.25">
      <c r="A2514" s="40">
        <v>2499</v>
      </c>
      <c r="B2514" s="41" t="str">
        <f t="array" ref="B2514">IFERROR(IF(INDEX(Transactions!$F$8:$F$3006,MATCH(0,COUNTIF($B$11:B2513,Transactions!$F$8:$F$3006),0))="","",INDEX(Transactions!$F$8:$F$3006,MATCH(0,COUNTIF($B$11:B2513,Transactions!$F$8:$F$3006),0))),"")</f>
        <v/>
      </c>
      <c r="C2514" s="42" t="str">
        <f>IF(B2514="","",SUMIF(Transactions!$F$8:$F$3006,B2514,Transactions!$H$8:$H$3006))</f>
        <v/>
      </c>
      <c r="D2514" s="43" t="str">
        <f>IF(B2514="","",SUMIF(Transactions!$F$8:$F$3006,B2514,Transactions!$N$8:$N$3006))</f>
        <v/>
      </c>
      <c r="E2514" s="44" t="str">
        <f>IF(B2514="","",SUMIF(Transactions!$F$8:$F$3006,B2514,Transactions!$O$8:$O$3006))</f>
        <v/>
      </c>
      <c r="F2514" s="45" t="str">
        <f>IF(B2514="","",SUMIF(Transactions!$F$8:$F$3006,B2514,Transactions!$R$8:$R$3006))</f>
        <v/>
      </c>
      <c r="G2514" s="46" t="str">
        <f>IF(B2514="","",(C2514+F2514)-(D2514+E2514+SUMIF(Transactions!$F$8:$F$3006,B2514,Transactions!$Q$8:$Q$3006)))</f>
        <v/>
      </c>
      <c r="H2514" s="47" t="str">
        <f>IF(B2514="","",IF(G2514&gt;0,"OUTSTANDING",IF(G2514=0,"SETTLED",IF(SUMIF(Transactions!$F$8:$F$3006,B2514,Transactions!$Q$8:$Q$3006)&gt;SUMIF(Transactions!$F$8:$F$3006,B2514,Transactions!$R$8:$R$3006),"OWES","OVERPAID"))))</f>
        <v/>
      </c>
      <c r="I2514" s="1"/>
    </row>
    <row r="2515" spans="1:9" ht="18" customHeight="1" x14ac:dyDescent="0.25">
      <c r="A2515" s="48">
        <v>2500</v>
      </c>
      <c r="B2515" s="49" t="str">
        <f t="array" ref="B2515">IFERROR(IF(INDEX(Transactions!$F$8:$F$3006,MATCH(0,COUNTIF($B$11:B2514,Transactions!$F$8:$F$3006),0))="","",INDEX(Transactions!$F$8:$F$3006,MATCH(0,COUNTIF($B$11:B2514,Transactions!$F$8:$F$3006),0))),"")</f>
        <v/>
      </c>
      <c r="C2515" s="50" t="str">
        <f>IF(B2515="","",SUMIF(Transactions!$F$8:$F$3006,B2515,Transactions!$H$8:$H$3006))</f>
        <v/>
      </c>
      <c r="D2515" s="51" t="str">
        <f>IF(B2515="","",SUMIF(Transactions!$F$8:$F$3006,B2515,Transactions!$N$8:$N$3006))</f>
        <v/>
      </c>
      <c r="E2515" s="52" t="str">
        <f>IF(B2515="","",SUMIF(Transactions!$F$8:$F$3006,B2515,Transactions!$O$8:$O$3006))</f>
        <v/>
      </c>
      <c r="F2515" s="53" t="str">
        <f>IF(B2515="","",SUMIF(Transactions!$F$8:$F$3006,B2515,Transactions!$R$8:$R$3006))</f>
        <v/>
      </c>
      <c r="G2515" s="54" t="str">
        <f>IF(B2515="","",(C2515+F2515)-(D2515+E2515+SUMIF(Transactions!$F$8:$F$3006,B2515,Transactions!$Q$8:$Q$3006)))</f>
        <v/>
      </c>
      <c r="H2515" s="55" t="str">
        <f>IF(B2515="","",IF(G2515&gt;0,"OUTSTANDING",IF(G2515=0,"SETTLED",IF(SUMIF(Transactions!$F$8:$F$3006,B2515,Transactions!$Q$8:$Q$3006)&gt;SUMIF(Transactions!$F$8:$F$3006,B2515,Transactions!$R$8:$R$3006),"OWES","OVERPAID"))))</f>
        <v/>
      </c>
      <c r="I2515" s="1"/>
    </row>
    <row r="2516" spans="1:9" ht="18" customHeight="1" x14ac:dyDescent="0.25">
      <c r="A2516" s="40">
        <v>2501</v>
      </c>
      <c r="B2516" s="41" t="str">
        <f t="array" ref="B2516">IFERROR(IF(INDEX(Transactions!$F$8:$F$3006,MATCH(0,COUNTIF($B$11:B2515,Transactions!$F$8:$F$3006),0))="","",INDEX(Transactions!$F$8:$F$3006,MATCH(0,COUNTIF($B$11:B2515,Transactions!$F$8:$F$3006),0))),"")</f>
        <v/>
      </c>
      <c r="C2516" s="42" t="str">
        <f>IF(B2516="","",SUMIF(Transactions!$F$8:$F$3006,B2516,Transactions!$H$8:$H$3006))</f>
        <v/>
      </c>
      <c r="D2516" s="43" t="str">
        <f>IF(B2516="","",SUMIF(Transactions!$F$8:$F$3006,B2516,Transactions!$N$8:$N$3006))</f>
        <v/>
      </c>
      <c r="E2516" s="44" t="str">
        <f>IF(B2516="","",SUMIF(Transactions!$F$8:$F$3006,B2516,Transactions!$O$8:$O$3006))</f>
        <v/>
      </c>
      <c r="F2516" s="45" t="str">
        <f>IF(B2516="","",SUMIF(Transactions!$F$8:$F$3006,B2516,Transactions!$R$8:$R$3006))</f>
        <v/>
      </c>
      <c r="G2516" s="46" t="str">
        <f>IF(B2516="","",(C2516+F2516)-(D2516+E2516+SUMIF(Transactions!$F$8:$F$3006,B2516,Transactions!$Q$8:$Q$3006)))</f>
        <v/>
      </c>
      <c r="H2516" s="47" t="str">
        <f>IF(B2516="","",IF(G2516&gt;0,"OUTSTANDING",IF(G2516=0,"SETTLED",IF(SUMIF(Transactions!$F$8:$F$3006,B2516,Transactions!$Q$8:$Q$3006)&gt;SUMIF(Transactions!$F$8:$F$3006,B2516,Transactions!$R$8:$R$3006),"OWES","OVERPAID"))))</f>
        <v/>
      </c>
      <c r="I2516" s="1"/>
    </row>
    <row r="2517" spans="1:9" ht="18" customHeight="1" x14ac:dyDescent="0.25">
      <c r="A2517" s="48">
        <v>2502</v>
      </c>
      <c r="B2517" s="49" t="str">
        <f t="array" ref="B2517">IFERROR(IF(INDEX(Transactions!$F$8:$F$3006,MATCH(0,COUNTIF($B$11:B2516,Transactions!$F$8:$F$3006),0))="","",INDEX(Transactions!$F$8:$F$3006,MATCH(0,COUNTIF($B$11:B2516,Transactions!$F$8:$F$3006),0))),"")</f>
        <v/>
      </c>
      <c r="C2517" s="50" t="str">
        <f>IF(B2517="","",SUMIF(Transactions!$F$8:$F$3006,B2517,Transactions!$H$8:$H$3006))</f>
        <v/>
      </c>
      <c r="D2517" s="51" t="str">
        <f>IF(B2517="","",SUMIF(Transactions!$F$8:$F$3006,B2517,Transactions!$N$8:$N$3006))</f>
        <v/>
      </c>
      <c r="E2517" s="52" t="str">
        <f>IF(B2517="","",SUMIF(Transactions!$F$8:$F$3006,B2517,Transactions!$O$8:$O$3006))</f>
        <v/>
      </c>
      <c r="F2517" s="53" t="str">
        <f>IF(B2517="","",SUMIF(Transactions!$F$8:$F$3006,B2517,Transactions!$R$8:$R$3006))</f>
        <v/>
      </c>
      <c r="G2517" s="54" t="str">
        <f>IF(B2517="","",(C2517+F2517)-(D2517+E2517+SUMIF(Transactions!$F$8:$F$3006,B2517,Transactions!$Q$8:$Q$3006)))</f>
        <v/>
      </c>
      <c r="H2517" s="55" t="str">
        <f>IF(B2517="","",IF(G2517&gt;0,"OUTSTANDING",IF(G2517=0,"SETTLED",IF(SUMIF(Transactions!$F$8:$F$3006,B2517,Transactions!$Q$8:$Q$3006)&gt;SUMIF(Transactions!$F$8:$F$3006,B2517,Transactions!$R$8:$R$3006),"OWES","OVERPAID"))))</f>
        <v/>
      </c>
      <c r="I2517" s="1"/>
    </row>
    <row r="2518" spans="1:9" ht="18" customHeight="1" x14ac:dyDescent="0.25">
      <c r="A2518" s="40">
        <v>2503</v>
      </c>
      <c r="B2518" s="41" t="str">
        <f t="array" ref="B2518">IFERROR(IF(INDEX(Transactions!$F$8:$F$3006,MATCH(0,COUNTIF($B$11:B2517,Transactions!$F$8:$F$3006),0))="","",INDEX(Transactions!$F$8:$F$3006,MATCH(0,COUNTIF($B$11:B2517,Transactions!$F$8:$F$3006),0))),"")</f>
        <v/>
      </c>
      <c r="C2518" s="42" t="str">
        <f>IF(B2518="","",SUMIF(Transactions!$F$8:$F$3006,B2518,Transactions!$H$8:$H$3006))</f>
        <v/>
      </c>
      <c r="D2518" s="43" t="str">
        <f>IF(B2518="","",SUMIF(Transactions!$F$8:$F$3006,B2518,Transactions!$N$8:$N$3006))</f>
        <v/>
      </c>
      <c r="E2518" s="44" t="str">
        <f>IF(B2518="","",SUMIF(Transactions!$F$8:$F$3006,B2518,Transactions!$O$8:$O$3006))</f>
        <v/>
      </c>
      <c r="F2518" s="45" t="str">
        <f>IF(B2518="","",SUMIF(Transactions!$F$8:$F$3006,B2518,Transactions!$R$8:$R$3006))</f>
        <v/>
      </c>
      <c r="G2518" s="46" t="str">
        <f>IF(B2518="","",(C2518+F2518)-(D2518+E2518+SUMIF(Transactions!$F$8:$F$3006,B2518,Transactions!$Q$8:$Q$3006)))</f>
        <v/>
      </c>
      <c r="H2518" s="47" t="str">
        <f>IF(B2518="","",IF(G2518&gt;0,"OUTSTANDING",IF(G2518=0,"SETTLED",IF(SUMIF(Transactions!$F$8:$F$3006,B2518,Transactions!$Q$8:$Q$3006)&gt;SUMIF(Transactions!$F$8:$F$3006,B2518,Transactions!$R$8:$R$3006),"OWES","OVERPAID"))))</f>
        <v/>
      </c>
      <c r="I2518" s="1"/>
    </row>
    <row r="2519" spans="1:9" ht="18" customHeight="1" x14ac:dyDescent="0.25">
      <c r="A2519" s="48">
        <v>2504</v>
      </c>
      <c r="B2519" s="49" t="str">
        <f t="array" ref="B2519">IFERROR(IF(INDEX(Transactions!$F$8:$F$3006,MATCH(0,COUNTIF($B$11:B2518,Transactions!$F$8:$F$3006),0))="","",INDEX(Transactions!$F$8:$F$3006,MATCH(0,COUNTIF($B$11:B2518,Transactions!$F$8:$F$3006),0))),"")</f>
        <v/>
      </c>
      <c r="C2519" s="50" t="str">
        <f>IF(B2519="","",SUMIF(Transactions!$F$8:$F$3006,B2519,Transactions!$H$8:$H$3006))</f>
        <v/>
      </c>
      <c r="D2519" s="51" t="str">
        <f>IF(B2519="","",SUMIF(Transactions!$F$8:$F$3006,B2519,Transactions!$N$8:$N$3006))</f>
        <v/>
      </c>
      <c r="E2519" s="52" t="str">
        <f>IF(B2519="","",SUMIF(Transactions!$F$8:$F$3006,B2519,Transactions!$O$8:$O$3006))</f>
        <v/>
      </c>
      <c r="F2519" s="53" t="str">
        <f>IF(B2519="","",SUMIF(Transactions!$F$8:$F$3006,B2519,Transactions!$R$8:$R$3006))</f>
        <v/>
      </c>
      <c r="G2519" s="54" t="str">
        <f>IF(B2519="","",(C2519+F2519)-(D2519+E2519+SUMIF(Transactions!$F$8:$F$3006,B2519,Transactions!$Q$8:$Q$3006)))</f>
        <v/>
      </c>
      <c r="H2519" s="55" t="str">
        <f>IF(B2519="","",IF(G2519&gt;0,"OUTSTANDING",IF(G2519=0,"SETTLED",IF(SUMIF(Transactions!$F$8:$F$3006,B2519,Transactions!$Q$8:$Q$3006)&gt;SUMIF(Transactions!$F$8:$F$3006,B2519,Transactions!$R$8:$R$3006),"OWES","OVERPAID"))))</f>
        <v/>
      </c>
      <c r="I2519" s="1"/>
    </row>
    <row r="2520" spans="1:9" ht="18" customHeight="1" x14ac:dyDescent="0.25">
      <c r="A2520" s="40">
        <v>2505</v>
      </c>
      <c r="B2520" s="41" t="str">
        <f t="array" ref="B2520">IFERROR(IF(INDEX(Transactions!$F$8:$F$3006,MATCH(0,COUNTIF($B$11:B2519,Transactions!$F$8:$F$3006),0))="","",INDEX(Transactions!$F$8:$F$3006,MATCH(0,COUNTIF($B$11:B2519,Transactions!$F$8:$F$3006),0))),"")</f>
        <v/>
      </c>
      <c r="C2520" s="42" t="str">
        <f>IF(B2520="","",SUMIF(Transactions!$F$8:$F$3006,B2520,Transactions!$H$8:$H$3006))</f>
        <v/>
      </c>
      <c r="D2520" s="43" t="str">
        <f>IF(B2520="","",SUMIF(Transactions!$F$8:$F$3006,B2520,Transactions!$N$8:$N$3006))</f>
        <v/>
      </c>
      <c r="E2520" s="44" t="str">
        <f>IF(B2520="","",SUMIF(Transactions!$F$8:$F$3006,B2520,Transactions!$O$8:$O$3006))</f>
        <v/>
      </c>
      <c r="F2520" s="45" t="str">
        <f>IF(B2520="","",SUMIF(Transactions!$F$8:$F$3006,B2520,Transactions!$R$8:$R$3006))</f>
        <v/>
      </c>
      <c r="G2520" s="46" t="str">
        <f>IF(B2520="","",(C2520+F2520)-(D2520+E2520+SUMIF(Transactions!$F$8:$F$3006,B2520,Transactions!$Q$8:$Q$3006)))</f>
        <v/>
      </c>
      <c r="H2520" s="47" t="str">
        <f>IF(B2520="","",IF(G2520&gt;0,"OUTSTANDING",IF(G2520=0,"SETTLED",IF(SUMIF(Transactions!$F$8:$F$3006,B2520,Transactions!$Q$8:$Q$3006)&gt;SUMIF(Transactions!$F$8:$F$3006,B2520,Transactions!$R$8:$R$3006),"OWES","OVERPAID"))))</f>
        <v/>
      </c>
      <c r="I2520" s="1"/>
    </row>
    <row r="2521" spans="1:9" ht="18" customHeight="1" x14ac:dyDescent="0.25">
      <c r="A2521" s="48">
        <v>2506</v>
      </c>
      <c r="B2521" s="49" t="str">
        <f t="array" ref="B2521">IFERROR(IF(INDEX(Transactions!$F$8:$F$3006,MATCH(0,COUNTIF($B$11:B2520,Transactions!$F$8:$F$3006),0))="","",INDEX(Transactions!$F$8:$F$3006,MATCH(0,COUNTIF($B$11:B2520,Transactions!$F$8:$F$3006),0))),"")</f>
        <v/>
      </c>
      <c r="C2521" s="50" t="str">
        <f>IF(B2521="","",SUMIF(Transactions!$F$8:$F$3006,B2521,Transactions!$H$8:$H$3006))</f>
        <v/>
      </c>
      <c r="D2521" s="51" t="str">
        <f>IF(B2521="","",SUMIF(Transactions!$F$8:$F$3006,B2521,Transactions!$N$8:$N$3006))</f>
        <v/>
      </c>
      <c r="E2521" s="52" t="str">
        <f>IF(B2521="","",SUMIF(Transactions!$F$8:$F$3006,B2521,Transactions!$O$8:$O$3006))</f>
        <v/>
      </c>
      <c r="F2521" s="53" t="str">
        <f>IF(B2521="","",SUMIF(Transactions!$F$8:$F$3006,B2521,Transactions!$R$8:$R$3006))</f>
        <v/>
      </c>
      <c r="G2521" s="54" t="str">
        <f>IF(B2521="","",(C2521+F2521)-(D2521+E2521+SUMIF(Transactions!$F$8:$F$3006,B2521,Transactions!$Q$8:$Q$3006)))</f>
        <v/>
      </c>
      <c r="H2521" s="55" t="str">
        <f>IF(B2521="","",IF(G2521&gt;0,"OUTSTANDING",IF(G2521=0,"SETTLED",IF(SUMIF(Transactions!$F$8:$F$3006,B2521,Transactions!$Q$8:$Q$3006)&gt;SUMIF(Transactions!$F$8:$F$3006,B2521,Transactions!$R$8:$R$3006),"OWES","OVERPAID"))))</f>
        <v/>
      </c>
      <c r="I2521" s="1"/>
    </row>
    <row r="2522" spans="1:9" ht="18" customHeight="1" x14ac:dyDescent="0.25">
      <c r="A2522" s="40">
        <v>2507</v>
      </c>
      <c r="B2522" s="41" t="str">
        <f t="array" ref="B2522">IFERROR(IF(INDEX(Transactions!$F$8:$F$3006,MATCH(0,COUNTIF($B$11:B2521,Transactions!$F$8:$F$3006),0))="","",INDEX(Transactions!$F$8:$F$3006,MATCH(0,COUNTIF($B$11:B2521,Transactions!$F$8:$F$3006),0))),"")</f>
        <v/>
      </c>
      <c r="C2522" s="42" t="str">
        <f>IF(B2522="","",SUMIF(Transactions!$F$8:$F$3006,B2522,Transactions!$H$8:$H$3006))</f>
        <v/>
      </c>
      <c r="D2522" s="43" t="str">
        <f>IF(B2522="","",SUMIF(Transactions!$F$8:$F$3006,B2522,Transactions!$N$8:$N$3006))</f>
        <v/>
      </c>
      <c r="E2522" s="44" t="str">
        <f>IF(B2522="","",SUMIF(Transactions!$F$8:$F$3006,B2522,Transactions!$O$8:$O$3006))</f>
        <v/>
      </c>
      <c r="F2522" s="45" t="str">
        <f>IF(B2522="","",SUMIF(Transactions!$F$8:$F$3006,B2522,Transactions!$R$8:$R$3006))</f>
        <v/>
      </c>
      <c r="G2522" s="46" t="str">
        <f>IF(B2522="","",(C2522+F2522)-(D2522+E2522+SUMIF(Transactions!$F$8:$F$3006,B2522,Transactions!$Q$8:$Q$3006)))</f>
        <v/>
      </c>
      <c r="H2522" s="47" t="str">
        <f>IF(B2522="","",IF(G2522&gt;0,"OUTSTANDING",IF(G2522=0,"SETTLED",IF(SUMIF(Transactions!$F$8:$F$3006,B2522,Transactions!$Q$8:$Q$3006)&gt;SUMIF(Transactions!$F$8:$F$3006,B2522,Transactions!$R$8:$R$3006),"OWES","OVERPAID"))))</f>
        <v/>
      </c>
      <c r="I2522" s="1"/>
    </row>
    <row r="2523" spans="1:9" ht="18" customHeight="1" x14ac:dyDescent="0.25">
      <c r="A2523" s="48">
        <v>2508</v>
      </c>
      <c r="B2523" s="49" t="str">
        <f t="array" ref="B2523">IFERROR(IF(INDEX(Transactions!$F$8:$F$3006,MATCH(0,COUNTIF($B$11:B2522,Transactions!$F$8:$F$3006),0))="","",INDEX(Transactions!$F$8:$F$3006,MATCH(0,COUNTIF($B$11:B2522,Transactions!$F$8:$F$3006),0))),"")</f>
        <v/>
      </c>
      <c r="C2523" s="50" t="str">
        <f>IF(B2523="","",SUMIF(Transactions!$F$8:$F$3006,B2523,Transactions!$H$8:$H$3006))</f>
        <v/>
      </c>
      <c r="D2523" s="51" t="str">
        <f>IF(B2523="","",SUMIF(Transactions!$F$8:$F$3006,B2523,Transactions!$N$8:$N$3006))</f>
        <v/>
      </c>
      <c r="E2523" s="52" t="str">
        <f>IF(B2523="","",SUMIF(Transactions!$F$8:$F$3006,B2523,Transactions!$O$8:$O$3006))</f>
        <v/>
      </c>
      <c r="F2523" s="53" t="str">
        <f>IF(B2523="","",SUMIF(Transactions!$F$8:$F$3006,B2523,Transactions!$R$8:$R$3006))</f>
        <v/>
      </c>
      <c r="G2523" s="54" t="str">
        <f>IF(B2523="","",(C2523+F2523)-(D2523+E2523+SUMIF(Transactions!$F$8:$F$3006,B2523,Transactions!$Q$8:$Q$3006)))</f>
        <v/>
      </c>
      <c r="H2523" s="55" t="str">
        <f>IF(B2523="","",IF(G2523&gt;0,"OUTSTANDING",IF(G2523=0,"SETTLED",IF(SUMIF(Transactions!$F$8:$F$3006,B2523,Transactions!$Q$8:$Q$3006)&gt;SUMIF(Transactions!$F$8:$F$3006,B2523,Transactions!$R$8:$R$3006),"OWES","OVERPAID"))))</f>
        <v/>
      </c>
      <c r="I2523" s="1"/>
    </row>
    <row r="2524" spans="1:9" ht="18" customHeight="1" x14ac:dyDescent="0.25">
      <c r="A2524" s="40">
        <v>2509</v>
      </c>
      <c r="B2524" s="41" t="str">
        <f t="array" ref="B2524">IFERROR(IF(INDEX(Transactions!$F$8:$F$3006,MATCH(0,COUNTIF($B$11:B2523,Transactions!$F$8:$F$3006),0))="","",INDEX(Transactions!$F$8:$F$3006,MATCH(0,COUNTIF($B$11:B2523,Transactions!$F$8:$F$3006),0))),"")</f>
        <v/>
      </c>
      <c r="C2524" s="42" t="str">
        <f>IF(B2524="","",SUMIF(Transactions!$F$8:$F$3006,B2524,Transactions!$H$8:$H$3006))</f>
        <v/>
      </c>
      <c r="D2524" s="43" t="str">
        <f>IF(B2524="","",SUMIF(Transactions!$F$8:$F$3006,B2524,Transactions!$N$8:$N$3006))</f>
        <v/>
      </c>
      <c r="E2524" s="44" t="str">
        <f>IF(B2524="","",SUMIF(Transactions!$F$8:$F$3006,B2524,Transactions!$O$8:$O$3006))</f>
        <v/>
      </c>
      <c r="F2524" s="45" t="str">
        <f>IF(B2524="","",SUMIF(Transactions!$F$8:$F$3006,B2524,Transactions!$R$8:$R$3006))</f>
        <v/>
      </c>
      <c r="G2524" s="46" t="str">
        <f>IF(B2524="","",(C2524+F2524)-(D2524+E2524+SUMIF(Transactions!$F$8:$F$3006,B2524,Transactions!$Q$8:$Q$3006)))</f>
        <v/>
      </c>
      <c r="H2524" s="47" t="str">
        <f>IF(B2524="","",IF(G2524&gt;0,"OUTSTANDING",IF(G2524=0,"SETTLED",IF(SUMIF(Transactions!$F$8:$F$3006,B2524,Transactions!$Q$8:$Q$3006)&gt;SUMIF(Transactions!$F$8:$F$3006,B2524,Transactions!$R$8:$R$3006),"OWES","OVERPAID"))))</f>
        <v/>
      </c>
      <c r="I2524" s="1"/>
    </row>
    <row r="2525" spans="1:9" ht="18" customHeight="1" x14ac:dyDescent="0.25">
      <c r="A2525" s="48">
        <v>2510</v>
      </c>
      <c r="B2525" s="49" t="str">
        <f t="array" ref="B2525">IFERROR(IF(INDEX(Transactions!$F$8:$F$3006,MATCH(0,COUNTIF($B$11:B2524,Transactions!$F$8:$F$3006),0))="","",INDEX(Transactions!$F$8:$F$3006,MATCH(0,COUNTIF($B$11:B2524,Transactions!$F$8:$F$3006),0))),"")</f>
        <v/>
      </c>
      <c r="C2525" s="50" t="str">
        <f>IF(B2525="","",SUMIF(Transactions!$F$8:$F$3006,B2525,Transactions!$H$8:$H$3006))</f>
        <v/>
      </c>
      <c r="D2525" s="51" t="str">
        <f>IF(B2525="","",SUMIF(Transactions!$F$8:$F$3006,B2525,Transactions!$N$8:$N$3006))</f>
        <v/>
      </c>
      <c r="E2525" s="52" t="str">
        <f>IF(B2525="","",SUMIF(Transactions!$F$8:$F$3006,B2525,Transactions!$O$8:$O$3006))</f>
        <v/>
      </c>
      <c r="F2525" s="53" t="str">
        <f>IF(B2525="","",SUMIF(Transactions!$F$8:$F$3006,B2525,Transactions!$R$8:$R$3006))</f>
        <v/>
      </c>
      <c r="G2525" s="54" t="str">
        <f>IF(B2525="","",(C2525+F2525)-(D2525+E2525+SUMIF(Transactions!$F$8:$F$3006,B2525,Transactions!$Q$8:$Q$3006)))</f>
        <v/>
      </c>
      <c r="H2525" s="55" t="str">
        <f>IF(B2525="","",IF(G2525&gt;0,"OUTSTANDING",IF(G2525=0,"SETTLED",IF(SUMIF(Transactions!$F$8:$F$3006,B2525,Transactions!$Q$8:$Q$3006)&gt;SUMIF(Transactions!$F$8:$F$3006,B2525,Transactions!$R$8:$R$3006),"OWES","OVERPAID"))))</f>
        <v/>
      </c>
      <c r="I2525" s="1"/>
    </row>
    <row r="2526" spans="1:9" ht="18" customHeight="1" x14ac:dyDescent="0.25">
      <c r="A2526" s="40">
        <v>2511</v>
      </c>
      <c r="B2526" s="41" t="str">
        <f t="array" ref="B2526">IFERROR(IF(INDEX(Transactions!$F$8:$F$3006,MATCH(0,COUNTIF($B$11:B2525,Transactions!$F$8:$F$3006),0))="","",INDEX(Transactions!$F$8:$F$3006,MATCH(0,COUNTIF($B$11:B2525,Transactions!$F$8:$F$3006),0))),"")</f>
        <v/>
      </c>
      <c r="C2526" s="42" t="str">
        <f>IF(B2526="","",SUMIF(Transactions!$F$8:$F$3006,B2526,Transactions!$H$8:$H$3006))</f>
        <v/>
      </c>
      <c r="D2526" s="43" t="str">
        <f>IF(B2526="","",SUMIF(Transactions!$F$8:$F$3006,B2526,Transactions!$N$8:$N$3006))</f>
        <v/>
      </c>
      <c r="E2526" s="44" t="str">
        <f>IF(B2526="","",SUMIF(Transactions!$F$8:$F$3006,B2526,Transactions!$O$8:$O$3006))</f>
        <v/>
      </c>
      <c r="F2526" s="45" t="str">
        <f>IF(B2526="","",SUMIF(Transactions!$F$8:$F$3006,B2526,Transactions!$R$8:$R$3006))</f>
        <v/>
      </c>
      <c r="G2526" s="46" t="str">
        <f>IF(B2526="","",(C2526+F2526)-(D2526+E2526+SUMIF(Transactions!$F$8:$F$3006,B2526,Transactions!$Q$8:$Q$3006)))</f>
        <v/>
      </c>
      <c r="H2526" s="47" t="str">
        <f>IF(B2526="","",IF(G2526&gt;0,"OUTSTANDING",IF(G2526=0,"SETTLED",IF(SUMIF(Transactions!$F$8:$F$3006,B2526,Transactions!$Q$8:$Q$3006)&gt;SUMIF(Transactions!$F$8:$F$3006,B2526,Transactions!$R$8:$R$3006),"OWES","OVERPAID"))))</f>
        <v/>
      </c>
      <c r="I2526" s="1"/>
    </row>
    <row r="2527" spans="1:9" ht="18" customHeight="1" x14ac:dyDescent="0.25">
      <c r="A2527" s="48">
        <v>2512</v>
      </c>
      <c r="B2527" s="49" t="str">
        <f t="array" ref="B2527">IFERROR(IF(INDEX(Transactions!$F$8:$F$3006,MATCH(0,COUNTIF($B$11:B2526,Transactions!$F$8:$F$3006),0))="","",INDEX(Transactions!$F$8:$F$3006,MATCH(0,COUNTIF($B$11:B2526,Transactions!$F$8:$F$3006),0))),"")</f>
        <v/>
      </c>
      <c r="C2527" s="50" t="str">
        <f>IF(B2527="","",SUMIF(Transactions!$F$8:$F$3006,B2527,Transactions!$H$8:$H$3006))</f>
        <v/>
      </c>
      <c r="D2527" s="51" t="str">
        <f>IF(B2527="","",SUMIF(Transactions!$F$8:$F$3006,B2527,Transactions!$N$8:$N$3006))</f>
        <v/>
      </c>
      <c r="E2527" s="52" t="str">
        <f>IF(B2527="","",SUMIF(Transactions!$F$8:$F$3006,B2527,Transactions!$O$8:$O$3006))</f>
        <v/>
      </c>
      <c r="F2527" s="53" t="str">
        <f>IF(B2527="","",SUMIF(Transactions!$F$8:$F$3006,B2527,Transactions!$R$8:$R$3006))</f>
        <v/>
      </c>
      <c r="G2527" s="54" t="str">
        <f>IF(B2527="","",(C2527+F2527)-(D2527+E2527+SUMIF(Transactions!$F$8:$F$3006,B2527,Transactions!$Q$8:$Q$3006)))</f>
        <v/>
      </c>
      <c r="H2527" s="55" t="str">
        <f>IF(B2527="","",IF(G2527&gt;0,"OUTSTANDING",IF(G2527=0,"SETTLED",IF(SUMIF(Transactions!$F$8:$F$3006,B2527,Transactions!$Q$8:$Q$3006)&gt;SUMIF(Transactions!$F$8:$F$3006,B2527,Transactions!$R$8:$R$3006),"OWES","OVERPAID"))))</f>
        <v/>
      </c>
      <c r="I2527" s="1"/>
    </row>
    <row r="2528" spans="1:9" ht="18" customHeight="1" x14ac:dyDescent="0.25">
      <c r="A2528" s="40">
        <v>2513</v>
      </c>
      <c r="B2528" s="41" t="str">
        <f t="array" ref="B2528">IFERROR(IF(INDEX(Transactions!$F$8:$F$3006,MATCH(0,COUNTIF($B$11:B2527,Transactions!$F$8:$F$3006),0))="","",INDEX(Transactions!$F$8:$F$3006,MATCH(0,COUNTIF($B$11:B2527,Transactions!$F$8:$F$3006),0))),"")</f>
        <v/>
      </c>
      <c r="C2528" s="42" t="str">
        <f>IF(B2528="","",SUMIF(Transactions!$F$8:$F$3006,B2528,Transactions!$H$8:$H$3006))</f>
        <v/>
      </c>
      <c r="D2528" s="43" t="str">
        <f>IF(B2528="","",SUMIF(Transactions!$F$8:$F$3006,B2528,Transactions!$N$8:$N$3006))</f>
        <v/>
      </c>
      <c r="E2528" s="44" t="str">
        <f>IF(B2528="","",SUMIF(Transactions!$F$8:$F$3006,B2528,Transactions!$O$8:$O$3006))</f>
        <v/>
      </c>
      <c r="F2528" s="45" t="str">
        <f>IF(B2528="","",SUMIF(Transactions!$F$8:$F$3006,B2528,Transactions!$R$8:$R$3006))</f>
        <v/>
      </c>
      <c r="G2528" s="46" t="str">
        <f>IF(B2528="","",(C2528+F2528)-(D2528+E2528+SUMIF(Transactions!$F$8:$F$3006,B2528,Transactions!$Q$8:$Q$3006)))</f>
        <v/>
      </c>
      <c r="H2528" s="47" t="str">
        <f>IF(B2528="","",IF(G2528&gt;0,"OUTSTANDING",IF(G2528=0,"SETTLED",IF(SUMIF(Transactions!$F$8:$F$3006,B2528,Transactions!$Q$8:$Q$3006)&gt;SUMIF(Transactions!$F$8:$F$3006,B2528,Transactions!$R$8:$R$3006),"OWES","OVERPAID"))))</f>
        <v/>
      </c>
      <c r="I2528" s="1"/>
    </row>
    <row r="2529" spans="1:9" ht="18" customHeight="1" x14ac:dyDescent="0.25">
      <c r="A2529" s="48">
        <v>2514</v>
      </c>
      <c r="B2529" s="49" t="str">
        <f t="array" ref="B2529">IFERROR(IF(INDEX(Transactions!$F$8:$F$3006,MATCH(0,COUNTIF($B$11:B2528,Transactions!$F$8:$F$3006),0))="","",INDEX(Transactions!$F$8:$F$3006,MATCH(0,COUNTIF($B$11:B2528,Transactions!$F$8:$F$3006),0))),"")</f>
        <v/>
      </c>
      <c r="C2529" s="50" t="str">
        <f>IF(B2529="","",SUMIF(Transactions!$F$8:$F$3006,B2529,Transactions!$H$8:$H$3006))</f>
        <v/>
      </c>
      <c r="D2529" s="51" t="str">
        <f>IF(B2529="","",SUMIF(Transactions!$F$8:$F$3006,B2529,Transactions!$N$8:$N$3006))</f>
        <v/>
      </c>
      <c r="E2529" s="52" t="str">
        <f>IF(B2529="","",SUMIF(Transactions!$F$8:$F$3006,B2529,Transactions!$O$8:$O$3006))</f>
        <v/>
      </c>
      <c r="F2529" s="53" t="str">
        <f>IF(B2529="","",SUMIF(Transactions!$F$8:$F$3006,B2529,Transactions!$R$8:$R$3006))</f>
        <v/>
      </c>
      <c r="G2529" s="54" t="str">
        <f>IF(B2529="","",(C2529+F2529)-(D2529+E2529+SUMIF(Transactions!$F$8:$F$3006,B2529,Transactions!$Q$8:$Q$3006)))</f>
        <v/>
      </c>
      <c r="H2529" s="55" t="str">
        <f>IF(B2529="","",IF(G2529&gt;0,"OUTSTANDING",IF(G2529=0,"SETTLED",IF(SUMIF(Transactions!$F$8:$F$3006,B2529,Transactions!$Q$8:$Q$3006)&gt;SUMIF(Transactions!$F$8:$F$3006,B2529,Transactions!$R$8:$R$3006),"OWES","OVERPAID"))))</f>
        <v/>
      </c>
      <c r="I2529" s="1"/>
    </row>
    <row r="2530" spans="1:9" ht="18" customHeight="1" x14ac:dyDescent="0.25">
      <c r="A2530" s="40">
        <v>2515</v>
      </c>
      <c r="B2530" s="41" t="str">
        <f t="array" ref="B2530">IFERROR(IF(INDEX(Transactions!$F$8:$F$3006,MATCH(0,COUNTIF($B$11:B2529,Transactions!$F$8:$F$3006),0))="","",INDEX(Transactions!$F$8:$F$3006,MATCH(0,COUNTIF($B$11:B2529,Transactions!$F$8:$F$3006),0))),"")</f>
        <v/>
      </c>
      <c r="C2530" s="42" t="str">
        <f>IF(B2530="","",SUMIF(Transactions!$F$8:$F$3006,B2530,Transactions!$H$8:$H$3006))</f>
        <v/>
      </c>
      <c r="D2530" s="43" t="str">
        <f>IF(B2530="","",SUMIF(Transactions!$F$8:$F$3006,B2530,Transactions!$N$8:$N$3006))</f>
        <v/>
      </c>
      <c r="E2530" s="44" t="str">
        <f>IF(B2530="","",SUMIF(Transactions!$F$8:$F$3006,B2530,Transactions!$O$8:$O$3006))</f>
        <v/>
      </c>
      <c r="F2530" s="45" t="str">
        <f>IF(B2530="","",SUMIF(Transactions!$F$8:$F$3006,B2530,Transactions!$R$8:$R$3006))</f>
        <v/>
      </c>
      <c r="G2530" s="46" t="str">
        <f>IF(B2530="","",(C2530+F2530)-(D2530+E2530+SUMIF(Transactions!$F$8:$F$3006,B2530,Transactions!$Q$8:$Q$3006)))</f>
        <v/>
      </c>
      <c r="H2530" s="47" t="str">
        <f>IF(B2530="","",IF(G2530&gt;0,"OUTSTANDING",IF(G2530=0,"SETTLED",IF(SUMIF(Transactions!$F$8:$F$3006,B2530,Transactions!$Q$8:$Q$3006)&gt;SUMIF(Transactions!$F$8:$F$3006,B2530,Transactions!$R$8:$R$3006),"OWES","OVERPAID"))))</f>
        <v/>
      </c>
      <c r="I2530" s="1"/>
    </row>
    <row r="2531" spans="1:9" ht="18" customHeight="1" x14ac:dyDescent="0.25">
      <c r="A2531" s="48">
        <v>2516</v>
      </c>
      <c r="B2531" s="49" t="str">
        <f t="array" ref="B2531">IFERROR(IF(INDEX(Transactions!$F$8:$F$3006,MATCH(0,COUNTIF($B$11:B2530,Transactions!$F$8:$F$3006),0))="","",INDEX(Transactions!$F$8:$F$3006,MATCH(0,COUNTIF($B$11:B2530,Transactions!$F$8:$F$3006),0))),"")</f>
        <v/>
      </c>
      <c r="C2531" s="50" t="str">
        <f>IF(B2531="","",SUMIF(Transactions!$F$8:$F$3006,B2531,Transactions!$H$8:$H$3006))</f>
        <v/>
      </c>
      <c r="D2531" s="51" t="str">
        <f>IF(B2531="","",SUMIF(Transactions!$F$8:$F$3006,B2531,Transactions!$N$8:$N$3006))</f>
        <v/>
      </c>
      <c r="E2531" s="52" t="str">
        <f>IF(B2531="","",SUMIF(Transactions!$F$8:$F$3006,B2531,Transactions!$O$8:$O$3006))</f>
        <v/>
      </c>
      <c r="F2531" s="53" t="str">
        <f>IF(B2531="","",SUMIF(Transactions!$F$8:$F$3006,B2531,Transactions!$R$8:$R$3006))</f>
        <v/>
      </c>
      <c r="G2531" s="54" t="str">
        <f>IF(B2531="","",(C2531+F2531)-(D2531+E2531+SUMIF(Transactions!$F$8:$F$3006,B2531,Transactions!$Q$8:$Q$3006)))</f>
        <v/>
      </c>
      <c r="H2531" s="55" t="str">
        <f>IF(B2531="","",IF(G2531&gt;0,"OUTSTANDING",IF(G2531=0,"SETTLED",IF(SUMIF(Transactions!$F$8:$F$3006,B2531,Transactions!$Q$8:$Q$3006)&gt;SUMIF(Transactions!$F$8:$F$3006,B2531,Transactions!$R$8:$R$3006),"OWES","OVERPAID"))))</f>
        <v/>
      </c>
      <c r="I2531" s="1"/>
    </row>
    <row r="2532" spans="1:9" ht="18" customHeight="1" x14ac:dyDescent="0.25">
      <c r="A2532" s="40">
        <v>2517</v>
      </c>
      <c r="B2532" s="41" t="str">
        <f t="array" ref="B2532">IFERROR(IF(INDEX(Transactions!$F$8:$F$3006,MATCH(0,COUNTIF($B$11:B2531,Transactions!$F$8:$F$3006),0))="","",INDEX(Transactions!$F$8:$F$3006,MATCH(0,COUNTIF($B$11:B2531,Transactions!$F$8:$F$3006),0))),"")</f>
        <v/>
      </c>
      <c r="C2532" s="42" t="str">
        <f>IF(B2532="","",SUMIF(Transactions!$F$8:$F$3006,B2532,Transactions!$H$8:$H$3006))</f>
        <v/>
      </c>
      <c r="D2532" s="43" t="str">
        <f>IF(B2532="","",SUMIF(Transactions!$F$8:$F$3006,B2532,Transactions!$N$8:$N$3006))</f>
        <v/>
      </c>
      <c r="E2532" s="44" t="str">
        <f>IF(B2532="","",SUMIF(Transactions!$F$8:$F$3006,B2532,Transactions!$O$8:$O$3006))</f>
        <v/>
      </c>
      <c r="F2532" s="45" t="str">
        <f>IF(B2532="","",SUMIF(Transactions!$F$8:$F$3006,B2532,Transactions!$R$8:$R$3006))</f>
        <v/>
      </c>
      <c r="G2532" s="46" t="str">
        <f>IF(B2532="","",(C2532+F2532)-(D2532+E2532+SUMIF(Transactions!$F$8:$F$3006,B2532,Transactions!$Q$8:$Q$3006)))</f>
        <v/>
      </c>
      <c r="H2532" s="47" t="str">
        <f>IF(B2532="","",IF(G2532&gt;0,"OUTSTANDING",IF(G2532=0,"SETTLED",IF(SUMIF(Transactions!$F$8:$F$3006,B2532,Transactions!$Q$8:$Q$3006)&gt;SUMIF(Transactions!$F$8:$F$3006,B2532,Transactions!$R$8:$R$3006),"OWES","OVERPAID"))))</f>
        <v/>
      </c>
      <c r="I2532" s="1"/>
    </row>
    <row r="2533" spans="1:9" ht="18" customHeight="1" x14ac:dyDescent="0.25">
      <c r="A2533" s="48">
        <v>2518</v>
      </c>
      <c r="B2533" s="49" t="str">
        <f t="array" ref="B2533">IFERROR(IF(INDEX(Transactions!$F$8:$F$3006,MATCH(0,COUNTIF($B$11:B2532,Transactions!$F$8:$F$3006),0))="","",INDEX(Transactions!$F$8:$F$3006,MATCH(0,COUNTIF($B$11:B2532,Transactions!$F$8:$F$3006),0))),"")</f>
        <v/>
      </c>
      <c r="C2533" s="50" t="str">
        <f>IF(B2533="","",SUMIF(Transactions!$F$8:$F$3006,B2533,Transactions!$H$8:$H$3006))</f>
        <v/>
      </c>
      <c r="D2533" s="51" t="str">
        <f>IF(B2533="","",SUMIF(Transactions!$F$8:$F$3006,B2533,Transactions!$N$8:$N$3006))</f>
        <v/>
      </c>
      <c r="E2533" s="52" t="str">
        <f>IF(B2533="","",SUMIF(Transactions!$F$8:$F$3006,B2533,Transactions!$O$8:$O$3006))</f>
        <v/>
      </c>
      <c r="F2533" s="53" t="str">
        <f>IF(B2533="","",SUMIF(Transactions!$F$8:$F$3006,B2533,Transactions!$R$8:$R$3006))</f>
        <v/>
      </c>
      <c r="G2533" s="54" t="str">
        <f>IF(B2533="","",(C2533+F2533)-(D2533+E2533+SUMIF(Transactions!$F$8:$F$3006,B2533,Transactions!$Q$8:$Q$3006)))</f>
        <v/>
      </c>
      <c r="H2533" s="55" t="str">
        <f>IF(B2533="","",IF(G2533&gt;0,"OUTSTANDING",IF(G2533=0,"SETTLED",IF(SUMIF(Transactions!$F$8:$F$3006,B2533,Transactions!$Q$8:$Q$3006)&gt;SUMIF(Transactions!$F$8:$F$3006,B2533,Transactions!$R$8:$R$3006),"OWES","OVERPAID"))))</f>
        <v/>
      </c>
      <c r="I2533" s="1"/>
    </row>
    <row r="2534" spans="1:9" ht="18" customHeight="1" x14ac:dyDescent="0.25">
      <c r="A2534" s="40">
        <v>2519</v>
      </c>
      <c r="B2534" s="41" t="str">
        <f t="array" ref="B2534">IFERROR(IF(INDEX(Transactions!$F$8:$F$3006,MATCH(0,COUNTIF($B$11:B2533,Transactions!$F$8:$F$3006),0))="","",INDEX(Transactions!$F$8:$F$3006,MATCH(0,COUNTIF($B$11:B2533,Transactions!$F$8:$F$3006),0))),"")</f>
        <v/>
      </c>
      <c r="C2534" s="42" t="str">
        <f>IF(B2534="","",SUMIF(Transactions!$F$8:$F$3006,B2534,Transactions!$H$8:$H$3006))</f>
        <v/>
      </c>
      <c r="D2534" s="43" t="str">
        <f>IF(B2534="","",SUMIF(Transactions!$F$8:$F$3006,B2534,Transactions!$N$8:$N$3006))</f>
        <v/>
      </c>
      <c r="E2534" s="44" t="str">
        <f>IF(B2534="","",SUMIF(Transactions!$F$8:$F$3006,B2534,Transactions!$O$8:$O$3006))</f>
        <v/>
      </c>
      <c r="F2534" s="45" t="str">
        <f>IF(B2534="","",SUMIF(Transactions!$F$8:$F$3006,B2534,Transactions!$R$8:$R$3006))</f>
        <v/>
      </c>
      <c r="G2534" s="46" t="str">
        <f>IF(B2534="","",(C2534+F2534)-(D2534+E2534+SUMIF(Transactions!$F$8:$F$3006,B2534,Transactions!$Q$8:$Q$3006)))</f>
        <v/>
      </c>
      <c r="H2534" s="47" t="str">
        <f>IF(B2534="","",IF(G2534&gt;0,"OUTSTANDING",IF(G2534=0,"SETTLED",IF(SUMIF(Transactions!$F$8:$F$3006,B2534,Transactions!$Q$8:$Q$3006)&gt;SUMIF(Transactions!$F$8:$F$3006,B2534,Transactions!$R$8:$R$3006),"OWES","OVERPAID"))))</f>
        <v/>
      </c>
      <c r="I2534" s="1"/>
    </row>
    <row r="2535" spans="1:9" ht="18" customHeight="1" x14ac:dyDescent="0.25">
      <c r="A2535" s="48">
        <v>2520</v>
      </c>
      <c r="B2535" s="49" t="str">
        <f t="array" ref="B2535">IFERROR(IF(INDEX(Transactions!$F$8:$F$3006,MATCH(0,COUNTIF($B$11:B2534,Transactions!$F$8:$F$3006),0))="","",INDEX(Transactions!$F$8:$F$3006,MATCH(0,COUNTIF($B$11:B2534,Transactions!$F$8:$F$3006),0))),"")</f>
        <v/>
      </c>
      <c r="C2535" s="50" t="str">
        <f>IF(B2535="","",SUMIF(Transactions!$F$8:$F$3006,B2535,Transactions!$H$8:$H$3006))</f>
        <v/>
      </c>
      <c r="D2535" s="51" t="str">
        <f>IF(B2535="","",SUMIF(Transactions!$F$8:$F$3006,B2535,Transactions!$N$8:$N$3006))</f>
        <v/>
      </c>
      <c r="E2535" s="52" t="str">
        <f>IF(B2535="","",SUMIF(Transactions!$F$8:$F$3006,B2535,Transactions!$O$8:$O$3006))</f>
        <v/>
      </c>
      <c r="F2535" s="53" t="str">
        <f>IF(B2535="","",SUMIF(Transactions!$F$8:$F$3006,B2535,Transactions!$R$8:$R$3006))</f>
        <v/>
      </c>
      <c r="G2535" s="54" t="str">
        <f>IF(B2535="","",(C2535+F2535)-(D2535+E2535+SUMIF(Transactions!$F$8:$F$3006,B2535,Transactions!$Q$8:$Q$3006)))</f>
        <v/>
      </c>
      <c r="H2535" s="55" t="str">
        <f>IF(B2535="","",IF(G2535&gt;0,"OUTSTANDING",IF(G2535=0,"SETTLED",IF(SUMIF(Transactions!$F$8:$F$3006,B2535,Transactions!$Q$8:$Q$3006)&gt;SUMIF(Transactions!$F$8:$F$3006,B2535,Transactions!$R$8:$R$3006),"OWES","OVERPAID"))))</f>
        <v/>
      </c>
      <c r="I2535" s="1"/>
    </row>
    <row r="2536" spans="1:9" ht="18" customHeight="1" x14ac:dyDescent="0.25">
      <c r="A2536" s="40">
        <v>2521</v>
      </c>
      <c r="B2536" s="41" t="str">
        <f t="array" ref="B2536">IFERROR(IF(INDEX(Transactions!$F$8:$F$3006,MATCH(0,COUNTIF($B$11:B2535,Transactions!$F$8:$F$3006),0))="","",INDEX(Transactions!$F$8:$F$3006,MATCH(0,COUNTIF($B$11:B2535,Transactions!$F$8:$F$3006),0))),"")</f>
        <v/>
      </c>
      <c r="C2536" s="42" t="str">
        <f>IF(B2536="","",SUMIF(Transactions!$F$8:$F$3006,B2536,Transactions!$H$8:$H$3006))</f>
        <v/>
      </c>
      <c r="D2536" s="43" t="str">
        <f>IF(B2536="","",SUMIF(Transactions!$F$8:$F$3006,B2536,Transactions!$N$8:$N$3006))</f>
        <v/>
      </c>
      <c r="E2536" s="44" t="str">
        <f>IF(B2536="","",SUMIF(Transactions!$F$8:$F$3006,B2536,Transactions!$O$8:$O$3006))</f>
        <v/>
      </c>
      <c r="F2536" s="45" t="str">
        <f>IF(B2536="","",SUMIF(Transactions!$F$8:$F$3006,B2536,Transactions!$R$8:$R$3006))</f>
        <v/>
      </c>
      <c r="G2536" s="46" t="str">
        <f>IF(B2536="","",(C2536+F2536)-(D2536+E2536+SUMIF(Transactions!$F$8:$F$3006,B2536,Transactions!$Q$8:$Q$3006)))</f>
        <v/>
      </c>
      <c r="H2536" s="47" t="str">
        <f>IF(B2536="","",IF(G2536&gt;0,"OUTSTANDING",IF(G2536=0,"SETTLED",IF(SUMIF(Transactions!$F$8:$F$3006,B2536,Transactions!$Q$8:$Q$3006)&gt;SUMIF(Transactions!$F$8:$F$3006,B2536,Transactions!$R$8:$R$3006),"OWES","OVERPAID"))))</f>
        <v/>
      </c>
      <c r="I2536" s="1"/>
    </row>
    <row r="2537" spans="1:9" ht="18" customHeight="1" x14ac:dyDescent="0.25">
      <c r="A2537" s="48">
        <v>2522</v>
      </c>
      <c r="B2537" s="49" t="str">
        <f t="array" ref="B2537">IFERROR(IF(INDEX(Transactions!$F$8:$F$3006,MATCH(0,COUNTIF($B$11:B2536,Transactions!$F$8:$F$3006),0))="","",INDEX(Transactions!$F$8:$F$3006,MATCH(0,COUNTIF($B$11:B2536,Transactions!$F$8:$F$3006),0))),"")</f>
        <v/>
      </c>
      <c r="C2537" s="50" t="str">
        <f>IF(B2537="","",SUMIF(Transactions!$F$8:$F$3006,B2537,Transactions!$H$8:$H$3006))</f>
        <v/>
      </c>
      <c r="D2537" s="51" t="str">
        <f>IF(B2537="","",SUMIF(Transactions!$F$8:$F$3006,B2537,Transactions!$N$8:$N$3006))</f>
        <v/>
      </c>
      <c r="E2537" s="52" t="str">
        <f>IF(B2537="","",SUMIF(Transactions!$F$8:$F$3006,B2537,Transactions!$O$8:$O$3006))</f>
        <v/>
      </c>
      <c r="F2537" s="53" t="str">
        <f>IF(B2537="","",SUMIF(Transactions!$F$8:$F$3006,B2537,Transactions!$R$8:$R$3006))</f>
        <v/>
      </c>
      <c r="G2537" s="54" t="str">
        <f>IF(B2537="","",(C2537+F2537)-(D2537+E2537+SUMIF(Transactions!$F$8:$F$3006,B2537,Transactions!$Q$8:$Q$3006)))</f>
        <v/>
      </c>
      <c r="H2537" s="55" t="str">
        <f>IF(B2537="","",IF(G2537&gt;0,"OUTSTANDING",IF(G2537=0,"SETTLED",IF(SUMIF(Transactions!$F$8:$F$3006,B2537,Transactions!$Q$8:$Q$3006)&gt;SUMIF(Transactions!$F$8:$F$3006,B2537,Transactions!$R$8:$R$3006),"OWES","OVERPAID"))))</f>
        <v/>
      </c>
      <c r="I2537" s="1"/>
    </row>
    <row r="2538" spans="1:9" ht="18" customHeight="1" x14ac:dyDescent="0.25">
      <c r="A2538" s="40">
        <v>2523</v>
      </c>
      <c r="B2538" s="41" t="str">
        <f t="array" ref="B2538">IFERROR(IF(INDEX(Transactions!$F$8:$F$3006,MATCH(0,COUNTIF($B$11:B2537,Transactions!$F$8:$F$3006),0))="","",INDEX(Transactions!$F$8:$F$3006,MATCH(0,COUNTIF($B$11:B2537,Transactions!$F$8:$F$3006),0))),"")</f>
        <v/>
      </c>
      <c r="C2538" s="42" t="str">
        <f>IF(B2538="","",SUMIF(Transactions!$F$8:$F$3006,B2538,Transactions!$H$8:$H$3006))</f>
        <v/>
      </c>
      <c r="D2538" s="43" t="str">
        <f>IF(B2538="","",SUMIF(Transactions!$F$8:$F$3006,B2538,Transactions!$N$8:$N$3006))</f>
        <v/>
      </c>
      <c r="E2538" s="44" t="str">
        <f>IF(B2538="","",SUMIF(Transactions!$F$8:$F$3006,B2538,Transactions!$O$8:$O$3006))</f>
        <v/>
      </c>
      <c r="F2538" s="45" t="str">
        <f>IF(B2538="","",SUMIF(Transactions!$F$8:$F$3006,B2538,Transactions!$R$8:$R$3006))</f>
        <v/>
      </c>
      <c r="G2538" s="46" t="str">
        <f>IF(B2538="","",(C2538+F2538)-(D2538+E2538+SUMIF(Transactions!$F$8:$F$3006,B2538,Transactions!$Q$8:$Q$3006)))</f>
        <v/>
      </c>
      <c r="H2538" s="47" t="str">
        <f>IF(B2538="","",IF(G2538&gt;0,"OUTSTANDING",IF(G2538=0,"SETTLED",IF(SUMIF(Transactions!$F$8:$F$3006,B2538,Transactions!$Q$8:$Q$3006)&gt;SUMIF(Transactions!$F$8:$F$3006,B2538,Transactions!$R$8:$R$3006),"OWES","OVERPAID"))))</f>
        <v/>
      </c>
      <c r="I2538" s="1"/>
    </row>
    <row r="2539" spans="1:9" ht="18" customHeight="1" x14ac:dyDescent="0.25">
      <c r="A2539" s="48">
        <v>2524</v>
      </c>
      <c r="B2539" s="49" t="str">
        <f t="array" ref="B2539">IFERROR(IF(INDEX(Transactions!$F$8:$F$3006,MATCH(0,COUNTIF($B$11:B2538,Transactions!$F$8:$F$3006),0))="","",INDEX(Transactions!$F$8:$F$3006,MATCH(0,COUNTIF($B$11:B2538,Transactions!$F$8:$F$3006),0))),"")</f>
        <v/>
      </c>
      <c r="C2539" s="50" t="str">
        <f>IF(B2539="","",SUMIF(Transactions!$F$8:$F$3006,B2539,Transactions!$H$8:$H$3006))</f>
        <v/>
      </c>
      <c r="D2539" s="51" t="str">
        <f>IF(B2539="","",SUMIF(Transactions!$F$8:$F$3006,B2539,Transactions!$N$8:$N$3006))</f>
        <v/>
      </c>
      <c r="E2539" s="52" t="str">
        <f>IF(B2539="","",SUMIF(Transactions!$F$8:$F$3006,B2539,Transactions!$O$8:$O$3006))</f>
        <v/>
      </c>
      <c r="F2539" s="53" t="str">
        <f>IF(B2539="","",SUMIF(Transactions!$F$8:$F$3006,B2539,Transactions!$R$8:$R$3006))</f>
        <v/>
      </c>
      <c r="G2539" s="54" t="str">
        <f>IF(B2539="","",(C2539+F2539)-(D2539+E2539+SUMIF(Transactions!$F$8:$F$3006,B2539,Transactions!$Q$8:$Q$3006)))</f>
        <v/>
      </c>
      <c r="H2539" s="55" t="str">
        <f>IF(B2539="","",IF(G2539&gt;0,"OUTSTANDING",IF(G2539=0,"SETTLED",IF(SUMIF(Transactions!$F$8:$F$3006,B2539,Transactions!$Q$8:$Q$3006)&gt;SUMIF(Transactions!$F$8:$F$3006,B2539,Transactions!$R$8:$R$3006),"OWES","OVERPAID"))))</f>
        <v/>
      </c>
      <c r="I2539" s="1"/>
    </row>
    <row r="2540" spans="1:9" ht="18" customHeight="1" x14ac:dyDescent="0.25">
      <c r="A2540" s="40">
        <v>2525</v>
      </c>
      <c r="B2540" s="41" t="str">
        <f t="array" ref="B2540">IFERROR(IF(INDEX(Transactions!$F$8:$F$3006,MATCH(0,COUNTIF($B$11:B2539,Transactions!$F$8:$F$3006),0))="","",INDEX(Transactions!$F$8:$F$3006,MATCH(0,COUNTIF($B$11:B2539,Transactions!$F$8:$F$3006),0))),"")</f>
        <v/>
      </c>
      <c r="C2540" s="42" t="str">
        <f>IF(B2540="","",SUMIF(Transactions!$F$8:$F$3006,B2540,Transactions!$H$8:$H$3006))</f>
        <v/>
      </c>
      <c r="D2540" s="43" t="str">
        <f>IF(B2540="","",SUMIF(Transactions!$F$8:$F$3006,B2540,Transactions!$N$8:$N$3006))</f>
        <v/>
      </c>
      <c r="E2540" s="44" t="str">
        <f>IF(B2540="","",SUMIF(Transactions!$F$8:$F$3006,B2540,Transactions!$O$8:$O$3006))</f>
        <v/>
      </c>
      <c r="F2540" s="45" t="str">
        <f>IF(B2540="","",SUMIF(Transactions!$F$8:$F$3006,B2540,Transactions!$R$8:$R$3006))</f>
        <v/>
      </c>
      <c r="G2540" s="46" t="str">
        <f>IF(B2540="","",(C2540+F2540)-(D2540+E2540+SUMIF(Transactions!$F$8:$F$3006,B2540,Transactions!$Q$8:$Q$3006)))</f>
        <v/>
      </c>
      <c r="H2540" s="47" t="str">
        <f>IF(B2540="","",IF(G2540&gt;0,"OUTSTANDING",IF(G2540=0,"SETTLED",IF(SUMIF(Transactions!$F$8:$F$3006,B2540,Transactions!$Q$8:$Q$3006)&gt;SUMIF(Transactions!$F$8:$F$3006,B2540,Transactions!$R$8:$R$3006),"OWES","OVERPAID"))))</f>
        <v/>
      </c>
      <c r="I2540" s="1"/>
    </row>
    <row r="2541" spans="1:9" ht="18" customHeight="1" x14ac:dyDescent="0.25">
      <c r="A2541" s="48">
        <v>2526</v>
      </c>
      <c r="B2541" s="49" t="str">
        <f t="array" ref="B2541">IFERROR(IF(INDEX(Transactions!$F$8:$F$3006,MATCH(0,COUNTIF($B$11:B2540,Transactions!$F$8:$F$3006),0))="","",INDEX(Transactions!$F$8:$F$3006,MATCH(0,COUNTIF($B$11:B2540,Transactions!$F$8:$F$3006),0))),"")</f>
        <v/>
      </c>
      <c r="C2541" s="50" t="str">
        <f>IF(B2541="","",SUMIF(Transactions!$F$8:$F$3006,B2541,Transactions!$H$8:$H$3006))</f>
        <v/>
      </c>
      <c r="D2541" s="51" t="str">
        <f>IF(B2541="","",SUMIF(Transactions!$F$8:$F$3006,B2541,Transactions!$N$8:$N$3006))</f>
        <v/>
      </c>
      <c r="E2541" s="52" t="str">
        <f>IF(B2541="","",SUMIF(Transactions!$F$8:$F$3006,B2541,Transactions!$O$8:$O$3006))</f>
        <v/>
      </c>
      <c r="F2541" s="53" t="str">
        <f>IF(B2541="","",SUMIF(Transactions!$F$8:$F$3006,B2541,Transactions!$R$8:$R$3006))</f>
        <v/>
      </c>
      <c r="G2541" s="54" t="str">
        <f>IF(B2541="","",(C2541+F2541)-(D2541+E2541+SUMIF(Transactions!$F$8:$F$3006,B2541,Transactions!$Q$8:$Q$3006)))</f>
        <v/>
      </c>
      <c r="H2541" s="55" t="str">
        <f>IF(B2541="","",IF(G2541&gt;0,"OUTSTANDING",IF(G2541=0,"SETTLED",IF(SUMIF(Transactions!$F$8:$F$3006,B2541,Transactions!$Q$8:$Q$3006)&gt;SUMIF(Transactions!$F$8:$F$3006,B2541,Transactions!$R$8:$R$3006),"OWES","OVERPAID"))))</f>
        <v/>
      </c>
      <c r="I2541" s="1"/>
    </row>
    <row r="2542" spans="1:9" ht="18" customHeight="1" x14ac:dyDescent="0.25">
      <c r="A2542" s="40">
        <v>2527</v>
      </c>
      <c r="B2542" s="41" t="str">
        <f t="array" ref="B2542">IFERROR(IF(INDEX(Transactions!$F$8:$F$3006,MATCH(0,COUNTIF($B$11:B2541,Transactions!$F$8:$F$3006),0))="","",INDEX(Transactions!$F$8:$F$3006,MATCH(0,COUNTIF($B$11:B2541,Transactions!$F$8:$F$3006),0))),"")</f>
        <v/>
      </c>
      <c r="C2542" s="42" t="str">
        <f>IF(B2542="","",SUMIF(Transactions!$F$8:$F$3006,B2542,Transactions!$H$8:$H$3006))</f>
        <v/>
      </c>
      <c r="D2542" s="43" t="str">
        <f>IF(B2542="","",SUMIF(Transactions!$F$8:$F$3006,B2542,Transactions!$N$8:$N$3006))</f>
        <v/>
      </c>
      <c r="E2542" s="44" t="str">
        <f>IF(B2542="","",SUMIF(Transactions!$F$8:$F$3006,B2542,Transactions!$O$8:$O$3006))</f>
        <v/>
      </c>
      <c r="F2542" s="45" t="str">
        <f>IF(B2542="","",SUMIF(Transactions!$F$8:$F$3006,B2542,Transactions!$R$8:$R$3006))</f>
        <v/>
      </c>
      <c r="G2542" s="46" t="str">
        <f>IF(B2542="","",(C2542+F2542)-(D2542+E2542+SUMIF(Transactions!$F$8:$F$3006,B2542,Transactions!$Q$8:$Q$3006)))</f>
        <v/>
      </c>
      <c r="H2542" s="47" t="str">
        <f>IF(B2542="","",IF(G2542&gt;0,"OUTSTANDING",IF(G2542=0,"SETTLED",IF(SUMIF(Transactions!$F$8:$F$3006,B2542,Transactions!$Q$8:$Q$3006)&gt;SUMIF(Transactions!$F$8:$F$3006,B2542,Transactions!$R$8:$R$3006),"OWES","OVERPAID"))))</f>
        <v/>
      </c>
      <c r="I2542" s="1"/>
    </row>
    <row r="2543" spans="1:9" ht="18" customHeight="1" x14ac:dyDescent="0.25">
      <c r="A2543" s="48">
        <v>2528</v>
      </c>
      <c r="B2543" s="49" t="str">
        <f t="array" ref="B2543">IFERROR(IF(INDEX(Transactions!$F$8:$F$3006,MATCH(0,COUNTIF($B$11:B2542,Transactions!$F$8:$F$3006),0))="","",INDEX(Transactions!$F$8:$F$3006,MATCH(0,COUNTIF($B$11:B2542,Transactions!$F$8:$F$3006),0))),"")</f>
        <v/>
      </c>
      <c r="C2543" s="50" t="str">
        <f>IF(B2543="","",SUMIF(Transactions!$F$8:$F$3006,B2543,Transactions!$H$8:$H$3006))</f>
        <v/>
      </c>
      <c r="D2543" s="51" t="str">
        <f>IF(B2543="","",SUMIF(Transactions!$F$8:$F$3006,B2543,Transactions!$N$8:$N$3006))</f>
        <v/>
      </c>
      <c r="E2543" s="52" t="str">
        <f>IF(B2543="","",SUMIF(Transactions!$F$8:$F$3006,B2543,Transactions!$O$8:$O$3006))</f>
        <v/>
      </c>
      <c r="F2543" s="53" t="str">
        <f>IF(B2543="","",SUMIF(Transactions!$F$8:$F$3006,B2543,Transactions!$R$8:$R$3006))</f>
        <v/>
      </c>
      <c r="G2543" s="54" t="str">
        <f>IF(B2543="","",(C2543+F2543)-(D2543+E2543+SUMIF(Transactions!$F$8:$F$3006,B2543,Transactions!$Q$8:$Q$3006)))</f>
        <v/>
      </c>
      <c r="H2543" s="55" t="str">
        <f>IF(B2543="","",IF(G2543&gt;0,"OUTSTANDING",IF(G2543=0,"SETTLED",IF(SUMIF(Transactions!$F$8:$F$3006,B2543,Transactions!$Q$8:$Q$3006)&gt;SUMIF(Transactions!$F$8:$F$3006,B2543,Transactions!$R$8:$R$3006),"OWES","OVERPAID"))))</f>
        <v/>
      </c>
      <c r="I2543" s="1"/>
    </row>
    <row r="2544" spans="1:9" ht="18" customHeight="1" x14ac:dyDescent="0.25">
      <c r="A2544" s="40">
        <v>2529</v>
      </c>
      <c r="B2544" s="41" t="str">
        <f t="array" ref="B2544">IFERROR(IF(INDEX(Transactions!$F$8:$F$3006,MATCH(0,COUNTIF($B$11:B2543,Transactions!$F$8:$F$3006),0))="","",INDEX(Transactions!$F$8:$F$3006,MATCH(0,COUNTIF($B$11:B2543,Transactions!$F$8:$F$3006),0))),"")</f>
        <v/>
      </c>
      <c r="C2544" s="42" t="str">
        <f>IF(B2544="","",SUMIF(Transactions!$F$8:$F$3006,B2544,Transactions!$H$8:$H$3006))</f>
        <v/>
      </c>
      <c r="D2544" s="43" t="str">
        <f>IF(B2544="","",SUMIF(Transactions!$F$8:$F$3006,B2544,Transactions!$N$8:$N$3006))</f>
        <v/>
      </c>
      <c r="E2544" s="44" t="str">
        <f>IF(B2544="","",SUMIF(Transactions!$F$8:$F$3006,B2544,Transactions!$O$8:$O$3006))</f>
        <v/>
      </c>
      <c r="F2544" s="45" t="str">
        <f>IF(B2544="","",SUMIF(Transactions!$F$8:$F$3006,B2544,Transactions!$R$8:$R$3006))</f>
        <v/>
      </c>
      <c r="G2544" s="46" t="str">
        <f>IF(B2544="","",(C2544+F2544)-(D2544+E2544+SUMIF(Transactions!$F$8:$F$3006,B2544,Transactions!$Q$8:$Q$3006)))</f>
        <v/>
      </c>
      <c r="H2544" s="47" t="str">
        <f>IF(B2544="","",IF(G2544&gt;0,"OUTSTANDING",IF(G2544=0,"SETTLED",IF(SUMIF(Transactions!$F$8:$F$3006,B2544,Transactions!$Q$8:$Q$3006)&gt;SUMIF(Transactions!$F$8:$F$3006,B2544,Transactions!$R$8:$R$3006),"OWES","OVERPAID"))))</f>
        <v/>
      </c>
      <c r="I2544" s="1"/>
    </row>
    <row r="2545" spans="1:9" ht="18" customHeight="1" x14ac:dyDescent="0.25">
      <c r="A2545" s="48">
        <v>2530</v>
      </c>
      <c r="B2545" s="49" t="str">
        <f t="array" ref="B2545">IFERROR(IF(INDEX(Transactions!$F$8:$F$3006,MATCH(0,COUNTIF($B$11:B2544,Transactions!$F$8:$F$3006),0))="","",INDEX(Transactions!$F$8:$F$3006,MATCH(0,COUNTIF($B$11:B2544,Transactions!$F$8:$F$3006),0))),"")</f>
        <v/>
      </c>
      <c r="C2545" s="50" t="str">
        <f>IF(B2545="","",SUMIF(Transactions!$F$8:$F$3006,B2545,Transactions!$H$8:$H$3006))</f>
        <v/>
      </c>
      <c r="D2545" s="51" t="str">
        <f>IF(B2545="","",SUMIF(Transactions!$F$8:$F$3006,B2545,Transactions!$N$8:$N$3006))</f>
        <v/>
      </c>
      <c r="E2545" s="52" t="str">
        <f>IF(B2545="","",SUMIF(Transactions!$F$8:$F$3006,B2545,Transactions!$O$8:$O$3006))</f>
        <v/>
      </c>
      <c r="F2545" s="53" t="str">
        <f>IF(B2545="","",SUMIF(Transactions!$F$8:$F$3006,B2545,Transactions!$R$8:$R$3006))</f>
        <v/>
      </c>
      <c r="G2545" s="54" t="str">
        <f>IF(B2545="","",(C2545+F2545)-(D2545+E2545+SUMIF(Transactions!$F$8:$F$3006,B2545,Transactions!$Q$8:$Q$3006)))</f>
        <v/>
      </c>
      <c r="H2545" s="55" t="str">
        <f>IF(B2545="","",IF(G2545&gt;0,"OUTSTANDING",IF(G2545=0,"SETTLED",IF(SUMIF(Transactions!$F$8:$F$3006,B2545,Transactions!$Q$8:$Q$3006)&gt;SUMIF(Transactions!$F$8:$F$3006,B2545,Transactions!$R$8:$R$3006),"OWES","OVERPAID"))))</f>
        <v/>
      </c>
      <c r="I2545" s="1"/>
    </row>
    <row r="2546" spans="1:9" ht="18" customHeight="1" x14ac:dyDescent="0.25">
      <c r="A2546" s="40">
        <v>2531</v>
      </c>
      <c r="B2546" s="41" t="str">
        <f t="array" ref="B2546">IFERROR(IF(INDEX(Transactions!$F$8:$F$3006,MATCH(0,COUNTIF($B$11:B2545,Transactions!$F$8:$F$3006),0))="","",INDEX(Transactions!$F$8:$F$3006,MATCH(0,COUNTIF($B$11:B2545,Transactions!$F$8:$F$3006),0))),"")</f>
        <v/>
      </c>
      <c r="C2546" s="42" t="str">
        <f>IF(B2546="","",SUMIF(Transactions!$F$8:$F$3006,B2546,Transactions!$H$8:$H$3006))</f>
        <v/>
      </c>
      <c r="D2546" s="43" t="str">
        <f>IF(B2546="","",SUMIF(Transactions!$F$8:$F$3006,B2546,Transactions!$N$8:$N$3006))</f>
        <v/>
      </c>
      <c r="E2546" s="44" t="str">
        <f>IF(B2546="","",SUMIF(Transactions!$F$8:$F$3006,B2546,Transactions!$O$8:$O$3006))</f>
        <v/>
      </c>
      <c r="F2546" s="45" t="str">
        <f>IF(B2546="","",SUMIF(Transactions!$F$8:$F$3006,B2546,Transactions!$R$8:$R$3006))</f>
        <v/>
      </c>
      <c r="G2546" s="46" t="str">
        <f>IF(B2546="","",(C2546+F2546)-(D2546+E2546+SUMIF(Transactions!$F$8:$F$3006,B2546,Transactions!$Q$8:$Q$3006)))</f>
        <v/>
      </c>
      <c r="H2546" s="47" t="str">
        <f>IF(B2546="","",IF(G2546&gt;0,"OUTSTANDING",IF(G2546=0,"SETTLED",IF(SUMIF(Transactions!$F$8:$F$3006,B2546,Transactions!$Q$8:$Q$3006)&gt;SUMIF(Transactions!$F$8:$F$3006,B2546,Transactions!$R$8:$R$3006),"OWES","OVERPAID"))))</f>
        <v/>
      </c>
      <c r="I2546" s="1"/>
    </row>
    <row r="2547" spans="1:9" ht="18" customHeight="1" x14ac:dyDescent="0.25">
      <c r="A2547" s="48">
        <v>2532</v>
      </c>
      <c r="B2547" s="49" t="str">
        <f t="array" ref="B2547">IFERROR(IF(INDEX(Transactions!$F$8:$F$3006,MATCH(0,COUNTIF($B$11:B2546,Transactions!$F$8:$F$3006),0))="","",INDEX(Transactions!$F$8:$F$3006,MATCH(0,COUNTIF($B$11:B2546,Transactions!$F$8:$F$3006),0))),"")</f>
        <v/>
      </c>
      <c r="C2547" s="50" t="str">
        <f>IF(B2547="","",SUMIF(Transactions!$F$8:$F$3006,B2547,Transactions!$H$8:$H$3006))</f>
        <v/>
      </c>
      <c r="D2547" s="51" t="str">
        <f>IF(B2547="","",SUMIF(Transactions!$F$8:$F$3006,B2547,Transactions!$N$8:$N$3006))</f>
        <v/>
      </c>
      <c r="E2547" s="52" t="str">
        <f>IF(B2547="","",SUMIF(Transactions!$F$8:$F$3006,B2547,Transactions!$O$8:$O$3006))</f>
        <v/>
      </c>
      <c r="F2547" s="53" t="str">
        <f>IF(B2547="","",SUMIF(Transactions!$F$8:$F$3006,B2547,Transactions!$R$8:$R$3006))</f>
        <v/>
      </c>
      <c r="G2547" s="54" t="str">
        <f>IF(B2547="","",(C2547+F2547)-(D2547+E2547+SUMIF(Transactions!$F$8:$F$3006,B2547,Transactions!$Q$8:$Q$3006)))</f>
        <v/>
      </c>
      <c r="H2547" s="55" t="str">
        <f>IF(B2547="","",IF(G2547&gt;0,"OUTSTANDING",IF(G2547=0,"SETTLED",IF(SUMIF(Transactions!$F$8:$F$3006,B2547,Transactions!$Q$8:$Q$3006)&gt;SUMIF(Transactions!$F$8:$F$3006,B2547,Transactions!$R$8:$R$3006),"OWES","OVERPAID"))))</f>
        <v/>
      </c>
      <c r="I2547" s="1"/>
    </row>
    <row r="2548" spans="1:9" ht="18" customHeight="1" x14ac:dyDescent="0.25">
      <c r="A2548" s="40">
        <v>2533</v>
      </c>
      <c r="B2548" s="41" t="str">
        <f t="array" ref="B2548">IFERROR(IF(INDEX(Transactions!$F$8:$F$3006,MATCH(0,COUNTIF($B$11:B2547,Transactions!$F$8:$F$3006),0))="","",INDEX(Transactions!$F$8:$F$3006,MATCH(0,COUNTIF($B$11:B2547,Transactions!$F$8:$F$3006),0))),"")</f>
        <v/>
      </c>
      <c r="C2548" s="42" t="str">
        <f>IF(B2548="","",SUMIF(Transactions!$F$8:$F$3006,B2548,Transactions!$H$8:$H$3006))</f>
        <v/>
      </c>
      <c r="D2548" s="43" t="str">
        <f>IF(B2548="","",SUMIF(Transactions!$F$8:$F$3006,B2548,Transactions!$N$8:$N$3006))</f>
        <v/>
      </c>
      <c r="E2548" s="44" t="str">
        <f>IF(B2548="","",SUMIF(Transactions!$F$8:$F$3006,B2548,Transactions!$O$8:$O$3006))</f>
        <v/>
      </c>
      <c r="F2548" s="45" t="str">
        <f>IF(B2548="","",SUMIF(Transactions!$F$8:$F$3006,B2548,Transactions!$R$8:$R$3006))</f>
        <v/>
      </c>
      <c r="G2548" s="46" t="str">
        <f>IF(B2548="","",(C2548+F2548)-(D2548+E2548+SUMIF(Transactions!$F$8:$F$3006,B2548,Transactions!$Q$8:$Q$3006)))</f>
        <v/>
      </c>
      <c r="H2548" s="47" t="str">
        <f>IF(B2548="","",IF(G2548&gt;0,"OUTSTANDING",IF(G2548=0,"SETTLED",IF(SUMIF(Transactions!$F$8:$F$3006,B2548,Transactions!$Q$8:$Q$3006)&gt;SUMIF(Transactions!$F$8:$F$3006,B2548,Transactions!$R$8:$R$3006),"OWES","OVERPAID"))))</f>
        <v/>
      </c>
      <c r="I2548" s="1"/>
    </row>
    <row r="2549" spans="1:9" ht="18" customHeight="1" x14ac:dyDescent="0.25">
      <c r="A2549" s="48">
        <v>2534</v>
      </c>
      <c r="B2549" s="49" t="str">
        <f t="array" ref="B2549">IFERROR(IF(INDEX(Transactions!$F$8:$F$3006,MATCH(0,COUNTIF($B$11:B2548,Transactions!$F$8:$F$3006),0))="","",INDEX(Transactions!$F$8:$F$3006,MATCH(0,COUNTIF($B$11:B2548,Transactions!$F$8:$F$3006),0))),"")</f>
        <v/>
      </c>
      <c r="C2549" s="50" t="str">
        <f>IF(B2549="","",SUMIF(Transactions!$F$8:$F$3006,B2549,Transactions!$H$8:$H$3006))</f>
        <v/>
      </c>
      <c r="D2549" s="51" t="str">
        <f>IF(B2549="","",SUMIF(Transactions!$F$8:$F$3006,B2549,Transactions!$N$8:$N$3006))</f>
        <v/>
      </c>
      <c r="E2549" s="52" t="str">
        <f>IF(B2549="","",SUMIF(Transactions!$F$8:$F$3006,B2549,Transactions!$O$8:$O$3006))</f>
        <v/>
      </c>
      <c r="F2549" s="53" t="str">
        <f>IF(B2549="","",SUMIF(Transactions!$F$8:$F$3006,B2549,Transactions!$R$8:$R$3006))</f>
        <v/>
      </c>
      <c r="G2549" s="54" t="str">
        <f>IF(B2549="","",(C2549+F2549)-(D2549+E2549+SUMIF(Transactions!$F$8:$F$3006,B2549,Transactions!$Q$8:$Q$3006)))</f>
        <v/>
      </c>
      <c r="H2549" s="55" t="str">
        <f>IF(B2549="","",IF(G2549&gt;0,"OUTSTANDING",IF(G2549=0,"SETTLED",IF(SUMIF(Transactions!$F$8:$F$3006,B2549,Transactions!$Q$8:$Q$3006)&gt;SUMIF(Transactions!$F$8:$F$3006,B2549,Transactions!$R$8:$R$3006),"OWES","OVERPAID"))))</f>
        <v/>
      </c>
      <c r="I2549" s="1"/>
    </row>
    <row r="2550" spans="1:9" ht="18" customHeight="1" x14ac:dyDescent="0.25">
      <c r="A2550" s="40">
        <v>2535</v>
      </c>
      <c r="B2550" s="41" t="str">
        <f t="array" ref="B2550">IFERROR(IF(INDEX(Transactions!$F$8:$F$3006,MATCH(0,COUNTIF($B$11:B2549,Transactions!$F$8:$F$3006),0))="","",INDEX(Transactions!$F$8:$F$3006,MATCH(0,COUNTIF($B$11:B2549,Transactions!$F$8:$F$3006),0))),"")</f>
        <v/>
      </c>
      <c r="C2550" s="42" t="str">
        <f>IF(B2550="","",SUMIF(Transactions!$F$8:$F$3006,B2550,Transactions!$H$8:$H$3006))</f>
        <v/>
      </c>
      <c r="D2550" s="43" t="str">
        <f>IF(B2550="","",SUMIF(Transactions!$F$8:$F$3006,B2550,Transactions!$N$8:$N$3006))</f>
        <v/>
      </c>
      <c r="E2550" s="44" t="str">
        <f>IF(B2550="","",SUMIF(Transactions!$F$8:$F$3006,B2550,Transactions!$O$8:$O$3006))</f>
        <v/>
      </c>
      <c r="F2550" s="45" t="str">
        <f>IF(B2550="","",SUMIF(Transactions!$F$8:$F$3006,B2550,Transactions!$R$8:$R$3006))</f>
        <v/>
      </c>
      <c r="G2550" s="46" t="str">
        <f>IF(B2550="","",(C2550+F2550)-(D2550+E2550+SUMIF(Transactions!$F$8:$F$3006,B2550,Transactions!$Q$8:$Q$3006)))</f>
        <v/>
      </c>
      <c r="H2550" s="47" t="str">
        <f>IF(B2550="","",IF(G2550&gt;0,"OUTSTANDING",IF(G2550=0,"SETTLED",IF(SUMIF(Transactions!$F$8:$F$3006,B2550,Transactions!$Q$8:$Q$3006)&gt;SUMIF(Transactions!$F$8:$F$3006,B2550,Transactions!$R$8:$R$3006),"OWES","OVERPAID"))))</f>
        <v/>
      </c>
      <c r="I2550" s="1"/>
    </row>
    <row r="2551" spans="1:9" ht="18" customHeight="1" x14ac:dyDescent="0.25">
      <c r="A2551" s="48">
        <v>2536</v>
      </c>
      <c r="B2551" s="49" t="str">
        <f t="array" ref="B2551">IFERROR(IF(INDEX(Transactions!$F$8:$F$3006,MATCH(0,COUNTIF($B$11:B2550,Transactions!$F$8:$F$3006),0))="","",INDEX(Transactions!$F$8:$F$3006,MATCH(0,COUNTIF($B$11:B2550,Transactions!$F$8:$F$3006),0))),"")</f>
        <v/>
      </c>
      <c r="C2551" s="50" t="str">
        <f>IF(B2551="","",SUMIF(Transactions!$F$8:$F$3006,B2551,Transactions!$H$8:$H$3006))</f>
        <v/>
      </c>
      <c r="D2551" s="51" t="str">
        <f>IF(B2551="","",SUMIF(Transactions!$F$8:$F$3006,B2551,Transactions!$N$8:$N$3006))</f>
        <v/>
      </c>
      <c r="E2551" s="52" t="str">
        <f>IF(B2551="","",SUMIF(Transactions!$F$8:$F$3006,B2551,Transactions!$O$8:$O$3006))</f>
        <v/>
      </c>
      <c r="F2551" s="53" t="str">
        <f>IF(B2551="","",SUMIF(Transactions!$F$8:$F$3006,B2551,Transactions!$R$8:$R$3006))</f>
        <v/>
      </c>
      <c r="G2551" s="54" t="str">
        <f>IF(B2551="","",(C2551+F2551)-(D2551+E2551+SUMIF(Transactions!$F$8:$F$3006,B2551,Transactions!$Q$8:$Q$3006)))</f>
        <v/>
      </c>
      <c r="H2551" s="55" t="str">
        <f>IF(B2551="","",IF(G2551&gt;0,"OUTSTANDING",IF(G2551=0,"SETTLED",IF(SUMIF(Transactions!$F$8:$F$3006,B2551,Transactions!$Q$8:$Q$3006)&gt;SUMIF(Transactions!$F$8:$F$3006,B2551,Transactions!$R$8:$R$3006),"OWES","OVERPAID"))))</f>
        <v/>
      </c>
      <c r="I2551" s="1"/>
    </row>
    <row r="2552" spans="1:9" ht="18" customHeight="1" x14ac:dyDescent="0.25">
      <c r="A2552" s="40">
        <v>2537</v>
      </c>
      <c r="B2552" s="41" t="str">
        <f t="array" ref="B2552">IFERROR(IF(INDEX(Transactions!$F$8:$F$3006,MATCH(0,COUNTIF($B$11:B2551,Transactions!$F$8:$F$3006),0))="","",INDEX(Transactions!$F$8:$F$3006,MATCH(0,COUNTIF($B$11:B2551,Transactions!$F$8:$F$3006),0))),"")</f>
        <v/>
      </c>
      <c r="C2552" s="42" t="str">
        <f>IF(B2552="","",SUMIF(Transactions!$F$8:$F$3006,B2552,Transactions!$H$8:$H$3006))</f>
        <v/>
      </c>
      <c r="D2552" s="43" t="str">
        <f>IF(B2552="","",SUMIF(Transactions!$F$8:$F$3006,B2552,Transactions!$N$8:$N$3006))</f>
        <v/>
      </c>
      <c r="E2552" s="44" t="str">
        <f>IF(B2552="","",SUMIF(Transactions!$F$8:$F$3006,B2552,Transactions!$O$8:$O$3006))</f>
        <v/>
      </c>
      <c r="F2552" s="45" t="str">
        <f>IF(B2552="","",SUMIF(Transactions!$F$8:$F$3006,B2552,Transactions!$R$8:$R$3006))</f>
        <v/>
      </c>
      <c r="G2552" s="46" t="str">
        <f>IF(B2552="","",(C2552+F2552)-(D2552+E2552+SUMIF(Transactions!$F$8:$F$3006,B2552,Transactions!$Q$8:$Q$3006)))</f>
        <v/>
      </c>
      <c r="H2552" s="47" t="str">
        <f>IF(B2552="","",IF(G2552&gt;0,"OUTSTANDING",IF(G2552=0,"SETTLED",IF(SUMIF(Transactions!$F$8:$F$3006,B2552,Transactions!$Q$8:$Q$3006)&gt;SUMIF(Transactions!$F$8:$F$3006,B2552,Transactions!$R$8:$R$3006),"OWES","OVERPAID"))))</f>
        <v/>
      </c>
      <c r="I2552" s="1"/>
    </row>
    <row r="2553" spans="1:9" ht="18" customHeight="1" x14ac:dyDescent="0.25">
      <c r="A2553" s="48">
        <v>2538</v>
      </c>
      <c r="B2553" s="49" t="str">
        <f t="array" ref="B2553">IFERROR(IF(INDEX(Transactions!$F$8:$F$3006,MATCH(0,COUNTIF($B$11:B2552,Transactions!$F$8:$F$3006),0))="","",INDEX(Transactions!$F$8:$F$3006,MATCH(0,COUNTIF($B$11:B2552,Transactions!$F$8:$F$3006),0))),"")</f>
        <v/>
      </c>
      <c r="C2553" s="50" t="str">
        <f>IF(B2553="","",SUMIF(Transactions!$F$8:$F$3006,B2553,Transactions!$H$8:$H$3006))</f>
        <v/>
      </c>
      <c r="D2553" s="51" t="str">
        <f>IF(B2553="","",SUMIF(Transactions!$F$8:$F$3006,B2553,Transactions!$N$8:$N$3006))</f>
        <v/>
      </c>
      <c r="E2553" s="52" t="str">
        <f>IF(B2553="","",SUMIF(Transactions!$F$8:$F$3006,B2553,Transactions!$O$8:$O$3006))</f>
        <v/>
      </c>
      <c r="F2553" s="53" t="str">
        <f>IF(B2553="","",SUMIF(Transactions!$F$8:$F$3006,B2553,Transactions!$R$8:$R$3006))</f>
        <v/>
      </c>
      <c r="G2553" s="54" t="str">
        <f>IF(B2553="","",(C2553+F2553)-(D2553+E2553+SUMIF(Transactions!$F$8:$F$3006,B2553,Transactions!$Q$8:$Q$3006)))</f>
        <v/>
      </c>
      <c r="H2553" s="55" t="str">
        <f>IF(B2553="","",IF(G2553&gt;0,"OUTSTANDING",IF(G2553=0,"SETTLED",IF(SUMIF(Transactions!$F$8:$F$3006,B2553,Transactions!$Q$8:$Q$3006)&gt;SUMIF(Transactions!$F$8:$F$3006,B2553,Transactions!$R$8:$R$3006),"OWES","OVERPAID"))))</f>
        <v/>
      </c>
      <c r="I2553" s="1"/>
    </row>
    <row r="2554" spans="1:9" ht="18" customHeight="1" x14ac:dyDescent="0.25">
      <c r="A2554" s="40">
        <v>2539</v>
      </c>
      <c r="B2554" s="41" t="str">
        <f t="array" ref="B2554">IFERROR(IF(INDEX(Transactions!$F$8:$F$3006,MATCH(0,COUNTIF($B$11:B2553,Transactions!$F$8:$F$3006),0))="","",INDEX(Transactions!$F$8:$F$3006,MATCH(0,COUNTIF($B$11:B2553,Transactions!$F$8:$F$3006),0))),"")</f>
        <v/>
      </c>
      <c r="C2554" s="42" t="str">
        <f>IF(B2554="","",SUMIF(Transactions!$F$8:$F$3006,B2554,Transactions!$H$8:$H$3006))</f>
        <v/>
      </c>
      <c r="D2554" s="43" t="str">
        <f>IF(B2554="","",SUMIF(Transactions!$F$8:$F$3006,B2554,Transactions!$N$8:$N$3006))</f>
        <v/>
      </c>
      <c r="E2554" s="44" t="str">
        <f>IF(B2554="","",SUMIF(Transactions!$F$8:$F$3006,B2554,Transactions!$O$8:$O$3006))</f>
        <v/>
      </c>
      <c r="F2554" s="45" t="str">
        <f>IF(B2554="","",SUMIF(Transactions!$F$8:$F$3006,B2554,Transactions!$R$8:$R$3006))</f>
        <v/>
      </c>
      <c r="G2554" s="46" t="str">
        <f>IF(B2554="","",(C2554+F2554)-(D2554+E2554+SUMIF(Transactions!$F$8:$F$3006,B2554,Transactions!$Q$8:$Q$3006)))</f>
        <v/>
      </c>
      <c r="H2554" s="47" t="str">
        <f>IF(B2554="","",IF(G2554&gt;0,"OUTSTANDING",IF(G2554=0,"SETTLED",IF(SUMIF(Transactions!$F$8:$F$3006,B2554,Transactions!$Q$8:$Q$3006)&gt;SUMIF(Transactions!$F$8:$F$3006,B2554,Transactions!$R$8:$R$3006),"OWES","OVERPAID"))))</f>
        <v/>
      </c>
      <c r="I2554" s="1"/>
    </row>
    <row r="2555" spans="1:9" ht="18" customHeight="1" x14ac:dyDescent="0.25">
      <c r="A2555" s="48">
        <v>2540</v>
      </c>
      <c r="B2555" s="49" t="str">
        <f t="array" ref="B2555">IFERROR(IF(INDEX(Transactions!$F$8:$F$3006,MATCH(0,COUNTIF($B$11:B2554,Transactions!$F$8:$F$3006),0))="","",INDEX(Transactions!$F$8:$F$3006,MATCH(0,COUNTIF($B$11:B2554,Transactions!$F$8:$F$3006),0))),"")</f>
        <v/>
      </c>
      <c r="C2555" s="50" t="str">
        <f>IF(B2555="","",SUMIF(Transactions!$F$8:$F$3006,B2555,Transactions!$H$8:$H$3006))</f>
        <v/>
      </c>
      <c r="D2555" s="51" t="str">
        <f>IF(B2555="","",SUMIF(Transactions!$F$8:$F$3006,B2555,Transactions!$N$8:$N$3006))</f>
        <v/>
      </c>
      <c r="E2555" s="52" t="str">
        <f>IF(B2555="","",SUMIF(Transactions!$F$8:$F$3006,B2555,Transactions!$O$8:$O$3006))</f>
        <v/>
      </c>
      <c r="F2555" s="53" t="str">
        <f>IF(B2555="","",SUMIF(Transactions!$F$8:$F$3006,B2555,Transactions!$R$8:$R$3006))</f>
        <v/>
      </c>
      <c r="G2555" s="54" t="str">
        <f>IF(B2555="","",(C2555+F2555)-(D2555+E2555+SUMIF(Transactions!$F$8:$F$3006,B2555,Transactions!$Q$8:$Q$3006)))</f>
        <v/>
      </c>
      <c r="H2555" s="55" t="str">
        <f>IF(B2555="","",IF(G2555&gt;0,"OUTSTANDING",IF(G2555=0,"SETTLED",IF(SUMIF(Transactions!$F$8:$F$3006,B2555,Transactions!$Q$8:$Q$3006)&gt;SUMIF(Transactions!$F$8:$F$3006,B2555,Transactions!$R$8:$R$3006),"OWES","OVERPAID"))))</f>
        <v/>
      </c>
      <c r="I2555" s="1"/>
    </row>
    <row r="2556" spans="1:9" ht="18" customHeight="1" x14ac:dyDescent="0.25">
      <c r="A2556" s="40">
        <v>2541</v>
      </c>
      <c r="B2556" s="41" t="str">
        <f t="array" ref="B2556">IFERROR(IF(INDEX(Transactions!$F$8:$F$3006,MATCH(0,COUNTIF($B$11:B2555,Transactions!$F$8:$F$3006),0))="","",INDEX(Transactions!$F$8:$F$3006,MATCH(0,COUNTIF($B$11:B2555,Transactions!$F$8:$F$3006),0))),"")</f>
        <v/>
      </c>
      <c r="C2556" s="42" t="str">
        <f>IF(B2556="","",SUMIF(Transactions!$F$8:$F$3006,B2556,Transactions!$H$8:$H$3006))</f>
        <v/>
      </c>
      <c r="D2556" s="43" t="str">
        <f>IF(B2556="","",SUMIF(Transactions!$F$8:$F$3006,B2556,Transactions!$N$8:$N$3006))</f>
        <v/>
      </c>
      <c r="E2556" s="44" t="str">
        <f>IF(B2556="","",SUMIF(Transactions!$F$8:$F$3006,B2556,Transactions!$O$8:$O$3006))</f>
        <v/>
      </c>
      <c r="F2556" s="45" t="str">
        <f>IF(B2556="","",SUMIF(Transactions!$F$8:$F$3006,B2556,Transactions!$R$8:$R$3006))</f>
        <v/>
      </c>
      <c r="G2556" s="46" t="str">
        <f>IF(B2556="","",(C2556+F2556)-(D2556+E2556+SUMIF(Transactions!$F$8:$F$3006,B2556,Transactions!$Q$8:$Q$3006)))</f>
        <v/>
      </c>
      <c r="H2556" s="47" t="str">
        <f>IF(B2556="","",IF(G2556&gt;0,"OUTSTANDING",IF(G2556=0,"SETTLED",IF(SUMIF(Transactions!$F$8:$F$3006,B2556,Transactions!$Q$8:$Q$3006)&gt;SUMIF(Transactions!$F$8:$F$3006,B2556,Transactions!$R$8:$R$3006),"OWES","OVERPAID"))))</f>
        <v/>
      </c>
      <c r="I2556" s="1"/>
    </row>
    <row r="2557" spans="1:9" ht="18" customHeight="1" x14ac:dyDescent="0.25">
      <c r="A2557" s="48">
        <v>2542</v>
      </c>
      <c r="B2557" s="49" t="str">
        <f t="array" ref="B2557">IFERROR(IF(INDEX(Transactions!$F$8:$F$3006,MATCH(0,COUNTIF($B$11:B2556,Transactions!$F$8:$F$3006),0))="","",INDEX(Transactions!$F$8:$F$3006,MATCH(0,COUNTIF($B$11:B2556,Transactions!$F$8:$F$3006),0))),"")</f>
        <v/>
      </c>
      <c r="C2557" s="50" t="str">
        <f>IF(B2557="","",SUMIF(Transactions!$F$8:$F$3006,B2557,Transactions!$H$8:$H$3006))</f>
        <v/>
      </c>
      <c r="D2557" s="51" t="str">
        <f>IF(B2557="","",SUMIF(Transactions!$F$8:$F$3006,B2557,Transactions!$N$8:$N$3006))</f>
        <v/>
      </c>
      <c r="E2557" s="52" t="str">
        <f>IF(B2557="","",SUMIF(Transactions!$F$8:$F$3006,B2557,Transactions!$O$8:$O$3006))</f>
        <v/>
      </c>
      <c r="F2557" s="53" t="str">
        <f>IF(B2557="","",SUMIF(Transactions!$F$8:$F$3006,B2557,Transactions!$R$8:$R$3006))</f>
        <v/>
      </c>
      <c r="G2557" s="54" t="str">
        <f>IF(B2557="","",(C2557+F2557)-(D2557+E2557+SUMIF(Transactions!$F$8:$F$3006,B2557,Transactions!$Q$8:$Q$3006)))</f>
        <v/>
      </c>
      <c r="H2557" s="55" t="str">
        <f>IF(B2557="","",IF(G2557&gt;0,"OUTSTANDING",IF(G2557=0,"SETTLED",IF(SUMIF(Transactions!$F$8:$F$3006,B2557,Transactions!$Q$8:$Q$3006)&gt;SUMIF(Transactions!$F$8:$F$3006,B2557,Transactions!$R$8:$R$3006),"OWES","OVERPAID"))))</f>
        <v/>
      </c>
      <c r="I2557" s="1"/>
    </row>
    <row r="2558" spans="1:9" ht="18" customHeight="1" x14ac:dyDescent="0.25">
      <c r="A2558" s="40">
        <v>2543</v>
      </c>
      <c r="B2558" s="41" t="str">
        <f t="array" ref="B2558">IFERROR(IF(INDEX(Transactions!$F$8:$F$3006,MATCH(0,COUNTIF($B$11:B2557,Transactions!$F$8:$F$3006),0))="","",INDEX(Transactions!$F$8:$F$3006,MATCH(0,COUNTIF($B$11:B2557,Transactions!$F$8:$F$3006),0))),"")</f>
        <v/>
      </c>
      <c r="C2558" s="42" t="str">
        <f>IF(B2558="","",SUMIF(Transactions!$F$8:$F$3006,B2558,Transactions!$H$8:$H$3006))</f>
        <v/>
      </c>
      <c r="D2558" s="43" t="str">
        <f>IF(B2558="","",SUMIF(Transactions!$F$8:$F$3006,B2558,Transactions!$N$8:$N$3006))</f>
        <v/>
      </c>
      <c r="E2558" s="44" t="str">
        <f>IF(B2558="","",SUMIF(Transactions!$F$8:$F$3006,B2558,Transactions!$O$8:$O$3006))</f>
        <v/>
      </c>
      <c r="F2558" s="45" t="str">
        <f>IF(B2558="","",SUMIF(Transactions!$F$8:$F$3006,B2558,Transactions!$R$8:$R$3006))</f>
        <v/>
      </c>
      <c r="G2558" s="46" t="str">
        <f>IF(B2558="","",(C2558+F2558)-(D2558+E2558+SUMIF(Transactions!$F$8:$F$3006,B2558,Transactions!$Q$8:$Q$3006)))</f>
        <v/>
      </c>
      <c r="H2558" s="47" t="str">
        <f>IF(B2558="","",IF(G2558&gt;0,"OUTSTANDING",IF(G2558=0,"SETTLED",IF(SUMIF(Transactions!$F$8:$F$3006,B2558,Transactions!$Q$8:$Q$3006)&gt;SUMIF(Transactions!$F$8:$F$3006,B2558,Transactions!$R$8:$R$3006),"OWES","OVERPAID"))))</f>
        <v/>
      </c>
      <c r="I2558" s="1"/>
    </row>
    <row r="2559" spans="1:9" ht="18" customHeight="1" x14ac:dyDescent="0.25">
      <c r="A2559" s="48">
        <v>2544</v>
      </c>
      <c r="B2559" s="49" t="str">
        <f t="array" ref="B2559">IFERROR(IF(INDEX(Transactions!$F$8:$F$3006,MATCH(0,COUNTIF($B$11:B2558,Transactions!$F$8:$F$3006),0))="","",INDEX(Transactions!$F$8:$F$3006,MATCH(0,COUNTIF($B$11:B2558,Transactions!$F$8:$F$3006),0))),"")</f>
        <v/>
      </c>
      <c r="C2559" s="50" t="str">
        <f>IF(B2559="","",SUMIF(Transactions!$F$8:$F$3006,B2559,Transactions!$H$8:$H$3006))</f>
        <v/>
      </c>
      <c r="D2559" s="51" t="str">
        <f>IF(B2559="","",SUMIF(Transactions!$F$8:$F$3006,B2559,Transactions!$N$8:$N$3006))</f>
        <v/>
      </c>
      <c r="E2559" s="52" t="str">
        <f>IF(B2559="","",SUMIF(Transactions!$F$8:$F$3006,B2559,Transactions!$O$8:$O$3006))</f>
        <v/>
      </c>
      <c r="F2559" s="53" t="str">
        <f>IF(B2559="","",SUMIF(Transactions!$F$8:$F$3006,B2559,Transactions!$R$8:$R$3006))</f>
        <v/>
      </c>
      <c r="G2559" s="54" t="str">
        <f>IF(B2559="","",(C2559+F2559)-(D2559+E2559+SUMIF(Transactions!$F$8:$F$3006,B2559,Transactions!$Q$8:$Q$3006)))</f>
        <v/>
      </c>
      <c r="H2559" s="55" t="str">
        <f>IF(B2559="","",IF(G2559&gt;0,"OUTSTANDING",IF(G2559=0,"SETTLED",IF(SUMIF(Transactions!$F$8:$F$3006,B2559,Transactions!$Q$8:$Q$3006)&gt;SUMIF(Transactions!$F$8:$F$3006,B2559,Transactions!$R$8:$R$3006),"OWES","OVERPAID"))))</f>
        <v/>
      </c>
      <c r="I2559" s="1"/>
    </row>
    <row r="2560" spans="1:9" ht="18" customHeight="1" x14ac:dyDescent="0.25">
      <c r="A2560" s="40">
        <v>2545</v>
      </c>
      <c r="B2560" s="41" t="str">
        <f t="array" ref="B2560">IFERROR(IF(INDEX(Transactions!$F$8:$F$3006,MATCH(0,COUNTIF($B$11:B2559,Transactions!$F$8:$F$3006),0))="","",INDEX(Transactions!$F$8:$F$3006,MATCH(0,COUNTIF($B$11:B2559,Transactions!$F$8:$F$3006),0))),"")</f>
        <v/>
      </c>
      <c r="C2560" s="42" t="str">
        <f>IF(B2560="","",SUMIF(Transactions!$F$8:$F$3006,B2560,Transactions!$H$8:$H$3006))</f>
        <v/>
      </c>
      <c r="D2560" s="43" t="str">
        <f>IF(B2560="","",SUMIF(Transactions!$F$8:$F$3006,B2560,Transactions!$N$8:$N$3006))</f>
        <v/>
      </c>
      <c r="E2560" s="44" t="str">
        <f>IF(B2560="","",SUMIF(Transactions!$F$8:$F$3006,B2560,Transactions!$O$8:$O$3006))</f>
        <v/>
      </c>
      <c r="F2560" s="45" t="str">
        <f>IF(B2560="","",SUMIF(Transactions!$F$8:$F$3006,B2560,Transactions!$R$8:$R$3006))</f>
        <v/>
      </c>
      <c r="G2560" s="46" t="str">
        <f>IF(B2560="","",(C2560+F2560)-(D2560+E2560+SUMIF(Transactions!$F$8:$F$3006,B2560,Transactions!$Q$8:$Q$3006)))</f>
        <v/>
      </c>
      <c r="H2560" s="47" t="str">
        <f>IF(B2560="","",IF(G2560&gt;0,"OUTSTANDING",IF(G2560=0,"SETTLED",IF(SUMIF(Transactions!$F$8:$F$3006,B2560,Transactions!$Q$8:$Q$3006)&gt;SUMIF(Transactions!$F$8:$F$3006,B2560,Transactions!$R$8:$R$3006),"OWES","OVERPAID"))))</f>
        <v/>
      </c>
      <c r="I2560" s="1"/>
    </row>
    <row r="2561" spans="1:9" ht="18" customHeight="1" x14ac:dyDescent="0.25">
      <c r="A2561" s="48">
        <v>2546</v>
      </c>
      <c r="B2561" s="49" t="str">
        <f t="array" ref="B2561">IFERROR(IF(INDEX(Transactions!$F$8:$F$3006,MATCH(0,COUNTIF($B$11:B2560,Transactions!$F$8:$F$3006),0))="","",INDEX(Transactions!$F$8:$F$3006,MATCH(0,COUNTIF($B$11:B2560,Transactions!$F$8:$F$3006),0))),"")</f>
        <v/>
      </c>
      <c r="C2561" s="50" t="str">
        <f>IF(B2561="","",SUMIF(Transactions!$F$8:$F$3006,B2561,Transactions!$H$8:$H$3006))</f>
        <v/>
      </c>
      <c r="D2561" s="51" t="str">
        <f>IF(B2561="","",SUMIF(Transactions!$F$8:$F$3006,B2561,Transactions!$N$8:$N$3006))</f>
        <v/>
      </c>
      <c r="E2561" s="52" t="str">
        <f>IF(B2561="","",SUMIF(Transactions!$F$8:$F$3006,B2561,Transactions!$O$8:$O$3006))</f>
        <v/>
      </c>
      <c r="F2561" s="53" t="str">
        <f>IF(B2561="","",SUMIF(Transactions!$F$8:$F$3006,B2561,Transactions!$R$8:$R$3006))</f>
        <v/>
      </c>
      <c r="G2561" s="54" t="str">
        <f>IF(B2561="","",(C2561+F2561)-(D2561+E2561+SUMIF(Transactions!$F$8:$F$3006,B2561,Transactions!$Q$8:$Q$3006)))</f>
        <v/>
      </c>
      <c r="H2561" s="55" t="str">
        <f>IF(B2561="","",IF(G2561&gt;0,"OUTSTANDING",IF(G2561=0,"SETTLED",IF(SUMIF(Transactions!$F$8:$F$3006,B2561,Transactions!$Q$8:$Q$3006)&gt;SUMIF(Transactions!$F$8:$F$3006,B2561,Transactions!$R$8:$R$3006),"OWES","OVERPAID"))))</f>
        <v/>
      </c>
      <c r="I2561" s="1"/>
    </row>
    <row r="2562" spans="1:9" ht="18" customHeight="1" x14ac:dyDescent="0.25">
      <c r="A2562" s="40">
        <v>2547</v>
      </c>
      <c r="B2562" s="41" t="str">
        <f t="array" ref="B2562">IFERROR(IF(INDEX(Transactions!$F$8:$F$3006,MATCH(0,COUNTIF($B$11:B2561,Transactions!$F$8:$F$3006),0))="","",INDEX(Transactions!$F$8:$F$3006,MATCH(0,COUNTIF($B$11:B2561,Transactions!$F$8:$F$3006),0))),"")</f>
        <v/>
      </c>
      <c r="C2562" s="42" t="str">
        <f>IF(B2562="","",SUMIF(Transactions!$F$8:$F$3006,B2562,Transactions!$H$8:$H$3006))</f>
        <v/>
      </c>
      <c r="D2562" s="43" t="str">
        <f>IF(B2562="","",SUMIF(Transactions!$F$8:$F$3006,B2562,Transactions!$N$8:$N$3006))</f>
        <v/>
      </c>
      <c r="E2562" s="44" t="str">
        <f>IF(B2562="","",SUMIF(Transactions!$F$8:$F$3006,B2562,Transactions!$O$8:$O$3006))</f>
        <v/>
      </c>
      <c r="F2562" s="45" t="str">
        <f>IF(B2562="","",SUMIF(Transactions!$F$8:$F$3006,B2562,Transactions!$R$8:$R$3006))</f>
        <v/>
      </c>
      <c r="G2562" s="46" t="str">
        <f>IF(B2562="","",(C2562+F2562)-(D2562+E2562+SUMIF(Transactions!$F$8:$F$3006,B2562,Transactions!$Q$8:$Q$3006)))</f>
        <v/>
      </c>
      <c r="H2562" s="47" t="str">
        <f>IF(B2562="","",IF(G2562&gt;0,"OUTSTANDING",IF(G2562=0,"SETTLED",IF(SUMIF(Transactions!$F$8:$F$3006,B2562,Transactions!$Q$8:$Q$3006)&gt;SUMIF(Transactions!$F$8:$F$3006,B2562,Transactions!$R$8:$R$3006),"OWES","OVERPAID"))))</f>
        <v/>
      </c>
      <c r="I2562" s="1"/>
    </row>
    <row r="2563" spans="1:9" ht="18" customHeight="1" x14ac:dyDescent="0.25">
      <c r="A2563" s="48">
        <v>2548</v>
      </c>
      <c r="B2563" s="49" t="str">
        <f t="array" ref="B2563">IFERROR(IF(INDEX(Transactions!$F$8:$F$3006,MATCH(0,COUNTIF($B$11:B2562,Transactions!$F$8:$F$3006),0))="","",INDEX(Transactions!$F$8:$F$3006,MATCH(0,COUNTIF($B$11:B2562,Transactions!$F$8:$F$3006),0))),"")</f>
        <v/>
      </c>
      <c r="C2563" s="50" t="str">
        <f>IF(B2563="","",SUMIF(Transactions!$F$8:$F$3006,B2563,Transactions!$H$8:$H$3006))</f>
        <v/>
      </c>
      <c r="D2563" s="51" t="str">
        <f>IF(B2563="","",SUMIF(Transactions!$F$8:$F$3006,B2563,Transactions!$N$8:$N$3006))</f>
        <v/>
      </c>
      <c r="E2563" s="52" t="str">
        <f>IF(B2563="","",SUMIF(Transactions!$F$8:$F$3006,B2563,Transactions!$O$8:$O$3006))</f>
        <v/>
      </c>
      <c r="F2563" s="53" t="str">
        <f>IF(B2563="","",SUMIF(Transactions!$F$8:$F$3006,B2563,Transactions!$R$8:$R$3006))</f>
        <v/>
      </c>
      <c r="G2563" s="54" t="str">
        <f>IF(B2563="","",(C2563+F2563)-(D2563+E2563+SUMIF(Transactions!$F$8:$F$3006,B2563,Transactions!$Q$8:$Q$3006)))</f>
        <v/>
      </c>
      <c r="H2563" s="55" t="str">
        <f>IF(B2563="","",IF(G2563&gt;0,"OUTSTANDING",IF(G2563=0,"SETTLED",IF(SUMIF(Transactions!$F$8:$F$3006,B2563,Transactions!$Q$8:$Q$3006)&gt;SUMIF(Transactions!$F$8:$F$3006,B2563,Transactions!$R$8:$R$3006),"OWES","OVERPAID"))))</f>
        <v/>
      </c>
      <c r="I2563" s="1"/>
    </row>
    <row r="2564" spans="1:9" ht="18" customHeight="1" x14ac:dyDescent="0.25">
      <c r="A2564" s="40">
        <v>2549</v>
      </c>
      <c r="B2564" s="41" t="str">
        <f t="array" ref="B2564">IFERROR(IF(INDEX(Transactions!$F$8:$F$3006,MATCH(0,COUNTIF($B$11:B2563,Transactions!$F$8:$F$3006),0))="","",INDEX(Transactions!$F$8:$F$3006,MATCH(0,COUNTIF($B$11:B2563,Transactions!$F$8:$F$3006),0))),"")</f>
        <v/>
      </c>
      <c r="C2564" s="42" t="str">
        <f>IF(B2564="","",SUMIF(Transactions!$F$8:$F$3006,B2564,Transactions!$H$8:$H$3006))</f>
        <v/>
      </c>
      <c r="D2564" s="43" t="str">
        <f>IF(B2564="","",SUMIF(Transactions!$F$8:$F$3006,B2564,Transactions!$N$8:$N$3006))</f>
        <v/>
      </c>
      <c r="E2564" s="44" t="str">
        <f>IF(B2564="","",SUMIF(Transactions!$F$8:$F$3006,B2564,Transactions!$O$8:$O$3006))</f>
        <v/>
      </c>
      <c r="F2564" s="45" t="str">
        <f>IF(B2564="","",SUMIF(Transactions!$F$8:$F$3006,B2564,Transactions!$R$8:$R$3006))</f>
        <v/>
      </c>
      <c r="G2564" s="46" t="str">
        <f>IF(B2564="","",(C2564+F2564)-(D2564+E2564+SUMIF(Transactions!$F$8:$F$3006,B2564,Transactions!$Q$8:$Q$3006)))</f>
        <v/>
      </c>
      <c r="H2564" s="47" t="str">
        <f>IF(B2564="","",IF(G2564&gt;0,"OUTSTANDING",IF(G2564=0,"SETTLED",IF(SUMIF(Transactions!$F$8:$F$3006,B2564,Transactions!$Q$8:$Q$3006)&gt;SUMIF(Transactions!$F$8:$F$3006,B2564,Transactions!$R$8:$R$3006),"OWES","OVERPAID"))))</f>
        <v/>
      </c>
      <c r="I2564" s="1"/>
    </row>
    <row r="2565" spans="1:9" ht="18" customHeight="1" x14ac:dyDescent="0.25">
      <c r="A2565" s="48">
        <v>2550</v>
      </c>
      <c r="B2565" s="49" t="str">
        <f t="array" ref="B2565">IFERROR(IF(INDEX(Transactions!$F$8:$F$3006,MATCH(0,COUNTIF($B$11:B2564,Transactions!$F$8:$F$3006),0))="","",INDEX(Transactions!$F$8:$F$3006,MATCH(0,COUNTIF($B$11:B2564,Transactions!$F$8:$F$3006),0))),"")</f>
        <v/>
      </c>
      <c r="C2565" s="50" t="str">
        <f>IF(B2565="","",SUMIF(Transactions!$F$8:$F$3006,B2565,Transactions!$H$8:$H$3006))</f>
        <v/>
      </c>
      <c r="D2565" s="51" t="str">
        <f>IF(B2565="","",SUMIF(Transactions!$F$8:$F$3006,B2565,Transactions!$N$8:$N$3006))</f>
        <v/>
      </c>
      <c r="E2565" s="52" t="str">
        <f>IF(B2565="","",SUMIF(Transactions!$F$8:$F$3006,B2565,Transactions!$O$8:$O$3006))</f>
        <v/>
      </c>
      <c r="F2565" s="53" t="str">
        <f>IF(B2565="","",SUMIF(Transactions!$F$8:$F$3006,B2565,Transactions!$R$8:$R$3006))</f>
        <v/>
      </c>
      <c r="G2565" s="54" t="str">
        <f>IF(B2565="","",(C2565+F2565)-(D2565+E2565+SUMIF(Transactions!$F$8:$F$3006,B2565,Transactions!$Q$8:$Q$3006)))</f>
        <v/>
      </c>
      <c r="H2565" s="55" t="str">
        <f>IF(B2565="","",IF(G2565&gt;0,"OUTSTANDING",IF(G2565=0,"SETTLED",IF(SUMIF(Transactions!$F$8:$F$3006,B2565,Transactions!$Q$8:$Q$3006)&gt;SUMIF(Transactions!$F$8:$F$3006,B2565,Transactions!$R$8:$R$3006),"OWES","OVERPAID"))))</f>
        <v/>
      </c>
      <c r="I2565" s="1"/>
    </row>
    <row r="2566" spans="1:9" ht="18" customHeight="1" x14ac:dyDescent="0.25">
      <c r="A2566" s="40">
        <v>2551</v>
      </c>
      <c r="B2566" s="41" t="str">
        <f t="array" ref="B2566">IFERROR(IF(INDEX(Transactions!$F$8:$F$3006,MATCH(0,COUNTIF($B$11:B2565,Transactions!$F$8:$F$3006),0))="","",INDEX(Transactions!$F$8:$F$3006,MATCH(0,COUNTIF($B$11:B2565,Transactions!$F$8:$F$3006),0))),"")</f>
        <v/>
      </c>
      <c r="C2566" s="42" t="str">
        <f>IF(B2566="","",SUMIF(Transactions!$F$8:$F$3006,B2566,Transactions!$H$8:$H$3006))</f>
        <v/>
      </c>
      <c r="D2566" s="43" t="str">
        <f>IF(B2566="","",SUMIF(Transactions!$F$8:$F$3006,B2566,Transactions!$N$8:$N$3006))</f>
        <v/>
      </c>
      <c r="E2566" s="44" t="str">
        <f>IF(B2566="","",SUMIF(Transactions!$F$8:$F$3006,B2566,Transactions!$O$8:$O$3006))</f>
        <v/>
      </c>
      <c r="F2566" s="45" t="str">
        <f>IF(B2566="","",SUMIF(Transactions!$F$8:$F$3006,B2566,Transactions!$R$8:$R$3006))</f>
        <v/>
      </c>
      <c r="G2566" s="46" t="str">
        <f>IF(B2566="","",(C2566+F2566)-(D2566+E2566+SUMIF(Transactions!$F$8:$F$3006,B2566,Transactions!$Q$8:$Q$3006)))</f>
        <v/>
      </c>
      <c r="H2566" s="47" t="str">
        <f>IF(B2566="","",IF(G2566&gt;0,"OUTSTANDING",IF(G2566=0,"SETTLED",IF(SUMIF(Transactions!$F$8:$F$3006,B2566,Transactions!$Q$8:$Q$3006)&gt;SUMIF(Transactions!$F$8:$F$3006,B2566,Transactions!$R$8:$R$3006),"OWES","OVERPAID"))))</f>
        <v/>
      </c>
      <c r="I2566" s="1"/>
    </row>
    <row r="2567" spans="1:9" ht="18" customHeight="1" x14ac:dyDescent="0.25">
      <c r="A2567" s="48">
        <v>2552</v>
      </c>
      <c r="B2567" s="49" t="str">
        <f t="array" ref="B2567">IFERROR(IF(INDEX(Transactions!$F$8:$F$3006,MATCH(0,COUNTIF($B$11:B2566,Transactions!$F$8:$F$3006),0))="","",INDEX(Transactions!$F$8:$F$3006,MATCH(0,COUNTIF($B$11:B2566,Transactions!$F$8:$F$3006),0))),"")</f>
        <v/>
      </c>
      <c r="C2567" s="50" t="str">
        <f>IF(B2567="","",SUMIF(Transactions!$F$8:$F$3006,B2567,Transactions!$H$8:$H$3006))</f>
        <v/>
      </c>
      <c r="D2567" s="51" t="str">
        <f>IF(B2567="","",SUMIF(Transactions!$F$8:$F$3006,B2567,Transactions!$N$8:$N$3006))</f>
        <v/>
      </c>
      <c r="E2567" s="52" t="str">
        <f>IF(B2567="","",SUMIF(Transactions!$F$8:$F$3006,B2567,Transactions!$O$8:$O$3006))</f>
        <v/>
      </c>
      <c r="F2567" s="53" t="str">
        <f>IF(B2567="","",SUMIF(Transactions!$F$8:$F$3006,B2567,Transactions!$R$8:$R$3006))</f>
        <v/>
      </c>
      <c r="G2567" s="54" t="str">
        <f>IF(B2567="","",(C2567+F2567)-(D2567+E2567+SUMIF(Transactions!$F$8:$F$3006,B2567,Transactions!$Q$8:$Q$3006)))</f>
        <v/>
      </c>
      <c r="H2567" s="55" t="str">
        <f>IF(B2567="","",IF(G2567&gt;0,"OUTSTANDING",IF(G2567=0,"SETTLED",IF(SUMIF(Transactions!$F$8:$F$3006,B2567,Transactions!$Q$8:$Q$3006)&gt;SUMIF(Transactions!$F$8:$F$3006,B2567,Transactions!$R$8:$R$3006),"OWES","OVERPAID"))))</f>
        <v/>
      </c>
      <c r="I2567" s="1"/>
    </row>
    <row r="2568" spans="1:9" ht="18" customHeight="1" x14ac:dyDescent="0.25">
      <c r="A2568" s="40">
        <v>2553</v>
      </c>
      <c r="B2568" s="41" t="str">
        <f t="array" ref="B2568">IFERROR(IF(INDEX(Transactions!$F$8:$F$3006,MATCH(0,COUNTIF($B$11:B2567,Transactions!$F$8:$F$3006),0))="","",INDEX(Transactions!$F$8:$F$3006,MATCH(0,COUNTIF($B$11:B2567,Transactions!$F$8:$F$3006),0))),"")</f>
        <v/>
      </c>
      <c r="C2568" s="42" t="str">
        <f>IF(B2568="","",SUMIF(Transactions!$F$8:$F$3006,B2568,Transactions!$H$8:$H$3006))</f>
        <v/>
      </c>
      <c r="D2568" s="43" t="str">
        <f>IF(B2568="","",SUMIF(Transactions!$F$8:$F$3006,B2568,Transactions!$N$8:$N$3006))</f>
        <v/>
      </c>
      <c r="E2568" s="44" t="str">
        <f>IF(B2568="","",SUMIF(Transactions!$F$8:$F$3006,B2568,Transactions!$O$8:$O$3006))</f>
        <v/>
      </c>
      <c r="F2568" s="45" t="str">
        <f>IF(B2568="","",SUMIF(Transactions!$F$8:$F$3006,B2568,Transactions!$R$8:$R$3006))</f>
        <v/>
      </c>
      <c r="G2568" s="46" t="str">
        <f>IF(B2568="","",(C2568+F2568)-(D2568+E2568+SUMIF(Transactions!$F$8:$F$3006,B2568,Transactions!$Q$8:$Q$3006)))</f>
        <v/>
      </c>
      <c r="H2568" s="47" t="str">
        <f>IF(B2568="","",IF(G2568&gt;0,"OUTSTANDING",IF(G2568=0,"SETTLED",IF(SUMIF(Transactions!$F$8:$F$3006,B2568,Transactions!$Q$8:$Q$3006)&gt;SUMIF(Transactions!$F$8:$F$3006,B2568,Transactions!$R$8:$R$3006),"OWES","OVERPAID"))))</f>
        <v/>
      </c>
      <c r="I2568" s="1"/>
    </row>
    <row r="2569" spans="1:9" ht="18" customHeight="1" x14ac:dyDescent="0.25">
      <c r="A2569" s="48">
        <v>2554</v>
      </c>
      <c r="B2569" s="49" t="str">
        <f t="array" ref="B2569">IFERROR(IF(INDEX(Transactions!$F$8:$F$3006,MATCH(0,COUNTIF($B$11:B2568,Transactions!$F$8:$F$3006),0))="","",INDEX(Transactions!$F$8:$F$3006,MATCH(0,COUNTIF($B$11:B2568,Transactions!$F$8:$F$3006),0))),"")</f>
        <v/>
      </c>
      <c r="C2569" s="50" t="str">
        <f>IF(B2569="","",SUMIF(Transactions!$F$8:$F$3006,B2569,Transactions!$H$8:$H$3006))</f>
        <v/>
      </c>
      <c r="D2569" s="51" t="str">
        <f>IF(B2569="","",SUMIF(Transactions!$F$8:$F$3006,B2569,Transactions!$N$8:$N$3006))</f>
        <v/>
      </c>
      <c r="E2569" s="52" t="str">
        <f>IF(B2569="","",SUMIF(Transactions!$F$8:$F$3006,B2569,Transactions!$O$8:$O$3006))</f>
        <v/>
      </c>
      <c r="F2569" s="53" t="str">
        <f>IF(B2569="","",SUMIF(Transactions!$F$8:$F$3006,B2569,Transactions!$R$8:$R$3006))</f>
        <v/>
      </c>
      <c r="G2569" s="54" t="str">
        <f>IF(B2569="","",(C2569+F2569)-(D2569+E2569+SUMIF(Transactions!$F$8:$F$3006,B2569,Transactions!$Q$8:$Q$3006)))</f>
        <v/>
      </c>
      <c r="H2569" s="55" t="str">
        <f>IF(B2569="","",IF(G2569&gt;0,"OUTSTANDING",IF(G2569=0,"SETTLED",IF(SUMIF(Transactions!$F$8:$F$3006,B2569,Transactions!$Q$8:$Q$3006)&gt;SUMIF(Transactions!$F$8:$F$3006,B2569,Transactions!$R$8:$R$3006),"OWES","OVERPAID"))))</f>
        <v/>
      </c>
      <c r="I2569" s="1"/>
    </row>
    <row r="2570" spans="1:9" ht="18" customHeight="1" x14ac:dyDescent="0.25">
      <c r="A2570" s="40">
        <v>2555</v>
      </c>
      <c r="B2570" s="41" t="str">
        <f t="array" ref="B2570">IFERROR(IF(INDEX(Transactions!$F$8:$F$3006,MATCH(0,COUNTIF($B$11:B2569,Transactions!$F$8:$F$3006),0))="","",INDEX(Transactions!$F$8:$F$3006,MATCH(0,COUNTIF($B$11:B2569,Transactions!$F$8:$F$3006),0))),"")</f>
        <v/>
      </c>
      <c r="C2570" s="42" t="str">
        <f>IF(B2570="","",SUMIF(Transactions!$F$8:$F$3006,B2570,Transactions!$H$8:$H$3006))</f>
        <v/>
      </c>
      <c r="D2570" s="43" t="str">
        <f>IF(B2570="","",SUMIF(Transactions!$F$8:$F$3006,B2570,Transactions!$N$8:$N$3006))</f>
        <v/>
      </c>
      <c r="E2570" s="44" t="str">
        <f>IF(B2570="","",SUMIF(Transactions!$F$8:$F$3006,B2570,Transactions!$O$8:$O$3006))</f>
        <v/>
      </c>
      <c r="F2570" s="45" t="str">
        <f>IF(B2570="","",SUMIF(Transactions!$F$8:$F$3006,B2570,Transactions!$R$8:$R$3006))</f>
        <v/>
      </c>
      <c r="G2570" s="46" t="str">
        <f>IF(B2570="","",(C2570+F2570)-(D2570+E2570+SUMIF(Transactions!$F$8:$F$3006,B2570,Transactions!$Q$8:$Q$3006)))</f>
        <v/>
      </c>
      <c r="H2570" s="47" t="str">
        <f>IF(B2570="","",IF(G2570&gt;0,"OUTSTANDING",IF(G2570=0,"SETTLED",IF(SUMIF(Transactions!$F$8:$F$3006,B2570,Transactions!$Q$8:$Q$3006)&gt;SUMIF(Transactions!$F$8:$F$3006,B2570,Transactions!$R$8:$R$3006),"OWES","OVERPAID"))))</f>
        <v/>
      </c>
      <c r="I2570" s="1"/>
    </row>
    <row r="2571" spans="1:9" ht="18" customHeight="1" x14ac:dyDescent="0.25">
      <c r="A2571" s="48">
        <v>2556</v>
      </c>
      <c r="B2571" s="49" t="str">
        <f t="array" ref="B2571">IFERROR(IF(INDEX(Transactions!$F$8:$F$3006,MATCH(0,COUNTIF($B$11:B2570,Transactions!$F$8:$F$3006),0))="","",INDEX(Transactions!$F$8:$F$3006,MATCH(0,COUNTIF($B$11:B2570,Transactions!$F$8:$F$3006),0))),"")</f>
        <v/>
      </c>
      <c r="C2571" s="50" t="str">
        <f>IF(B2571="","",SUMIF(Transactions!$F$8:$F$3006,B2571,Transactions!$H$8:$H$3006))</f>
        <v/>
      </c>
      <c r="D2571" s="51" t="str">
        <f>IF(B2571="","",SUMIF(Transactions!$F$8:$F$3006,B2571,Transactions!$N$8:$N$3006))</f>
        <v/>
      </c>
      <c r="E2571" s="52" t="str">
        <f>IF(B2571="","",SUMIF(Transactions!$F$8:$F$3006,B2571,Transactions!$O$8:$O$3006))</f>
        <v/>
      </c>
      <c r="F2571" s="53" t="str">
        <f>IF(B2571="","",SUMIF(Transactions!$F$8:$F$3006,B2571,Transactions!$R$8:$R$3006))</f>
        <v/>
      </c>
      <c r="G2571" s="54" t="str">
        <f>IF(B2571="","",(C2571+F2571)-(D2571+E2571+SUMIF(Transactions!$F$8:$F$3006,B2571,Transactions!$Q$8:$Q$3006)))</f>
        <v/>
      </c>
      <c r="H2571" s="55" t="str">
        <f>IF(B2571="","",IF(G2571&gt;0,"OUTSTANDING",IF(G2571=0,"SETTLED",IF(SUMIF(Transactions!$F$8:$F$3006,B2571,Transactions!$Q$8:$Q$3006)&gt;SUMIF(Transactions!$F$8:$F$3006,B2571,Transactions!$R$8:$R$3006),"OWES","OVERPAID"))))</f>
        <v/>
      </c>
      <c r="I2571" s="1"/>
    </row>
    <row r="2572" spans="1:9" ht="18" customHeight="1" x14ac:dyDescent="0.25">
      <c r="A2572" s="40">
        <v>2557</v>
      </c>
      <c r="B2572" s="41" t="str">
        <f t="array" ref="B2572">IFERROR(IF(INDEX(Transactions!$F$8:$F$3006,MATCH(0,COUNTIF($B$11:B2571,Transactions!$F$8:$F$3006),0))="","",INDEX(Transactions!$F$8:$F$3006,MATCH(0,COUNTIF($B$11:B2571,Transactions!$F$8:$F$3006),0))),"")</f>
        <v/>
      </c>
      <c r="C2572" s="42" t="str">
        <f>IF(B2572="","",SUMIF(Transactions!$F$8:$F$3006,B2572,Transactions!$H$8:$H$3006))</f>
        <v/>
      </c>
      <c r="D2572" s="43" t="str">
        <f>IF(B2572="","",SUMIF(Transactions!$F$8:$F$3006,B2572,Transactions!$N$8:$N$3006))</f>
        <v/>
      </c>
      <c r="E2572" s="44" t="str">
        <f>IF(B2572="","",SUMIF(Transactions!$F$8:$F$3006,B2572,Transactions!$O$8:$O$3006))</f>
        <v/>
      </c>
      <c r="F2572" s="45" t="str">
        <f>IF(B2572="","",SUMIF(Transactions!$F$8:$F$3006,B2572,Transactions!$R$8:$R$3006))</f>
        <v/>
      </c>
      <c r="G2572" s="46" t="str">
        <f>IF(B2572="","",(C2572+F2572)-(D2572+E2572+SUMIF(Transactions!$F$8:$F$3006,B2572,Transactions!$Q$8:$Q$3006)))</f>
        <v/>
      </c>
      <c r="H2572" s="47" t="str">
        <f>IF(B2572="","",IF(G2572&gt;0,"OUTSTANDING",IF(G2572=0,"SETTLED",IF(SUMIF(Transactions!$F$8:$F$3006,B2572,Transactions!$Q$8:$Q$3006)&gt;SUMIF(Transactions!$F$8:$F$3006,B2572,Transactions!$R$8:$R$3006),"OWES","OVERPAID"))))</f>
        <v/>
      </c>
      <c r="I2572" s="1"/>
    </row>
    <row r="2573" spans="1:9" ht="18" customHeight="1" x14ac:dyDescent="0.25">
      <c r="A2573" s="48">
        <v>2558</v>
      </c>
      <c r="B2573" s="49" t="str">
        <f t="array" ref="B2573">IFERROR(IF(INDEX(Transactions!$F$8:$F$3006,MATCH(0,COUNTIF($B$11:B2572,Transactions!$F$8:$F$3006),0))="","",INDEX(Transactions!$F$8:$F$3006,MATCH(0,COUNTIF($B$11:B2572,Transactions!$F$8:$F$3006),0))),"")</f>
        <v/>
      </c>
      <c r="C2573" s="50" t="str">
        <f>IF(B2573="","",SUMIF(Transactions!$F$8:$F$3006,B2573,Transactions!$H$8:$H$3006))</f>
        <v/>
      </c>
      <c r="D2573" s="51" t="str">
        <f>IF(B2573="","",SUMIF(Transactions!$F$8:$F$3006,B2573,Transactions!$N$8:$N$3006))</f>
        <v/>
      </c>
      <c r="E2573" s="52" t="str">
        <f>IF(B2573="","",SUMIF(Transactions!$F$8:$F$3006,B2573,Transactions!$O$8:$O$3006))</f>
        <v/>
      </c>
      <c r="F2573" s="53" t="str">
        <f>IF(B2573="","",SUMIF(Transactions!$F$8:$F$3006,B2573,Transactions!$R$8:$R$3006))</f>
        <v/>
      </c>
      <c r="G2573" s="54" t="str">
        <f>IF(B2573="","",(C2573+F2573)-(D2573+E2573+SUMIF(Transactions!$F$8:$F$3006,B2573,Transactions!$Q$8:$Q$3006)))</f>
        <v/>
      </c>
      <c r="H2573" s="55" t="str">
        <f>IF(B2573="","",IF(G2573&gt;0,"OUTSTANDING",IF(G2573=0,"SETTLED",IF(SUMIF(Transactions!$F$8:$F$3006,B2573,Transactions!$Q$8:$Q$3006)&gt;SUMIF(Transactions!$F$8:$F$3006,B2573,Transactions!$R$8:$R$3006),"OWES","OVERPAID"))))</f>
        <v/>
      </c>
      <c r="I2573" s="1"/>
    </row>
    <row r="2574" spans="1:9" ht="18" customHeight="1" x14ac:dyDescent="0.25">
      <c r="A2574" s="40">
        <v>2559</v>
      </c>
      <c r="B2574" s="41" t="str">
        <f t="array" ref="B2574">IFERROR(IF(INDEX(Transactions!$F$8:$F$3006,MATCH(0,COUNTIF($B$11:B2573,Transactions!$F$8:$F$3006),0))="","",INDEX(Transactions!$F$8:$F$3006,MATCH(0,COUNTIF($B$11:B2573,Transactions!$F$8:$F$3006),0))),"")</f>
        <v/>
      </c>
      <c r="C2574" s="42" t="str">
        <f>IF(B2574="","",SUMIF(Transactions!$F$8:$F$3006,B2574,Transactions!$H$8:$H$3006))</f>
        <v/>
      </c>
      <c r="D2574" s="43" t="str">
        <f>IF(B2574="","",SUMIF(Transactions!$F$8:$F$3006,B2574,Transactions!$N$8:$N$3006))</f>
        <v/>
      </c>
      <c r="E2574" s="44" t="str">
        <f>IF(B2574="","",SUMIF(Transactions!$F$8:$F$3006,B2574,Transactions!$O$8:$O$3006))</f>
        <v/>
      </c>
      <c r="F2574" s="45" t="str">
        <f>IF(B2574="","",SUMIF(Transactions!$F$8:$F$3006,B2574,Transactions!$R$8:$R$3006))</f>
        <v/>
      </c>
      <c r="G2574" s="46" t="str">
        <f>IF(B2574="","",(C2574+F2574)-(D2574+E2574+SUMIF(Transactions!$F$8:$F$3006,B2574,Transactions!$Q$8:$Q$3006)))</f>
        <v/>
      </c>
      <c r="H2574" s="47" t="str">
        <f>IF(B2574="","",IF(G2574&gt;0,"OUTSTANDING",IF(G2574=0,"SETTLED",IF(SUMIF(Transactions!$F$8:$F$3006,B2574,Transactions!$Q$8:$Q$3006)&gt;SUMIF(Transactions!$F$8:$F$3006,B2574,Transactions!$R$8:$R$3006),"OWES","OVERPAID"))))</f>
        <v/>
      </c>
      <c r="I2574" s="1"/>
    </row>
    <row r="2575" spans="1:9" ht="18" customHeight="1" x14ac:dyDescent="0.25">
      <c r="A2575" s="48">
        <v>2560</v>
      </c>
      <c r="B2575" s="49" t="str">
        <f t="array" ref="B2575">IFERROR(IF(INDEX(Transactions!$F$8:$F$3006,MATCH(0,COUNTIF($B$11:B2574,Transactions!$F$8:$F$3006),0))="","",INDEX(Transactions!$F$8:$F$3006,MATCH(0,COUNTIF($B$11:B2574,Transactions!$F$8:$F$3006),0))),"")</f>
        <v/>
      </c>
      <c r="C2575" s="50" t="str">
        <f>IF(B2575="","",SUMIF(Transactions!$F$8:$F$3006,B2575,Transactions!$H$8:$H$3006))</f>
        <v/>
      </c>
      <c r="D2575" s="51" t="str">
        <f>IF(B2575="","",SUMIF(Transactions!$F$8:$F$3006,B2575,Transactions!$N$8:$N$3006))</f>
        <v/>
      </c>
      <c r="E2575" s="52" t="str">
        <f>IF(B2575="","",SUMIF(Transactions!$F$8:$F$3006,B2575,Transactions!$O$8:$O$3006))</f>
        <v/>
      </c>
      <c r="F2575" s="53" t="str">
        <f>IF(B2575="","",SUMIF(Transactions!$F$8:$F$3006,B2575,Transactions!$R$8:$R$3006))</f>
        <v/>
      </c>
      <c r="G2575" s="54" t="str">
        <f>IF(B2575="","",(C2575+F2575)-(D2575+E2575+SUMIF(Transactions!$F$8:$F$3006,B2575,Transactions!$Q$8:$Q$3006)))</f>
        <v/>
      </c>
      <c r="H2575" s="55" t="str">
        <f>IF(B2575="","",IF(G2575&gt;0,"OUTSTANDING",IF(G2575=0,"SETTLED",IF(SUMIF(Transactions!$F$8:$F$3006,B2575,Transactions!$Q$8:$Q$3006)&gt;SUMIF(Transactions!$F$8:$F$3006,B2575,Transactions!$R$8:$R$3006),"OWES","OVERPAID"))))</f>
        <v/>
      </c>
      <c r="I2575" s="1"/>
    </row>
    <row r="2576" spans="1:9" ht="18" customHeight="1" x14ac:dyDescent="0.25">
      <c r="A2576" s="40">
        <v>2561</v>
      </c>
      <c r="B2576" s="41" t="str">
        <f t="array" ref="B2576">IFERROR(IF(INDEX(Transactions!$F$8:$F$3006,MATCH(0,COUNTIF($B$11:B2575,Transactions!$F$8:$F$3006),0))="","",INDEX(Transactions!$F$8:$F$3006,MATCH(0,COUNTIF($B$11:B2575,Transactions!$F$8:$F$3006),0))),"")</f>
        <v/>
      </c>
      <c r="C2576" s="42" t="str">
        <f>IF(B2576="","",SUMIF(Transactions!$F$8:$F$3006,B2576,Transactions!$H$8:$H$3006))</f>
        <v/>
      </c>
      <c r="D2576" s="43" t="str">
        <f>IF(B2576="","",SUMIF(Transactions!$F$8:$F$3006,B2576,Transactions!$N$8:$N$3006))</f>
        <v/>
      </c>
      <c r="E2576" s="44" t="str">
        <f>IF(B2576="","",SUMIF(Transactions!$F$8:$F$3006,B2576,Transactions!$O$8:$O$3006))</f>
        <v/>
      </c>
      <c r="F2576" s="45" t="str">
        <f>IF(B2576="","",SUMIF(Transactions!$F$8:$F$3006,B2576,Transactions!$R$8:$R$3006))</f>
        <v/>
      </c>
      <c r="G2576" s="46" t="str">
        <f>IF(B2576="","",(C2576+F2576)-(D2576+E2576+SUMIF(Transactions!$F$8:$F$3006,B2576,Transactions!$Q$8:$Q$3006)))</f>
        <v/>
      </c>
      <c r="H2576" s="47" t="str">
        <f>IF(B2576="","",IF(G2576&gt;0,"OUTSTANDING",IF(G2576=0,"SETTLED",IF(SUMIF(Transactions!$F$8:$F$3006,B2576,Transactions!$Q$8:$Q$3006)&gt;SUMIF(Transactions!$F$8:$F$3006,B2576,Transactions!$R$8:$R$3006),"OWES","OVERPAID"))))</f>
        <v/>
      </c>
      <c r="I2576" s="1"/>
    </row>
    <row r="2577" spans="1:9" ht="18" customHeight="1" x14ac:dyDescent="0.25">
      <c r="A2577" s="48">
        <v>2562</v>
      </c>
      <c r="B2577" s="49" t="str">
        <f t="array" ref="B2577">IFERROR(IF(INDEX(Transactions!$F$8:$F$3006,MATCH(0,COUNTIF($B$11:B2576,Transactions!$F$8:$F$3006),0))="","",INDEX(Transactions!$F$8:$F$3006,MATCH(0,COUNTIF($B$11:B2576,Transactions!$F$8:$F$3006),0))),"")</f>
        <v/>
      </c>
      <c r="C2577" s="50" t="str">
        <f>IF(B2577="","",SUMIF(Transactions!$F$8:$F$3006,B2577,Transactions!$H$8:$H$3006))</f>
        <v/>
      </c>
      <c r="D2577" s="51" t="str">
        <f>IF(B2577="","",SUMIF(Transactions!$F$8:$F$3006,B2577,Transactions!$N$8:$N$3006))</f>
        <v/>
      </c>
      <c r="E2577" s="52" t="str">
        <f>IF(B2577="","",SUMIF(Transactions!$F$8:$F$3006,B2577,Transactions!$O$8:$O$3006))</f>
        <v/>
      </c>
      <c r="F2577" s="53" t="str">
        <f>IF(B2577="","",SUMIF(Transactions!$F$8:$F$3006,B2577,Transactions!$R$8:$R$3006))</f>
        <v/>
      </c>
      <c r="G2577" s="54" t="str">
        <f>IF(B2577="","",(C2577+F2577)-(D2577+E2577+SUMIF(Transactions!$F$8:$F$3006,B2577,Transactions!$Q$8:$Q$3006)))</f>
        <v/>
      </c>
      <c r="H2577" s="55" t="str">
        <f>IF(B2577="","",IF(G2577&gt;0,"OUTSTANDING",IF(G2577=0,"SETTLED",IF(SUMIF(Transactions!$F$8:$F$3006,B2577,Transactions!$Q$8:$Q$3006)&gt;SUMIF(Transactions!$F$8:$F$3006,B2577,Transactions!$R$8:$R$3006),"OWES","OVERPAID"))))</f>
        <v/>
      </c>
      <c r="I2577" s="1"/>
    </row>
    <row r="2578" spans="1:9" ht="18" customHeight="1" x14ac:dyDescent="0.25">
      <c r="A2578" s="40">
        <v>2563</v>
      </c>
      <c r="B2578" s="41" t="str">
        <f t="array" ref="B2578">IFERROR(IF(INDEX(Transactions!$F$8:$F$3006,MATCH(0,COUNTIF($B$11:B2577,Transactions!$F$8:$F$3006),0))="","",INDEX(Transactions!$F$8:$F$3006,MATCH(0,COUNTIF($B$11:B2577,Transactions!$F$8:$F$3006),0))),"")</f>
        <v/>
      </c>
      <c r="C2578" s="42" t="str">
        <f>IF(B2578="","",SUMIF(Transactions!$F$8:$F$3006,B2578,Transactions!$H$8:$H$3006))</f>
        <v/>
      </c>
      <c r="D2578" s="43" t="str">
        <f>IF(B2578="","",SUMIF(Transactions!$F$8:$F$3006,B2578,Transactions!$N$8:$N$3006))</f>
        <v/>
      </c>
      <c r="E2578" s="44" t="str">
        <f>IF(B2578="","",SUMIF(Transactions!$F$8:$F$3006,B2578,Transactions!$O$8:$O$3006))</f>
        <v/>
      </c>
      <c r="F2578" s="45" t="str">
        <f>IF(B2578="","",SUMIF(Transactions!$F$8:$F$3006,B2578,Transactions!$R$8:$R$3006))</f>
        <v/>
      </c>
      <c r="G2578" s="46" t="str">
        <f>IF(B2578="","",(C2578+F2578)-(D2578+E2578+SUMIF(Transactions!$F$8:$F$3006,B2578,Transactions!$Q$8:$Q$3006)))</f>
        <v/>
      </c>
      <c r="H2578" s="47" t="str">
        <f>IF(B2578="","",IF(G2578&gt;0,"OUTSTANDING",IF(G2578=0,"SETTLED",IF(SUMIF(Transactions!$F$8:$F$3006,B2578,Transactions!$Q$8:$Q$3006)&gt;SUMIF(Transactions!$F$8:$F$3006,B2578,Transactions!$R$8:$R$3006),"OWES","OVERPAID"))))</f>
        <v/>
      </c>
      <c r="I2578" s="1"/>
    </row>
    <row r="2579" spans="1:9" ht="18" customHeight="1" x14ac:dyDescent="0.25">
      <c r="A2579" s="48">
        <v>2564</v>
      </c>
      <c r="B2579" s="49" t="str">
        <f t="array" ref="B2579">IFERROR(IF(INDEX(Transactions!$F$8:$F$3006,MATCH(0,COUNTIF($B$11:B2578,Transactions!$F$8:$F$3006),0))="","",INDEX(Transactions!$F$8:$F$3006,MATCH(0,COUNTIF($B$11:B2578,Transactions!$F$8:$F$3006),0))),"")</f>
        <v/>
      </c>
      <c r="C2579" s="50" t="str">
        <f>IF(B2579="","",SUMIF(Transactions!$F$8:$F$3006,B2579,Transactions!$H$8:$H$3006))</f>
        <v/>
      </c>
      <c r="D2579" s="51" t="str">
        <f>IF(B2579="","",SUMIF(Transactions!$F$8:$F$3006,B2579,Transactions!$N$8:$N$3006))</f>
        <v/>
      </c>
      <c r="E2579" s="52" t="str">
        <f>IF(B2579="","",SUMIF(Transactions!$F$8:$F$3006,B2579,Transactions!$O$8:$O$3006))</f>
        <v/>
      </c>
      <c r="F2579" s="53" t="str">
        <f>IF(B2579="","",SUMIF(Transactions!$F$8:$F$3006,B2579,Transactions!$R$8:$R$3006))</f>
        <v/>
      </c>
      <c r="G2579" s="54" t="str">
        <f>IF(B2579="","",(C2579+F2579)-(D2579+E2579+SUMIF(Transactions!$F$8:$F$3006,B2579,Transactions!$Q$8:$Q$3006)))</f>
        <v/>
      </c>
      <c r="H2579" s="55" t="str">
        <f>IF(B2579="","",IF(G2579&gt;0,"OUTSTANDING",IF(G2579=0,"SETTLED",IF(SUMIF(Transactions!$F$8:$F$3006,B2579,Transactions!$Q$8:$Q$3006)&gt;SUMIF(Transactions!$F$8:$F$3006,B2579,Transactions!$R$8:$R$3006),"OWES","OVERPAID"))))</f>
        <v/>
      </c>
      <c r="I2579" s="1"/>
    </row>
    <row r="2580" spans="1:9" ht="18" customHeight="1" x14ac:dyDescent="0.25">
      <c r="A2580" s="40">
        <v>2565</v>
      </c>
      <c r="B2580" s="41" t="str">
        <f t="array" ref="B2580">IFERROR(IF(INDEX(Transactions!$F$8:$F$3006,MATCH(0,COUNTIF($B$11:B2579,Transactions!$F$8:$F$3006),0))="","",INDEX(Transactions!$F$8:$F$3006,MATCH(0,COUNTIF($B$11:B2579,Transactions!$F$8:$F$3006),0))),"")</f>
        <v/>
      </c>
      <c r="C2580" s="42" t="str">
        <f>IF(B2580="","",SUMIF(Transactions!$F$8:$F$3006,B2580,Transactions!$H$8:$H$3006))</f>
        <v/>
      </c>
      <c r="D2580" s="43" t="str">
        <f>IF(B2580="","",SUMIF(Transactions!$F$8:$F$3006,B2580,Transactions!$N$8:$N$3006))</f>
        <v/>
      </c>
      <c r="E2580" s="44" t="str">
        <f>IF(B2580="","",SUMIF(Transactions!$F$8:$F$3006,B2580,Transactions!$O$8:$O$3006))</f>
        <v/>
      </c>
      <c r="F2580" s="45" t="str">
        <f>IF(B2580="","",SUMIF(Transactions!$F$8:$F$3006,B2580,Transactions!$R$8:$R$3006))</f>
        <v/>
      </c>
      <c r="G2580" s="46" t="str">
        <f>IF(B2580="","",(C2580+F2580)-(D2580+E2580+SUMIF(Transactions!$F$8:$F$3006,B2580,Transactions!$Q$8:$Q$3006)))</f>
        <v/>
      </c>
      <c r="H2580" s="47" t="str">
        <f>IF(B2580="","",IF(G2580&gt;0,"OUTSTANDING",IF(G2580=0,"SETTLED",IF(SUMIF(Transactions!$F$8:$F$3006,B2580,Transactions!$Q$8:$Q$3006)&gt;SUMIF(Transactions!$F$8:$F$3006,B2580,Transactions!$R$8:$R$3006),"OWES","OVERPAID"))))</f>
        <v/>
      </c>
      <c r="I2580" s="1"/>
    </row>
    <row r="2581" spans="1:9" ht="18" customHeight="1" x14ac:dyDescent="0.25">
      <c r="A2581" s="48">
        <v>2566</v>
      </c>
      <c r="B2581" s="49" t="str">
        <f t="array" ref="B2581">IFERROR(IF(INDEX(Transactions!$F$8:$F$3006,MATCH(0,COUNTIF($B$11:B2580,Transactions!$F$8:$F$3006),0))="","",INDEX(Transactions!$F$8:$F$3006,MATCH(0,COUNTIF($B$11:B2580,Transactions!$F$8:$F$3006),0))),"")</f>
        <v/>
      </c>
      <c r="C2581" s="50" t="str">
        <f>IF(B2581="","",SUMIF(Transactions!$F$8:$F$3006,B2581,Transactions!$H$8:$H$3006))</f>
        <v/>
      </c>
      <c r="D2581" s="51" t="str">
        <f>IF(B2581="","",SUMIF(Transactions!$F$8:$F$3006,B2581,Transactions!$N$8:$N$3006))</f>
        <v/>
      </c>
      <c r="E2581" s="52" t="str">
        <f>IF(B2581="","",SUMIF(Transactions!$F$8:$F$3006,B2581,Transactions!$O$8:$O$3006))</f>
        <v/>
      </c>
      <c r="F2581" s="53" t="str">
        <f>IF(B2581="","",SUMIF(Transactions!$F$8:$F$3006,B2581,Transactions!$R$8:$R$3006))</f>
        <v/>
      </c>
      <c r="G2581" s="54" t="str">
        <f>IF(B2581="","",(C2581+F2581)-(D2581+E2581+SUMIF(Transactions!$F$8:$F$3006,B2581,Transactions!$Q$8:$Q$3006)))</f>
        <v/>
      </c>
      <c r="H2581" s="55" t="str">
        <f>IF(B2581="","",IF(G2581&gt;0,"OUTSTANDING",IF(G2581=0,"SETTLED",IF(SUMIF(Transactions!$F$8:$F$3006,B2581,Transactions!$Q$8:$Q$3006)&gt;SUMIF(Transactions!$F$8:$F$3006,B2581,Transactions!$R$8:$R$3006),"OWES","OVERPAID"))))</f>
        <v/>
      </c>
      <c r="I2581" s="1"/>
    </row>
    <row r="2582" spans="1:9" ht="18" customHeight="1" x14ac:dyDescent="0.25">
      <c r="A2582" s="40">
        <v>2567</v>
      </c>
      <c r="B2582" s="41" t="str">
        <f t="array" ref="B2582">IFERROR(IF(INDEX(Transactions!$F$8:$F$3006,MATCH(0,COUNTIF($B$11:B2581,Transactions!$F$8:$F$3006),0))="","",INDEX(Transactions!$F$8:$F$3006,MATCH(0,COUNTIF($B$11:B2581,Transactions!$F$8:$F$3006),0))),"")</f>
        <v/>
      </c>
      <c r="C2582" s="42" t="str">
        <f>IF(B2582="","",SUMIF(Transactions!$F$8:$F$3006,B2582,Transactions!$H$8:$H$3006))</f>
        <v/>
      </c>
      <c r="D2582" s="43" t="str">
        <f>IF(B2582="","",SUMIF(Transactions!$F$8:$F$3006,B2582,Transactions!$N$8:$N$3006))</f>
        <v/>
      </c>
      <c r="E2582" s="44" t="str">
        <f>IF(B2582="","",SUMIF(Transactions!$F$8:$F$3006,B2582,Transactions!$O$8:$O$3006))</f>
        <v/>
      </c>
      <c r="F2582" s="45" t="str">
        <f>IF(B2582="","",SUMIF(Transactions!$F$8:$F$3006,B2582,Transactions!$R$8:$R$3006))</f>
        <v/>
      </c>
      <c r="G2582" s="46" t="str">
        <f>IF(B2582="","",(C2582+F2582)-(D2582+E2582+SUMIF(Transactions!$F$8:$F$3006,B2582,Transactions!$Q$8:$Q$3006)))</f>
        <v/>
      </c>
      <c r="H2582" s="47" t="str">
        <f>IF(B2582="","",IF(G2582&gt;0,"OUTSTANDING",IF(G2582=0,"SETTLED",IF(SUMIF(Transactions!$F$8:$F$3006,B2582,Transactions!$Q$8:$Q$3006)&gt;SUMIF(Transactions!$F$8:$F$3006,B2582,Transactions!$R$8:$R$3006),"OWES","OVERPAID"))))</f>
        <v/>
      </c>
      <c r="I2582" s="1"/>
    </row>
    <row r="2583" spans="1:9" ht="18" customHeight="1" x14ac:dyDescent="0.25">
      <c r="A2583" s="48">
        <v>2568</v>
      </c>
      <c r="B2583" s="49" t="str">
        <f t="array" ref="B2583">IFERROR(IF(INDEX(Transactions!$F$8:$F$3006,MATCH(0,COUNTIF($B$11:B2582,Transactions!$F$8:$F$3006),0))="","",INDEX(Transactions!$F$8:$F$3006,MATCH(0,COUNTIF($B$11:B2582,Transactions!$F$8:$F$3006),0))),"")</f>
        <v/>
      </c>
      <c r="C2583" s="50" t="str">
        <f>IF(B2583="","",SUMIF(Transactions!$F$8:$F$3006,B2583,Transactions!$H$8:$H$3006))</f>
        <v/>
      </c>
      <c r="D2583" s="51" t="str">
        <f>IF(B2583="","",SUMIF(Transactions!$F$8:$F$3006,B2583,Transactions!$N$8:$N$3006))</f>
        <v/>
      </c>
      <c r="E2583" s="52" t="str">
        <f>IF(B2583="","",SUMIF(Transactions!$F$8:$F$3006,B2583,Transactions!$O$8:$O$3006))</f>
        <v/>
      </c>
      <c r="F2583" s="53" t="str">
        <f>IF(B2583="","",SUMIF(Transactions!$F$8:$F$3006,B2583,Transactions!$R$8:$R$3006))</f>
        <v/>
      </c>
      <c r="G2583" s="54" t="str">
        <f>IF(B2583="","",(C2583+F2583)-(D2583+E2583+SUMIF(Transactions!$F$8:$F$3006,B2583,Transactions!$Q$8:$Q$3006)))</f>
        <v/>
      </c>
      <c r="H2583" s="55" t="str">
        <f>IF(B2583="","",IF(G2583&gt;0,"OUTSTANDING",IF(G2583=0,"SETTLED",IF(SUMIF(Transactions!$F$8:$F$3006,B2583,Transactions!$Q$8:$Q$3006)&gt;SUMIF(Transactions!$F$8:$F$3006,B2583,Transactions!$R$8:$R$3006),"OWES","OVERPAID"))))</f>
        <v/>
      </c>
      <c r="I2583" s="1"/>
    </row>
    <row r="2584" spans="1:9" ht="18" customHeight="1" x14ac:dyDescent="0.25">
      <c r="A2584" s="40">
        <v>2569</v>
      </c>
      <c r="B2584" s="41" t="str">
        <f t="array" ref="B2584">IFERROR(IF(INDEX(Transactions!$F$8:$F$3006,MATCH(0,COUNTIF($B$11:B2583,Transactions!$F$8:$F$3006),0))="","",INDEX(Transactions!$F$8:$F$3006,MATCH(0,COUNTIF($B$11:B2583,Transactions!$F$8:$F$3006),0))),"")</f>
        <v/>
      </c>
      <c r="C2584" s="42" t="str">
        <f>IF(B2584="","",SUMIF(Transactions!$F$8:$F$3006,B2584,Transactions!$H$8:$H$3006))</f>
        <v/>
      </c>
      <c r="D2584" s="43" t="str">
        <f>IF(B2584="","",SUMIF(Transactions!$F$8:$F$3006,B2584,Transactions!$N$8:$N$3006))</f>
        <v/>
      </c>
      <c r="E2584" s="44" t="str">
        <f>IF(B2584="","",SUMIF(Transactions!$F$8:$F$3006,B2584,Transactions!$O$8:$O$3006))</f>
        <v/>
      </c>
      <c r="F2584" s="45" t="str">
        <f>IF(B2584="","",SUMIF(Transactions!$F$8:$F$3006,B2584,Transactions!$R$8:$R$3006))</f>
        <v/>
      </c>
      <c r="G2584" s="46" t="str">
        <f>IF(B2584="","",(C2584+F2584)-(D2584+E2584+SUMIF(Transactions!$F$8:$F$3006,B2584,Transactions!$Q$8:$Q$3006)))</f>
        <v/>
      </c>
      <c r="H2584" s="47" t="str">
        <f>IF(B2584="","",IF(G2584&gt;0,"OUTSTANDING",IF(G2584=0,"SETTLED",IF(SUMIF(Transactions!$F$8:$F$3006,B2584,Transactions!$Q$8:$Q$3006)&gt;SUMIF(Transactions!$F$8:$F$3006,B2584,Transactions!$R$8:$R$3006),"OWES","OVERPAID"))))</f>
        <v/>
      </c>
      <c r="I2584" s="1"/>
    </row>
    <row r="2585" spans="1:9" ht="18" customHeight="1" x14ac:dyDescent="0.25">
      <c r="A2585" s="48">
        <v>2570</v>
      </c>
      <c r="B2585" s="49" t="str">
        <f t="array" ref="B2585">IFERROR(IF(INDEX(Transactions!$F$8:$F$3006,MATCH(0,COUNTIF($B$11:B2584,Transactions!$F$8:$F$3006),0))="","",INDEX(Transactions!$F$8:$F$3006,MATCH(0,COUNTIF($B$11:B2584,Transactions!$F$8:$F$3006),0))),"")</f>
        <v/>
      </c>
      <c r="C2585" s="50" t="str">
        <f>IF(B2585="","",SUMIF(Transactions!$F$8:$F$3006,B2585,Transactions!$H$8:$H$3006))</f>
        <v/>
      </c>
      <c r="D2585" s="51" t="str">
        <f>IF(B2585="","",SUMIF(Transactions!$F$8:$F$3006,B2585,Transactions!$N$8:$N$3006))</f>
        <v/>
      </c>
      <c r="E2585" s="52" t="str">
        <f>IF(B2585="","",SUMIF(Transactions!$F$8:$F$3006,B2585,Transactions!$O$8:$O$3006))</f>
        <v/>
      </c>
      <c r="F2585" s="53" t="str">
        <f>IF(B2585="","",SUMIF(Transactions!$F$8:$F$3006,B2585,Transactions!$R$8:$R$3006))</f>
        <v/>
      </c>
      <c r="G2585" s="54" t="str">
        <f>IF(B2585="","",(C2585+F2585)-(D2585+E2585+SUMIF(Transactions!$F$8:$F$3006,B2585,Transactions!$Q$8:$Q$3006)))</f>
        <v/>
      </c>
      <c r="H2585" s="55" t="str">
        <f>IF(B2585="","",IF(G2585&gt;0,"OUTSTANDING",IF(G2585=0,"SETTLED",IF(SUMIF(Transactions!$F$8:$F$3006,B2585,Transactions!$Q$8:$Q$3006)&gt;SUMIF(Transactions!$F$8:$F$3006,B2585,Transactions!$R$8:$R$3006),"OWES","OVERPAID"))))</f>
        <v/>
      </c>
      <c r="I2585" s="1"/>
    </row>
    <row r="2586" spans="1:9" ht="18" customHeight="1" x14ac:dyDescent="0.25">
      <c r="A2586" s="40">
        <v>2571</v>
      </c>
      <c r="B2586" s="41" t="str">
        <f t="array" ref="B2586">IFERROR(IF(INDEX(Transactions!$F$8:$F$3006,MATCH(0,COUNTIF($B$11:B2585,Transactions!$F$8:$F$3006),0))="","",INDEX(Transactions!$F$8:$F$3006,MATCH(0,COUNTIF($B$11:B2585,Transactions!$F$8:$F$3006),0))),"")</f>
        <v/>
      </c>
      <c r="C2586" s="42" t="str">
        <f>IF(B2586="","",SUMIF(Transactions!$F$8:$F$3006,B2586,Transactions!$H$8:$H$3006))</f>
        <v/>
      </c>
      <c r="D2586" s="43" t="str">
        <f>IF(B2586="","",SUMIF(Transactions!$F$8:$F$3006,B2586,Transactions!$N$8:$N$3006))</f>
        <v/>
      </c>
      <c r="E2586" s="44" t="str">
        <f>IF(B2586="","",SUMIF(Transactions!$F$8:$F$3006,B2586,Transactions!$O$8:$O$3006))</f>
        <v/>
      </c>
      <c r="F2586" s="45" t="str">
        <f>IF(B2586="","",SUMIF(Transactions!$F$8:$F$3006,B2586,Transactions!$R$8:$R$3006))</f>
        <v/>
      </c>
      <c r="G2586" s="46" t="str">
        <f>IF(B2586="","",(C2586+F2586)-(D2586+E2586+SUMIF(Transactions!$F$8:$F$3006,B2586,Transactions!$Q$8:$Q$3006)))</f>
        <v/>
      </c>
      <c r="H2586" s="47" t="str">
        <f>IF(B2586="","",IF(G2586&gt;0,"OUTSTANDING",IF(G2586=0,"SETTLED",IF(SUMIF(Transactions!$F$8:$F$3006,B2586,Transactions!$Q$8:$Q$3006)&gt;SUMIF(Transactions!$F$8:$F$3006,B2586,Transactions!$R$8:$R$3006),"OWES","OVERPAID"))))</f>
        <v/>
      </c>
      <c r="I2586" s="1"/>
    </row>
    <row r="2587" spans="1:9" ht="18" customHeight="1" x14ac:dyDescent="0.25">
      <c r="A2587" s="48">
        <v>2572</v>
      </c>
      <c r="B2587" s="49" t="str">
        <f t="array" ref="B2587">IFERROR(IF(INDEX(Transactions!$F$8:$F$3006,MATCH(0,COUNTIF($B$11:B2586,Transactions!$F$8:$F$3006),0))="","",INDEX(Transactions!$F$8:$F$3006,MATCH(0,COUNTIF($B$11:B2586,Transactions!$F$8:$F$3006),0))),"")</f>
        <v/>
      </c>
      <c r="C2587" s="50" t="str">
        <f>IF(B2587="","",SUMIF(Transactions!$F$8:$F$3006,B2587,Transactions!$H$8:$H$3006))</f>
        <v/>
      </c>
      <c r="D2587" s="51" t="str">
        <f>IF(B2587="","",SUMIF(Transactions!$F$8:$F$3006,B2587,Transactions!$N$8:$N$3006))</f>
        <v/>
      </c>
      <c r="E2587" s="52" t="str">
        <f>IF(B2587="","",SUMIF(Transactions!$F$8:$F$3006,B2587,Transactions!$O$8:$O$3006))</f>
        <v/>
      </c>
      <c r="F2587" s="53" t="str">
        <f>IF(B2587="","",SUMIF(Transactions!$F$8:$F$3006,B2587,Transactions!$R$8:$R$3006))</f>
        <v/>
      </c>
      <c r="G2587" s="54" t="str">
        <f>IF(B2587="","",(C2587+F2587)-(D2587+E2587+SUMIF(Transactions!$F$8:$F$3006,B2587,Transactions!$Q$8:$Q$3006)))</f>
        <v/>
      </c>
      <c r="H2587" s="55" t="str">
        <f>IF(B2587="","",IF(G2587&gt;0,"OUTSTANDING",IF(G2587=0,"SETTLED",IF(SUMIF(Transactions!$F$8:$F$3006,B2587,Transactions!$Q$8:$Q$3006)&gt;SUMIF(Transactions!$F$8:$F$3006,B2587,Transactions!$R$8:$R$3006),"OWES","OVERPAID"))))</f>
        <v/>
      </c>
      <c r="I2587" s="1"/>
    </row>
    <row r="2588" spans="1:9" ht="18" customHeight="1" x14ac:dyDescent="0.25">
      <c r="A2588" s="40">
        <v>2573</v>
      </c>
      <c r="B2588" s="41" t="str">
        <f t="array" ref="B2588">IFERROR(IF(INDEX(Transactions!$F$8:$F$3006,MATCH(0,COUNTIF($B$11:B2587,Transactions!$F$8:$F$3006),0))="","",INDEX(Transactions!$F$8:$F$3006,MATCH(0,COUNTIF($B$11:B2587,Transactions!$F$8:$F$3006),0))),"")</f>
        <v/>
      </c>
      <c r="C2588" s="42" t="str">
        <f>IF(B2588="","",SUMIF(Transactions!$F$8:$F$3006,B2588,Transactions!$H$8:$H$3006))</f>
        <v/>
      </c>
      <c r="D2588" s="43" t="str">
        <f>IF(B2588="","",SUMIF(Transactions!$F$8:$F$3006,B2588,Transactions!$N$8:$N$3006))</f>
        <v/>
      </c>
      <c r="E2588" s="44" t="str">
        <f>IF(B2588="","",SUMIF(Transactions!$F$8:$F$3006,B2588,Transactions!$O$8:$O$3006))</f>
        <v/>
      </c>
      <c r="F2588" s="45" t="str">
        <f>IF(B2588="","",SUMIF(Transactions!$F$8:$F$3006,B2588,Transactions!$R$8:$R$3006))</f>
        <v/>
      </c>
      <c r="G2588" s="46" t="str">
        <f>IF(B2588="","",(C2588+F2588)-(D2588+E2588+SUMIF(Transactions!$F$8:$F$3006,B2588,Transactions!$Q$8:$Q$3006)))</f>
        <v/>
      </c>
      <c r="H2588" s="47" t="str">
        <f>IF(B2588="","",IF(G2588&gt;0,"OUTSTANDING",IF(G2588=0,"SETTLED",IF(SUMIF(Transactions!$F$8:$F$3006,B2588,Transactions!$Q$8:$Q$3006)&gt;SUMIF(Transactions!$F$8:$F$3006,B2588,Transactions!$R$8:$R$3006),"OWES","OVERPAID"))))</f>
        <v/>
      </c>
      <c r="I2588" s="1"/>
    </row>
    <row r="2589" spans="1:9" ht="18" customHeight="1" x14ac:dyDescent="0.25">
      <c r="A2589" s="48">
        <v>2574</v>
      </c>
      <c r="B2589" s="49" t="str">
        <f t="array" ref="B2589">IFERROR(IF(INDEX(Transactions!$F$8:$F$3006,MATCH(0,COUNTIF($B$11:B2588,Transactions!$F$8:$F$3006),0))="","",INDEX(Transactions!$F$8:$F$3006,MATCH(0,COUNTIF($B$11:B2588,Transactions!$F$8:$F$3006),0))),"")</f>
        <v/>
      </c>
      <c r="C2589" s="50" t="str">
        <f>IF(B2589="","",SUMIF(Transactions!$F$8:$F$3006,B2589,Transactions!$H$8:$H$3006))</f>
        <v/>
      </c>
      <c r="D2589" s="51" t="str">
        <f>IF(B2589="","",SUMIF(Transactions!$F$8:$F$3006,B2589,Transactions!$N$8:$N$3006))</f>
        <v/>
      </c>
      <c r="E2589" s="52" t="str">
        <f>IF(B2589="","",SUMIF(Transactions!$F$8:$F$3006,B2589,Transactions!$O$8:$O$3006))</f>
        <v/>
      </c>
      <c r="F2589" s="53" t="str">
        <f>IF(B2589="","",SUMIF(Transactions!$F$8:$F$3006,B2589,Transactions!$R$8:$R$3006))</f>
        <v/>
      </c>
      <c r="G2589" s="54" t="str">
        <f>IF(B2589="","",(C2589+F2589)-(D2589+E2589+SUMIF(Transactions!$F$8:$F$3006,B2589,Transactions!$Q$8:$Q$3006)))</f>
        <v/>
      </c>
      <c r="H2589" s="55" t="str">
        <f>IF(B2589="","",IF(G2589&gt;0,"OUTSTANDING",IF(G2589=0,"SETTLED",IF(SUMIF(Transactions!$F$8:$F$3006,B2589,Transactions!$Q$8:$Q$3006)&gt;SUMIF(Transactions!$F$8:$F$3006,B2589,Transactions!$R$8:$R$3006),"OWES","OVERPAID"))))</f>
        <v/>
      </c>
      <c r="I2589" s="1"/>
    </row>
    <row r="2590" spans="1:9" ht="18" customHeight="1" x14ac:dyDescent="0.25">
      <c r="A2590" s="40">
        <v>2575</v>
      </c>
      <c r="B2590" s="41" t="str">
        <f t="array" ref="B2590">IFERROR(IF(INDEX(Transactions!$F$8:$F$3006,MATCH(0,COUNTIF($B$11:B2589,Transactions!$F$8:$F$3006),0))="","",INDEX(Transactions!$F$8:$F$3006,MATCH(0,COUNTIF($B$11:B2589,Transactions!$F$8:$F$3006),0))),"")</f>
        <v/>
      </c>
      <c r="C2590" s="42" t="str">
        <f>IF(B2590="","",SUMIF(Transactions!$F$8:$F$3006,B2590,Transactions!$H$8:$H$3006))</f>
        <v/>
      </c>
      <c r="D2590" s="43" t="str">
        <f>IF(B2590="","",SUMIF(Transactions!$F$8:$F$3006,B2590,Transactions!$N$8:$N$3006))</f>
        <v/>
      </c>
      <c r="E2590" s="44" t="str">
        <f>IF(B2590="","",SUMIF(Transactions!$F$8:$F$3006,B2590,Transactions!$O$8:$O$3006))</f>
        <v/>
      </c>
      <c r="F2590" s="45" t="str">
        <f>IF(B2590="","",SUMIF(Transactions!$F$8:$F$3006,B2590,Transactions!$R$8:$R$3006))</f>
        <v/>
      </c>
      <c r="G2590" s="46" t="str">
        <f>IF(B2590="","",(C2590+F2590)-(D2590+E2590+SUMIF(Transactions!$F$8:$F$3006,B2590,Transactions!$Q$8:$Q$3006)))</f>
        <v/>
      </c>
      <c r="H2590" s="47" t="str">
        <f>IF(B2590="","",IF(G2590&gt;0,"OUTSTANDING",IF(G2590=0,"SETTLED",IF(SUMIF(Transactions!$F$8:$F$3006,B2590,Transactions!$Q$8:$Q$3006)&gt;SUMIF(Transactions!$F$8:$F$3006,B2590,Transactions!$R$8:$R$3006),"OWES","OVERPAID"))))</f>
        <v/>
      </c>
      <c r="I2590" s="1"/>
    </row>
    <row r="2591" spans="1:9" ht="18" customHeight="1" x14ac:dyDescent="0.25">
      <c r="A2591" s="48">
        <v>2576</v>
      </c>
      <c r="B2591" s="49" t="str">
        <f t="array" ref="B2591">IFERROR(IF(INDEX(Transactions!$F$8:$F$3006,MATCH(0,COUNTIF($B$11:B2590,Transactions!$F$8:$F$3006),0))="","",INDEX(Transactions!$F$8:$F$3006,MATCH(0,COUNTIF($B$11:B2590,Transactions!$F$8:$F$3006),0))),"")</f>
        <v/>
      </c>
      <c r="C2591" s="50" t="str">
        <f>IF(B2591="","",SUMIF(Transactions!$F$8:$F$3006,B2591,Transactions!$H$8:$H$3006))</f>
        <v/>
      </c>
      <c r="D2591" s="51" t="str">
        <f>IF(B2591="","",SUMIF(Transactions!$F$8:$F$3006,B2591,Transactions!$N$8:$N$3006))</f>
        <v/>
      </c>
      <c r="E2591" s="52" t="str">
        <f>IF(B2591="","",SUMIF(Transactions!$F$8:$F$3006,B2591,Transactions!$O$8:$O$3006))</f>
        <v/>
      </c>
      <c r="F2591" s="53" t="str">
        <f>IF(B2591="","",SUMIF(Transactions!$F$8:$F$3006,B2591,Transactions!$R$8:$R$3006))</f>
        <v/>
      </c>
      <c r="G2591" s="54" t="str">
        <f>IF(B2591="","",(C2591+F2591)-(D2591+E2591+SUMIF(Transactions!$F$8:$F$3006,B2591,Transactions!$Q$8:$Q$3006)))</f>
        <v/>
      </c>
      <c r="H2591" s="55" t="str">
        <f>IF(B2591="","",IF(G2591&gt;0,"OUTSTANDING",IF(G2591=0,"SETTLED",IF(SUMIF(Transactions!$F$8:$F$3006,B2591,Transactions!$Q$8:$Q$3006)&gt;SUMIF(Transactions!$F$8:$F$3006,B2591,Transactions!$R$8:$R$3006),"OWES","OVERPAID"))))</f>
        <v/>
      </c>
      <c r="I2591" s="1"/>
    </row>
    <row r="2592" spans="1:9" ht="18" customHeight="1" x14ac:dyDescent="0.25">
      <c r="A2592" s="40">
        <v>2577</v>
      </c>
      <c r="B2592" s="41" t="str">
        <f t="array" ref="B2592">IFERROR(IF(INDEX(Transactions!$F$8:$F$3006,MATCH(0,COUNTIF($B$11:B2591,Transactions!$F$8:$F$3006),0))="","",INDEX(Transactions!$F$8:$F$3006,MATCH(0,COUNTIF($B$11:B2591,Transactions!$F$8:$F$3006),0))),"")</f>
        <v/>
      </c>
      <c r="C2592" s="42" t="str">
        <f>IF(B2592="","",SUMIF(Transactions!$F$8:$F$3006,B2592,Transactions!$H$8:$H$3006))</f>
        <v/>
      </c>
      <c r="D2592" s="43" t="str">
        <f>IF(B2592="","",SUMIF(Transactions!$F$8:$F$3006,B2592,Transactions!$N$8:$N$3006))</f>
        <v/>
      </c>
      <c r="E2592" s="44" t="str">
        <f>IF(B2592="","",SUMIF(Transactions!$F$8:$F$3006,B2592,Transactions!$O$8:$O$3006))</f>
        <v/>
      </c>
      <c r="F2592" s="45" t="str">
        <f>IF(B2592="","",SUMIF(Transactions!$F$8:$F$3006,B2592,Transactions!$R$8:$R$3006))</f>
        <v/>
      </c>
      <c r="G2592" s="46" t="str">
        <f>IF(B2592="","",(C2592+F2592)-(D2592+E2592+SUMIF(Transactions!$F$8:$F$3006,B2592,Transactions!$Q$8:$Q$3006)))</f>
        <v/>
      </c>
      <c r="H2592" s="47" t="str">
        <f>IF(B2592="","",IF(G2592&gt;0,"OUTSTANDING",IF(G2592=0,"SETTLED",IF(SUMIF(Transactions!$F$8:$F$3006,B2592,Transactions!$Q$8:$Q$3006)&gt;SUMIF(Transactions!$F$8:$F$3006,B2592,Transactions!$R$8:$R$3006),"OWES","OVERPAID"))))</f>
        <v/>
      </c>
      <c r="I2592" s="1"/>
    </row>
    <row r="2593" spans="1:9" ht="18" customHeight="1" x14ac:dyDescent="0.25">
      <c r="A2593" s="48">
        <v>2578</v>
      </c>
      <c r="B2593" s="49" t="str">
        <f t="array" ref="B2593">IFERROR(IF(INDEX(Transactions!$F$8:$F$3006,MATCH(0,COUNTIF($B$11:B2592,Transactions!$F$8:$F$3006),0))="","",INDEX(Transactions!$F$8:$F$3006,MATCH(0,COUNTIF($B$11:B2592,Transactions!$F$8:$F$3006),0))),"")</f>
        <v/>
      </c>
      <c r="C2593" s="50" t="str">
        <f>IF(B2593="","",SUMIF(Transactions!$F$8:$F$3006,B2593,Transactions!$H$8:$H$3006))</f>
        <v/>
      </c>
      <c r="D2593" s="51" t="str">
        <f>IF(B2593="","",SUMIF(Transactions!$F$8:$F$3006,B2593,Transactions!$N$8:$N$3006))</f>
        <v/>
      </c>
      <c r="E2593" s="52" t="str">
        <f>IF(B2593="","",SUMIF(Transactions!$F$8:$F$3006,B2593,Transactions!$O$8:$O$3006))</f>
        <v/>
      </c>
      <c r="F2593" s="53" t="str">
        <f>IF(B2593="","",SUMIF(Transactions!$F$8:$F$3006,B2593,Transactions!$R$8:$R$3006))</f>
        <v/>
      </c>
      <c r="G2593" s="54" t="str">
        <f>IF(B2593="","",(C2593+F2593)-(D2593+E2593+SUMIF(Transactions!$F$8:$F$3006,B2593,Transactions!$Q$8:$Q$3006)))</f>
        <v/>
      </c>
      <c r="H2593" s="55" t="str">
        <f>IF(B2593="","",IF(G2593&gt;0,"OUTSTANDING",IF(G2593=0,"SETTLED",IF(SUMIF(Transactions!$F$8:$F$3006,B2593,Transactions!$Q$8:$Q$3006)&gt;SUMIF(Transactions!$F$8:$F$3006,B2593,Transactions!$R$8:$R$3006),"OWES","OVERPAID"))))</f>
        <v/>
      </c>
      <c r="I2593" s="1"/>
    </row>
    <row r="2594" spans="1:9" ht="18" customHeight="1" x14ac:dyDescent="0.25">
      <c r="A2594" s="40">
        <v>2579</v>
      </c>
      <c r="B2594" s="41" t="str">
        <f t="array" ref="B2594">IFERROR(IF(INDEX(Transactions!$F$8:$F$3006,MATCH(0,COUNTIF($B$11:B2593,Transactions!$F$8:$F$3006),0))="","",INDEX(Transactions!$F$8:$F$3006,MATCH(0,COUNTIF($B$11:B2593,Transactions!$F$8:$F$3006),0))),"")</f>
        <v/>
      </c>
      <c r="C2594" s="42" t="str">
        <f>IF(B2594="","",SUMIF(Transactions!$F$8:$F$3006,B2594,Transactions!$H$8:$H$3006))</f>
        <v/>
      </c>
      <c r="D2594" s="43" t="str">
        <f>IF(B2594="","",SUMIF(Transactions!$F$8:$F$3006,B2594,Transactions!$N$8:$N$3006))</f>
        <v/>
      </c>
      <c r="E2594" s="44" t="str">
        <f>IF(B2594="","",SUMIF(Transactions!$F$8:$F$3006,B2594,Transactions!$O$8:$O$3006))</f>
        <v/>
      </c>
      <c r="F2594" s="45" t="str">
        <f>IF(B2594="","",SUMIF(Transactions!$F$8:$F$3006,B2594,Transactions!$R$8:$R$3006))</f>
        <v/>
      </c>
      <c r="G2594" s="46" t="str">
        <f>IF(B2594="","",(C2594+F2594)-(D2594+E2594+SUMIF(Transactions!$F$8:$F$3006,B2594,Transactions!$Q$8:$Q$3006)))</f>
        <v/>
      </c>
      <c r="H2594" s="47" t="str">
        <f>IF(B2594="","",IF(G2594&gt;0,"OUTSTANDING",IF(G2594=0,"SETTLED",IF(SUMIF(Transactions!$F$8:$F$3006,B2594,Transactions!$Q$8:$Q$3006)&gt;SUMIF(Transactions!$F$8:$F$3006,B2594,Transactions!$R$8:$R$3006),"OWES","OVERPAID"))))</f>
        <v/>
      </c>
      <c r="I2594" s="1"/>
    </row>
    <row r="2595" spans="1:9" ht="18" customHeight="1" x14ac:dyDescent="0.25">
      <c r="A2595" s="48">
        <v>2580</v>
      </c>
      <c r="B2595" s="49" t="str">
        <f t="array" ref="B2595">IFERROR(IF(INDEX(Transactions!$F$8:$F$3006,MATCH(0,COUNTIF($B$11:B2594,Transactions!$F$8:$F$3006),0))="","",INDEX(Transactions!$F$8:$F$3006,MATCH(0,COUNTIF($B$11:B2594,Transactions!$F$8:$F$3006),0))),"")</f>
        <v/>
      </c>
      <c r="C2595" s="50" t="str">
        <f>IF(B2595="","",SUMIF(Transactions!$F$8:$F$3006,B2595,Transactions!$H$8:$H$3006))</f>
        <v/>
      </c>
      <c r="D2595" s="51" t="str">
        <f>IF(B2595="","",SUMIF(Transactions!$F$8:$F$3006,B2595,Transactions!$N$8:$N$3006))</f>
        <v/>
      </c>
      <c r="E2595" s="52" t="str">
        <f>IF(B2595="","",SUMIF(Transactions!$F$8:$F$3006,B2595,Transactions!$O$8:$O$3006))</f>
        <v/>
      </c>
      <c r="F2595" s="53" t="str">
        <f>IF(B2595="","",SUMIF(Transactions!$F$8:$F$3006,B2595,Transactions!$R$8:$R$3006))</f>
        <v/>
      </c>
      <c r="G2595" s="54" t="str">
        <f>IF(B2595="","",(C2595+F2595)-(D2595+E2595+SUMIF(Transactions!$F$8:$F$3006,B2595,Transactions!$Q$8:$Q$3006)))</f>
        <v/>
      </c>
      <c r="H2595" s="55" t="str">
        <f>IF(B2595="","",IF(G2595&gt;0,"OUTSTANDING",IF(G2595=0,"SETTLED",IF(SUMIF(Transactions!$F$8:$F$3006,B2595,Transactions!$Q$8:$Q$3006)&gt;SUMIF(Transactions!$F$8:$F$3006,B2595,Transactions!$R$8:$R$3006),"OWES","OVERPAID"))))</f>
        <v/>
      </c>
      <c r="I2595" s="1"/>
    </row>
    <row r="2596" spans="1:9" ht="18" customHeight="1" x14ac:dyDescent="0.25">
      <c r="A2596" s="40">
        <v>2581</v>
      </c>
      <c r="B2596" s="41" t="str">
        <f t="array" ref="B2596">IFERROR(IF(INDEX(Transactions!$F$8:$F$3006,MATCH(0,COUNTIF($B$11:B2595,Transactions!$F$8:$F$3006),0))="","",INDEX(Transactions!$F$8:$F$3006,MATCH(0,COUNTIF($B$11:B2595,Transactions!$F$8:$F$3006),0))),"")</f>
        <v/>
      </c>
      <c r="C2596" s="42" t="str">
        <f>IF(B2596="","",SUMIF(Transactions!$F$8:$F$3006,B2596,Transactions!$H$8:$H$3006))</f>
        <v/>
      </c>
      <c r="D2596" s="43" t="str">
        <f>IF(B2596="","",SUMIF(Transactions!$F$8:$F$3006,B2596,Transactions!$N$8:$N$3006))</f>
        <v/>
      </c>
      <c r="E2596" s="44" t="str">
        <f>IF(B2596="","",SUMIF(Transactions!$F$8:$F$3006,B2596,Transactions!$O$8:$O$3006))</f>
        <v/>
      </c>
      <c r="F2596" s="45" t="str">
        <f>IF(B2596="","",SUMIF(Transactions!$F$8:$F$3006,B2596,Transactions!$R$8:$R$3006))</f>
        <v/>
      </c>
      <c r="G2596" s="46" t="str">
        <f>IF(B2596="","",(C2596+F2596)-(D2596+E2596+SUMIF(Transactions!$F$8:$F$3006,B2596,Transactions!$Q$8:$Q$3006)))</f>
        <v/>
      </c>
      <c r="H2596" s="47" t="str">
        <f>IF(B2596="","",IF(G2596&gt;0,"OUTSTANDING",IF(G2596=0,"SETTLED",IF(SUMIF(Transactions!$F$8:$F$3006,B2596,Transactions!$Q$8:$Q$3006)&gt;SUMIF(Transactions!$F$8:$F$3006,B2596,Transactions!$R$8:$R$3006),"OWES","OVERPAID"))))</f>
        <v/>
      </c>
      <c r="I2596" s="1"/>
    </row>
    <row r="2597" spans="1:9" ht="18" customHeight="1" x14ac:dyDescent="0.25">
      <c r="A2597" s="48">
        <v>2582</v>
      </c>
      <c r="B2597" s="49" t="str">
        <f t="array" ref="B2597">IFERROR(IF(INDEX(Transactions!$F$8:$F$3006,MATCH(0,COUNTIF($B$11:B2596,Transactions!$F$8:$F$3006),0))="","",INDEX(Transactions!$F$8:$F$3006,MATCH(0,COUNTIF($B$11:B2596,Transactions!$F$8:$F$3006),0))),"")</f>
        <v/>
      </c>
      <c r="C2597" s="50" t="str">
        <f>IF(B2597="","",SUMIF(Transactions!$F$8:$F$3006,B2597,Transactions!$H$8:$H$3006))</f>
        <v/>
      </c>
      <c r="D2597" s="51" t="str">
        <f>IF(B2597="","",SUMIF(Transactions!$F$8:$F$3006,B2597,Transactions!$N$8:$N$3006))</f>
        <v/>
      </c>
      <c r="E2597" s="52" t="str">
        <f>IF(B2597="","",SUMIF(Transactions!$F$8:$F$3006,B2597,Transactions!$O$8:$O$3006))</f>
        <v/>
      </c>
      <c r="F2597" s="53" t="str">
        <f>IF(B2597="","",SUMIF(Transactions!$F$8:$F$3006,B2597,Transactions!$R$8:$R$3006))</f>
        <v/>
      </c>
      <c r="G2597" s="54" t="str">
        <f>IF(B2597="","",(C2597+F2597)-(D2597+E2597+SUMIF(Transactions!$F$8:$F$3006,B2597,Transactions!$Q$8:$Q$3006)))</f>
        <v/>
      </c>
      <c r="H2597" s="55" t="str">
        <f>IF(B2597="","",IF(G2597&gt;0,"OUTSTANDING",IF(G2597=0,"SETTLED",IF(SUMIF(Transactions!$F$8:$F$3006,B2597,Transactions!$Q$8:$Q$3006)&gt;SUMIF(Transactions!$F$8:$F$3006,B2597,Transactions!$R$8:$R$3006),"OWES","OVERPAID"))))</f>
        <v/>
      </c>
      <c r="I2597" s="1"/>
    </row>
    <row r="2598" spans="1:9" ht="18" customHeight="1" x14ac:dyDescent="0.25">
      <c r="A2598" s="40">
        <v>2583</v>
      </c>
      <c r="B2598" s="41" t="str">
        <f t="array" ref="B2598">IFERROR(IF(INDEX(Transactions!$F$8:$F$3006,MATCH(0,COUNTIF($B$11:B2597,Transactions!$F$8:$F$3006),0))="","",INDEX(Transactions!$F$8:$F$3006,MATCH(0,COUNTIF($B$11:B2597,Transactions!$F$8:$F$3006),0))),"")</f>
        <v/>
      </c>
      <c r="C2598" s="42" t="str">
        <f>IF(B2598="","",SUMIF(Transactions!$F$8:$F$3006,B2598,Transactions!$H$8:$H$3006))</f>
        <v/>
      </c>
      <c r="D2598" s="43" t="str">
        <f>IF(B2598="","",SUMIF(Transactions!$F$8:$F$3006,B2598,Transactions!$N$8:$N$3006))</f>
        <v/>
      </c>
      <c r="E2598" s="44" t="str">
        <f>IF(B2598="","",SUMIF(Transactions!$F$8:$F$3006,B2598,Transactions!$O$8:$O$3006))</f>
        <v/>
      </c>
      <c r="F2598" s="45" t="str">
        <f>IF(B2598="","",SUMIF(Transactions!$F$8:$F$3006,B2598,Transactions!$R$8:$R$3006))</f>
        <v/>
      </c>
      <c r="G2598" s="46" t="str">
        <f>IF(B2598="","",(C2598+F2598)-(D2598+E2598+SUMIF(Transactions!$F$8:$F$3006,B2598,Transactions!$Q$8:$Q$3006)))</f>
        <v/>
      </c>
      <c r="H2598" s="47" t="str">
        <f>IF(B2598="","",IF(G2598&gt;0,"OUTSTANDING",IF(G2598=0,"SETTLED",IF(SUMIF(Transactions!$F$8:$F$3006,B2598,Transactions!$Q$8:$Q$3006)&gt;SUMIF(Transactions!$F$8:$F$3006,B2598,Transactions!$R$8:$R$3006),"OWES","OVERPAID"))))</f>
        <v/>
      </c>
      <c r="I2598" s="1"/>
    </row>
    <row r="2599" spans="1:9" ht="18" customHeight="1" x14ac:dyDescent="0.25">
      <c r="A2599" s="48">
        <v>2584</v>
      </c>
      <c r="B2599" s="49" t="str">
        <f t="array" ref="B2599">IFERROR(IF(INDEX(Transactions!$F$8:$F$3006,MATCH(0,COUNTIF($B$11:B2598,Transactions!$F$8:$F$3006),0))="","",INDEX(Transactions!$F$8:$F$3006,MATCH(0,COUNTIF($B$11:B2598,Transactions!$F$8:$F$3006),0))),"")</f>
        <v/>
      </c>
      <c r="C2599" s="50" t="str">
        <f>IF(B2599="","",SUMIF(Transactions!$F$8:$F$3006,B2599,Transactions!$H$8:$H$3006))</f>
        <v/>
      </c>
      <c r="D2599" s="51" t="str">
        <f>IF(B2599="","",SUMIF(Transactions!$F$8:$F$3006,B2599,Transactions!$N$8:$N$3006))</f>
        <v/>
      </c>
      <c r="E2599" s="52" t="str">
        <f>IF(B2599="","",SUMIF(Transactions!$F$8:$F$3006,B2599,Transactions!$O$8:$O$3006))</f>
        <v/>
      </c>
      <c r="F2599" s="53" t="str">
        <f>IF(B2599="","",SUMIF(Transactions!$F$8:$F$3006,B2599,Transactions!$R$8:$R$3006))</f>
        <v/>
      </c>
      <c r="G2599" s="54" t="str">
        <f>IF(B2599="","",(C2599+F2599)-(D2599+E2599+SUMIF(Transactions!$F$8:$F$3006,B2599,Transactions!$Q$8:$Q$3006)))</f>
        <v/>
      </c>
      <c r="H2599" s="55" t="str">
        <f>IF(B2599="","",IF(G2599&gt;0,"OUTSTANDING",IF(G2599=0,"SETTLED",IF(SUMIF(Transactions!$F$8:$F$3006,B2599,Transactions!$Q$8:$Q$3006)&gt;SUMIF(Transactions!$F$8:$F$3006,B2599,Transactions!$R$8:$R$3006),"OWES","OVERPAID"))))</f>
        <v/>
      </c>
      <c r="I2599" s="1"/>
    </row>
    <row r="2600" spans="1:9" ht="18" customHeight="1" x14ac:dyDescent="0.25">
      <c r="A2600" s="40">
        <v>2585</v>
      </c>
      <c r="B2600" s="41" t="str">
        <f t="array" ref="B2600">IFERROR(IF(INDEX(Transactions!$F$8:$F$3006,MATCH(0,COUNTIF($B$11:B2599,Transactions!$F$8:$F$3006),0))="","",INDEX(Transactions!$F$8:$F$3006,MATCH(0,COUNTIF($B$11:B2599,Transactions!$F$8:$F$3006),0))),"")</f>
        <v/>
      </c>
      <c r="C2600" s="42" t="str">
        <f>IF(B2600="","",SUMIF(Transactions!$F$8:$F$3006,B2600,Transactions!$H$8:$H$3006))</f>
        <v/>
      </c>
      <c r="D2600" s="43" t="str">
        <f>IF(B2600="","",SUMIF(Transactions!$F$8:$F$3006,B2600,Transactions!$N$8:$N$3006))</f>
        <v/>
      </c>
      <c r="E2600" s="44" t="str">
        <f>IF(B2600="","",SUMIF(Transactions!$F$8:$F$3006,B2600,Transactions!$O$8:$O$3006))</f>
        <v/>
      </c>
      <c r="F2600" s="45" t="str">
        <f>IF(B2600="","",SUMIF(Transactions!$F$8:$F$3006,B2600,Transactions!$R$8:$R$3006))</f>
        <v/>
      </c>
      <c r="G2600" s="46" t="str">
        <f>IF(B2600="","",(C2600+F2600)-(D2600+E2600+SUMIF(Transactions!$F$8:$F$3006,B2600,Transactions!$Q$8:$Q$3006)))</f>
        <v/>
      </c>
      <c r="H2600" s="47" t="str">
        <f>IF(B2600="","",IF(G2600&gt;0,"OUTSTANDING",IF(G2600=0,"SETTLED",IF(SUMIF(Transactions!$F$8:$F$3006,B2600,Transactions!$Q$8:$Q$3006)&gt;SUMIF(Transactions!$F$8:$F$3006,B2600,Transactions!$R$8:$R$3006),"OWES","OVERPAID"))))</f>
        <v/>
      </c>
      <c r="I2600" s="1"/>
    </row>
    <row r="2601" spans="1:9" ht="18" customHeight="1" x14ac:dyDescent="0.25">
      <c r="A2601" s="48">
        <v>2586</v>
      </c>
      <c r="B2601" s="49" t="str">
        <f t="array" ref="B2601">IFERROR(IF(INDEX(Transactions!$F$8:$F$3006,MATCH(0,COUNTIF($B$11:B2600,Transactions!$F$8:$F$3006),0))="","",INDEX(Transactions!$F$8:$F$3006,MATCH(0,COUNTIF($B$11:B2600,Transactions!$F$8:$F$3006),0))),"")</f>
        <v/>
      </c>
      <c r="C2601" s="50" t="str">
        <f>IF(B2601="","",SUMIF(Transactions!$F$8:$F$3006,B2601,Transactions!$H$8:$H$3006))</f>
        <v/>
      </c>
      <c r="D2601" s="51" t="str">
        <f>IF(B2601="","",SUMIF(Transactions!$F$8:$F$3006,B2601,Transactions!$N$8:$N$3006))</f>
        <v/>
      </c>
      <c r="E2601" s="52" t="str">
        <f>IF(B2601="","",SUMIF(Transactions!$F$8:$F$3006,B2601,Transactions!$O$8:$O$3006))</f>
        <v/>
      </c>
      <c r="F2601" s="53" t="str">
        <f>IF(B2601="","",SUMIF(Transactions!$F$8:$F$3006,B2601,Transactions!$R$8:$R$3006))</f>
        <v/>
      </c>
      <c r="G2601" s="54" t="str">
        <f>IF(B2601="","",(C2601+F2601)-(D2601+E2601+SUMIF(Transactions!$F$8:$F$3006,B2601,Transactions!$Q$8:$Q$3006)))</f>
        <v/>
      </c>
      <c r="H2601" s="55" t="str">
        <f>IF(B2601="","",IF(G2601&gt;0,"OUTSTANDING",IF(G2601=0,"SETTLED",IF(SUMIF(Transactions!$F$8:$F$3006,B2601,Transactions!$Q$8:$Q$3006)&gt;SUMIF(Transactions!$F$8:$F$3006,B2601,Transactions!$R$8:$R$3006),"OWES","OVERPAID"))))</f>
        <v/>
      </c>
      <c r="I2601" s="1"/>
    </row>
    <row r="2602" spans="1:9" ht="18" customHeight="1" x14ac:dyDescent="0.25">
      <c r="A2602" s="40">
        <v>2587</v>
      </c>
      <c r="B2602" s="41" t="str">
        <f t="array" ref="B2602">IFERROR(IF(INDEX(Transactions!$F$8:$F$3006,MATCH(0,COUNTIF($B$11:B2601,Transactions!$F$8:$F$3006),0))="","",INDEX(Transactions!$F$8:$F$3006,MATCH(0,COUNTIF($B$11:B2601,Transactions!$F$8:$F$3006),0))),"")</f>
        <v/>
      </c>
      <c r="C2602" s="42" t="str">
        <f>IF(B2602="","",SUMIF(Transactions!$F$8:$F$3006,B2602,Transactions!$H$8:$H$3006))</f>
        <v/>
      </c>
      <c r="D2602" s="43" t="str">
        <f>IF(B2602="","",SUMIF(Transactions!$F$8:$F$3006,B2602,Transactions!$N$8:$N$3006))</f>
        <v/>
      </c>
      <c r="E2602" s="44" t="str">
        <f>IF(B2602="","",SUMIF(Transactions!$F$8:$F$3006,B2602,Transactions!$O$8:$O$3006))</f>
        <v/>
      </c>
      <c r="F2602" s="45" t="str">
        <f>IF(B2602="","",SUMIF(Transactions!$F$8:$F$3006,B2602,Transactions!$R$8:$R$3006))</f>
        <v/>
      </c>
      <c r="G2602" s="46" t="str">
        <f>IF(B2602="","",(C2602+F2602)-(D2602+E2602+SUMIF(Transactions!$F$8:$F$3006,B2602,Transactions!$Q$8:$Q$3006)))</f>
        <v/>
      </c>
      <c r="H2602" s="47" t="str">
        <f>IF(B2602="","",IF(G2602&gt;0,"OUTSTANDING",IF(G2602=0,"SETTLED",IF(SUMIF(Transactions!$F$8:$F$3006,B2602,Transactions!$Q$8:$Q$3006)&gt;SUMIF(Transactions!$F$8:$F$3006,B2602,Transactions!$R$8:$R$3006),"OWES","OVERPAID"))))</f>
        <v/>
      </c>
      <c r="I2602" s="1"/>
    </row>
    <row r="2603" spans="1:9" ht="18" customHeight="1" x14ac:dyDescent="0.25">
      <c r="A2603" s="48">
        <v>2588</v>
      </c>
      <c r="B2603" s="49" t="str">
        <f t="array" ref="B2603">IFERROR(IF(INDEX(Transactions!$F$8:$F$3006,MATCH(0,COUNTIF($B$11:B2602,Transactions!$F$8:$F$3006),0))="","",INDEX(Transactions!$F$8:$F$3006,MATCH(0,COUNTIF($B$11:B2602,Transactions!$F$8:$F$3006),0))),"")</f>
        <v/>
      </c>
      <c r="C2603" s="50" t="str">
        <f>IF(B2603="","",SUMIF(Transactions!$F$8:$F$3006,B2603,Transactions!$H$8:$H$3006))</f>
        <v/>
      </c>
      <c r="D2603" s="51" t="str">
        <f>IF(B2603="","",SUMIF(Transactions!$F$8:$F$3006,B2603,Transactions!$N$8:$N$3006))</f>
        <v/>
      </c>
      <c r="E2603" s="52" t="str">
        <f>IF(B2603="","",SUMIF(Transactions!$F$8:$F$3006,B2603,Transactions!$O$8:$O$3006))</f>
        <v/>
      </c>
      <c r="F2603" s="53" t="str">
        <f>IF(B2603="","",SUMIF(Transactions!$F$8:$F$3006,B2603,Transactions!$R$8:$R$3006))</f>
        <v/>
      </c>
      <c r="G2603" s="54" t="str">
        <f>IF(B2603="","",(C2603+F2603)-(D2603+E2603+SUMIF(Transactions!$F$8:$F$3006,B2603,Transactions!$Q$8:$Q$3006)))</f>
        <v/>
      </c>
      <c r="H2603" s="55" t="str">
        <f>IF(B2603="","",IF(G2603&gt;0,"OUTSTANDING",IF(G2603=0,"SETTLED",IF(SUMIF(Transactions!$F$8:$F$3006,B2603,Transactions!$Q$8:$Q$3006)&gt;SUMIF(Transactions!$F$8:$F$3006,B2603,Transactions!$R$8:$R$3006),"OWES","OVERPAID"))))</f>
        <v/>
      </c>
      <c r="I2603" s="1"/>
    </row>
    <row r="2604" spans="1:9" ht="18" customHeight="1" x14ac:dyDescent="0.25">
      <c r="A2604" s="40">
        <v>2589</v>
      </c>
      <c r="B2604" s="41" t="str">
        <f t="array" ref="B2604">IFERROR(IF(INDEX(Transactions!$F$8:$F$3006,MATCH(0,COUNTIF($B$11:B2603,Transactions!$F$8:$F$3006),0))="","",INDEX(Transactions!$F$8:$F$3006,MATCH(0,COUNTIF($B$11:B2603,Transactions!$F$8:$F$3006),0))),"")</f>
        <v/>
      </c>
      <c r="C2604" s="42" t="str">
        <f>IF(B2604="","",SUMIF(Transactions!$F$8:$F$3006,B2604,Transactions!$H$8:$H$3006))</f>
        <v/>
      </c>
      <c r="D2604" s="43" t="str">
        <f>IF(B2604="","",SUMIF(Transactions!$F$8:$F$3006,B2604,Transactions!$N$8:$N$3006))</f>
        <v/>
      </c>
      <c r="E2604" s="44" t="str">
        <f>IF(B2604="","",SUMIF(Transactions!$F$8:$F$3006,B2604,Transactions!$O$8:$O$3006))</f>
        <v/>
      </c>
      <c r="F2604" s="45" t="str">
        <f>IF(B2604="","",SUMIF(Transactions!$F$8:$F$3006,B2604,Transactions!$R$8:$R$3006))</f>
        <v/>
      </c>
      <c r="G2604" s="46" t="str">
        <f>IF(B2604="","",(C2604+F2604)-(D2604+E2604+SUMIF(Transactions!$F$8:$F$3006,B2604,Transactions!$Q$8:$Q$3006)))</f>
        <v/>
      </c>
      <c r="H2604" s="47" t="str">
        <f>IF(B2604="","",IF(G2604&gt;0,"OUTSTANDING",IF(G2604=0,"SETTLED",IF(SUMIF(Transactions!$F$8:$F$3006,B2604,Transactions!$Q$8:$Q$3006)&gt;SUMIF(Transactions!$F$8:$F$3006,B2604,Transactions!$R$8:$R$3006),"OWES","OVERPAID"))))</f>
        <v/>
      </c>
      <c r="I2604" s="1"/>
    </row>
    <row r="2605" spans="1:9" ht="18" customHeight="1" x14ac:dyDescent="0.25">
      <c r="A2605" s="48">
        <v>2590</v>
      </c>
      <c r="B2605" s="49" t="str">
        <f t="array" ref="B2605">IFERROR(IF(INDEX(Transactions!$F$8:$F$3006,MATCH(0,COUNTIF($B$11:B2604,Transactions!$F$8:$F$3006),0))="","",INDEX(Transactions!$F$8:$F$3006,MATCH(0,COUNTIF($B$11:B2604,Transactions!$F$8:$F$3006),0))),"")</f>
        <v/>
      </c>
      <c r="C2605" s="50" t="str">
        <f>IF(B2605="","",SUMIF(Transactions!$F$8:$F$3006,B2605,Transactions!$H$8:$H$3006))</f>
        <v/>
      </c>
      <c r="D2605" s="51" t="str">
        <f>IF(B2605="","",SUMIF(Transactions!$F$8:$F$3006,B2605,Transactions!$N$8:$N$3006))</f>
        <v/>
      </c>
      <c r="E2605" s="52" t="str">
        <f>IF(B2605="","",SUMIF(Transactions!$F$8:$F$3006,B2605,Transactions!$O$8:$O$3006))</f>
        <v/>
      </c>
      <c r="F2605" s="53" t="str">
        <f>IF(B2605="","",SUMIF(Transactions!$F$8:$F$3006,B2605,Transactions!$R$8:$R$3006))</f>
        <v/>
      </c>
      <c r="G2605" s="54" t="str">
        <f>IF(B2605="","",(C2605+F2605)-(D2605+E2605+SUMIF(Transactions!$F$8:$F$3006,B2605,Transactions!$Q$8:$Q$3006)))</f>
        <v/>
      </c>
      <c r="H2605" s="55" t="str">
        <f>IF(B2605="","",IF(G2605&gt;0,"OUTSTANDING",IF(G2605=0,"SETTLED",IF(SUMIF(Transactions!$F$8:$F$3006,B2605,Transactions!$Q$8:$Q$3006)&gt;SUMIF(Transactions!$F$8:$F$3006,B2605,Transactions!$R$8:$R$3006),"OWES","OVERPAID"))))</f>
        <v/>
      </c>
      <c r="I2605" s="1"/>
    </row>
    <row r="2606" spans="1:9" ht="18" customHeight="1" x14ac:dyDescent="0.25">
      <c r="A2606" s="40">
        <v>2591</v>
      </c>
      <c r="B2606" s="41" t="str">
        <f t="array" ref="B2606">IFERROR(IF(INDEX(Transactions!$F$8:$F$3006,MATCH(0,COUNTIF($B$11:B2605,Transactions!$F$8:$F$3006),0))="","",INDEX(Transactions!$F$8:$F$3006,MATCH(0,COUNTIF($B$11:B2605,Transactions!$F$8:$F$3006),0))),"")</f>
        <v/>
      </c>
      <c r="C2606" s="42" t="str">
        <f>IF(B2606="","",SUMIF(Transactions!$F$8:$F$3006,B2606,Transactions!$H$8:$H$3006))</f>
        <v/>
      </c>
      <c r="D2606" s="43" t="str">
        <f>IF(B2606="","",SUMIF(Transactions!$F$8:$F$3006,B2606,Transactions!$N$8:$N$3006))</f>
        <v/>
      </c>
      <c r="E2606" s="44" t="str">
        <f>IF(B2606="","",SUMIF(Transactions!$F$8:$F$3006,B2606,Transactions!$O$8:$O$3006))</f>
        <v/>
      </c>
      <c r="F2606" s="45" t="str">
        <f>IF(B2606="","",SUMIF(Transactions!$F$8:$F$3006,B2606,Transactions!$R$8:$R$3006))</f>
        <v/>
      </c>
      <c r="G2606" s="46" t="str">
        <f>IF(B2606="","",(C2606+F2606)-(D2606+E2606+SUMIF(Transactions!$F$8:$F$3006,B2606,Transactions!$Q$8:$Q$3006)))</f>
        <v/>
      </c>
      <c r="H2606" s="47" t="str">
        <f>IF(B2606="","",IF(G2606&gt;0,"OUTSTANDING",IF(G2606=0,"SETTLED",IF(SUMIF(Transactions!$F$8:$F$3006,B2606,Transactions!$Q$8:$Q$3006)&gt;SUMIF(Transactions!$F$8:$F$3006,B2606,Transactions!$R$8:$R$3006),"OWES","OVERPAID"))))</f>
        <v/>
      </c>
      <c r="I2606" s="1"/>
    </row>
    <row r="2607" spans="1:9" ht="18" customHeight="1" x14ac:dyDescent="0.25">
      <c r="A2607" s="48">
        <v>2592</v>
      </c>
      <c r="B2607" s="49" t="str">
        <f t="array" ref="B2607">IFERROR(IF(INDEX(Transactions!$F$8:$F$3006,MATCH(0,COUNTIF($B$11:B2606,Transactions!$F$8:$F$3006),0))="","",INDEX(Transactions!$F$8:$F$3006,MATCH(0,COUNTIF($B$11:B2606,Transactions!$F$8:$F$3006),0))),"")</f>
        <v/>
      </c>
      <c r="C2607" s="50" t="str">
        <f>IF(B2607="","",SUMIF(Transactions!$F$8:$F$3006,B2607,Transactions!$H$8:$H$3006))</f>
        <v/>
      </c>
      <c r="D2607" s="51" t="str">
        <f>IF(B2607="","",SUMIF(Transactions!$F$8:$F$3006,B2607,Transactions!$N$8:$N$3006))</f>
        <v/>
      </c>
      <c r="E2607" s="52" t="str">
        <f>IF(B2607="","",SUMIF(Transactions!$F$8:$F$3006,B2607,Transactions!$O$8:$O$3006))</f>
        <v/>
      </c>
      <c r="F2607" s="53" t="str">
        <f>IF(B2607="","",SUMIF(Transactions!$F$8:$F$3006,B2607,Transactions!$R$8:$R$3006))</f>
        <v/>
      </c>
      <c r="G2607" s="54" t="str">
        <f>IF(B2607="","",(C2607+F2607)-(D2607+E2607+SUMIF(Transactions!$F$8:$F$3006,B2607,Transactions!$Q$8:$Q$3006)))</f>
        <v/>
      </c>
      <c r="H2607" s="55" t="str">
        <f>IF(B2607="","",IF(G2607&gt;0,"OUTSTANDING",IF(G2607=0,"SETTLED",IF(SUMIF(Transactions!$F$8:$F$3006,B2607,Transactions!$Q$8:$Q$3006)&gt;SUMIF(Transactions!$F$8:$F$3006,B2607,Transactions!$R$8:$R$3006),"OWES","OVERPAID"))))</f>
        <v/>
      </c>
      <c r="I2607" s="1"/>
    </row>
    <row r="2608" spans="1:9" ht="18" customHeight="1" x14ac:dyDescent="0.25">
      <c r="A2608" s="40">
        <v>2593</v>
      </c>
      <c r="B2608" s="41" t="str">
        <f t="array" ref="B2608">IFERROR(IF(INDEX(Transactions!$F$8:$F$3006,MATCH(0,COUNTIF($B$11:B2607,Transactions!$F$8:$F$3006),0))="","",INDEX(Transactions!$F$8:$F$3006,MATCH(0,COUNTIF($B$11:B2607,Transactions!$F$8:$F$3006),0))),"")</f>
        <v/>
      </c>
      <c r="C2608" s="42" t="str">
        <f>IF(B2608="","",SUMIF(Transactions!$F$8:$F$3006,B2608,Transactions!$H$8:$H$3006))</f>
        <v/>
      </c>
      <c r="D2608" s="43" t="str">
        <f>IF(B2608="","",SUMIF(Transactions!$F$8:$F$3006,B2608,Transactions!$N$8:$N$3006))</f>
        <v/>
      </c>
      <c r="E2608" s="44" t="str">
        <f>IF(B2608="","",SUMIF(Transactions!$F$8:$F$3006,B2608,Transactions!$O$8:$O$3006))</f>
        <v/>
      </c>
      <c r="F2608" s="45" t="str">
        <f>IF(B2608="","",SUMIF(Transactions!$F$8:$F$3006,B2608,Transactions!$R$8:$R$3006))</f>
        <v/>
      </c>
      <c r="G2608" s="46" t="str">
        <f>IF(B2608="","",(C2608+F2608)-(D2608+E2608+SUMIF(Transactions!$F$8:$F$3006,B2608,Transactions!$Q$8:$Q$3006)))</f>
        <v/>
      </c>
      <c r="H2608" s="47" t="str">
        <f>IF(B2608="","",IF(G2608&gt;0,"OUTSTANDING",IF(G2608=0,"SETTLED",IF(SUMIF(Transactions!$F$8:$F$3006,B2608,Transactions!$Q$8:$Q$3006)&gt;SUMIF(Transactions!$F$8:$F$3006,B2608,Transactions!$R$8:$R$3006),"OWES","OVERPAID"))))</f>
        <v/>
      </c>
      <c r="I2608" s="1"/>
    </row>
    <row r="2609" spans="1:9" ht="18" customHeight="1" x14ac:dyDescent="0.25">
      <c r="A2609" s="48">
        <v>2594</v>
      </c>
      <c r="B2609" s="49" t="str">
        <f t="array" ref="B2609">IFERROR(IF(INDEX(Transactions!$F$8:$F$3006,MATCH(0,COUNTIF($B$11:B2608,Transactions!$F$8:$F$3006),0))="","",INDEX(Transactions!$F$8:$F$3006,MATCH(0,COUNTIF($B$11:B2608,Transactions!$F$8:$F$3006),0))),"")</f>
        <v/>
      </c>
      <c r="C2609" s="50" t="str">
        <f>IF(B2609="","",SUMIF(Transactions!$F$8:$F$3006,B2609,Transactions!$H$8:$H$3006))</f>
        <v/>
      </c>
      <c r="D2609" s="51" t="str">
        <f>IF(B2609="","",SUMIF(Transactions!$F$8:$F$3006,B2609,Transactions!$N$8:$N$3006))</f>
        <v/>
      </c>
      <c r="E2609" s="52" t="str">
        <f>IF(B2609="","",SUMIF(Transactions!$F$8:$F$3006,B2609,Transactions!$O$8:$O$3006))</f>
        <v/>
      </c>
      <c r="F2609" s="53" t="str">
        <f>IF(B2609="","",SUMIF(Transactions!$F$8:$F$3006,B2609,Transactions!$R$8:$R$3006))</f>
        <v/>
      </c>
      <c r="G2609" s="54" t="str">
        <f>IF(B2609="","",(C2609+F2609)-(D2609+E2609+SUMIF(Transactions!$F$8:$F$3006,B2609,Transactions!$Q$8:$Q$3006)))</f>
        <v/>
      </c>
      <c r="H2609" s="55" t="str">
        <f>IF(B2609="","",IF(G2609&gt;0,"OUTSTANDING",IF(G2609=0,"SETTLED",IF(SUMIF(Transactions!$F$8:$F$3006,B2609,Transactions!$Q$8:$Q$3006)&gt;SUMIF(Transactions!$F$8:$F$3006,B2609,Transactions!$R$8:$R$3006),"OWES","OVERPAID"))))</f>
        <v/>
      </c>
      <c r="I2609" s="1"/>
    </row>
    <row r="2610" spans="1:9" ht="18" customHeight="1" x14ac:dyDescent="0.25">
      <c r="A2610" s="40">
        <v>2595</v>
      </c>
      <c r="B2610" s="41" t="str">
        <f t="array" ref="B2610">IFERROR(IF(INDEX(Transactions!$F$8:$F$3006,MATCH(0,COUNTIF($B$11:B2609,Transactions!$F$8:$F$3006),0))="","",INDEX(Transactions!$F$8:$F$3006,MATCH(0,COUNTIF($B$11:B2609,Transactions!$F$8:$F$3006),0))),"")</f>
        <v/>
      </c>
      <c r="C2610" s="42" t="str">
        <f>IF(B2610="","",SUMIF(Transactions!$F$8:$F$3006,B2610,Transactions!$H$8:$H$3006))</f>
        <v/>
      </c>
      <c r="D2610" s="43" t="str">
        <f>IF(B2610="","",SUMIF(Transactions!$F$8:$F$3006,B2610,Transactions!$N$8:$N$3006))</f>
        <v/>
      </c>
      <c r="E2610" s="44" t="str">
        <f>IF(B2610="","",SUMIF(Transactions!$F$8:$F$3006,B2610,Transactions!$O$8:$O$3006))</f>
        <v/>
      </c>
      <c r="F2610" s="45" t="str">
        <f>IF(B2610="","",SUMIF(Transactions!$F$8:$F$3006,B2610,Transactions!$R$8:$R$3006))</f>
        <v/>
      </c>
      <c r="G2610" s="46" t="str">
        <f>IF(B2610="","",(C2610+F2610)-(D2610+E2610+SUMIF(Transactions!$F$8:$F$3006,B2610,Transactions!$Q$8:$Q$3006)))</f>
        <v/>
      </c>
      <c r="H2610" s="47" t="str">
        <f>IF(B2610="","",IF(G2610&gt;0,"OUTSTANDING",IF(G2610=0,"SETTLED",IF(SUMIF(Transactions!$F$8:$F$3006,B2610,Transactions!$Q$8:$Q$3006)&gt;SUMIF(Transactions!$F$8:$F$3006,B2610,Transactions!$R$8:$R$3006),"OWES","OVERPAID"))))</f>
        <v/>
      </c>
      <c r="I2610" s="1"/>
    </row>
    <row r="2611" spans="1:9" ht="18" customHeight="1" x14ac:dyDescent="0.25">
      <c r="A2611" s="48">
        <v>2596</v>
      </c>
      <c r="B2611" s="49" t="str">
        <f t="array" ref="B2611">IFERROR(IF(INDEX(Transactions!$F$8:$F$3006,MATCH(0,COUNTIF($B$11:B2610,Transactions!$F$8:$F$3006),0))="","",INDEX(Transactions!$F$8:$F$3006,MATCH(0,COUNTIF($B$11:B2610,Transactions!$F$8:$F$3006),0))),"")</f>
        <v/>
      </c>
      <c r="C2611" s="50" t="str">
        <f>IF(B2611="","",SUMIF(Transactions!$F$8:$F$3006,B2611,Transactions!$H$8:$H$3006))</f>
        <v/>
      </c>
      <c r="D2611" s="51" t="str">
        <f>IF(B2611="","",SUMIF(Transactions!$F$8:$F$3006,B2611,Transactions!$N$8:$N$3006))</f>
        <v/>
      </c>
      <c r="E2611" s="52" t="str">
        <f>IF(B2611="","",SUMIF(Transactions!$F$8:$F$3006,B2611,Transactions!$O$8:$O$3006))</f>
        <v/>
      </c>
      <c r="F2611" s="53" t="str">
        <f>IF(B2611="","",SUMIF(Transactions!$F$8:$F$3006,B2611,Transactions!$R$8:$R$3006))</f>
        <v/>
      </c>
      <c r="G2611" s="54" t="str">
        <f>IF(B2611="","",(C2611+F2611)-(D2611+E2611+SUMIF(Transactions!$F$8:$F$3006,B2611,Transactions!$Q$8:$Q$3006)))</f>
        <v/>
      </c>
      <c r="H2611" s="55" t="str">
        <f>IF(B2611="","",IF(G2611&gt;0,"OUTSTANDING",IF(G2611=0,"SETTLED",IF(SUMIF(Transactions!$F$8:$F$3006,B2611,Transactions!$Q$8:$Q$3006)&gt;SUMIF(Transactions!$F$8:$F$3006,B2611,Transactions!$R$8:$R$3006),"OWES","OVERPAID"))))</f>
        <v/>
      </c>
      <c r="I2611" s="1"/>
    </row>
    <row r="2612" spans="1:9" ht="18" customHeight="1" x14ac:dyDescent="0.25">
      <c r="A2612" s="40">
        <v>2597</v>
      </c>
      <c r="B2612" s="41" t="str">
        <f t="array" ref="B2612">IFERROR(IF(INDEX(Transactions!$F$8:$F$3006,MATCH(0,COUNTIF($B$11:B2611,Transactions!$F$8:$F$3006),0))="","",INDEX(Transactions!$F$8:$F$3006,MATCH(0,COUNTIF($B$11:B2611,Transactions!$F$8:$F$3006),0))),"")</f>
        <v/>
      </c>
      <c r="C2612" s="42" t="str">
        <f>IF(B2612="","",SUMIF(Transactions!$F$8:$F$3006,B2612,Transactions!$H$8:$H$3006))</f>
        <v/>
      </c>
      <c r="D2612" s="43" t="str">
        <f>IF(B2612="","",SUMIF(Transactions!$F$8:$F$3006,B2612,Transactions!$N$8:$N$3006))</f>
        <v/>
      </c>
      <c r="E2612" s="44" t="str">
        <f>IF(B2612="","",SUMIF(Transactions!$F$8:$F$3006,B2612,Transactions!$O$8:$O$3006))</f>
        <v/>
      </c>
      <c r="F2612" s="45" t="str">
        <f>IF(B2612="","",SUMIF(Transactions!$F$8:$F$3006,B2612,Transactions!$R$8:$R$3006))</f>
        <v/>
      </c>
      <c r="G2612" s="46" t="str">
        <f>IF(B2612="","",(C2612+F2612)-(D2612+E2612+SUMIF(Transactions!$F$8:$F$3006,B2612,Transactions!$Q$8:$Q$3006)))</f>
        <v/>
      </c>
      <c r="H2612" s="47" t="str">
        <f>IF(B2612="","",IF(G2612&gt;0,"OUTSTANDING",IF(G2612=0,"SETTLED",IF(SUMIF(Transactions!$F$8:$F$3006,B2612,Transactions!$Q$8:$Q$3006)&gt;SUMIF(Transactions!$F$8:$F$3006,B2612,Transactions!$R$8:$R$3006),"OWES","OVERPAID"))))</f>
        <v/>
      </c>
      <c r="I2612" s="1"/>
    </row>
    <row r="2613" spans="1:9" ht="18" customHeight="1" x14ac:dyDescent="0.25">
      <c r="A2613" s="48">
        <v>2598</v>
      </c>
      <c r="B2613" s="49" t="str">
        <f t="array" ref="B2613">IFERROR(IF(INDEX(Transactions!$F$8:$F$3006,MATCH(0,COUNTIF($B$11:B2612,Transactions!$F$8:$F$3006),0))="","",INDEX(Transactions!$F$8:$F$3006,MATCH(0,COUNTIF($B$11:B2612,Transactions!$F$8:$F$3006),0))),"")</f>
        <v/>
      </c>
      <c r="C2613" s="50" t="str">
        <f>IF(B2613="","",SUMIF(Transactions!$F$8:$F$3006,B2613,Transactions!$H$8:$H$3006))</f>
        <v/>
      </c>
      <c r="D2613" s="51" t="str">
        <f>IF(B2613="","",SUMIF(Transactions!$F$8:$F$3006,B2613,Transactions!$N$8:$N$3006))</f>
        <v/>
      </c>
      <c r="E2613" s="52" t="str">
        <f>IF(B2613="","",SUMIF(Transactions!$F$8:$F$3006,B2613,Transactions!$O$8:$O$3006))</f>
        <v/>
      </c>
      <c r="F2613" s="53" t="str">
        <f>IF(B2613="","",SUMIF(Transactions!$F$8:$F$3006,B2613,Transactions!$R$8:$R$3006))</f>
        <v/>
      </c>
      <c r="G2613" s="54" t="str">
        <f>IF(B2613="","",(C2613+F2613)-(D2613+E2613+SUMIF(Transactions!$F$8:$F$3006,B2613,Transactions!$Q$8:$Q$3006)))</f>
        <v/>
      </c>
      <c r="H2613" s="55" t="str">
        <f>IF(B2613="","",IF(G2613&gt;0,"OUTSTANDING",IF(G2613=0,"SETTLED",IF(SUMIF(Transactions!$F$8:$F$3006,B2613,Transactions!$Q$8:$Q$3006)&gt;SUMIF(Transactions!$F$8:$F$3006,B2613,Transactions!$R$8:$R$3006),"OWES","OVERPAID"))))</f>
        <v/>
      </c>
      <c r="I2613" s="1"/>
    </row>
    <row r="2614" spans="1:9" ht="18" customHeight="1" x14ac:dyDescent="0.25">
      <c r="A2614" s="40">
        <v>2599</v>
      </c>
      <c r="B2614" s="41" t="str">
        <f t="array" ref="B2614">IFERROR(IF(INDEX(Transactions!$F$8:$F$3006,MATCH(0,COUNTIF($B$11:B2613,Transactions!$F$8:$F$3006),0))="","",INDEX(Transactions!$F$8:$F$3006,MATCH(0,COUNTIF($B$11:B2613,Transactions!$F$8:$F$3006),0))),"")</f>
        <v/>
      </c>
      <c r="C2614" s="42" t="str">
        <f>IF(B2614="","",SUMIF(Transactions!$F$8:$F$3006,B2614,Transactions!$H$8:$H$3006))</f>
        <v/>
      </c>
      <c r="D2614" s="43" t="str">
        <f>IF(B2614="","",SUMIF(Transactions!$F$8:$F$3006,B2614,Transactions!$N$8:$N$3006))</f>
        <v/>
      </c>
      <c r="E2614" s="44" t="str">
        <f>IF(B2614="","",SUMIF(Transactions!$F$8:$F$3006,B2614,Transactions!$O$8:$O$3006))</f>
        <v/>
      </c>
      <c r="F2614" s="45" t="str">
        <f>IF(B2614="","",SUMIF(Transactions!$F$8:$F$3006,B2614,Transactions!$R$8:$R$3006))</f>
        <v/>
      </c>
      <c r="G2614" s="46" t="str">
        <f>IF(B2614="","",(C2614+F2614)-(D2614+E2614+SUMIF(Transactions!$F$8:$F$3006,B2614,Transactions!$Q$8:$Q$3006)))</f>
        <v/>
      </c>
      <c r="H2614" s="47" t="str">
        <f>IF(B2614="","",IF(G2614&gt;0,"OUTSTANDING",IF(G2614=0,"SETTLED",IF(SUMIF(Transactions!$F$8:$F$3006,B2614,Transactions!$Q$8:$Q$3006)&gt;SUMIF(Transactions!$F$8:$F$3006,B2614,Transactions!$R$8:$R$3006),"OWES","OVERPAID"))))</f>
        <v/>
      </c>
      <c r="I2614" s="1"/>
    </row>
    <row r="2615" spans="1:9" ht="18" customHeight="1" x14ac:dyDescent="0.25">
      <c r="A2615" s="48">
        <v>2600</v>
      </c>
      <c r="B2615" s="49" t="str">
        <f t="array" ref="B2615">IFERROR(IF(INDEX(Transactions!$F$8:$F$3006,MATCH(0,COUNTIF($B$11:B2614,Transactions!$F$8:$F$3006),0))="","",INDEX(Transactions!$F$8:$F$3006,MATCH(0,COUNTIF($B$11:B2614,Transactions!$F$8:$F$3006),0))),"")</f>
        <v/>
      </c>
      <c r="C2615" s="50" t="str">
        <f>IF(B2615="","",SUMIF(Transactions!$F$8:$F$3006,B2615,Transactions!$H$8:$H$3006))</f>
        <v/>
      </c>
      <c r="D2615" s="51" t="str">
        <f>IF(B2615="","",SUMIF(Transactions!$F$8:$F$3006,B2615,Transactions!$N$8:$N$3006))</f>
        <v/>
      </c>
      <c r="E2615" s="52" t="str">
        <f>IF(B2615="","",SUMIF(Transactions!$F$8:$F$3006,B2615,Transactions!$O$8:$O$3006))</f>
        <v/>
      </c>
      <c r="F2615" s="53" t="str">
        <f>IF(B2615="","",SUMIF(Transactions!$F$8:$F$3006,B2615,Transactions!$R$8:$R$3006))</f>
        <v/>
      </c>
      <c r="G2615" s="54" t="str">
        <f>IF(B2615="","",(C2615+F2615)-(D2615+E2615+SUMIF(Transactions!$F$8:$F$3006,B2615,Transactions!$Q$8:$Q$3006)))</f>
        <v/>
      </c>
      <c r="H2615" s="55" t="str">
        <f>IF(B2615="","",IF(G2615&gt;0,"OUTSTANDING",IF(G2615=0,"SETTLED",IF(SUMIF(Transactions!$F$8:$F$3006,B2615,Transactions!$Q$8:$Q$3006)&gt;SUMIF(Transactions!$F$8:$F$3006,B2615,Transactions!$R$8:$R$3006),"OWES","OVERPAID"))))</f>
        <v/>
      </c>
      <c r="I2615" s="1"/>
    </row>
    <row r="2616" spans="1:9" ht="18" customHeight="1" x14ac:dyDescent="0.25">
      <c r="A2616" s="40">
        <v>2601</v>
      </c>
      <c r="B2616" s="41" t="str">
        <f t="array" ref="B2616">IFERROR(IF(INDEX(Transactions!$F$8:$F$3006,MATCH(0,COUNTIF($B$11:B2615,Transactions!$F$8:$F$3006),0))="","",INDEX(Transactions!$F$8:$F$3006,MATCH(0,COUNTIF($B$11:B2615,Transactions!$F$8:$F$3006),0))),"")</f>
        <v/>
      </c>
      <c r="C2616" s="42" t="str">
        <f>IF(B2616="","",SUMIF(Transactions!$F$8:$F$3006,B2616,Transactions!$H$8:$H$3006))</f>
        <v/>
      </c>
      <c r="D2616" s="43" t="str">
        <f>IF(B2616="","",SUMIF(Transactions!$F$8:$F$3006,B2616,Transactions!$N$8:$N$3006))</f>
        <v/>
      </c>
      <c r="E2616" s="44" t="str">
        <f>IF(B2616="","",SUMIF(Transactions!$F$8:$F$3006,B2616,Transactions!$O$8:$O$3006))</f>
        <v/>
      </c>
      <c r="F2616" s="45" t="str">
        <f>IF(B2616="","",SUMIF(Transactions!$F$8:$F$3006,B2616,Transactions!$R$8:$R$3006))</f>
        <v/>
      </c>
      <c r="G2616" s="46" t="str">
        <f>IF(B2616="","",(C2616+F2616)-(D2616+E2616+SUMIF(Transactions!$F$8:$F$3006,B2616,Transactions!$Q$8:$Q$3006)))</f>
        <v/>
      </c>
      <c r="H2616" s="47" t="str">
        <f>IF(B2616="","",IF(G2616&gt;0,"OUTSTANDING",IF(G2616=0,"SETTLED",IF(SUMIF(Transactions!$F$8:$F$3006,B2616,Transactions!$Q$8:$Q$3006)&gt;SUMIF(Transactions!$F$8:$F$3006,B2616,Transactions!$R$8:$R$3006),"OWES","OVERPAID"))))</f>
        <v/>
      </c>
      <c r="I2616" s="1"/>
    </row>
    <row r="2617" spans="1:9" ht="18" customHeight="1" x14ac:dyDescent="0.25">
      <c r="A2617" s="48">
        <v>2602</v>
      </c>
      <c r="B2617" s="49" t="str">
        <f t="array" ref="B2617">IFERROR(IF(INDEX(Transactions!$F$8:$F$3006,MATCH(0,COUNTIF($B$11:B2616,Transactions!$F$8:$F$3006),0))="","",INDEX(Transactions!$F$8:$F$3006,MATCH(0,COUNTIF($B$11:B2616,Transactions!$F$8:$F$3006),0))),"")</f>
        <v/>
      </c>
      <c r="C2617" s="50" t="str">
        <f>IF(B2617="","",SUMIF(Transactions!$F$8:$F$3006,B2617,Transactions!$H$8:$H$3006))</f>
        <v/>
      </c>
      <c r="D2617" s="51" t="str">
        <f>IF(B2617="","",SUMIF(Transactions!$F$8:$F$3006,B2617,Transactions!$N$8:$N$3006))</f>
        <v/>
      </c>
      <c r="E2617" s="52" t="str">
        <f>IF(B2617="","",SUMIF(Transactions!$F$8:$F$3006,B2617,Transactions!$O$8:$O$3006))</f>
        <v/>
      </c>
      <c r="F2617" s="53" t="str">
        <f>IF(B2617="","",SUMIF(Transactions!$F$8:$F$3006,B2617,Transactions!$R$8:$R$3006))</f>
        <v/>
      </c>
      <c r="G2617" s="54" t="str">
        <f>IF(B2617="","",(C2617+F2617)-(D2617+E2617+SUMIF(Transactions!$F$8:$F$3006,B2617,Transactions!$Q$8:$Q$3006)))</f>
        <v/>
      </c>
      <c r="H2617" s="55" t="str">
        <f>IF(B2617="","",IF(G2617&gt;0,"OUTSTANDING",IF(G2617=0,"SETTLED",IF(SUMIF(Transactions!$F$8:$F$3006,B2617,Transactions!$Q$8:$Q$3006)&gt;SUMIF(Transactions!$F$8:$F$3006,B2617,Transactions!$R$8:$R$3006),"OWES","OVERPAID"))))</f>
        <v/>
      </c>
      <c r="I2617" s="1"/>
    </row>
    <row r="2618" spans="1:9" ht="18" customHeight="1" x14ac:dyDescent="0.25">
      <c r="A2618" s="40">
        <v>2603</v>
      </c>
      <c r="B2618" s="41" t="str">
        <f t="array" ref="B2618">IFERROR(IF(INDEX(Transactions!$F$8:$F$3006,MATCH(0,COUNTIF($B$11:B2617,Transactions!$F$8:$F$3006),0))="","",INDEX(Transactions!$F$8:$F$3006,MATCH(0,COUNTIF($B$11:B2617,Transactions!$F$8:$F$3006),0))),"")</f>
        <v/>
      </c>
      <c r="C2618" s="42" t="str">
        <f>IF(B2618="","",SUMIF(Transactions!$F$8:$F$3006,B2618,Transactions!$H$8:$H$3006))</f>
        <v/>
      </c>
      <c r="D2618" s="43" t="str">
        <f>IF(B2618="","",SUMIF(Transactions!$F$8:$F$3006,B2618,Transactions!$N$8:$N$3006))</f>
        <v/>
      </c>
      <c r="E2618" s="44" t="str">
        <f>IF(B2618="","",SUMIF(Transactions!$F$8:$F$3006,B2618,Transactions!$O$8:$O$3006))</f>
        <v/>
      </c>
      <c r="F2618" s="45" t="str">
        <f>IF(B2618="","",SUMIF(Transactions!$F$8:$F$3006,B2618,Transactions!$R$8:$R$3006))</f>
        <v/>
      </c>
      <c r="G2618" s="46" t="str">
        <f>IF(B2618="","",(C2618+F2618)-(D2618+E2618+SUMIF(Transactions!$F$8:$F$3006,B2618,Transactions!$Q$8:$Q$3006)))</f>
        <v/>
      </c>
      <c r="H2618" s="47" t="str">
        <f>IF(B2618="","",IF(G2618&gt;0,"OUTSTANDING",IF(G2618=0,"SETTLED",IF(SUMIF(Transactions!$F$8:$F$3006,B2618,Transactions!$Q$8:$Q$3006)&gt;SUMIF(Transactions!$F$8:$F$3006,B2618,Transactions!$R$8:$R$3006),"OWES","OVERPAID"))))</f>
        <v/>
      </c>
      <c r="I2618" s="1"/>
    </row>
    <row r="2619" spans="1:9" ht="18" customHeight="1" x14ac:dyDescent="0.25">
      <c r="A2619" s="48">
        <v>2604</v>
      </c>
      <c r="B2619" s="49" t="str">
        <f t="array" ref="B2619">IFERROR(IF(INDEX(Transactions!$F$8:$F$3006,MATCH(0,COUNTIF($B$11:B2618,Transactions!$F$8:$F$3006),0))="","",INDEX(Transactions!$F$8:$F$3006,MATCH(0,COUNTIF($B$11:B2618,Transactions!$F$8:$F$3006),0))),"")</f>
        <v/>
      </c>
      <c r="C2619" s="50" t="str">
        <f>IF(B2619="","",SUMIF(Transactions!$F$8:$F$3006,B2619,Transactions!$H$8:$H$3006))</f>
        <v/>
      </c>
      <c r="D2619" s="51" t="str">
        <f>IF(B2619="","",SUMIF(Transactions!$F$8:$F$3006,B2619,Transactions!$N$8:$N$3006))</f>
        <v/>
      </c>
      <c r="E2619" s="52" t="str">
        <f>IF(B2619="","",SUMIF(Transactions!$F$8:$F$3006,B2619,Transactions!$O$8:$O$3006))</f>
        <v/>
      </c>
      <c r="F2619" s="53" t="str">
        <f>IF(B2619="","",SUMIF(Transactions!$F$8:$F$3006,B2619,Transactions!$R$8:$R$3006))</f>
        <v/>
      </c>
      <c r="G2619" s="54" t="str">
        <f>IF(B2619="","",(C2619+F2619)-(D2619+E2619+SUMIF(Transactions!$F$8:$F$3006,B2619,Transactions!$Q$8:$Q$3006)))</f>
        <v/>
      </c>
      <c r="H2619" s="55" t="str">
        <f>IF(B2619="","",IF(G2619&gt;0,"OUTSTANDING",IF(G2619=0,"SETTLED",IF(SUMIF(Transactions!$F$8:$F$3006,B2619,Transactions!$Q$8:$Q$3006)&gt;SUMIF(Transactions!$F$8:$F$3006,B2619,Transactions!$R$8:$R$3006),"OWES","OVERPAID"))))</f>
        <v/>
      </c>
      <c r="I2619" s="1"/>
    </row>
    <row r="2620" spans="1:9" ht="18" customHeight="1" x14ac:dyDescent="0.25">
      <c r="A2620" s="40">
        <v>2605</v>
      </c>
      <c r="B2620" s="41" t="str">
        <f t="array" ref="B2620">IFERROR(IF(INDEX(Transactions!$F$8:$F$3006,MATCH(0,COUNTIF($B$11:B2619,Transactions!$F$8:$F$3006),0))="","",INDEX(Transactions!$F$8:$F$3006,MATCH(0,COUNTIF($B$11:B2619,Transactions!$F$8:$F$3006),0))),"")</f>
        <v/>
      </c>
      <c r="C2620" s="42" t="str">
        <f>IF(B2620="","",SUMIF(Transactions!$F$8:$F$3006,B2620,Transactions!$H$8:$H$3006))</f>
        <v/>
      </c>
      <c r="D2620" s="43" t="str">
        <f>IF(B2620="","",SUMIF(Transactions!$F$8:$F$3006,B2620,Transactions!$N$8:$N$3006))</f>
        <v/>
      </c>
      <c r="E2620" s="44" t="str">
        <f>IF(B2620="","",SUMIF(Transactions!$F$8:$F$3006,B2620,Transactions!$O$8:$O$3006))</f>
        <v/>
      </c>
      <c r="F2620" s="45" t="str">
        <f>IF(B2620="","",SUMIF(Transactions!$F$8:$F$3006,B2620,Transactions!$R$8:$R$3006))</f>
        <v/>
      </c>
      <c r="G2620" s="46" t="str">
        <f>IF(B2620="","",(C2620+F2620)-(D2620+E2620+SUMIF(Transactions!$F$8:$F$3006,B2620,Transactions!$Q$8:$Q$3006)))</f>
        <v/>
      </c>
      <c r="H2620" s="47" t="str">
        <f>IF(B2620="","",IF(G2620&gt;0,"OUTSTANDING",IF(G2620=0,"SETTLED",IF(SUMIF(Transactions!$F$8:$F$3006,B2620,Transactions!$Q$8:$Q$3006)&gt;SUMIF(Transactions!$F$8:$F$3006,B2620,Transactions!$R$8:$R$3006),"OWES","OVERPAID"))))</f>
        <v/>
      </c>
      <c r="I2620" s="1"/>
    </row>
    <row r="2621" spans="1:9" ht="18" customHeight="1" x14ac:dyDescent="0.25">
      <c r="A2621" s="48">
        <v>2606</v>
      </c>
      <c r="B2621" s="49" t="str">
        <f t="array" ref="B2621">IFERROR(IF(INDEX(Transactions!$F$8:$F$3006,MATCH(0,COUNTIF($B$11:B2620,Transactions!$F$8:$F$3006),0))="","",INDEX(Transactions!$F$8:$F$3006,MATCH(0,COUNTIF($B$11:B2620,Transactions!$F$8:$F$3006),0))),"")</f>
        <v/>
      </c>
      <c r="C2621" s="50" t="str">
        <f>IF(B2621="","",SUMIF(Transactions!$F$8:$F$3006,B2621,Transactions!$H$8:$H$3006))</f>
        <v/>
      </c>
      <c r="D2621" s="51" t="str">
        <f>IF(B2621="","",SUMIF(Transactions!$F$8:$F$3006,B2621,Transactions!$N$8:$N$3006))</f>
        <v/>
      </c>
      <c r="E2621" s="52" t="str">
        <f>IF(B2621="","",SUMIF(Transactions!$F$8:$F$3006,B2621,Transactions!$O$8:$O$3006))</f>
        <v/>
      </c>
      <c r="F2621" s="53" t="str">
        <f>IF(B2621="","",SUMIF(Transactions!$F$8:$F$3006,B2621,Transactions!$R$8:$R$3006))</f>
        <v/>
      </c>
      <c r="G2621" s="54" t="str">
        <f>IF(B2621="","",(C2621+F2621)-(D2621+E2621+SUMIF(Transactions!$F$8:$F$3006,B2621,Transactions!$Q$8:$Q$3006)))</f>
        <v/>
      </c>
      <c r="H2621" s="55" t="str">
        <f>IF(B2621="","",IF(G2621&gt;0,"OUTSTANDING",IF(G2621=0,"SETTLED",IF(SUMIF(Transactions!$F$8:$F$3006,B2621,Transactions!$Q$8:$Q$3006)&gt;SUMIF(Transactions!$F$8:$F$3006,B2621,Transactions!$R$8:$R$3006),"OWES","OVERPAID"))))</f>
        <v/>
      </c>
      <c r="I2621" s="1"/>
    </row>
    <row r="2622" spans="1:9" ht="18" customHeight="1" x14ac:dyDescent="0.25">
      <c r="A2622" s="40">
        <v>2607</v>
      </c>
      <c r="B2622" s="41" t="str">
        <f t="array" ref="B2622">IFERROR(IF(INDEX(Transactions!$F$8:$F$3006,MATCH(0,COUNTIF($B$11:B2621,Transactions!$F$8:$F$3006),0))="","",INDEX(Transactions!$F$8:$F$3006,MATCH(0,COUNTIF($B$11:B2621,Transactions!$F$8:$F$3006),0))),"")</f>
        <v/>
      </c>
      <c r="C2622" s="42" t="str">
        <f>IF(B2622="","",SUMIF(Transactions!$F$8:$F$3006,B2622,Transactions!$H$8:$H$3006))</f>
        <v/>
      </c>
      <c r="D2622" s="43" t="str">
        <f>IF(B2622="","",SUMIF(Transactions!$F$8:$F$3006,B2622,Transactions!$N$8:$N$3006))</f>
        <v/>
      </c>
      <c r="E2622" s="44" t="str">
        <f>IF(B2622="","",SUMIF(Transactions!$F$8:$F$3006,B2622,Transactions!$O$8:$O$3006))</f>
        <v/>
      </c>
      <c r="F2622" s="45" t="str">
        <f>IF(B2622="","",SUMIF(Transactions!$F$8:$F$3006,B2622,Transactions!$R$8:$R$3006))</f>
        <v/>
      </c>
      <c r="G2622" s="46" t="str">
        <f>IF(B2622="","",(C2622+F2622)-(D2622+E2622+SUMIF(Transactions!$F$8:$F$3006,B2622,Transactions!$Q$8:$Q$3006)))</f>
        <v/>
      </c>
      <c r="H2622" s="47" t="str">
        <f>IF(B2622="","",IF(G2622&gt;0,"OUTSTANDING",IF(G2622=0,"SETTLED",IF(SUMIF(Transactions!$F$8:$F$3006,B2622,Transactions!$Q$8:$Q$3006)&gt;SUMIF(Transactions!$F$8:$F$3006,B2622,Transactions!$R$8:$R$3006),"OWES","OVERPAID"))))</f>
        <v/>
      </c>
      <c r="I2622" s="1"/>
    </row>
    <row r="2623" spans="1:9" ht="18" customHeight="1" x14ac:dyDescent="0.25">
      <c r="A2623" s="48">
        <v>2608</v>
      </c>
      <c r="B2623" s="49" t="str">
        <f t="array" ref="B2623">IFERROR(IF(INDEX(Transactions!$F$8:$F$3006,MATCH(0,COUNTIF($B$11:B2622,Transactions!$F$8:$F$3006),0))="","",INDEX(Transactions!$F$8:$F$3006,MATCH(0,COUNTIF($B$11:B2622,Transactions!$F$8:$F$3006),0))),"")</f>
        <v/>
      </c>
      <c r="C2623" s="50" t="str">
        <f>IF(B2623="","",SUMIF(Transactions!$F$8:$F$3006,B2623,Transactions!$H$8:$H$3006))</f>
        <v/>
      </c>
      <c r="D2623" s="51" t="str">
        <f>IF(B2623="","",SUMIF(Transactions!$F$8:$F$3006,B2623,Transactions!$N$8:$N$3006))</f>
        <v/>
      </c>
      <c r="E2623" s="52" t="str">
        <f>IF(B2623="","",SUMIF(Transactions!$F$8:$F$3006,B2623,Transactions!$O$8:$O$3006))</f>
        <v/>
      </c>
      <c r="F2623" s="53" t="str">
        <f>IF(B2623="","",SUMIF(Transactions!$F$8:$F$3006,B2623,Transactions!$R$8:$R$3006))</f>
        <v/>
      </c>
      <c r="G2623" s="54" t="str">
        <f>IF(B2623="","",(C2623+F2623)-(D2623+E2623+SUMIF(Transactions!$F$8:$F$3006,B2623,Transactions!$Q$8:$Q$3006)))</f>
        <v/>
      </c>
      <c r="H2623" s="55" t="str">
        <f>IF(B2623="","",IF(G2623&gt;0,"OUTSTANDING",IF(G2623=0,"SETTLED",IF(SUMIF(Transactions!$F$8:$F$3006,B2623,Transactions!$Q$8:$Q$3006)&gt;SUMIF(Transactions!$F$8:$F$3006,B2623,Transactions!$R$8:$R$3006),"OWES","OVERPAID"))))</f>
        <v/>
      </c>
      <c r="I2623" s="1"/>
    </row>
    <row r="2624" spans="1:9" ht="18" customHeight="1" x14ac:dyDescent="0.25">
      <c r="A2624" s="40">
        <v>2609</v>
      </c>
      <c r="B2624" s="41" t="str">
        <f t="array" ref="B2624">IFERROR(IF(INDEX(Transactions!$F$8:$F$3006,MATCH(0,COUNTIF($B$11:B2623,Transactions!$F$8:$F$3006),0))="","",INDEX(Transactions!$F$8:$F$3006,MATCH(0,COUNTIF($B$11:B2623,Transactions!$F$8:$F$3006),0))),"")</f>
        <v/>
      </c>
      <c r="C2624" s="42" t="str">
        <f>IF(B2624="","",SUMIF(Transactions!$F$8:$F$3006,B2624,Transactions!$H$8:$H$3006))</f>
        <v/>
      </c>
      <c r="D2624" s="43" t="str">
        <f>IF(B2624="","",SUMIF(Transactions!$F$8:$F$3006,B2624,Transactions!$N$8:$N$3006))</f>
        <v/>
      </c>
      <c r="E2624" s="44" t="str">
        <f>IF(B2624="","",SUMIF(Transactions!$F$8:$F$3006,B2624,Transactions!$O$8:$O$3006))</f>
        <v/>
      </c>
      <c r="F2624" s="45" t="str">
        <f>IF(B2624="","",SUMIF(Transactions!$F$8:$F$3006,B2624,Transactions!$R$8:$R$3006))</f>
        <v/>
      </c>
      <c r="G2624" s="46" t="str">
        <f>IF(B2624="","",(C2624+F2624)-(D2624+E2624+SUMIF(Transactions!$F$8:$F$3006,B2624,Transactions!$Q$8:$Q$3006)))</f>
        <v/>
      </c>
      <c r="H2624" s="47" t="str">
        <f>IF(B2624="","",IF(G2624&gt;0,"OUTSTANDING",IF(G2624=0,"SETTLED",IF(SUMIF(Transactions!$F$8:$F$3006,B2624,Transactions!$Q$8:$Q$3006)&gt;SUMIF(Transactions!$F$8:$F$3006,B2624,Transactions!$R$8:$R$3006),"OWES","OVERPAID"))))</f>
        <v/>
      </c>
      <c r="I2624" s="1"/>
    </row>
    <row r="2625" spans="1:9" ht="18" customHeight="1" x14ac:dyDescent="0.25">
      <c r="A2625" s="48">
        <v>2610</v>
      </c>
      <c r="B2625" s="49" t="str">
        <f t="array" ref="B2625">IFERROR(IF(INDEX(Transactions!$F$8:$F$3006,MATCH(0,COUNTIF($B$11:B2624,Transactions!$F$8:$F$3006),0))="","",INDEX(Transactions!$F$8:$F$3006,MATCH(0,COUNTIF($B$11:B2624,Transactions!$F$8:$F$3006),0))),"")</f>
        <v/>
      </c>
      <c r="C2625" s="50" t="str">
        <f>IF(B2625="","",SUMIF(Transactions!$F$8:$F$3006,B2625,Transactions!$H$8:$H$3006))</f>
        <v/>
      </c>
      <c r="D2625" s="51" t="str">
        <f>IF(B2625="","",SUMIF(Transactions!$F$8:$F$3006,B2625,Transactions!$N$8:$N$3006))</f>
        <v/>
      </c>
      <c r="E2625" s="52" t="str">
        <f>IF(B2625="","",SUMIF(Transactions!$F$8:$F$3006,B2625,Transactions!$O$8:$O$3006))</f>
        <v/>
      </c>
      <c r="F2625" s="53" t="str">
        <f>IF(B2625="","",SUMIF(Transactions!$F$8:$F$3006,B2625,Transactions!$R$8:$R$3006))</f>
        <v/>
      </c>
      <c r="G2625" s="54" t="str">
        <f>IF(B2625="","",(C2625+F2625)-(D2625+E2625+SUMIF(Transactions!$F$8:$F$3006,B2625,Transactions!$Q$8:$Q$3006)))</f>
        <v/>
      </c>
      <c r="H2625" s="55" t="str">
        <f>IF(B2625="","",IF(G2625&gt;0,"OUTSTANDING",IF(G2625=0,"SETTLED",IF(SUMIF(Transactions!$F$8:$F$3006,B2625,Transactions!$Q$8:$Q$3006)&gt;SUMIF(Transactions!$F$8:$F$3006,B2625,Transactions!$R$8:$R$3006),"OWES","OVERPAID"))))</f>
        <v/>
      </c>
      <c r="I2625" s="1"/>
    </row>
    <row r="2626" spans="1:9" ht="18" customHeight="1" x14ac:dyDescent="0.25">
      <c r="A2626" s="40">
        <v>2611</v>
      </c>
      <c r="B2626" s="41" t="str">
        <f t="array" ref="B2626">IFERROR(IF(INDEX(Transactions!$F$8:$F$3006,MATCH(0,COUNTIF($B$11:B2625,Transactions!$F$8:$F$3006),0))="","",INDEX(Transactions!$F$8:$F$3006,MATCH(0,COUNTIF($B$11:B2625,Transactions!$F$8:$F$3006),0))),"")</f>
        <v/>
      </c>
      <c r="C2626" s="42" t="str">
        <f>IF(B2626="","",SUMIF(Transactions!$F$8:$F$3006,B2626,Transactions!$H$8:$H$3006))</f>
        <v/>
      </c>
      <c r="D2626" s="43" t="str">
        <f>IF(B2626="","",SUMIF(Transactions!$F$8:$F$3006,B2626,Transactions!$N$8:$N$3006))</f>
        <v/>
      </c>
      <c r="E2626" s="44" t="str">
        <f>IF(B2626="","",SUMIF(Transactions!$F$8:$F$3006,B2626,Transactions!$O$8:$O$3006))</f>
        <v/>
      </c>
      <c r="F2626" s="45" t="str">
        <f>IF(B2626="","",SUMIF(Transactions!$F$8:$F$3006,B2626,Transactions!$R$8:$R$3006))</f>
        <v/>
      </c>
      <c r="G2626" s="46" t="str">
        <f>IF(B2626="","",(C2626+F2626)-(D2626+E2626+SUMIF(Transactions!$F$8:$F$3006,B2626,Transactions!$Q$8:$Q$3006)))</f>
        <v/>
      </c>
      <c r="H2626" s="47" t="str">
        <f>IF(B2626="","",IF(G2626&gt;0,"OUTSTANDING",IF(G2626=0,"SETTLED",IF(SUMIF(Transactions!$F$8:$F$3006,B2626,Transactions!$Q$8:$Q$3006)&gt;SUMIF(Transactions!$F$8:$F$3006,B2626,Transactions!$R$8:$R$3006),"OWES","OVERPAID"))))</f>
        <v/>
      </c>
      <c r="I2626" s="1"/>
    </row>
    <row r="2627" spans="1:9" ht="18" customHeight="1" x14ac:dyDescent="0.25">
      <c r="A2627" s="48">
        <v>2612</v>
      </c>
      <c r="B2627" s="49" t="str">
        <f t="array" ref="B2627">IFERROR(IF(INDEX(Transactions!$F$8:$F$3006,MATCH(0,COUNTIF($B$11:B2626,Transactions!$F$8:$F$3006),0))="","",INDEX(Transactions!$F$8:$F$3006,MATCH(0,COUNTIF($B$11:B2626,Transactions!$F$8:$F$3006),0))),"")</f>
        <v/>
      </c>
      <c r="C2627" s="50" t="str">
        <f>IF(B2627="","",SUMIF(Transactions!$F$8:$F$3006,B2627,Transactions!$H$8:$H$3006))</f>
        <v/>
      </c>
      <c r="D2627" s="51" t="str">
        <f>IF(B2627="","",SUMIF(Transactions!$F$8:$F$3006,B2627,Transactions!$N$8:$N$3006))</f>
        <v/>
      </c>
      <c r="E2627" s="52" t="str">
        <f>IF(B2627="","",SUMIF(Transactions!$F$8:$F$3006,B2627,Transactions!$O$8:$O$3006))</f>
        <v/>
      </c>
      <c r="F2627" s="53" t="str">
        <f>IF(B2627="","",SUMIF(Transactions!$F$8:$F$3006,B2627,Transactions!$R$8:$R$3006))</f>
        <v/>
      </c>
      <c r="G2627" s="54" t="str">
        <f>IF(B2627="","",(C2627+F2627)-(D2627+E2627+SUMIF(Transactions!$F$8:$F$3006,B2627,Transactions!$Q$8:$Q$3006)))</f>
        <v/>
      </c>
      <c r="H2627" s="55" t="str">
        <f>IF(B2627="","",IF(G2627&gt;0,"OUTSTANDING",IF(G2627=0,"SETTLED",IF(SUMIF(Transactions!$F$8:$F$3006,B2627,Transactions!$Q$8:$Q$3006)&gt;SUMIF(Transactions!$F$8:$F$3006,B2627,Transactions!$R$8:$R$3006),"OWES","OVERPAID"))))</f>
        <v/>
      </c>
      <c r="I2627" s="1"/>
    </row>
    <row r="2628" spans="1:9" ht="18" customHeight="1" x14ac:dyDescent="0.25">
      <c r="A2628" s="40">
        <v>2613</v>
      </c>
      <c r="B2628" s="41" t="str">
        <f t="array" ref="B2628">IFERROR(IF(INDEX(Transactions!$F$8:$F$3006,MATCH(0,COUNTIF($B$11:B2627,Transactions!$F$8:$F$3006),0))="","",INDEX(Transactions!$F$8:$F$3006,MATCH(0,COUNTIF($B$11:B2627,Transactions!$F$8:$F$3006),0))),"")</f>
        <v/>
      </c>
      <c r="C2628" s="42" t="str">
        <f>IF(B2628="","",SUMIF(Transactions!$F$8:$F$3006,B2628,Transactions!$H$8:$H$3006))</f>
        <v/>
      </c>
      <c r="D2628" s="43" t="str">
        <f>IF(B2628="","",SUMIF(Transactions!$F$8:$F$3006,B2628,Transactions!$N$8:$N$3006))</f>
        <v/>
      </c>
      <c r="E2628" s="44" t="str">
        <f>IF(B2628="","",SUMIF(Transactions!$F$8:$F$3006,B2628,Transactions!$O$8:$O$3006))</f>
        <v/>
      </c>
      <c r="F2628" s="45" t="str">
        <f>IF(B2628="","",SUMIF(Transactions!$F$8:$F$3006,B2628,Transactions!$R$8:$R$3006))</f>
        <v/>
      </c>
      <c r="G2628" s="46" t="str">
        <f>IF(B2628="","",(C2628+F2628)-(D2628+E2628+SUMIF(Transactions!$F$8:$F$3006,B2628,Transactions!$Q$8:$Q$3006)))</f>
        <v/>
      </c>
      <c r="H2628" s="47" t="str">
        <f>IF(B2628="","",IF(G2628&gt;0,"OUTSTANDING",IF(G2628=0,"SETTLED",IF(SUMIF(Transactions!$F$8:$F$3006,B2628,Transactions!$Q$8:$Q$3006)&gt;SUMIF(Transactions!$F$8:$F$3006,B2628,Transactions!$R$8:$R$3006),"OWES","OVERPAID"))))</f>
        <v/>
      </c>
      <c r="I2628" s="1"/>
    </row>
    <row r="2629" spans="1:9" ht="18" customHeight="1" x14ac:dyDescent="0.25">
      <c r="A2629" s="48">
        <v>2614</v>
      </c>
      <c r="B2629" s="49" t="str">
        <f t="array" ref="B2629">IFERROR(IF(INDEX(Transactions!$F$8:$F$3006,MATCH(0,COUNTIF($B$11:B2628,Transactions!$F$8:$F$3006),0))="","",INDEX(Transactions!$F$8:$F$3006,MATCH(0,COUNTIF($B$11:B2628,Transactions!$F$8:$F$3006),0))),"")</f>
        <v/>
      </c>
      <c r="C2629" s="50" t="str">
        <f>IF(B2629="","",SUMIF(Transactions!$F$8:$F$3006,B2629,Transactions!$H$8:$H$3006))</f>
        <v/>
      </c>
      <c r="D2629" s="51" t="str">
        <f>IF(B2629="","",SUMIF(Transactions!$F$8:$F$3006,B2629,Transactions!$N$8:$N$3006))</f>
        <v/>
      </c>
      <c r="E2629" s="52" t="str">
        <f>IF(B2629="","",SUMIF(Transactions!$F$8:$F$3006,B2629,Transactions!$O$8:$O$3006))</f>
        <v/>
      </c>
      <c r="F2629" s="53" t="str">
        <f>IF(B2629="","",SUMIF(Transactions!$F$8:$F$3006,B2629,Transactions!$R$8:$R$3006))</f>
        <v/>
      </c>
      <c r="G2629" s="54" t="str">
        <f>IF(B2629="","",(C2629+F2629)-(D2629+E2629+SUMIF(Transactions!$F$8:$F$3006,B2629,Transactions!$Q$8:$Q$3006)))</f>
        <v/>
      </c>
      <c r="H2629" s="55" t="str">
        <f>IF(B2629="","",IF(G2629&gt;0,"OUTSTANDING",IF(G2629=0,"SETTLED",IF(SUMIF(Transactions!$F$8:$F$3006,B2629,Transactions!$Q$8:$Q$3006)&gt;SUMIF(Transactions!$F$8:$F$3006,B2629,Transactions!$R$8:$R$3006),"OWES","OVERPAID"))))</f>
        <v/>
      </c>
      <c r="I2629" s="1"/>
    </row>
    <row r="2630" spans="1:9" ht="18" customHeight="1" x14ac:dyDescent="0.25">
      <c r="A2630" s="40">
        <v>2615</v>
      </c>
      <c r="B2630" s="41" t="str">
        <f t="array" ref="B2630">IFERROR(IF(INDEX(Transactions!$F$8:$F$3006,MATCH(0,COUNTIF($B$11:B2629,Transactions!$F$8:$F$3006),0))="","",INDEX(Transactions!$F$8:$F$3006,MATCH(0,COUNTIF($B$11:B2629,Transactions!$F$8:$F$3006),0))),"")</f>
        <v/>
      </c>
      <c r="C2630" s="42" t="str">
        <f>IF(B2630="","",SUMIF(Transactions!$F$8:$F$3006,B2630,Transactions!$H$8:$H$3006))</f>
        <v/>
      </c>
      <c r="D2630" s="43" t="str">
        <f>IF(B2630="","",SUMIF(Transactions!$F$8:$F$3006,B2630,Transactions!$N$8:$N$3006))</f>
        <v/>
      </c>
      <c r="E2630" s="44" t="str">
        <f>IF(B2630="","",SUMIF(Transactions!$F$8:$F$3006,B2630,Transactions!$O$8:$O$3006))</f>
        <v/>
      </c>
      <c r="F2630" s="45" t="str">
        <f>IF(B2630="","",SUMIF(Transactions!$F$8:$F$3006,B2630,Transactions!$R$8:$R$3006))</f>
        <v/>
      </c>
      <c r="G2630" s="46" t="str">
        <f>IF(B2630="","",(C2630+F2630)-(D2630+E2630+SUMIF(Transactions!$F$8:$F$3006,B2630,Transactions!$Q$8:$Q$3006)))</f>
        <v/>
      </c>
      <c r="H2630" s="47" t="str">
        <f>IF(B2630="","",IF(G2630&gt;0,"OUTSTANDING",IF(G2630=0,"SETTLED",IF(SUMIF(Transactions!$F$8:$F$3006,B2630,Transactions!$Q$8:$Q$3006)&gt;SUMIF(Transactions!$F$8:$F$3006,B2630,Transactions!$R$8:$R$3006),"OWES","OVERPAID"))))</f>
        <v/>
      </c>
      <c r="I2630" s="1"/>
    </row>
    <row r="2631" spans="1:9" ht="18" customHeight="1" x14ac:dyDescent="0.25">
      <c r="A2631" s="48">
        <v>2616</v>
      </c>
      <c r="B2631" s="49" t="str">
        <f t="array" ref="B2631">IFERROR(IF(INDEX(Transactions!$F$8:$F$3006,MATCH(0,COUNTIF($B$11:B2630,Transactions!$F$8:$F$3006),0))="","",INDEX(Transactions!$F$8:$F$3006,MATCH(0,COUNTIF($B$11:B2630,Transactions!$F$8:$F$3006),0))),"")</f>
        <v/>
      </c>
      <c r="C2631" s="50" t="str">
        <f>IF(B2631="","",SUMIF(Transactions!$F$8:$F$3006,B2631,Transactions!$H$8:$H$3006))</f>
        <v/>
      </c>
      <c r="D2631" s="51" t="str">
        <f>IF(B2631="","",SUMIF(Transactions!$F$8:$F$3006,B2631,Transactions!$N$8:$N$3006))</f>
        <v/>
      </c>
      <c r="E2631" s="52" t="str">
        <f>IF(B2631="","",SUMIF(Transactions!$F$8:$F$3006,B2631,Transactions!$O$8:$O$3006))</f>
        <v/>
      </c>
      <c r="F2631" s="53" t="str">
        <f>IF(B2631="","",SUMIF(Transactions!$F$8:$F$3006,B2631,Transactions!$R$8:$R$3006))</f>
        <v/>
      </c>
      <c r="G2631" s="54" t="str">
        <f>IF(B2631="","",(C2631+F2631)-(D2631+E2631+SUMIF(Transactions!$F$8:$F$3006,B2631,Transactions!$Q$8:$Q$3006)))</f>
        <v/>
      </c>
      <c r="H2631" s="55" t="str">
        <f>IF(B2631="","",IF(G2631&gt;0,"OUTSTANDING",IF(G2631=0,"SETTLED",IF(SUMIF(Transactions!$F$8:$F$3006,B2631,Transactions!$Q$8:$Q$3006)&gt;SUMIF(Transactions!$F$8:$F$3006,B2631,Transactions!$R$8:$R$3006),"OWES","OVERPAID"))))</f>
        <v/>
      </c>
      <c r="I2631" s="1"/>
    </row>
    <row r="2632" spans="1:9" ht="18" customHeight="1" x14ac:dyDescent="0.25">
      <c r="A2632" s="40">
        <v>2617</v>
      </c>
      <c r="B2632" s="41" t="str">
        <f t="array" ref="B2632">IFERROR(IF(INDEX(Transactions!$F$8:$F$3006,MATCH(0,COUNTIF($B$11:B2631,Transactions!$F$8:$F$3006),0))="","",INDEX(Transactions!$F$8:$F$3006,MATCH(0,COUNTIF($B$11:B2631,Transactions!$F$8:$F$3006),0))),"")</f>
        <v/>
      </c>
      <c r="C2632" s="42" t="str">
        <f>IF(B2632="","",SUMIF(Transactions!$F$8:$F$3006,B2632,Transactions!$H$8:$H$3006))</f>
        <v/>
      </c>
      <c r="D2632" s="43" t="str">
        <f>IF(B2632="","",SUMIF(Transactions!$F$8:$F$3006,B2632,Transactions!$N$8:$N$3006))</f>
        <v/>
      </c>
      <c r="E2632" s="44" t="str">
        <f>IF(B2632="","",SUMIF(Transactions!$F$8:$F$3006,B2632,Transactions!$O$8:$O$3006))</f>
        <v/>
      </c>
      <c r="F2632" s="45" t="str">
        <f>IF(B2632="","",SUMIF(Transactions!$F$8:$F$3006,B2632,Transactions!$R$8:$R$3006))</f>
        <v/>
      </c>
      <c r="G2632" s="46" t="str">
        <f>IF(B2632="","",(C2632+F2632)-(D2632+E2632+SUMIF(Transactions!$F$8:$F$3006,B2632,Transactions!$Q$8:$Q$3006)))</f>
        <v/>
      </c>
      <c r="H2632" s="47" t="str">
        <f>IF(B2632="","",IF(G2632&gt;0,"OUTSTANDING",IF(G2632=0,"SETTLED",IF(SUMIF(Transactions!$F$8:$F$3006,B2632,Transactions!$Q$8:$Q$3006)&gt;SUMIF(Transactions!$F$8:$F$3006,B2632,Transactions!$R$8:$R$3006),"OWES","OVERPAID"))))</f>
        <v/>
      </c>
      <c r="I2632" s="1"/>
    </row>
    <row r="2633" spans="1:9" ht="18" customHeight="1" x14ac:dyDescent="0.25">
      <c r="A2633" s="48">
        <v>2618</v>
      </c>
      <c r="B2633" s="49" t="str">
        <f t="array" ref="B2633">IFERROR(IF(INDEX(Transactions!$F$8:$F$3006,MATCH(0,COUNTIF($B$11:B2632,Transactions!$F$8:$F$3006),0))="","",INDEX(Transactions!$F$8:$F$3006,MATCH(0,COUNTIF($B$11:B2632,Transactions!$F$8:$F$3006),0))),"")</f>
        <v/>
      </c>
      <c r="C2633" s="50" t="str">
        <f>IF(B2633="","",SUMIF(Transactions!$F$8:$F$3006,B2633,Transactions!$H$8:$H$3006))</f>
        <v/>
      </c>
      <c r="D2633" s="51" t="str">
        <f>IF(B2633="","",SUMIF(Transactions!$F$8:$F$3006,B2633,Transactions!$N$8:$N$3006))</f>
        <v/>
      </c>
      <c r="E2633" s="52" t="str">
        <f>IF(B2633="","",SUMIF(Transactions!$F$8:$F$3006,B2633,Transactions!$O$8:$O$3006))</f>
        <v/>
      </c>
      <c r="F2633" s="53" t="str">
        <f>IF(B2633="","",SUMIF(Transactions!$F$8:$F$3006,B2633,Transactions!$R$8:$R$3006))</f>
        <v/>
      </c>
      <c r="G2633" s="54" t="str">
        <f>IF(B2633="","",(C2633+F2633)-(D2633+E2633+SUMIF(Transactions!$F$8:$F$3006,B2633,Transactions!$Q$8:$Q$3006)))</f>
        <v/>
      </c>
      <c r="H2633" s="55" t="str">
        <f>IF(B2633="","",IF(G2633&gt;0,"OUTSTANDING",IF(G2633=0,"SETTLED",IF(SUMIF(Transactions!$F$8:$F$3006,B2633,Transactions!$Q$8:$Q$3006)&gt;SUMIF(Transactions!$F$8:$F$3006,B2633,Transactions!$R$8:$R$3006),"OWES","OVERPAID"))))</f>
        <v/>
      </c>
      <c r="I2633" s="1"/>
    </row>
    <row r="2634" spans="1:9" ht="18" customHeight="1" x14ac:dyDescent="0.25">
      <c r="A2634" s="40">
        <v>2619</v>
      </c>
      <c r="B2634" s="41" t="str">
        <f t="array" ref="B2634">IFERROR(IF(INDEX(Transactions!$F$8:$F$3006,MATCH(0,COUNTIF($B$11:B2633,Transactions!$F$8:$F$3006),0))="","",INDEX(Transactions!$F$8:$F$3006,MATCH(0,COUNTIF($B$11:B2633,Transactions!$F$8:$F$3006),0))),"")</f>
        <v/>
      </c>
      <c r="C2634" s="42" t="str">
        <f>IF(B2634="","",SUMIF(Transactions!$F$8:$F$3006,B2634,Transactions!$H$8:$H$3006))</f>
        <v/>
      </c>
      <c r="D2634" s="43" t="str">
        <f>IF(B2634="","",SUMIF(Transactions!$F$8:$F$3006,B2634,Transactions!$N$8:$N$3006))</f>
        <v/>
      </c>
      <c r="E2634" s="44" t="str">
        <f>IF(B2634="","",SUMIF(Transactions!$F$8:$F$3006,B2634,Transactions!$O$8:$O$3006))</f>
        <v/>
      </c>
      <c r="F2634" s="45" t="str">
        <f>IF(B2634="","",SUMIF(Transactions!$F$8:$F$3006,B2634,Transactions!$R$8:$R$3006))</f>
        <v/>
      </c>
      <c r="G2634" s="46" t="str">
        <f>IF(B2634="","",(C2634+F2634)-(D2634+E2634+SUMIF(Transactions!$F$8:$F$3006,B2634,Transactions!$Q$8:$Q$3006)))</f>
        <v/>
      </c>
      <c r="H2634" s="47" t="str">
        <f>IF(B2634="","",IF(G2634&gt;0,"OUTSTANDING",IF(G2634=0,"SETTLED",IF(SUMIF(Transactions!$F$8:$F$3006,B2634,Transactions!$Q$8:$Q$3006)&gt;SUMIF(Transactions!$F$8:$F$3006,B2634,Transactions!$R$8:$R$3006),"OWES","OVERPAID"))))</f>
        <v/>
      </c>
      <c r="I2634" s="1"/>
    </row>
    <row r="2635" spans="1:9" ht="18" customHeight="1" x14ac:dyDescent="0.25">
      <c r="A2635" s="48">
        <v>2620</v>
      </c>
      <c r="B2635" s="49" t="str">
        <f t="array" ref="B2635">IFERROR(IF(INDEX(Transactions!$F$8:$F$3006,MATCH(0,COUNTIF($B$11:B2634,Transactions!$F$8:$F$3006),0))="","",INDEX(Transactions!$F$8:$F$3006,MATCH(0,COUNTIF($B$11:B2634,Transactions!$F$8:$F$3006),0))),"")</f>
        <v/>
      </c>
      <c r="C2635" s="50" t="str">
        <f>IF(B2635="","",SUMIF(Transactions!$F$8:$F$3006,B2635,Transactions!$H$8:$H$3006))</f>
        <v/>
      </c>
      <c r="D2635" s="51" t="str">
        <f>IF(B2635="","",SUMIF(Transactions!$F$8:$F$3006,B2635,Transactions!$N$8:$N$3006))</f>
        <v/>
      </c>
      <c r="E2635" s="52" t="str">
        <f>IF(B2635="","",SUMIF(Transactions!$F$8:$F$3006,B2635,Transactions!$O$8:$O$3006))</f>
        <v/>
      </c>
      <c r="F2635" s="53" t="str">
        <f>IF(B2635="","",SUMIF(Transactions!$F$8:$F$3006,B2635,Transactions!$R$8:$R$3006))</f>
        <v/>
      </c>
      <c r="G2635" s="54" t="str">
        <f>IF(B2635="","",(C2635+F2635)-(D2635+E2635+SUMIF(Transactions!$F$8:$F$3006,B2635,Transactions!$Q$8:$Q$3006)))</f>
        <v/>
      </c>
      <c r="H2635" s="55" t="str">
        <f>IF(B2635="","",IF(G2635&gt;0,"OUTSTANDING",IF(G2635=0,"SETTLED",IF(SUMIF(Transactions!$F$8:$F$3006,B2635,Transactions!$Q$8:$Q$3006)&gt;SUMIF(Transactions!$F$8:$F$3006,B2635,Transactions!$R$8:$R$3006),"OWES","OVERPAID"))))</f>
        <v/>
      </c>
      <c r="I2635" s="1"/>
    </row>
    <row r="2636" spans="1:9" ht="18" customHeight="1" x14ac:dyDescent="0.25">
      <c r="A2636" s="40">
        <v>2621</v>
      </c>
      <c r="B2636" s="41" t="str">
        <f t="array" ref="B2636">IFERROR(IF(INDEX(Transactions!$F$8:$F$3006,MATCH(0,COUNTIF($B$11:B2635,Transactions!$F$8:$F$3006),0))="","",INDEX(Transactions!$F$8:$F$3006,MATCH(0,COUNTIF($B$11:B2635,Transactions!$F$8:$F$3006),0))),"")</f>
        <v/>
      </c>
      <c r="C2636" s="42" t="str">
        <f>IF(B2636="","",SUMIF(Transactions!$F$8:$F$3006,B2636,Transactions!$H$8:$H$3006))</f>
        <v/>
      </c>
      <c r="D2636" s="43" t="str">
        <f>IF(B2636="","",SUMIF(Transactions!$F$8:$F$3006,B2636,Transactions!$N$8:$N$3006))</f>
        <v/>
      </c>
      <c r="E2636" s="44" t="str">
        <f>IF(B2636="","",SUMIF(Transactions!$F$8:$F$3006,B2636,Transactions!$O$8:$O$3006))</f>
        <v/>
      </c>
      <c r="F2636" s="45" t="str">
        <f>IF(B2636="","",SUMIF(Transactions!$F$8:$F$3006,B2636,Transactions!$R$8:$R$3006))</f>
        <v/>
      </c>
      <c r="G2636" s="46" t="str">
        <f>IF(B2636="","",(C2636+F2636)-(D2636+E2636+SUMIF(Transactions!$F$8:$F$3006,B2636,Transactions!$Q$8:$Q$3006)))</f>
        <v/>
      </c>
      <c r="H2636" s="47" t="str">
        <f>IF(B2636="","",IF(G2636&gt;0,"OUTSTANDING",IF(G2636=0,"SETTLED",IF(SUMIF(Transactions!$F$8:$F$3006,B2636,Transactions!$Q$8:$Q$3006)&gt;SUMIF(Transactions!$F$8:$F$3006,B2636,Transactions!$R$8:$R$3006),"OWES","OVERPAID"))))</f>
        <v/>
      </c>
      <c r="I2636" s="1"/>
    </row>
    <row r="2637" spans="1:9" ht="18" customHeight="1" x14ac:dyDescent="0.25">
      <c r="A2637" s="48">
        <v>2622</v>
      </c>
      <c r="B2637" s="49" t="str">
        <f t="array" ref="B2637">IFERROR(IF(INDEX(Transactions!$F$8:$F$3006,MATCH(0,COUNTIF($B$11:B2636,Transactions!$F$8:$F$3006),0))="","",INDEX(Transactions!$F$8:$F$3006,MATCH(0,COUNTIF($B$11:B2636,Transactions!$F$8:$F$3006),0))),"")</f>
        <v/>
      </c>
      <c r="C2637" s="50" t="str">
        <f>IF(B2637="","",SUMIF(Transactions!$F$8:$F$3006,B2637,Transactions!$H$8:$H$3006))</f>
        <v/>
      </c>
      <c r="D2637" s="51" t="str">
        <f>IF(B2637="","",SUMIF(Transactions!$F$8:$F$3006,B2637,Transactions!$N$8:$N$3006))</f>
        <v/>
      </c>
      <c r="E2637" s="52" t="str">
        <f>IF(B2637="","",SUMIF(Transactions!$F$8:$F$3006,B2637,Transactions!$O$8:$O$3006))</f>
        <v/>
      </c>
      <c r="F2637" s="53" t="str">
        <f>IF(B2637="","",SUMIF(Transactions!$F$8:$F$3006,B2637,Transactions!$R$8:$R$3006))</f>
        <v/>
      </c>
      <c r="G2637" s="54" t="str">
        <f>IF(B2637="","",(C2637+F2637)-(D2637+E2637+SUMIF(Transactions!$F$8:$F$3006,B2637,Transactions!$Q$8:$Q$3006)))</f>
        <v/>
      </c>
      <c r="H2637" s="55" t="str">
        <f>IF(B2637="","",IF(G2637&gt;0,"OUTSTANDING",IF(G2637=0,"SETTLED",IF(SUMIF(Transactions!$F$8:$F$3006,B2637,Transactions!$Q$8:$Q$3006)&gt;SUMIF(Transactions!$F$8:$F$3006,B2637,Transactions!$R$8:$R$3006),"OWES","OVERPAID"))))</f>
        <v/>
      </c>
      <c r="I2637" s="1"/>
    </row>
    <row r="2638" spans="1:9" ht="18" customHeight="1" x14ac:dyDescent="0.25">
      <c r="A2638" s="40">
        <v>2623</v>
      </c>
      <c r="B2638" s="41" t="str">
        <f t="array" ref="B2638">IFERROR(IF(INDEX(Transactions!$F$8:$F$3006,MATCH(0,COUNTIF($B$11:B2637,Transactions!$F$8:$F$3006),0))="","",INDEX(Transactions!$F$8:$F$3006,MATCH(0,COUNTIF($B$11:B2637,Transactions!$F$8:$F$3006),0))),"")</f>
        <v/>
      </c>
      <c r="C2638" s="42" t="str">
        <f>IF(B2638="","",SUMIF(Transactions!$F$8:$F$3006,B2638,Transactions!$H$8:$H$3006))</f>
        <v/>
      </c>
      <c r="D2638" s="43" t="str">
        <f>IF(B2638="","",SUMIF(Transactions!$F$8:$F$3006,B2638,Transactions!$N$8:$N$3006))</f>
        <v/>
      </c>
      <c r="E2638" s="44" t="str">
        <f>IF(B2638="","",SUMIF(Transactions!$F$8:$F$3006,B2638,Transactions!$O$8:$O$3006))</f>
        <v/>
      </c>
      <c r="F2638" s="45" t="str">
        <f>IF(B2638="","",SUMIF(Transactions!$F$8:$F$3006,B2638,Transactions!$R$8:$R$3006))</f>
        <v/>
      </c>
      <c r="G2638" s="46" t="str">
        <f>IF(B2638="","",(C2638+F2638)-(D2638+E2638+SUMIF(Transactions!$F$8:$F$3006,B2638,Transactions!$Q$8:$Q$3006)))</f>
        <v/>
      </c>
      <c r="H2638" s="47" t="str">
        <f>IF(B2638="","",IF(G2638&gt;0,"OUTSTANDING",IF(G2638=0,"SETTLED",IF(SUMIF(Transactions!$F$8:$F$3006,B2638,Transactions!$Q$8:$Q$3006)&gt;SUMIF(Transactions!$F$8:$F$3006,B2638,Transactions!$R$8:$R$3006),"OWES","OVERPAID"))))</f>
        <v/>
      </c>
      <c r="I2638" s="1"/>
    </row>
    <row r="2639" spans="1:9" ht="18" customHeight="1" x14ac:dyDescent="0.25">
      <c r="A2639" s="48">
        <v>2624</v>
      </c>
      <c r="B2639" s="49" t="str">
        <f t="array" ref="B2639">IFERROR(IF(INDEX(Transactions!$F$8:$F$3006,MATCH(0,COUNTIF($B$11:B2638,Transactions!$F$8:$F$3006),0))="","",INDEX(Transactions!$F$8:$F$3006,MATCH(0,COUNTIF($B$11:B2638,Transactions!$F$8:$F$3006),0))),"")</f>
        <v/>
      </c>
      <c r="C2639" s="50" t="str">
        <f>IF(B2639="","",SUMIF(Transactions!$F$8:$F$3006,B2639,Transactions!$H$8:$H$3006))</f>
        <v/>
      </c>
      <c r="D2639" s="51" t="str">
        <f>IF(B2639="","",SUMIF(Transactions!$F$8:$F$3006,B2639,Transactions!$N$8:$N$3006))</f>
        <v/>
      </c>
      <c r="E2639" s="52" t="str">
        <f>IF(B2639="","",SUMIF(Transactions!$F$8:$F$3006,B2639,Transactions!$O$8:$O$3006))</f>
        <v/>
      </c>
      <c r="F2639" s="53" t="str">
        <f>IF(B2639="","",SUMIF(Transactions!$F$8:$F$3006,B2639,Transactions!$R$8:$R$3006))</f>
        <v/>
      </c>
      <c r="G2639" s="54" t="str">
        <f>IF(B2639="","",(C2639+F2639)-(D2639+E2639+SUMIF(Transactions!$F$8:$F$3006,B2639,Transactions!$Q$8:$Q$3006)))</f>
        <v/>
      </c>
      <c r="H2639" s="55" t="str">
        <f>IF(B2639="","",IF(G2639&gt;0,"OUTSTANDING",IF(G2639=0,"SETTLED",IF(SUMIF(Transactions!$F$8:$F$3006,B2639,Transactions!$Q$8:$Q$3006)&gt;SUMIF(Transactions!$F$8:$F$3006,B2639,Transactions!$R$8:$R$3006),"OWES","OVERPAID"))))</f>
        <v/>
      </c>
      <c r="I2639" s="1"/>
    </row>
    <row r="2640" spans="1:9" ht="18" customHeight="1" x14ac:dyDescent="0.25">
      <c r="A2640" s="40">
        <v>2625</v>
      </c>
      <c r="B2640" s="41" t="str">
        <f t="array" ref="B2640">IFERROR(IF(INDEX(Transactions!$F$8:$F$3006,MATCH(0,COUNTIF($B$11:B2639,Transactions!$F$8:$F$3006),0))="","",INDEX(Transactions!$F$8:$F$3006,MATCH(0,COUNTIF($B$11:B2639,Transactions!$F$8:$F$3006),0))),"")</f>
        <v/>
      </c>
      <c r="C2640" s="42" t="str">
        <f>IF(B2640="","",SUMIF(Transactions!$F$8:$F$3006,B2640,Transactions!$H$8:$H$3006))</f>
        <v/>
      </c>
      <c r="D2640" s="43" t="str">
        <f>IF(B2640="","",SUMIF(Transactions!$F$8:$F$3006,B2640,Transactions!$N$8:$N$3006))</f>
        <v/>
      </c>
      <c r="E2640" s="44" t="str">
        <f>IF(B2640="","",SUMIF(Transactions!$F$8:$F$3006,B2640,Transactions!$O$8:$O$3006))</f>
        <v/>
      </c>
      <c r="F2640" s="45" t="str">
        <f>IF(B2640="","",SUMIF(Transactions!$F$8:$F$3006,B2640,Transactions!$R$8:$R$3006))</f>
        <v/>
      </c>
      <c r="G2640" s="46" t="str">
        <f>IF(B2640="","",(C2640+F2640)-(D2640+E2640+SUMIF(Transactions!$F$8:$F$3006,B2640,Transactions!$Q$8:$Q$3006)))</f>
        <v/>
      </c>
      <c r="H2640" s="47" t="str">
        <f>IF(B2640="","",IF(G2640&gt;0,"OUTSTANDING",IF(G2640=0,"SETTLED",IF(SUMIF(Transactions!$F$8:$F$3006,B2640,Transactions!$Q$8:$Q$3006)&gt;SUMIF(Transactions!$F$8:$F$3006,B2640,Transactions!$R$8:$R$3006),"OWES","OVERPAID"))))</f>
        <v/>
      </c>
      <c r="I2640" s="1"/>
    </row>
    <row r="2641" spans="1:9" ht="18" customHeight="1" x14ac:dyDescent="0.25">
      <c r="A2641" s="48">
        <v>2626</v>
      </c>
      <c r="B2641" s="49" t="str">
        <f t="array" ref="B2641">IFERROR(IF(INDEX(Transactions!$F$8:$F$3006,MATCH(0,COUNTIF($B$11:B2640,Transactions!$F$8:$F$3006),0))="","",INDEX(Transactions!$F$8:$F$3006,MATCH(0,COUNTIF($B$11:B2640,Transactions!$F$8:$F$3006),0))),"")</f>
        <v/>
      </c>
      <c r="C2641" s="50" t="str">
        <f>IF(B2641="","",SUMIF(Transactions!$F$8:$F$3006,B2641,Transactions!$H$8:$H$3006))</f>
        <v/>
      </c>
      <c r="D2641" s="51" t="str">
        <f>IF(B2641="","",SUMIF(Transactions!$F$8:$F$3006,B2641,Transactions!$N$8:$N$3006))</f>
        <v/>
      </c>
      <c r="E2641" s="52" t="str">
        <f>IF(B2641="","",SUMIF(Transactions!$F$8:$F$3006,B2641,Transactions!$O$8:$O$3006))</f>
        <v/>
      </c>
      <c r="F2641" s="53" t="str">
        <f>IF(B2641="","",SUMIF(Transactions!$F$8:$F$3006,B2641,Transactions!$R$8:$R$3006))</f>
        <v/>
      </c>
      <c r="G2641" s="54" t="str">
        <f>IF(B2641="","",(C2641+F2641)-(D2641+E2641+SUMIF(Transactions!$F$8:$F$3006,B2641,Transactions!$Q$8:$Q$3006)))</f>
        <v/>
      </c>
      <c r="H2641" s="55" t="str">
        <f>IF(B2641="","",IF(G2641&gt;0,"OUTSTANDING",IF(G2641=0,"SETTLED",IF(SUMIF(Transactions!$F$8:$F$3006,B2641,Transactions!$Q$8:$Q$3006)&gt;SUMIF(Transactions!$F$8:$F$3006,B2641,Transactions!$R$8:$R$3006),"OWES","OVERPAID"))))</f>
        <v/>
      </c>
      <c r="I2641" s="1"/>
    </row>
    <row r="2642" spans="1:9" ht="18" customHeight="1" x14ac:dyDescent="0.25">
      <c r="A2642" s="40">
        <v>2627</v>
      </c>
      <c r="B2642" s="41" t="str">
        <f t="array" ref="B2642">IFERROR(IF(INDEX(Transactions!$F$8:$F$3006,MATCH(0,COUNTIF($B$11:B2641,Transactions!$F$8:$F$3006),0))="","",INDEX(Transactions!$F$8:$F$3006,MATCH(0,COUNTIF($B$11:B2641,Transactions!$F$8:$F$3006),0))),"")</f>
        <v/>
      </c>
      <c r="C2642" s="42" t="str">
        <f>IF(B2642="","",SUMIF(Transactions!$F$8:$F$3006,B2642,Transactions!$H$8:$H$3006))</f>
        <v/>
      </c>
      <c r="D2642" s="43" t="str">
        <f>IF(B2642="","",SUMIF(Transactions!$F$8:$F$3006,B2642,Transactions!$N$8:$N$3006))</f>
        <v/>
      </c>
      <c r="E2642" s="44" t="str">
        <f>IF(B2642="","",SUMIF(Transactions!$F$8:$F$3006,B2642,Transactions!$O$8:$O$3006))</f>
        <v/>
      </c>
      <c r="F2642" s="45" t="str">
        <f>IF(B2642="","",SUMIF(Transactions!$F$8:$F$3006,B2642,Transactions!$R$8:$R$3006))</f>
        <v/>
      </c>
      <c r="G2642" s="46" t="str">
        <f>IF(B2642="","",(C2642+F2642)-(D2642+E2642+SUMIF(Transactions!$F$8:$F$3006,B2642,Transactions!$Q$8:$Q$3006)))</f>
        <v/>
      </c>
      <c r="H2642" s="47" t="str">
        <f>IF(B2642="","",IF(G2642&gt;0,"OUTSTANDING",IF(G2642=0,"SETTLED",IF(SUMIF(Transactions!$F$8:$F$3006,B2642,Transactions!$Q$8:$Q$3006)&gt;SUMIF(Transactions!$F$8:$F$3006,B2642,Transactions!$R$8:$R$3006),"OWES","OVERPAID"))))</f>
        <v/>
      </c>
      <c r="I2642" s="1"/>
    </row>
    <row r="2643" spans="1:9" ht="18" customHeight="1" x14ac:dyDescent="0.25">
      <c r="A2643" s="48">
        <v>2628</v>
      </c>
      <c r="B2643" s="49" t="str">
        <f t="array" ref="B2643">IFERROR(IF(INDEX(Transactions!$F$8:$F$3006,MATCH(0,COUNTIF($B$11:B2642,Transactions!$F$8:$F$3006),0))="","",INDEX(Transactions!$F$8:$F$3006,MATCH(0,COUNTIF($B$11:B2642,Transactions!$F$8:$F$3006),0))),"")</f>
        <v/>
      </c>
      <c r="C2643" s="50" t="str">
        <f>IF(B2643="","",SUMIF(Transactions!$F$8:$F$3006,B2643,Transactions!$H$8:$H$3006))</f>
        <v/>
      </c>
      <c r="D2643" s="51" t="str">
        <f>IF(B2643="","",SUMIF(Transactions!$F$8:$F$3006,B2643,Transactions!$N$8:$N$3006))</f>
        <v/>
      </c>
      <c r="E2643" s="52" t="str">
        <f>IF(B2643="","",SUMIF(Transactions!$F$8:$F$3006,B2643,Transactions!$O$8:$O$3006))</f>
        <v/>
      </c>
      <c r="F2643" s="53" t="str">
        <f>IF(B2643="","",SUMIF(Transactions!$F$8:$F$3006,B2643,Transactions!$R$8:$R$3006))</f>
        <v/>
      </c>
      <c r="G2643" s="54" t="str">
        <f>IF(B2643="","",(C2643+F2643)-(D2643+E2643+SUMIF(Transactions!$F$8:$F$3006,B2643,Transactions!$Q$8:$Q$3006)))</f>
        <v/>
      </c>
      <c r="H2643" s="55" t="str">
        <f>IF(B2643="","",IF(G2643&gt;0,"OUTSTANDING",IF(G2643=0,"SETTLED",IF(SUMIF(Transactions!$F$8:$F$3006,B2643,Transactions!$Q$8:$Q$3006)&gt;SUMIF(Transactions!$F$8:$F$3006,B2643,Transactions!$R$8:$R$3006),"OWES","OVERPAID"))))</f>
        <v/>
      </c>
      <c r="I2643" s="1"/>
    </row>
    <row r="2644" spans="1:9" ht="18" customHeight="1" x14ac:dyDescent="0.25">
      <c r="A2644" s="40">
        <v>2629</v>
      </c>
      <c r="B2644" s="41" t="str">
        <f t="array" ref="B2644">IFERROR(IF(INDEX(Transactions!$F$8:$F$3006,MATCH(0,COUNTIF($B$11:B2643,Transactions!$F$8:$F$3006),0))="","",INDEX(Transactions!$F$8:$F$3006,MATCH(0,COUNTIF($B$11:B2643,Transactions!$F$8:$F$3006),0))),"")</f>
        <v/>
      </c>
      <c r="C2644" s="42" t="str">
        <f>IF(B2644="","",SUMIF(Transactions!$F$8:$F$3006,B2644,Transactions!$H$8:$H$3006))</f>
        <v/>
      </c>
      <c r="D2644" s="43" t="str">
        <f>IF(B2644="","",SUMIF(Transactions!$F$8:$F$3006,B2644,Transactions!$N$8:$N$3006))</f>
        <v/>
      </c>
      <c r="E2644" s="44" t="str">
        <f>IF(B2644="","",SUMIF(Transactions!$F$8:$F$3006,B2644,Transactions!$O$8:$O$3006))</f>
        <v/>
      </c>
      <c r="F2644" s="45" t="str">
        <f>IF(B2644="","",SUMIF(Transactions!$F$8:$F$3006,B2644,Transactions!$R$8:$R$3006))</f>
        <v/>
      </c>
      <c r="G2644" s="46" t="str">
        <f>IF(B2644="","",(C2644+F2644)-(D2644+E2644+SUMIF(Transactions!$F$8:$F$3006,B2644,Transactions!$Q$8:$Q$3006)))</f>
        <v/>
      </c>
      <c r="H2644" s="47" t="str">
        <f>IF(B2644="","",IF(G2644&gt;0,"OUTSTANDING",IF(G2644=0,"SETTLED",IF(SUMIF(Transactions!$F$8:$F$3006,B2644,Transactions!$Q$8:$Q$3006)&gt;SUMIF(Transactions!$F$8:$F$3006,B2644,Transactions!$R$8:$R$3006),"OWES","OVERPAID"))))</f>
        <v/>
      </c>
      <c r="I2644" s="1"/>
    </row>
    <row r="2645" spans="1:9" ht="18" customHeight="1" x14ac:dyDescent="0.25">
      <c r="A2645" s="48">
        <v>2630</v>
      </c>
      <c r="B2645" s="49" t="str">
        <f t="array" ref="B2645">IFERROR(IF(INDEX(Transactions!$F$8:$F$3006,MATCH(0,COUNTIF($B$11:B2644,Transactions!$F$8:$F$3006),0))="","",INDEX(Transactions!$F$8:$F$3006,MATCH(0,COUNTIF($B$11:B2644,Transactions!$F$8:$F$3006),0))),"")</f>
        <v/>
      </c>
      <c r="C2645" s="50" t="str">
        <f>IF(B2645="","",SUMIF(Transactions!$F$8:$F$3006,B2645,Transactions!$H$8:$H$3006))</f>
        <v/>
      </c>
      <c r="D2645" s="51" t="str">
        <f>IF(B2645="","",SUMIF(Transactions!$F$8:$F$3006,B2645,Transactions!$N$8:$N$3006))</f>
        <v/>
      </c>
      <c r="E2645" s="52" t="str">
        <f>IF(B2645="","",SUMIF(Transactions!$F$8:$F$3006,B2645,Transactions!$O$8:$O$3006))</f>
        <v/>
      </c>
      <c r="F2645" s="53" t="str">
        <f>IF(B2645="","",SUMIF(Transactions!$F$8:$F$3006,B2645,Transactions!$R$8:$R$3006))</f>
        <v/>
      </c>
      <c r="G2645" s="54" t="str">
        <f>IF(B2645="","",(C2645+F2645)-(D2645+E2645+SUMIF(Transactions!$F$8:$F$3006,B2645,Transactions!$Q$8:$Q$3006)))</f>
        <v/>
      </c>
      <c r="H2645" s="55" t="str">
        <f>IF(B2645="","",IF(G2645&gt;0,"OUTSTANDING",IF(G2645=0,"SETTLED",IF(SUMIF(Transactions!$F$8:$F$3006,B2645,Transactions!$Q$8:$Q$3006)&gt;SUMIF(Transactions!$F$8:$F$3006,B2645,Transactions!$R$8:$R$3006),"OWES","OVERPAID"))))</f>
        <v/>
      </c>
      <c r="I2645" s="1"/>
    </row>
    <row r="2646" spans="1:9" ht="18" customHeight="1" x14ac:dyDescent="0.25">
      <c r="A2646" s="40">
        <v>2631</v>
      </c>
      <c r="B2646" s="41" t="str">
        <f t="array" ref="B2646">IFERROR(IF(INDEX(Transactions!$F$8:$F$3006,MATCH(0,COUNTIF($B$11:B2645,Transactions!$F$8:$F$3006),0))="","",INDEX(Transactions!$F$8:$F$3006,MATCH(0,COUNTIF($B$11:B2645,Transactions!$F$8:$F$3006),0))),"")</f>
        <v/>
      </c>
      <c r="C2646" s="42" t="str">
        <f>IF(B2646="","",SUMIF(Transactions!$F$8:$F$3006,B2646,Transactions!$H$8:$H$3006))</f>
        <v/>
      </c>
      <c r="D2646" s="43" t="str">
        <f>IF(B2646="","",SUMIF(Transactions!$F$8:$F$3006,B2646,Transactions!$N$8:$N$3006))</f>
        <v/>
      </c>
      <c r="E2646" s="44" t="str">
        <f>IF(B2646="","",SUMIF(Transactions!$F$8:$F$3006,B2646,Transactions!$O$8:$O$3006))</f>
        <v/>
      </c>
      <c r="F2646" s="45" t="str">
        <f>IF(B2646="","",SUMIF(Transactions!$F$8:$F$3006,B2646,Transactions!$R$8:$R$3006))</f>
        <v/>
      </c>
      <c r="G2646" s="46" t="str">
        <f>IF(B2646="","",(C2646+F2646)-(D2646+E2646+SUMIF(Transactions!$F$8:$F$3006,B2646,Transactions!$Q$8:$Q$3006)))</f>
        <v/>
      </c>
      <c r="H2646" s="47" t="str">
        <f>IF(B2646="","",IF(G2646&gt;0,"OUTSTANDING",IF(G2646=0,"SETTLED",IF(SUMIF(Transactions!$F$8:$F$3006,B2646,Transactions!$Q$8:$Q$3006)&gt;SUMIF(Transactions!$F$8:$F$3006,B2646,Transactions!$R$8:$R$3006),"OWES","OVERPAID"))))</f>
        <v/>
      </c>
      <c r="I2646" s="1"/>
    </row>
    <row r="2647" spans="1:9" ht="18" customHeight="1" x14ac:dyDescent="0.25">
      <c r="A2647" s="48">
        <v>2632</v>
      </c>
      <c r="B2647" s="49" t="str">
        <f t="array" ref="B2647">IFERROR(IF(INDEX(Transactions!$F$8:$F$3006,MATCH(0,COUNTIF($B$11:B2646,Transactions!$F$8:$F$3006),0))="","",INDEX(Transactions!$F$8:$F$3006,MATCH(0,COUNTIF($B$11:B2646,Transactions!$F$8:$F$3006),0))),"")</f>
        <v/>
      </c>
      <c r="C2647" s="50" t="str">
        <f>IF(B2647="","",SUMIF(Transactions!$F$8:$F$3006,B2647,Transactions!$H$8:$H$3006))</f>
        <v/>
      </c>
      <c r="D2647" s="51" t="str">
        <f>IF(B2647="","",SUMIF(Transactions!$F$8:$F$3006,B2647,Transactions!$N$8:$N$3006))</f>
        <v/>
      </c>
      <c r="E2647" s="52" t="str">
        <f>IF(B2647="","",SUMIF(Transactions!$F$8:$F$3006,B2647,Transactions!$O$8:$O$3006))</f>
        <v/>
      </c>
      <c r="F2647" s="53" t="str">
        <f>IF(B2647="","",SUMIF(Transactions!$F$8:$F$3006,B2647,Transactions!$R$8:$R$3006))</f>
        <v/>
      </c>
      <c r="G2647" s="54" t="str">
        <f>IF(B2647="","",(C2647+F2647)-(D2647+E2647+SUMIF(Transactions!$F$8:$F$3006,B2647,Transactions!$Q$8:$Q$3006)))</f>
        <v/>
      </c>
      <c r="H2647" s="55" t="str">
        <f>IF(B2647="","",IF(G2647&gt;0,"OUTSTANDING",IF(G2647=0,"SETTLED",IF(SUMIF(Transactions!$F$8:$F$3006,B2647,Transactions!$Q$8:$Q$3006)&gt;SUMIF(Transactions!$F$8:$F$3006,B2647,Transactions!$R$8:$R$3006),"OWES","OVERPAID"))))</f>
        <v/>
      </c>
      <c r="I2647" s="1"/>
    </row>
    <row r="2648" spans="1:9" ht="18" customHeight="1" x14ac:dyDescent="0.25">
      <c r="A2648" s="40">
        <v>2633</v>
      </c>
      <c r="B2648" s="41" t="str">
        <f t="array" ref="B2648">IFERROR(IF(INDEX(Transactions!$F$8:$F$3006,MATCH(0,COUNTIF($B$11:B2647,Transactions!$F$8:$F$3006),0))="","",INDEX(Transactions!$F$8:$F$3006,MATCH(0,COUNTIF($B$11:B2647,Transactions!$F$8:$F$3006),0))),"")</f>
        <v/>
      </c>
      <c r="C2648" s="42" t="str">
        <f>IF(B2648="","",SUMIF(Transactions!$F$8:$F$3006,B2648,Transactions!$H$8:$H$3006))</f>
        <v/>
      </c>
      <c r="D2648" s="43" t="str">
        <f>IF(B2648="","",SUMIF(Transactions!$F$8:$F$3006,B2648,Transactions!$N$8:$N$3006))</f>
        <v/>
      </c>
      <c r="E2648" s="44" t="str">
        <f>IF(B2648="","",SUMIF(Transactions!$F$8:$F$3006,B2648,Transactions!$O$8:$O$3006))</f>
        <v/>
      </c>
      <c r="F2648" s="45" t="str">
        <f>IF(B2648="","",SUMIF(Transactions!$F$8:$F$3006,B2648,Transactions!$R$8:$R$3006))</f>
        <v/>
      </c>
      <c r="G2648" s="46" t="str">
        <f>IF(B2648="","",(C2648+F2648)-(D2648+E2648+SUMIF(Transactions!$F$8:$F$3006,B2648,Transactions!$Q$8:$Q$3006)))</f>
        <v/>
      </c>
      <c r="H2648" s="47" t="str">
        <f>IF(B2648="","",IF(G2648&gt;0,"OUTSTANDING",IF(G2648=0,"SETTLED",IF(SUMIF(Transactions!$F$8:$F$3006,B2648,Transactions!$Q$8:$Q$3006)&gt;SUMIF(Transactions!$F$8:$F$3006,B2648,Transactions!$R$8:$R$3006),"OWES","OVERPAID"))))</f>
        <v/>
      </c>
      <c r="I2648" s="1"/>
    </row>
    <row r="2649" spans="1:9" ht="18" customHeight="1" x14ac:dyDescent="0.25">
      <c r="A2649" s="48">
        <v>2634</v>
      </c>
      <c r="B2649" s="49" t="str">
        <f t="array" ref="B2649">IFERROR(IF(INDEX(Transactions!$F$8:$F$3006,MATCH(0,COUNTIF($B$11:B2648,Transactions!$F$8:$F$3006),0))="","",INDEX(Transactions!$F$8:$F$3006,MATCH(0,COUNTIF($B$11:B2648,Transactions!$F$8:$F$3006),0))),"")</f>
        <v/>
      </c>
      <c r="C2649" s="50" t="str">
        <f>IF(B2649="","",SUMIF(Transactions!$F$8:$F$3006,B2649,Transactions!$H$8:$H$3006))</f>
        <v/>
      </c>
      <c r="D2649" s="51" t="str">
        <f>IF(B2649="","",SUMIF(Transactions!$F$8:$F$3006,B2649,Transactions!$N$8:$N$3006))</f>
        <v/>
      </c>
      <c r="E2649" s="52" t="str">
        <f>IF(B2649="","",SUMIF(Transactions!$F$8:$F$3006,B2649,Transactions!$O$8:$O$3006))</f>
        <v/>
      </c>
      <c r="F2649" s="53" t="str">
        <f>IF(B2649="","",SUMIF(Transactions!$F$8:$F$3006,B2649,Transactions!$R$8:$R$3006))</f>
        <v/>
      </c>
      <c r="G2649" s="54" t="str">
        <f>IF(B2649="","",(C2649+F2649)-(D2649+E2649+SUMIF(Transactions!$F$8:$F$3006,B2649,Transactions!$Q$8:$Q$3006)))</f>
        <v/>
      </c>
      <c r="H2649" s="55" t="str">
        <f>IF(B2649="","",IF(G2649&gt;0,"OUTSTANDING",IF(G2649=0,"SETTLED",IF(SUMIF(Transactions!$F$8:$F$3006,B2649,Transactions!$Q$8:$Q$3006)&gt;SUMIF(Transactions!$F$8:$F$3006,B2649,Transactions!$R$8:$R$3006),"OWES","OVERPAID"))))</f>
        <v/>
      </c>
      <c r="I2649" s="1"/>
    </row>
    <row r="2650" spans="1:9" ht="18" customHeight="1" x14ac:dyDescent="0.25">
      <c r="A2650" s="40">
        <v>2635</v>
      </c>
      <c r="B2650" s="41" t="str">
        <f t="array" ref="B2650">IFERROR(IF(INDEX(Transactions!$F$8:$F$3006,MATCH(0,COUNTIF($B$11:B2649,Transactions!$F$8:$F$3006),0))="","",INDEX(Transactions!$F$8:$F$3006,MATCH(0,COUNTIF($B$11:B2649,Transactions!$F$8:$F$3006),0))),"")</f>
        <v/>
      </c>
      <c r="C2650" s="42" t="str">
        <f>IF(B2650="","",SUMIF(Transactions!$F$8:$F$3006,B2650,Transactions!$H$8:$H$3006))</f>
        <v/>
      </c>
      <c r="D2650" s="43" t="str">
        <f>IF(B2650="","",SUMIF(Transactions!$F$8:$F$3006,B2650,Transactions!$N$8:$N$3006))</f>
        <v/>
      </c>
      <c r="E2650" s="44" t="str">
        <f>IF(B2650="","",SUMIF(Transactions!$F$8:$F$3006,B2650,Transactions!$O$8:$O$3006))</f>
        <v/>
      </c>
      <c r="F2650" s="45" t="str">
        <f>IF(B2650="","",SUMIF(Transactions!$F$8:$F$3006,B2650,Transactions!$R$8:$R$3006))</f>
        <v/>
      </c>
      <c r="G2650" s="46" t="str">
        <f>IF(B2650="","",(C2650+F2650)-(D2650+E2650+SUMIF(Transactions!$F$8:$F$3006,B2650,Transactions!$Q$8:$Q$3006)))</f>
        <v/>
      </c>
      <c r="H2650" s="47" t="str">
        <f>IF(B2650="","",IF(G2650&gt;0,"OUTSTANDING",IF(G2650=0,"SETTLED",IF(SUMIF(Transactions!$F$8:$F$3006,B2650,Transactions!$Q$8:$Q$3006)&gt;SUMIF(Transactions!$F$8:$F$3006,B2650,Transactions!$R$8:$R$3006),"OWES","OVERPAID"))))</f>
        <v/>
      </c>
      <c r="I2650" s="1"/>
    </row>
    <row r="2651" spans="1:9" ht="18" customHeight="1" x14ac:dyDescent="0.25">
      <c r="A2651" s="48">
        <v>2636</v>
      </c>
      <c r="B2651" s="49" t="str">
        <f t="array" ref="B2651">IFERROR(IF(INDEX(Transactions!$F$8:$F$3006,MATCH(0,COUNTIF($B$11:B2650,Transactions!$F$8:$F$3006),0))="","",INDEX(Transactions!$F$8:$F$3006,MATCH(0,COUNTIF($B$11:B2650,Transactions!$F$8:$F$3006),0))),"")</f>
        <v/>
      </c>
      <c r="C2651" s="50" t="str">
        <f>IF(B2651="","",SUMIF(Transactions!$F$8:$F$3006,B2651,Transactions!$H$8:$H$3006))</f>
        <v/>
      </c>
      <c r="D2651" s="51" t="str">
        <f>IF(B2651="","",SUMIF(Transactions!$F$8:$F$3006,B2651,Transactions!$N$8:$N$3006))</f>
        <v/>
      </c>
      <c r="E2651" s="52" t="str">
        <f>IF(B2651="","",SUMIF(Transactions!$F$8:$F$3006,B2651,Transactions!$O$8:$O$3006))</f>
        <v/>
      </c>
      <c r="F2651" s="53" t="str">
        <f>IF(B2651="","",SUMIF(Transactions!$F$8:$F$3006,B2651,Transactions!$R$8:$R$3006))</f>
        <v/>
      </c>
      <c r="G2651" s="54" t="str">
        <f>IF(B2651="","",(C2651+F2651)-(D2651+E2651+SUMIF(Transactions!$F$8:$F$3006,B2651,Transactions!$Q$8:$Q$3006)))</f>
        <v/>
      </c>
      <c r="H2651" s="55" t="str">
        <f>IF(B2651="","",IF(G2651&gt;0,"OUTSTANDING",IF(G2651=0,"SETTLED",IF(SUMIF(Transactions!$F$8:$F$3006,B2651,Transactions!$Q$8:$Q$3006)&gt;SUMIF(Transactions!$F$8:$F$3006,B2651,Transactions!$R$8:$R$3006),"OWES","OVERPAID"))))</f>
        <v/>
      </c>
      <c r="I2651" s="1"/>
    </row>
    <row r="2652" spans="1:9" ht="18" customHeight="1" x14ac:dyDescent="0.25">
      <c r="A2652" s="40">
        <v>2637</v>
      </c>
      <c r="B2652" s="41" t="str">
        <f t="array" ref="B2652">IFERROR(IF(INDEX(Transactions!$F$8:$F$3006,MATCH(0,COUNTIF($B$11:B2651,Transactions!$F$8:$F$3006),0))="","",INDEX(Transactions!$F$8:$F$3006,MATCH(0,COUNTIF($B$11:B2651,Transactions!$F$8:$F$3006),0))),"")</f>
        <v/>
      </c>
      <c r="C2652" s="42" t="str">
        <f>IF(B2652="","",SUMIF(Transactions!$F$8:$F$3006,B2652,Transactions!$H$8:$H$3006))</f>
        <v/>
      </c>
      <c r="D2652" s="43" t="str">
        <f>IF(B2652="","",SUMIF(Transactions!$F$8:$F$3006,B2652,Transactions!$N$8:$N$3006))</f>
        <v/>
      </c>
      <c r="E2652" s="44" t="str">
        <f>IF(B2652="","",SUMIF(Transactions!$F$8:$F$3006,B2652,Transactions!$O$8:$O$3006))</f>
        <v/>
      </c>
      <c r="F2652" s="45" t="str">
        <f>IF(B2652="","",SUMIF(Transactions!$F$8:$F$3006,B2652,Transactions!$R$8:$R$3006))</f>
        <v/>
      </c>
      <c r="G2652" s="46" t="str">
        <f>IF(B2652="","",(C2652+F2652)-(D2652+E2652+SUMIF(Transactions!$F$8:$F$3006,B2652,Transactions!$Q$8:$Q$3006)))</f>
        <v/>
      </c>
      <c r="H2652" s="47" t="str">
        <f>IF(B2652="","",IF(G2652&gt;0,"OUTSTANDING",IF(G2652=0,"SETTLED",IF(SUMIF(Transactions!$F$8:$F$3006,B2652,Transactions!$Q$8:$Q$3006)&gt;SUMIF(Transactions!$F$8:$F$3006,B2652,Transactions!$R$8:$R$3006),"OWES","OVERPAID"))))</f>
        <v/>
      </c>
      <c r="I2652" s="1"/>
    </row>
    <row r="2653" spans="1:9" ht="18" customHeight="1" x14ac:dyDescent="0.25">
      <c r="A2653" s="48">
        <v>2638</v>
      </c>
      <c r="B2653" s="49" t="str">
        <f t="array" ref="B2653">IFERROR(IF(INDEX(Transactions!$F$8:$F$3006,MATCH(0,COUNTIF($B$11:B2652,Transactions!$F$8:$F$3006),0))="","",INDEX(Transactions!$F$8:$F$3006,MATCH(0,COUNTIF($B$11:B2652,Transactions!$F$8:$F$3006),0))),"")</f>
        <v/>
      </c>
      <c r="C2653" s="50" t="str">
        <f>IF(B2653="","",SUMIF(Transactions!$F$8:$F$3006,B2653,Transactions!$H$8:$H$3006))</f>
        <v/>
      </c>
      <c r="D2653" s="51" t="str">
        <f>IF(B2653="","",SUMIF(Transactions!$F$8:$F$3006,B2653,Transactions!$N$8:$N$3006))</f>
        <v/>
      </c>
      <c r="E2653" s="52" t="str">
        <f>IF(B2653="","",SUMIF(Transactions!$F$8:$F$3006,B2653,Transactions!$O$8:$O$3006))</f>
        <v/>
      </c>
      <c r="F2653" s="53" t="str">
        <f>IF(B2653="","",SUMIF(Transactions!$F$8:$F$3006,B2653,Transactions!$R$8:$R$3006))</f>
        <v/>
      </c>
      <c r="G2653" s="54" t="str">
        <f>IF(B2653="","",(C2653+F2653)-(D2653+E2653+SUMIF(Transactions!$F$8:$F$3006,B2653,Transactions!$Q$8:$Q$3006)))</f>
        <v/>
      </c>
      <c r="H2653" s="55" t="str">
        <f>IF(B2653="","",IF(G2653&gt;0,"OUTSTANDING",IF(G2653=0,"SETTLED",IF(SUMIF(Transactions!$F$8:$F$3006,B2653,Transactions!$Q$8:$Q$3006)&gt;SUMIF(Transactions!$F$8:$F$3006,B2653,Transactions!$R$8:$R$3006),"OWES","OVERPAID"))))</f>
        <v/>
      </c>
      <c r="I2653" s="1"/>
    </row>
    <row r="2654" spans="1:9" ht="18" customHeight="1" x14ac:dyDescent="0.25">
      <c r="A2654" s="40">
        <v>2639</v>
      </c>
      <c r="B2654" s="41" t="str">
        <f t="array" ref="B2654">IFERROR(IF(INDEX(Transactions!$F$8:$F$3006,MATCH(0,COUNTIF($B$11:B2653,Transactions!$F$8:$F$3006),0))="","",INDEX(Transactions!$F$8:$F$3006,MATCH(0,COUNTIF($B$11:B2653,Transactions!$F$8:$F$3006),0))),"")</f>
        <v/>
      </c>
      <c r="C2654" s="42" t="str">
        <f>IF(B2654="","",SUMIF(Transactions!$F$8:$F$3006,B2654,Transactions!$H$8:$H$3006))</f>
        <v/>
      </c>
      <c r="D2654" s="43" t="str">
        <f>IF(B2654="","",SUMIF(Transactions!$F$8:$F$3006,B2654,Transactions!$N$8:$N$3006))</f>
        <v/>
      </c>
      <c r="E2654" s="44" t="str">
        <f>IF(B2654="","",SUMIF(Transactions!$F$8:$F$3006,B2654,Transactions!$O$8:$O$3006))</f>
        <v/>
      </c>
      <c r="F2654" s="45" t="str">
        <f>IF(B2654="","",SUMIF(Transactions!$F$8:$F$3006,B2654,Transactions!$R$8:$R$3006))</f>
        <v/>
      </c>
      <c r="G2654" s="46" t="str">
        <f>IF(B2654="","",(C2654+F2654)-(D2654+E2654+SUMIF(Transactions!$F$8:$F$3006,B2654,Transactions!$Q$8:$Q$3006)))</f>
        <v/>
      </c>
      <c r="H2654" s="47" t="str">
        <f>IF(B2654="","",IF(G2654&gt;0,"OUTSTANDING",IF(G2654=0,"SETTLED",IF(SUMIF(Transactions!$F$8:$F$3006,B2654,Transactions!$Q$8:$Q$3006)&gt;SUMIF(Transactions!$F$8:$F$3006,B2654,Transactions!$R$8:$R$3006),"OWES","OVERPAID"))))</f>
        <v/>
      </c>
      <c r="I2654" s="1"/>
    </row>
    <row r="2655" spans="1:9" ht="18" customHeight="1" x14ac:dyDescent="0.25">
      <c r="A2655" s="48">
        <v>2640</v>
      </c>
      <c r="B2655" s="49" t="str">
        <f t="array" ref="B2655">IFERROR(IF(INDEX(Transactions!$F$8:$F$3006,MATCH(0,COUNTIF($B$11:B2654,Transactions!$F$8:$F$3006),0))="","",INDEX(Transactions!$F$8:$F$3006,MATCH(0,COUNTIF($B$11:B2654,Transactions!$F$8:$F$3006),0))),"")</f>
        <v/>
      </c>
      <c r="C2655" s="50" t="str">
        <f>IF(B2655="","",SUMIF(Transactions!$F$8:$F$3006,B2655,Transactions!$H$8:$H$3006))</f>
        <v/>
      </c>
      <c r="D2655" s="51" t="str">
        <f>IF(B2655="","",SUMIF(Transactions!$F$8:$F$3006,B2655,Transactions!$N$8:$N$3006))</f>
        <v/>
      </c>
      <c r="E2655" s="52" t="str">
        <f>IF(B2655="","",SUMIF(Transactions!$F$8:$F$3006,B2655,Transactions!$O$8:$O$3006))</f>
        <v/>
      </c>
      <c r="F2655" s="53" t="str">
        <f>IF(B2655="","",SUMIF(Transactions!$F$8:$F$3006,B2655,Transactions!$R$8:$R$3006))</f>
        <v/>
      </c>
      <c r="G2655" s="54" t="str">
        <f>IF(B2655="","",(C2655+F2655)-(D2655+E2655+SUMIF(Transactions!$F$8:$F$3006,B2655,Transactions!$Q$8:$Q$3006)))</f>
        <v/>
      </c>
      <c r="H2655" s="55" t="str">
        <f>IF(B2655="","",IF(G2655&gt;0,"OUTSTANDING",IF(G2655=0,"SETTLED",IF(SUMIF(Transactions!$F$8:$F$3006,B2655,Transactions!$Q$8:$Q$3006)&gt;SUMIF(Transactions!$F$8:$F$3006,B2655,Transactions!$R$8:$R$3006),"OWES","OVERPAID"))))</f>
        <v/>
      </c>
      <c r="I2655" s="1"/>
    </row>
    <row r="2656" spans="1:9" ht="18" customHeight="1" x14ac:dyDescent="0.25">
      <c r="A2656" s="40">
        <v>2641</v>
      </c>
      <c r="B2656" s="41" t="str">
        <f t="array" ref="B2656">IFERROR(IF(INDEX(Transactions!$F$8:$F$3006,MATCH(0,COUNTIF($B$11:B2655,Transactions!$F$8:$F$3006),0))="","",INDEX(Transactions!$F$8:$F$3006,MATCH(0,COUNTIF($B$11:B2655,Transactions!$F$8:$F$3006),0))),"")</f>
        <v/>
      </c>
      <c r="C2656" s="42" t="str">
        <f>IF(B2656="","",SUMIF(Transactions!$F$8:$F$3006,B2656,Transactions!$H$8:$H$3006))</f>
        <v/>
      </c>
      <c r="D2656" s="43" t="str">
        <f>IF(B2656="","",SUMIF(Transactions!$F$8:$F$3006,B2656,Transactions!$N$8:$N$3006))</f>
        <v/>
      </c>
      <c r="E2656" s="44" t="str">
        <f>IF(B2656="","",SUMIF(Transactions!$F$8:$F$3006,B2656,Transactions!$O$8:$O$3006))</f>
        <v/>
      </c>
      <c r="F2656" s="45" t="str">
        <f>IF(B2656="","",SUMIF(Transactions!$F$8:$F$3006,B2656,Transactions!$R$8:$R$3006))</f>
        <v/>
      </c>
      <c r="G2656" s="46" t="str">
        <f>IF(B2656="","",(C2656+F2656)-(D2656+E2656+SUMIF(Transactions!$F$8:$F$3006,B2656,Transactions!$Q$8:$Q$3006)))</f>
        <v/>
      </c>
      <c r="H2656" s="47" t="str">
        <f>IF(B2656="","",IF(G2656&gt;0,"OUTSTANDING",IF(G2656=0,"SETTLED",IF(SUMIF(Transactions!$F$8:$F$3006,B2656,Transactions!$Q$8:$Q$3006)&gt;SUMIF(Transactions!$F$8:$F$3006,B2656,Transactions!$R$8:$R$3006),"OWES","OVERPAID"))))</f>
        <v/>
      </c>
      <c r="I2656" s="1"/>
    </row>
    <row r="2657" spans="1:9" ht="18" customHeight="1" x14ac:dyDescent="0.25">
      <c r="A2657" s="48">
        <v>2642</v>
      </c>
      <c r="B2657" s="49" t="str">
        <f t="array" ref="B2657">IFERROR(IF(INDEX(Transactions!$F$8:$F$3006,MATCH(0,COUNTIF($B$11:B2656,Transactions!$F$8:$F$3006),0))="","",INDEX(Transactions!$F$8:$F$3006,MATCH(0,COUNTIF($B$11:B2656,Transactions!$F$8:$F$3006),0))),"")</f>
        <v/>
      </c>
      <c r="C2657" s="50" t="str">
        <f>IF(B2657="","",SUMIF(Transactions!$F$8:$F$3006,B2657,Transactions!$H$8:$H$3006))</f>
        <v/>
      </c>
      <c r="D2657" s="51" t="str">
        <f>IF(B2657="","",SUMIF(Transactions!$F$8:$F$3006,B2657,Transactions!$N$8:$N$3006))</f>
        <v/>
      </c>
      <c r="E2657" s="52" t="str">
        <f>IF(B2657="","",SUMIF(Transactions!$F$8:$F$3006,B2657,Transactions!$O$8:$O$3006))</f>
        <v/>
      </c>
      <c r="F2657" s="53" t="str">
        <f>IF(B2657="","",SUMIF(Transactions!$F$8:$F$3006,B2657,Transactions!$R$8:$R$3006))</f>
        <v/>
      </c>
      <c r="G2657" s="54" t="str">
        <f>IF(B2657="","",(C2657+F2657)-(D2657+E2657+SUMIF(Transactions!$F$8:$F$3006,B2657,Transactions!$Q$8:$Q$3006)))</f>
        <v/>
      </c>
      <c r="H2657" s="55" t="str">
        <f>IF(B2657="","",IF(G2657&gt;0,"OUTSTANDING",IF(G2657=0,"SETTLED",IF(SUMIF(Transactions!$F$8:$F$3006,B2657,Transactions!$Q$8:$Q$3006)&gt;SUMIF(Transactions!$F$8:$F$3006,B2657,Transactions!$R$8:$R$3006),"OWES","OVERPAID"))))</f>
        <v/>
      </c>
      <c r="I2657" s="1"/>
    </row>
    <row r="2658" spans="1:9" ht="18" customHeight="1" x14ac:dyDescent="0.25">
      <c r="A2658" s="40">
        <v>2643</v>
      </c>
      <c r="B2658" s="41" t="str">
        <f t="array" ref="B2658">IFERROR(IF(INDEX(Transactions!$F$8:$F$3006,MATCH(0,COUNTIF($B$11:B2657,Transactions!$F$8:$F$3006),0))="","",INDEX(Transactions!$F$8:$F$3006,MATCH(0,COUNTIF($B$11:B2657,Transactions!$F$8:$F$3006),0))),"")</f>
        <v/>
      </c>
      <c r="C2658" s="42" t="str">
        <f>IF(B2658="","",SUMIF(Transactions!$F$8:$F$3006,B2658,Transactions!$H$8:$H$3006))</f>
        <v/>
      </c>
      <c r="D2658" s="43" t="str">
        <f>IF(B2658="","",SUMIF(Transactions!$F$8:$F$3006,B2658,Transactions!$N$8:$N$3006))</f>
        <v/>
      </c>
      <c r="E2658" s="44" t="str">
        <f>IF(B2658="","",SUMIF(Transactions!$F$8:$F$3006,B2658,Transactions!$O$8:$O$3006))</f>
        <v/>
      </c>
      <c r="F2658" s="45" t="str">
        <f>IF(B2658="","",SUMIF(Transactions!$F$8:$F$3006,B2658,Transactions!$R$8:$R$3006))</f>
        <v/>
      </c>
      <c r="G2658" s="46" t="str">
        <f>IF(B2658="","",(C2658+F2658)-(D2658+E2658+SUMIF(Transactions!$F$8:$F$3006,B2658,Transactions!$Q$8:$Q$3006)))</f>
        <v/>
      </c>
      <c r="H2658" s="47" t="str">
        <f>IF(B2658="","",IF(G2658&gt;0,"OUTSTANDING",IF(G2658=0,"SETTLED",IF(SUMIF(Transactions!$F$8:$F$3006,B2658,Transactions!$Q$8:$Q$3006)&gt;SUMIF(Transactions!$F$8:$F$3006,B2658,Transactions!$R$8:$R$3006),"OWES","OVERPAID"))))</f>
        <v/>
      </c>
      <c r="I2658" s="1"/>
    </row>
    <row r="2659" spans="1:9" ht="18" customHeight="1" x14ac:dyDescent="0.25">
      <c r="A2659" s="48">
        <v>2644</v>
      </c>
      <c r="B2659" s="49" t="str">
        <f t="array" ref="B2659">IFERROR(IF(INDEX(Transactions!$F$8:$F$3006,MATCH(0,COUNTIF($B$11:B2658,Transactions!$F$8:$F$3006),0))="","",INDEX(Transactions!$F$8:$F$3006,MATCH(0,COUNTIF($B$11:B2658,Transactions!$F$8:$F$3006),0))),"")</f>
        <v/>
      </c>
      <c r="C2659" s="50" t="str">
        <f>IF(B2659="","",SUMIF(Transactions!$F$8:$F$3006,B2659,Transactions!$H$8:$H$3006))</f>
        <v/>
      </c>
      <c r="D2659" s="51" t="str">
        <f>IF(B2659="","",SUMIF(Transactions!$F$8:$F$3006,B2659,Transactions!$N$8:$N$3006))</f>
        <v/>
      </c>
      <c r="E2659" s="52" t="str">
        <f>IF(B2659="","",SUMIF(Transactions!$F$8:$F$3006,B2659,Transactions!$O$8:$O$3006))</f>
        <v/>
      </c>
      <c r="F2659" s="53" t="str">
        <f>IF(B2659="","",SUMIF(Transactions!$F$8:$F$3006,B2659,Transactions!$R$8:$R$3006))</f>
        <v/>
      </c>
      <c r="G2659" s="54" t="str">
        <f>IF(B2659="","",(C2659+F2659)-(D2659+E2659+SUMIF(Transactions!$F$8:$F$3006,B2659,Transactions!$Q$8:$Q$3006)))</f>
        <v/>
      </c>
      <c r="H2659" s="55" t="str">
        <f>IF(B2659="","",IF(G2659&gt;0,"OUTSTANDING",IF(G2659=0,"SETTLED",IF(SUMIF(Transactions!$F$8:$F$3006,B2659,Transactions!$Q$8:$Q$3006)&gt;SUMIF(Transactions!$F$8:$F$3006,B2659,Transactions!$R$8:$R$3006),"OWES","OVERPAID"))))</f>
        <v/>
      </c>
      <c r="I2659" s="1"/>
    </row>
    <row r="2660" spans="1:9" ht="18" customHeight="1" x14ac:dyDescent="0.25">
      <c r="A2660" s="40">
        <v>2645</v>
      </c>
      <c r="B2660" s="41" t="str">
        <f t="array" ref="B2660">IFERROR(IF(INDEX(Transactions!$F$8:$F$3006,MATCH(0,COUNTIF($B$11:B2659,Transactions!$F$8:$F$3006),0))="","",INDEX(Transactions!$F$8:$F$3006,MATCH(0,COUNTIF($B$11:B2659,Transactions!$F$8:$F$3006),0))),"")</f>
        <v/>
      </c>
      <c r="C2660" s="42" t="str">
        <f>IF(B2660="","",SUMIF(Transactions!$F$8:$F$3006,B2660,Transactions!$H$8:$H$3006))</f>
        <v/>
      </c>
      <c r="D2660" s="43" t="str">
        <f>IF(B2660="","",SUMIF(Transactions!$F$8:$F$3006,B2660,Transactions!$N$8:$N$3006))</f>
        <v/>
      </c>
      <c r="E2660" s="44" t="str">
        <f>IF(B2660="","",SUMIF(Transactions!$F$8:$F$3006,B2660,Transactions!$O$8:$O$3006))</f>
        <v/>
      </c>
      <c r="F2660" s="45" t="str">
        <f>IF(B2660="","",SUMIF(Transactions!$F$8:$F$3006,B2660,Transactions!$R$8:$R$3006))</f>
        <v/>
      </c>
      <c r="G2660" s="46" t="str">
        <f>IF(B2660="","",(C2660+F2660)-(D2660+E2660+SUMIF(Transactions!$F$8:$F$3006,B2660,Transactions!$Q$8:$Q$3006)))</f>
        <v/>
      </c>
      <c r="H2660" s="47" t="str">
        <f>IF(B2660="","",IF(G2660&gt;0,"OUTSTANDING",IF(G2660=0,"SETTLED",IF(SUMIF(Transactions!$F$8:$F$3006,B2660,Transactions!$Q$8:$Q$3006)&gt;SUMIF(Transactions!$F$8:$F$3006,B2660,Transactions!$R$8:$R$3006),"OWES","OVERPAID"))))</f>
        <v/>
      </c>
      <c r="I2660" s="1"/>
    </row>
    <row r="2661" spans="1:9" ht="18" customHeight="1" x14ac:dyDescent="0.25">
      <c r="A2661" s="48">
        <v>2646</v>
      </c>
      <c r="B2661" s="49" t="str">
        <f t="array" ref="B2661">IFERROR(IF(INDEX(Transactions!$F$8:$F$3006,MATCH(0,COUNTIF($B$11:B2660,Transactions!$F$8:$F$3006),0))="","",INDEX(Transactions!$F$8:$F$3006,MATCH(0,COUNTIF($B$11:B2660,Transactions!$F$8:$F$3006),0))),"")</f>
        <v/>
      </c>
      <c r="C2661" s="50" t="str">
        <f>IF(B2661="","",SUMIF(Transactions!$F$8:$F$3006,B2661,Transactions!$H$8:$H$3006))</f>
        <v/>
      </c>
      <c r="D2661" s="51" t="str">
        <f>IF(B2661="","",SUMIF(Transactions!$F$8:$F$3006,B2661,Transactions!$N$8:$N$3006))</f>
        <v/>
      </c>
      <c r="E2661" s="52" t="str">
        <f>IF(B2661="","",SUMIF(Transactions!$F$8:$F$3006,B2661,Transactions!$O$8:$O$3006))</f>
        <v/>
      </c>
      <c r="F2661" s="53" t="str">
        <f>IF(B2661="","",SUMIF(Transactions!$F$8:$F$3006,B2661,Transactions!$R$8:$R$3006))</f>
        <v/>
      </c>
      <c r="G2661" s="54" t="str">
        <f>IF(B2661="","",(C2661+F2661)-(D2661+E2661+SUMIF(Transactions!$F$8:$F$3006,B2661,Transactions!$Q$8:$Q$3006)))</f>
        <v/>
      </c>
      <c r="H2661" s="55" t="str">
        <f>IF(B2661="","",IF(G2661&gt;0,"OUTSTANDING",IF(G2661=0,"SETTLED",IF(SUMIF(Transactions!$F$8:$F$3006,B2661,Transactions!$Q$8:$Q$3006)&gt;SUMIF(Transactions!$F$8:$F$3006,B2661,Transactions!$R$8:$R$3006),"OWES","OVERPAID"))))</f>
        <v/>
      </c>
      <c r="I2661" s="1"/>
    </row>
    <row r="2662" spans="1:9" ht="18" customHeight="1" x14ac:dyDescent="0.25">
      <c r="A2662" s="40">
        <v>2647</v>
      </c>
      <c r="B2662" s="41" t="str">
        <f t="array" ref="B2662">IFERROR(IF(INDEX(Transactions!$F$8:$F$3006,MATCH(0,COUNTIF($B$11:B2661,Transactions!$F$8:$F$3006),0))="","",INDEX(Transactions!$F$8:$F$3006,MATCH(0,COUNTIF($B$11:B2661,Transactions!$F$8:$F$3006),0))),"")</f>
        <v/>
      </c>
      <c r="C2662" s="42" t="str">
        <f>IF(B2662="","",SUMIF(Transactions!$F$8:$F$3006,B2662,Transactions!$H$8:$H$3006))</f>
        <v/>
      </c>
      <c r="D2662" s="43" t="str">
        <f>IF(B2662="","",SUMIF(Transactions!$F$8:$F$3006,B2662,Transactions!$N$8:$N$3006))</f>
        <v/>
      </c>
      <c r="E2662" s="44" t="str">
        <f>IF(B2662="","",SUMIF(Transactions!$F$8:$F$3006,B2662,Transactions!$O$8:$O$3006))</f>
        <v/>
      </c>
      <c r="F2662" s="45" t="str">
        <f>IF(B2662="","",SUMIF(Transactions!$F$8:$F$3006,B2662,Transactions!$R$8:$R$3006))</f>
        <v/>
      </c>
      <c r="G2662" s="46" t="str">
        <f>IF(B2662="","",(C2662+F2662)-(D2662+E2662+SUMIF(Transactions!$F$8:$F$3006,B2662,Transactions!$Q$8:$Q$3006)))</f>
        <v/>
      </c>
      <c r="H2662" s="47" t="str">
        <f>IF(B2662="","",IF(G2662&gt;0,"OUTSTANDING",IF(G2662=0,"SETTLED",IF(SUMIF(Transactions!$F$8:$F$3006,B2662,Transactions!$Q$8:$Q$3006)&gt;SUMIF(Transactions!$F$8:$F$3006,B2662,Transactions!$R$8:$R$3006),"OWES","OVERPAID"))))</f>
        <v/>
      </c>
      <c r="I2662" s="1"/>
    </row>
    <row r="2663" spans="1:9" ht="18" customHeight="1" x14ac:dyDescent="0.25">
      <c r="A2663" s="48">
        <v>2648</v>
      </c>
      <c r="B2663" s="49" t="str">
        <f t="array" ref="B2663">IFERROR(IF(INDEX(Transactions!$F$8:$F$3006,MATCH(0,COUNTIF($B$11:B2662,Transactions!$F$8:$F$3006),0))="","",INDEX(Transactions!$F$8:$F$3006,MATCH(0,COUNTIF($B$11:B2662,Transactions!$F$8:$F$3006),0))),"")</f>
        <v/>
      </c>
      <c r="C2663" s="50" t="str">
        <f>IF(B2663="","",SUMIF(Transactions!$F$8:$F$3006,B2663,Transactions!$H$8:$H$3006))</f>
        <v/>
      </c>
      <c r="D2663" s="51" t="str">
        <f>IF(B2663="","",SUMIF(Transactions!$F$8:$F$3006,B2663,Transactions!$N$8:$N$3006))</f>
        <v/>
      </c>
      <c r="E2663" s="52" t="str">
        <f>IF(B2663="","",SUMIF(Transactions!$F$8:$F$3006,B2663,Transactions!$O$8:$O$3006))</f>
        <v/>
      </c>
      <c r="F2663" s="53" t="str">
        <f>IF(B2663="","",SUMIF(Transactions!$F$8:$F$3006,B2663,Transactions!$R$8:$R$3006))</f>
        <v/>
      </c>
      <c r="G2663" s="54" t="str">
        <f>IF(B2663="","",(C2663+F2663)-(D2663+E2663+SUMIF(Transactions!$F$8:$F$3006,B2663,Transactions!$Q$8:$Q$3006)))</f>
        <v/>
      </c>
      <c r="H2663" s="55" t="str">
        <f>IF(B2663="","",IF(G2663&gt;0,"OUTSTANDING",IF(G2663=0,"SETTLED",IF(SUMIF(Transactions!$F$8:$F$3006,B2663,Transactions!$Q$8:$Q$3006)&gt;SUMIF(Transactions!$F$8:$F$3006,B2663,Transactions!$R$8:$R$3006),"OWES","OVERPAID"))))</f>
        <v/>
      </c>
      <c r="I2663" s="1"/>
    </row>
    <row r="2664" spans="1:9" ht="18" customHeight="1" x14ac:dyDescent="0.25">
      <c r="A2664" s="40">
        <v>2649</v>
      </c>
      <c r="B2664" s="41" t="str">
        <f t="array" ref="B2664">IFERROR(IF(INDEX(Transactions!$F$8:$F$3006,MATCH(0,COUNTIF($B$11:B2663,Transactions!$F$8:$F$3006),0))="","",INDEX(Transactions!$F$8:$F$3006,MATCH(0,COUNTIF($B$11:B2663,Transactions!$F$8:$F$3006),0))),"")</f>
        <v/>
      </c>
      <c r="C2664" s="42" t="str">
        <f>IF(B2664="","",SUMIF(Transactions!$F$8:$F$3006,B2664,Transactions!$H$8:$H$3006))</f>
        <v/>
      </c>
      <c r="D2664" s="43" t="str">
        <f>IF(B2664="","",SUMIF(Transactions!$F$8:$F$3006,B2664,Transactions!$N$8:$N$3006))</f>
        <v/>
      </c>
      <c r="E2664" s="44" t="str">
        <f>IF(B2664="","",SUMIF(Transactions!$F$8:$F$3006,B2664,Transactions!$O$8:$O$3006))</f>
        <v/>
      </c>
      <c r="F2664" s="45" t="str">
        <f>IF(B2664="","",SUMIF(Transactions!$F$8:$F$3006,B2664,Transactions!$R$8:$R$3006))</f>
        <v/>
      </c>
      <c r="G2664" s="46" t="str">
        <f>IF(B2664="","",(C2664+F2664)-(D2664+E2664+SUMIF(Transactions!$F$8:$F$3006,B2664,Transactions!$Q$8:$Q$3006)))</f>
        <v/>
      </c>
      <c r="H2664" s="47" t="str">
        <f>IF(B2664="","",IF(G2664&gt;0,"OUTSTANDING",IF(G2664=0,"SETTLED",IF(SUMIF(Transactions!$F$8:$F$3006,B2664,Transactions!$Q$8:$Q$3006)&gt;SUMIF(Transactions!$F$8:$F$3006,B2664,Transactions!$R$8:$R$3006),"OWES","OVERPAID"))))</f>
        <v/>
      </c>
      <c r="I2664" s="1"/>
    </row>
    <row r="2665" spans="1:9" ht="18" customHeight="1" x14ac:dyDescent="0.25">
      <c r="A2665" s="48">
        <v>2650</v>
      </c>
      <c r="B2665" s="49" t="str">
        <f t="array" ref="B2665">IFERROR(IF(INDEX(Transactions!$F$8:$F$3006,MATCH(0,COUNTIF($B$11:B2664,Transactions!$F$8:$F$3006),0))="","",INDEX(Transactions!$F$8:$F$3006,MATCH(0,COUNTIF($B$11:B2664,Transactions!$F$8:$F$3006),0))),"")</f>
        <v/>
      </c>
      <c r="C2665" s="50" t="str">
        <f>IF(B2665="","",SUMIF(Transactions!$F$8:$F$3006,B2665,Transactions!$H$8:$H$3006))</f>
        <v/>
      </c>
      <c r="D2665" s="51" t="str">
        <f>IF(B2665="","",SUMIF(Transactions!$F$8:$F$3006,B2665,Transactions!$N$8:$N$3006))</f>
        <v/>
      </c>
      <c r="E2665" s="52" t="str">
        <f>IF(B2665="","",SUMIF(Transactions!$F$8:$F$3006,B2665,Transactions!$O$8:$O$3006))</f>
        <v/>
      </c>
      <c r="F2665" s="53" t="str">
        <f>IF(B2665="","",SUMIF(Transactions!$F$8:$F$3006,B2665,Transactions!$R$8:$R$3006))</f>
        <v/>
      </c>
      <c r="G2665" s="54" t="str">
        <f>IF(B2665="","",(C2665+F2665)-(D2665+E2665+SUMIF(Transactions!$F$8:$F$3006,B2665,Transactions!$Q$8:$Q$3006)))</f>
        <v/>
      </c>
      <c r="H2665" s="55" t="str">
        <f>IF(B2665="","",IF(G2665&gt;0,"OUTSTANDING",IF(G2665=0,"SETTLED",IF(SUMIF(Transactions!$F$8:$F$3006,B2665,Transactions!$Q$8:$Q$3006)&gt;SUMIF(Transactions!$F$8:$F$3006,B2665,Transactions!$R$8:$R$3006),"OWES","OVERPAID"))))</f>
        <v/>
      </c>
      <c r="I2665" s="1"/>
    </row>
    <row r="2666" spans="1:9" ht="18" customHeight="1" x14ac:dyDescent="0.25">
      <c r="A2666" s="40">
        <v>2651</v>
      </c>
      <c r="B2666" s="41" t="str">
        <f t="array" ref="B2666">IFERROR(IF(INDEX(Transactions!$F$8:$F$3006,MATCH(0,COUNTIF($B$11:B2665,Transactions!$F$8:$F$3006),0))="","",INDEX(Transactions!$F$8:$F$3006,MATCH(0,COUNTIF($B$11:B2665,Transactions!$F$8:$F$3006),0))),"")</f>
        <v/>
      </c>
      <c r="C2666" s="42" t="str">
        <f>IF(B2666="","",SUMIF(Transactions!$F$8:$F$3006,B2666,Transactions!$H$8:$H$3006))</f>
        <v/>
      </c>
      <c r="D2666" s="43" t="str">
        <f>IF(B2666="","",SUMIF(Transactions!$F$8:$F$3006,B2666,Transactions!$N$8:$N$3006))</f>
        <v/>
      </c>
      <c r="E2666" s="44" t="str">
        <f>IF(B2666="","",SUMIF(Transactions!$F$8:$F$3006,B2666,Transactions!$O$8:$O$3006))</f>
        <v/>
      </c>
      <c r="F2666" s="45" t="str">
        <f>IF(B2666="","",SUMIF(Transactions!$F$8:$F$3006,B2666,Transactions!$R$8:$R$3006))</f>
        <v/>
      </c>
      <c r="G2666" s="46" t="str">
        <f>IF(B2666="","",(C2666+F2666)-(D2666+E2666+SUMIF(Transactions!$F$8:$F$3006,B2666,Transactions!$Q$8:$Q$3006)))</f>
        <v/>
      </c>
      <c r="H2666" s="47" t="str">
        <f>IF(B2666="","",IF(G2666&gt;0,"OUTSTANDING",IF(G2666=0,"SETTLED",IF(SUMIF(Transactions!$F$8:$F$3006,B2666,Transactions!$Q$8:$Q$3006)&gt;SUMIF(Transactions!$F$8:$F$3006,B2666,Transactions!$R$8:$R$3006),"OWES","OVERPAID"))))</f>
        <v/>
      </c>
      <c r="I2666" s="1"/>
    </row>
    <row r="2667" spans="1:9" ht="18" customHeight="1" x14ac:dyDescent="0.25">
      <c r="A2667" s="48">
        <v>2652</v>
      </c>
      <c r="B2667" s="49" t="str">
        <f t="array" ref="B2667">IFERROR(IF(INDEX(Transactions!$F$8:$F$3006,MATCH(0,COUNTIF($B$11:B2666,Transactions!$F$8:$F$3006),0))="","",INDEX(Transactions!$F$8:$F$3006,MATCH(0,COUNTIF($B$11:B2666,Transactions!$F$8:$F$3006),0))),"")</f>
        <v/>
      </c>
      <c r="C2667" s="50" t="str">
        <f>IF(B2667="","",SUMIF(Transactions!$F$8:$F$3006,B2667,Transactions!$H$8:$H$3006))</f>
        <v/>
      </c>
      <c r="D2667" s="51" t="str">
        <f>IF(B2667="","",SUMIF(Transactions!$F$8:$F$3006,B2667,Transactions!$N$8:$N$3006))</f>
        <v/>
      </c>
      <c r="E2667" s="52" t="str">
        <f>IF(B2667="","",SUMIF(Transactions!$F$8:$F$3006,B2667,Transactions!$O$8:$O$3006))</f>
        <v/>
      </c>
      <c r="F2667" s="53" t="str">
        <f>IF(B2667="","",SUMIF(Transactions!$F$8:$F$3006,B2667,Transactions!$R$8:$R$3006))</f>
        <v/>
      </c>
      <c r="G2667" s="54" t="str">
        <f>IF(B2667="","",(C2667+F2667)-(D2667+E2667+SUMIF(Transactions!$F$8:$F$3006,B2667,Transactions!$Q$8:$Q$3006)))</f>
        <v/>
      </c>
      <c r="H2667" s="55" t="str">
        <f>IF(B2667="","",IF(G2667&gt;0,"OUTSTANDING",IF(G2667=0,"SETTLED",IF(SUMIF(Transactions!$F$8:$F$3006,B2667,Transactions!$Q$8:$Q$3006)&gt;SUMIF(Transactions!$F$8:$F$3006,B2667,Transactions!$R$8:$R$3006),"OWES","OVERPAID"))))</f>
        <v/>
      </c>
      <c r="I2667" s="1"/>
    </row>
    <row r="2668" spans="1:9" ht="18" customHeight="1" x14ac:dyDescent="0.25">
      <c r="A2668" s="40">
        <v>2653</v>
      </c>
      <c r="B2668" s="41" t="str">
        <f t="array" ref="B2668">IFERROR(IF(INDEX(Transactions!$F$8:$F$3006,MATCH(0,COUNTIF($B$11:B2667,Transactions!$F$8:$F$3006),0))="","",INDEX(Transactions!$F$8:$F$3006,MATCH(0,COUNTIF($B$11:B2667,Transactions!$F$8:$F$3006),0))),"")</f>
        <v/>
      </c>
      <c r="C2668" s="42" t="str">
        <f>IF(B2668="","",SUMIF(Transactions!$F$8:$F$3006,B2668,Transactions!$H$8:$H$3006))</f>
        <v/>
      </c>
      <c r="D2668" s="43" t="str">
        <f>IF(B2668="","",SUMIF(Transactions!$F$8:$F$3006,B2668,Transactions!$N$8:$N$3006))</f>
        <v/>
      </c>
      <c r="E2668" s="44" t="str">
        <f>IF(B2668="","",SUMIF(Transactions!$F$8:$F$3006,B2668,Transactions!$O$8:$O$3006))</f>
        <v/>
      </c>
      <c r="F2668" s="45" t="str">
        <f>IF(B2668="","",SUMIF(Transactions!$F$8:$F$3006,B2668,Transactions!$R$8:$R$3006))</f>
        <v/>
      </c>
      <c r="G2668" s="46" t="str">
        <f>IF(B2668="","",(C2668+F2668)-(D2668+E2668+SUMIF(Transactions!$F$8:$F$3006,B2668,Transactions!$Q$8:$Q$3006)))</f>
        <v/>
      </c>
      <c r="H2668" s="47" t="str">
        <f>IF(B2668="","",IF(G2668&gt;0,"OUTSTANDING",IF(G2668=0,"SETTLED",IF(SUMIF(Transactions!$F$8:$F$3006,B2668,Transactions!$Q$8:$Q$3006)&gt;SUMIF(Transactions!$F$8:$F$3006,B2668,Transactions!$R$8:$R$3006),"OWES","OVERPAID"))))</f>
        <v/>
      </c>
      <c r="I2668" s="1"/>
    </row>
    <row r="2669" spans="1:9" ht="18" customHeight="1" x14ac:dyDescent="0.25">
      <c r="A2669" s="48">
        <v>2654</v>
      </c>
      <c r="B2669" s="49" t="str">
        <f t="array" ref="B2669">IFERROR(IF(INDEX(Transactions!$F$8:$F$3006,MATCH(0,COUNTIF($B$11:B2668,Transactions!$F$8:$F$3006),0))="","",INDEX(Transactions!$F$8:$F$3006,MATCH(0,COUNTIF($B$11:B2668,Transactions!$F$8:$F$3006),0))),"")</f>
        <v/>
      </c>
      <c r="C2669" s="50" t="str">
        <f>IF(B2669="","",SUMIF(Transactions!$F$8:$F$3006,B2669,Transactions!$H$8:$H$3006))</f>
        <v/>
      </c>
      <c r="D2669" s="51" t="str">
        <f>IF(B2669="","",SUMIF(Transactions!$F$8:$F$3006,B2669,Transactions!$N$8:$N$3006))</f>
        <v/>
      </c>
      <c r="E2669" s="52" t="str">
        <f>IF(B2669="","",SUMIF(Transactions!$F$8:$F$3006,B2669,Transactions!$O$8:$O$3006))</f>
        <v/>
      </c>
      <c r="F2669" s="53" t="str">
        <f>IF(B2669="","",SUMIF(Transactions!$F$8:$F$3006,B2669,Transactions!$R$8:$R$3006))</f>
        <v/>
      </c>
      <c r="G2669" s="54" t="str">
        <f>IF(B2669="","",(C2669+F2669)-(D2669+E2669+SUMIF(Transactions!$F$8:$F$3006,B2669,Transactions!$Q$8:$Q$3006)))</f>
        <v/>
      </c>
      <c r="H2669" s="55" t="str">
        <f>IF(B2669="","",IF(G2669&gt;0,"OUTSTANDING",IF(G2669=0,"SETTLED",IF(SUMIF(Transactions!$F$8:$F$3006,B2669,Transactions!$Q$8:$Q$3006)&gt;SUMIF(Transactions!$F$8:$F$3006,B2669,Transactions!$R$8:$R$3006),"OWES","OVERPAID"))))</f>
        <v/>
      </c>
      <c r="I2669" s="1"/>
    </row>
    <row r="2670" spans="1:9" ht="18" customHeight="1" x14ac:dyDescent="0.25">
      <c r="A2670" s="40">
        <v>2655</v>
      </c>
      <c r="B2670" s="41" t="str">
        <f t="array" ref="B2670">IFERROR(IF(INDEX(Transactions!$F$8:$F$3006,MATCH(0,COUNTIF($B$11:B2669,Transactions!$F$8:$F$3006),0))="","",INDEX(Transactions!$F$8:$F$3006,MATCH(0,COUNTIF($B$11:B2669,Transactions!$F$8:$F$3006),0))),"")</f>
        <v/>
      </c>
      <c r="C2670" s="42" t="str">
        <f>IF(B2670="","",SUMIF(Transactions!$F$8:$F$3006,B2670,Transactions!$H$8:$H$3006))</f>
        <v/>
      </c>
      <c r="D2670" s="43" t="str">
        <f>IF(B2670="","",SUMIF(Transactions!$F$8:$F$3006,B2670,Transactions!$N$8:$N$3006))</f>
        <v/>
      </c>
      <c r="E2670" s="44" t="str">
        <f>IF(B2670="","",SUMIF(Transactions!$F$8:$F$3006,B2670,Transactions!$O$8:$O$3006))</f>
        <v/>
      </c>
      <c r="F2670" s="45" t="str">
        <f>IF(B2670="","",SUMIF(Transactions!$F$8:$F$3006,B2670,Transactions!$R$8:$R$3006))</f>
        <v/>
      </c>
      <c r="G2670" s="46" t="str">
        <f>IF(B2670="","",(C2670+F2670)-(D2670+E2670+SUMIF(Transactions!$F$8:$F$3006,B2670,Transactions!$Q$8:$Q$3006)))</f>
        <v/>
      </c>
      <c r="H2670" s="47" t="str">
        <f>IF(B2670="","",IF(G2670&gt;0,"OUTSTANDING",IF(G2670=0,"SETTLED",IF(SUMIF(Transactions!$F$8:$F$3006,B2670,Transactions!$Q$8:$Q$3006)&gt;SUMIF(Transactions!$F$8:$F$3006,B2670,Transactions!$R$8:$R$3006),"OWES","OVERPAID"))))</f>
        <v/>
      </c>
      <c r="I2670" s="1"/>
    </row>
    <row r="2671" spans="1:9" ht="18" customHeight="1" x14ac:dyDescent="0.25">
      <c r="A2671" s="48">
        <v>2656</v>
      </c>
      <c r="B2671" s="49" t="str">
        <f t="array" ref="B2671">IFERROR(IF(INDEX(Transactions!$F$8:$F$3006,MATCH(0,COUNTIF($B$11:B2670,Transactions!$F$8:$F$3006),0))="","",INDEX(Transactions!$F$8:$F$3006,MATCH(0,COUNTIF($B$11:B2670,Transactions!$F$8:$F$3006),0))),"")</f>
        <v/>
      </c>
      <c r="C2671" s="50" t="str">
        <f>IF(B2671="","",SUMIF(Transactions!$F$8:$F$3006,B2671,Transactions!$H$8:$H$3006))</f>
        <v/>
      </c>
      <c r="D2671" s="51" t="str">
        <f>IF(B2671="","",SUMIF(Transactions!$F$8:$F$3006,B2671,Transactions!$N$8:$N$3006))</f>
        <v/>
      </c>
      <c r="E2671" s="52" t="str">
        <f>IF(B2671="","",SUMIF(Transactions!$F$8:$F$3006,B2671,Transactions!$O$8:$O$3006))</f>
        <v/>
      </c>
      <c r="F2671" s="53" t="str">
        <f>IF(B2671="","",SUMIF(Transactions!$F$8:$F$3006,B2671,Transactions!$R$8:$R$3006))</f>
        <v/>
      </c>
      <c r="G2671" s="54" t="str">
        <f>IF(B2671="","",(C2671+F2671)-(D2671+E2671+SUMIF(Transactions!$F$8:$F$3006,B2671,Transactions!$Q$8:$Q$3006)))</f>
        <v/>
      </c>
      <c r="H2671" s="55" t="str">
        <f>IF(B2671="","",IF(G2671&gt;0,"OUTSTANDING",IF(G2671=0,"SETTLED",IF(SUMIF(Transactions!$F$8:$F$3006,B2671,Transactions!$Q$8:$Q$3006)&gt;SUMIF(Transactions!$F$8:$F$3006,B2671,Transactions!$R$8:$R$3006),"OWES","OVERPAID"))))</f>
        <v/>
      </c>
      <c r="I2671" s="1"/>
    </row>
    <row r="2672" spans="1:9" ht="18" customHeight="1" x14ac:dyDescent="0.25">
      <c r="A2672" s="40">
        <v>2657</v>
      </c>
      <c r="B2672" s="41" t="str">
        <f t="array" ref="B2672">IFERROR(IF(INDEX(Transactions!$F$8:$F$3006,MATCH(0,COUNTIF($B$11:B2671,Transactions!$F$8:$F$3006),0))="","",INDEX(Transactions!$F$8:$F$3006,MATCH(0,COUNTIF($B$11:B2671,Transactions!$F$8:$F$3006),0))),"")</f>
        <v/>
      </c>
      <c r="C2672" s="42" t="str">
        <f>IF(B2672="","",SUMIF(Transactions!$F$8:$F$3006,B2672,Transactions!$H$8:$H$3006))</f>
        <v/>
      </c>
      <c r="D2672" s="43" t="str">
        <f>IF(B2672="","",SUMIF(Transactions!$F$8:$F$3006,B2672,Transactions!$N$8:$N$3006))</f>
        <v/>
      </c>
      <c r="E2672" s="44" t="str">
        <f>IF(B2672="","",SUMIF(Transactions!$F$8:$F$3006,B2672,Transactions!$O$8:$O$3006))</f>
        <v/>
      </c>
      <c r="F2672" s="45" t="str">
        <f>IF(B2672="","",SUMIF(Transactions!$F$8:$F$3006,B2672,Transactions!$R$8:$R$3006))</f>
        <v/>
      </c>
      <c r="G2672" s="46" t="str">
        <f>IF(B2672="","",(C2672+F2672)-(D2672+E2672+SUMIF(Transactions!$F$8:$F$3006,B2672,Transactions!$Q$8:$Q$3006)))</f>
        <v/>
      </c>
      <c r="H2672" s="47" t="str">
        <f>IF(B2672="","",IF(G2672&gt;0,"OUTSTANDING",IF(G2672=0,"SETTLED",IF(SUMIF(Transactions!$F$8:$F$3006,B2672,Transactions!$Q$8:$Q$3006)&gt;SUMIF(Transactions!$F$8:$F$3006,B2672,Transactions!$R$8:$R$3006),"OWES","OVERPAID"))))</f>
        <v/>
      </c>
      <c r="I2672" s="1"/>
    </row>
    <row r="2673" spans="1:9" ht="18" customHeight="1" x14ac:dyDescent="0.25">
      <c r="A2673" s="48">
        <v>2658</v>
      </c>
      <c r="B2673" s="49" t="str">
        <f t="array" ref="B2673">IFERROR(IF(INDEX(Transactions!$F$8:$F$3006,MATCH(0,COUNTIF($B$11:B2672,Transactions!$F$8:$F$3006),0))="","",INDEX(Transactions!$F$8:$F$3006,MATCH(0,COUNTIF($B$11:B2672,Transactions!$F$8:$F$3006),0))),"")</f>
        <v/>
      </c>
      <c r="C2673" s="50" t="str">
        <f>IF(B2673="","",SUMIF(Transactions!$F$8:$F$3006,B2673,Transactions!$H$8:$H$3006))</f>
        <v/>
      </c>
      <c r="D2673" s="51" t="str">
        <f>IF(B2673="","",SUMIF(Transactions!$F$8:$F$3006,B2673,Transactions!$N$8:$N$3006))</f>
        <v/>
      </c>
      <c r="E2673" s="52" t="str">
        <f>IF(B2673="","",SUMIF(Transactions!$F$8:$F$3006,B2673,Transactions!$O$8:$O$3006))</f>
        <v/>
      </c>
      <c r="F2673" s="53" t="str">
        <f>IF(B2673="","",SUMIF(Transactions!$F$8:$F$3006,B2673,Transactions!$R$8:$R$3006))</f>
        <v/>
      </c>
      <c r="G2673" s="54" t="str">
        <f>IF(B2673="","",(C2673+F2673)-(D2673+E2673+SUMIF(Transactions!$F$8:$F$3006,B2673,Transactions!$Q$8:$Q$3006)))</f>
        <v/>
      </c>
      <c r="H2673" s="55" t="str">
        <f>IF(B2673="","",IF(G2673&gt;0,"OUTSTANDING",IF(G2673=0,"SETTLED",IF(SUMIF(Transactions!$F$8:$F$3006,B2673,Transactions!$Q$8:$Q$3006)&gt;SUMIF(Transactions!$F$8:$F$3006,B2673,Transactions!$R$8:$R$3006),"OWES","OVERPAID"))))</f>
        <v/>
      </c>
      <c r="I2673" s="1"/>
    </row>
    <row r="2674" spans="1:9" ht="18" customHeight="1" x14ac:dyDescent="0.25">
      <c r="A2674" s="40">
        <v>2659</v>
      </c>
      <c r="B2674" s="41" t="str">
        <f t="array" ref="B2674">IFERROR(IF(INDEX(Transactions!$F$8:$F$3006,MATCH(0,COUNTIF($B$11:B2673,Transactions!$F$8:$F$3006),0))="","",INDEX(Transactions!$F$8:$F$3006,MATCH(0,COUNTIF($B$11:B2673,Transactions!$F$8:$F$3006),0))),"")</f>
        <v/>
      </c>
      <c r="C2674" s="42" t="str">
        <f>IF(B2674="","",SUMIF(Transactions!$F$8:$F$3006,B2674,Transactions!$H$8:$H$3006))</f>
        <v/>
      </c>
      <c r="D2674" s="43" t="str">
        <f>IF(B2674="","",SUMIF(Transactions!$F$8:$F$3006,B2674,Transactions!$N$8:$N$3006))</f>
        <v/>
      </c>
      <c r="E2674" s="44" t="str">
        <f>IF(B2674="","",SUMIF(Transactions!$F$8:$F$3006,B2674,Transactions!$O$8:$O$3006))</f>
        <v/>
      </c>
      <c r="F2674" s="45" t="str">
        <f>IF(B2674="","",SUMIF(Transactions!$F$8:$F$3006,B2674,Transactions!$R$8:$R$3006))</f>
        <v/>
      </c>
      <c r="G2674" s="46" t="str">
        <f>IF(B2674="","",(C2674+F2674)-(D2674+E2674+SUMIF(Transactions!$F$8:$F$3006,B2674,Transactions!$Q$8:$Q$3006)))</f>
        <v/>
      </c>
      <c r="H2674" s="47" t="str">
        <f>IF(B2674="","",IF(G2674&gt;0,"OUTSTANDING",IF(G2674=0,"SETTLED",IF(SUMIF(Transactions!$F$8:$F$3006,B2674,Transactions!$Q$8:$Q$3006)&gt;SUMIF(Transactions!$F$8:$F$3006,B2674,Transactions!$R$8:$R$3006),"OWES","OVERPAID"))))</f>
        <v/>
      </c>
      <c r="I2674" s="1"/>
    </row>
    <row r="2675" spans="1:9" ht="18" customHeight="1" x14ac:dyDescent="0.25">
      <c r="A2675" s="48">
        <v>2660</v>
      </c>
      <c r="B2675" s="49" t="str">
        <f t="array" ref="B2675">IFERROR(IF(INDEX(Transactions!$F$8:$F$3006,MATCH(0,COUNTIF($B$11:B2674,Transactions!$F$8:$F$3006),0))="","",INDEX(Transactions!$F$8:$F$3006,MATCH(0,COUNTIF($B$11:B2674,Transactions!$F$8:$F$3006),0))),"")</f>
        <v/>
      </c>
      <c r="C2675" s="50" t="str">
        <f>IF(B2675="","",SUMIF(Transactions!$F$8:$F$3006,B2675,Transactions!$H$8:$H$3006))</f>
        <v/>
      </c>
      <c r="D2675" s="51" t="str">
        <f>IF(B2675="","",SUMIF(Transactions!$F$8:$F$3006,B2675,Transactions!$N$8:$N$3006))</f>
        <v/>
      </c>
      <c r="E2675" s="52" t="str">
        <f>IF(B2675="","",SUMIF(Transactions!$F$8:$F$3006,B2675,Transactions!$O$8:$O$3006))</f>
        <v/>
      </c>
      <c r="F2675" s="53" t="str">
        <f>IF(B2675="","",SUMIF(Transactions!$F$8:$F$3006,B2675,Transactions!$R$8:$R$3006))</f>
        <v/>
      </c>
      <c r="G2675" s="54" t="str">
        <f>IF(B2675="","",(C2675+F2675)-(D2675+E2675+SUMIF(Transactions!$F$8:$F$3006,B2675,Transactions!$Q$8:$Q$3006)))</f>
        <v/>
      </c>
      <c r="H2675" s="55" t="str">
        <f>IF(B2675="","",IF(G2675&gt;0,"OUTSTANDING",IF(G2675=0,"SETTLED",IF(SUMIF(Transactions!$F$8:$F$3006,B2675,Transactions!$Q$8:$Q$3006)&gt;SUMIF(Transactions!$F$8:$F$3006,B2675,Transactions!$R$8:$R$3006),"OWES","OVERPAID"))))</f>
        <v/>
      </c>
      <c r="I2675" s="1"/>
    </row>
    <row r="2676" spans="1:9" ht="18" customHeight="1" x14ac:dyDescent="0.25">
      <c r="A2676" s="40">
        <v>2661</v>
      </c>
      <c r="B2676" s="41" t="str">
        <f t="array" ref="B2676">IFERROR(IF(INDEX(Transactions!$F$8:$F$3006,MATCH(0,COUNTIF($B$11:B2675,Transactions!$F$8:$F$3006),0))="","",INDEX(Transactions!$F$8:$F$3006,MATCH(0,COUNTIF($B$11:B2675,Transactions!$F$8:$F$3006),0))),"")</f>
        <v/>
      </c>
      <c r="C2676" s="42" t="str">
        <f>IF(B2676="","",SUMIF(Transactions!$F$8:$F$3006,B2676,Transactions!$H$8:$H$3006))</f>
        <v/>
      </c>
      <c r="D2676" s="43" t="str">
        <f>IF(B2676="","",SUMIF(Transactions!$F$8:$F$3006,B2676,Transactions!$N$8:$N$3006))</f>
        <v/>
      </c>
      <c r="E2676" s="44" t="str">
        <f>IF(B2676="","",SUMIF(Transactions!$F$8:$F$3006,B2676,Transactions!$O$8:$O$3006))</f>
        <v/>
      </c>
      <c r="F2676" s="45" t="str">
        <f>IF(B2676="","",SUMIF(Transactions!$F$8:$F$3006,B2676,Transactions!$R$8:$R$3006))</f>
        <v/>
      </c>
      <c r="G2676" s="46" t="str">
        <f>IF(B2676="","",(C2676+F2676)-(D2676+E2676+SUMIF(Transactions!$F$8:$F$3006,B2676,Transactions!$Q$8:$Q$3006)))</f>
        <v/>
      </c>
      <c r="H2676" s="47" t="str">
        <f>IF(B2676="","",IF(G2676&gt;0,"OUTSTANDING",IF(G2676=0,"SETTLED",IF(SUMIF(Transactions!$F$8:$F$3006,B2676,Transactions!$Q$8:$Q$3006)&gt;SUMIF(Transactions!$F$8:$F$3006,B2676,Transactions!$R$8:$R$3006),"OWES","OVERPAID"))))</f>
        <v/>
      </c>
      <c r="I2676" s="1"/>
    </row>
    <row r="2677" spans="1:9" ht="18" customHeight="1" x14ac:dyDescent="0.25">
      <c r="A2677" s="48">
        <v>2662</v>
      </c>
      <c r="B2677" s="49" t="str">
        <f t="array" ref="B2677">IFERROR(IF(INDEX(Transactions!$F$8:$F$3006,MATCH(0,COUNTIF($B$11:B2676,Transactions!$F$8:$F$3006),0))="","",INDEX(Transactions!$F$8:$F$3006,MATCH(0,COUNTIF($B$11:B2676,Transactions!$F$8:$F$3006),0))),"")</f>
        <v/>
      </c>
      <c r="C2677" s="50" t="str">
        <f>IF(B2677="","",SUMIF(Transactions!$F$8:$F$3006,B2677,Transactions!$H$8:$H$3006))</f>
        <v/>
      </c>
      <c r="D2677" s="51" t="str">
        <f>IF(B2677="","",SUMIF(Transactions!$F$8:$F$3006,B2677,Transactions!$N$8:$N$3006))</f>
        <v/>
      </c>
      <c r="E2677" s="52" t="str">
        <f>IF(B2677="","",SUMIF(Transactions!$F$8:$F$3006,B2677,Transactions!$O$8:$O$3006))</f>
        <v/>
      </c>
      <c r="F2677" s="53" t="str">
        <f>IF(B2677="","",SUMIF(Transactions!$F$8:$F$3006,B2677,Transactions!$R$8:$R$3006))</f>
        <v/>
      </c>
      <c r="G2677" s="54" t="str">
        <f>IF(B2677="","",(C2677+F2677)-(D2677+E2677+SUMIF(Transactions!$F$8:$F$3006,B2677,Transactions!$Q$8:$Q$3006)))</f>
        <v/>
      </c>
      <c r="H2677" s="55" t="str">
        <f>IF(B2677="","",IF(G2677&gt;0,"OUTSTANDING",IF(G2677=0,"SETTLED",IF(SUMIF(Transactions!$F$8:$F$3006,B2677,Transactions!$Q$8:$Q$3006)&gt;SUMIF(Transactions!$F$8:$F$3006,B2677,Transactions!$R$8:$R$3006),"OWES","OVERPAID"))))</f>
        <v/>
      </c>
      <c r="I2677" s="1"/>
    </row>
    <row r="2678" spans="1:9" ht="18" customHeight="1" x14ac:dyDescent="0.25">
      <c r="A2678" s="40">
        <v>2663</v>
      </c>
      <c r="B2678" s="41" t="str">
        <f t="array" ref="B2678">IFERROR(IF(INDEX(Transactions!$F$8:$F$3006,MATCH(0,COUNTIF($B$11:B2677,Transactions!$F$8:$F$3006),0))="","",INDEX(Transactions!$F$8:$F$3006,MATCH(0,COUNTIF($B$11:B2677,Transactions!$F$8:$F$3006),0))),"")</f>
        <v/>
      </c>
      <c r="C2678" s="42" t="str">
        <f>IF(B2678="","",SUMIF(Transactions!$F$8:$F$3006,B2678,Transactions!$H$8:$H$3006))</f>
        <v/>
      </c>
      <c r="D2678" s="43" t="str">
        <f>IF(B2678="","",SUMIF(Transactions!$F$8:$F$3006,B2678,Transactions!$N$8:$N$3006))</f>
        <v/>
      </c>
      <c r="E2678" s="44" t="str">
        <f>IF(B2678="","",SUMIF(Transactions!$F$8:$F$3006,B2678,Transactions!$O$8:$O$3006))</f>
        <v/>
      </c>
      <c r="F2678" s="45" t="str">
        <f>IF(B2678="","",SUMIF(Transactions!$F$8:$F$3006,B2678,Transactions!$R$8:$R$3006))</f>
        <v/>
      </c>
      <c r="G2678" s="46" t="str">
        <f>IF(B2678="","",(C2678+F2678)-(D2678+E2678+SUMIF(Transactions!$F$8:$F$3006,B2678,Transactions!$Q$8:$Q$3006)))</f>
        <v/>
      </c>
      <c r="H2678" s="47" t="str">
        <f>IF(B2678="","",IF(G2678&gt;0,"OUTSTANDING",IF(G2678=0,"SETTLED",IF(SUMIF(Transactions!$F$8:$F$3006,B2678,Transactions!$Q$8:$Q$3006)&gt;SUMIF(Transactions!$F$8:$F$3006,B2678,Transactions!$R$8:$R$3006),"OWES","OVERPAID"))))</f>
        <v/>
      </c>
      <c r="I2678" s="1"/>
    </row>
    <row r="2679" spans="1:9" ht="18" customHeight="1" x14ac:dyDescent="0.25">
      <c r="A2679" s="48">
        <v>2664</v>
      </c>
      <c r="B2679" s="49" t="str">
        <f t="array" ref="B2679">IFERROR(IF(INDEX(Transactions!$F$8:$F$3006,MATCH(0,COUNTIF($B$11:B2678,Transactions!$F$8:$F$3006),0))="","",INDEX(Transactions!$F$8:$F$3006,MATCH(0,COUNTIF($B$11:B2678,Transactions!$F$8:$F$3006),0))),"")</f>
        <v/>
      </c>
      <c r="C2679" s="50" t="str">
        <f>IF(B2679="","",SUMIF(Transactions!$F$8:$F$3006,B2679,Transactions!$H$8:$H$3006))</f>
        <v/>
      </c>
      <c r="D2679" s="51" t="str">
        <f>IF(B2679="","",SUMIF(Transactions!$F$8:$F$3006,B2679,Transactions!$N$8:$N$3006))</f>
        <v/>
      </c>
      <c r="E2679" s="52" t="str">
        <f>IF(B2679="","",SUMIF(Transactions!$F$8:$F$3006,B2679,Transactions!$O$8:$O$3006))</f>
        <v/>
      </c>
      <c r="F2679" s="53" t="str">
        <f>IF(B2679="","",SUMIF(Transactions!$F$8:$F$3006,B2679,Transactions!$R$8:$R$3006))</f>
        <v/>
      </c>
      <c r="G2679" s="54" t="str">
        <f>IF(B2679="","",(C2679+F2679)-(D2679+E2679+SUMIF(Transactions!$F$8:$F$3006,B2679,Transactions!$Q$8:$Q$3006)))</f>
        <v/>
      </c>
      <c r="H2679" s="55" t="str">
        <f>IF(B2679="","",IF(G2679&gt;0,"OUTSTANDING",IF(G2679=0,"SETTLED",IF(SUMIF(Transactions!$F$8:$F$3006,B2679,Transactions!$Q$8:$Q$3006)&gt;SUMIF(Transactions!$F$8:$F$3006,B2679,Transactions!$R$8:$R$3006),"OWES","OVERPAID"))))</f>
        <v/>
      </c>
      <c r="I2679" s="1"/>
    </row>
    <row r="2680" spans="1:9" ht="18" customHeight="1" x14ac:dyDescent="0.25">
      <c r="A2680" s="40">
        <v>2665</v>
      </c>
      <c r="B2680" s="41" t="str">
        <f t="array" ref="B2680">IFERROR(IF(INDEX(Transactions!$F$8:$F$3006,MATCH(0,COUNTIF($B$11:B2679,Transactions!$F$8:$F$3006),0))="","",INDEX(Transactions!$F$8:$F$3006,MATCH(0,COUNTIF($B$11:B2679,Transactions!$F$8:$F$3006),0))),"")</f>
        <v/>
      </c>
      <c r="C2680" s="42" t="str">
        <f>IF(B2680="","",SUMIF(Transactions!$F$8:$F$3006,B2680,Transactions!$H$8:$H$3006))</f>
        <v/>
      </c>
      <c r="D2680" s="43" t="str">
        <f>IF(B2680="","",SUMIF(Transactions!$F$8:$F$3006,B2680,Transactions!$N$8:$N$3006))</f>
        <v/>
      </c>
      <c r="E2680" s="44" t="str">
        <f>IF(B2680="","",SUMIF(Transactions!$F$8:$F$3006,B2680,Transactions!$O$8:$O$3006))</f>
        <v/>
      </c>
      <c r="F2680" s="45" t="str">
        <f>IF(B2680="","",SUMIF(Transactions!$F$8:$F$3006,B2680,Transactions!$R$8:$R$3006))</f>
        <v/>
      </c>
      <c r="G2680" s="46" t="str">
        <f>IF(B2680="","",(C2680+F2680)-(D2680+E2680+SUMIF(Transactions!$F$8:$F$3006,B2680,Transactions!$Q$8:$Q$3006)))</f>
        <v/>
      </c>
      <c r="H2680" s="47" t="str">
        <f>IF(B2680="","",IF(G2680&gt;0,"OUTSTANDING",IF(G2680=0,"SETTLED",IF(SUMIF(Transactions!$F$8:$F$3006,B2680,Transactions!$Q$8:$Q$3006)&gt;SUMIF(Transactions!$F$8:$F$3006,B2680,Transactions!$R$8:$R$3006),"OWES","OVERPAID"))))</f>
        <v/>
      </c>
      <c r="I2680" s="1"/>
    </row>
    <row r="2681" spans="1:9" ht="18" customHeight="1" x14ac:dyDescent="0.25">
      <c r="A2681" s="48">
        <v>2666</v>
      </c>
      <c r="B2681" s="49" t="str">
        <f t="array" ref="B2681">IFERROR(IF(INDEX(Transactions!$F$8:$F$3006,MATCH(0,COUNTIF($B$11:B2680,Transactions!$F$8:$F$3006),0))="","",INDEX(Transactions!$F$8:$F$3006,MATCH(0,COUNTIF($B$11:B2680,Transactions!$F$8:$F$3006),0))),"")</f>
        <v/>
      </c>
      <c r="C2681" s="50" t="str">
        <f>IF(B2681="","",SUMIF(Transactions!$F$8:$F$3006,B2681,Transactions!$H$8:$H$3006))</f>
        <v/>
      </c>
      <c r="D2681" s="51" t="str">
        <f>IF(B2681="","",SUMIF(Transactions!$F$8:$F$3006,B2681,Transactions!$N$8:$N$3006))</f>
        <v/>
      </c>
      <c r="E2681" s="52" t="str">
        <f>IF(B2681="","",SUMIF(Transactions!$F$8:$F$3006,B2681,Transactions!$O$8:$O$3006))</f>
        <v/>
      </c>
      <c r="F2681" s="53" t="str">
        <f>IF(B2681="","",SUMIF(Transactions!$F$8:$F$3006,B2681,Transactions!$R$8:$R$3006))</f>
        <v/>
      </c>
      <c r="G2681" s="54" t="str">
        <f>IF(B2681="","",(C2681+F2681)-(D2681+E2681+SUMIF(Transactions!$F$8:$F$3006,B2681,Transactions!$Q$8:$Q$3006)))</f>
        <v/>
      </c>
      <c r="H2681" s="55" t="str">
        <f>IF(B2681="","",IF(G2681&gt;0,"OUTSTANDING",IF(G2681=0,"SETTLED",IF(SUMIF(Transactions!$F$8:$F$3006,B2681,Transactions!$Q$8:$Q$3006)&gt;SUMIF(Transactions!$F$8:$F$3006,B2681,Transactions!$R$8:$R$3006),"OWES","OVERPAID"))))</f>
        <v/>
      </c>
      <c r="I2681" s="1"/>
    </row>
    <row r="2682" spans="1:9" ht="18" customHeight="1" x14ac:dyDescent="0.25">
      <c r="A2682" s="40">
        <v>2667</v>
      </c>
      <c r="B2682" s="41" t="str">
        <f t="array" ref="B2682">IFERROR(IF(INDEX(Transactions!$F$8:$F$3006,MATCH(0,COUNTIF($B$11:B2681,Transactions!$F$8:$F$3006),0))="","",INDEX(Transactions!$F$8:$F$3006,MATCH(0,COUNTIF($B$11:B2681,Transactions!$F$8:$F$3006),0))),"")</f>
        <v/>
      </c>
      <c r="C2682" s="42" t="str">
        <f>IF(B2682="","",SUMIF(Transactions!$F$8:$F$3006,B2682,Transactions!$H$8:$H$3006))</f>
        <v/>
      </c>
      <c r="D2682" s="43" t="str">
        <f>IF(B2682="","",SUMIF(Transactions!$F$8:$F$3006,B2682,Transactions!$N$8:$N$3006))</f>
        <v/>
      </c>
      <c r="E2682" s="44" t="str">
        <f>IF(B2682="","",SUMIF(Transactions!$F$8:$F$3006,B2682,Transactions!$O$8:$O$3006))</f>
        <v/>
      </c>
      <c r="F2682" s="45" t="str">
        <f>IF(B2682="","",SUMIF(Transactions!$F$8:$F$3006,B2682,Transactions!$R$8:$R$3006))</f>
        <v/>
      </c>
      <c r="G2682" s="46" t="str">
        <f>IF(B2682="","",(C2682+F2682)-(D2682+E2682+SUMIF(Transactions!$F$8:$F$3006,B2682,Transactions!$Q$8:$Q$3006)))</f>
        <v/>
      </c>
      <c r="H2682" s="47" t="str">
        <f>IF(B2682="","",IF(G2682&gt;0,"OUTSTANDING",IF(G2682=0,"SETTLED",IF(SUMIF(Transactions!$F$8:$F$3006,B2682,Transactions!$Q$8:$Q$3006)&gt;SUMIF(Transactions!$F$8:$F$3006,B2682,Transactions!$R$8:$R$3006),"OWES","OVERPAID"))))</f>
        <v/>
      </c>
      <c r="I2682" s="1"/>
    </row>
    <row r="2683" spans="1:9" ht="18" customHeight="1" x14ac:dyDescent="0.25">
      <c r="A2683" s="48">
        <v>2668</v>
      </c>
      <c r="B2683" s="49" t="str">
        <f t="array" ref="B2683">IFERROR(IF(INDEX(Transactions!$F$8:$F$3006,MATCH(0,COUNTIF($B$11:B2682,Transactions!$F$8:$F$3006),0))="","",INDEX(Transactions!$F$8:$F$3006,MATCH(0,COUNTIF($B$11:B2682,Transactions!$F$8:$F$3006),0))),"")</f>
        <v/>
      </c>
      <c r="C2683" s="50" t="str">
        <f>IF(B2683="","",SUMIF(Transactions!$F$8:$F$3006,B2683,Transactions!$H$8:$H$3006))</f>
        <v/>
      </c>
      <c r="D2683" s="51" t="str">
        <f>IF(B2683="","",SUMIF(Transactions!$F$8:$F$3006,B2683,Transactions!$N$8:$N$3006))</f>
        <v/>
      </c>
      <c r="E2683" s="52" t="str">
        <f>IF(B2683="","",SUMIF(Transactions!$F$8:$F$3006,B2683,Transactions!$O$8:$O$3006))</f>
        <v/>
      </c>
      <c r="F2683" s="53" t="str">
        <f>IF(B2683="","",SUMIF(Transactions!$F$8:$F$3006,B2683,Transactions!$R$8:$R$3006))</f>
        <v/>
      </c>
      <c r="G2683" s="54" t="str">
        <f>IF(B2683="","",(C2683+F2683)-(D2683+E2683+SUMIF(Transactions!$F$8:$F$3006,B2683,Transactions!$Q$8:$Q$3006)))</f>
        <v/>
      </c>
      <c r="H2683" s="55" t="str">
        <f>IF(B2683="","",IF(G2683&gt;0,"OUTSTANDING",IF(G2683=0,"SETTLED",IF(SUMIF(Transactions!$F$8:$F$3006,B2683,Transactions!$Q$8:$Q$3006)&gt;SUMIF(Transactions!$F$8:$F$3006,B2683,Transactions!$R$8:$R$3006),"OWES","OVERPAID"))))</f>
        <v/>
      </c>
      <c r="I2683" s="1"/>
    </row>
    <row r="2684" spans="1:9" ht="18" customHeight="1" x14ac:dyDescent="0.25">
      <c r="A2684" s="40">
        <v>2669</v>
      </c>
      <c r="B2684" s="41" t="str">
        <f t="array" ref="B2684">IFERROR(IF(INDEX(Transactions!$F$8:$F$3006,MATCH(0,COUNTIF($B$11:B2683,Transactions!$F$8:$F$3006),0))="","",INDEX(Transactions!$F$8:$F$3006,MATCH(0,COUNTIF($B$11:B2683,Transactions!$F$8:$F$3006),0))),"")</f>
        <v/>
      </c>
      <c r="C2684" s="42" t="str">
        <f>IF(B2684="","",SUMIF(Transactions!$F$8:$F$3006,B2684,Transactions!$H$8:$H$3006))</f>
        <v/>
      </c>
      <c r="D2684" s="43" t="str">
        <f>IF(B2684="","",SUMIF(Transactions!$F$8:$F$3006,B2684,Transactions!$N$8:$N$3006))</f>
        <v/>
      </c>
      <c r="E2684" s="44" t="str">
        <f>IF(B2684="","",SUMIF(Transactions!$F$8:$F$3006,B2684,Transactions!$O$8:$O$3006))</f>
        <v/>
      </c>
      <c r="F2684" s="45" t="str">
        <f>IF(B2684="","",SUMIF(Transactions!$F$8:$F$3006,B2684,Transactions!$R$8:$R$3006))</f>
        <v/>
      </c>
      <c r="G2684" s="46" t="str">
        <f>IF(B2684="","",(C2684+F2684)-(D2684+E2684+SUMIF(Transactions!$F$8:$F$3006,B2684,Transactions!$Q$8:$Q$3006)))</f>
        <v/>
      </c>
      <c r="H2684" s="47" t="str">
        <f>IF(B2684="","",IF(G2684&gt;0,"OUTSTANDING",IF(G2684=0,"SETTLED",IF(SUMIF(Transactions!$F$8:$F$3006,B2684,Transactions!$Q$8:$Q$3006)&gt;SUMIF(Transactions!$F$8:$F$3006,B2684,Transactions!$R$8:$R$3006),"OWES","OVERPAID"))))</f>
        <v/>
      </c>
      <c r="I2684" s="1"/>
    </row>
    <row r="2685" spans="1:9" ht="18" customHeight="1" x14ac:dyDescent="0.25">
      <c r="A2685" s="48">
        <v>2670</v>
      </c>
      <c r="B2685" s="49" t="str">
        <f t="array" ref="B2685">IFERROR(IF(INDEX(Transactions!$F$8:$F$3006,MATCH(0,COUNTIF($B$11:B2684,Transactions!$F$8:$F$3006),0))="","",INDEX(Transactions!$F$8:$F$3006,MATCH(0,COUNTIF($B$11:B2684,Transactions!$F$8:$F$3006),0))),"")</f>
        <v/>
      </c>
      <c r="C2685" s="50" t="str">
        <f>IF(B2685="","",SUMIF(Transactions!$F$8:$F$3006,B2685,Transactions!$H$8:$H$3006))</f>
        <v/>
      </c>
      <c r="D2685" s="51" t="str">
        <f>IF(B2685="","",SUMIF(Transactions!$F$8:$F$3006,B2685,Transactions!$N$8:$N$3006))</f>
        <v/>
      </c>
      <c r="E2685" s="52" t="str">
        <f>IF(B2685="","",SUMIF(Transactions!$F$8:$F$3006,B2685,Transactions!$O$8:$O$3006))</f>
        <v/>
      </c>
      <c r="F2685" s="53" t="str">
        <f>IF(B2685="","",SUMIF(Transactions!$F$8:$F$3006,B2685,Transactions!$R$8:$R$3006))</f>
        <v/>
      </c>
      <c r="G2685" s="54" t="str">
        <f>IF(B2685="","",(C2685+F2685)-(D2685+E2685+SUMIF(Transactions!$F$8:$F$3006,B2685,Transactions!$Q$8:$Q$3006)))</f>
        <v/>
      </c>
      <c r="H2685" s="55" t="str">
        <f>IF(B2685="","",IF(G2685&gt;0,"OUTSTANDING",IF(G2685=0,"SETTLED",IF(SUMIF(Transactions!$F$8:$F$3006,B2685,Transactions!$Q$8:$Q$3006)&gt;SUMIF(Transactions!$F$8:$F$3006,B2685,Transactions!$R$8:$R$3006),"OWES","OVERPAID"))))</f>
        <v/>
      </c>
      <c r="I2685" s="1"/>
    </row>
    <row r="2686" spans="1:9" ht="18" customHeight="1" x14ac:dyDescent="0.25">
      <c r="A2686" s="40">
        <v>2671</v>
      </c>
      <c r="B2686" s="41" t="str">
        <f t="array" ref="B2686">IFERROR(IF(INDEX(Transactions!$F$8:$F$3006,MATCH(0,COUNTIF($B$11:B2685,Transactions!$F$8:$F$3006),0))="","",INDEX(Transactions!$F$8:$F$3006,MATCH(0,COUNTIF($B$11:B2685,Transactions!$F$8:$F$3006),0))),"")</f>
        <v/>
      </c>
      <c r="C2686" s="42" t="str">
        <f>IF(B2686="","",SUMIF(Transactions!$F$8:$F$3006,B2686,Transactions!$H$8:$H$3006))</f>
        <v/>
      </c>
      <c r="D2686" s="43" t="str">
        <f>IF(B2686="","",SUMIF(Transactions!$F$8:$F$3006,B2686,Transactions!$N$8:$N$3006))</f>
        <v/>
      </c>
      <c r="E2686" s="44" t="str">
        <f>IF(B2686="","",SUMIF(Transactions!$F$8:$F$3006,B2686,Transactions!$O$8:$O$3006))</f>
        <v/>
      </c>
      <c r="F2686" s="45" t="str">
        <f>IF(B2686="","",SUMIF(Transactions!$F$8:$F$3006,B2686,Transactions!$R$8:$R$3006))</f>
        <v/>
      </c>
      <c r="G2686" s="46" t="str">
        <f>IF(B2686="","",(C2686+F2686)-(D2686+E2686+SUMIF(Transactions!$F$8:$F$3006,B2686,Transactions!$Q$8:$Q$3006)))</f>
        <v/>
      </c>
      <c r="H2686" s="47" t="str">
        <f>IF(B2686="","",IF(G2686&gt;0,"OUTSTANDING",IF(G2686=0,"SETTLED",IF(SUMIF(Transactions!$F$8:$F$3006,B2686,Transactions!$Q$8:$Q$3006)&gt;SUMIF(Transactions!$F$8:$F$3006,B2686,Transactions!$R$8:$R$3006),"OWES","OVERPAID"))))</f>
        <v/>
      </c>
      <c r="I2686" s="1"/>
    </row>
    <row r="2687" spans="1:9" ht="18" customHeight="1" x14ac:dyDescent="0.25">
      <c r="A2687" s="48">
        <v>2672</v>
      </c>
      <c r="B2687" s="49" t="str">
        <f t="array" ref="B2687">IFERROR(IF(INDEX(Transactions!$F$8:$F$3006,MATCH(0,COUNTIF($B$11:B2686,Transactions!$F$8:$F$3006),0))="","",INDEX(Transactions!$F$8:$F$3006,MATCH(0,COUNTIF($B$11:B2686,Transactions!$F$8:$F$3006),0))),"")</f>
        <v/>
      </c>
      <c r="C2687" s="50" t="str">
        <f>IF(B2687="","",SUMIF(Transactions!$F$8:$F$3006,B2687,Transactions!$H$8:$H$3006))</f>
        <v/>
      </c>
      <c r="D2687" s="51" t="str">
        <f>IF(B2687="","",SUMIF(Transactions!$F$8:$F$3006,B2687,Transactions!$N$8:$N$3006))</f>
        <v/>
      </c>
      <c r="E2687" s="52" t="str">
        <f>IF(B2687="","",SUMIF(Transactions!$F$8:$F$3006,B2687,Transactions!$O$8:$O$3006))</f>
        <v/>
      </c>
      <c r="F2687" s="53" t="str">
        <f>IF(B2687="","",SUMIF(Transactions!$F$8:$F$3006,B2687,Transactions!$R$8:$R$3006))</f>
        <v/>
      </c>
      <c r="G2687" s="54" t="str">
        <f>IF(B2687="","",(C2687+F2687)-(D2687+E2687+SUMIF(Transactions!$F$8:$F$3006,B2687,Transactions!$Q$8:$Q$3006)))</f>
        <v/>
      </c>
      <c r="H2687" s="55" t="str">
        <f>IF(B2687="","",IF(G2687&gt;0,"OUTSTANDING",IF(G2687=0,"SETTLED",IF(SUMIF(Transactions!$F$8:$F$3006,B2687,Transactions!$Q$8:$Q$3006)&gt;SUMIF(Transactions!$F$8:$F$3006,B2687,Transactions!$R$8:$R$3006),"OWES","OVERPAID"))))</f>
        <v/>
      </c>
      <c r="I2687" s="1"/>
    </row>
    <row r="2688" spans="1:9" ht="18" customHeight="1" x14ac:dyDescent="0.25">
      <c r="A2688" s="40">
        <v>2673</v>
      </c>
      <c r="B2688" s="41" t="str">
        <f t="array" ref="B2688">IFERROR(IF(INDEX(Transactions!$F$8:$F$3006,MATCH(0,COUNTIF($B$11:B2687,Transactions!$F$8:$F$3006),0))="","",INDEX(Transactions!$F$8:$F$3006,MATCH(0,COUNTIF($B$11:B2687,Transactions!$F$8:$F$3006),0))),"")</f>
        <v/>
      </c>
      <c r="C2688" s="42" t="str">
        <f>IF(B2688="","",SUMIF(Transactions!$F$8:$F$3006,B2688,Transactions!$H$8:$H$3006))</f>
        <v/>
      </c>
      <c r="D2688" s="43" t="str">
        <f>IF(B2688="","",SUMIF(Transactions!$F$8:$F$3006,B2688,Transactions!$N$8:$N$3006))</f>
        <v/>
      </c>
      <c r="E2688" s="44" t="str">
        <f>IF(B2688="","",SUMIF(Transactions!$F$8:$F$3006,B2688,Transactions!$O$8:$O$3006))</f>
        <v/>
      </c>
      <c r="F2688" s="45" t="str">
        <f>IF(B2688="","",SUMIF(Transactions!$F$8:$F$3006,B2688,Transactions!$R$8:$R$3006))</f>
        <v/>
      </c>
      <c r="G2688" s="46" t="str">
        <f>IF(B2688="","",(C2688+F2688)-(D2688+E2688+SUMIF(Transactions!$F$8:$F$3006,B2688,Transactions!$Q$8:$Q$3006)))</f>
        <v/>
      </c>
      <c r="H2688" s="47" t="str">
        <f>IF(B2688="","",IF(G2688&gt;0,"OUTSTANDING",IF(G2688=0,"SETTLED",IF(SUMIF(Transactions!$F$8:$F$3006,B2688,Transactions!$Q$8:$Q$3006)&gt;SUMIF(Transactions!$F$8:$F$3006,B2688,Transactions!$R$8:$R$3006),"OWES","OVERPAID"))))</f>
        <v/>
      </c>
      <c r="I2688" s="1"/>
    </row>
    <row r="2689" spans="1:9" ht="18" customHeight="1" x14ac:dyDescent="0.25">
      <c r="A2689" s="48">
        <v>2674</v>
      </c>
      <c r="B2689" s="49" t="str">
        <f t="array" ref="B2689">IFERROR(IF(INDEX(Transactions!$F$8:$F$3006,MATCH(0,COUNTIF($B$11:B2688,Transactions!$F$8:$F$3006),0))="","",INDEX(Transactions!$F$8:$F$3006,MATCH(0,COUNTIF($B$11:B2688,Transactions!$F$8:$F$3006),0))),"")</f>
        <v/>
      </c>
      <c r="C2689" s="50" t="str">
        <f>IF(B2689="","",SUMIF(Transactions!$F$8:$F$3006,B2689,Transactions!$H$8:$H$3006))</f>
        <v/>
      </c>
      <c r="D2689" s="51" t="str">
        <f>IF(B2689="","",SUMIF(Transactions!$F$8:$F$3006,B2689,Transactions!$N$8:$N$3006))</f>
        <v/>
      </c>
      <c r="E2689" s="52" t="str">
        <f>IF(B2689="","",SUMIF(Transactions!$F$8:$F$3006,B2689,Transactions!$O$8:$O$3006))</f>
        <v/>
      </c>
      <c r="F2689" s="53" t="str">
        <f>IF(B2689="","",SUMIF(Transactions!$F$8:$F$3006,B2689,Transactions!$R$8:$R$3006))</f>
        <v/>
      </c>
      <c r="G2689" s="54" t="str">
        <f>IF(B2689="","",(C2689+F2689)-(D2689+E2689+SUMIF(Transactions!$F$8:$F$3006,B2689,Transactions!$Q$8:$Q$3006)))</f>
        <v/>
      </c>
      <c r="H2689" s="55" t="str">
        <f>IF(B2689="","",IF(G2689&gt;0,"OUTSTANDING",IF(G2689=0,"SETTLED",IF(SUMIF(Transactions!$F$8:$F$3006,B2689,Transactions!$Q$8:$Q$3006)&gt;SUMIF(Transactions!$F$8:$F$3006,B2689,Transactions!$R$8:$R$3006),"OWES","OVERPAID"))))</f>
        <v/>
      </c>
      <c r="I2689" s="1"/>
    </row>
    <row r="2690" spans="1:9" ht="18" customHeight="1" x14ac:dyDescent="0.25">
      <c r="A2690" s="40">
        <v>2675</v>
      </c>
      <c r="B2690" s="41" t="str">
        <f t="array" ref="B2690">IFERROR(IF(INDEX(Transactions!$F$8:$F$3006,MATCH(0,COUNTIF($B$11:B2689,Transactions!$F$8:$F$3006),0))="","",INDEX(Transactions!$F$8:$F$3006,MATCH(0,COUNTIF($B$11:B2689,Transactions!$F$8:$F$3006),0))),"")</f>
        <v/>
      </c>
      <c r="C2690" s="42" t="str">
        <f>IF(B2690="","",SUMIF(Transactions!$F$8:$F$3006,B2690,Transactions!$H$8:$H$3006))</f>
        <v/>
      </c>
      <c r="D2690" s="43" t="str">
        <f>IF(B2690="","",SUMIF(Transactions!$F$8:$F$3006,B2690,Transactions!$N$8:$N$3006))</f>
        <v/>
      </c>
      <c r="E2690" s="44" t="str">
        <f>IF(B2690="","",SUMIF(Transactions!$F$8:$F$3006,B2690,Transactions!$O$8:$O$3006))</f>
        <v/>
      </c>
      <c r="F2690" s="45" t="str">
        <f>IF(B2690="","",SUMIF(Transactions!$F$8:$F$3006,B2690,Transactions!$R$8:$R$3006))</f>
        <v/>
      </c>
      <c r="G2690" s="46" t="str">
        <f>IF(B2690="","",(C2690+F2690)-(D2690+E2690+SUMIF(Transactions!$F$8:$F$3006,B2690,Transactions!$Q$8:$Q$3006)))</f>
        <v/>
      </c>
      <c r="H2690" s="47" t="str">
        <f>IF(B2690="","",IF(G2690&gt;0,"OUTSTANDING",IF(G2690=0,"SETTLED",IF(SUMIF(Transactions!$F$8:$F$3006,B2690,Transactions!$Q$8:$Q$3006)&gt;SUMIF(Transactions!$F$8:$F$3006,B2690,Transactions!$R$8:$R$3006),"OWES","OVERPAID"))))</f>
        <v/>
      </c>
      <c r="I2690" s="1"/>
    </row>
    <row r="2691" spans="1:9" ht="18" customHeight="1" x14ac:dyDescent="0.25">
      <c r="A2691" s="48">
        <v>2676</v>
      </c>
      <c r="B2691" s="49" t="str">
        <f t="array" ref="B2691">IFERROR(IF(INDEX(Transactions!$F$8:$F$3006,MATCH(0,COUNTIF($B$11:B2690,Transactions!$F$8:$F$3006),0))="","",INDEX(Transactions!$F$8:$F$3006,MATCH(0,COUNTIF($B$11:B2690,Transactions!$F$8:$F$3006),0))),"")</f>
        <v/>
      </c>
      <c r="C2691" s="50" t="str">
        <f>IF(B2691="","",SUMIF(Transactions!$F$8:$F$3006,B2691,Transactions!$H$8:$H$3006))</f>
        <v/>
      </c>
      <c r="D2691" s="51" t="str">
        <f>IF(B2691="","",SUMIF(Transactions!$F$8:$F$3006,B2691,Transactions!$N$8:$N$3006))</f>
        <v/>
      </c>
      <c r="E2691" s="52" t="str">
        <f>IF(B2691="","",SUMIF(Transactions!$F$8:$F$3006,B2691,Transactions!$O$8:$O$3006))</f>
        <v/>
      </c>
      <c r="F2691" s="53" t="str">
        <f>IF(B2691="","",SUMIF(Transactions!$F$8:$F$3006,B2691,Transactions!$R$8:$R$3006))</f>
        <v/>
      </c>
      <c r="G2691" s="54" t="str">
        <f>IF(B2691="","",(C2691+F2691)-(D2691+E2691+SUMIF(Transactions!$F$8:$F$3006,B2691,Transactions!$Q$8:$Q$3006)))</f>
        <v/>
      </c>
      <c r="H2691" s="55" t="str">
        <f>IF(B2691="","",IF(G2691&gt;0,"OUTSTANDING",IF(G2691=0,"SETTLED",IF(SUMIF(Transactions!$F$8:$F$3006,B2691,Transactions!$Q$8:$Q$3006)&gt;SUMIF(Transactions!$F$8:$F$3006,B2691,Transactions!$R$8:$R$3006),"OWES","OVERPAID"))))</f>
        <v/>
      </c>
      <c r="I2691" s="1"/>
    </row>
    <row r="2692" spans="1:9" ht="18" customHeight="1" x14ac:dyDescent="0.25">
      <c r="A2692" s="40">
        <v>2677</v>
      </c>
      <c r="B2692" s="41" t="str">
        <f t="array" ref="B2692">IFERROR(IF(INDEX(Transactions!$F$8:$F$3006,MATCH(0,COUNTIF($B$11:B2691,Transactions!$F$8:$F$3006),0))="","",INDEX(Transactions!$F$8:$F$3006,MATCH(0,COUNTIF($B$11:B2691,Transactions!$F$8:$F$3006),0))),"")</f>
        <v/>
      </c>
      <c r="C2692" s="42" t="str">
        <f>IF(B2692="","",SUMIF(Transactions!$F$8:$F$3006,B2692,Transactions!$H$8:$H$3006))</f>
        <v/>
      </c>
      <c r="D2692" s="43" t="str">
        <f>IF(B2692="","",SUMIF(Transactions!$F$8:$F$3006,B2692,Transactions!$N$8:$N$3006))</f>
        <v/>
      </c>
      <c r="E2692" s="44" t="str">
        <f>IF(B2692="","",SUMIF(Transactions!$F$8:$F$3006,B2692,Transactions!$O$8:$O$3006))</f>
        <v/>
      </c>
      <c r="F2692" s="45" t="str">
        <f>IF(B2692="","",SUMIF(Transactions!$F$8:$F$3006,B2692,Transactions!$R$8:$R$3006))</f>
        <v/>
      </c>
      <c r="G2692" s="46" t="str">
        <f>IF(B2692="","",(C2692+F2692)-(D2692+E2692+SUMIF(Transactions!$F$8:$F$3006,B2692,Transactions!$Q$8:$Q$3006)))</f>
        <v/>
      </c>
      <c r="H2692" s="47" t="str">
        <f>IF(B2692="","",IF(G2692&gt;0,"OUTSTANDING",IF(G2692=0,"SETTLED",IF(SUMIF(Transactions!$F$8:$F$3006,B2692,Transactions!$Q$8:$Q$3006)&gt;SUMIF(Transactions!$F$8:$F$3006,B2692,Transactions!$R$8:$R$3006),"OWES","OVERPAID"))))</f>
        <v/>
      </c>
      <c r="I2692" s="1"/>
    </row>
    <row r="2693" spans="1:9" ht="18" customHeight="1" x14ac:dyDescent="0.25">
      <c r="A2693" s="48">
        <v>2678</v>
      </c>
      <c r="B2693" s="49" t="str">
        <f t="array" ref="B2693">IFERROR(IF(INDEX(Transactions!$F$8:$F$3006,MATCH(0,COUNTIF($B$11:B2692,Transactions!$F$8:$F$3006),0))="","",INDEX(Transactions!$F$8:$F$3006,MATCH(0,COUNTIF($B$11:B2692,Transactions!$F$8:$F$3006),0))),"")</f>
        <v/>
      </c>
      <c r="C2693" s="50" t="str">
        <f>IF(B2693="","",SUMIF(Transactions!$F$8:$F$3006,B2693,Transactions!$H$8:$H$3006))</f>
        <v/>
      </c>
      <c r="D2693" s="51" t="str">
        <f>IF(B2693="","",SUMIF(Transactions!$F$8:$F$3006,B2693,Transactions!$N$8:$N$3006))</f>
        <v/>
      </c>
      <c r="E2693" s="52" t="str">
        <f>IF(B2693="","",SUMIF(Transactions!$F$8:$F$3006,B2693,Transactions!$O$8:$O$3006))</f>
        <v/>
      </c>
      <c r="F2693" s="53" t="str">
        <f>IF(B2693="","",SUMIF(Transactions!$F$8:$F$3006,B2693,Transactions!$R$8:$R$3006))</f>
        <v/>
      </c>
      <c r="G2693" s="54" t="str">
        <f>IF(B2693="","",(C2693+F2693)-(D2693+E2693+SUMIF(Transactions!$F$8:$F$3006,B2693,Transactions!$Q$8:$Q$3006)))</f>
        <v/>
      </c>
      <c r="H2693" s="55" t="str">
        <f>IF(B2693="","",IF(G2693&gt;0,"OUTSTANDING",IF(G2693=0,"SETTLED",IF(SUMIF(Transactions!$F$8:$F$3006,B2693,Transactions!$Q$8:$Q$3006)&gt;SUMIF(Transactions!$F$8:$F$3006,B2693,Transactions!$R$8:$R$3006),"OWES","OVERPAID"))))</f>
        <v/>
      </c>
      <c r="I2693" s="1"/>
    </row>
    <row r="2694" spans="1:9" ht="18" customHeight="1" x14ac:dyDescent="0.25">
      <c r="A2694" s="40">
        <v>2679</v>
      </c>
      <c r="B2694" s="41" t="str">
        <f t="array" ref="B2694">IFERROR(IF(INDEX(Transactions!$F$8:$F$3006,MATCH(0,COUNTIF($B$11:B2693,Transactions!$F$8:$F$3006),0))="","",INDEX(Transactions!$F$8:$F$3006,MATCH(0,COUNTIF($B$11:B2693,Transactions!$F$8:$F$3006),0))),"")</f>
        <v/>
      </c>
      <c r="C2694" s="42" t="str">
        <f>IF(B2694="","",SUMIF(Transactions!$F$8:$F$3006,B2694,Transactions!$H$8:$H$3006))</f>
        <v/>
      </c>
      <c r="D2694" s="43" t="str">
        <f>IF(B2694="","",SUMIF(Transactions!$F$8:$F$3006,B2694,Transactions!$N$8:$N$3006))</f>
        <v/>
      </c>
      <c r="E2694" s="44" t="str">
        <f>IF(B2694="","",SUMIF(Transactions!$F$8:$F$3006,B2694,Transactions!$O$8:$O$3006))</f>
        <v/>
      </c>
      <c r="F2694" s="45" t="str">
        <f>IF(B2694="","",SUMIF(Transactions!$F$8:$F$3006,B2694,Transactions!$R$8:$R$3006))</f>
        <v/>
      </c>
      <c r="G2694" s="46" t="str">
        <f>IF(B2694="","",(C2694+F2694)-(D2694+E2694+SUMIF(Transactions!$F$8:$F$3006,B2694,Transactions!$Q$8:$Q$3006)))</f>
        <v/>
      </c>
      <c r="H2694" s="47" t="str">
        <f>IF(B2694="","",IF(G2694&gt;0,"OUTSTANDING",IF(G2694=0,"SETTLED",IF(SUMIF(Transactions!$F$8:$F$3006,B2694,Transactions!$Q$8:$Q$3006)&gt;SUMIF(Transactions!$F$8:$F$3006,B2694,Transactions!$R$8:$R$3006),"OWES","OVERPAID"))))</f>
        <v/>
      </c>
      <c r="I2694" s="1"/>
    </row>
    <row r="2695" spans="1:9" ht="18" customHeight="1" x14ac:dyDescent="0.25">
      <c r="A2695" s="48">
        <v>2680</v>
      </c>
      <c r="B2695" s="49" t="str">
        <f t="array" ref="B2695">IFERROR(IF(INDEX(Transactions!$F$8:$F$3006,MATCH(0,COUNTIF($B$11:B2694,Transactions!$F$8:$F$3006),0))="","",INDEX(Transactions!$F$8:$F$3006,MATCH(0,COUNTIF($B$11:B2694,Transactions!$F$8:$F$3006),0))),"")</f>
        <v/>
      </c>
      <c r="C2695" s="50" t="str">
        <f>IF(B2695="","",SUMIF(Transactions!$F$8:$F$3006,B2695,Transactions!$H$8:$H$3006))</f>
        <v/>
      </c>
      <c r="D2695" s="51" t="str">
        <f>IF(B2695="","",SUMIF(Transactions!$F$8:$F$3006,B2695,Transactions!$N$8:$N$3006))</f>
        <v/>
      </c>
      <c r="E2695" s="52" t="str">
        <f>IF(B2695="","",SUMIF(Transactions!$F$8:$F$3006,B2695,Transactions!$O$8:$O$3006))</f>
        <v/>
      </c>
      <c r="F2695" s="53" t="str">
        <f>IF(B2695="","",SUMIF(Transactions!$F$8:$F$3006,B2695,Transactions!$R$8:$R$3006))</f>
        <v/>
      </c>
      <c r="G2695" s="54" t="str">
        <f>IF(B2695="","",(C2695+F2695)-(D2695+E2695+SUMIF(Transactions!$F$8:$F$3006,B2695,Transactions!$Q$8:$Q$3006)))</f>
        <v/>
      </c>
      <c r="H2695" s="55" t="str">
        <f>IF(B2695="","",IF(G2695&gt;0,"OUTSTANDING",IF(G2695=0,"SETTLED",IF(SUMIF(Transactions!$F$8:$F$3006,B2695,Transactions!$Q$8:$Q$3006)&gt;SUMIF(Transactions!$F$8:$F$3006,B2695,Transactions!$R$8:$R$3006),"OWES","OVERPAID"))))</f>
        <v/>
      </c>
      <c r="I2695" s="1"/>
    </row>
    <row r="2696" spans="1:9" ht="18" customHeight="1" x14ac:dyDescent="0.25">
      <c r="A2696" s="40">
        <v>2681</v>
      </c>
      <c r="B2696" s="41" t="str">
        <f t="array" ref="B2696">IFERROR(IF(INDEX(Transactions!$F$8:$F$3006,MATCH(0,COUNTIF($B$11:B2695,Transactions!$F$8:$F$3006),0))="","",INDEX(Transactions!$F$8:$F$3006,MATCH(0,COUNTIF($B$11:B2695,Transactions!$F$8:$F$3006),0))),"")</f>
        <v/>
      </c>
      <c r="C2696" s="42" t="str">
        <f>IF(B2696="","",SUMIF(Transactions!$F$8:$F$3006,B2696,Transactions!$H$8:$H$3006))</f>
        <v/>
      </c>
      <c r="D2696" s="43" t="str">
        <f>IF(B2696="","",SUMIF(Transactions!$F$8:$F$3006,B2696,Transactions!$N$8:$N$3006))</f>
        <v/>
      </c>
      <c r="E2696" s="44" t="str">
        <f>IF(B2696="","",SUMIF(Transactions!$F$8:$F$3006,B2696,Transactions!$O$8:$O$3006))</f>
        <v/>
      </c>
      <c r="F2696" s="45" t="str">
        <f>IF(B2696="","",SUMIF(Transactions!$F$8:$F$3006,B2696,Transactions!$R$8:$R$3006))</f>
        <v/>
      </c>
      <c r="G2696" s="46" t="str">
        <f>IF(B2696="","",(C2696+F2696)-(D2696+E2696+SUMIF(Transactions!$F$8:$F$3006,B2696,Transactions!$Q$8:$Q$3006)))</f>
        <v/>
      </c>
      <c r="H2696" s="47" t="str">
        <f>IF(B2696="","",IF(G2696&gt;0,"OUTSTANDING",IF(G2696=0,"SETTLED",IF(SUMIF(Transactions!$F$8:$F$3006,B2696,Transactions!$Q$8:$Q$3006)&gt;SUMIF(Transactions!$F$8:$F$3006,B2696,Transactions!$R$8:$R$3006),"OWES","OVERPAID"))))</f>
        <v/>
      </c>
      <c r="I2696" s="1"/>
    </row>
    <row r="2697" spans="1:9" ht="18" customHeight="1" x14ac:dyDescent="0.25">
      <c r="A2697" s="48">
        <v>2682</v>
      </c>
      <c r="B2697" s="49" t="str">
        <f t="array" ref="B2697">IFERROR(IF(INDEX(Transactions!$F$8:$F$3006,MATCH(0,COUNTIF($B$11:B2696,Transactions!$F$8:$F$3006),0))="","",INDEX(Transactions!$F$8:$F$3006,MATCH(0,COUNTIF($B$11:B2696,Transactions!$F$8:$F$3006),0))),"")</f>
        <v/>
      </c>
      <c r="C2697" s="50" t="str">
        <f>IF(B2697="","",SUMIF(Transactions!$F$8:$F$3006,B2697,Transactions!$H$8:$H$3006))</f>
        <v/>
      </c>
      <c r="D2697" s="51" t="str">
        <f>IF(B2697="","",SUMIF(Transactions!$F$8:$F$3006,B2697,Transactions!$N$8:$N$3006))</f>
        <v/>
      </c>
      <c r="E2697" s="52" t="str">
        <f>IF(B2697="","",SUMIF(Transactions!$F$8:$F$3006,B2697,Transactions!$O$8:$O$3006))</f>
        <v/>
      </c>
      <c r="F2697" s="53" t="str">
        <f>IF(B2697="","",SUMIF(Transactions!$F$8:$F$3006,B2697,Transactions!$R$8:$R$3006))</f>
        <v/>
      </c>
      <c r="G2697" s="54" t="str">
        <f>IF(B2697="","",(C2697+F2697)-(D2697+E2697+SUMIF(Transactions!$F$8:$F$3006,B2697,Transactions!$Q$8:$Q$3006)))</f>
        <v/>
      </c>
      <c r="H2697" s="55" t="str">
        <f>IF(B2697="","",IF(G2697&gt;0,"OUTSTANDING",IF(G2697=0,"SETTLED",IF(SUMIF(Transactions!$F$8:$F$3006,B2697,Transactions!$Q$8:$Q$3006)&gt;SUMIF(Transactions!$F$8:$F$3006,B2697,Transactions!$R$8:$R$3006),"OWES","OVERPAID"))))</f>
        <v/>
      </c>
      <c r="I2697" s="1"/>
    </row>
    <row r="2698" spans="1:9" ht="18" customHeight="1" x14ac:dyDescent="0.25">
      <c r="A2698" s="40">
        <v>2683</v>
      </c>
      <c r="B2698" s="41" t="str">
        <f t="array" ref="B2698">IFERROR(IF(INDEX(Transactions!$F$8:$F$3006,MATCH(0,COUNTIF($B$11:B2697,Transactions!$F$8:$F$3006),0))="","",INDEX(Transactions!$F$8:$F$3006,MATCH(0,COUNTIF($B$11:B2697,Transactions!$F$8:$F$3006),0))),"")</f>
        <v/>
      </c>
      <c r="C2698" s="42" t="str">
        <f>IF(B2698="","",SUMIF(Transactions!$F$8:$F$3006,B2698,Transactions!$H$8:$H$3006))</f>
        <v/>
      </c>
      <c r="D2698" s="43" t="str">
        <f>IF(B2698="","",SUMIF(Transactions!$F$8:$F$3006,B2698,Transactions!$N$8:$N$3006))</f>
        <v/>
      </c>
      <c r="E2698" s="44" t="str">
        <f>IF(B2698="","",SUMIF(Transactions!$F$8:$F$3006,B2698,Transactions!$O$8:$O$3006))</f>
        <v/>
      </c>
      <c r="F2698" s="45" t="str">
        <f>IF(B2698="","",SUMIF(Transactions!$F$8:$F$3006,B2698,Transactions!$R$8:$R$3006))</f>
        <v/>
      </c>
      <c r="G2698" s="46" t="str">
        <f>IF(B2698="","",(C2698+F2698)-(D2698+E2698+SUMIF(Transactions!$F$8:$F$3006,B2698,Transactions!$Q$8:$Q$3006)))</f>
        <v/>
      </c>
      <c r="H2698" s="47" t="str">
        <f>IF(B2698="","",IF(G2698&gt;0,"OUTSTANDING",IF(G2698=0,"SETTLED",IF(SUMIF(Transactions!$F$8:$F$3006,B2698,Transactions!$Q$8:$Q$3006)&gt;SUMIF(Transactions!$F$8:$F$3006,B2698,Transactions!$R$8:$R$3006),"OWES","OVERPAID"))))</f>
        <v/>
      </c>
      <c r="I2698" s="1"/>
    </row>
    <row r="2699" spans="1:9" ht="18" customHeight="1" x14ac:dyDescent="0.25">
      <c r="A2699" s="48">
        <v>2684</v>
      </c>
      <c r="B2699" s="49" t="str">
        <f t="array" ref="B2699">IFERROR(IF(INDEX(Transactions!$F$8:$F$3006,MATCH(0,COUNTIF($B$11:B2698,Transactions!$F$8:$F$3006),0))="","",INDEX(Transactions!$F$8:$F$3006,MATCH(0,COUNTIF($B$11:B2698,Transactions!$F$8:$F$3006),0))),"")</f>
        <v/>
      </c>
      <c r="C2699" s="50" t="str">
        <f>IF(B2699="","",SUMIF(Transactions!$F$8:$F$3006,B2699,Transactions!$H$8:$H$3006))</f>
        <v/>
      </c>
      <c r="D2699" s="51" t="str">
        <f>IF(B2699="","",SUMIF(Transactions!$F$8:$F$3006,B2699,Transactions!$N$8:$N$3006))</f>
        <v/>
      </c>
      <c r="E2699" s="52" t="str">
        <f>IF(B2699="","",SUMIF(Transactions!$F$8:$F$3006,B2699,Transactions!$O$8:$O$3006))</f>
        <v/>
      </c>
      <c r="F2699" s="53" t="str">
        <f>IF(B2699="","",SUMIF(Transactions!$F$8:$F$3006,B2699,Transactions!$R$8:$R$3006))</f>
        <v/>
      </c>
      <c r="G2699" s="54" t="str">
        <f>IF(B2699="","",(C2699+F2699)-(D2699+E2699+SUMIF(Transactions!$F$8:$F$3006,B2699,Transactions!$Q$8:$Q$3006)))</f>
        <v/>
      </c>
      <c r="H2699" s="55" t="str">
        <f>IF(B2699="","",IF(G2699&gt;0,"OUTSTANDING",IF(G2699=0,"SETTLED",IF(SUMIF(Transactions!$F$8:$F$3006,B2699,Transactions!$Q$8:$Q$3006)&gt;SUMIF(Transactions!$F$8:$F$3006,B2699,Transactions!$R$8:$R$3006),"OWES","OVERPAID"))))</f>
        <v/>
      </c>
      <c r="I2699" s="1"/>
    </row>
    <row r="2700" spans="1:9" ht="18" customHeight="1" x14ac:dyDescent="0.25">
      <c r="A2700" s="40">
        <v>2685</v>
      </c>
      <c r="B2700" s="41" t="str">
        <f t="array" ref="B2700">IFERROR(IF(INDEX(Transactions!$F$8:$F$3006,MATCH(0,COUNTIF($B$11:B2699,Transactions!$F$8:$F$3006),0))="","",INDEX(Transactions!$F$8:$F$3006,MATCH(0,COUNTIF($B$11:B2699,Transactions!$F$8:$F$3006),0))),"")</f>
        <v/>
      </c>
      <c r="C2700" s="42" t="str">
        <f>IF(B2700="","",SUMIF(Transactions!$F$8:$F$3006,B2700,Transactions!$H$8:$H$3006))</f>
        <v/>
      </c>
      <c r="D2700" s="43" t="str">
        <f>IF(B2700="","",SUMIF(Transactions!$F$8:$F$3006,B2700,Transactions!$N$8:$N$3006))</f>
        <v/>
      </c>
      <c r="E2700" s="44" t="str">
        <f>IF(B2700="","",SUMIF(Transactions!$F$8:$F$3006,B2700,Transactions!$O$8:$O$3006))</f>
        <v/>
      </c>
      <c r="F2700" s="45" t="str">
        <f>IF(B2700="","",SUMIF(Transactions!$F$8:$F$3006,B2700,Transactions!$R$8:$R$3006))</f>
        <v/>
      </c>
      <c r="G2700" s="46" t="str">
        <f>IF(B2700="","",(C2700+F2700)-(D2700+E2700+SUMIF(Transactions!$F$8:$F$3006,B2700,Transactions!$Q$8:$Q$3006)))</f>
        <v/>
      </c>
      <c r="H2700" s="47" t="str">
        <f>IF(B2700="","",IF(G2700&gt;0,"OUTSTANDING",IF(G2700=0,"SETTLED",IF(SUMIF(Transactions!$F$8:$F$3006,B2700,Transactions!$Q$8:$Q$3006)&gt;SUMIF(Transactions!$F$8:$F$3006,B2700,Transactions!$R$8:$R$3006),"OWES","OVERPAID"))))</f>
        <v/>
      </c>
      <c r="I2700" s="1"/>
    </row>
    <row r="2701" spans="1:9" ht="18" customHeight="1" x14ac:dyDescent="0.25">
      <c r="A2701" s="48">
        <v>2686</v>
      </c>
      <c r="B2701" s="49" t="str">
        <f t="array" ref="B2701">IFERROR(IF(INDEX(Transactions!$F$8:$F$3006,MATCH(0,COUNTIF($B$11:B2700,Transactions!$F$8:$F$3006),0))="","",INDEX(Transactions!$F$8:$F$3006,MATCH(0,COUNTIF($B$11:B2700,Transactions!$F$8:$F$3006),0))),"")</f>
        <v/>
      </c>
      <c r="C2701" s="50" t="str">
        <f>IF(B2701="","",SUMIF(Transactions!$F$8:$F$3006,B2701,Transactions!$H$8:$H$3006))</f>
        <v/>
      </c>
      <c r="D2701" s="51" t="str">
        <f>IF(B2701="","",SUMIF(Transactions!$F$8:$F$3006,B2701,Transactions!$N$8:$N$3006))</f>
        <v/>
      </c>
      <c r="E2701" s="52" t="str">
        <f>IF(B2701="","",SUMIF(Transactions!$F$8:$F$3006,B2701,Transactions!$O$8:$O$3006))</f>
        <v/>
      </c>
      <c r="F2701" s="53" t="str">
        <f>IF(B2701="","",SUMIF(Transactions!$F$8:$F$3006,B2701,Transactions!$R$8:$R$3006))</f>
        <v/>
      </c>
      <c r="G2701" s="54" t="str">
        <f>IF(B2701="","",(C2701+F2701)-(D2701+E2701+SUMIF(Transactions!$F$8:$F$3006,B2701,Transactions!$Q$8:$Q$3006)))</f>
        <v/>
      </c>
      <c r="H2701" s="55" t="str">
        <f>IF(B2701="","",IF(G2701&gt;0,"OUTSTANDING",IF(G2701=0,"SETTLED",IF(SUMIF(Transactions!$F$8:$F$3006,B2701,Transactions!$Q$8:$Q$3006)&gt;SUMIF(Transactions!$F$8:$F$3006,B2701,Transactions!$R$8:$R$3006),"OWES","OVERPAID"))))</f>
        <v/>
      </c>
      <c r="I2701" s="1"/>
    </row>
    <row r="2702" spans="1:9" ht="18" customHeight="1" x14ac:dyDescent="0.25">
      <c r="A2702" s="40">
        <v>2687</v>
      </c>
      <c r="B2702" s="41" t="str">
        <f t="array" ref="B2702">IFERROR(IF(INDEX(Transactions!$F$8:$F$3006,MATCH(0,COUNTIF($B$11:B2701,Transactions!$F$8:$F$3006),0))="","",INDEX(Transactions!$F$8:$F$3006,MATCH(0,COUNTIF($B$11:B2701,Transactions!$F$8:$F$3006),0))),"")</f>
        <v/>
      </c>
      <c r="C2702" s="42" t="str">
        <f>IF(B2702="","",SUMIF(Transactions!$F$8:$F$3006,B2702,Transactions!$H$8:$H$3006))</f>
        <v/>
      </c>
      <c r="D2702" s="43" t="str">
        <f>IF(B2702="","",SUMIF(Transactions!$F$8:$F$3006,B2702,Transactions!$N$8:$N$3006))</f>
        <v/>
      </c>
      <c r="E2702" s="44" t="str">
        <f>IF(B2702="","",SUMIF(Transactions!$F$8:$F$3006,B2702,Transactions!$O$8:$O$3006))</f>
        <v/>
      </c>
      <c r="F2702" s="45" t="str">
        <f>IF(B2702="","",SUMIF(Transactions!$F$8:$F$3006,B2702,Transactions!$R$8:$R$3006))</f>
        <v/>
      </c>
      <c r="G2702" s="46" t="str">
        <f>IF(B2702="","",(C2702+F2702)-(D2702+E2702+SUMIF(Transactions!$F$8:$F$3006,B2702,Transactions!$Q$8:$Q$3006)))</f>
        <v/>
      </c>
      <c r="H2702" s="47" t="str">
        <f>IF(B2702="","",IF(G2702&gt;0,"OUTSTANDING",IF(G2702=0,"SETTLED",IF(SUMIF(Transactions!$F$8:$F$3006,B2702,Transactions!$Q$8:$Q$3006)&gt;SUMIF(Transactions!$F$8:$F$3006,B2702,Transactions!$R$8:$R$3006),"OWES","OVERPAID"))))</f>
        <v/>
      </c>
      <c r="I2702" s="1"/>
    </row>
    <row r="2703" spans="1:9" ht="18" customHeight="1" x14ac:dyDescent="0.25">
      <c r="A2703" s="48">
        <v>2688</v>
      </c>
      <c r="B2703" s="49" t="str">
        <f t="array" ref="B2703">IFERROR(IF(INDEX(Transactions!$F$8:$F$3006,MATCH(0,COUNTIF($B$11:B2702,Transactions!$F$8:$F$3006),0))="","",INDEX(Transactions!$F$8:$F$3006,MATCH(0,COUNTIF($B$11:B2702,Transactions!$F$8:$F$3006),0))),"")</f>
        <v/>
      </c>
      <c r="C2703" s="50" t="str">
        <f>IF(B2703="","",SUMIF(Transactions!$F$8:$F$3006,B2703,Transactions!$H$8:$H$3006))</f>
        <v/>
      </c>
      <c r="D2703" s="51" t="str">
        <f>IF(B2703="","",SUMIF(Transactions!$F$8:$F$3006,B2703,Transactions!$N$8:$N$3006))</f>
        <v/>
      </c>
      <c r="E2703" s="52" t="str">
        <f>IF(B2703="","",SUMIF(Transactions!$F$8:$F$3006,B2703,Transactions!$O$8:$O$3006))</f>
        <v/>
      </c>
      <c r="F2703" s="53" t="str">
        <f>IF(B2703="","",SUMIF(Transactions!$F$8:$F$3006,B2703,Transactions!$R$8:$R$3006))</f>
        <v/>
      </c>
      <c r="G2703" s="54" t="str">
        <f>IF(B2703="","",(C2703+F2703)-(D2703+E2703+SUMIF(Transactions!$F$8:$F$3006,B2703,Transactions!$Q$8:$Q$3006)))</f>
        <v/>
      </c>
      <c r="H2703" s="55" t="str">
        <f>IF(B2703="","",IF(G2703&gt;0,"OUTSTANDING",IF(G2703=0,"SETTLED",IF(SUMIF(Transactions!$F$8:$F$3006,B2703,Transactions!$Q$8:$Q$3006)&gt;SUMIF(Transactions!$F$8:$F$3006,B2703,Transactions!$R$8:$R$3006),"OWES","OVERPAID"))))</f>
        <v/>
      </c>
      <c r="I2703" s="1"/>
    </row>
    <row r="2704" spans="1:9" ht="18" customHeight="1" x14ac:dyDescent="0.25">
      <c r="A2704" s="40">
        <v>2689</v>
      </c>
      <c r="B2704" s="41" t="str">
        <f t="array" ref="B2704">IFERROR(IF(INDEX(Transactions!$F$8:$F$3006,MATCH(0,COUNTIF($B$11:B2703,Transactions!$F$8:$F$3006),0))="","",INDEX(Transactions!$F$8:$F$3006,MATCH(0,COUNTIF($B$11:B2703,Transactions!$F$8:$F$3006),0))),"")</f>
        <v/>
      </c>
      <c r="C2704" s="42" t="str">
        <f>IF(B2704="","",SUMIF(Transactions!$F$8:$F$3006,B2704,Transactions!$H$8:$H$3006))</f>
        <v/>
      </c>
      <c r="D2704" s="43" t="str">
        <f>IF(B2704="","",SUMIF(Transactions!$F$8:$F$3006,B2704,Transactions!$N$8:$N$3006))</f>
        <v/>
      </c>
      <c r="E2704" s="44" t="str">
        <f>IF(B2704="","",SUMIF(Transactions!$F$8:$F$3006,B2704,Transactions!$O$8:$O$3006))</f>
        <v/>
      </c>
      <c r="F2704" s="45" t="str">
        <f>IF(B2704="","",SUMIF(Transactions!$F$8:$F$3006,B2704,Transactions!$R$8:$R$3006))</f>
        <v/>
      </c>
      <c r="G2704" s="46" t="str">
        <f>IF(B2704="","",(C2704+F2704)-(D2704+E2704+SUMIF(Transactions!$F$8:$F$3006,B2704,Transactions!$Q$8:$Q$3006)))</f>
        <v/>
      </c>
      <c r="H2704" s="47" t="str">
        <f>IF(B2704="","",IF(G2704&gt;0,"OUTSTANDING",IF(G2704=0,"SETTLED",IF(SUMIF(Transactions!$F$8:$F$3006,B2704,Transactions!$Q$8:$Q$3006)&gt;SUMIF(Transactions!$F$8:$F$3006,B2704,Transactions!$R$8:$R$3006),"OWES","OVERPAID"))))</f>
        <v/>
      </c>
      <c r="I2704" s="1"/>
    </row>
    <row r="2705" spans="1:9" ht="18" customHeight="1" x14ac:dyDescent="0.25">
      <c r="A2705" s="48">
        <v>2690</v>
      </c>
      <c r="B2705" s="49" t="str">
        <f t="array" ref="B2705">IFERROR(IF(INDEX(Transactions!$F$8:$F$3006,MATCH(0,COUNTIF($B$11:B2704,Transactions!$F$8:$F$3006),0))="","",INDEX(Transactions!$F$8:$F$3006,MATCH(0,COUNTIF($B$11:B2704,Transactions!$F$8:$F$3006),0))),"")</f>
        <v/>
      </c>
      <c r="C2705" s="50" t="str">
        <f>IF(B2705="","",SUMIF(Transactions!$F$8:$F$3006,B2705,Transactions!$H$8:$H$3006))</f>
        <v/>
      </c>
      <c r="D2705" s="51" t="str">
        <f>IF(B2705="","",SUMIF(Transactions!$F$8:$F$3006,B2705,Transactions!$N$8:$N$3006))</f>
        <v/>
      </c>
      <c r="E2705" s="52" t="str">
        <f>IF(B2705="","",SUMIF(Transactions!$F$8:$F$3006,B2705,Transactions!$O$8:$O$3006))</f>
        <v/>
      </c>
      <c r="F2705" s="53" t="str">
        <f>IF(B2705="","",SUMIF(Transactions!$F$8:$F$3006,B2705,Transactions!$R$8:$R$3006))</f>
        <v/>
      </c>
      <c r="G2705" s="54" t="str">
        <f>IF(B2705="","",(C2705+F2705)-(D2705+E2705+SUMIF(Transactions!$F$8:$F$3006,B2705,Transactions!$Q$8:$Q$3006)))</f>
        <v/>
      </c>
      <c r="H2705" s="55" t="str">
        <f>IF(B2705="","",IF(G2705&gt;0,"OUTSTANDING",IF(G2705=0,"SETTLED",IF(SUMIF(Transactions!$F$8:$F$3006,B2705,Transactions!$Q$8:$Q$3006)&gt;SUMIF(Transactions!$F$8:$F$3006,B2705,Transactions!$R$8:$R$3006),"OWES","OVERPAID"))))</f>
        <v/>
      </c>
      <c r="I2705" s="1"/>
    </row>
    <row r="2706" spans="1:9" ht="18" customHeight="1" x14ac:dyDescent="0.25">
      <c r="A2706" s="40">
        <v>2691</v>
      </c>
      <c r="B2706" s="41" t="str">
        <f t="array" ref="B2706">IFERROR(IF(INDEX(Transactions!$F$8:$F$3006,MATCH(0,COUNTIF($B$11:B2705,Transactions!$F$8:$F$3006),0))="","",INDEX(Transactions!$F$8:$F$3006,MATCH(0,COUNTIF($B$11:B2705,Transactions!$F$8:$F$3006),0))),"")</f>
        <v/>
      </c>
      <c r="C2706" s="42" t="str">
        <f>IF(B2706="","",SUMIF(Transactions!$F$8:$F$3006,B2706,Transactions!$H$8:$H$3006))</f>
        <v/>
      </c>
      <c r="D2706" s="43" t="str">
        <f>IF(B2706="","",SUMIF(Transactions!$F$8:$F$3006,B2706,Transactions!$N$8:$N$3006))</f>
        <v/>
      </c>
      <c r="E2706" s="44" t="str">
        <f>IF(B2706="","",SUMIF(Transactions!$F$8:$F$3006,B2706,Transactions!$O$8:$O$3006))</f>
        <v/>
      </c>
      <c r="F2706" s="45" t="str">
        <f>IF(B2706="","",SUMIF(Transactions!$F$8:$F$3006,B2706,Transactions!$R$8:$R$3006))</f>
        <v/>
      </c>
      <c r="G2706" s="46" t="str">
        <f>IF(B2706="","",(C2706+F2706)-(D2706+E2706+SUMIF(Transactions!$F$8:$F$3006,B2706,Transactions!$Q$8:$Q$3006)))</f>
        <v/>
      </c>
      <c r="H2706" s="47" t="str">
        <f>IF(B2706="","",IF(G2706&gt;0,"OUTSTANDING",IF(G2706=0,"SETTLED",IF(SUMIF(Transactions!$F$8:$F$3006,B2706,Transactions!$Q$8:$Q$3006)&gt;SUMIF(Transactions!$F$8:$F$3006,B2706,Transactions!$R$8:$R$3006),"OWES","OVERPAID"))))</f>
        <v/>
      </c>
      <c r="I2706" s="1"/>
    </row>
    <row r="2707" spans="1:9" ht="18" customHeight="1" x14ac:dyDescent="0.25">
      <c r="A2707" s="48">
        <v>2692</v>
      </c>
      <c r="B2707" s="49" t="str">
        <f t="array" ref="B2707">IFERROR(IF(INDEX(Transactions!$F$8:$F$3006,MATCH(0,COUNTIF($B$11:B2706,Transactions!$F$8:$F$3006),0))="","",INDEX(Transactions!$F$8:$F$3006,MATCH(0,COUNTIF($B$11:B2706,Transactions!$F$8:$F$3006),0))),"")</f>
        <v/>
      </c>
      <c r="C2707" s="50" t="str">
        <f>IF(B2707="","",SUMIF(Transactions!$F$8:$F$3006,B2707,Transactions!$H$8:$H$3006))</f>
        <v/>
      </c>
      <c r="D2707" s="51" t="str">
        <f>IF(B2707="","",SUMIF(Transactions!$F$8:$F$3006,B2707,Transactions!$N$8:$N$3006))</f>
        <v/>
      </c>
      <c r="E2707" s="52" t="str">
        <f>IF(B2707="","",SUMIF(Transactions!$F$8:$F$3006,B2707,Transactions!$O$8:$O$3006))</f>
        <v/>
      </c>
      <c r="F2707" s="53" t="str">
        <f>IF(B2707="","",SUMIF(Transactions!$F$8:$F$3006,B2707,Transactions!$R$8:$R$3006))</f>
        <v/>
      </c>
      <c r="G2707" s="54" t="str">
        <f>IF(B2707="","",(C2707+F2707)-(D2707+E2707+SUMIF(Transactions!$F$8:$F$3006,B2707,Transactions!$Q$8:$Q$3006)))</f>
        <v/>
      </c>
      <c r="H2707" s="55" t="str">
        <f>IF(B2707="","",IF(G2707&gt;0,"OUTSTANDING",IF(G2707=0,"SETTLED",IF(SUMIF(Transactions!$F$8:$F$3006,B2707,Transactions!$Q$8:$Q$3006)&gt;SUMIF(Transactions!$F$8:$F$3006,B2707,Transactions!$R$8:$R$3006),"OWES","OVERPAID"))))</f>
        <v/>
      </c>
      <c r="I2707" s="1"/>
    </row>
    <row r="2708" spans="1:9" ht="18" customHeight="1" x14ac:dyDescent="0.25">
      <c r="A2708" s="40">
        <v>2693</v>
      </c>
      <c r="B2708" s="41" t="str">
        <f t="array" ref="B2708">IFERROR(IF(INDEX(Transactions!$F$8:$F$3006,MATCH(0,COUNTIF($B$11:B2707,Transactions!$F$8:$F$3006),0))="","",INDEX(Transactions!$F$8:$F$3006,MATCH(0,COUNTIF($B$11:B2707,Transactions!$F$8:$F$3006),0))),"")</f>
        <v/>
      </c>
      <c r="C2708" s="42" t="str">
        <f>IF(B2708="","",SUMIF(Transactions!$F$8:$F$3006,B2708,Transactions!$H$8:$H$3006))</f>
        <v/>
      </c>
      <c r="D2708" s="43" t="str">
        <f>IF(B2708="","",SUMIF(Transactions!$F$8:$F$3006,B2708,Transactions!$N$8:$N$3006))</f>
        <v/>
      </c>
      <c r="E2708" s="44" t="str">
        <f>IF(B2708="","",SUMIF(Transactions!$F$8:$F$3006,B2708,Transactions!$O$8:$O$3006))</f>
        <v/>
      </c>
      <c r="F2708" s="45" t="str">
        <f>IF(B2708="","",SUMIF(Transactions!$F$8:$F$3006,B2708,Transactions!$R$8:$R$3006))</f>
        <v/>
      </c>
      <c r="G2708" s="46" t="str">
        <f>IF(B2708="","",(C2708+F2708)-(D2708+E2708+SUMIF(Transactions!$F$8:$F$3006,B2708,Transactions!$Q$8:$Q$3006)))</f>
        <v/>
      </c>
      <c r="H2708" s="47" t="str">
        <f>IF(B2708="","",IF(G2708&gt;0,"OUTSTANDING",IF(G2708=0,"SETTLED",IF(SUMIF(Transactions!$F$8:$F$3006,B2708,Transactions!$Q$8:$Q$3006)&gt;SUMIF(Transactions!$F$8:$F$3006,B2708,Transactions!$R$8:$R$3006),"OWES","OVERPAID"))))</f>
        <v/>
      </c>
      <c r="I2708" s="1"/>
    </row>
    <row r="2709" spans="1:9" ht="18" customHeight="1" x14ac:dyDescent="0.25">
      <c r="A2709" s="48">
        <v>2694</v>
      </c>
      <c r="B2709" s="49" t="str">
        <f t="array" ref="B2709">IFERROR(IF(INDEX(Transactions!$F$8:$F$3006,MATCH(0,COUNTIF($B$11:B2708,Transactions!$F$8:$F$3006),0))="","",INDEX(Transactions!$F$8:$F$3006,MATCH(0,COUNTIF($B$11:B2708,Transactions!$F$8:$F$3006),0))),"")</f>
        <v/>
      </c>
      <c r="C2709" s="50" t="str">
        <f>IF(B2709="","",SUMIF(Transactions!$F$8:$F$3006,B2709,Transactions!$H$8:$H$3006))</f>
        <v/>
      </c>
      <c r="D2709" s="51" t="str">
        <f>IF(B2709="","",SUMIF(Transactions!$F$8:$F$3006,B2709,Transactions!$N$8:$N$3006))</f>
        <v/>
      </c>
      <c r="E2709" s="52" t="str">
        <f>IF(B2709="","",SUMIF(Transactions!$F$8:$F$3006,B2709,Transactions!$O$8:$O$3006))</f>
        <v/>
      </c>
      <c r="F2709" s="53" t="str">
        <f>IF(B2709="","",SUMIF(Transactions!$F$8:$F$3006,B2709,Transactions!$R$8:$R$3006))</f>
        <v/>
      </c>
      <c r="G2709" s="54" t="str">
        <f>IF(B2709="","",(C2709+F2709)-(D2709+E2709+SUMIF(Transactions!$F$8:$F$3006,B2709,Transactions!$Q$8:$Q$3006)))</f>
        <v/>
      </c>
      <c r="H2709" s="55" t="str">
        <f>IF(B2709="","",IF(G2709&gt;0,"OUTSTANDING",IF(G2709=0,"SETTLED",IF(SUMIF(Transactions!$F$8:$F$3006,B2709,Transactions!$Q$8:$Q$3006)&gt;SUMIF(Transactions!$F$8:$F$3006,B2709,Transactions!$R$8:$R$3006),"OWES","OVERPAID"))))</f>
        <v/>
      </c>
      <c r="I2709" s="1"/>
    </row>
    <row r="2710" spans="1:9" ht="18" customHeight="1" x14ac:dyDescent="0.25">
      <c r="A2710" s="40">
        <v>2695</v>
      </c>
      <c r="B2710" s="41" t="str">
        <f t="array" ref="B2710">IFERROR(IF(INDEX(Transactions!$F$8:$F$3006,MATCH(0,COUNTIF($B$11:B2709,Transactions!$F$8:$F$3006),0))="","",INDEX(Transactions!$F$8:$F$3006,MATCH(0,COUNTIF($B$11:B2709,Transactions!$F$8:$F$3006),0))),"")</f>
        <v/>
      </c>
      <c r="C2710" s="42" t="str">
        <f>IF(B2710="","",SUMIF(Transactions!$F$8:$F$3006,B2710,Transactions!$H$8:$H$3006))</f>
        <v/>
      </c>
      <c r="D2710" s="43" t="str">
        <f>IF(B2710="","",SUMIF(Transactions!$F$8:$F$3006,B2710,Transactions!$N$8:$N$3006))</f>
        <v/>
      </c>
      <c r="E2710" s="44" t="str">
        <f>IF(B2710="","",SUMIF(Transactions!$F$8:$F$3006,B2710,Transactions!$O$8:$O$3006))</f>
        <v/>
      </c>
      <c r="F2710" s="45" t="str">
        <f>IF(B2710="","",SUMIF(Transactions!$F$8:$F$3006,B2710,Transactions!$R$8:$R$3006))</f>
        <v/>
      </c>
      <c r="G2710" s="46" t="str">
        <f>IF(B2710="","",(C2710+F2710)-(D2710+E2710+SUMIF(Transactions!$F$8:$F$3006,B2710,Transactions!$Q$8:$Q$3006)))</f>
        <v/>
      </c>
      <c r="H2710" s="47" t="str">
        <f>IF(B2710="","",IF(G2710&gt;0,"OUTSTANDING",IF(G2710=0,"SETTLED",IF(SUMIF(Transactions!$F$8:$F$3006,B2710,Transactions!$Q$8:$Q$3006)&gt;SUMIF(Transactions!$F$8:$F$3006,B2710,Transactions!$R$8:$R$3006),"OWES","OVERPAID"))))</f>
        <v/>
      </c>
      <c r="I2710" s="1"/>
    </row>
    <row r="2711" spans="1:9" ht="18" customHeight="1" x14ac:dyDescent="0.25">
      <c r="A2711" s="48">
        <v>2696</v>
      </c>
      <c r="B2711" s="49" t="str">
        <f t="array" ref="B2711">IFERROR(IF(INDEX(Transactions!$F$8:$F$3006,MATCH(0,COUNTIF($B$11:B2710,Transactions!$F$8:$F$3006),0))="","",INDEX(Transactions!$F$8:$F$3006,MATCH(0,COUNTIF($B$11:B2710,Transactions!$F$8:$F$3006),0))),"")</f>
        <v/>
      </c>
      <c r="C2711" s="50" t="str">
        <f>IF(B2711="","",SUMIF(Transactions!$F$8:$F$3006,B2711,Transactions!$H$8:$H$3006))</f>
        <v/>
      </c>
      <c r="D2711" s="51" t="str">
        <f>IF(B2711="","",SUMIF(Transactions!$F$8:$F$3006,B2711,Transactions!$N$8:$N$3006))</f>
        <v/>
      </c>
      <c r="E2711" s="52" t="str">
        <f>IF(B2711="","",SUMIF(Transactions!$F$8:$F$3006,B2711,Transactions!$O$8:$O$3006))</f>
        <v/>
      </c>
      <c r="F2711" s="53" t="str">
        <f>IF(B2711="","",SUMIF(Transactions!$F$8:$F$3006,B2711,Transactions!$R$8:$R$3006))</f>
        <v/>
      </c>
      <c r="G2711" s="54" t="str">
        <f>IF(B2711="","",(C2711+F2711)-(D2711+E2711+SUMIF(Transactions!$F$8:$F$3006,B2711,Transactions!$Q$8:$Q$3006)))</f>
        <v/>
      </c>
      <c r="H2711" s="55" t="str">
        <f>IF(B2711="","",IF(G2711&gt;0,"OUTSTANDING",IF(G2711=0,"SETTLED",IF(SUMIF(Transactions!$F$8:$F$3006,B2711,Transactions!$Q$8:$Q$3006)&gt;SUMIF(Transactions!$F$8:$F$3006,B2711,Transactions!$R$8:$R$3006),"OWES","OVERPAID"))))</f>
        <v/>
      </c>
      <c r="I2711" s="1"/>
    </row>
    <row r="2712" spans="1:9" ht="18" customHeight="1" x14ac:dyDescent="0.25">
      <c r="A2712" s="40">
        <v>2697</v>
      </c>
      <c r="B2712" s="41" t="str">
        <f t="array" ref="B2712">IFERROR(IF(INDEX(Transactions!$F$8:$F$3006,MATCH(0,COUNTIF($B$11:B2711,Transactions!$F$8:$F$3006),0))="","",INDEX(Transactions!$F$8:$F$3006,MATCH(0,COUNTIF($B$11:B2711,Transactions!$F$8:$F$3006),0))),"")</f>
        <v/>
      </c>
      <c r="C2712" s="42" t="str">
        <f>IF(B2712="","",SUMIF(Transactions!$F$8:$F$3006,B2712,Transactions!$H$8:$H$3006))</f>
        <v/>
      </c>
      <c r="D2712" s="43" t="str">
        <f>IF(B2712="","",SUMIF(Transactions!$F$8:$F$3006,B2712,Transactions!$N$8:$N$3006))</f>
        <v/>
      </c>
      <c r="E2712" s="44" t="str">
        <f>IF(B2712="","",SUMIF(Transactions!$F$8:$F$3006,B2712,Transactions!$O$8:$O$3006))</f>
        <v/>
      </c>
      <c r="F2712" s="45" t="str">
        <f>IF(B2712="","",SUMIF(Transactions!$F$8:$F$3006,B2712,Transactions!$R$8:$R$3006))</f>
        <v/>
      </c>
      <c r="G2712" s="46" t="str">
        <f>IF(B2712="","",(C2712+F2712)-(D2712+E2712+SUMIF(Transactions!$F$8:$F$3006,B2712,Transactions!$Q$8:$Q$3006)))</f>
        <v/>
      </c>
      <c r="H2712" s="47" t="str">
        <f>IF(B2712="","",IF(G2712&gt;0,"OUTSTANDING",IF(G2712=0,"SETTLED",IF(SUMIF(Transactions!$F$8:$F$3006,B2712,Transactions!$Q$8:$Q$3006)&gt;SUMIF(Transactions!$F$8:$F$3006,B2712,Transactions!$R$8:$R$3006),"OWES","OVERPAID"))))</f>
        <v/>
      </c>
      <c r="I2712" s="1"/>
    </row>
    <row r="2713" spans="1:9" ht="18" customHeight="1" x14ac:dyDescent="0.25">
      <c r="A2713" s="48">
        <v>2698</v>
      </c>
      <c r="B2713" s="49" t="str">
        <f t="array" ref="B2713">IFERROR(IF(INDEX(Transactions!$F$8:$F$3006,MATCH(0,COUNTIF($B$11:B2712,Transactions!$F$8:$F$3006),0))="","",INDEX(Transactions!$F$8:$F$3006,MATCH(0,COUNTIF($B$11:B2712,Transactions!$F$8:$F$3006),0))),"")</f>
        <v/>
      </c>
      <c r="C2713" s="50" t="str">
        <f>IF(B2713="","",SUMIF(Transactions!$F$8:$F$3006,B2713,Transactions!$H$8:$H$3006))</f>
        <v/>
      </c>
      <c r="D2713" s="51" t="str">
        <f>IF(B2713="","",SUMIF(Transactions!$F$8:$F$3006,B2713,Transactions!$N$8:$N$3006))</f>
        <v/>
      </c>
      <c r="E2713" s="52" t="str">
        <f>IF(B2713="","",SUMIF(Transactions!$F$8:$F$3006,B2713,Transactions!$O$8:$O$3006))</f>
        <v/>
      </c>
      <c r="F2713" s="53" t="str">
        <f>IF(B2713="","",SUMIF(Transactions!$F$8:$F$3006,B2713,Transactions!$R$8:$R$3006))</f>
        <v/>
      </c>
      <c r="G2713" s="54" t="str">
        <f>IF(B2713="","",(C2713+F2713)-(D2713+E2713+SUMIF(Transactions!$F$8:$F$3006,B2713,Transactions!$Q$8:$Q$3006)))</f>
        <v/>
      </c>
      <c r="H2713" s="55" t="str">
        <f>IF(B2713="","",IF(G2713&gt;0,"OUTSTANDING",IF(G2713=0,"SETTLED",IF(SUMIF(Transactions!$F$8:$F$3006,B2713,Transactions!$Q$8:$Q$3006)&gt;SUMIF(Transactions!$F$8:$F$3006,B2713,Transactions!$R$8:$R$3006),"OWES","OVERPAID"))))</f>
        <v/>
      </c>
      <c r="I2713" s="1"/>
    </row>
    <row r="2714" spans="1:9" ht="18" customHeight="1" x14ac:dyDescent="0.25">
      <c r="A2714" s="40">
        <v>2699</v>
      </c>
      <c r="B2714" s="41" t="str">
        <f t="array" ref="B2714">IFERROR(IF(INDEX(Transactions!$F$8:$F$3006,MATCH(0,COUNTIF($B$11:B2713,Transactions!$F$8:$F$3006),0))="","",INDEX(Transactions!$F$8:$F$3006,MATCH(0,COUNTIF($B$11:B2713,Transactions!$F$8:$F$3006),0))),"")</f>
        <v/>
      </c>
      <c r="C2714" s="42" t="str">
        <f>IF(B2714="","",SUMIF(Transactions!$F$8:$F$3006,B2714,Transactions!$H$8:$H$3006))</f>
        <v/>
      </c>
      <c r="D2714" s="43" t="str">
        <f>IF(B2714="","",SUMIF(Transactions!$F$8:$F$3006,B2714,Transactions!$N$8:$N$3006))</f>
        <v/>
      </c>
      <c r="E2714" s="44" t="str">
        <f>IF(B2714="","",SUMIF(Transactions!$F$8:$F$3006,B2714,Transactions!$O$8:$O$3006))</f>
        <v/>
      </c>
      <c r="F2714" s="45" t="str">
        <f>IF(B2714="","",SUMIF(Transactions!$F$8:$F$3006,B2714,Transactions!$R$8:$R$3006))</f>
        <v/>
      </c>
      <c r="G2714" s="46" t="str">
        <f>IF(B2714="","",(C2714+F2714)-(D2714+E2714+SUMIF(Transactions!$F$8:$F$3006,B2714,Transactions!$Q$8:$Q$3006)))</f>
        <v/>
      </c>
      <c r="H2714" s="47" t="str">
        <f>IF(B2714="","",IF(G2714&gt;0,"OUTSTANDING",IF(G2714=0,"SETTLED",IF(SUMIF(Transactions!$F$8:$F$3006,B2714,Transactions!$Q$8:$Q$3006)&gt;SUMIF(Transactions!$F$8:$F$3006,B2714,Transactions!$R$8:$R$3006),"OWES","OVERPAID"))))</f>
        <v/>
      </c>
      <c r="I2714" s="1"/>
    </row>
    <row r="2715" spans="1:9" ht="18" customHeight="1" x14ac:dyDescent="0.25">
      <c r="A2715" s="48">
        <v>2700</v>
      </c>
      <c r="B2715" s="49" t="str">
        <f t="array" ref="B2715">IFERROR(IF(INDEX(Transactions!$F$8:$F$3006,MATCH(0,COUNTIF($B$11:B2714,Transactions!$F$8:$F$3006),0))="","",INDEX(Transactions!$F$8:$F$3006,MATCH(0,COUNTIF($B$11:B2714,Transactions!$F$8:$F$3006),0))),"")</f>
        <v/>
      </c>
      <c r="C2715" s="50" t="str">
        <f>IF(B2715="","",SUMIF(Transactions!$F$8:$F$3006,B2715,Transactions!$H$8:$H$3006))</f>
        <v/>
      </c>
      <c r="D2715" s="51" t="str">
        <f>IF(B2715="","",SUMIF(Transactions!$F$8:$F$3006,B2715,Transactions!$N$8:$N$3006))</f>
        <v/>
      </c>
      <c r="E2715" s="52" t="str">
        <f>IF(B2715="","",SUMIF(Transactions!$F$8:$F$3006,B2715,Transactions!$O$8:$O$3006))</f>
        <v/>
      </c>
      <c r="F2715" s="53" t="str">
        <f>IF(B2715="","",SUMIF(Transactions!$F$8:$F$3006,B2715,Transactions!$R$8:$R$3006))</f>
        <v/>
      </c>
      <c r="G2715" s="54" t="str">
        <f>IF(B2715="","",(C2715+F2715)-(D2715+E2715+SUMIF(Transactions!$F$8:$F$3006,B2715,Transactions!$Q$8:$Q$3006)))</f>
        <v/>
      </c>
      <c r="H2715" s="55" t="str">
        <f>IF(B2715="","",IF(G2715&gt;0,"OUTSTANDING",IF(G2715=0,"SETTLED",IF(SUMIF(Transactions!$F$8:$F$3006,B2715,Transactions!$Q$8:$Q$3006)&gt;SUMIF(Transactions!$F$8:$F$3006,B2715,Transactions!$R$8:$R$3006),"OWES","OVERPAID"))))</f>
        <v/>
      </c>
      <c r="I2715" s="1"/>
    </row>
    <row r="2716" spans="1:9" ht="18" customHeight="1" x14ac:dyDescent="0.25">
      <c r="A2716" s="40">
        <v>2701</v>
      </c>
      <c r="B2716" s="41" t="str">
        <f t="array" ref="B2716">IFERROR(IF(INDEX(Transactions!$F$8:$F$3006,MATCH(0,COUNTIF($B$11:B2715,Transactions!$F$8:$F$3006),0))="","",INDEX(Transactions!$F$8:$F$3006,MATCH(0,COUNTIF($B$11:B2715,Transactions!$F$8:$F$3006),0))),"")</f>
        <v/>
      </c>
      <c r="C2716" s="42" t="str">
        <f>IF(B2716="","",SUMIF(Transactions!$F$8:$F$3006,B2716,Transactions!$H$8:$H$3006))</f>
        <v/>
      </c>
      <c r="D2716" s="43" t="str">
        <f>IF(B2716="","",SUMIF(Transactions!$F$8:$F$3006,B2716,Transactions!$N$8:$N$3006))</f>
        <v/>
      </c>
      <c r="E2716" s="44" t="str">
        <f>IF(B2716="","",SUMIF(Transactions!$F$8:$F$3006,B2716,Transactions!$O$8:$O$3006))</f>
        <v/>
      </c>
      <c r="F2716" s="45" t="str">
        <f>IF(B2716="","",SUMIF(Transactions!$F$8:$F$3006,B2716,Transactions!$R$8:$R$3006))</f>
        <v/>
      </c>
      <c r="G2716" s="46" t="str">
        <f>IF(B2716="","",(C2716+F2716)-(D2716+E2716+SUMIF(Transactions!$F$8:$F$3006,B2716,Transactions!$Q$8:$Q$3006)))</f>
        <v/>
      </c>
      <c r="H2716" s="47" t="str">
        <f>IF(B2716="","",IF(G2716&gt;0,"OUTSTANDING",IF(G2716=0,"SETTLED",IF(SUMIF(Transactions!$F$8:$F$3006,B2716,Transactions!$Q$8:$Q$3006)&gt;SUMIF(Transactions!$F$8:$F$3006,B2716,Transactions!$R$8:$R$3006),"OWES","OVERPAID"))))</f>
        <v/>
      </c>
      <c r="I2716" s="1"/>
    </row>
    <row r="2717" spans="1:9" ht="18" customHeight="1" x14ac:dyDescent="0.25">
      <c r="A2717" s="48">
        <v>2702</v>
      </c>
      <c r="B2717" s="49" t="str">
        <f t="array" ref="B2717">IFERROR(IF(INDEX(Transactions!$F$8:$F$3006,MATCH(0,COUNTIF($B$11:B2716,Transactions!$F$8:$F$3006),0))="","",INDEX(Transactions!$F$8:$F$3006,MATCH(0,COUNTIF($B$11:B2716,Transactions!$F$8:$F$3006),0))),"")</f>
        <v/>
      </c>
      <c r="C2717" s="50" t="str">
        <f>IF(B2717="","",SUMIF(Transactions!$F$8:$F$3006,B2717,Transactions!$H$8:$H$3006))</f>
        <v/>
      </c>
      <c r="D2717" s="51" t="str">
        <f>IF(B2717="","",SUMIF(Transactions!$F$8:$F$3006,B2717,Transactions!$N$8:$N$3006))</f>
        <v/>
      </c>
      <c r="E2717" s="52" t="str">
        <f>IF(B2717="","",SUMIF(Transactions!$F$8:$F$3006,B2717,Transactions!$O$8:$O$3006))</f>
        <v/>
      </c>
      <c r="F2717" s="53" t="str">
        <f>IF(B2717="","",SUMIF(Transactions!$F$8:$F$3006,B2717,Transactions!$R$8:$R$3006))</f>
        <v/>
      </c>
      <c r="G2717" s="54" t="str">
        <f>IF(B2717="","",(C2717+F2717)-(D2717+E2717+SUMIF(Transactions!$F$8:$F$3006,B2717,Transactions!$Q$8:$Q$3006)))</f>
        <v/>
      </c>
      <c r="H2717" s="55" t="str">
        <f>IF(B2717="","",IF(G2717&gt;0,"OUTSTANDING",IF(G2717=0,"SETTLED",IF(SUMIF(Transactions!$F$8:$F$3006,B2717,Transactions!$Q$8:$Q$3006)&gt;SUMIF(Transactions!$F$8:$F$3006,B2717,Transactions!$R$8:$R$3006),"OWES","OVERPAID"))))</f>
        <v/>
      </c>
      <c r="I2717" s="1"/>
    </row>
    <row r="2718" spans="1:9" ht="18" customHeight="1" x14ac:dyDescent="0.25">
      <c r="A2718" s="40">
        <v>2703</v>
      </c>
      <c r="B2718" s="41" t="str">
        <f t="array" ref="B2718">IFERROR(IF(INDEX(Transactions!$F$8:$F$3006,MATCH(0,COUNTIF($B$11:B2717,Transactions!$F$8:$F$3006),0))="","",INDEX(Transactions!$F$8:$F$3006,MATCH(0,COUNTIF($B$11:B2717,Transactions!$F$8:$F$3006),0))),"")</f>
        <v/>
      </c>
      <c r="C2718" s="42" t="str">
        <f>IF(B2718="","",SUMIF(Transactions!$F$8:$F$3006,B2718,Transactions!$H$8:$H$3006))</f>
        <v/>
      </c>
      <c r="D2718" s="43" t="str">
        <f>IF(B2718="","",SUMIF(Transactions!$F$8:$F$3006,B2718,Transactions!$N$8:$N$3006))</f>
        <v/>
      </c>
      <c r="E2718" s="44" t="str">
        <f>IF(B2718="","",SUMIF(Transactions!$F$8:$F$3006,B2718,Transactions!$O$8:$O$3006))</f>
        <v/>
      </c>
      <c r="F2718" s="45" t="str">
        <f>IF(B2718="","",SUMIF(Transactions!$F$8:$F$3006,B2718,Transactions!$R$8:$R$3006))</f>
        <v/>
      </c>
      <c r="G2718" s="46" t="str">
        <f>IF(B2718="","",(C2718+F2718)-(D2718+E2718+SUMIF(Transactions!$F$8:$F$3006,B2718,Transactions!$Q$8:$Q$3006)))</f>
        <v/>
      </c>
      <c r="H2718" s="47" t="str">
        <f>IF(B2718="","",IF(G2718&gt;0,"OUTSTANDING",IF(G2718=0,"SETTLED",IF(SUMIF(Transactions!$F$8:$F$3006,B2718,Transactions!$Q$8:$Q$3006)&gt;SUMIF(Transactions!$F$8:$F$3006,B2718,Transactions!$R$8:$R$3006),"OWES","OVERPAID"))))</f>
        <v/>
      </c>
      <c r="I2718" s="1"/>
    </row>
    <row r="2719" spans="1:9" ht="18" customHeight="1" x14ac:dyDescent="0.25">
      <c r="A2719" s="48">
        <v>2704</v>
      </c>
      <c r="B2719" s="49" t="str">
        <f t="array" ref="B2719">IFERROR(IF(INDEX(Transactions!$F$8:$F$3006,MATCH(0,COUNTIF($B$11:B2718,Transactions!$F$8:$F$3006),0))="","",INDEX(Transactions!$F$8:$F$3006,MATCH(0,COUNTIF($B$11:B2718,Transactions!$F$8:$F$3006),0))),"")</f>
        <v/>
      </c>
      <c r="C2719" s="50" t="str">
        <f>IF(B2719="","",SUMIF(Transactions!$F$8:$F$3006,B2719,Transactions!$H$8:$H$3006))</f>
        <v/>
      </c>
      <c r="D2719" s="51" t="str">
        <f>IF(B2719="","",SUMIF(Transactions!$F$8:$F$3006,B2719,Transactions!$N$8:$N$3006))</f>
        <v/>
      </c>
      <c r="E2719" s="52" t="str">
        <f>IF(B2719="","",SUMIF(Transactions!$F$8:$F$3006,B2719,Transactions!$O$8:$O$3006))</f>
        <v/>
      </c>
      <c r="F2719" s="53" t="str">
        <f>IF(B2719="","",SUMIF(Transactions!$F$8:$F$3006,B2719,Transactions!$R$8:$R$3006))</f>
        <v/>
      </c>
      <c r="G2719" s="54" t="str">
        <f>IF(B2719="","",(C2719+F2719)-(D2719+E2719+SUMIF(Transactions!$F$8:$F$3006,B2719,Transactions!$Q$8:$Q$3006)))</f>
        <v/>
      </c>
      <c r="H2719" s="55" t="str">
        <f>IF(B2719="","",IF(G2719&gt;0,"OUTSTANDING",IF(G2719=0,"SETTLED",IF(SUMIF(Transactions!$F$8:$F$3006,B2719,Transactions!$Q$8:$Q$3006)&gt;SUMIF(Transactions!$F$8:$F$3006,B2719,Transactions!$R$8:$R$3006),"OWES","OVERPAID"))))</f>
        <v/>
      </c>
      <c r="I2719" s="1"/>
    </row>
    <row r="2720" spans="1:9" ht="18" customHeight="1" x14ac:dyDescent="0.25">
      <c r="A2720" s="40">
        <v>2705</v>
      </c>
      <c r="B2720" s="41" t="str">
        <f t="array" ref="B2720">IFERROR(IF(INDEX(Transactions!$F$8:$F$3006,MATCH(0,COUNTIF($B$11:B2719,Transactions!$F$8:$F$3006),0))="","",INDEX(Transactions!$F$8:$F$3006,MATCH(0,COUNTIF($B$11:B2719,Transactions!$F$8:$F$3006),0))),"")</f>
        <v/>
      </c>
      <c r="C2720" s="42" t="str">
        <f>IF(B2720="","",SUMIF(Transactions!$F$8:$F$3006,B2720,Transactions!$H$8:$H$3006))</f>
        <v/>
      </c>
      <c r="D2720" s="43" t="str">
        <f>IF(B2720="","",SUMIF(Transactions!$F$8:$F$3006,B2720,Transactions!$N$8:$N$3006))</f>
        <v/>
      </c>
      <c r="E2720" s="44" t="str">
        <f>IF(B2720="","",SUMIF(Transactions!$F$8:$F$3006,B2720,Transactions!$O$8:$O$3006))</f>
        <v/>
      </c>
      <c r="F2720" s="45" t="str">
        <f>IF(B2720="","",SUMIF(Transactions!$F$8:$F$3006,B2720,Transactions!$R$8:$R$3006))</f>
        <v/>
      </c>
      <c r="G2720" s="46" t="str">
        <f>IF(B2720="","",(C2720+F2720)-(D2720+E2720+SUMIF(Transactions!$F$8:$F$3006,B2720,Transactions!$Q$8:$Q$3006)))</f>
        <v/>
      </c>
      <c r="H2720" s="47" t="str">
        <f>IF(B2720="","",IF(G2720&gt;0,"OUTSTANDING",IF(G2720=0,"SETTLED",IF(SUMIF(Transactions!$F$8:$F$3006,B2720,Transactions!$Q$8:$Q$3006)&gt;SUMIF(Transactions!$F$8:$F$3006,B2720,Transactions!$R$8:$R$3006),"OWES","OVERPAID"))))</f>
        <v/>
      </c>
      <c r="I2720" s="1"/>
    </row>
    <row r="2721" spans="1:9" ht="18" customHeight="1" x14ac:dyDescent="0.25">
      <c r="A2721" s="48">
        <v>2706</v>
      </c>
      <c r="B2721" s="49" t="str">
        <f t="array" ref="B2721">IFERROR(IF(INDEX(Transactions!$F$8:$F$3006,MATCH(0,COUNTIF($B$11:B2720,Transactions!$F$8:$F$3006),0))="","",INDEX(Transactions!$F$8:$F$3006,MATCH(0,COUNTIF($B$11:B2720,Transactions!$F$8:$F$3006),0))),"")</f>
        <v/>
      </c>
      <c r="C2721" s="50" t="str">
        <f>IF(B2721="","",SUMIF(Transactions!$F$8:$F$3006,B2721,Transactions!$H$8:$H$3006))</f>
        <v/>
      </c>
      <c r="D2721" s="51" t="str">
        <f>IF(B2721="","",SUMIF(Transactions!$F$8:$F$3006,B2721,Transactions!$N$8:$N$3006))</f>
        <v/>
      </c>
      <c r="E2721" s="52" t="str">
        <f>IF(B2721="","",SUMIF(Transactions!$F$8:$F$3006,B2721,Transactions!$O$8:$O$3006))</f>
        <v/>
      </c>
      <c r="F2721" s="53" t="str">
        <f>IF(B2721="","",SUMIF(Transactions!$F$8:$F$3006,B2721,Transactions!$R$8:$R$3006))</f>
        <v/>
      </c>
      <c r="G2721" s="54" t="str">
        <f>IF(B2721="","",(C2721+F2721)-(D2721+E2721+SUMIF(Transactions!$F$8:$F$3006,B2721,Transactions!$Q$8:$Q$3006)))</f>
        <v/>
      </c>
      <c r="H2721" s="55" t="str">
        <f>IF(B2721="","",IF(G2721&gt;0,"OUTSTANDING",IF(G2721=0,"SETTLED",IF(SUMIF(Transactions!$F$8:$F$3006,B2721,Transactions!$Q$8:$Q$3006)&gt;SUMIF(Transactions!$F$8:$F$3006,B2721,Transactions!$R$8:$R$3006),"OWES","OVERPAID"))))</f>
        <v/>
      </c>
      <c r="I2721" s="1"/>
    </row>
    <row r="2722" spans="1:9" ht="18" customHeight="1" x14ac:dyDescent="0.25">
      <c r="A2722" s="40">
        <v>2707</v>
      </c>
      <c r="B2722" s="41" t="str">
        <f t="array" ref="B2722">IFERROR(IF(INDEX(Transactions!$F$8:$F$3006,MATCH(0,COUNTIF($B$11:B2721,Transactions!$F$8:$F$3006),0))="","",INDEX(Transactions!$F$8:$F$3006,MATCH(0,COUNTIF($B$11:B2721,Transactions!$F$8:$F$3006),0))),"")</f>
        <v/>
      </c>
      <c r="C2722" s="42" t="str">
        <f>IF(B2722="","",SUMIF(Transactions!$F$8:$F$3006,B2722,Transactions!$H$8:$H$3006))</f>
        <v/>
      </c>
      <c r="D2722" s="43" t="str">
        <f>IF(B2722="","",SUMIF(Transactions!$F$8:$F$3006,B2722,Transactions!$N$8:$N$3006))</f>
        <v/>
      </c>
      <c r="E2722" s="44" t="str">
        <f>IF(B2722="","",SUMIF(Transactions!$F$8:$F$3006,B2722,Transactions!$O$8:$O$3006))</f>
        <v/>
      </c>
      <c r="F2722" s="45" t="str">
        <f>IF(B2722="","",SUMIF(Transactions!$F$8:$F$3006,B2722,Transactions!$R$8:$R$3006))</f>
        <v/>
      </c>
      <c r="G2722" s="46" t="str">
        <f>IF(B2722="","",(C2722+F2722)-(D2722+E2722+SUMIF(Transactions!$F$8:$F$3006,B2722,Transactions!$Q$8:$Q$3006)))</f>
        <v/>
      </c>
      <c r="H2722" s="47" t="str">
        <f>IF(B2722="","",IF(G2722&gt;0,"OUTSTANDING",IF(G2722=0,"SETTLED",IF(SUMIF(Transactions!$F$8:$F$3006,B2722,Transactions!$Q$8:$Q$3006)&gt;SUMIF(Transactions!$F$8:$F$3006,B2722,Transactions!$R$8:$R$3006),"OWES","OVERPAID"))))</f>
        <v/>
      </c>
      <c r="I2722" s="1"/>
    </row>
    <row r="2723" spans="1:9" ht="18" customHeight="1" x14ac:dyDescent="0.25">
      <c r="A2723" s="48">
        <v>2708</v>
      </c>
      <c r="B2723" s="49" t="str">
        <f t="array" ref="B2723">IFERROR(IF(INDEX(Transactions!$F$8:$F$3006,MATCH(0,COUNTIF($B$11:B2722,Transactions!$F$8:$F$3006),0))="","",INDEX(Transactions!$F$8:$F$3006,MATCH(0,COUNTIF($B$11:B2722,Transactions!$F$8:$F$3006),0))),"")</f>
        <v/>
      </c>
      <c r="C2723" s="50" t="str">
        <f>IF(B2723="","",SUMIF(Transactions!$F$8:$F$3006,B2723,Transactions!$H$8:$H$3006))</f>
        <v/>
      </c>
      <c r="D2723" s="51" t="str">
        <f>IF(B2723="","",SUMIF(Transactions!$F$8:$F$3006,B2723,Transactions!$N$8:$N$3006))</f>
        <v/>
      </c>
      <c r="E2723" s="52" t="str">
        <f>IF(B2723="","",SUMIF(Transactions!$F$8:$F$3006,B2723,Transactions!$O$8:$O$3006))</f>
        <v/>
      </c>
      <c r="F2723" s="53" t="str">
        <f>IF(B2723="","",SUMIF(Transactions!$F$8:$F$3006,B2723,Transactions!$R$8:$R$3006))</f>
        <v/>
      </c>
      <c r="G2723" s="54" t="str">
        <f>IF(B2723="","",(C2723+F2723)-(D2723+E2723+SUMIF(Transactions!$F$8:$F$3006,B2723,Transactions!$Q$8:$Q$3006)))</f>
        <v/>
      </c>
      <c r="H2723" s="55" t="str">
        <f>IF(B2723="","",IF(G2723&gt;0,"OUTSTANDING",IF(G2723=0,"SETTLED",IF(SUMIF(Transactions!$F$8:$F$3006,B2723,Transactions!$Q$8:$Q$3006)&gt;SUMIF(Transactions!$F$8:$F$3006,B2723,Transactions!$R$8:$R$3006),"OWES","OVERPAID"))))</f>
        <v/>
      </c>
      <c r="I2723" s="1"/>
    </row>
    <row r="2724" spans="1:9" ht="18" customHeight="1" x14ac:dyDescent="0.25">
      <c r="A2724" s="40">
        <v>2709</v>
      </c>
      <c r="B2724" s="41" t="str">
        <f t="array" ref="B2724">IFERROR(IF(INDEX(Transactions!$F$8:$F$3006,MATCH(0,COUNTIF($B$11:B2723,Transactions!$F$8:$F$3006),0))="","",INDEX(Transactions!$F$8:$F$3006,MATCH(0,COUNTIF($B$11:B2723,Transactions!$F$8:$F$3006),0))),"")</f>
        <v/>
      </c>
      <c r="C2724" s="42" t="str">
        <f>IF(B2724="","",SUMIF(Transactions!$F$8:$F$3006,B2724,Transactions!$H$8:$H$3006))</f>
        <v/>
      </c>
      <c r="D2724" s="43" t="str">
        <f>IF(B2724="","",SUMIF(Transactions!$F$8:$F$3006,B2724,Transactions!$N$8:$N$3006))</f>
        <v/>
      </c>
      <c r="E2724" s="44" t="str">
        <f>IF(B2724="","",SUMIF(Transactions!$F$8:$F$3006,B2724,Transactions!$O$8:$O$3006))</f>
        <v/>
      </c>
      <c r="F2724" s="45" t="str">
        <f>IF(B2724="","",SUMIF(Transactions!$F$8:$F$3006,B2724,Transactions!$R$8:$R$3006))</f>
        <v/>
      </c>
      <c r="G2724" s="46" t="str">
        <f>IF(B2724="","",(C2724+F2724)-(D2724+E2724+SUMIF(Transactions!$F$8:$F$3006,B2724,Transactions!$Q$8:$Q$3006)))</f>
        <v/>
      </c>
      <c r="H2724" s="47" t="str">
        <f>IF(B2724="","",IF(G2724&gt;0,"OUTSTANDING",IF(G2724=0,"SETTLED",IF(SUMIF(Transactions!$F$8:$F$3006,B2724,Transactions!$Q$8:$Q$3006)&gt;SUMIF(Transactions!$F$8:$F$3006,B2724,Transactions!$R$8:$R$3006),"OWES","OVERPAID"))))</f>
        <v/>
      </c>
      <c r="I2724" s="1"/>
    </row>
    <row r="2725" spans="1:9" ht="18" customHeight="1" x14ac:dyDescent="0.25">
      <c r="A2725" s="48">
        <v>2710</v>
      </c>
      <c r="B2725" s="49" t="str">
        <f t="array" ref="B2725">IFERROR(IF(INDEX(Transactions!$F$8:$F$3006,MATCH(0,COUNTIF($B$11:B2724,Transactions!$F$8:$F$3006),0))="","",INDEX(Transactions!$F$8:$F$3006,MATCH(0,COUNTIF($B$11:B2724,Transactions!$F$8:$F$3006),0))),"")</f>
        <v/>
      </c>
      <c r="C2725" s="50" t="str">
        <f>IF(B2725="","",SUMIF(Transactions!$F$8:$F$3006,B2725,Transactions!$H$8:$H$3006))</f>
        <v/>
      </c>
      <c r="D2725" s="51" t="str">
        <f>IF(B2725="","",SUMIF(Transactions!$F$8:$F$3006,B2725,Transactions!$N$8:$N$3006))</f>
        <v/>
      </c>
      <c r="E2725" s="52" t="str">
        <f>IF(B2725="","",SUMIF(Transactions!$F$8:$F$3006,B2725,Transactions!$O$8:$O$3006))</f>
        <v/>
      </c>
      <c r="F2725" s="53" t="str">
        <f>IF(B2725="","",SUMIF(Transactions!$F$8:$F$3006,B2725,Transactions!$R$8:$R$3006))</f>
        <v/>
      </c>
      <c r="G2725" s="54" t="str">
        <f>IF(B2725="","",(C2725+F2725)-(D2725+E2725+SUMIF(Transactions!$F$8:$F$3006,B2725,Transactions!$Q$8:$Q$3006)))</f>
        <v/>
      </c>
      <c r="H2725" s="55" t="str">
        <f>IF(B2725="","",IF(G2725&gt;0,"OUTSTANDING",IF(G2725=0,"SETTLED",IF(SUMIF(Transactions!$F$8:$F$3006,B2725,Transactions!$Q$8:$Q$3006)&gt;SUMIF(Transactions!$F$8:$F$3006,B2725,Transactions!$R$8:$R$3006),"OWES","OVERPAID"))))</f>
        <v/>
      </c>
      <c r="I2725" s="1"/>
    </row>
    <row r="2726" spans="1:9" ht="18" customHeight="1" x14ac:dyDescent="0.25">
      <c r="A2726" s="40">
        <v>2711</v>
      </c>
      <c r="B2726" s="41" t="str">
        <f t="array" ref="B2726">IFERROR(IF(INDEX(Transactions!$F$8:$F$3006,MATCH(0,COUNTIF($B$11:B2725,Transactions!$F$8:$F$3006),0))="","",INDEX(Transactions!$F$8:$F$3006,MATCH(0,COUNTIF($B$11:B2725,Transactions!$F$8:$F$3006),0))),"")</f>
        <v/>
      </c>
      <c r="C2726" s="42" t="str">
        <f>IF(B2726="","",SUMIF(Transactions!$F$8:$F$3006,B2726,Transactions!$H$8:$H$3006))</f>
        <v/>
      </c>
      <c r="D2726" s="43" t="str">
        <f>IF(B2726="","",SUMIF(Transactions!$F$8:$F$3006,B2726,Transactions!$N$8:$N$3006))</f>
        <v/>
      </c>
      <c r="E2726" s="44" t="str">
        <f>IF(B2726="","",SUMIF(Transactions!$F$8:$F$3006,B2726,Transactions!$O$8:$O$3006))</f>
        <v/>
      </c>
      <c r="F2726" s="45" t="str">
        <f>IF(B2726="","",SUMIF(Transactions!$F$8:$F$3006,B2726,Transactions!$R$8:$R$3006))</f>
        <v/>
      </c>
      <c r="G2726" s="46" t="str">
        <f>IF(B2726="","",(C2726+F2726)-(D2726+E2726+SUMIF(Transactions!$F$8:$F$3006,B2726,Transactions!$Q$8:$Q$3006)))</f>
        <v/>
      </c>
      <c r="H2726" s="47" t="str">
        <f>IF(B2726="","",IF(G2726&gt;0,"OUTSTANDING",IF(G2726=0,"SETTLED",IF(SUMIF(Transactions!$F$8:$F$3006,B2726,Transactions!$Q$8:$Q$3006)&gt;SUMIF(Transactions!$F$8:$F$3006,B2726,Transactions!$R$8:$R$3006),"OWES","OVERPAID"))))</f>
        <v/>
      </c>
      <c r="I2726" s="1"/>
    </row>
    <row r="2727" spans="1:9" ht="18" customHeight="1" x14ac:dyDescent="0.25">
      <c r="A2727" s="48">
        <v>2712</v>
      </c>
      <c r="B2727" s="49" t="str">
        <f t="array" ref="B2727">IFERROR(IF(INDEX(Transactions!$F$8:$F$3006,MATCH(0,COUNTIF($B$11:B2726,Transactions!$F$8:$F$3006),0))="","",INDEX(Transactions!$F$8:$F$3006,MATCH(0,COUNTIF($B$11:B2726,Transactions!$F$8:$F$3006),0))),"")</f>
        <v/>
      </c>
      <c r="C2727" s="50" t="str">
        <f>IF(B2727="","",SUMIF(Transactions!$F$8:$F$3006,B2727,Transactions!$H$8:$H$3006))</f>
        <v/>
      </c>
      <c r="D2727" s="51" t="str">
        <f>IF(B2727="","",SUMIF(Transactions!$F$8:$F$3006,B2727,Transactions!$N$8:$N$3006))</f>
        <v/>
      </c>
      <c r="E2727" s="52" t="str">
        <f>IF(B2727="","",SUMIF(Transactions!$F$8:$F$3006,B2727,Transactions!$O$8:$O$3006))</f>
        <v/>
      </c>
      <c r="F2727" s="53" t="str">
        <f>IF(B2727="","",SUMIF(Transactions!$F$8:$F$3006,B2727,Transactions!$R$8:$R$3006))</f>
        <v/>
      </c>
      <c r="G2727" s="54" t="str">
        <f>IF(B2727="","",(C2727+F2727)-(D2727+E2727+SUMIF(Transactions!$F$8:$F$3006,B2727,Transactions!$Q$8:$Q$3006)))</f>
        <v/>
      </c>
      <c r="H2727" s="55" t="str">
        <f>IF(B2727="","",IF(G2727&gt;0,"OUTSTANDING",IF(G2727=0,"SETTLED",IF(SUMIF(Transactions!$F$8:$F$3006,B2727,Transactions!$Q$8:$Q$3006)&gt;SUMIF(Transactions!$F$8:$F$3006,B2727,Transactions!$R$8:$R$3006),"OWES","OVERPAID"))))</f>
        <v/>
      </c>
      <c r="I2727" s="1"/>
    </row>
    <row r="2728" spans="1:9" ht="18" customHeight="1" x14ac:dyDescent="0.25">
      <c r="A2728" s="40">
        <v>2713</v>
      </c>
      <c r="B2728" s="41" t="str">
        <f t="array" ref="B2728">IFERROR(IF(INDEX(Transactions!$F$8:$F$3006,MATCH(0,COUNTIF($B$11:B2727,Transactions!$F$8:$F$3006),0))="","",INDEX(Transactions!$F$8:$F$3006,MATCH(0,COUNTIF($B$11:B2727,Transactions!$F$8:$F$3006),0))),"")</f>
        <v/>
      </c>
      <c r="C2728" s="42" t="str">
        <f>IF(B2728="","",SUMIF(Transactions!$F$8:$F$3006,B2728,Transactions!$H$8:$H$3006))</f>
        <v/>
      </c>
      <c r="D2728" s="43" t="str">
        <f>IF(B2728="","",SUMIF(Transactions!$F$8:$F$3006,B2728,Transactions!$N$8:$N$3006))</f>
        <v/>
      </c>
      <c r="E2728" s="44" t="str">
        <f>IF(B2728="","",SUMIF(Transactions!$F$8:$F$3006,B2728,Transactions!$O$8:$O$3006))</f>
        <v/>
      </c>
      <c r="F2728" s="45" t="str">
        <f>IF(B2728="","",SUMIF(Transactions!$F$8:$F$3006,B2728,Transactions!$R$8:$R$3006))</f>
        <v/>
      </c>
      <c r="G2728" s="46" t="str">
        <f>IF(B2728="","",(C2728+F2728)-(D2728+E2728+SUMIF(Transactions!$F$8:$F$3006,B2728,Transactions!$Q$8:$Q$3006)))</f>
        <v/>
      </c>
      <c r="H2728" s="47" t="str">
        <f>IF(B2728="","",IF(G2728&gt;0,"OUTSTANDING",IF(G2728=0,"SETTLED",IF(SUMIF(Transactions!$F$8:$F$3006,B2728,Transactions!$Q$8:$Q$3006)&gt;SUMIF(Transactions!$F$8:$F$3006,B2728,Transactions!$R$8:$R$3006),"OWES","OVERPAID"))))</f>
        <v/>
      </c>
      <c r="I2728" s="1"/>
    </row>
    <row r="2729" spans="1:9" ht="18" customHeight="1" x14ac:dyDescent="0.25">
      <c r="A2729" s="48">
        <v>2714</v>
      </c>
      <c r="B2729" s="49" t="str">
        <f t="array" ref="B2729">IFERROR(IF(INDEX(Transactions!$F$8:$F$3006,MATCH(0,COUNTIF($B$11:B2728,Transactions!$F$8:$F$3006),0))="","",INDEX(Transactions!$F$8:$F$3006,MATCH(0,COUNTIF($B$11:B2728,Transactions!$F$8:$F$3006),0))),"")</f>
        <v/>
      </c>
      <c r="C2729" s="50" t="str">
        <f>IF(B2729="","",SUMIF(Transactions!$F$8:$F$3006,B2729,Transactions!$H$8:$H$3006))</f>
        <v/>
      </c>
      <c r="D2729" s="51" t="str">
        <f>IF(B2729="","",SUMIF(Transactions!$F$8:$F$3006,B2729,Transactions!$N$8:$N$3006))</f>
        <v/>
      </c>
      <c r="E2729" s="52" t="str">
        <f>IF(B2729="","",SUMIF(Transactions!$F$8:$F$3006,B2729,Transactions!$O$8:$O$3006))</f>
        <v/>
      </c>
      <c r="F2729" s="53" t="str">
        <f>IF(B2729="","",SUMIF(Transactions!$F$8:$F$3006,B2729,Transactions!$R$8:$R$3006))</f>
        <v/>
      </c>
      <c r="G2729" s="54" t="str">
        <f>IF(B2729="","",(C2729+F2729)-(D2729+E2729+SUMIF(Transactions!$F$8:$F$3006,B2729,Transactions!$Q$8:$Q$3006)))</f>
        <v/>
      </c>
      <c r="H2729" s="55" t="str">
        <f>IF(B2729="","",IF(G2729&gt;0,"OUTSTANDING",IF(G2729=0,"SETTLED",IF(SUMIF(Transactions!$F$8:$F$3006,B2729,Transactions!$Q$8:$Q$3006)&gt;SUMIF(Transactions!$F$8:$F$3006,B2729,Transactions!$R$8:$R$3006),"OWES","OVERPAID"))))</f>
        <v/>
      </c>
      <c r="I2729" s="1"/>
    </row>
    <row r="2730" spans="1:9" ht="18" customHeight="1" x14ac:dyDescent="0.25">
      <c r="A2730" s="40">
        <v>2715</v>
      </c>
      <c r="B2730" s="41" t="str">
        <f t="array" ref="B2730">IFERROR(IF(INDEX(Transactions!$F$8:$F$3006,MATCH(0,COUNTIF($B$11:B2729,Transactions!$F$8:$F$3006),0))="","",INDEX(Transactions!$F$8:$F$3006,MATCH(0,COUNTIF($B$11:B2729,Transactions!$F$8:$F$3006),0))),"")</f>
        <v/>
      </c>
      <c r="C2730" s="42" t="str">
        <f>IF(B2730="","",SUMIF(Transactions!$F$8:$F$3006,B2730,Transactions!$H$8:$H$3006))</f>
        <v/>
      </c>
      <c r="D2730" s="43" t="str">
        <f>IF(B2730="","",SUMIF(Transactions!$F$8:$F$3006,B2730,Transactions!$N$8:$N$3006))</f>
        <v/>
      </c>
      <c r="E2730" s="44" t="str">
        <f>IF(B2730="","",SUMIF(Transactions!$F$8:$F$3006,B2730,Transactions!$O$8:$O$3006))</f>
        <v/>
      </c>
      <c r="F2730" s="45" t="str">
        <f>IF(B2730="","",SUMIF(Transactions!$F$8:$F$3006,B2730,Transactions!$R$8:$R$3006))</f>
        <v/>
      </c>
      <c r="G2730" s="46" t="str">
        <f>IF(B2730="","",(C2730+F2730)-(D2730+E2730+SUMIF(Transactions!$F$8:$F$3006,B2730,Transactions!$Q$8:$Q$3006)))</f>
        <v/>
      </c>
      <c r="H2730" s="47" t="str">
        <f>IF(B2730="","",IF(G2730&gt;0,"OUTSTANDING",IF(G2730=0,"SETTLED",IF(SUMIF(Transactions!$F$8:$F$3006,B2730,Transactions!$Q$8:$Q$3006)&gt;SUMIF(Transactions!$F$8:$F$3006,B2730,Transactions!$R$8:$R$3006),"OWES","OVERPAID"))))</f>
        <v/>
      </c>
      <c r="I2730" s="1"/>
    </row>
    <row r="2731" spans="1:9" ht="18" customHeight="1" x14ac:dyDescent="0.25">
      <c r="A2731" s="48">
        <v>2716</v>
      </c>
      <c r="B2731" s="49" t="str">
        <f t="array" ref="B2731">IFERROR(IF(INDEX(Transactions!$F$8:$F$3006,MATCH(0,COUNTIF($B$11:B2730,Transactions!$F$8:$F$3006),0))="","",INDEX(Transactions!$F$8:$F$3006,MATCH(0,COUNTIF($B$11:B2730,Transactions!$F$8:$F$3006),0))),"")</f>
        <v/>
      </c>
      <c r="C2731" s="50" t="str">
        <f>IF(B2731="","",SUMIF(Transactions!$F$8:$F$3006,B2731,Transactions!$H$8:$H$3006))</f>
        <v/>
      </c>
      <c r="D2731" s="51" t="str">
        <f>IF(B2731="","",SUMIF(Transactions!$F$8:$F$3006,B2731,Transactions!$N$8:$N$3006))</f>
        <v/>
      </c>
      <c r="E2731" s="52" t="str">
        <f>IF(B2731="","",SUMIF(Transactions!$F$8:$F$3006,B2731,Transactions!$O$8:$O$3006))</f>
        <v/>
      </c>
      <c r="F2731" s="53" t="str">
        <f>IF(B2731="","",SUMIF(Transactions!$F$8:$F$3006,B2731,Transactions!$R$8:$R$3006))</f>
        <v/>
      </c>
      <c r="G2731" s="54" t="str">
        <f>IF(B2731="","",(C2731+F2731)-(D2731+E2731+SUMIF(Transactions!$F$8:$F$3006,B2731,Transactions!$Q$8:$Q$3006)))</f>
        <v/>
      </c>
      <c r="H2731" s="55" t="str">
        <f>IF(B2731="","",IF(G2731&gt;0,"OUTSTANDING",IF(G2731=0,"SETTLED",IF(SUMIF(Transactions!$F$8:$F$3006,B2731,Transactions!$Q$8:$Q$3006)&gt;SUMIF(Transactions!$F$8:$F$3006,B2731,Transactions!$R$8:$R$3006),"OWES","OVERPAID"))))</f>
        <v/>
      </c>
      <c r="I2731" s="1"/>
    </row>
    <row r="2732" spans="1:9" ht="18" customHeight="1" x14ac:dyDescent="0.25">
      <c r="A2732" s="40">
        <v>2717</v>
      </c>
      <c r="B2732" s="41" t="str">
        <f t="array" ref="B2732">IFERROR(IF(INDEX(Transactions!$F$8:$F$3006,MATCH(0,COUNTIF($B$11:B2731,Transactions!$F$8:$F$3006),0))="","",INDEX(Transactions!$F$8:$F$3006,MATCH(0,COUNTIF($B$11:B2731,Transactions!$F$8:$F$3006),0))),"")</f>
        <v/>
      </c>
      <c r="C2732" s="42" t="str">
        <f>IF(B2732="","",SUMIF(Transactions!$F$8:$F$3006,B2732,Transactions!$H$8:$H$3006))</f>
        <v/>
      </c>
      <c r="D2732" s="43" t="str">
        <f>IF(B2732="","",SUMIF(Transactions!$F$8:$F$3006,B2732,Transactions!$N$8:$N$3006))</f>
        <v/>
      </c>
      <c r="E2732" s="44" t="str">
        <f>IF(B2732="","",SUMIF(Transactions!$F$8:$F$3006,B2732,Transactions!$O$8:$O$3006))</f>
        <v/>
      </c>
      <c r="F2732" s="45" t="str">
        <f>IF(B2732="","",SUMIF(Transactions!$F$8:$F$3006,B2732,Transactions!$R$8:$R$3006))</f>
        <v/>
      </c>
      <c r="G2732" s="46" t="str">
        <f>IF(B2732="","",(C2732+F2732)-(D2732+E2732+SUMIF(Transactions!$F$8:$F$3006,B2732,Transactions!$Q$8:$Q$3006)))</f>
        <v/>
      </c>
      <c r="H2732" s="47" t="str">
        <f>IF(B2732="","",IF(G2732&gt;0,"OUTSTANDING",IF(G2732=0,"SETTLED",IF(SUMIF(Transactions!$F$8:$F$3006,B2732,Transactions!$Q$8:$Q$3006)&gt;SUMIF(Transactions!$F$8:$F$3006,B2732,Transactions!$R$8:$R$3006),"OWES","OVERPAID"))))</f>
        <v/>
      </c>
      <c r="I2732" s="1"/>
    </row>
    <row r="2733" spans="1:9" ht="18" customHeight="1" x14ac:dyDescent="0.25">
      <c r="A2733" s="48">
        <v>2718</v>
      </c>
      <c r="B2733" s="49" t="str">
        <f t="array" ref="B2733">IFERROR(IF(INDEX(Transactions!$F$8:$F$3006,MATCH(0,COUNTIF($B$11:B2732,Transactions!$F$8:$F$3006),0))="","",INDEX(Transactions!$F$8:$F$3006,MATCH(0,COUNTIF($B$11:B2732,Transactions!$F$8:$F$3006),0))),"")</f>
        <v/>
      </c>
      <c r="C2733" s="50" t="str">
        <f>IF(B2733="","",SUMIF(Transactions!$F$8:$F$3006,B2733,Transactions!$H$8:$H$3006))</f>
        <v/>
      </c>
      <c r="D2733" s="51" t="str">
        <f>IF(B2733="","",SUMIF(Transactions!$F$8:$F$3006,B2733,Transactions!$N$8:$N$3006))</f>
        <v/>
      </c>
      <c r="E2733" s="52" t="str">
        <f>IF(B2733="","",SUMIF(Transactions!$F$8:$F$3006,B2733,Transactions!$O$8:$O$3006))</f>
        <v/>
      </c>
      <c r="F2733" s="53" t="str">
        <f>IF(B2733="","",SUMIF(Transactions!$F$8:$F$3006,B2733,Transactions!$R$8:$R$3006))</f>
        <v/>
      </c>
      <c r="G2733" s="54" t="str">
        <f>IF(B2733="","",(C2733+F2733)-(D2733+E2733+SUMIF(Transactions!$F$8:$F$3006,B2733,Transactions!$Q$8:$Q$3006)))</f>
        <v/>
      </c>
      <c r="H2733" s="55" t="str">
        <f>IF(B2733="","",IF(G2733&gt;0,"OUTSTANDING",IF(G2733=0,"SETTLED",IF(SUMIF(Transactions!$F$8:$F$3006,B2733,Transactions!$Q$8:$Q$3006)&gt;SUMIF(Transactions!$F$8:$F$3006,B2733,Transactions!$R$8:$R$3006),"OWES","OVERPAID"))))</f>
        <v/>
      </c>
      <c r="I2733" s="1"/>
    </row>
    <row r="2734" spans="1:9" ht="18" customHeight="1" x14ac:dyDescent="0.25">
      <c r="A2734" s="40">
        <v>2719</v>
      </c>
      <c r="B2734" s="41" t="str">
        <f t="array" ref="B2734">IFERROR(IF(INDEX(Transactions!$F$8:$F$3006,MATCH(0,COUNTIF($B$11:B2733,Transactions!$F$8:$F$3006),0))="","",INDEX(Transactions!$F$8:$F$3006,MATCH(0,COUNTIF($B$11:B2733,Transactions!$F$8:$F$3006),0))),"")</f>
        <v/>
      </c>
      <c r="C2734" s="42" t="str">
        <f>IF(B2734="","",SUMIF(Transactions!$F$8:$F$3006,B2734,Transactions!$H$8:$H$3006))</f>
        <v/>
      </c>
      <c r="D2734" s="43" t="str">
        <f>IF(B2734="","",SUMIF(Transactions!$F$8:$F$3006,B2734,Transactions!$N$8:$N$3006))</f>
        <v/>
      </c>
      <c r="E2734" s="44" t="str">
        <f>IF(B2734="","",SUMIF(Transactions!$F$8:$F$3006,B2734,Transactions!$O$8:$O$3006))</f>
        <v/>
      </c>
      <c r="F2734" s="45" t="str">
        <f>IF(B2734="","",SUMIF(Transactions!$F$8:$F$3006,B2734,Transactions!$R$8:$R$3006))</f>
        <v/>
      </c>
      <c r="G2734" s="46" t="str">
        <f>IF(B2734="","",(C2734+F2734)-(D2734+E2734+SUMIF(Transactions!$F$8:$F$3006,B2734,Transactions!$Q$8:$Q$3006)))</f>
        <v/>
      </c>
      <c r="H2734" s="47" t="str">
        <f>IF(B2734="","",IF(G2734&gt;0,"OUTSTANDING",IF(G2734=0,"SETTLED",IF(SUMIF(Transactions!$F$8:$F$3006,B2734,Transactions!$Q$8:$Q$3006)&gt;SUMIF(Transactions!$F$8:$F$3006,B2734,Transactions!$R$8:$R$3006),"OWES","OVERPAID"))))</f>
        <v/>
      </c>
      <c r="I2734" s="1"/>
    </row>
    <row r="2735" spans="1:9" ht="18" customHeight="1" x14ac:dyDescent="0.25">
      <c r="A2735" s="48">
        <v>2720</v>
      </c>
      <c r="B2735" s="49" t="str">
        <f t="array" ref="B2735">IFERROR(IF(INDEX(Transactions!$F$8:$F$3006,MATCH(0,COUNTIF($B$11:B2734,Transactions!$F$8:$F$3006),0))="","",INDEX(Transactions!$F$8:$F$3006,MATCH(0,COUNTIF($B$11:B2734,Transactions!$F$8:$F$3006),0))),"")</f>
        <v/>
      </c>
      <c r="C2735" s="50" t="str">
        <f>IF(B2735="","",SUMIF(Transactions!$F$8:$F$3006,B2735,Transactions!$H$8:$H$3006))</f>
        <v/>
      </c>
      <c r="D2735" s="51" t="str">
        <f>IF(B2735="","",SUMIF(Transactions!$F$8:$F$3006,B2735,Transactions!$N$8:$N$3006))</f>
        <v/>
      </c>
      <c r="E2735" s="52" t="str">
        <f>IF(B2735="","",SUMIF(Transactions!$F$8:$F$3006,B2735,Transactions!$O$8:$O$3006))</f>
        <v/>
      </c>
      <c r="F2735" s="53" t="str">
        <f>IF(B2735="","",SUMIF(Transactions!$F$8:$F$3006,B2735,Transactions!$R$8:$R$3006))</f>
        <v/>
      </c>
      <c r="G2735" s="54" t="str">
        <f>IF(B2735="","",(C2735+F2735)-(D2735+E2735+SUMIF(Transactions!$F$8:$F$3006,B2735,Transactions!$Q$8:$Q$3006)))</f>
        <v/>
      </c>
      <c r="H2735" s="55" t="str">
        <f>IF(B2735="","",IF(G2735&gt;0,"OUTSTANDING",IF(G2735=0,"SETTLED",IF(SUMIF(Transactions!$F$8:$F$3006,B2735,Transactions!$Q$8:$Q$3006)&gt;SUMIF(Transactions!$F$8:$F$3006,B2735,Transactions!$R$8:$R$3006),"OWES","OVERPAID"))))</f>
        <v/>
      </c>
      <c r="I2735" s="1"/>
    </row>
    <row r="2736" spans="1:9" ht="18" customHeight="1" x14ac:dyDescent="0.25">
      <c r="A2736" s="40">
        <v>2721</v>
      </c>
      <c r="B2736" s="41" t="str">
        <f t="array" ref="B2736">IFERROR(IF(INDEX(Transactions!$F$8:$F$3006,MATCH(0,COUNTIF($B$11:B2735,Transactions!$F$8:$F$3006),0))="","",INDEX(Transactions!$F$8:$F$3006,MATCH(0,COUNTIF($B$11:B2735,Transactions!$F$8:$F$3006),0))),"")</f>
        <v/>
      </c>
      <c r="C2736" s="42" t="str">
        <f>IF(B2736="","",SUMIF(Transactions!$F$8:$F$3006,B2736,Transactions!$H$8:$H$3006))</f>
        <v/>
      </c>
      <c r="D2736" s="43" t="str">
        <f>IF(B2736="","",SUMIF(Transactions!$F$8:$F$3006,B2736,Transactions!$N$8:$N$3006))</f>
        <v/>
      </c>
      <c r="E2736" s="44" t="str">
        <f>IF(B2736="","",SUMIF(Transactions!$F$8:$F$3006,B2736,Transactions!$O$8:$O$3006))</f>
        <v/>
      </c>
      <c r="F2736" s="45" t="str">
        <f>IF(B2736="","",SUMIF(Transactions!$F$8:$F$3006,B2736,Transactions!$R$8:$R$3006))</f>
        <v/>
      </c>
      <c r="G2736" s="46" t="str">
        <f>IF(B2736="","",(C2736+F2736)-(D2736+E2736+SUMIF(Transactions!$F$8:$F$3006,B2736,Transactions!$Q$8:$Q$3006)))</f>
        <v/>
      </c>
      <c r="H2736" s="47" t="str">
        <f>IF(B2736="","",IF(G2736&gt;0,"OUTSTANDING",IF(G2736=0,"SETTLED",IF(SUMIF(Transactions!$F$8:$F$3006,B2736,Transactions!$Q$8:$Q$3006)&gt;SUMIF(Transactions!$F$8:$F$3006,B2736,Transactions!$R$8:$R$3006),"OWES","OVERPAID"))))</f>
        <v/>
      </c>
      <c r="I2736" s="1"/>
    </row>
    <row r="2737" spans="1:9" ht="18" customHeight="1" x14ac:dyDescent="0.25">
      <c r="A2737" s="48">
        <v>2722</v>
      </c>
      <c r="B2737" s="49" t="str">
        <f t="array" ref="B2737">IFERROR(IF(INDEX(Transactions!$F$8:$F$3006,MATCH(0,COUNTIF($B$11:B2736,Transactions!$F$8:$F$3006),0))="","",INDEX(Transactions!$F$8:$F$3006,MATCH(0,COUNTIF($B$11:B2736,Transactions!$F$8:$F$3006),0))),"")</f>
        <v/>
      </c>
      <c r="C2737" s="50" t="str">
        <f>IF(B2737="","",SUMIF(Transactions!$F$8:$F$3006,B2737,Transactions!$H$8:$H$3006))</f>
        <v/>
      </c>
      <c r="D2737" s="51" t="str">
        <f>IF(B2737="","",SUMIF(Transactions!$F$8:$F$3006,B2737,Transactions!$N$8:$N$3006))</f>
        <v/>
      </c>
      <c r="E2737" s="52" t="str">
        <f>IF(B2737="","",SUMIF(Transactions!$F$8:$F$3006,B2737,Transactions!$O$8:$O$3006))</f>
        <v/>
      </c>
      <c r="F2737" s="53" t="str">
        <f>IF(B2737="","",SUMIF(Transactions!$F$8:$F$3006,B2737,Transactions!$R$8:$R$3006))</f>
        <v/>
      </c>
      <c r="G2737" s="54" t="str">
        <f>IF(B2737="","",(C2737+F2737)-(D2737+E2737+SUMIF(Transactions!$F$8:$F$3006,B2737,Transactions!$Q$8:$Q$3006)))</f>
        <v/>
      </c>
      <c r="H2737" s="55" t="str">
        <f>IF(B2737="","",IF(G2737&gt;0,"OUTSTANDING",IF(G2737=0,"SETTLED",IF(SUMIF(Transactions!$F$8:$F$3006,B2737,Transactions!$Q$8:$Q$3006)&gt;SUMIF(Transactions!$F$8:$F$3006,B2737,Transactions!$R$8:$R$3006),"OWES","OVERPAID"))))</f>
        <v/>
      </c>
      <c r="I2737" s="1"/>
    </row>
    <row r="2738" spans="1:9" ht="18" customHeight="1" x14ac:dyDescent="0.25">
      <c r="A2738" s="40">
        <v>2723</v>
      </c>
      <c r="B2738" s="41" t="str">
        <f t="array" ref="B2738">IFERROR(IF(INDEX(Transactions!$F$8:$F$3006,MATCH(0,COUNTIF($B$11:B2737,Transactions!$F$8:$F$3006),0))="","",INDEX(Transactions!$F$8:$F$3006,MATCH(0,COUNTIF($B$11:B2737,Transactions!$F$8:$F$3006),0))),"")</f>
        <v/>
      </c>
      <c r="C2738" s="42" t="str">
        <f>IF(B2738="","",SUMIF(Transactions!$F$8:$F$3006,B2738,Transactions!$H$8:$H$3006))</f>
        <v/>
      </c>
      <c r="D2738" s="43" t="str">
        <f>IF(B2738="","",SUMIF(Transactions!$F$8:$F$3006,B2738,Transactions!$N$8:$N$3006))</f>
        <v/>
      </c>
      <c r="E2738" s="44" t="str">
        <f>IF(B2738="","",SUMIF(Transactions!$F$8:$F$3006,B2738,Transactions!$O$8:$O$3006))</f>
        <v/>
      </c>
      <c r="F2738" s="45" t="str">
        <f>IF(B2738="","",SUMIF(Transactions!$F$8:$F$3006,B2738,Transactions!$R$8:$R$3006))</f>
        <v/>
      </c>
      <c r="G2738" s="46" t="str">
        <f>IF(B2738="","",(C2738+F2738)-(D2738+E2738+SUMIF(Transactions!$F$8:$F$3006,B2738,Transactions!$Q$8:$Q$3006)))</f>
        <v/>
      </c>
      <c r="H2738" s="47" t="str">
        <f>IF(B2738="","",IF(G2738&gt;0,"OUTSTANDING",IF(G2738=0,"SETTLED",IF(SUMIF(Transactions!$F$8:$F$3006,B2738,Transactions!$Q$8:$Q$3006)&gt;SUMIF(Transactions!$F$8:$F$3006,B2738,Transactions!$R$8:$R$3006),"OWES","OVERPAID"))))</f>
        <v/>
      </c>
      <c r="I2738" s="1"/>
    </row>
    <row r="2739" spans="1:9" ht="18" customHeight="1" x14ac:dyDescent="0.25">
      <c r="A2739" s="48">
        <v>2724</v>
      </c>
      <c r="B2739" s="49" t="str">
        <f t="array" ref="B2739">IFERROR(IF(INDEX(Transactions!$F$8:$F$3006,MATCH(0,COUNTIF($B$11:B2738,Transactions!$F$8:$F$3006),0))="","",INDEX(Transactions!$F$8:$F$3006,MATCH(0,COUNTIF($B$11:B2738,Transactions!$F$8:$F$3006),0))),"")</f>
        <v/>
      </c>
      <c r="C2739" s="50" t="str">
        <f>IF(B2739="","",SUMIF(Transactions!$F$8:$F$3006,B2739,Transactions!$H$8:$H$3006))</f>
        <v/>
      </c>
      <c r="D2739" s="51" t="str">
        <f>IF(B2739="","",SUMIF(Transactions!$F$8:$F$3006,B2739,Transactions!$N$8:$N$3006))</f>
        <v/>
      </c>
      <c r="E2739" s="52" t="str">
        <f>IF(B2739="","",SUMIF(Transactions!$F$8:$F$3006,B2739,Transactions!$O$8:$O$3006))</f>
        <v/>
      </c>
      <c r="F2739" s="53" t="str">
        <f>IF(B2739="","",SUMIF(Transactions!$F$8:$F$3006,B2739,Transactions!$R$8:$R$3006))</f>
        <v/>
      </c>
      <c r="G2739" s="54" t="str">
        <f>IF(B2739="","",(C2739+F2739)-(D2739+E2739+SUMIF(Transactions!$F$8:$F$3006,B2739,Transactions!$Q$8:$Q$3006)))</f>
        <v/>
      </c>
      <c r="H2739" s="55" t="str">
        <f>IF(B2739="","",IF(G2739&gt;0,"OUTSTANDING",IF(G2739=0,"SETTLED",IF(SUMIF(Transactions!$F$8:$F$3006,B2739,Transactions!$Q$8:$Q$3006)&gt;SUMIF(Transactions!$F$8:$F$3006,B2739,Transactions!$R$8:$R$3006),"OWES","OVERPAID"))))</f>
        <v/>
      </c>
      <c r="I2739" s="1"/>
    </row>
    <row r="2740" spans="1:9" ht="18" customHeight="1" x14ac:dyDescent="0.25">
      <c r="A2740" s="40">
        <v>2725</v>
      </c>
      <c r="B2740" s="41" t="str">
        <f t="array" ref="B2740">IFERROR(IF(INDEX(Transactions!$F$8:$F$3006,MATCH(0,COUNTIF($B$11:B2739,Transactions!$F$8:$F$3006),0))="","",INDEX(Transactions!$F$8:$F$3006,MATCH(0,COUNTIF($B$11:B2739,Transactions!$F$8:$F$3006),0))),"")</f>
        <v/>
      </c>
      <c r="C2740" s="42" t="str">
        <f>IF(B2740="","",SUMIF(Transactions!$F$8:$F$3006,B2740,Transactions!$H$8:$H$3006))</f>
        <v/>
      </c>
      <c r="D2740" s="43" t="str">
        <f>IF(B2740="","",SUMIF(Transactions!$F$8:$F$3006,B2740,Transactions!$N$8:$N$3006))</f>
        <v/>
      </c>
      <c r="E2740" s="44" t="str">
        <f>IF(B2740="","",SUMIF(Transactions!$F$8:$F$3006,B2740,Transactions!$O$8:$O$3006))</f>
        <v/>
      </c>
      <c r="F2740" s="45" t="str">
        <f>IF(B2740="","",SUMIF(Transactions!$F$8:$F$3006,B2740,Transactions!$R$8:$R$3006))</f>
        <v/>
      </c>
      <c r="G2740" s="46" t="str">
        <f>IF(B2740="","",(C2740+F2740)-(D2740+E2740+SUMIF(Transactions!$F$8:$F$3006,B2740,Transactions!$Q$8:$Q$3006)))</f>
        <v/>
      </c>
      <c r="H2740" s="47" t="str">
        <f>IF(B2740="","",IF(G2740&gt;0,"OUTSTANDING",IF(G2740=0,"SETTLED",IF(SUMIF(Transactions!$F$8:$F$3006,B2740,Transactions!$Q$8:$Q$3006)&gt;SUMIF(Transactions!$F$8:$F$3006,B2740,Transactions!$R$8:$R$3006),"OWES","OVERPAID"))))</f>
        <v/>
      </c>
      <c r="I2740" s="1"/>
    </row>
    <row r="2741" spans="1:9" ht="18" customHeight="1" x14ac:dyDescent="0.25">
      <c r="A2741" s="48">
        <v>2726</v>
      </c>
      <c r="B2741" s="49" t="str">
        <f t="array" ref="B2741">IFERROR(IF(INDEX(Transactions!$F$8:$F$3006,MATCH(0,COUNTIF($B$11:B2740,Transactions!$F$8:$F$3006),0))="","",INDEX(Transactions!$F$8:$F$3006,MATCH(0,COUNTIF($B$11:B2740,Transactions!$F$8:$F$3006),0))),"")</f>
        <v/>
      </c>
      <c r="C2741" s="50" t="str">
        <f>IF(B2741="","",SUMIF(Transactions!$F$8:$F$3006,B2741,Transactions!$H$8:$H$3006))</f>
        <v/>
      </c>
      <c r="D2741" s="51" t="str">
        <f>IF(B2741="","",SUMIF(Transactions!$F$8:$F$3006,B2741,Transactions!$N$8:$N$3006))</f>
        <v/>
      </c>
      <c r="E2741" s="52" t="str">
        <f>IF(B2741="","",SUMIF(Transactions!$F$8:$F$3006,B2741,Transactions!$O$8:$O$3006))</f>
        <v/>
      </c>
      <c r="F2741" s="53" t="str">
        <f>IF(B2741="","",SUMIF(Transactions!$F$8:$F$3006,B2741,Transactions!$R$8:$R$3006))</f>
        <v/>
      </c>
      <c r="G2741" s="54" t="str">
        <f>IF(B2741="","",(C2741+F2741)-(D2741+E2741+SUMIF(Transactions!$F$8:$F$3006,B2741,Transactions!$Q$8:$Q$3006)))</f>
        <v/>
      </c>
      <c r="H2741" s="55" t="str">
        <f>IF(B2741="","",IF(G2741&gt;0,"OUTSTANDING",IF(G2741=0,"SETTLED",IF(SUMIF(Transactions!$F$8:$F$3006,B2741,Transactions!$Q$8:$Q$3006)&gt;SUMIF(Transactions!$F$8:$F$3006,B2741,Transactions!$R$8:$R$3006),"OWES","OVERPAID"))))</f>
        <v/>
      </c>
      <c r="I2741" s="1"/>
    </row>
    <row r="2742" spans="1:9" ht="18" customHeight="1" x14ac:dyDescent="0.25">
      <c r="A2742" s="40">
        <v>2727</v>
      </c>
      <c r="B2742" s="41" t="str">
        <f t="array" ref="B2742">IFERROR(IF(INDEX(Transactions!$F$8:$F$3006,MATCH(0,COUNTIF($B$11:B2741,Transactions!$F$8:$F$3006),0))="","",INDEX(Transactions!$F$8:$F$3006,MATCH(0,COUNTIF($B$11:B2741,Transactions!$F$8:$F$3006),0))),"")</f>
        <v/>
      </c>
      <c r="C2742" s="42" t="str">
        <f>IF(B2742="","",SUMIF(Transactions!$F$8:$F$3006,B2742,Transactions!$H$8:$H$3006))</f>
        <v/>
      </c>
      <c r="D2742" s="43" t="str">
        <f>IF(B2742="","",SUMIF(Transactions!$F$8:$F$3006,B2742,Transactions!$N$8:$N$3006))</f>
        <v/>
      </c>
      <c r="E2742" s="44" t="str">
        <f>IF(B2742="","",SUMIF(Transactions!$F$8:$F$3006,B2742,Transactions!$O$8:$O$3006))</f>
        <v/>
      </c>
      <c r="F2742" s="45" t="str">
        <f>IF(B2742="","",SUMIF(Transactions!$F$8:$F$3006,B2742,Transactions!$R$8:$R$3006))</f>
        <v/>
      </c>
      <c r="G2742" s="46" t="str">
        <f>IF(B2742="","",(C2742+F2742)-(D2742+E2742+SUMIF(Transactions!$F$8:$F$3006,B2742,Transactions!$Q$8:$Q$3006)))</f>
        <v/>
      </c>
      <c r="H2742" s="47" t="str">
        <f>IF(B2742="","",IF(G2742&gt;0,"OUTSTANDING",IF(G2742=0,"SETTLED",IF(SUMIF(Transactions!$F$8:$F$3006,B2742,Transactions!$Q$8:$Q$3006)&gt;SUMIF(Transactions!$F$8:$F$3006,B2742,Transactions!$R$8:$R$3006),"OWES","OVERPAID"))))</f>
        <v/>
      </c>
      <c r="I2742" s="1"/>
    </row>
    <row r="2743" spans="1:9" ht="18" customHeight="1" x14ac:dyDescent="0.25">
      <c r="A2743" s="48">
        <v>2728</v>
      </c>
      <c r="B2743" s="49" t="str">
        <f t="array" ref="B2743">IFERROR(IF(INDEX(Transactions!$F$8:$F$3006,MATCH(0,COUNTIF($B$11:B2742,Transactions!$F$8:$F$3006),0))="","",INDEX(Transactions!$F$8:$F$3006,MATCH(0,COUNTIF($B$11:B2742,Transactions!$F$8:$F$3006),0))),"")</f>
        <v/>
      </c>
      <c r="C2743" s="50" t="str">
        <f>IF(B2743="","",SUMIF(Transactions!$F$8:$F$3006,B2743,Transactions!$H$8:$H$3006))</f>
        <v/>
      </c>
      <c r="D2743" s="51" t="str">
        <f>IF(B2743="","",SUMIF(Transactions!$F$8:$F$3006,B2743,Transactions!$N$8:$N$3006))</f>
        <v/>
      </c>
      <c r="E2743" s="52" t="str">
        <f>IF(B2743="","",SUMIF(Transactions!$F$8:$F$3006,B2743,Transactions!$O$8:$O$3006))</f>
        <v/>
      </c>
      <c r="F2743" s="53" t="str">
        <f>IF(B2743="","",SUMIF(Transactions!$F$8:$F$3006,B2743,Transactions!$R$8:$R$3006))</f>
        <v/>
      </c>
      <c r="G2743" s="54" t="str">
        <f>IF(B2743="","",(C2743+F2743)-(D2743+E2743+SUMIF(Transactions!$F$8:$F$3006,B2743,Transactions!$Q$8:$Q$3006)))</f>
        <v/>
      </c>
      <c r="H2743" s="55" t="str">
        <f>IF(B2743="","",IF(G2743&gt;0,"OUTSTANDING",IF(G2743=0,"SETTLED",IF(SUMIF(Transactions!$F$8:$F$3006,B2743,Transactions!$Q$8:$Q$3006)&gt;SUMIF(Transactions!$F$8:$F$3006,B2743,Transactions!$R$8:$R$3006),"OWES","OVERPAID"))))</f>
        <v/>
      </c>
      <c r="I2743" s="1"/>
    </row>
    <row r="2744" spans="1:9" ht="18" customHeight="1" x14ac:dyDescent="0.25">
      <c r="A2744" s="40">
        <v>2729</v>
      </c>
      <c r="B2744" s="41" t="str">
        <f t="array" ref="B2744">IFERROR(IF(INDEX(Transactions!$F$8:$F$3006,MATCH(0,COUNTIF($B$11:B2743,Transactions!$F$8:$F$3006),0))="","",INDEX(Transactions!$F$8:$F$3006,MATCH(0,COUNTIF($B$11:B2743,Transactions!$F$8:$F$3006),0))),"")</f>
        <v/>
      </c>
      <c r="C2744" s="42" t="str">
        <f>IF(B2744="","",SUMIF(Transactions!$F$8:$F$3006,B2744,Transactions!$H$8:$H$3006))</f>
        <v/>
      </c>
      <c r="D2744" s="43" t="str">
        <f>IF(B2744="","",SUMIF(Transactions!$F$8:$F$3006,B2744,Transactions!$N$8:$N$3006))</f>
        <v/>
      </c>
      <c r="E2744" s="44" t="str">
        <f>IF(B2744="","",SUMIF(Transactions!$F$8:$F$3006,B2744,Transactions!$O$8:$O$3006))</f>
        <v/>
      </c>
      <c r="F2744" s="45" t="str">
        <f>IF(B2744="","",SUMIF(Transactions!$F$8:$F$3006,B2744,Transactions!$R$8:$R$3006))</f>
        <v/>
      </c>
      <c r="G2744" s="46" t="str">
        <f>IF(B2744="","",(C2744+F2744)-(D2744+E2744+SUMIF(Transactions!$F$8:$F$3006,B2744,Transactions!$Q$8:$Q$3006)))</f>
        <v/>
      </c>
      <c r="H2744" s="47" t="str">
        <f>IF(B2744="","",IF(G2744&gt;0,"OUTSTANDING",IF(G2744=0,"SETTLED",IF(SUMIF(Transactions!$F$8:$F$3006,B2744,Transactions!$Q$8:$Q$3006)&gt;SUMIF(Transactions!$F$8:$F$3006,B2744,Transactions!$R$8:$R$3006),"OWES","OVERPAID"))))</f>
        <v/>
      </c>
      <c r="I2744" s="1"/>
    </row>
    <row r="2745" spans="1:9" ht="18" customHeight="1" x14ac:dyDescent="0.25">
      <c r="A2745" s="48">
        <v>2730</v>
      </c>
      <c r="B2745" s="49" t="str">
        <f t="array" ref="B2745">IFERROR(IF(INDEX(Transactions!$F$8:$F$3006,MATCH(0,COUNTIF($B$11:B2744,Transactions!$F$8:$F$3006),0))="","",INDEX(Transactions!$F$8:$F$3006,MATCH(0,COUNTIF($B$11:B2744,Transactions!$F$8:$F$3006),0))),"")</f>
        <v/>
      </c>
      <c r="C2745" s="50" t="str">
        <f>IF(B2745="","",SUMIF(Transactions!$F$8:$F$3006,B2745,Transactions!$H$8:$H$3006))</f>
        <v/>
      </c>
      <c r="D2745" s="51" t="str">
        <f>IF(B2745="","",SUMIF(Transactions!$F$8:$F$3006,B2745,Transactions!$N$8:$N$3006))</f>
        <v/>
      </c>
      <c r="E2745" s="52" t="str">
        <f>IF(B2745="","",SUMIF(Transactions!$F$8:$F$3006,B2745,Transactions!$O$8:$O$3006))</f>
        <v/>
      </c>
      <c r="F2745" s="53" t="str">
        <f>IF(B2745="","",SUMIF(Transactions!$F$8:$F$3006,B2745,Transactions!$R$8:$R$3006))</f>
        <v/>
      </c>
      <c r="G2745" s="54" t="str">
        <f>IF(B2745="","",(C2745+F2745)-(D2745+E2745+SUMIF(Transactions!$F$8:$F$3006,B2745,Transactions!$Q$8:$Q$3006)))</f>
        <v/>
      </c>
      <c r="H2745" s="55" t="str">
        <f>IF(B2745="","",IF(G2745&gt;0,"OUTSTANDING",IF(G2745=0,"SETTLED",IF(SUMIF(Transactions!$F$8:$F$3006,B2745,Transactions!$Q$8:$Q$3006)&gt;SUMIF(Transactions!$F$8:$F$3006,B2745,Transactions!$R$8:$R$3006),"OWES","OVERPAID"))))</f>
        <v/>
      </c>
      <c r="I2745" s="1"/>
    </row>
    <row r="2746" spans="1:9" ht="18" customHeight="1" x14ac:dyDescent="0.25">
      <c r="A2746" s="40">
        <v>2731</v>
      </c>
      <c r="B2746" s="41" t="str">
        <f t="array" ref="B2746">IFERROR(IF(INDEX(Transactions!$F$8:$F$3006,MATCH(0,COUNTIF($B$11:B2745,Transactions!$F$8:$F$3006),0))="","",INDEX(Transactions!$F$8:$F$3006,MATCH(0,COUNTIF($B$11:B2745,Transactions!$F$8:$F$3006),0))),"")</f>
        <v/>
      </c>
      <c r="C2746" s="42" t="str">
        <f>IF(B2746="","",SUMIF(Transactions!$F$8:$F$3006,B2746,Transactions!$H$8:$H$3006))</f>
        <v/>
      </c>
      <c r="D2746" s="43" t="str">
        <f>IF(B2746="","",SUMIF(Transactions!$F$8:$F$3006,B2746,Transactions!$N$8:$N$3006))</f>
        <v/>
      </c>
      <c r="E2746" s="44" t="str">
        <f>IF(B2746="","",SUMIF(Transactions!$F$8:$F$3006,B2746,Transactions!$O$8:$O$3006))</f>
        <v/>
      </c>
      <c r="F2746" s="45" t="str">
        <f>IF(B2746="","",SUMIF(Transactions!$F$8:$F$3006,B2746,Transactions!$R$8:$R$3006))</f>
        <v/>
      </c>
      <c r="G2746" s="46" t="str">
        <f>IF(B2746="","",(C2746+F2746)-(D2746+E2746+SUMIF(Transactions!$F$8:$F$3006,B2746,Transactions!$Q$8:$Q$3006)))</f>
        <v/>
      </c>
      <c r="H2746" s="47" t="str">
        <f>IF(B2746="","",IF(G2746&gt;0,"OUTSTANDING",IF(G2746=0,"SETTLED",IF(SUMIF(Transactions!$F$8:$F$3006,B2746,Transactions!$Q$8:$Q$3006)&gt;SUMIF(Transactions!$F$8:$F$3006,B2746,Transactions!$R$8:$R$3006),"OWES","OVERPAID"))))</f>
        <v/>
      </c>
      <c r="I2746" s="1"/>
    </row>
    <row r="2747" spans="1:9" ht="18" customHeight="1" x14ac:dyDescent="0.25">
      <c r="A2747" s="48">
        <v>2732</v>
      </c>
      <c r="B2747" s="49" t="str">
        <f t="array" ref="B2747">IFERROR(IF(INDEX(Transactions!$F$8:$F$3006,MATCH(0,COUNTIF($B$11:B2746,Transactions!$F$8:$F$3006),0))="","",INDEX(Transactions!$F$8:$F$3006,MATCH(0,COUNTIF($B$11:B2746,Transactions!$F$8:$F$3006),0))),"")</f>
        <v/>
      </c>
      <c r="C2747" s="50" t="str">
        <f>IF(B2747="","",SUMIF(Transactions!$F$8:$F$3006,B2747,Transactions!$H$8:$H$3006))</f>
        <v/>
      </c>
      <c r="D2747" s="51" t="str">
        <f>IF(B2747="","",SUMIF(Transactions!$F$8:$F$3006,B2747,Transactions!$N$8:$N$3006))</f>
        <v/>
      </c>
      <c r="E2747" s="52" t="str">
        <f>IF(B2747="","",SUMIF(Transactions!$F$8:$F$3006,B2747,Transactions!$O$8:$O$3006))</f>
        <v/>
      </c>
      <c r="F2747" s="53" t="str">
        <f>IF(B2747="","",SUMIF(Transactions!$F$8:$F$3006,B2747,Transactions!$R$8:$R$3006))</f>
        <v/>
      </c>
      <c r="G2747" s="54" t="str">
        <f>IF(B2747="","",(C2747+F2747)-(D2747+E2747+SUMIF(Transactions!$F$8:$F$3006,B2747,Transactions!$Q$8:$Q$3006)))</f>
        <v/>
      </c>
      <c r="H2747" s="55" t="str">
        <f>IF(B2747="","",IF(G2747&gt;0,"OUTSTANDING",IF(G2747=0,"SETTLED",IF(SUMIF(Transactions!$F$8:$F$3006,B2747,Transactions!$Q$8:$Q$3006)&gt;SUMIF(Transactions!$F$8:$F$3006,B2747,Transactions!$R$8:$R$3006),"OWES","OVERPAID"))))</f>
        <v/>
      </c>
      <c r="I2747" s="1"/>
    </row>
    <row r="2748" spans="1:9" ht="18" customHeight="1" x14ac:dyDescent="0.25">
      <c r="A2748" s="40">
        <v>2733</v>
      </c>
      <c r="B2748" s="41" t="str">
        <f t="array" ref="B2748">IFERROR(IF(INDEX(Transactions!$F$8:$F$3006,MATCH(0,COUNTIF($B$11:B2747,Transactions!$F$8:$F$3006),0))="","",INDEX(Transactions!$F$8:$F$3006,MATCH(0,COUNTIF($B$11:B2747,Transactions!$F$8:$F$3006),0))),"")</f>
        <v/>
      </c>
      <c r="C2748" s="42" t="str">
        <f>IF(B2748="","",SUMIF(Transactions!$F$8:$F$3006,B2748,Transactions!$H$8:$H$3006))</f>
        <v/>
      </c>
      <c r="D2748" s="43" t="str">
        <f>IF(B2748="","",SUMIF(Transactions!$F$8:$F$3006,B2748,Transactions!$N$8:$N$3006))</f>
        <v/>
      </c>
      <c r="E2748" s="44" t="str">
        <f>IF(B2748="","",SUMIF(Transactions!$F$8:$F$3006,B2748,Transactions!$O$8:$O$3006))</f>
        <v/>
      </c>
      <c r="F2748" s="45" t="str">
        <f>IF(B2748="","",SUMIF(Transactions!$F$8:$F$3006,B2748,Transactions!$R$8:$R$3006))</f>
        <v/>
      </c>
      <c r="G2748" s="46" t="str">
        <f>IF(B2748="","",(C2748+F2748)-(D2748+E2748+SUMIF(Transactions!$F$8:$F$3006,B2748,Transactions!$Q$8:$Q$3006)))</f>
        <v/>
      </c>
      <c r="H2748" s="47" t="str">
        <f>IF(B2748="","",IF(G2748&gt;0,"OUTSTANDING",IF(G2748=0,"SETTLED",IF(SUMIF(Transactions!$F$8:$F$3006,B2748,Transactions!$Q$8:$Q$3006)&gt;SUMIF(Transactions!$F$8:$F$3006,B2748,Transactions!$R$8:$R$3006),"OWES","OVERPAID"))))</f>
        <v/>
      </c>
      <c r="I2748" s="1"/>
    </row>
    <row r="2749" spans="1:9" ht="18" customHeight="1" x14ac:dyDescent="0.25">
      <c r="A2749" s="48">
        <v>2734</v>
      </c>
      <c r="B2749" s="49" t="str">
        <f t="array" ref="B2749">IFERROR(IF(INDEX(Transactions!$F$8:$F$3006,MATCH(0,COUNTIF($B$11:B2748,Transactions!$F$8:$F$3006),0))="","",INDEX(Transactions!$F$8:$F$3006,MATCH(0,COUNTIF($B$11:B2748,Transactions!$F$8:$F$3006),0))),"")</f>
        <v/>
      </c>
      <c r="C2749" s="50" t="str">
        <f>IF(B2749="","",SUMIF(Transactions!$F$8:$F$3006,B2749,Transactions!$H$8:$H$3006))</f>
        <v/>
      </c>
      <c r="D2749" s="51" t="str">
        <f>IF(B2749="","",SUMIF(Transactions!$F$8:$F$3006,B2749,Transactions!$N$8:$N$3006))</f>
        <v/>
      </c>
      <c r="E2749" s="52" t="str">
        <f>IF(B2749="","",SUMIF(Transactions!$F$8:$F$3006,B2749,Transactions!$O$8:$O$3006))</f>
        <v/>
      </c>
      <c r="F2749" s="53" t="str">
        <f>IF(B2749="","",SUMIF(Transactions!$F$8:$F$3006,B2749,Transactions!$R$8:$R$3006))</f>
        <v/>
      </c>
      <c r="G2749" s="54" t="str">
        <f>IF(B2749="","",(C2749+F2749)-(D2749+E2749+SUMIF(Transactions!$F$8:$F$3006,B2749,Transactions!$Q$8:$Q$3006)))</f>
        <v/>
      </c>
      <c r="H2749" s="55" t="str">
        <f>IF(B2749="","",IF(G2749&gt;0,"OUTSTANDING",IF(G2749=0,"SETTLED",IF(SUMIF(Transactions!$F$8:$F$3006,B2749,Transactions!$Q$8:$Q$3006)&gt;SUMIF(Transactions!$F$8:$F$3006,B2749,Transactions!$R$8:$R$3006),"OWES","OVERPAID"))))</f>
        <v/>
      </c>
      <c r="I2749" s="1"/>
    </row>
    <row r="2750" spans="1:9" ht="18" customHeight="1" x14ac:dyDescent="0.25">
      <c r="A2750" s="40">
        <v>2735</v>
      </c>
      <c r="B2750" s="41" t="str">
        <f t="array" ref="B2750">IFERROR(IF(INDEX(Transactions!$F$8:$F$3006,MATCH(0,COUNTIF($B$11:B2749,Transactions!$F$8:$F$3006),0))="","",INDEX(Transactions!$F$8:$F$3006,MATCH(0,COUNTIF($B$11:B2749,Transactions!$F$8:$F$3006),0))),"")</f>
        <v/>
      </c>
      <c r="C2750" s="42" t="str">
        <f>IF(B2750="","",SUMIF(Transactions!$F$8:$F$3006,B2750,Transactions!$H$8:$H$3006))</f>
        <v/>
      </c>
      <c r="D2750" s="43" t="str">
        <f>IF(B2750="","",SUMIF(Transactions!$F$8:$F$3006,B2750,Transactions!$N$8:$N$3006))</f>
        <v/>
      </c>
      <c r="E2750" s="44" t="str">
        <f>IF(B2750="","",SUMIF(Transactions!$F$8:$F$3006,B2750,Transactions!$O$8:$O$3006))</f>
        <v/>
      </c>
      <c r="F2750" s="45" t="str">
        <f>IF(B2750="","",SUMIF(Transactions!$F$8:$F$3006,B2750,Transactions!$R$8:$R$3006))</f>
        <v/>
      </c>
      <c r="G2750" s="46" t="str">
        <f>IF(B2750="","",(C2750+F2750)-(D2750+E2750+SUMIF(Transactions!$F$8:$F$3006,B2750,Transactions!$Q$8:$Q$3006)))</f>
        <v/>
      </c>
      <c r="H2750" s="47" t="str">
        <f>IF(B2750="","",IF(G2750&gt;0,"OUTSTANDING",IF(G2750=0,"SETTLED",IF(SUMIF(Transactions!$F$8:$F$3006,B2750,Transactions!$Q$8:$Q$3006)&gt;SUMIF(Transactions!$F$8:$F$3006,B2750,Transactions!$R$8:$R$3006),"OWES","OVERPAID"))))</f>
        <v/>
      </c>
      <c r="I2750" s="1"/>
    </row>
    <row r="2751" spans="1:9" ht="18" customHeight="1" x14ac:dyDescent="0.25">
      <c r="A2751" s="48">
        <v>2736</v>
      </c>
      <c r="B2751" s="49" t="str">
        <f t="array" ref="B2751">IFERROR(IF(INDEX(Transactions!$F$8:$F$3006,MATCH(0,COUNTIF($B$11:B2750,Transactions!$F$8:$F$3006),0))="","",INDEX(Transactions!$F$8:$F$3006,MATCH(0,COUNTIF($B$11:B2750,Transactions!$F$8:$F$3006),0))),"")</f>
        <v/>
      </c>
      <c r="C2751" s="50" t="str">
        <f>IF(B2751="","",SUMIF(Transactions!$F$8:$F$3006,B2751,Transactions!$H$8:$H$3006))</f>
        <v/>
      </c>
      <c r="D2751" s="51" t="str">
        <f>IF(B2751="","",SUMIF(Transactions!$F$8:$F$3006,B2751,Transactions!$N$8:$N$3006))</f>
        <v/>
      </c>
      <c r="E2751" s="52" t="str">
        <f>IF(B2751="","",SUMIF(Transactions!$F$8:$F$3006,B2751,Transactions!$O$8:$O$3006))</f>
        <v/>
      </c>
      <c r="F2751" s="53" t="str">
        <f>IF(B2751="","",SUMIF(Transactions!$F$8:$F$3006,B2751,Transactions!$R$8:$R$3006))</f>
        <v/>
      </c>
      <c r="G2751" s="54" t="str">
        <f>IF(B2751="","",(C2751+F2751)-(D2751+E2751+SUMIF(Transactions!$F$8:$F$3006,B2751,Transactions!$Q$8:$Q$3006)))</f>
        <v/>
      </c>
      <c r="H2751" s="55" t="str">
        <f>IF(B2751="","",IF(G2751&gt;0,"OUTSTANDING",IF(G2751=0,"SETTLED",IF(SUMIF(Transactions!$F$8:$F$3006,B2751,Transactions!$Q$8:$Q$3006)&gt;SUMIF(Transactions!$F$8:$F$3006,B2751,Transactions!$R$8:$R$3006),"OWES","OVERPAID"))))</f>
        <v/>
      </c>
      <c r="I2751" s="1"/>
    </row>
    <row r="2752" spans="1:9" ht="18" customHeight="1" x14ac:dyDescent="0.25">
      <c r="A2752" s="40">
        <v>2737</v>
      </c>
      <c r="B2752" s="41" t="str">
        <f t="array" ref="B2752">IFERROR(IF(INDEX(Transactions!$F$8:$F$3006,MATCH(0,COUNTIF($B$11:B2751,Transactions!$F$8:$F$3006),0))="","",INDEX(Transactions!$F$8:$F$3006,MATCH(0,COUNTIF($B$11:B2751,Transactions!$F$8:$F$3006),0))),"")</f>
        <v/>
      </c>
      <c r="C2752" s="42" t="str">
        <f>IF(B2752="","",SUMIF(Transactions!$F$8:$F$3006,B2752,Transactions!$H$8:$H$3006))</f>
        <v/>
      </c>
      <c r="D2752" s="43" t="str">
        <f>IF(B2752="","",SUMIF(Transactions!$F$8:$F$3006,B2752,Transactions!$N$8:$N$3006))</f>
        <v/>
      </c>
      <c r="E2752" s="44" t="str">
        <f>IF(B2752="","",SUMIF(Transactions!$F$8:$F$3006,B2752,Transactions!$O$8:$O$3006))</f>
        <v/>
      </c>
      <c r="F2752" s="45" t="str">
        <f>IF(B2752="","",SUMIF(Transactions!$F$8:$F$3006,B2752,Transactions!$R$8:$R$3006))</f>
        <v/>
      </c>
      <c r="G2752" s="46" t="str">
        <f>IF(B2752="","",(C2752+F2752)-(D2752+E2752+SUMIF(Transactions!$F$8:$F$3006,B2752,Transactions!$Q$8:$Q$3006)))</f>
        <v/>
      </c>
      <c r="H2752" s="47" t="str">
        <f>IF(B2752="","",IF(G2752&gt;0,"OUTSTANDING",IF(G2752=0,"SETTLED",IF(SUMIF(Transactions!$F$8:$F$3006,B2752,Transactions!$Q$8:$Q$3006)&gt;SUMIF(Transactions!$F$8:$F$3006,B2752,Transactions!$R$8:$R$3006),"OWES","OVERPAID"))))</f>
        <v/>
      </c>
      <c r="I2752" s="1"/>
    </row>
    <row r="2753" spans="1:9" ht="18" customHeight="1" x14ac:dyDescent="0.25">
      <c r="A2753" s="48">
        <v>2738</v>
      </c>
      <c r="B2753" s="49" t="str">
        <f t="array" ref="B2753">IFERROR(IF(INDEX(Transactions!$F$8:$F$3006,MATCH(0,COUNTIF($B$11:B2752,Transactions!$F$8:$F$3006),0))="","",INDEX(Transactions!$F$8:$F$3006,MATCH(0,COUNTIF($B$11:B2752,Transactions!$F$8:$F$3006),0))),"")</f>
        <v/>
      </c>
      <c r="C2753" s="50" t="str">
        <f>IF(B2753="","",SUMIF(Transactions!$F$8:$F$3006,B2753,Transactions!$H$8:$H$3006))</f>
        <v/>
      </c>
      <c r="D2753" s="51" t="str">
        <f>IF(B2753="","",SUMIF(Transactions!$F$8:$F$3006,B2753,Transactions!$N$8:$N$3006))</f>
        <v/>
      </c>
      <c r="E2753" s="52" t="str">
        <f>IF(B2753="","",SUMIF(Transactions!$F$8:$F$3006,B2753,Transactions!$O$8:$O$3006))</f>
        <v/>
      </c>
      <c r="F2753" s="53" t="str">
        <f>IF(B2753="","",SUMIF(Transactions!$F$8:$F$3006,B2753,Transactions!$R$8:$R$3006))</f>
        <v/>
      </c>
      <c r="G2753" s="54" t="str">
        <f>IF(B2753="","",(C2753+F2753)-(D2753+E2753+SUMIF(Transactions!$F$8:$F$3006,B2753,Transactions!$Q$8:$Q$3006)))</f>
        <v/>
      </c>
      <c r="H2753" s="55" t="str">
        <f>IF(B2753="","",IF(G2753&gt;0,"OUTSTANDING",IF(G2753=0,"SETTLED",IF(SUMIF(Transactions!$F$8:$F$3006,B2753,Transactions!$Q$8:$Q$3006)&gt;SUMIF(Transactions!$F$8:$F$3006,B2753,Transactions!$R$8:$R$3006),"OWES","OVERPAID"))))</f>
        <v/>
      </c>
      <c r="I2753" s="1"/>
    </row>
    <row r="2754" spans="1:9" ht="18" customHeight="1" x14ac:dyDescent="0.25">
      <c r="A2754" s="40">
        <v>2739</v>
      </c>
      <c r="B2754" s="41" t="str">
        <f t="array" ref="B2754">IFERROR(IF(INDEX(Transactions!$F$8:$F$3006,MATCH(0,COUNTIF($B$11:B2753,Transactions!$F$8:$F$3006),0))="","",INDEX(Transactions!$F$8:$F$3006,MATCH(0,COUNTIF($B$11:B2753,Transactions!$F$8:$F$3006),0))),"")</f>
        <v/>
      </c>
      <c r="C2754" s="42" t="str">
        <f>IF(B2754="","",SUMIF(Transactions!$F$8:$F$3006,B2754,Transactions!$H$8:$H$3006))</f>
        <v/>
      </c>
      <c r="D2754" s="43" t="str">
        <f>IF(B2754="","",SUMIF(Transactions!$F$8:$F$3006,B2754,Transactions!$N$8:$N$3006))</f>
        <v/>
      </c>
      <c r="E2754" s="44" t="str">
        <f>IF(B2754="","",SUMIF(Transactions!$F$8:$F$3006,B2754,Transactions!$O$8:$O$3006))</f>
        <v/>
      </c>
      <c r="F2754" s="45" t="str">
        <f>IF(B2754="","",SUMIF(Transactions!$F$8:$F$3006,B2754,Transactions!$R$8:$R$3006))</f>
        <v/>
      </c>
      <c r="G2754" s="46" t="str">
        <f>IF(B2754="","",(C2754+F2754)-(D2754+E2754+SUMIF(Transactions!$F$8:$F$3006,B2754,Transactions!$Q$8:$Q$3006)))</f>
        <v/>
      </c>
      <c r="H2754" s="47" t="str">
        <f>IF(B2754="","",IF(G2754&gt;0,"OUTSTANDING",IF(G2754=0,"SETTLED",IF(SUMIF(Transactions!$F$8:$F$3006,B2754,Transactions!$Q$8:$Q$3006)&gt;SUMIF(Transactions!$F$8:$F$3006,B2754,Transactions!$R$8:$R$3006),"OWES","OVERPAID"))))</f>
        <v/>
      </c>
      <c r="I2754" s="1"/>
    </row>
    <row r="2755" spans="1:9" ht="18" customHeight="1" x14ac:dyDescent="0.25">
      <c r="A2755" s="48">
        <v>2740</v>
      </c>
      <c r="B2755" s="49" t="str">
        <f t="array" ref="B2755">IFERROR(IF(INDEX(Transactions!$F$8:$F$3006,MATCH(0,COUNTIF($B$11:B2754,Transactions!$F$8:$F$3006),0))="","",INDEX(Transactions!$F$8:$F$3006,MATCH(0,COUNTIF($B$11:B2754,Transactions!$F$8:$F$3006),0))),"")</f>
        <v/>
      </c>
      <c r="C2755" s="50" t="str">
        <f>IF(B2755="","",SUMIF(Transactions!$F$8:$F$3006,B2755,Transactions!$H$8:$H$3006))</f>
        <v/>
      </c>
      <c r="D2755" s="51" t="str">
        <f>IF(B2755="","",SUMIF(Transactions!$F$8:$F$3006,B2755,Transactions!$N$8:$N$3006))</f>
        <v/>
      </c>
      <c r="E2755" s="52" t="str">
        <f>IF(B2755="","",SUMIF(Transactions!$F$8:$F$3006,B2755,Transactions!$O$8:$O$3006))</f>
        <v/>
      </c>
      <c r="F2755" s="53" t="str">
        <f>IF(B2755="","",SUMIF(Transactions!$F$8:$F$3006,B2755,Transactions!$R$8:$R$3006))</f>
        <v/>
      </c>
      <c r="G2755" s="54" t="str">
        <f>IF(B2755="","",(C2755+F2755)-(D2755+E2755+SUMIF(Transactions!$F$8:$F$3006,B2755,Transactions!$Q$8:$Q$3006)))</f>
        <v/>
      </c>
      <c r="H2755" s="55" t="str">
        <f>IF(B2755="","",IF(G2755&gt;0,"OUTSTANDING",IF(G2755=0,"SETTLED",IF(SUMIF(Transactions!$F$8:$F$3006,B2755,Transactions!$Q$8:$Q$3006)&gt;SUMIF(Transactions!$F$8:$F$3006,B2755,Transactions!$R$8:$R$3006),"OWES","OVERPAID"))))</f>
        <v/>
      </c>
      <c r="I2755" s="1"/>
    </row>
    <row r="2756" spans="1:9" ht="18" customHeight="1" x14ac:dyDescent="0.25">
      <c r="A2756" s="40">
        <v>2741</v>
      </c>
      <c r="B2756" s="41" t="str">
        <f t="array" ref="B2756">IFERROR(IF(INDEX(Transactions!$F$8:$F$3006,MATCH(0,COUNTIF($B$11:B2755,Transactions!$F$8:$F$3006),0))="","",INDEX(Transactions!$F$8:$F$3006,MATCH(0,COUNTIF($B$11:B2755,Transactions!$F$8:$F$3006),0))),"")</f>
        <v/>
      </c>
      <c r="C2756" s="42" t="str">
        <f>IF(B2756="","",SUMIF(Transactions!$F$8:$F$3006,B2756,Transactions!$H$8:$H$3006))</f>
        <v/>
      </c>
      <c r="D2756" s="43" t="str">
        <f>IF(B2756="","",SUMIF(Transactions!$F$8:$F$3006,B2756,Transactions!$N$8:$N$3006))</f>
        <v/>
      </c>
      <c r="E2756" s="44" t="str">
        <f>IF(B2756="","",SUMIF(Transactions!$F$8:$F$3006,B2756,Transactions!$O$8:$O$3006))</f>
        <v/>
      </c>
      <c r="F2756" s="45" t="str">
        <f>IF(B2756="","",SUMIF(Transactions!$F$8:$F$3006,B2756,Transactions!$R$8:$R$3006))</f>
        <v/>
      </c>
      <c r="G2756" s="46" t="str">
        <f>IF(B2756="","",(C2756+F2756)-(D2756+E2756+SUMIF(Transactions!$F$8:$F$3006,B2756,Transactions!$Q$8:$Q$3006)))</f>
        <v/>
      </c>
      <c r="H2756" s="47" t="str">
        <f>IF(B2756="","",IF(G2756&gt;0,"OUTSTANDING",IF(G2756=0,"SETTLED",IF(SUMIF(Transactions!$F$8:$F$3006,B2756,Transactions!$Q$8:$Q$3006)&gt;SUMIF(Transactions!$F$8:$F$3006,B2756,Transactions!$R$8:$R$3006),"OWES","OVERPAID"))))</f>
        <v/>
      </c>
      <c r="I2756" s="1"/>
    </row>
    <row r="2757" spans="1:9" ht="18" customHeight="1" x14ac:dyDescent="0.25">
      <c r="A2757" s="48">
        <v>2742</v>
      </c>
      <c r="B2757" s="49" t="str">
        <f t="array" ref="B2757">IFERROR(IF(INDEX(Transactions!$F$8:$F$3006,MATCH(0,COUNTIF($B$11:B2756,Transactions!$F$8:$F$3006),0))="","",INDEX(Transactions!$F$8:$F$3006,MATCH(0,COUNTIF($B$11:B2756,Transactions!$F$8:$F$3006),0))),"")</f>
        <v/>
      </c>
      <c r="C2757" s="50" t="str">
        <f>IF(B2757="","",SUMIF(Transactions!$F$8:$F$3006,B2757,Transactions!$H$8:$H$3006))</f>
        <v/>
      </c>
      <c r="D2757" s="51" t="str">
        <f>IF(B2757="","",SUMIF(Transactions!$F$8:$F$3006,B2757,Transactions!$N$8:$N$3006))</f>
        <v/>
      </c>
      <c r="E2757" s="52" t="str">
        <f>IF(B2757="","",SUMIF(Transactions!$F$8:$F$3006,B2757,Transactions!$O$8:$O$3006))</f>
        <v/>
      </c>
      <c r="F2757" s="53" t="str">
        <f>IF(B2757="","",SUMIF(Transactions!$F$8:$F$3006,B2757,Transactions!$R$8:$R$3006))</f>
        <v/>
      </c>
      <c r="G2757" s="54" t="str">
        <f>IF(B2757="","",(C2757+F2757)-(D2757+E2757+SUMIF(Transactions!$F$8:$F$3006,B2757,Transactions!$Q$8:$Q$3006)))</f>
        <v/>
      </c>
      <c r="H2757" s="55" t="str">
        <f>IF(B2757="","",IF(G2757&gt;0,"OUTSTANDING",IF(G2757=0,"SETTLED",IF(SUMIF(Transactions!$F$8:$F$3006,B2757,Transactions!$Q$8:$Q$3006)&gt;SUMIF(Transactions!$F$8:$F$3006,B2757,Transactions!$R$8:$R$3006),"OWES","OVERPAID"))))</f>
        <v/>
      </c>
      <c r="I2757" s="1"/>
    </row>
    <row r="2758" spans="1:9" ht="18" customHeight="1" x14ac:dyDescent="0.25">
      <c r="A2758" s="40">
        <v>2743</v>
      </c>
      <c r="B2758" s="41" t="str">
        <f t="array" ref="B2758">IFERROR(IF(INDEX(Transactions!$F$8:$F$3006,MATCH(0,COUNTIF($B$11:B2757,Transactions!$F$8:$F$3006),0))="","",INDEX(Transactions!$F$8:$F$3006,MATCH(0,COUNTIF($B$11:B2757,Transactions!$F$8:$F$3006),0))),"")</f>
        <v/>
      </c>
      <c r="C2758" s="42" t="str">
        <f>IF(B2758="","",SUMIF(Transactions!$F$8:$F$3006,B2758,Transactions!$H$8:$H$3006))</f>
        <v/>
      </c>
      <c r="D2758" s="43" t="str">
        <f>IF(B2758="","",SUMIF(Transactions!$F$8:$F$3006,B2758,Transactions!$N$8:$N$3006))</f>
        <v/>
      </c>
      <c r="E2758" s="44" t="str">
        <f>IF(B2758="","",SUMIF(Transactions!$F$8:$F$3006,B2758,Transactions!$O$8:$O$3006))</f>
        <v/>
      </c>
      <c r="F2758" s="45" t="str">
        <f>IF(B2758="","",SUMIF(Transactions!$F$8:$F$3006,B2758,Transactions!$R$8:$R$3006))</f>
        <v/>
      </c>
      <c r="G2758" s="46" t="str">
        <f>IF(B2758="","",(C2758+F2758)-(D2758+E2758+SUMIF(Transactions!$F$8:$F$3006,B2758,Transactions!$Q$8:$Q$3006)))</f>
        <v/>
      </c>
      <c r="H2758" s="47" t="str">
        <f>IF(B2758="","",IF(G2758&gt;0,"OUTSTANDING",IF(G2758=0,"SETTLED",IF(SUMIF(Transactions!$F$8:$F$3006,B2758,Transactions!$Q$8:$Q$3006)&gt;SUMIF(Transactions!$F$8:$F$3006,B2758,Transactions!$R$8:$R$3006),"OWES","OVERPAID"))))</f>
        <v/>
      </c>
      <c r="I2758" s="1"/>
    </row>
    <row r="2759" spans="1:9" ht="18" customHeight="1" x14ac:dyDescent="0.25">
      <c r="A2759" s="48">
        <v>2744</v>
      </c>
      <c r="B2759" s="49" t="str">
        <f t="array" ref="B2759">IFERROR(IF(INDEX(Transactions!$F$8:$F$3006,MATCH(0,COUNTIF($B$11:B2758,Transactions!$F$8:$F$3006),0))="","",INDEX(Transactions!$F$8:$F$3006,MATCH(0,COUNTIF($B$11:B2758,Transactions!$F$8:$F$3006),0))),"")</f>
        <v/>
      </c>
      <c r="C2759" s="50" t="str">
        <f>IF(B2759="","",SUMIF(Transactions!$F$8:$F$3006,B2759,Transactions!$H$8:$H$3006))</f>
        <v/>
      </c>
      <c r="D2759" s="51" t="str">
        <f>IF(B2759="","",SUMIF(Transactions!$F$8:$F$3006,B2759,Transactions!$N$8:$N$3006))</f>
        <v/>
      </c>
      <c r="E2759" s="52" t="str">
        <f>IF(B2759="","",SUMIF(Transactions!$F$8:$F$3006,B2759,Transactions!$O$8:$O$3006))</f>
        <v/>
      </c>
      <c r="F2759" s="53" t="str">
        <f>IF(B2759="","",SUMIF(Transactions!$F$8:$F$3006,B2759,Transactions!$R$8:$R$3006))</f>
        <v/>
      </c>
      <c r="G2759" s="54" t="str">
        <f>IF(B2759="","",(C2759+F2759)-(D2759+E2759+SUMIF(Transactions!$F$8:$F$3006,B2759,Transactions!$Q$8:$Q$3006)))</f>
        <v/>
      </c>
      <c r="H2759" s="55" t="str">
        <f>IF(B2759="","",IF(G2759&gt;0,"OUTSTANDING",IF(G2759=0,"SETTLED",IF(SUMIF(Transactions!$F$8:$F$3006,B2759,Transactions!$Q$8:$Q$3006)&gt;SUMIF(Transactions!$F$8:$F$3006,B2759,Transactions!$R$8:$R$3006),"OWES","OVERPAID"))))</f>
        <v/>
      </c>
      <c r="I2759" s="1"/>
    </row>
    <row r="2760" spans="1:9" ht="18" customHeight="1" x14ac:dyDescent="0.25">
      <c r="A2760" s="40">
        <v>2745</v>
      </c>
      <c r="B2760" s="41" t="str">
        <f t="array" ref="B2760">IFERROR(IF(INDEX(Transactions!$F$8:$F$3006,MATCH(0,COUNTIF($B$11:B2759,Transactions!$F$8:$F$3006),0))="","",INDEX(Transactions!$F$8:$F$3006,MATCH(0,COUNTIF($B$11:B2759,Transactions!$F$8:$F$3006),0))),"")</f>
        <v/>
      </c>
      <c r="C2760" s="42" t="str">
        <f>IF(B2760="","",SUMIF(Transactions!$F$8:$F$3006,B2760,Transactions!$H$8:$H$3006))</f>
        <v/>
      </c>
      <c r="D2760" s="43" t="str">
        <f>IF(B2760="","",SUMIF(Transactions!$F$8:$F$3006,B2760,Transactions!$N$8:$N$3006))</f>
        <v/>
      </c>
      <c r="E2760" s="44" t="str">
        <f>IF(B2760="","",SUMIF(Transactions!$F$8:$F$3006,B2760,Transactions!$O$8:$O$3006))</f>
        <v/>
      </c>
      <c r="F2760" s="45" t="str">
        <f>IF(B2760="","",SUMIF(Transactions!$F$8:$F$3006,B2760,Transactions!$R$8:$R$3006))</f>
        <v/>
      </c>
      <c r="G2760" s="46" t="str">
        <f>IF(B2760="","",(C2760+F2760)-(D2760+E2760+SUMIF(Transactions!$F$8:$F$3006,B2760,Transactions!$Q$8:$Q$3006)))</f>
        <v/>
      </c>
      <c r="H2760" s="47" t="str">
        <f>IF(B2760="","",IF(G2760&gt;0,"OUTSTANDING",IF(G2760=0,"SETTLED",IF(SUMIF(Transactions!$F$8:$F$3006,B2760,Transactions!$Q$8:$Q$3006)&gt;SUMIF(Transactions!$F$8:$F$3006,B2760,Transactions!$R$8:$R$3006),"OWES","OVERPAID"))))</f>
        <v/>
      </c>
      <c r="I2760" s="1"/>
    </row>
    <row r="2761" spans="1:9" ht="18" customHeight="1" x14ac:dyDescent="0.25">
      <c r="A2761" s="48">
        <v>2746</v>
      </c>
      <c r="B2761" s="49" t="str">
        <f t="array" ref="B2761">IFERROR(IF(INDEX(Transactions!$F$8:$F$3006,MATCH(0,COUNTIF($B$11:B2760,Transactions!$F$8:$F$3006),0))="","",INDEX(Transactions!$F$8:$F$3006,MATCH(0,COUNTIF($B$11:B2760,Transactions!$F$8:$F$3006),0))),"")</f>
        <v/>
      </c>
      <c r="C2761" s="50" t="str">
        <f>IF(B2761="","",SUMIF(Transactions!$F$8:$F$3006,B2761,Transactions!$H$8:$H$3006))</f>
        <v/>
      </c>
      <c r="D2761" s="51" t="str">
        <f>IF(B2761="","",SUMIF(Transactions!$F$8:$F$3006,B2761,Transactions!$N$8:$N$3006))</f>
        <v/>
      </c>
      <c r="E2761" s="52" t="str">
        <f>IF(B2761="","",SUMIF(Transactions!$F$8:$F$3006,B2761,Transactions!$O$8:$O$3006))</f>
        <v/>
      </c>
      <c r="F2761" s="53" t="str">
        <f>IF(B2761="","",SUMIF(Transactions!$F$8:$F$3006,B2761,Transactions!$R$8:$R$3006))</f>
        <v/>
      </c>
      <c r="G2761" s="54" t="str">
        <f>IF(B2761="","",(C2761+F2761)-(D2761+E2761+SUMIF(Transactions!$F$8:$F$3006,B2761,Transactions!$Q$8:$Q$3006)))</f>
        <v/>
      </c>
      <c r="H2761" s="55" t="str">
        <f>IF(B2761="","",IF(G2761&gt;0,"OUTSTANDING",IF(G2761=0,"SETTLED",IF(SUMIF(Transactions!$F$8:$F$3006,B2761,Transactions!$Q$8:$Q$3006)&gt;SUMIF(Transactions!$F$8:$F$3006,B2761,Transactions!$R$8:$R$3006),"OWES","OVERPAID"))))</f>
        <v/>
      </c>
      <c r="I2761" s="1"/>
    </row>
    <row r="2762" spans="1:9" ht="18" customHeight="1" x14ac:dyDescent="0.25">
      <c r="A2762" s="40">
        <v>2747</v>
      </c>
      <c r="B2762" s="41" t="str">
        <f t="array" ref="B2762">IFERROR(IF(INDEX(Transactions!$F$8:$F$3006,MATCH(0,COUNTIF($B$11:B2761,Transactions!$F$8:$F$3006),0))="","",INDEX(Transactions!$F$8:$F$3006,MATCH(0,COUNTIF($B$11:B2761,Transactions!$F$8:$F$3006),0))),"")</f>
        <v/>
      </c>
      <c r="C2762" s="42" t="str">
        <f>IF(B2762="","",SUMIF(Transactions!$F$8:$F$3006,B2762,Transactions!$H$8:$H$3006))</f>
        <v/>
      </c>
      <c r="D2762" s="43" t="str">
        <f>IF(B2762="","",SUMIF(Transactions!$F$8:$F$3006,B2762,Transactions!$N$8:$N$3006))</f>
        <v/>
      </c>
      <c r="E2762" s="44" t="str">
        <f>IF(B2762="","",SUMIF(Transactions!$F$8:$F$3006,B2762,Transactions!$O$8:$O$3006))</f>
        <v/>
      </c>
      <c r="F2762" s="45" t="str">
        <f>IF(B2762="","",SUMIF(Transactions!$F$8:$F$3006,B2762,Transactions!$R$8:$R$3006))</f>
        <v/>
      </c>
      <c r="G2762" s="46" t="str">
        <f>IF(B2762="","",(C2762+F2762)-(D2762+E2762+SUMIF(Transactions!$F$8:$F$3006,B2762,Transactions!$Q$8:$Q$3006)))</f>
        <v/>
      </c>
      <c r="H2762" s="47" t="str">
        <f>IF(B2762="","",IF(G2762&gt;0,"OUTSTANDING",IF(G2762=0,"SETTLED",IF(SUMIF(Transactions!$F$8:$F$3006,B2762,Transactions!$Q$8:$Q$3006)&gt;SUMIF(Transactions!$F$8:$F$3006,B2762,Transactions!$R$8:$R$3006),"OWES","OVERPAID"))))</f>
        <v/>
      </c>
      <c r="I2762" s="1"/>
    </row>
    <row r="2763" spans="1:9" ht="18" customHeight="1" x14ac:dyDescent="0.25">
      <c r="A2763" s="48">
        <v>2748</v>
      </c>
      <c r="B2763" s="49" t="str">
        <f t="array" ref="B2763">IFERROR(IF(INDEX(Transactions!$F$8:$F$3006,MATCH(0,COUNTIF($B$11:B2762,Transactions!$F$8:$F$3006),0))="","",INDEX(Transactions!$F$8:$F$3006,MATCH(0,COUNTIF($B$11:B2762,Transactions!$F$8:$F$3006),0))),"")</f>
        <v/>
      </c>
      <c r="C2763" s="50" t="str">
        <f>IF(B2763="","",SUMIF(Transactions!$F$8:$F$3006,B2763,Transactions!$H$8:$H$3006))</f>
        <v/>
      </c>
      <c r="D2763" s="51" t="str">
        <f>IF(B2763="","",SUMIF(Transactions!$F$8:$F$3006,B2763,Transactions!$N$8:$N$3006))</f>
        <v/>
      </c>
      <c r="E2763" s="52" t="str">
        <f>IF(B2763="","",SUMIF(Transactions!$F$8:$F$3006,B2763,Transactions!$O$8:$O$3006))</f>
        <v/>
      </c>
      <c r="F2763" s="53" t="str">
        <f>IF(B2763="","",SUMIF(Transactions!$F$8:$F$3006,B2763,Transactions!$R$8:$R$3006))</f>
        <v/>
      </c>
      <c r="G2763" s="54" t="str">
        <f>IF(B2763="","",(C2763+F2763)-(D2763+E2763+SUMIF(Transactions!$F$8:$F$3006,B2763,Transactions!$Q$8:$Q$3006)))</f>
        <v/>
      </c>
      <c r="H2763" s="55" t="str">
        <f>IF(B2763="","",IF(G2763&gt;0,"OUTSTANDING",IF(G2763=0,"SETTLED",IF(SUMIF(Transactions!$F$8:$F$3006,B2763,Transactions!$Q$8:$Q$3006)&gt;SUMIF(Transactions!$F$8:$F$3006,B2763,Transactions!$R$8:$R$3006),"OWES","OVERPAID"))))</f>
        <v/>
      </c>
      <c r="I2763" s="1"/>
    </row>
    <row r="2764" spans="1:9" ht="18" customHeight="1" x14ac:dyDescent="0.25">
      <c r="A2764" s="40">
        <v>2749</v>
      </c>
      <c r="B2764" s="41" t="str">
        <f t="array" ref="B2764">IFERROR(IF(INDEX(Transactions!$F$8:$F$3006,MATCH(0,COUNTIF($B$11:B2763,Transactions!$F$8:$F$3006),0))="","",INDEX(Transactions!$F$8:$F$3006,MATCH(0,COUNTIF($B$11:B2763,Transactions!$F$8:$F$3006),0))),"")</f>
        <v/>
      </c>
      <c r="C2764" s="42" t="str">
        <f>IF(B2764="","",SUMIF(Transactions!$F$8:$F$3006,B2764,Transactions!$H$8:$H$3006))</f>
        <v/>
      </c>
      <c r="D2764" s="43" t="str">
        <f>IF(B2764="","",SUMIF(Transactions!$F$8:$F$3006,B2764,Transactions!$N$8:$N$3006))</f>
        <v/>
      </c>
      <c r="E2764" s="44" t="str">
        <f>IF(B2764="","",SUMIF(Transactions!$F$8:$F$3006,B2764,Transactions!$O$8:$O$3006))</f>
        <v/>
      </c>
      <c r="F2764" s="45" t="str">
        <f>IF(B2764="","",SUMIF(Transactions!$F$8:$F$3006,B2764,Transactions!$R$8:$R$3006))</f>
        <v/>
      </c>
      <c r="G2764" s="46" t="str">
        <f>IF(B2764="","",(C2764+F2764)-(D2764+E2764+SUMIF(Transactions!$F$8:$F$3006,B2764,Transactions!$Q$8:$Q$3006)))</f>
        <v/>
      </c>
      <c r="H2764" s="47" t="str">
        <f>IF(B2764="","",IF(G2764&gt;0,"OUTSTANDING",IF(G2764=0,"SETTLED",IF(SUMIF(Transactions!$F$8:$F$3006,B2764,Transactions!$Q$8:$Q$3006)&gt;SUMIF(Transactions!$F$8:$F$3006,B2764,Transactions!$R$8:$R$3006),"OWES","OVERPAID"))))</f>
        <v/>
      </c>
      <c r="I2764" s="1"/>
    </row>
    <row r="2765" spans="1:9" ht="18" customHeight="1" x14ac:dyDescent="0.25">
      <c r="A2765" s="48">
        <v>2750</v>
      </c>
      <c r="B2765" s="49" t="str">
        <f t="array" ref="B2765">IFERROR(IF(INDEX(Transactions!$F$8:$F$3006,MATCH(0,COUNTIF($B$11:B2764,Transactions!$F$8:$F$3006),0))="","",INDEX(Transactions!$F$8:$F$3006,MATCH(0,COUNTIF($B$11:B2764,Transactions!$F$8:$F$3006),0))),"")</f>
        <v/>
      </c>
      <c r="C2765" s="50" t="str">
        <f>IF(B2765="","",SUMIF(Transactions!$F$8:$F$3006,B2765,Transactions!$H$8:$H$3006))</f>
        <v/>
      </c>
      <c r="D2765" s="51" t="str">
        <f>IF(B2765="","",SUMIF(Transactions!$F$8:$F$3006,B2765,Transactions!$N$8:$N$3006))</f>
        <v/>
      </c>
      <c r="E2765" s="52" t="str">
        <f>IF(B2765="","",SUMIF(Transactions!$F$8:$F$3006,B2765,Transactions!$O$8:$O$3006))</f>
        <v/>
      </c>
      <c r="F2765" s="53" t="str">
        <f>IF(B2765="","",SUMIF(Transactions!$F$8:$F$3006,B2765,Transactions!$R$8:$R$3006))</f>
        <v/>
      </c>
      <c r="G2765" s="54" t="str">
        <f>IF(B2765="","",(C2765+F2765)-(D2765+E2765+SUMIF(Transactions!$F$8:$F$3006,B2765,Transactions!$Q$8:$Q$3006)))</f>
        <v/>
      </c>
      <c r="H2765" s="55" t="str">
        <f>IF(B2765="","",IF(G2765&gt;0,"OUTSTANDING",IF(G2765=0,"SETTLED",IF(SUMIF(Transactions!$F$8:$F$3006,B2765,Transactions!$Q$8:$Q$3006)&gt;SUMIF(Transactions!$F$8:$F$3006,B2765,Transactions!$R$8:$R$3006),"OWES","OVERPAID"))))</f>
        <v/>
      </c>
      <c r="I2765" s="1"/>
    </row>
    <row r="2766" spans="1:9" ht="18" customHeight="1" x14ac:dyDescent="0.25">
      <c r="A2766" s="40">
        <v>2751</v>
      </c>
      <c r="B2766" s="41" t="str">
        <f t="array" ref="B2766">IFERROR(IF(INDEX(Transactions!$F$8:$F$3006,MATCH(0,COUNTIF($B$11:B2765,Transactions!$F$8:$F$3006),0))="","",INDEX(Transactions!$F$8:$F$3006,MATCH(0,COUNTIF($B$11:B2765,Transactions!$F$8:$F$3006),0))),"")</f>
        <v/>
      </c>
      <c r="C2766" s="42" t="str">
        <f>IF(B2766="","",SUMIF(Transactions!$F$8:$F$3006,B2766,Transactions!$H$8:$H$3006))</f>
        <v/>
      </c>
      <c r="D2766" s="43" t="str">
        <f>IF(B2766="","",SUMIF(Transactions!$F$8:$F$3006,B2766,Transactions!$N$8:$N$3006))</f>
        <v/>
      </c>
      <c r="E2766" s="44" t="str">
        <f>IF(B2766="","",SUMIF(Transactions!$F$8:$F$3006,B2766,Transactions!$O$8:$O$3006))</f>
        <v/>
      </c>
      <c r="F2766" s="45" t="str">
        <f>IF(B2766="","",SUMIF(Transactions!$F$8:$F$3006,B2766,Transactions!$R$8:$R$3006))</f>
        <v/>
      </c>
      <c r="G2766" s="46" t="str">
        <f>IF(B2766="","",(C2766+F2766)-(D2766+E2766+SUMIF(Transactions!$F$8:$F$3006,B2766,Transactions!$Q$8:$Q$3006)))</f>
        <v/>
      </c>
      <c r="H2766" s="47" t="str">
        <f>IF(B2766="","",IF(G2766&gt;0,"OUTSTANDING",IF(G2766=0,"SETTLED",IF(SUMIF(Transactions!$F$8:$F$3006,B2766,Transactions!$Q$8:$Q$3006)&gt;SUMIF(Transactions!$F$8:$F$3006,B2766,Transactions!$R$8:$R$3006),"OWES","OVERPAID"))))</f>
        <v/>
      </c>
      <c r="I2766" s="1"/>
    </row>
    <row r="2767" spans="1:9" ht="18" customHeight="1" x14ac:dyDescent="0.25">
      <c r="A2767" s="48">
        <v>2752</v>
      </c>
      <c r="B2767" s="49" t="str">
        <f t="array" ref="B2767">IFERROR(IF(INDEX(Transactions!$F$8:$F$3006,MATCH(0,COUNTIF($B$11:B2766,Transactions!$F$8:$F$3006),0))="","",INDEX(Transactions!$F$8:$F$3006,MATCH(0,COUNTIF($B$11:B2766,Transactions!$F$8:$F$3006),0))),"")</f>
        <v/>
      </c>
      <c r="C2767" s="50" t="str">
        <f>IF(B2767="","",SUMIF(Transactions!$F$8:$F$3006,B2767,Transactions!$H$8:$H$3006))</f>
        <v/>
      </c>
      <c r="D2767" s="51" t="str">
        <f>IF(B2767="","",SUMIF(Transactions!$F$8:$F$3006,B2767,Transactions!$N$8:$N$3006))</f>
        <v/>
      </c>
      <c r="E2767" s="52" t="str">
        <f>IF(B2767="","",SUMIF(Transactions!$F$8:$F$3006,B2767,Transactions!$O$8:$O$3006))</f>
        <v/>
      </c>
      <c r="F2767" s="53" t="str">
        <f>IF(B2767="","",SUMIF(Transactions!$F$8:$F$3006,B2767,Transactions!$R$8:$R$3006))</f>
        <v/>
      </c>
      <c r="G2767" s="54" t="str">
        <f>IF(B2767="","",(C2767+F2767)-(D2767+E2767+SUMIF(Transactions!$F$8:$F$3006,B2767,Transactions!$Q$8:$Q$3006)))</f>
        <v/>
      </c>
      <c r="H2767" s="55" t="str">
        <f>IF(B2767="","",IF(G2767&gt;0,"OUTSTANDING",IF(G2767=0,"SETTLED",IF(SUMIF(Transactions!$F$8:$F$3006,B2767,Transactions!$Q$8:$Q$3006)&gt;SUMIF(Transactions!$F$8:$F$3006,B2767,Transactions!$R$8:$R$3006),"OWES","OVERPAID"))))</f>
        <v/>
      </c>
      <c r="I2767" s="1"/>
    </row>
    <row r="2768" spans="1:9" ht="18" customHeight="1" x14ac:dyDescent="0.25">
      <c r="A2768" s="40">
        <v>2753</v>
      </c>
      <c r="B2768" s="41" t="str">
        <f t="array" ref="B2768">IFERROR(IF(INDEX(Transactions!$F$8:$F$3006,MATCH(0,COUNTIF($B$11:B2767,Transactions!$F$8:$F$3006),0))="","",INDEX(Transactions!$F$8:$F$3006,MATCH(0,COUNTIF($B$11:B2767,Transactions!$F$8:$F$3006),0))),"")</f>
        <v/>
      </c>
      <c r="C2768" s="42" t="str">
        <f>IF(B2768="","",SUMIF(Transactions!$F$8:$F$3006,B2768,Transactions!$H$8:$H$3006))</f>
        <v/>
      </c>
      <c r="D2768" s="43" t="str">
        <f>IF(B2768="","",SUMIF(Transactions!$F$8:$F$3006,B2768,Transactions!$N$8:$N$3006))</f>
        <v/>
      </c>
      <c r="E2768" s="44" t="str">
        <f>IF(B2768="","",SUMIF(Transactions!$F$8:$F$3006,B2768,Transactions!$O$8:$O$3006))</f>
        <v/>
      </c>
      <c r="F2768" s="45" t="str">
        <f>IF(B2768="","",SUMIF(Transactions!$F$8:$F$3006,B2768,Transactions!$R$8:$R$3006))</f>
        <v/>
      </c>
      <c r="G2768" s="46" t="str">
        <f>IF(B2768="","",(C2768+F2768)-(D2768+E2768+SUMIF(Transactions!$F$8:$F$3006,B2768,Transactions!$Q$8:$Q$3006)))</f>
        <v/>
      </c>
      <c r="H2768" s="47" t="str">
        <f>IF(B2768="","",IF(G2768&gt;0,"OUTSTANDING",IF(G2768=0,"SETTLED",IF(SUMIF(Transactions!$F$8:$F$3006,B2768,Transactions!$Q$8:$Q$3006)&gt;SUMIF(Transactions!$F$8:$F$3006,B2768,Transactions!$R$8:$R$3006),"OWES","OVERPAID"))))</f>
        <v/>
      </c>
      <c r="I2768" s="1"/>
    </row>
    <row r="2769" spans="1:9" ht="18" customHeight="1" x14ac:dyDescent="0.25">
      <c r="A2769" s="48">
        <v>2754</v>
      </c>
      <c r="B2769" s="49" t="str">
        <f t="array" ref="B2769">IFERROR(IF(INDEX(Transactions!$F$8:$F$3006,MATCH(0,COUNTIF($B$11:B2768,Transactions!$F$8:$F$3006),0))="","",INDEX(Transactions!$F$8:$F$3006,MATCH(0,COUNTIF($B$11:B2768,Transactions!$F$8:$F$3006),0))),"")</f>
        <v/>
      </c>
      <c r="C2769" s="50" t="str">
        <f>IF(B2769="","",SUMIF(Transactions!$F$8:$F$3006,B2769,Transactions!$H$8:$H$3006))</f>
        <v/>
      </c>
      <c r="D2769" s="51" t="str">
        <f>IF(B2769="","",SUMIF(Transactions!$F$8:$F$3006,B2769,Transactions!$N$8:$N$3006))</f>
        <v/>
      </c>
      <c r="E2769" s="52" t="str">
        <f>IF(B2769="","",SUMIF(Transactions!$F$8:$F$3006,B2769,Transactions!$O$8:$O$3006))</f>
        <v/>
      </c>
      <c r="F2769" s="53" t="str">
        <f>IF(B2769="","",SUMIF(Transactions!$F$8:$F$3006,B2769,Transactions!$R$8:$R$3006))</f>
        <v/>
      </c>
      <c r="G2769" s="54" t="str">
        <f>IF(B2769="","",(C2769+F2769)-(D2769+E2769+SUMIF(Transactions!$F$8:$F$3006,B2769,Transactions!$Q$8:$Q$3006)))</f>
        <v/>
      </c>
      <c r="H2769" s="55" t="str">
        <f>IF(B2769="","",IF(G2769&gt;0,"OUTSTANDING",IF(G2769=0,"SETTLED",IF(SUMIF(Transactions!$F$8:$F$3006,B2769,Transactions!$Q$8:$Q$3006)&gt;SUMIF(Transactions!$F$8:$F$3006,B2769,Transactions!$R$8:$R$3006),"OWES","OVERPAID"))))</f>
        <v/>
      </c>
      <c r="I2769" s="1"/>
    </row>
    <row r="2770" spans="1:9" ht="18" customHeight="1" x14ac:dyDescent="0.25">
      <c r="A2770" s="40">
        <v>2755</v>
      </c>
      <c r="B2770" s="41" t="str">
        <f t="array" ref="B2770">IFERROR(IF(INDEX(Transactions!$F$8:$F$3006,MATCH(0,COUNTIF($B$11:B2769,Transactions!$F$8:$F$3006),0))="","",INDEX(Transactions!$F$8:$F$3006,MATCH(0,COUNTIF($B$11:B2769,Transactions!$F$8:$F$3006),0))),"")</f>
        <v/>
      </c>
      <c r="C2770" s="42" t="str">
        <f>IF(B2770="","",SUMIF(Transactions!$F$8:$F$3006,B2770,Transactions!$H$8:$H$3006))</f>
        <v/>
      </c>
      <c r="D2770" s="43" t="str">
        <f>IF(B2770="","",SUMIF(Transactions!$F$8:$F$3006,B2770,Transactions!$N$8:$N$3006))</f>
        <v/>
      </c>
      <c r="E2770" s="44" t="str">
        <f>IF(B2770="","",SUMIF(Transactions!$F$8:$F$3006,B2770,Transactions!$O$8:$O$3006))</f>
        <v/>
      </c>
      <c r="F2770" s="45" t="str">
        <f>IF(B2770="","",SUMIF(Transactions!$F$8:$F$3006,B2770,Transactions!$R$8:$R$3006))</f>
        <v/>
      </c>
      <c r="G2770" s="46" t="str">
        <f>IF(B2770="","",(C2770+F2770)-(D2770+E2770+SUMIF(Transactions!$F$8:$F$3006,B2770,Transactions!$Q$8:$Q$3006)))</f>
        <v/>
      </c>
      <c r="H2770" s="47" t="str">
        <f>IF(B2770="","",IF(G2770&gt;0,"OUTSTANDING",IF(G2770=0,"SETTLED",IF(SUMIF(Transactions!$F$8:$F$3006,B2770,Transactions!$Q$8:$Q$3006)&gt;SUMIF(Transactions!$F$8:$F$3006,B2770,Transactions!$R$8:$R$3006),"OWES","OVERPAID"))))</f>
        <v/>
      </c>
      <c r="I2770" s="1"/>
    </row>
    <row r="2771" spans="1:9" ht="18" customHeight="1" x14ac:dyDescent="0.25">
      <c r="A2771" s="48">
        <v>2756</v>
      </c>
      <c r="B2771" s="49" t="str">
        <f t="array" ref="B2771">IFERROR(IF(INDEX(Transactions!$F$8:$F$3006,MATCH(0,COUNTIF($B$11:B2770,Transactions!$F$8:$F$3006),0))="","",INDEX(Transactions!$F$8:$F$3006,MATCH(0,COUNTIF($B$11:B2770,Transactions!$F$8:$F$3006),0))),"")</f>
        <v/>
      </c>
      <c r="C2771" s="50" t="str">
        <f>IF(B2771="","",SUMIF(Transactions!$F$8:$F$3006,B2771,Transactions!$H$8:$H$3006))</f>
        <v/>
      </c>
      <c r="D2771" s="51" t="str">
        <f>IF(B2771="","",SUMIF(Transactions!$F$8:$F$3006,B2771,Transactions!$N$8:$N$3006))</f>
        <v/>
      </c>
      <c r="E2771" s="52" t="str">
        <f>IF(B2771="","",SUMIF(Transactions!$F$8:$F$3006,B2771,Transactions!$O$8:$O$3006))</f>
        <v/>
      </c>
      <c r="F2771" s="53" t="str">
        <f>IF(B2771="","",SUMIF(Transactions!$F$8:$F$3006,B2771,Transactions!$R$8:$R$3006))</f>
        <v/>
      </c>
      <c r="G2771" s="54" t="str">
        <f>IF(B2771="","",(C2771+F2771)-(D2771+E2771+SUMIF(Transactions!$F$8:$F$3006,B2771,Transactions!$Q$8:$Q$3006)))</f>
        <v/>
      </c>
      <c r="H2771" s="55" t="str">
        <f>IF(B2771="","",IF(G2771&gt;0,"OUTSTANDING",IF(G2771=0,"SETTLED",IF(SUMIF(Transactions!$F$8:$F$3006,B2771,Transactions!$Q$8:$Q$3006)&gt;SUMIF(Transactions!$F$8:$F$3006,B2771,Transactions!$R$8:$R$3006),"OWES","OVERPAID"))))</f>
        <v/>
      </c>
      <c r="I2771" s="1"/>
    </row>
    <row r="2772" spans="1:9" ht="18" customHeight="1" x14ac:dyDescent="0.25">
      <c r="A2772" s="40">
        <v>2757</v>
      </c>
      <c r="B2772" s="41" t="str">
        <f t="array" ref="B2772">IFERROR(IF(INDEX(Transactions!$F$8:$F$3006,MATCH(0,COUNTIF($B$11:B2771,Transactions!$F$8:$F$3006),0))="","",INDEX(Transactions!$F$8:$F$3006,MATCH(0,COUNTIF($B$11:B2771,Transactions!$F$8:$F$3006),0))),"")</f>
        <v/>
      </c>
      <c r="C2772" s="42" t="str">
        <f>IF(B2772="","",SUMIF(Transactions!$F$8:$F$3006,B2772,Transactions!$H$8:$H$3006))</f>
        <v/>
      </c>
      <c r="D2772" s="43" t="str">
        <f>IF(B2772="","",SUMIF(Transactions!$F$8:$F$3006,B2772,Transactions!$N$8:$N$3006))</f>
        <v/>
      </c>
      <c r="E2772" s="44" t="str">
        <f>IF(B2772="","",SUMIF(Transactions!$F$8:$F$3006,B2772,Transactions!$O$8:$O$3006))</f>
        <v/>
      </c>
      <c r="F2772" s="45" t="str">
        <f>IF(B2772="","",SUMIF(Transactions!$F$8:$F$3006,B2772,Transactions!$R$8:$R$3006))</f>
        <v/>
      </c>
      <c r="G2772" s="46" t="str">
        <f>IF(B2772="","",(C2772+F2772)-(D2772+E2772+SUMIF(Transactions!$F$8:$F$3006,B2772,Transactions!$Q$8:$Q$3006)))</f>
        <v/>
      </c>
      <c r="H2772" s="47" t="str">
        <f>IF(B2772="","",IF(G2772&gt;0,"OUTSTANDING",IF(G2772=0,"SETTLED",IF(SUMIF(Transactions!$F$8:$F$3006,B2772,Transactions!$Q$8:$Q$3006)&gt;SUMIF(Transactions!$F$8:$F$3006,B2772,Transactions!$R$8:$R$3006),"OWES","OVERPAID"))))</f>
        <v/>
      </c>
      <c r="I2772" s="1"/>
    </row>
    <row r="2773" spans="1:9" ht="18" customHeight="1" x14ac:dyDescent="0.25">
      <c r="A2773" s="48">
        <v>2758</v>
      </c>
      <c r="B2773" s="49" t="str">
        <f t="array" ref="B2773">IFERROR(IF(INDEX(Transactions!$F$8:$F$3006,MATCH(0,COUNTIF($B$11:B2772,Transactions!$F$8:$F$3006),0))="","",INDEX(Transactions!$F$8:$F$3006,MATCH(0,COUNTIF($B$11:B2772,Transactions!$F$8:$F$3006),0))),"")</f>
        <v/>
      </c>
      <c r="C2773" s="50" t="str">
        <f>IF(B2773="","",SUMIF(Transactions!$F$8:$F$3006,B2773,Transactions!$H$8:$H$3006))</f>
        <v/>
      </c>
      <c r="D2773" s="51" t="str">
        <f>IF(B2773="","",SUMIF(Transactions!$F$8:$F$3006,B2773,Transactions!$N$8:$N$3006))</f>
        <v/>
      </c>
      <c r="E2773" s="52" t="str">
        <f>IF(B2773="","",SUMIF(Transactions!$F$8:$F$3006,B2773,Transactions!$O$8:$O$3006))</f>
        <v/>
      </c>
      <c r="F2773" s="53" t="str">
        <f>IF(B2773="","",SUMIF(Transactions!$F$8:$F$3006,B2773,Transactions!$R$8:$R$3006))</f>
        <v/>
      </c>
      <c r="G2773" s="54" t="str">
        <f>IF(B2773="","",(C2773+F2773)-(D2773+E2773+SUMIF(Transactions!$F$8:$F$3006,B2773,Transactions!$Q$8:$Q$3006)))</f>
        <v/>
      </c>
      <c r="H2773" s="55" t="str">
        <f>IF(B2773="","",IF(G2773&gt;0,"OUTSTANDING",IF(G2773=0,"SETTLED",IF(SUMIF(Transactions!$F$8:$F$3006,B2773,Transactions!$Q$8:$Q$3006)&gt;SUMIF(Transactions!$F$8:$F$3006,B2773,Transactions!$R$8:$R$3006),"OWES","OVERPAID"))))</f>
        <v/>
      </c>
      <c r="I2773" s="1"/>
    </row>
    <row r="2774" spans="1:9" ht="18" customHeight="1" x14ac:dyDescent="0.25">
      <c r="A2774" s="40">
        <v>2759</v>
      </c>
      <c r="B2774" s="41" t="str">
        <f t="array" ref="B2774">IFERROR(IF(INDEX(Transactions!$F$8:$F$3006,MATCH(0,COUNTIF($B$11:B2773,Transactions!$F$8:$F$3006),0))="","",INDEX(Transactions!$F$8:$F$3006,MATCH(0,COUNTIF($B$11:B2773,Transactions!$F$8:$F$3006),0))),"")</f>
        <v/>
      </c>
      <c r="C2774" s="42" t="str">
        <f>IF(B2774="","",SUMIF(Transactions!$F$8:$F$3006,B2774,Transactions!$H$8:$H$3006))</f>
        <v/>
      </c>
      <c r="D2774" s="43" t="str">
        <f>IF(B2774="","",SUMIF(Transactions!$F$8:$F$3006,B2774,Transactions!$N$8:$N$3006))</f>
        <v/>
      </c>
      <c r="E2774" s="44" t="str">
        <f>IF(B2774="","",SUMIF(Transactions!$F$8:$F$3006,B2774,Transactions!$O$8:$O$3006))</f>
        <v/>
      </c>
      <c r="F2774" s="45" t="str">
        <f>IF(B2774="","",SUMIF(Transactions!$F$8:$F$3006,B2774,Transactions!$R$8:$R$3006))</f>
        <v/>
      </c>
      <c r="G2774" s="46" t="str">
        <f>IF(B2774="","",(C2774+F2774)-(D2774+E2774+SUMIF(Transactions!$F$8:$F$3006,B2774,Transactions!$Q$8:$Q$3006)))</f>
        <v/>
      </c>
      <c r="H2774" s="47" t="str">
        <f>IF(B2774="","",IF(G2774&gt;0,"OUTSTANDING",IF(G2774=0,"SETTLED",IF(SUMIF(Transactions!$F$8:$F$3006,B2774,Transactions!$Q$8:$Q$3006)&gt;SUMIF(Transactions!$F$8:$F$3006,B2774,Transactions!$R$8:$R$3006),"OWES","OVERPAID"))))</f>
        <v/>
      </c>
      <c r="I2774" s="1"/>
    </row>
    <row r="2775" spans="1:9" ht="18" customHeight="1" x14ac:dyDescent="0.25">
      <c r="A2775" s="48">
        <v>2760</v>
      </c>
      <c r="B2775" s="49" t="str">
        <f t="array" ref="B2775">IFERROR(IF(INDEX(Transactions!$F$8:$F$3006,MATCH(0,COUNTIF($B$11:B2774,Transactions!$F$8:$F$3006),0))="","",INDEX(Transactions!$F$8:$F$3006,MATCH(0,COUNTIF($B$11:B2774,Transactions!$F$8:$F$3006),0))),"")</f>
        <v/>
      </c>
      <c r="C2775" s="50" t="str">
        <f>IF(B2775="","",SUMIF(Transactions!$F$8:$F$3006,B2775,Transactions!$H$8:$H$3006))</f>
        <v/>
      </c>
      <c r="D2775" s="51" t="str">
        <f>IF(B2775="","",SUMIF(Transactions!$F$8:$F$3006,B2775,Transactions!$N$8:$N$3006))</f>
        <v/>
      </c>
      <c r="E2775" s="52" t="str">
        <f>IF(B2775="","",SUMIF(Transactions!$F$8:$F$3006,B2775,Transactions!$O$8:$O$3006))</f>
        <v/>
      </c>
      <c r="F2775" s="53" t="str">
        <f>IF(B2775="","",SUMIF(Transactions!$F$8:$F$3006,B2775,Transactions!$R$8:$R$3006))</f>
        <v/>
      </c>
      <c r="G2775" s="54" t="str">
        <f>IF(B2775="","",(C2775+F2775)-(D2775+E2775+SUMIF(Transactions!$F$8:$F$3006,B2775,Transactions!$Q$8:$Q$3006)))</f>
        <v/>
      </c>
      <c r="H2775" s="55" t="str">
        <f>IF(B2775="","",IF(G2775&gt;0,"OUTSTANDING",IF(G2775=0,"SETTLED",IF(SUMIF(Transactions!$F$8:$F$3006,B2775,Transactions!$Q$8:$Q$3006)&gt;SUMIF(Transactions!$F$8:$F$3006,B2775,Transactions!$R$8:$R$3006),"OWES","OVERPAID"))))</f>
        <v/>
      </c>
      <c r="I2775" s="1"/>
    </row>
    <row r="2776" spans="1:9" ht="18" customHeight="1" x14ac:dyDescent="0.25">
      <c r="A2776" s="40">
        <v>2761</v>
      </c>
      <c r="B2776" s="41" t="str">
        <f t="array" ref="B2776">IFERROR(IF(INDEX(Transactions!$F$8:$F$3006,MATCH(0,COUNTIF($B$11:B2775,Transactions!$F$8:$F$3006),0))="","",INDEX(Transactions!$F$8:$F$3006,MATCH(0,COUNTIF($B$11:B2775,Transactions!$F$8:$F$3006),0))),"")</f>
        <v/>
      </c>
      <c r="C2776" s="42" t="str">
        <f>IF(B2776="","",SUMIF(Transactions!$F$8:$F$3006,B2776,Transactions!$H$8:$H$3006))</f>
        <v/>
      </c>
      <c r="D2776" s="43" t="str">
        <f>IF(B2776="","",SUMIF(Transactions!$F$8:$F$3006,B2776,Transactions!$N$8:$N$3006))</f>
        <v/>
      </c>
      <c r="E2776" s="44" t="str">
        <f>IF(B2776="","",SUMIF(Transactions!$F$8:$F$3006,B2776,Transactions!$O$8:$O$3006))</f>
        <v/>
      </c>
      <c r="F2776" s="45" t="str">
        <f>IF(B2776="","",SUMIF(Transactions!$F$8:$F$3006,B2776,Transactions!$R$8:$R$3006))</f>
        <v/>
      </c>
      <c r="G2776" s="46" t="str">
        <f>IF(B2776="","",(C2776+F2776)-(D2776+E2776+SUMIF(Transactions!$F$8:$F$3006,B2776,Transactions!$Q$8:$Q$3006)))</f>
        <v/>
      </c>
      <c r="H2776" s="47" t="str">
        <f>IF(B2776="","",IF(G2776&gt;0,"OUTSTANDING",IF(G2776=0,"SETTLED",IF(SUMIF(Transactions!$F$8:$F$3006,B2776,Transactions!$Q$8:$Q$3006)&gt;SUMIF(Transactions!$F$8:$F$3006,B2776,Transactions!$R$8:$R$3006),"OWES","OVERPAID"))))</f>
        <v/>
      </c>
      <c r="I2776" s="1"/>
    </row>
    <row r="2777" spans="1:9" ht="18" customHeight="1" x14ac:dyDescent="0.25">
      <c r="A2777" s="48">
        <v>2762</v>
      </c>
      <c r="B2777" s="49" t="str">
        <f t="array" ref="B2777">IFERROR(IF(INDEX(Transactions!$F$8:$F$3006,MATCH(0,COUNTIF($B$11:B2776,Transactions!$F$8:$F$3006),0))="","",INDEX(Transactions!$F$8:$F$3006,MATCH(0,COUNTIF($B$11:B2776,Transactions!$F$8:$F$3006),0))),"")</f>
        <v/>
      </c>
      <c r="C2777" s="50" t="str">
        <f>IF(B2777="","",SUMIF(Transactions!$F$8:$F$3006,B2777,Transactions!$H$8:$H$3006))</f>
        <v/>
      </c>
      <c r="D2777" s="51" t="str">
        <f>IF(B2777="","",SUMIF(Transactions!$F$8:$F$3006,B2777,Transactions!$N$8:$N$3006))</f>
        <v/>
      </c>
      <c r="E2777" s="52" t="str">
        <f>IF(B2777="","",SUMIF(Transactions!$F$8:$F$3006,B2777,Transactions!$O$8:$O$3006))</f>
        <v/>
      </c>
      <c r="F2777" s="53" t="str">
        <f>IF(B2777="","",SUMIF(Transactions!$F$8:$F$3006,B2777,Transactions!$R$8:$R$3006))</f>
        <v/>
      </c>
      <c r="G2777" s="54" t="str">
        <f>IF(B2777="","",(C2777+F2777)-(D2777+E2777+SUMIF(Transactions!$F$8:$F$3006,B2777,Transactions!$Q$8:$Q$3006)))</f>
        <v/>
      </c>
      <c r="H2777" s="55" t="str">
        <f>IF(B2777="","",IF(G2777&gt;0,"OUTSTANDING",IF(G2777=0,"SETTLED",IF(SUMIF(Transactions!$F$8:$F$3006,B2777,Transactions!$Q$8:$Q$3006)&gt;SUMIF(Transactions!$F$8:$F$3006,B2777,Transactions!$R$8:$R$3006),"OWES","OVERPAID"))))</f>
        <v/>
      </c>
      <c r="I2777" s="1"/>
    </row>
    <row r="2778" spans="1:9" ht="18" customHeight="1" x14ac:dyDescent="0.25">
      <c r="A2778" s="40">
        <v>2763</v>
      </c>
      <c r="B2778" s="41" t="str">
        <f t="array" ref="B2778">IFERROR(IF(INDEX(Transactions!$F$8:$F$3006,MATCH(0,COUNTIF($B$11:B2777,Transactions!$F$8:$F$3006),0))="","",INDEX(Transactions!$F$8:$F$3006,MATCH(0,COUNTIF($B$11:B2777,Transactions!$F$8:$F$3006),0))),"")</f>
        <v/>
      </c>
      <c r="C2778" s="42" t="str">
        <f>IF(B2778="","",SUMIF(Transactions!$F$8:$F$3006,B2778,Transactions!$H$8:$H$3006))</f>
        <v/>
      </c>
      <c r="D2778" s="43" t="str">
        <f>IF(B2778="","",SUMIF(Transactions!$F$8:$F$3006,B2778,Transactions!$N$8:$N$3006))</f>
        <v/>
      </c>
      <c r="E2778" s="44" t="str">
        <f>IF(B2778="","",SUMIF(Transactions!$F$8:$F$3006,B2778,Transactions!$O$8:$O$3006))</f>
        <v/>
      </c>
      <c r="F2778" s="45" t="str">
        <f>IF(B2778="","",SUMIF(Transactions!$F$8:$F$3006,B2778,Transactions!$R$8:$R$3006))</f>
        <v/>
      </c>
      <c r="G2778" s="46" t="str">
        <f>IF(B2778="","",(C2778+F2778)-(D2778+E2778+SUMIF(Transactions!$F$8:$F$3006,B2778,Transactions!$Q$8:$Q$3006)))</f>
        <v/>
      </c>
      <c r="H2778" s="47" t="str">
        <f>IF(B2778="","",IF(G2778&gt;0,"OUTSTANDING",IF(G2778=0,"SETTLED",IF(SUMIF(Transactions!$F$8:$F$3006,B2778,Transactions!$Q$8:$Q$3006)&gt;SUMIF(Transactions!$F$8:$F$3006,B2778,Transactions!$R$8:$R$3006),"OWES","OVERPAID"))))</f>
        <v/>
      </c>
      <c r="I2778" s="1"/>
    </row>
    <row r="2779" spans="1:9" ht="18" customHeight="1" x14ac:dyDescent="0.25">
      <c r="A2779" s="48">
        <v>2764</v>
      </c>
      <c r="B2779" s="49" t="str">
        <f t="array" ref="B2779">IFERROR(IF(INDEX(Transactions!$F$8:$F$3006,MATCH(0,COUNTIF($B$11:B2778,Transactions!$F$8:$F$3006),0))="","",INDEX(Transactions!$F$8:$F$3006,MATCH(0,COUNTIF($B$11:B2778,Transactions!$F$8:$F$3006),0))),"")</f>
        <v/>
      </c>
      <c r="C2779" s="50" t="str">
        <f>IF(B2779="","",SUMIF(Transactions!$F$8:$F$3006,B2779,Transactions!$H$8:$H$3006))</f>
        <v/>
      </c>
      <c r="D2779" s="51" t="str">
        <f>IF(B2779="","",SUMIF(Transactions!$F$8:$F$3006,B2779,Transactions!$N$8:$N$3006))</f>
        <v/>
      </c>
      <c r="E2779" s="52" t="str">
        <f>IF(B2779="","",SUMIF(Transactions!$F$8:$F$3006,B2779,Transactions!$O$8:$O$3006))</f>
        <v/>
      </c>
      <c r="F2779" s="53" t="str">
        <f>IF(B2779="","",SUMIF(Transactions!$F$8:$F$3006,B2779,Transactions!$R$8:$R$3006))</f>
        <v/>
      </c>
      <c r="G2779" s="54" t="str">
        <f>IF(B2779="","",(C2779+F2779)-(D2779+E2779+SUMIF(Transactions!$F$8:$F$3006,B2779,Transactions!$Q$8:$Q$3006)))</f>
        <v/>
      </c>
      <c r="H2779" s="55" t="str">
        <f>IF(B2779="","",IF(G2779&gt;0,"OUTSTANDING",IF(G2779=0,"SETTLED",IF(SUMIF(Transactions!$F$8:$F$3006,B2779,Transactions!$Q$8:$Q$3006)&gt;SUMIF(Transactions!$F$8:$F$3006,B2779,Transactions!$R$8:$R$3006),"OWES","OVERPAID"))))</f>
        <v/>
      </c>
      <c r="I2779" s="1"/>
    </row>
    <row r="2780" spans="1:9" ht="18" customHeight="1" x14ac:dyDescent="0.25">
      <c r="A2780" s="40">
        <v>2765</v>
      </c>
      <c r="B2780" s="41" t="str">
        <f t="array" ref="B2780">IFERROR(IF(INDEX(Transactions!$F$8:$F$3006,MATCH(0,COUNTIF($B$11:B2779,Transactions!$F$8:$F$3006),0))="","",INDEX(Transactions!$F$8:$F$3006,MATCH(0,COUNTIF($B$11:B2779,Transactions!$F$8:$F$3006),0))),"")</f>
        <v/>
      </c>
      <c r="C2780" s="42" t="str">
        <f>IF(B2780="","",SUMIF(Transactions!$F$8:$F$3006,B2780,Transactions!$H$8:$H$3006))</f>
        <v/>
      </c>
      <c r="D2780" s="43" t="str">
        <f>IF(B2780="","",SUMIF(Transactions!$F$8:$F$3006,B2780,Transactions!$N$8:$N$3006))</f>
        <v/>
      </c>
      <c r="E2780" s="44" t="str">
        <f>IF(B2780="","",SUMIF(Transactions!$F$8:$F$3006,B2780,Transactions!$O$8:$O$3006))</f>
        <v/>
      </c>
      <c r="F2780" s="45" t="str">
        <f>IF(B2780="","",SUMIF(Transactions!$F$8:$F$3006,B2780,Transactions!$R$8:$R$3006))</f>
        <v/>
      </c>
      <c r="G2780" s="46" t="str">
        <f>IF(B2780="","",(C2780+F2780)-(D2780+E2780+SUMIF(Transactions!$F$8:$F$3006,B2780,Transactions!$Q$8:$Q$3006)))</f>
        <v/>
      </c>
      <c r="H2780" s="47" t="str">
        <f>IF(B2780="","",IF(G2780&gt;0,"OUTSTANDING",IF(G2780=0,"SETTLED",IF(SUMIF(Transactions!$F$8:$F$3006,B2780,Transactions!$Q$8:$Q$3006)&gt;SUMIF(Transactions!$F$8:$F$3006,B2780,Transactions!$R$8:$R$3006),"OWES","OVERPAID"))))</f>
        <v/>
      </c>
      <c r="I2780" s="1"/>
    </row>
    <row r="2781" spans="1:9" ht="18" customHeight="1" x14ac:dyDescent="0.25">
      <c r="A2781" s="48">
        <v>2766</v>
      </c>
      <c r="B2781" s="49" t="str">
        <f t="array" ref="B2781">IFERROR(IF(INDEX(Transactions!$F$8:$F$3006,MATCH(0,COUNTIF($B$11:B2780,Transactions!$F$8:$F$3006),0))="","",INDEX(Transactions!$F$8:$F$3006,MATCH(0,COUNTIF($B$11:B2780,Transactions!$F$8:$F$3006),0))),"")</f>
        <v/>
      </c>
      <c r="C2781" s="50" t="str">
        <f>IF(B2781="","",SUMIF(Transactions!$F$8:$F$3006,B2781,Transactions!$H$8:$H$3006))</f>
        <v/>
      </c>
      <c r="D2781" s="51" t="str">
        <f>IF(B2781="","",SUMIF(Transactions!$F$8:$F$3006,B2781,Transactions!$N$8:$N$3006))</f>
        <v/>
      </c>
      <c r="E2781" s="52" t="str">
        <f>IF(B2781="","",SUMIF(Transactions!$F$8:$F$3006,B2781,Transactions!$O$8:$O$3006))</f>
        <v/>
      </c>
      <c r="F2781" s="53" t="str">
        <f>IF(B2781="","",SUMIF(Transactions!$F$8:$F$3006,B2781,Transactions!$R$8:$R$3006))</f>
        <v/>
      </c>
      <c r="G2781" s="54" t="str">
        <f>IF(B2781="","",(C2781+F2781)-(D2781+E2781+SUMIF(Transactions!$F$8:$F$3006,B2781,Transactions!$Q$8:$Q$3006)))</f>
        <v/>
      </c>
      <c r="H2781" s="55" t="str">
        <f>IF(B2781="","",IF(G2781&gt;0,"OUTSTANDING",IF(G2781=0,"SETTLED",IF(SUMIF(Transactions!$F$8:$F$3006,B2781,Transactions!$Q$8:$Q$3006)&gt;SUMIF(Transactions!$F$8:$F$3006,B2781,Transactions!$R$8:$R$3006),"OWES","OVERPAID"))))</f>
        <v/>
      </c>
      <c r="I2781" s="1"/>
    </row>
    <row r="2782" spans="1:9" ht="18" customHeight="1" x14ac:dyDescent="0.25">
      <c r="A2782" s="40">
        <v>2767</v>
      </c>
      <c r="B2782" s="41" t="str">
        <f t="array" ref="B2782">IFERROR(IF(INDEX(Transactions!$F$8:$F$3006,MATCH(0,COUNTIF($B$11:B2781,Transactions!$F$8:$F$3006),0))="","",INDEX(Transactions!$F$8:$F$3006,MATCH(0,COUNTIF($B$11:B2781,Transactions!$F$8:$F$3006),0))),"")</f>
        <v/>
      </c>
      <c r="C2782" s="42" t="str">
        <f>IF(B2782="","",SUMIF(Transactions!$F$8:$F$3006,B2782,Transactions!$H$8:$H$3006))</f>
        <v/>
      </c>
      <c r="D2782" s="43" t="str">
        <f>IF(B2782="","",SUMIF(Transactions!$F$8:$F$3006,B2782,Transactions!$N$8:$N$3006))</f>
        <v/>
      </c>
      <c r="E2782" s="44" t="str">
        <f>IF(B2782="","",SUMIF(Transactions!$F$8:$F$3006,B2782,Transactions!$O$8:$O$3006))</f>
        <v/>
      </c>
      <c r="F2782" s="45" t="str">
        <f>IF(B2782="","",SUMIF(Transactions!$F$8:$F$3006,B2782,Transactions!$R$8:$R$3006))</f>
        <v/>
      </c>
      <c r="G2782" s="46" t="str">
        <f>IF(B2782="","",(C2782+F2782)-(D2782+E2782+SUMIF(Transactions!$F$8:$F$3006,B2782,Transactions!$Q$8:$Q$3006)))</f>
        <v/>
      </c>
      <c r="H2782" s="47" t="str">
        <f>IF(B2782="","",IF(G2782&gt;0,"OUTSTANDING",IF(G2782=0,"SETTLED",IF(SUMIF(Transactions!$F$8:$F$3006,B2782,Transactions!$Q$8:$Q$3006)&gt;SUMIF(Transactions!$F$8:$F$3006,B2782,Transactions!$R$8:$R$3006),"OWES","OVERPAID"))))</f>
        <v/>
      </c>
      <c r="I2782" s="1"/>
    </row>
    <row r="2783" spans="1:9" ht="18" customHeight="1" x14ac:dyDescent="0.25">
      <c r="A2783" s="48">
        <v>2768</v>
      </c>
      <c r="B2783" s="49" t="str">
        <f t="array" ref="B2783">IFERROR(IF(INDEX(Transactions!$F$8:$F$3006,MATCH(0,COUNTIF($B$11:B2782,Transactions!$F$8:$F$3006),0))="","",INDEX(Transactions!$F$8:$F$3006,MATCH(0,COUNTIF($B$11:B2782,Transactions!$F$8:$F$3006),0))),"")</f>
        <v/>
      </c>
      <c r="C2783" s="50" t="str">
        <f>IF(B2783="","",SUMIF(Transactions!$F$8:$F$3006,B2783,Transactions!$H$8:$H$3006))</f>
        <v/>
      </c>
      <c r="D2783" s="51" t="str">
        <f>IF(B2783="","",SUMIF(Transactions!$F$8:$F$3006,B2783,Transactions!$N$8:$N$3006))</f>
        <v/>
      </c>
      <c r="E2783" s="52" t="str">
        <f>IF(B2783="","",SUMIF(Transactions!$F$8:$F$3006,B2783,Transactions!$O$8:$O$3006))</f>
        <v/>
      </c>
      <c r="F2783" s="53" t="str">
        <f>IF(B2783="","",SUMIF(Transactions!$F$8:$F$3006,B2783,Transactions!$R$8:$R$3006))</f>
        <v/>
      </c>
      <c r="G2783" s="54" t="str">
        <f>IF(B2783="","",(C2783+F2783)-(D2783+E2783+SUMIF(Transactions!$F$8:$F$3006,B2783,Transactions!$Q$8:$Q$3006)))</f>
        <v/>
      </c>
      <c r="H2783" s="55" t="str">
        <f>IF(B2783="","",IF(G2783&gt;0,"OUTSTANDING",IF(G2783=0,"SETTLED",IF(SUMIF(Transactions!$F$8:$F$3006,B2783,Transactions!$Q$8:$Q$3006)&gt;SUMIF(Transactions!$F$8:$F$3006,B2783,Transactions!$R$8:$R$3006),"OWES","OVERPAID"))))</f>
        <v/>
      </c>
      <c r="I2783" s="1"/>
    </row>
    <row r="2784" spans="1:9" ht="18" customHeight="1" x14ac:dyDescent="0.25">
      <c r="A2784" s="40">
        <v>2769</v>
      </c>
      <c r="B2784" s="41" t="str">
        <f t="array" ref="B2784">IFERROR(IF(INDEX(Transactions!$F$8:$F$3006,MATCH(0,COUNTIF($B$11:B2783,Transactions!$F$8:$F$3006),0))="","",INDEX(Transactions!$F$8:$F$3006,MATCH(0,COUNTIF($B$11:B2783,Transactions!$F$8:$F$3006),0))),"")</f>
        <v/>
      </c>
      <c r="C2784" s="42" t="str">
        <f>IF(B2784="","",SUMIF(Transactions!$F$8:$F$3006,B2784,Transactions!$H$8:$H$3006))</f>
        <v/>
      </c>
      <c r="D2784" s="43" t="str">
        <f>IF(B2784="","",SUMIF(Transactions!$F$8:$F$3006,B2784,Transactions!$N$8:$N$3006))</f>
        <v/>
      </c>
      <c r="E2784" s="44" t="str">
        <f>IF(B2784="","",SUMIF(Transactions!$F$8:$F$3006,B2784,Transactions!$O$8:$O$3006))</f>
        <v/>
      </c>
      <c r="F2784" s="45" t="str">
        <f>IF(B2784="","",SUMIF(Transactions!$F$8:$F$3006,B2784,Transactions!$R$8:$R$3006))</f>
        <v/>
      </c>
      <c r="G2784" s="46" t="str">
        <f>IF(B2784="","",(C2784+F2784)-(D2784+E2784+SUMIF(Transactions!$F$8:$F$3006,B2784,Transactions!$Q$8:$Q$3006)))</f>
        <v/>
      </c>
      <c r="H2784" s="47" t="str">
        <f>IF(B2784="","",IF(G2784&gt;0,"OUTSTANDING",IF(G2784=0,"SETTLED",IF(SUMIF(Transactions!$F$8:$F$3006,B2784,Transactions!$Q$8:$Q$3006)&gt;SUMIF(Transactions!$F$8:$F$3006,B2784,Transactions!$R$8:$R$3006),"OWES","OVERPAID"))))</f>
        <v/>
      </c>
      <c r="I2784" s="1"/>
    </row>
    <row r="2785" spans="1:9" ht="18" customHeight="1" x14ac:dyDescent="0.25">
      <c r="A2785" s="48">
        <v>2770</v>
      </c>
      <c r="B2785" s="49" t="str">
        <f t="array" ref="B2785">IFERROR(IF(INDEX(Transactions!$F$8:$F$3006,MATCH(0,COUNTIF($B$11:B2784,Transactions!$F$8:$F$3006),0))="","",INDEX(Transactions!$F$8:$F$3006,MATCH(0,COUNTIF($B$11:B2784,Transactions!$F$8:$F$3006),0))),"")</f>
        <v/>
      </c>
      <c r="C2785" s="50" t="str">
        <f>IF(B2785="","",SUMIF(Transactions!$F$8:$F$3006,B2785,Transactions!$H$8:$H$3006))</f>
        <v/>
      </c>
      <c r="D2785" s="51" t="str">
        <f>IF(B2785="","",SUMIF(Transactions!$F$8:$F$3006,B2785,Transactions!$N$8:$N$3006))</f>
        <v/>
      </c>
      <c r="E2785" s="52" t="str">
        <f>IF(B2785="","",SUMIF(Transactions!$F$8:$F$3006,B2785,Transactions!$O$8:$O$3006))</f>
        <v/>
      </c>
      <c r="F2785" s="53" t="str">
        <f>IF(B2785="","",SUMIF(Transactions!$F$8:$F$3006,B2785,Transactions!$R$8:$R$3006))</f>
        <v/>
      </c>
      <c r="G2785" s="54" t="str">
        <f>IF(B2785="","",(C2785+F2785)-(D2785+E2785+SUMIF(Transactions!$F$8:$F$3006,B2785,Transactions!$Q$8:$Q$3006)))</f>
        <v/>
      </c>
      <c r="H2785" s="55" t="str">
        <f>IF(B2785="","",IF(G2785&gt;0,"OUTSTANDING",IF(G2785=0,"SETTLED",IF(SUMIF(Transactions!$F$8:$F$3006,B2785,Transactions!$Q$8:$Q$3006)&gt;SUMIF(Transactions!$F$8:$F$3006,B2785,Transactions!$R$8:$R$3006),"OWES","OVERPAID"))))</f>
        <v/>
      </c>
      <c r="I2785" s="1"/>
    </row>
    <row r="2786" spans="1:9" ht="18" customHeight="1" x14ac:dyDescent="0.25">
      <c r="A2786" s="40">
        <v>2771</v>
      </c>
      <c r="B2786" s="41" t="str">
        <f t="array" ref="B2786">IFERROR(IF(INDEX(Transactions!$F$8:$F$3006,MATCH(0,COUNTIF($B$11:B2785,Transactions!$F$8:$F$3006),0))="","",INDEX(Transactions!$F$8:$F$3006,MATCH(0,COUNTIF($B$11:B2785,Transactions!$F$8:$F$3006),0))),"")</f>
        <v/>
      </c>
      <c r="C2786" s="42" t="str">
        <f>IF(B2786="","",SUMIF(Transactions!$F$8:$F$3006,B2786,Transactions!$H$8:$H$3006))</f>
        <v/>
      </c>
      <c r="D2786" s="43" t="str">
        <f>IF(B2786="","",SUMIF(Transactions!$F$8:$F$3006,B2786,Transactions!$N$8:$N$3006))</f>
        <v/>
      </c>
      <c r="E2786" s="44" t="str">
        <f>IF(B2786="","",SUMIF(Transactions!$F$8:$F$3006,B2786,Transactions!$O$8:$O$3006))</f>
        <v/>
      </c>
      <c r="F2786" s="45" t="str">
        <f>IF(B2786="","",SUMIF(Transactions!$F$8:$F$3006,B2786,Transactions!$R$8:$R$3006))</f>
        <v/>
      </c>
      <c r="G2786" s="46" t="str">
        <f>IF(B2786="","",(C2786+F2786)-(D2786+E2786+SUMIF(Transactions!$F$8:$F$3006,B2786,Transactions!$Q$8:$Q$3006)))</f>
        <v/>
      </c>
      <c r="H2786" s="47" t="str">
        <f>IF(B2786="","",IF(G2786&gt;0,"OUTSTANDING",IF(G2786=0,"SETTLED",IF(SUMIF(Transactions!$F$8:$F$3006,B2786,Transactions!$Q$8:$Q$3006)&gt;SUMIF(Transactions!$F$8:$F$3006,B2786,Transactions!$R$8:$R$3006),"OWES","OVERPAID"))))</f>
        <v/>
      </c>
      <c r="I2786" s="1"/>
    </row>
    <row r="2787" spans="1:9" ht="18" customHeight="1" x14ac:dyDescent="0.25">
      <c r="A2787" s="48">
        <v>2772</v>
      </c>
      <c r="B2787" s="49" t="str">
        <f t="array" ref="B2787">IFERROR(IF(INDEX(Transactions!$F$8:$F$3006,MATCH(0,COUNTIF($B$11:B2786,Transactions!$F$8:$F$3006),0))="","",INDEX(Transactions!$F$8:$F$3006,MATCH(0,COUNTIF($B$11:B2786,Transactions!$F$8:$F$3006),0))),"")</f>
        <v/>
      </c>
      <c r="C2787" s="50" t="str">
        <f>IF(B2787="","",SUMIF(Transactions!$F$8:$F$3006,B2787,Transactions!$H$8:$H$3006))</f>
        <v/>
      </c>
      <c r="D2787" s="51" t="str">
        <f>IF(B2787="","",SUMIF(Transactions!$F$8:$F$3006,B2787,Transactions!$N$8:$N$3006))</f>
        <v/>
      </c>
      <c r="E2787" s="52" t="str">
        <f>IF(B2787="","",SUMIF(Transactions!$F$8:$F$3006,B2787,Transactions!$O$8:$O$3006))</f>
        <v/>
      </c>
      <c r="F2787" s="53" t="str">
        <f>IF(B2787="","",SUMIF(Transactions!$F$8:$F$3006,B2787,Transactions!$R$8:$R$3006))</f>
        <v/>
      </c>
      <c r="G2787" s="54" t="str">
        <f>IF(B2787="","",(C2787+F2787)-(D2787+E2787+SUMIF(Transactions!$F$8:$F$3006,B2787,Transactions!$Q$8:$Q$3006)))</f>
        <v/>
      </c>
      <c r="H2787" s="55" t="str">
        <f>IF(B2787="","",IF(G2787&gt;0,"OUTSTANDING",IF(G2787=0,"SETTLED",IF(SUMIF(Transactions!$F$8:$F$3006,B2787,Transactions!$Q$8:$Q$3006)&gt;SUMIF(Transactions!$F$8:$F$3006,B2787,Transactions!$R$8:$R$3006),"OWES","OVERPAID"))))</f>
        <v/>
      </c>
      <c r="I2787" s="1"/>
    </row>
    <row r="2788" spans="1:9" ht="18" customHeight="1" x14ac:dyDescent="0.25">
      <c r="A2788" s="40">
        <v>2773</v>
      </c>
      <c r="B2788" s="41" t="str">
        <f t="array" ref="B2788">IFERROR(IF(INDEX(Transactions!$F$8:$F$3006,MATCH(0,COUNTIF($B$11:B2787,Transactions!$F$8:$F$3006),0))="","",INDEX(Transactions!$F$8:$F$3006,MATCH(0,COUNTIF($B$11:B2787,Transactions!$F$8:$F$3006),0))),"")</f>
        <v/>
      </c>
      <c r="C2788" s="42" t="str">
        <f>IF(B2788="","",SUMIF(Transactions!$F$8:$F$3006,B2788,Transactions!$H$8:$H$3006))</f>
        <v/>
      </c>
      <c r="D2788" s="43" t="str">
        <f>IF(B2788="","",SUMIF(Transactions!$F$8:$F$3006,B2788,Transactions!$N$8:$N$3006))</f>
        <v/>
      </c>
      <c r="E2788" s="44" t="str">
        <f>IF(B2788="","",SUMIF(Transactions!$F$8:$F$3006,B2788,Transactions!$O$8:$O$3006))</f>
        <v/>
      </c>
      <c r="F2788" s="45" t="str">
        <f>IF(B2788="","",SUMIF(Transactions!$F$8:$F$3006,B2788,Transactions!$R$8:$R$3006))</f>
        <v/>
      </c>
      <c r="G2788" s="46" t="str">
        <f>IF(B2788="","",(C2788+F2788)-(D2788+E2788+SUMIF(Transactions!$F$8:$F$3006,B2788,Transactions!$Q$8:$Q$3006)))</f>
        <v/>
      </c>
      <c r="H2788" s="47" t="str">
        <f>IF(B2788="","",IF(G2788&gt;0,"OUTSTANDING",IF(G2788=0,"SETTLED",IF(SUMIF(Transactions!$F$8:$F$3006,B2788,Transactions!$Q$8:$Q$3006)&gt;SUMIF(Transactions!$F$8:$F$3006,B2788,Transactions!$R$8:$R$3006),"OWES","OVERPAID"))))</f>
        <v/>
      </c>
      <c r="I2788" s="1"/>
    </row>
    <row r="2789" spans="1:9" ht="18" customHeight="1" x14ac:dyDescent="0.25">
      <c r="A2789" s="48">
        <v>2774</v>
      </c>
      <c r="B2789" s="49" t="str">
        <f t="array" ref="B2789">IFERROR(IF(INDEX(Transactions!$F$8:$F$3006,MATCH(0,COUNTIF($B$11:B2788,Transactions!$F$8:$F$3006),0))="","",INDEX(Transactions!$F$8:$F$3006,MATCH(0,COUNTIF($B$11:B2788,Transactions!$F$8:$F$3006),0))),"")</f>
        <v/>
      </c>
      <c r="C2789" s="50" t="str">
        <f>IF(B2789="","",SUMIF(Transactions!$F$8:$F$3006,B2789,Transactions!$H$8:$H$3006))</f>
        <v/>
      </c>
      <c r="D2789" s="51" t="str">
        <f>IF(B2789="","",SUMIF(Transactions!$F$8:$F$3006,B2789,Transactions!$N$8:$N$3006))</f>
        <v/>
      </c>
      <c r="E2789" s="52" t="str">
        <f>IF(B2789="","",SUMIF(Transactions!$F$8:$F$3006,B2789,Transactions!$O$8:$O$3006))</f>
        <v/>
      </c>
      <c r="F2789" s="53" t="str">
        <f>IF(B2789="","",SUMIF(Transactions!$F$8:$F$3006,B2789,Transactions!$R$8:$R$3006))</f>
        <v/>
      </c>
      <c r="G2789" s="54" t="str">
        <f>IF(B2789="","",(C2789+F2789)-(D2789+E2789+SUMIF(Transactions!$F$8:$F$3006,B2789,Transactions!$Q$8:$Q$3006)))</f>
        <v/>
      </c>
      <c r="H2789" s="55" t="str">
        <f>IF(B2789="","",IF(G2789&gt;0,"OUTSTANDING",IF(G2789=0,"SETTLED",IF(SUMIF(Transactions!$F$8:$F$3006,B2789,Transactions!$Q$8:$Q$3006)&gt;SUMIF(Transactions!$F$8:$F$3006,B2789,Transactions!$R$8:$R$3006),"OWES","OVERPAID"))))</f>
        <v/>
      </c>
      <c r="I2789" s="1"/>
    </row>
    <row r="2790" spans="1:9" ht="18" customHeight="1" x14ac:dyDescent="0.25">
      <c r="A2790" s="40">
        <v>2775</v>
      </c>
      <c r="B2790" s="41" t="str">
        <f t="array" ref="B2790">IFERROR(IF(INDEX(Transactions!$F$8:$F$3006,MATCH(0,COUNTIF($B$11:B2789,Transactions!$F$8:$F$3006),0))="","",INDEX(Transactions!$F$8:$F$3006,MATCH(0,COUNTIF($B$11:B2789,Transactions!$F$8:$F$3006),0))),"")</f>
        <v/>
      </c>
      <c r="C2790" s="42" t="str">
        <f>IF(B2790="","",SUMIF(Transactions!$F$8:$F$3006,B2790,Transactions!$H$8:$H$3006))</f>
        <v/>
      </c>
      <c r="D2790" s="43" t="str">
        <f>IF(B2790="","",SUMIF(Transactions!$F$8:$F$3006,B2790,Transactions!$N$8:$N$3006))</f>
        <v/>
      </c>
      <c r="E2790" s="44" t="str">
        <f>IF(B2790="","",SUMIF(Transactions!$F$8:$F$3006,B2790,Transactions!$O$8:$O$3006))</f>
        <v/>
      </c>
      <c r="F2790" s="45" t="str">
        <f>IF(B2790="","",SUMIF(Transactions!$F$8:$F$3006,B2790,Transactions!$R$8:$R$3006))</f>
        <v/>
      </c>
      <c r="G2790" s="46" t="str">
        <f>IF(B2790="","",(C2790+F2790)-(D2790+E2790+SUMIF(Transactions!$F$8:$F$3006,B2790,Transactions!$Q$8:$Q$3006)))</f>
        <v/>
      </c>
      <c r="H2790" s="47" t="str">
        <f>IF(B2790="","",IF(G2790&gt;0,"OUTSTANDING",IF(G2790=0,"SETTLED",IF(SUMIF(Transactions!$F$8:$F$3006,B2790,Transactions!$Q$8:$Q$3006)&gt;SUMIF(Transactions!$F$8:$F$3006,B2790,Transactions!$R$8:$R$3006),"OWES","OVERPAID"))))</f>
        <v/>
      </c>
      <c r="I2790" s="1"/>
    </row>
    <row r="2791" spans="1:9" ht="18" customHeight="1" x14ac:dyDescent="0.25">
      <c r="A2791" s="48">
        <v>2776</v>
      </c>
      <c r="B2791" s="49" t="str">
        <f t="array" ref="B2791">IFERROR(IF(INDEX(Transactions!$F$8:$F$3006,MATCH(0,COUNTIF($B$11:B2790,Transactions!$F$8:$F$3006),0))="","",INDEX(Transactions!$F$8:$F$3006,MATCH(0,COUNTIF($B$11:B2790,Transactions!$F$8:$F$3006),0))),"")</f>
        <v/>
      </c>
      <c r="C2791" s="50" t="str">
        <f>IF(B2791="","",SUMIF(Transactions!$F$8:$F$3006,B2791,Transactions!$H$8:$H$3006))</f>
        <v/>
      </c>
      <c r="D2791" s="51" t="str">
        <f>IF(B2791="","",SUMIF(Transactions!$F$8:$F$3006,B2791,Transactions!$N$8:$N$3006))</f>
        <v/>
      </c>
      <c r="E2791" s="52" t="str">
        <f>IF(B2791="","",SUMIF(Transactions!$F$8:$F$3006,B2791,Transactions!$O$8:$O$3006))</f>
        <v/>
      </c>
      <c r="F2791" s="53" t="str">
        <f>IF(B2791="","",SUMIF(Transactions!$F$8:$F$3006,B2791,Transactions!$R$8:$R$3006))</f>
        <v/>
      </c>
      <c r="G2791" s="54" t="str">
        <f>IF(B2791="","",(C2791+F2791)-(D2791+E2791+SUMIF(Transactions!$F$8:$F$3006,B2791,Transactions!$Q$8:$Q$3006)))</f>
        <v/>
      </c>
      <c r="H2791" s="55" t="str">
        <f>IF(B2791="","",IF(G2791&gt;0,"OUTSTANDING",IF(G2791=0,"SETTLED",IF(SUMIF(Transactions!$F$8:$F$3006,B2791,Transactions!$Q$8:$Q$3006)&gt;SUMIF(Transactions!$F$8:$F$3006,B2791,Transactions!$R$8:$R$3006),"OWES","OVERPAID"))))</f>
        <v/>
      </c>
      <c r="I2791" s="1"/>
    </row>
    <row r="2792" spans="1:9" ht="18" customHeight="1" x14ac:dyDescent="0.25">
      <c r="A2792" s="40">
        <v>2777</v>
      </c>
      <c r="B2792" s="41" t="str">
        <f t="array" ref="B2792">IFERROR(IF(INDEX(Transactions!$F$8:$F$3006,MATCH(0,COUNTIF($B$11:B2791,Transactions!$F$8:$F$3006),0))="","",INDEX(Transactions!$F$8:$F$3006,MATCH(0,COUNTIF($B$11:B2791,Transactions!$F$8:$F$3006),0))),"")</f>
        <v/>
      </c>
      <c r="C2792" s="42" t="str">
        <f>IF(B2792="","",SUMIF(Transactions!$F$8:$F$3006,B2792,Transactions!$H$8:$H$3006))</f>
        <v/>
      </c>
      <c r="D2792" s="43" t="str">
        <f>IF(B2792="","",SUMIF(Transactions!$F$8:$F$3006,B2792,Transactions!$N$8:$N$3006))</f>
        <v/>
      </c>
      <c r="E2792" s="44" t="str">
        <f>IF(B2792="","",SUMIF(Transactions!$F$8:$F$3006,B2792,Transactions!$O$8:$O$3006))</f>
        <v/>
      </c>
      <c r="F2792" s="45" t="str">
        <f>IF(B2792="","",SUMIF(Transactions!$F$8:$F$3006,B2792,Transactions!$R$8:$R$3006))</f>
        <v/>
      </c>
      <c r="G2792" s="46" t="str">
        <f>IF(B2792="","",(C2792+F2792)-(D2792+E2792+SUMIF(Transactions!$F$8:$F$3006,B2792,Transactions!$Q$8:$Q$3006)))</f>
        <v/>
      </c>
      <c r="H2792" s="47" t="str">
        <f>IF(B2792="","",IF(G2792&gt;0,"OUTSTANDING",IF(G2792=0,"SETTLED",IF(SUMIF(Transactions!$F$8:$F$3006,B2792,Transactions!$Q$8:$Q$3006)&gt;SUMIF(Transactions!$F$8:$F$3006,B2792,Transactions!$R$8:$R$3006),"OWES","OVERPAID"))))</f>
        <v/>
      </c>
      <c r="I2792" s="1"/>
    </row>
    <row r="2793" spans="1:9" ht="18" customHeight="1" x14ac:dyDescent="0.25">
      <c r="A2793" s="48">
        <v>2778</v>
      </c>
      <c r="B2793" s="49" t="str">
        <f t="array" ref="B2793">IFERROR(IF(INDEX(Transactions!$F$8:$F$3006,MATCH(0,COUNTIF($B$11:B2792,Transactions!$F$8:$F$3006),0))="","",INDEX(Transactions!$F$8:$F$3006,MATCH(0,COUNTIF($B$11:B2792,Transactions!$F$8:$F$3006),0))),"")</f>
        <v/>
      </c>
      <c r="C2793" s="50" t="str">
        <f>IF(B2793="","",SUMIF(Transactions!$F$8:$F$3006,B2793,Transactions!$H$8:$H$3006))</f>
        <v/>
      </c>
      <c r="D2793" s="51" t="str">
        <f>IF(B2793="","",SUMIF(Transactions!$F$8:$F$3006,B2793,Transactions!$N$8:$N$3006))</f>
        <v/>
      </c>
      <c r="E2793" s="52" t="str">
        <f>IF(B2793="","",SUMIF(Transactions!$F$8:$F$3006,B2793,Transactions!$O$8:$O$3006))</f>
        <v/>
      </c>
      <c r="F2793" s="53" t="str">
        <f>IF(B2793="","",SUMIF(Transactions!$F$8:$F$3006,B2793,Transactions!$R$8:$R$3006))</f>
        <v/>
      </c>
      <c r="G2793" s="54" t="str">
        <f>IF(B2793="","",(C2793+F2793)-(D2793+E2793+SUMIF(Transactions!$F$8:$F$3006,B2793,Transactions!$Q$8:$Q$3006)))</f>
        <v/>
      </c>
      <c r="H2793" s="55" t="str">
        <f>IF(B2793="","",IF(G2793&gt;0,"OUTSTANDING",IF(G2793=0,"SETTLED",IF(SUMIF(Transactions!$F$8:$F$3006,B2793,Transactions!$Q$8:$Q$3006)&gt;SUMIF(Transactions!$F$8:$F$3006,B2793,Transactions!$R$8:$R$3006),"OWES","OVERPAID"))))</f>
        <v/>
      </c>
      <c r="I2793" s="1"/>
    </row>
    <row r="2794" spans="1:9" ht="18" customHeight="1" x14ac:dyDescent="0.25">
      <c r="A2794" s="40">
        <v>2779</v>
      </c>
      <c r="B2794" s="41" t="str">
        <f t="array" ref="B2794">IFERROR(IF(INDEX(Transactions!$F$8:$F$3006,MATCH(0,COUNTIF($B$11:B2793,Transactions!$F$8:$F$3006),0))="","",INDEX(Transactions!$F$8:$F$3006,MATCH(0,COUNTIF($B$11:B2793,Transactions!$F$8:$F$3006),0))),"")</f>
        <v/>
      </c>
      <c r="C2794" s="42" t="str">
        <f>IF(B2794="","",SUMIF(Transactions!$F$8:$F$3006,B2794,Transactions!$H$8:$H$3006))</f>
        <v/>
      </c>
      <c r="D2794" s="43" t="str">
        <f>IF(B2794="","",SUMIF(Transactions!$F$8:$F$3006,B2794,Transactions!$N$8:$N$3006))</f>
        <v/>
      </c>
      <c r="E2794" s="44" t="str">
        <f>IF(B2794="","",SUMIF(Transactions!$F$8:$F$3006,B2794,Transactions!$O$8:$O$3006))</f>
        <v/>
      </c>
      <c r="F2794" s="45" t="str">
        <f>IF(B2794="","",SUMIF(Transactions!$F$8:$F$3006,B2794,Transactions!$R$8:$R$3006))</f>
        <v/>
      </c>
      <c r="G2794" s="46" t="str">
        <f>IF(B2794="","",(C2794+F2794)-(D2794+E2794+SUMIF(Transactions!$F$8:$F$3006,B2794,Transactions!$Q$8:$Q$3006)))</f>
        <v/>
      </c>
      <c r="H2794" s="47" t="str">
        <f>IF(B2794="","",IF(G2794&gt;0,"OUTSTANDING",IF(G2794=0,"SETTLED",IF(SUMIF(Transactions!$F$8:$F$3006,B2794,Transactions!$Q$8:$Q$3006)&gt;SUMIF(Transactions!$F$8:$F$3006,B2794,Transactions!$R$8:$R$3006),"OWES","OVERPAID"))))</f>
        <v/>
      </c>
      <c r="I2794" s="1"/>
    </row>
    <row r="2795" spans="1:9" ht="18" customHeight="1" x14ac:dyDescent="0.25">
      <c r="A2795" s="48">
        <v>2780</v>
      </c>
      <c r="B2795" s="49" t="str">
        <f t="array" ref="B2795">IFERROR(IF(INDEX(Transactions!$F$8:$F$3006,MATCH(0,COUNTIF($B$11:B2794,Transactions!$F$8:$F$3006),0))="","",INDEX(Transactions!$F$8:$F$3006,MATCH(0,COUNTIF($B$11:B2794,Transactions!$F$8:$F$3006),0))),"")</f>
        <v/>
      </c>
      <c r="C2795" s="50" t="str">
        <f>IF(B2795="","",SUMIF(Transactions!$F$8:$F$3006,B2795,Transactions!$H$8:$H$3006))</f>
        <v/>
      </c>
      <c r="D2795" s="51" t="str">
        <f>IF(B2795="","",SUMIF(Transactions!$F$8:$F$3006,B2795,Transactions!$N$8:$N$3006))</f>
        <v/>
      </c>
      <c r="E2795" s="52" t="str">
        <f>IF(B2795="","",SUMIF(Transactions!$F$8:$F$3006,B2795,Transactions!$O$8:$O$3006))</f>
        <v/>
      </c>
      <c r="F2795" s="53" t="str">
        <f>IF(B2795="","",SUMIF(Transactions!$F$8:$F$3006,B2795,Transactions!$R$8:$R$3006))</f>
        <v/>
      </c>
      <c r="G2795" s="54" t="str">
        <f>IF(B2795="","",(C2795+F2795)-(D2795+E2795+SUMIF(Transactions!$F$8:$F$3006,B2795,Transactions!$Q$8:$Q$3006)))</f>
        <v/>
      </c>
      <c r="H2795" s="55" t="str">
        <f>IF(B2795="","",IF(G2795&gt;0,"OUTSTANDING",IF(G2795=0,"SETTLED",IF(SUMIF(Transactions!$F$8:$F$3006,B2795,Transactions!$Q$8:$Q$3006)&gt;SUMIF(Transactions!$F$8:$F$3006,B2795,Transactions!$R$8:$R$3006),"OWES","OVERPAID"))))</f>
        <v/>
      </c>
      <c r="I2795" s="1"/>
    </row>
    <row r="2796" spans="1:9" ht="18" customHeight="1" x14ac:dyDescent="0.25">
      <c r="A2796" s="40">
        <v>2781</v>
      </c>
      <c r="B2796" s="41" t="str">
        <f t="array" ref="B2796">IFERROR(IF(INDEX(Transactions!$F$8:$F$3006,MATCH(0,COUNTIF($B$11:B2795,Transactions!$F$8:$F$3006),0))="","",INDEX(Transactions!$F$8:$F$3006,MATCH(0,COUNTIF($B$11:B2795,Transactions!$F$8:$F$3006),0))),"")</f>
        <v/>
      </c>
      <c r="C2796" s="42" t="str">
        <f>IF(B2796="","",SUMIF(Transactions!$F$8:$F$3006,B2796,Transactions!$H$8:$H$3006))</f>
        <v/>
      </c>
      <c r="D2796" s="43" t="str">
        <f>IF(B2796="","",SUMIF(Transactions!$F$8:$F$3006,B2796,Transactions!$N$8:$N$3006))</f>
        <v/>
      </c>
      <c r="E2796" s="44" t="str">
        <f>IF(B2796="","",SUMIF(Transactions!$F$8:$F$3006,B2796,Transactions!$O$8:$O$3006))</f>
        <v/>
      </c>
      <c r="F2796" s="45" t="str">
        <f>IF(B2796="","",SUMIF(Transactions!$F$8:$F$3006,B2796,Transactions!$R$8:$R$3006))</f>
        <v/>
      </c>
      <c r="G2796" s="46" t="str">
        <f>IF(B2796="","",(C2796+F2796)-(D2796+E2796+SUMIF(Transactions!$F$8:$F$3006,B2796,Transactions!$Q$8:$Q$3006)))</f>
        <v/>
      </c>
      <c r="H2796" s="47" t="str">
        <f>IF(B2796="","",IF(G2796&gt;0,"OUTSTANDING",IF(G2796=0,"SETTLED",IF(SUMIF(Transactions!$F$8:$F$3006,B2796,Transactions!$Q$8:$Q$3006)&gt;SUMIF(Transactions!$F$8:$F$3006,B2796,Transactions!$R$8:$R$3006),"OWES","OVERPAID"))))</f>
        <v/>
      </c>
      <c r="I2796" s="1"/>
    </row>
    <row r="2797" spans="1:9" ht="18" customHeight="1" x14ac:dyDescent="0.25">
      <c r="A2797" s="48">
        <v>2782</v>
      </c>
      <c r="B2797" s="49" t="str">
        <f t="array" ref="B2797">IFERROR(IF(INDEX(Transactions!$F$8:$F$3006,MATCH(0,COUNTIF($B$11:B2796,Transactions!$F$8:$F$3006),0))="","",INDEX(Transactions!$F$8:$F$3006,MATCH(0,COUNTIF($B$11:B2796,Transactions!$F$8:$F$3006),0))),"")</f>
        <v/>
      </c>
      <c r="C2797" s="50" t="str">
        <f>IF(B2797="","",SUMIF(Transactions!$F$8:$F$3006,B2797,Transactions!$H$8:$H$3006))</f>
        <v/>
      </c>
      <c r="D2797" s="51" t="str">
        <f>IF(B2797="","",SUMIF(Transactions!$F$8:$F$3006,B2797,Transactions!$N$8:$N$3006))</f>
        <v/>
      </c>
      <c r="E2797" s="52" t="str">
        <f>IF(B2797="","",SUMIF(Transactions!$F$8:$F$3006,B2797,Transactions!$O$8:$O$3006))</f>
        <v/>
      </c>
      <c r="F2797" s="53" t="str">
        <f>IF(B2797="","",SUMIF(Transactions!$F$8:$F$3006,B2797,Transactions!$R$8:$R$3006))</f>
        <v/>
      </c>
      <c r="G2797" s="54" t="str">
        <f>IF(B2797="","",(C2797+F2797)-(D2797+E2797+SUMIF(Transactions!$F$8:$F$3006,B2797,Transactions!$Q$8:$Q$3006)))</f>
        <v/>
      </c>
      <c r="H2797" s="55" t="str">
        <f>IF(B2797="","",IF(G2797&gt;0,"OUTSTANDING",IF(G2797=0,"SETTLED",IF(SUMIF(Transactions!$F$8:$F$3006,B2797,Transactions!$Q$8:$Q$3006)&gt;SUMIF(Transactions!$F$8:$F$3006,B2797,Transactions!$R$8:$R$3006),"OWES","OVERPAID"))))</f>
        <v/>
      </c>
      <c r="I2797" s="1"/>
    </row>
    <row r="2798" spans="1:9" ht="18" customHeight="1" x14ac:dyDescent="0.25">
      <c r="A2798" s="40">
        <v>2783</v>
      </c>
      <c r="B2798" s="41" t="str">
        <f t="array" ref="B2798">IFERROR(IF(INDEX(Transactions!$F$8:$F$3006,MATCH(0,COUNTIF($B$11:B2797,Transactions!$F$8:$F$3006),0))="","",INDEX(Transactions!$F$8:$F$3006,MATCH(0,COUNTIF($B$11:B2797,Transactions!$F$8:$F$3006),0))),"")</f>
        <v/>
      </c>
      <c r="C2798" s="42" t="str">
        <f>IF(B2798="","",SUMIF(Transactions!$F$8:$F$3006,B2798,Transactions!$H$8:$H$3006))</f>
        <v/>
      </c>
      <c r="D2798" s="43" t="str">
        <f>IF(B2798="","",SUMIF(Transactions!$F$8:$F$3006,B2798,Transactions!$N$8:$N$3006))</f>
        <v/>
      </c>
      <c r="E2798" s="44" t="str">
        <f>IF(B2798="","",SUMIF(Transactions!$F$8:$F$3006,B2798,Transactions!$O$8:$O$3006))</f>
        <v/>
      </c>
      <c r="F2798" s="45" t="str">
        <f>IF(B2798="","",SUMIF(Transactions!$F$8:$F$3006,B2798,Transactions!$R$8:$R$3006))</f>
        <v/>
      </c>
      <c r="G2798" s="46" t="str">
        <f>IF(B2798="","",(C2798+F2798)-(D2798+E2798+SUMIF(Transactions!$F$8:$F$3006,B2798,Transactions!$Q$8:$Q$3006)))</f>
        <v/>
      </c>
      <c r="H2798" s="47" t="str">
        <f>IF(B2798="","",IF(G2798&gt;0,"OUTSTANDING",IF(G2798=0,"SETTLED",IF(SUMIF(Transactions!$F$8:$F$3006,B2798,Transactions!$Q$8:$Q$3006)&gt;SUMIF(Transactions!$F$8:$F$3006,B2798,Transactions!$R$8:$R$3006),"OWES","OVERPAID"))))</f>
        <v/>
      </c>
      <c r="I2798" s="1"/>
    </row>
    <row r="2799" spans="1:9" ht="18" customHeight="1" x14ac:dyDescent="0.25">
      <c r="A2799" s="48">
        <v>2784</v>
      </c>
      <c r="B2799" s="49" t="str">
        <f t="array" ref="B2799">IFERROR(IF(INDEX(Transactions!$F$8:$F$3006,MATCH(0,COUNTIF($B$11:B2798,Transactions!$F$8:$F$3006),0))="","",INDEX(Transactions!$F$8:$F$3006,MATCH(0,COUNTIF($B$11:B2798,Transactions!$F$8:$F$3006),0))),"")</f>
        <v/>
      </c>
      <c r="C2799" s="50" t="str">
        <f>IF(B2799="","",SUMIF(Transactions!$F$8:$F$3006,B2799,Transactions!$H$8:$H$3006))</f>
        <v/>
      </c>
      <c r="D2799" s="51" t="str">
        <f>IF(B2799="","",SUMIF(Transactions!$F$8:$F$3006,B2799,Transactions!$N$8:$N$3006))</f>
        <v/>
      </c>
      <c r="E2799" s="52" t="str">
        <f>IF(B2799="","",SUMIF(Transactions!$F$8:$F$3006,B2799,Transactions!$O$8:$O$3006))</f>
        <v/>
      </c>
      <c r="F2799" s="53" t="str">
        <f>IF(B2799="","",SUMIF(Transactions!$F$8:$F$3006,B2799,Transactions!$R$8:$R$3006))</f>
        <v/>
      </c>
      <c r="G2799" s="54" t="str">
        <f>IF(B2799="","",(C2799+F2799)-(D2799+E2799+SUMIF(Transactions!$F$8:$F$3006,B2799,Transactions!$Q$8:$Q$3006)))</f>
        <v/>
      </c>
      <c r="H2799" s="55" t="str">
        <f>IF(B2799="","",IF(G2799&gt;0,"OUTSTANDING",IF(G2799=0,"SETTLED",IF(SUMIF(Transactions!$F$8:$F$3006,B2799,Transactions!$Q$8:$Q$3006)&gt;SUMIF(Transactions!$F$8:$F$3006,B2799,Transactions!$R$8:$R$3006),"OWES","OVERPAID"))))</f>
        <v/>
      </c>
      <c r="I2799" s="1"/>
    </row>
    <row r="2800" spans="1:9" ht="18" customHeight="1" x14ac:dyDescent="0.25">
      <c r="A2800" s="40">
        <v>2785</v>
      </c>
      <c r="B2800" s="41" t="str">
        <f t="array" ref="B2800">IFERROR(IF(INDEX(Transactions!$F$8:$F$3006,MATCH(0,COUNTIF($B$11:B2799,Transactions!$F$8:$F$3006),0))="","",INDEX(Transactions!$F$8:$F$3006,MATCH(0,COUNTIF($B$11:B2799,Transactions!$F$8:$F$3006),0))),"")</f>
        <v/>
      </c>
      <c r="C2800" s="42" t="str">
        <f>IF(B2800="","",SUMIF(Transactions!$F$8:$F$3006,B2800,Transactions!$H$8:$H$3006))</f>
        <v/>
      </c>
      <c r="D2800" s="43" t="str">
        <f>IF(B2800="","",SUMIF(Transactions!$F$8:$F$3006,B2800,Transactions!$N$8:$N$3006))</f>
        <v/>
      </c>
      <c r="E2800" s="44" t="str">
        <f>IF(B2800="","",SUMIF(Transactions!$F$8:$F$3006,B2800,Transactions!$O$8:$O$3006))</f>
        <v/>
      </c>
      <c r="F2800" s="45" t="str">
        <f>IF(B2800="","",SUMIF(Transactions!$F$8:$F$3006,B2800,Transactions!$R$8:$R$3006))</f>
        <v/>
      </c>
      <c r="G2800" s="46" t="str">
        <f>IF(B2800="","",(C2800+F2800)-(D2800+E2800+SUMIF(Transactions!$F$8:$F$3006,B2800,Transactions!$Q$8:$Q$3006)))</f>
        <v/>
      </c>
      <c r="H2800" s="47" t="str">
        <f>IF(B2800="","",IF(G2800&gt;0,"OUTSTANDING",IF(G2800=0,"SETTLED",IF(SUMIF(Transactions!$F$8:$F$3006,B2800,Transactions!$Q$8:$Q$3006)&gt;SUMIF(Transactions!$F$8:$F$3006,B2800,Transactions!$R$8:$R$3006),"OWES","OVERPAID"))))</f>
        <v/>
      </c>
      <c r="I2800" s="1"/>
    </row>
    <row r="2801" spans="1:9" ht="18" customHeight="1" x14ac:dyDescent="0.25">
      <c r="A2801" s="48">
        <v>2786</v>
      </c>
      <c r="B2801" s="49" t="str">
        <f t="array" ref="B2801">IFERROR(IF(INDEX(Transactions!$F$8:$F$3006,MATCH(0,COUNTIF($B$11:B2800,Transactions!$F$8:$F$3006),0))="","",INDEX(Transactions!$F$8:$F$3006,MATCH(0,COUNTIF($B$11:B2800,Transactions!$F$8:$F$3006),0))),"")</f>
        <v/>
      </c>
      <c r="C2801" s="50" t="str">
        <f>IF(B2801="","",SUMIF(Transactions!$F$8:$F$3006,B2801,Transactions!$H$8:$H$3006))</f>
        <v/>
      </c>
      <c r="D2801" s="51" t="str">
        <f>IF(B2801="","",SUMIF(Transactions!$F$8:$F$3006,B2801,Transactions!$N$8:$N$3006))</f>
        <v/>
      </c>
      <c r="E2801" s="52" t="str">
        <f>IF(B2801="","",SUMIF(Transactions!$F$8:$F$3006,B2801,Transactions!$O$8:$O$3006))</f>
        <v/>
      </c>
      <c r="F2801" s="53" t="str">
        <f>IF(B2801="","",SUMIF(Transactions!$F$8:$F$3006,B2801,Transactions!$R$8:$R$3006))</f>
        <v/>
      </c>
      <c r="G2801" s="54" t="str">
        <f>IF(B2801="","",(C2801+F2801)-(D2801+E2801+SUMIF(Transactions!$F$8:$F$3006,B2801,Transactions!$Q$8:$Q$3006)))</f>
        <v/>
      </c>
      <c r="H2801" s="55" t="str">
        <f>IF(B2801="","",IF(G2801&gt;0,"OUTSTANDING",IF(G2801=0,"SETTLED",IF(SUMIF(Transactions!$F$8:$F$3006,B2801,Transactions!$Q$8:$Q$3006)&gt;SUMIF(Transactions!$F$8:$F$3006,B2801,Transactions!$R$8:$R$3006),"OWES","OVERPAID"))))</f>
        <v/>
      </c>
      <c r="I2801" s="1"/>
    </row>
    <row r="2802" spans="1:9" ht="18" customHeight="1" x14ac:dyDescent="0.25">
      <c r="A2802" s="40">
        <v>2787</v>
      </c>
      <c r="B2802" s="41" t="str">
        <f t="array" ref="B2802">IFERROR(IF(INDEX(Transactions!$F$8:$F$3006,MATCH(0,COUNTIF($B$11:B2801,Transactions!$F$8:$F$3006),0))="","",INDEX(Transactions!$F$8:$F$3006,MATCH(0,COUNTIF($B$11:B2801,Transactions!$F$8:$F$3006),0))),"")</f>
        <v/>
      </c>
      <c r="C2802" s="42" t="str">
        <f>IF(B2802="","",SUMIF(Transactions!$F$8:$F$3006,B2802,Transactions!$H$8:$H$3006))</f>
        <v/>
      </c>
      <c r="D2802" s="43" t="str">
        <f>IF(B2802="","",SUMIF(Transactions!$F$8:$F$3006,B2802,Transactions!$N$8:$N$3006))</f>
        <v/>
      </c>
      <c r="E2802" s="44" t="str">
        <f>IF(B2802="","",SUMIF(Transactions!$F$8:$F$3006,B2802,Transactions!$O$8:$O$3006))</f>
        <v/>
      </c>
      <c r="F2802" s="45" t="str">
        <f>IF(B2802="","",SUMIF(Transactions!$F$8:$F$3006,B2802,Transactions!$R$8:$R$3006))</f>
        <v/>
      </c>
      <c r="G2802" s="46" t="str">
        <f>IF(B2802="","",(C2802+F2802)-(D2802+E2802+SUMIF(Transactions!$F$8:$F$3006,B2802,Transactions!$Q$8:$Q$3006)))</f>
        <v/>
      </c>
      <c r="H2802" s="47" t="str">
        <f>IF(B2802="","",IF(G2802&gt;0,"OUTSTANDING",IF(G2802=0,"SETTLED",IF(SUMIF(Transactions!$F$8:$F$3006,B2802,Transactions!$Q$8:$Q$3006)&gt;SUMIF(Transactions!$F$8:$F$3006,B2802,Transactions!$R$8:$R$3006),"OWES","OVERPAID"))))</f>
        <v/>
      </c>
      <c r="I2802" s="1"/>
    </row>
    <row r="2803" spans="1:9" ht="18" customHeight="1" x14ac:dyDescent="0.25">
      <c r="A2803" s="48">
        <v>2788</v>
      </c>
      <c r="B2803" s="49" t="str">
        <f t="array" ref="B2803">IFERROR(IF(INDEX(Transactions!$F$8:$F$3006,MATCH(0,COUNTIF($B$11:B2802,Transactions!$F$8:$F$3006),0))="","",INDEX(Transactions!$F$8:$F$3006,MATCH(0,COUNTIF($B$11:B2802,Transactions!$F$8:$F$3006),0))),"")</f>
        <v/>
      </c>
      <c r="C2803" s="50" t="str">
        <f>IF(B2803="","",SUMIF(Transactions!$F$8:$F$3006,B2803,Transactions!$H$8:$H$3006))</f>
        <v/>
      </c>
      <c r="D2803" s="51" t="str">
        <f>IF(B2803="","",SUMIF(Transactions!$F$8:$F$3006,B2803,Transactions!$N$8:$N$3006))</f>
        <v/>
      </c>
      <c r="E2803" s="52" t="str">
        <f>IF(B2803="","",SUMIF(Transactions!$F$8:$F$3006,B2803,Transactions!$O$8:$O$3006))</f>
        <v/>
      </c>
      <c r="F2803" s="53" t="str">
        <f>IF(B2803="","",SUMIF(Transactions!$F$8:$F$3006,B2803,Transactions!$R$8:$R$3006))</f>
        <v/>
      </c>
      <c r="G2803" s="54" t="str">
        <f>IF(B2803="","",(C2803+F2803)-(D2803+E2803+SUMIF(Transactions!$F$8:$F$3006,B2803,Transactions!$Q$8:$Q$3006)))</f>
        <v/>
      </c>
      <c r="H2803" s="55" t="str">
        <f>IF(B2803="","",IF(G2803&gt;0,"OUTSTANDING",IF(G2803=0,"SETTLED",IF(SUMIF(Transactions!$F$8:$F$3006,B2803,Transactions!$Q$8:$Q$3006)&gt;SUMIF(Transactions!$F$8:$F$3006,B2803,Transactions!$R$8:$R$3006),"OWES","OVERPAID"))))</f>
        <v/>
      </c>
      <c r="I2803" s="1"/>
    </row>
    <row r="2804" spans="1:9" ht="18" customHeight="1" x14ac:dyDescent="0.25">
      <c r="A2804" s="40">
        <v>2789</v>
      </c>
      <c r="B2804" s="41" t="str">
        <f t="array" ref="B2804">IFERROR(IF(INDEX(Transactions!$F$8:$F$3006,MATCH(0,COUNTIF($B$11:B2803,Transactions!$F$8:$F$3006),0))="","",INDEX(Transactions!$F$8:$F$3006,MATCH(0,COUNTIF($B$11:B2803,Transactions!$F$8:$F$3006),0))),"")</f>
        <v/>
      </c>
      <c r="C2804" s="42" t="str">
        <f>IF(B2804="","",SUMIF(Transactions!$F$8:$F$3006,B2804,Transactions!$H$8:$H$3006))</f>
        <v/>
      </c>
      <c r="D2804" s="43" t="str">
        <f>IF(B2804="","",SUMIF(Transactions!$F$8:$F$3006,B2804,Transactions!$N$8:$N$3006))</f>
        <v/>
      </c>
      <c r="E2804" s="44" t="str">
        <f>IF(B2804="","",SUMIF(Transactions!$F$8:$F$3006,B2804,Transactions!$O$8:$O$3006))</f>
        <v/>
      </c>
      <c r="F2804" s="45" t="str">
        <f>IF(B2804="","",SUMIF(Transactions!$F$8:$F$3006,B2804,Transactions!$R$8:$R$3006))</f>
        <v/>
      </c>
      <c r="G2804" s="46" t="str">
        <f>IF(B2804="","",(C2804+F2804)-(D2804+E2804+SUMIF(Transactions!$F$8:$F$3006,B2804,Transactions!$Q$8:$Q$3006)))</f>
        <v/>
      </c>
      <c r="H2804" s="47" t="str">
        <f>IF(B2804="","",IF(G2804&gt;0,"OUTSTANDING",IF(G2804=0,"SETTLED",IF(SUMIF(Transactions!$F$8:$F$3006,B2804,Transactions!$Q$8:$Q$3006)&gt;SUMIF(Transactions!$F$8:$F$3006,B2804,Transactions!$R$8:$R$3006),"OWES","OVERPAID"))))</f>
        <v/>
      </c>
      <c r="I2804" s="1"/>
    </row>
    <row r="2805" spans="1:9" ht="18" customHeight="1" x14ac:dyDescent="0.25">
      <c r="A2805" s="48">
        <v>2790</v>
      </c>
      <c r="B2805" s="49" t="str">
        <f t="array" ref="B2805">IFERROR(IF(INDEX(Transactions!$F$8:$F$3006,MATCH(0,COUNTIF($B$11:B2804,Transactions!$F$8:$F$3006),0))="","",INDEX(Transactions!$F$8:$F$3006,MATCH(0,COUNTIF($B$11:B2804,Transactions!$F$8:$F$3006),0))),"")</f>
        <v/>
      </c>
      <c r="C2805" s="50" t="str">
        <f>IF(B2805="","",SUMIF(Transactions!$F$8:$F$3006,B2805,Transactions!$H$8:$H$3006))</f>
        <v/>
      </c>
      <c r="D2805" s="51" t="str">
        <f>IF(B2805="","",SUMIF(Transactions!$F$8:$F$3006,B2805,Transactions!$N$8:$N$3006))</f>
        <v/>
      </c>
      <c r="E2805" s="52" t="str">
        <f>IF(B2805="","",SUMIF(Transactions!$F$8:$F$3006,B2805,Transactions!$O$8:$O$3006))</f>
        <v/>
      </c>
      <c r="F2805" s="53" t="str">
        <f>IF(B2805="","",SUMIF(Transactions!$F$8:$F$3006,B2805,Transactions!$R$8:$R$3006))</f>
        <v/>
      </c>
      <c r="G2805" s="54" t="str">
        <f>IF(B2805="","",(C2805+F2805)-(D2805+E2805+SUMIF(Transactions!$F$8:$F$3006,B2805,Transactions!$Q$8:$Q$3006)))</f>
        <v/>
      </c>
      <c r="H2805" s="55" t="str">
        <f>IF(B2805="","",IF(G2805&gt;0,"OUTSTANDING",IF(G2805=0,"SETTLED",IF(SUMIF(Transactions!$F$8:$F$3006,B2805,Transactions!$Q$8:$Q$3006)&gt;SUMIF(Transactions!$F$8:$F$3006,B2805,Transactions!$R$8:$R$3006),"OWES","OVERPAID"))))</f>
        <v/>
      </c>
      <c r="I2805" s="1"/>
    </row>
    <row r="2806" spans="1:9" ht="18" customHeight="1" x14ac:dyDescent="0.25">
      <c r="A2806" s="40">
        <v>2791</v>
      </c>
      <c r="B2806" s="41" t="str">
        <f t="array" ref="B2806">IFERROR(IF(INDEX(Transactions!$F$8:$F$3006,MATCH(0,COUNTIF($B$11:B2805,Transactions!$F$8:$F$3006),0))="","",INDEX(Transactions!$F$8:$F$3006,MATCH(0,COUNTIF($B$11:B2805,Transactions!$F$8:$F$3006),0))),"")</f>
        <v/>
      </c>
      <c r="C2806" s="42" t="str">
        <f>IF(B2806="","",SUMIF(Transactions!$F$8:$F$3006,B2806,Transactions!$H$8:$H$3006))</f>
        <v/>
      </c>
      <c r="D2806" s="43" t="str">
        <f>IF(B2806="","",SUMIF(Transactions!$F$8:$F$3006,B2806,Transactions!$N$8:$N$3006))</f>
        <v/>
      </c>
      <c r="E2806" s="44" t="str">
        <f>IF(B2806="","",SUMIF(Transactions!$F$8:$F$3006,B2806,Transactions!$O$8:$O$3006))</f>
        <v/>
      </c>
      <c r="F2806" s="45" t="str">
        <f>IF(B2806="","",SUMIF(Transactions!$F$8:$F$3006,B2806,Transactions!$R$8:$R$3006))</f>
        <v/>
      </c>
      <c r="G2806" s="46" t="str">
        <f>IF(B2806="","",(C2806+F2806)-(D2806+E2806+SUMIF(Transactions!$F$8:$F$3006,B2806,Transactions!$Q$8:$Q$3006)))</f>
        <v/>
      </c>
      <c r="H2806" s="47" t="str">
        <f>IF(B2806="","",IF(G2806&gt;0,"OUTSTANDING",IF(G2806=0,"SETTLED",IF(SUMIF(Transactions!$F$8:$F$3006,B2806,Transactions!$Q$8:$Q$3006)&gt;SUMIF(Transactions!$F$8:$F$3006,B2806,Transactions!$R$8:$R$3006),"OWES","OVERPAID"))))</f>
        <v/>
      </c>
      <c r="I2806" s="1"/>
    </row>
    <row r="2807" spans="1:9" ht="18" customHeight="1" x14ac:dyDescent="0.25">
      <c r="A2807" s="48">
        <v>2792</v>
      </c>
      <c r="B2807" s="49" t="str">
        <f t="array" ref="B2807">IFERROR(IF(INDEX(Transactions!$F$8:$F$3006,MATCH(0,COUNTIF($B$11:B2806,Transactions!$F$8:$F$3006),0))="","",INDEX(Transactions!$F$8:$F$3006,MATCH(0,COUNTIF($B$11:B2806,Transactions!$F$8:$F$3006),0))),"")</f>
        <v/>
      </c>
      <c r="C2807" s="50" t="str">
        <f>IF(B2807="","",SUMIF(Transactions!$F$8:$F$3006,B2807,Transactions!$H$8:$H$3006))</f>
        <v/>
      </c>
      <c r="D2807" s="51" t="str">
        <f>IF(B2807="","",SUMIF(Transactions!$F$8:$F$3006,B2807,Transactions!$N$8:$N$3006))</f>
        <v/>
      </c>
      <c r="E2807" s="52" t="str">
        <f>IF(B2807="","",SUMIF(Transactions!$F$8:$F$3006,B2807,Transactions!$O$8:$O$3006))</f>
        <v/>
      </c>
      <c r="F2807" s="53" t="str">
        <f>IF(B2807="","",SUMIF(Transactions!$F$8:$F$3006,B2807,Transactions!$R$8:$R$3006))</f>
        <v/>
      </c>
      <c r="G2807" s="54" t="str">
        <f>IF(B2807="","",(C2807+F2807)-(D2807+E2807+SUMIF(Transactions!$F$8:$F$3006,B2807,Transactions!$Q$8:$Q$3006)))</f>
        <v/>
      </c>
      <c r="H2807" s="55" t="str">
        <f>IF(B2807="","",IF(G2807&gt;0,"OUTSTANDING",IF(G2807=0,"SETTLED",IF(SUMIF(Transactions!$F$8:$F$3006,B2807,Transactions!$Q$8:$Q$3006)&gt;SUMIF(Transactions!$F$8:$F$3006,B2807,Transactions!$R$8:$R$3006),"OWES","OVERPAID"))))</f>
        <v/>
      </c>
      <c r="I2807" s="1"/>
    </row>
    <row r="2808" spans="1:9" ht="18" customHeight="1" x14ac:dyDescent="0.25">
      <c r="A2808" s="40">
        <v>2793</v>
      </c>
      <c r="B2808" s="41" t="str">
        <f t="array" ref="B2808">IFERROR(IF(INDEX(Transactions!$F$8:$F$3006,MATCH(0,COUNTIF($B$11:B2807,Transactions!$F$8:$F$3006),0))="","",INDEX(Transactions!$F$8:$F$3006,MATCH(0,COUNTIF($B$11:B2807,Transactions!$F$8:$F$3006),0))),"")</f>
        <v/>
      </c>
      <c r="C2808" s="42" t="str">
        <f>IF(B2808="","",SUMIF(Transactions!$F$8:$F$3006,B2808,Transactions!$H$8:$H$3006))</f>
        <v/>
      </c>
      <c r="D2808" s="43" t="str">
        <f>IF(B2808="","",SUMIF(Transactions!$F$8:$F$3006,B2808,Transactions!$N$8:$N$3006))</f>
        <v/>
      </c>
      <c r="E2808" s="44" t="str">
        <f>IF(B2808="","",SUMIF(Transactions!$F$8:$F$3006,B2808,Transactions!$O$8:$O$3006))</f>
        <v/>
      </c>
      <c r="F2808" s="45" t="str">
        <f>IF(B2808="","",SUMIF(Transactions!$F$8:$F$3006,B2808,Transactions!$R$8:$R$3006))</f>
        <v/>
      </c>
      <c r="G2808" s="46" t="str">
        <f>IF(B2808="","",(C2808+F2808)-(D2808+E2808+SUMIF(Transactions!$F$8:$F$3006,B2808,Transactions!$Q$8:$Q$3006)))</f>
        <v/>
      </c>
      <c r="H2808" s="47" t="str">
        <f>IF(B2808="","",IF(G2808&gt;0,"OUTSTANDING",IF(G2808=0,"SETTLED",IF(SUMIF(Transactions!$F$8:$F$3006,B2808,Transactions!$Q$8:$Q$3006)&gt;SUMIF(Transactions!$F$8:$F$3006,B2808,Transactions!$R$8:$R$3006),"OWES","OVERPAID"))))</f>
        <v/>
      </c>
      <c r="I2808" s="1"/>
    </row>
    <row r="2809" spans="1:9" ht="18" customHeight="1" x14ac:dyDescent="0.25">
      <c r="A2809" s="48">
        <v>2794</v>
      </c>
      <c r="B2809" s="49" t="str">
        <f t="array" ref="B2809">IFERROR(IF(INDEX(Transactions!$F$8:$F$3006,MATCH(0,COUNTIF($B$11:B2808,Transactions!$F$8:$F$3006),0))="","",INDEX(Transactions!$F$8:$F$3006,MATCH(0,COUNTIF($B$11:B2808,Transactions!$F$8:$F$3006),0))),"")</f>
        <v/>
      </c>
      <c r="C2809" s="50" t="str">
        <f>IF(B2809="","",SUMIF(Transactions!$F$8:$F$3006,B2809,Transactions!$H$8:$H$3006))</f>
        <v/>
      </c>
      <c r="D2809" s="51" t="str">
        <f>IF(B2809="","",SUMIF(Transactions!$F$8:$F$3006,B2809,Transactions!$N$8:$N$3006))</f>
        <v/>
      </c>
      <c r="E2809" s="52" t="str">
        <f>IF(B2809="","",SUMIF(Transactions!$F$8:$F$3006,B2809,Transactions!$O$8:$O$3006))</f>
        <v/>
      </c>
      <c r="F2809" s="53" t="str">
        <f>IF(B2809="","",SUMIF(Transactions!$F$8:$F$3006,B2809,Transactions!$R$8:$R$3006))</f>
        <v/>
      </c>
      <c r="G2809" s="54" t="str">
        <f>IF(B2809="","",(C2809+F2809)-(D2809+E2809+SUMIF(Transactions!$F$8:$F$3006,B2809,Transactions!$Q$8:$Q$3006)))</f>
        <v/>
      </c>
      <c r="H2809" s="55" t="str">
        <f>IF(B2809="","",IF(G2809&gt;0,"OUTSTANDING",IF(G2809=0,"SETTLED",IF(SUMIF(Transactions!$F$8:$F$3006,B2809,Transactions!$Q$8:$Q$3006)&gt;SUMIF(Transactions!$F$8:$F$3006,B2809,Transactions!$R$8:$R$3006),"OWES","OVERPAID"))))</f>
        <v/>
      </c>
      <c r="I2809" s="1"/>
    </row>
    <row r="2810" spans="1:9" ht="18" customHeight="1" x14ac:dyDescent="0.25">
      <c r="A2810" s="40">
        <v>2795</v>
      </c>
      <c r="B2810" s="41" t="str">
        <f t="array" ref="B2810">IFERROR(IF(INDEX(Transactions!$F$8:$F$3006,MATCH(0,COUNTIF($B$11:B2809,Transactions!$F$8:$F$3006),0))="","",INDEX(Transactions!$F$8:$F$3006,MATCH(0,COUNTIF($B$11:B2809,Transactions!$F$8:$F$3006),0))),"")</f>
        <v/>
      </c>
      <c r="C2810" s="42" t="str">
        <f>IF(B2810="","",SUMIF(Transactions!$F$8:$F$3006,B2810,Transactions!$H$8:$H$3006))</f>
        <v/>
      </c>
      <c r="D2810" s="43" t="str">
        <f>IF(B2810="","",SUMIF(Transactions!$F$8:$F$3006,B2810,Transactions!$N$8:$N$3006))</f>
        <v/>
      </c>
      <c r="E2810" s="44" t="str">
        <f>IF(B2810="","",SUMIF(Transactions!$F$8:$F$3006,B2810,Transactions!$O$8:$O$3006))</f>
        <v/>
      </c>
      <c r="F2810" s="45" t="str">
        <f>IF(B2810="","",SUMIF(Transactions!$F$8:$F$3006,B2810,Transactions!$R$8:$R$3006))</f>
        <v/>
      </c>
      <c r="G2810" s="46" t="str">
        <f>IF(B2810="","",(C2810+F2810)-(D2810+E2810+SUMIF(Transactions!$F$8:$F$3006,B2810,Transactions!$Q$8:$Q$3006)))</f>
        <v/>
      </c>
      <c r="H2810" s="47" t="str">
        <f>IF(B2810="","",IF(G2810&gt;0,"OUTSTANDING",IF(G2810=0,"SETTLED",IF(SUMIF(Transactions!$F$8:$F$3006,B2810,Transactions!$Q$8:$Q$3006)&gt;SUMIF(Transactions!$F$8:$F$3006,B2810,Transactions!$R$8:$R$3006),"OWES","OVERPAID"))))</f>
        <v/>
      </c>
      <c r="I2810" s="1"/>
    </row>
    <row r="2811" spans="1:9" ht="18" customHeight="1" x14ac:dyDescent="0.25">
      <c r="A2811" s="48">
        <v>2796</v>
      </c>
      <c r="B2811" s="49" t="str">
        <f t="array" ref="B2811">IFERROR(IF(INDEX(Transactions!$F$8:$F$3006,MATCH(0,COUNTIF($B$11:B2810,Transactions!$F$8:$F$3006),0))="","",INDEX(Transactions!$F$8:$F$3006,MATCH(0,COUNTIF($B$11:B2810,Transactions!$F$8:$F$3006),0))),"")</f>
        <v/>
      </c>
      <c r="C2811" s="50" t="str">
        <f>IF(B2811="","",SUMIF(Transactions!$F$8:$F$3006,B2811,Transactions!$H$8:$H$3006))</f>
        <v/>
      </c>
      <c r="D2811" s="51" t="str">
        <f>IF(B2811="","",SUMIF(Transactions!$F$8:$F$3006,B2811,Transactions!$N$8:$N$3006))</f>
        <v/>
      </c>
      <c r="E2811" s="52" t="str">
        <f>IF(B2811="","",SUMIF(Transactions!$F$8:$F$3006,B2811,Transactions!$O$8:$O$3006))</f>
        <v/>
      </c>
      <c r="F2811" s="53" t="str">
        <f>IF(B2811="","",SUMIF(Transactions!$F$8:$F$3006,B2811,Transactions!$R$8:$R$3006))</f>
        <v/>
      </c>
      <c r="G2811" s="54" t="str">
        <f>IF(B2811="","",(C2811+F2811)-(D2811+E2811+SUMIF(Transactions!$F$8:$F$3006,B2811,Transactions!$Q$8:$Q$3006)))</f>
        <v/>
      </c>
      <c r="H2811" s="55" t="str">
        <f>IF(B2811="","",IF(G2811&gt;0,"OUTSTANDING",IF(G2811=0,"SETTLED",IF(SUMIF(Transactions!$F$8:$F$3006,B2811,Transactions!$Q$8:$Q$3006)&gt;SUMIF(Transactions!$F$8:$F$3006,B2811,Transactions!$R$8:$R$3006),"OWES","OVERPAID"))))</f>
        <v/>
      </c>
      <c r="I2811" s="1"/>
    </row>
    <row r="2812" spans="1:9" ht="18" customHeight="1" x14ac:dyDescent="0.25">
      <c r="A2812" s="40">
        <v>2797</v>
      </c>
      <c r="B2812" s="41" t="str">
        <f t="array" ref="B2812">IFERROR(IF(INDEX(Transactions!$F$8:$F$3006,MATCH(0,COUNTIF($B$11:B2811,Transactions!$F$8:$F$3006),0))="","",INDEX(Transactions!$F$8:$F$3006,MATCH(0,COUNTIF($B$11:B2811,Transactions!$F$8:$F$3006),0))),"")</f>
        <v/>
      </c>
      <c r="C2812" s="42" t="str">
        <f>IF(B2812="","",SUMIF(Transactions!$F$8:$F$3006,B2812,Transactions!$H$8:$H$3006))</f>
        <v/>
      </c>
      <c r="D2812" s="43" t="str">
        <f>IF(B2812="","",SUMIF(Transactions!$F$8:$F$3006,B2812,Transactions!$N$8:$N$3006))</f>
        <v/>
      </c>
      <c r="E2812" s="44" t="str">
        <f>IF(B2812="","",SUMIF(Transactions!$F$8:$F$3006,B2812,Transactions!$O$8:$O$3006))</f>
        <v/>
      </c>
      <c r="F2812" s="45" t="str">
        <f>IF(B2812="","",SUMIF(Transactions!$F$8:$F$3006,B2812,Transactions!$R$8:$R$3006))</f>
        <v/>
      </c>
      <c r="G2812" s="46" t="str">
        <f>IF(B2812="","",(C2812+F2812)-(D2812+E2812+SUMIF(Transactions!$F$8:$F$3006,B2812,Transactions!$Q$8:$Q$3006)))</f>
        <v/>
      </c>
      <c r="H2812" s="47" t="str">
        <f>IF(B2812="","",IF(G2812&gt;0,"OUTSTANDING",IF(G2812=0,"SETTLED",IF(SUMIF(Transactions!$F$8:$F$3006,B2812,Transactions!$Q$8:$Q$3006)&gt;SUMIF(Transactions!$F$8:$F$3006,B2812,Transactions!$R$8:$R$3006),"OWES","OVERPAID"))))</f>
        <v/>
      </c>
      <c r="I2812" s="1"/>
    </row>
    <row r="2813" spans="1:9" ht="18" customHeight="1" x14ac:dyDescent="0.25">
      <c r="A2813" s="48">
        <v>2798</v>
      </c>
      <c r="B2813" s="49" t="str">
        <f t="array" ref="B2813">IFERROR(IF(INDEX(Transactions!$F$8:$F$3006,MATCH(0,COUNTIF($B$11:B2812,Transactions!$F$8:$F$3006),0))="","",INDEX(Transactions!$F$8:$F$3006,MATCH(0,COUNTIF($B$11:B2812,Transactions!$F$8:$F$3006),0))),"")</f>
        <v/>
      </c>
      <c r="C2813" s="50" t="str">
        <f>IF(B2813="","",SUMIF(Transactions!$F$8:$F$3006,B2813,Transactions!$H$8:$H$3006))</f>
        <v/>
      </c>
      <c r="D2813" s="51" t="str">
        <f>IF(B2813="","",SUMIF(Transactions!$F$8:$F$3006,B2813,Transactions!$N$8:$N$3006))</f>
        <v/>
      </c>
      <c r="E2813" s="52" t="str">
        <f>IF(B2813="","",SUMIF(Transactions!$F$8:$F$3006,B2813,Transactions!$O$8:$O$3006))</f>
        <v/>
      </c>
      <c r="F2813" s="53" t="str">
        <f>IF(B2813="","",SUMIF(Transactions!$F$8:$F$3006,B2813,Transactions!$R$8:$R$3006))</f>
        <v/>
      </c>
      <c r="G2813" s="54" t="str">
        <f>IF(B2813="","",(C2813+F2813)-(D2813+E2813+SUMIF(Transactions!$F$8:$F$3006,B2813,Transactions!$Q$8:$Q$3006)))</f>
        <v/>
      </c>
      <c r="H2813" s="55" t="str">
        <f>IF(B2813="","",IF(G2813&gt;0,"OUTSTANDING",IF(G2813=0,"SETTLED",IF(SUMIF(Transactions!$F$8:$F$3006,B2813,Transactions!$Q$8:$Q$3006)&gt;SUMIF(Transactions!$F$8:$F$3006,B2813,Transactions!$R$8:$R$3006),"OWES","OVERPAID"))))</f>
        <v/>
      </c>
      <c r="I2813" s="1"/>
    </row>
    <row r="2814" spans="1:9" ht="18" customHeight="1" x14ac:dyDescent="0.25">
      <c r="A2814" s="40">
        <v>2799</v>
      </c>
      <c r="B2814" s="41" t="str">
        <f t="array" ref="B2814">IFERROR(IF(INDEX(Transactions!$F$8:$F$3006,MATCH(0,COUNTIF($B$11:B2813,Transactions!$F$8:$F$3006),0))="","",INDEX(Transactions!$F$8:$F$3006,MATCH(0,COUNTIF($B$11:B2813,Transactions!$F$8:$F$3006),0))),"")</f>
        <v/>
      </c>
      <c r="C2814" s="42" t="str">
        <f>IF(B2814="","",SUMIF(Transactions!$F$8:$F$3006,B2814,Transactions!$H$8:$H$3006))</f>
        <v/>
      </c>
      <c r="D2814" s="43" t="str">
        <f>IF(B2814="","",SUMIF(Transactions!$F$8:$F$3006,B2814,Transactions!$N$8:$N$3006))</f>
        <v/>
      </c>
      <c r="E2814" s="44" t="str">
        <f>IF(B2814="","",SUMIF(Transactions!$F$8:$F$3006,B2814,Transactions!$O$8:$O$3006))</f>
        <v/>
      </c>
      <c r="F2814" s="45" t="str">
        <f>IF(B2814="","",SUMIF(Transactions!$F$8:$F$3006,B2814,Transactions!$R$8:$R$3006))</f>
        <v/>
      </c>
      <c r="G2814" s="46" t="str">
        <f>IF(B2814="","",(C2814+F2814)-(D2814+E2814+SUMIF(Transactions!$F$8:$F$3006,B2814,Transactions!$Q$8:$Q$3006)))</f>
        <v/>
      </c>
      <c r="H2814" s="47" t="str">
        <f>IF(B2814="","",IF(G2814&gt;0,"OUTSTANDING",IF(G2814=0,"SETTLED",IF(SUMIF(Transactions!$F$8:$F$3006,B2814,Transactions!$Q$8:$Q$3006)&gt;SUMIF(Transactions!$F$8:$F$3006,B2814,Transactions!$R$8:$R$3006),"OWES","OVERPAID"))))</f>
        <v/>
      </c>
      <c r="I2814" s="1"/>
    </row>
    <row r="2815" spans="1:9" ht="18" customHeight="1" x14ac:dyDescent="0.25">
      <c r="A2815" s="48">
        <v>2800</v>
      </c>
      <c r="B2815" s="49" t="str">
        <f t="array" ref="B2815">IFERROR(IF(INDEX(Transactions!$F$8:$F$3006,MATCH(0,COUNTIF($B$11:B2814,Transactions!$F$8:$F$3006),0))="","",INDEX(Transactions!$F$8:$F$3006,MATCH(0,COUNTIF($B$11:B2814,Transactions!$F$8:$F$3006),0))),"")</f>
        <v/>
      </c>
      <c r="C2815" s="50" t="str">
        <f>IF(B2815="","",SUMIF(Transactions!$F$8:$F$3006,B2815,Transactions!$H$8:$H$3006))</f>
        <v/>
      </c>
      <c r="D2815" s="51" t="str">
        <f>IF(B2815="","",SUMIF(Transactions!$F$8:$F$3006,B2815,Transactions!$N$8:$N$3006))</f>
        <v/>
      </c>
      <c r="E2815" s="52" t="str">
        <f>IF(B2815="","",SUMIF(Transactions!$F$8:$F$3006,B2815,Transactions!$O$8:$O$3006))</f>
        <v/>
      </c>
      <c r="F2815" s="53" t="str">
        <f>IF(B2815="","",SUMIF(Transactions!$F$8:$F$3006,B2815,Transactions!$R$8:$R$3006))</f>
        <v/>
      </c>
      <c r="G2815" s="54" t="str">
        <f>IF(B2815="","",(C2815+F2815)-(D2815+E2815+SUMIF(Transactions!$F$8:$F$3006,B2815,Transactions!$Q$8:$Q$3006)))</f>
        <v/>
      </c>
      <c r="H2815" s="55" t="str">
        <f>IF(B2815="","",IF(G2815&gt;0,"OUTSTANDING",IF(G2815=0,"SETTLED",IF(SUMIF(Transactions!$F$8:$F$3006,B2815,Transactions!$Q$8:$Q$3006)&gt;SUMIF(Transactions!$F$8:$F$3006,B2815,Transactions!$R$8:$R$3006),"OWES","OVERPAID"))))</f>
        <v/>
      </c>
      <c r="I2815" s="1"/>
    </row>
    <row r="2816" spans="1:9" ht="18" customHeight="1" x14ac:dyDescent="0.25">
      <c r="A2816" s="40">
        <v>2801</v>
      </c>
      <c r="B2816" s="41" t="str">
        <f t="array" ref="B2816">IFERROR(IF(INDEX(Transactions!$F$8:$F$3006,MATCH(0,COUNTIF($B$11:B2815,Transactions!$F$8:$F$3006),0))="","",INDEX(Transactions!$F$8:$F$3006,MATCH(0,COUNTIF($B$11:B2815,Transactions!$F$8:$F$3006),0))),"")</f>
        <v/>
      </c>
      <c r="C2816" s="42" t="str">
        <f>IF(B2816="","",SUMIF(Transactions!$F$8:$F$3006,B2816,Transactions!$H$8:$H$3006))</f>
        <v/>
      </c>
      <c r="D2816" s="43" t="str">
        <f>IF(B2816="","",SUMIF(Transactions!$F$8:$F$3006,B2816,Transactions!$N$8:$N$3006))</f>
        <v/>
      </c>
      <c r="E2816" s="44" t="str">
        <f>IF(B2816="","",SUMIF(Transactions!$F$8:$F$3006,B2816,Transactions!$O$8:$O$3006))</f>
        <v/>
      </c>
      <c r="F2816" s="45" t="str">
        <f>IF(B2816="","",SUMIF(Transactions!$F$8:$F$3006,B2816,Transactions!$R$8:$R$3006))</f>
        <v/>
      </c>
      <c r="G2816" s="46" t="str">
        <f>IF(B2816="","",(C2816+F2816)-(D2816+E2816+SUMIF(Transactions!$F$8:$F$3006,B2816,Transactions!$Q$8:$Q$3006)))</f>
        <v/>
      </c>
      <c r="H2816" s="47" t="str">
        <f>IF(B2816="","",IF(G2816&gt;0,"OUTSTANDING",IF(G2816=0,"SETTLED",IF(SUMIF(Transactions!$F$8:$F$3006,B2816,Transactions!$Q$8:$Q$3006)&gt;SUMIF(Transactions!$F$8:$F$3006,B2816,Transactions!$R$8:$R$3006),"OWES","OVERPAID"))))</f>
        <v/>
      </c>
      <c r="I2816" s="1"/>
    </row>
    <row r="2817" spans="1:9" ht="18" customHeight="1" x14ac:dyDescent="0.25">
      <c r="A2817" s="48">
        <v>2802</v>
      </c>
      <c r="B2817" s="49" t="str">
        <f t="array" ref="B2817">IFERROR(IF(INDEX(Transactions!$F$8:$F$3006,MATCH(0,COUNTIF($B$11:B2816,Transactions!$F$8:$F$3006),0))="","",INDEX(Transactions!$F$8:$F$3006,MATCH(0,COUNTIF($B$11:B2816,Transactions!$F$8:$F$3006),0))),"")</f>
        <v/>
      </c>
      <c r="C2817" s="50" t="str">
        <f>IF(B2817="","",SUMIF(Transactions!$F$8:$F$3006,B2817,Transactions!$H$8:$H$3006))</f>
        <v/>
      </c>
      <c r="D2817" s="51" t="str">
        <f>IF(B2817="","",SUMIF(Transactions!$F$8:$F$3006,B2817,Transactions!$N$8:$N$3006))</f>
        <v/>
      </c>
      <c r="E2817" s="52" t="str">
        <f>IF(B2817="","",SUMIF(Transactions!$F$8:$F$3006,B2817,Transactions!$O$8:$O$3006))</f>
        <v/>
      </c>
      <c r="F2817" s="53" t="str">
        <f>IF(B2817="","",SUMIF(Transactions!$F$8:$F$3006,B2817,Transactions!$R$8:$R$3006))</f>
        <v/>
      </c>
      <c r="G2817" s="54" t="str">
        <f>IF(B2817="","",(C2817+F2817)-(D2817+E2817+SUMIF(Transactions!$F$8:$F$3006,B2817,Transactions!$Q$8:$Q$3006)))</f>
        <v/>
      </c>
      <c r="H2817" s="55" t="str">
        <f>IF(B2817="","",IF(G2817&gt;0,"OUTSTANDING",IF(G2817=0,"SETTLED",IF(SUMIF(Transactions!$F$8:$F$3006,B2817,Transactions!$Q$8:$Q$3006)&gt;SUMIF(Transactions!$F$8:$F$3006,B2817,Transactions!$R$8:$R$3006),"OWES","OVERPAID"))))</f>
        <v/>
      </c>
      <c r="I2817" s="1"/>
    </row>
    <row r="2818" spans="1:9" ht="18" customHeight="1" x14ac:dyDescent="0.25">
      <c r="A2818" s="40">
        <v>2803</v>
      </c>
      <c r="B2818" s="41" t="str">
        <f t="array" ref="B2818">IFERROR(IF(INDEX(Transactions!$F$8:$F$3006,MATCH(0,COUNTIF($B$11:B2817,Transactions!$F$8:$F$3006),0))="","",INDEX(Transactions!$F$8:$F$3006,MATCH(0,COUNTIF($B$11:B2817,Transactions!$F$8:$F$3006),0))),"")</f>
        <v/>
      </c>
      <c r="C2818" s="42" t="str">
        <f>IF(B2818="","",SUMIF(Transactions!$F$8:$F$3006,B2818,Transactions!$H$8:$H$3006))</f>
        <v/>
      </c>
      <c r="D2818" s="43" t="str">
        <f>IF(B2818="","",SUMIF(Transactions!$F$8:$F$3006,B2818,Transactions!$N$8:$N$3006))</f>
        <v/>
      </c>
      <c r="E2818" s="44" t="str">
        <f>IF(B2818="","",SUMIF(Transactions!$F$8:$F$3006,B2818,Transactions!$O$8:$O$3006))</f>
        <v/>
      </c>
      <c r="F2818" s="45" t="str">
        <f>IF(B2818="","",SUMIF(Transactions!$F$8:$F$3006,B2818,Transactions!$R$8:$R$3006))</f>
        <v/>
      </c>
      <c r="G2818" s="46" t="str">
        <f>IF(B2818="","",(C2818+F2818)-(D2818+E2818+SUMIF(Transactions!$F$8:$F$3006,B2818,Transactions!$Q$8:$Q$3006)))</f>
        <v/>
      </c>
      <c r="H2818" s="47" t="str">
        <f>IF(B2818="","",IF(G2818&gt;0,"OUTSTANDING",IF(G2818=0,"SETTLED",IF(SUMIF(Transactions!$F$8:$F$3006,B2818,Transactions!$Q$8:$Q$3006)&gt;SUMIF(Transactions!$F$8:$F$3006,B2818,Transactions!$R$8:$R$3006),"OWES","OVERPAID"))))</f>
        <v/>
      </c>
      <c r="I2818" s="1"/>
    </row>
    <row r="2819" spans="1:9" ht="18" customHeight="1" x14ac:dyDescent="0.25">
      <c r="A2819" s="48">
        <v>2804</v>
      </c>
      <c r="B2819" s="49" t="str">
        <f t="array" ref="B2819">IFERROR(IF(INDEX(Transactions!$F$8:$F$3006,MATCH(0,COUNTIF($B$11:B2818,Transactions!$F$8:$F$3006),0))="","",INDEX(Transactions!$F$8:$F$3006,MATCH(0,COUNTIF($B$11:B2818,Transactions!$F$8:$F$3006),0))),"")</f>
        <v/>
      </c>
      <c r="C2819" s="50" t="str">
        <f>IF(B2819="","",SUMIF(Transactions!$F$8:$F$3006,B2819,Transactions!$H$8:$H$3006))</f>
        <v/>
      </c>
      <c r="D2819" s="51" t="str">
        <f>IF(B2819="","",SUMIF(Transactions!$F$8:$F$3006,B2819,Transactions!$N$8:$N$3006))</f>
        <v/>
      </c>
      <c r="E2819" s="52" t="str">
        <f>IF(B2819="","",SUMIF(Transactions!$F$8:$F$3006,B2819,Transactions!$O$8:$O$3006))</f>
        <v/>
      </c>
      <c r="F2819" s="53" t="str">
        <f>IF(B2819="","",SUMIF(Transactions!$F$8:$F$3006,B2819,Transactions!$R$8:$R$3006))</f>
        <v/>
      </c>
      <c r="G2819" s="54" t="str">
        <f>IF(B2819="","",(C2819+F2819)-(D2819+E2819+SUMIF(Transactions!$F$8:$F$3006,B2819,Transactions!$Q$8:$Q$3006)))</f>
        <v/>
      </c>
      <c r="H2819" s="55" t="str">
        <f>IF(B2819="","",IF(G2819&gt;0,"OUTSTANDING",IF(G2819=0,"SETTLED",IF(SUMIF(Transactions!$F$8:$F$3006,B2819,Transactions!$Q$8:$Q$3006)&gt;SUMIF(Transactions!$F$8:$F$3006,B2819,Transactions!$R$8:$R$3006),"OWES","OVERPAID"))))</f>
        <v/>
      </c>
      <c r="I2819" s="1"/>
    </row>
    <row r="2820" spans="1:9" ht="18" customHeight="1" x14ac:dyDescent="0.25">
      <c r="A2820" s="40">
        <v>2805</v>
      </c>
      <c r="B2820" s="41" t="str">
        <f t="array" ref="B2820">IFERROR(IF(INDEX(Transactions!$F$8:$F$3006,MATCH(0,COUNTIF($B$11:B2819,Transactions!$F$8:$F$3006),0))="","",INDEX(Transactions!$F$8:$F$3006,MATCH(0,COUNTIF($B$11:B2819,Transactions!$F$8:$F$3006),0))),"")</f>
        <v/>
      </c>
      <c r="C2820" s="42" t="str">
        <f>IF(B2820="","",SUMIF(Transactions!$F$8:$F$3006,B2820,Transactions!$H$8:$H$3006))</f>
        <v/>
      </c>
      <c r="D2820" s="43" t="str">
        <f>IF(B2820="","",SUMIF(Transactions!$F$8:$F$3006,B2820,Transactions!$N$8:$N$3006))</f>
        <v/>
      </c>
      <c r="E2820" s="44" t="str">
        <f>IF(B2820="","",SUMIF(Transactions!$F$8:$F$3006,B2820,Transactions!$O$8:$O$3006))</f>
        <v/>
      </c>
      <c r="F2820" s="45" t="str">
        <f>IF(B2820="","",SUMIF(Transactions!$F$8:$F$3006,B2820,Transactions!$R$8:$R$3006))</f>
        <v/>
      </c>
      <c r="G2820" s="46" t="str">
        <f>IF(B2820="","",(C2820+F2820)-(D2820+E2820+SUMIF(Transactions!$F$8:$F$3006,B2820,Transactions!$Q$8:$Q$3006)))</f>
        <v/>
      </c>
      <c r="H2820" s="47" t="str">
        <f>IF(B2820="","",IF(G2820&gt;0,"OUTSTANDING",IF(G2820=0,"SETTLED",IF(SUMIF(Transactions!$F$8:$F$3006,B2820,Transactions!$Q$8:$Q$3006)&gt;SUMIF(Transactions!$F$8:$F$3006,B2820,Transactions!$R$8:$R$3006),"OWES","OVERPAID"))))</f>
        <v/>
      </c>
      <c r="I2820" s="1"/>
    </row>
    <row r="2821" spans="1:9" ht="18" customHeight="1" x14ac:dyDescent="0.25">
      <c r="A2821" s="48">
        <v>2806</v>
      </c>
      <c r="B2821" s="49" t="str">
        <f t="array" ref="B2821">IFERROR(IF(INDEX(Transactions!$F$8:$F$3006,MATCH(0,COUNTIF($B$11:B2820,Transactions!$F$8:$F$3006),0))="","",INDEX(Transactions!$F$8:$F$3006,MATCH(0,COUNTIF($B$11:B2820,Transactions!$F$8:$F$3006),0))),"")</f>
        <v/>
      </c>
      <c r="C2821" s="50" t="str">
        <f>IF(B2821="","",SUMIF(Transactions!$F$8:$F$3006,B2821,Transactions!$H$8:$H$3006))</f>
        <v/>
      </c>
      <c r="D2821" s="51" t="str">
        <f>IF(B2821="","",SUMIF(Transactions!$F$8:$F$3006,B2821,Transactions!$N$8:$N$3006))</f>
        <v/>
      </c>
      <c r="E2821" s="52" t="str">
        <f>IF(B2821="","",SUMIF(Transactions!$F$8:$F$3006,B2821,Transactions!$O$8:$O$3006))</f>
        <v/>
      </c>
      <c r="F2821" s="53" t="str">
        <f>IF(B2821="","",SUMIF(Transactions!$F$8:$F$3006,B2821,Transactions!$R$8:$R$3006))</f>
        <v/>
      </c>
      <c r="G2821" s="54" t="str">
        <f>IF(B2821="","",(C2821+F2821)-(D2821+E2821+SUMIF(Transactions!$F$8:$F$3006,B2821,Transactions!$Q$8:$Q$3006)))</f>
        <v/>
      </c>
      <c r="H2821" s="55" t="str">
        <f>IF(B2821="","",IF(G2821&gt;0,"OUTSTANDING",IF(G2821=0,"SETTLED",IF(SUMIF(Transactions!$F$8:$F$3006,B2821,Transactions!$Q$8:$Q$3006)&gt;SUMIF(Transactions!$F$8:$F$3006,B2821,Transactions!$R$8:$R$3006),"OWES","OVERPAID"))))</f>
        <v/>
      </c>
      <c r="I2821" s="1"/>
    </row>
    <row r="2822" spans="1:9" ht="18" customHeight="1" x14ac:dyDescent="0.25">
      <c r="A2822" s="40">
        <v>2807</v>
      </c>
      <c r="B2822" s="41" t="str">
        <f t="array" ref="B2822">IFERROR(IF(INDEX(Transactions!$F$8:$F$3006,MATCH(0,COUNTIF($B$11:B2821,Transactions!$F$8:$F$3006),0))="","",INDEX(Transactions!$F$8:$F$3006,MATCH(0,COUNTIF($B$11:B2821,Transactions!$F$8:$F$3006),0))),"")</f>
        <v/>
      </c>
      <c r="C2822" s="42" t="str">
        <f>IF(B2822="","",SUMIF(Transactions!$F$8:$F$3006,B2822,Transactions!$H$8:$H$3006))</f>
        <v/>
      </c>
      <c r="D2822" s="43" t="str">
        <f>IF(B2822="","",SUMIF(Transactions!$F$8:$F$3006,B2822,Transactions!$N$8:$N$3006))</f>
        <v/>
      </c>
      <c r="E2822" s="44" t="str">
        <f>IF(B2822="","",SUMIF(Transactions!$F$8:$F$3006,B2822,Transactions!$O$8:$O$3006))</f>
        <v/>
      </c>
      <c r="F2822" s="45" t="str">
        <f>IF(B2822="","",SUMIF(Transactions!$F$8:$F$3006,B2822,Transactions!$R$8:$R$3006))</f>
        <v/>
      </c>
      <c r="G2822" s="46" t="str">
        <f>IF(B2822="","",(C2822+F2822)-(D2822+E2822+SUMIF(Transactions!$F$8:$F$3006,B2822,Transactions!$Q$8:$Q$3006)))</f>
        <v/>
      </c>
      <c r="H2822" s="47" t="str">
        <f>IF(B2822="","",IF(G2822&gt;0,"OUTSTANDING",IF(G2822=0,"SETTLED",IF(SUMIF(Transactions!$F$8:$F$3006,B2822,Transactions!$Q$8:$Q$3006)&gt;SUMIF(Transactions!$F$8:$F$3006,B2822,Transactions!$R$8:$R$3006),"OWES","OVERPAID"))))</f>
        <v/>
      </c>
      <c r="I2822" s="1"/>
    </row>
    <row r="2823" spans="1:9" ht="18" customHeight="1" x14ac:dyDescent="0.25">
      <c r="A2823" s="48">
        <v>2808</v>
      </c>
      <c r="B2823" s="49" t="str">
        <f t="array" ref="B2823">IFERROR(IF(INDEX(Transactions!$F$8:$F$3006,MATCH(0,COUNTIF($B$11:B2822,Transactions!$F$8:$F$3006),0))="","",INDEX(Transactions!$F$8:$F$3006,MATCH(0,COUNTIF($B$11:B2822,Transactions!$F$8:$F$3006),0))),"")</f>
        <v/>
      </c>
      <c r="C2823" s="50" t="str">
        <f>IF(B2823="","",SUMIF(Transactions!$F$8:$F$3006,B2823,Transactions!$H$8:$H$3006))</f>
        <v/>
      </c>
      <c r="D2823" s="51" t="str">
        <f>IF(B2823="","",SUMIF(Transactions!$F$8:$F$3006,B2823,Transactions!$N$8:$N$3006))</f>
        <v/>
      </c>
      <c r="E2823" s="52" t="str">
        <f>IF(B2823="","",SUMIF(Transactions!$F$8:$F$3006,B2823,Transactions!$O$8:$O$3006))</f>
        <v/>
      </c>
      <c r="F2823" s="53" t="str">
        <f>IF(B2823="","",SUMIF(Transactions!$F$8:$F$3006,B2823,Transactions!$R$8:$R$3006))</f>
        <v/>
      </c>
      <c r="G2823" s="54" t="str">
        <f>IF(B2823="","",(C2823+F2823)-(D2823+E2823+SUMIF(Transactions!$F$8:$F$3006,B2823,Transactions!$Q$8:$Q$3006)))</f>
        <v/>
      </c>
      <c r="H2823" s="55" t="str">
        <f>IF(B2823="","",IF(G2823&gt;0,"OUTSTANDING",IF(G2823=0,"SETTLED",IF(SUMIF(Transactions!$F$8:$F$3006,B2823,Transactions!$Q$8:$Q$3006)&gt;SUMIF(Transactions!$F$8:$F$3006,B2823,Transactions!$R$8:$R$3006),"OWES","OVERPAID"))))</f>
        <v/>
      </c>
      <c r="I2823" s="1"/>
    </row>
    <row r="2824" spans="1:9" ht="18" customHeight="1" x14ac:dyDescent="0.25">
      <c r="A2824" s="40">
        <v>2809</v>
      </c>
      <c r="B2824" s="41" t="str">
        <f t="array" ref="B2824">IFERROR(IF(INDEX(Transactions!$F$8:$F$3006,MATCH(0,COUNTIF($B$11:B2823,Transactions!$F$8:$F$3006),0))="","",INDEX(Transactions!$F$8:$F$3006,MATCH(0,COUNTIF($B$11:B2823,Transactions!$F$8:$F$3006),0))),"")</f>
        <v/>
      </c>
      <c r="C2824" s="42" t="str">
        <f>IF(B2824="","",SUMIF(Transactions!$F$8:$F$3006,B2824,Transactions!$H$8:$H$3006))</f>
        <v/>
      </c>
      <c r="D2824" s="43" t="str">
        <f>IF(B2824="","",SUMIF(Transactions!$F$8:$F$3006,B2824,Transactions!$N$8:$N$3006))</f>
        <v/>
      </c>
      <c r="E2824" s="44" t="str">
        <f>IF(B2824="","",SUMIF(Transactions!$F$8:$F$3006,B2824,Transactions!$O$8:$O$3006))</f>
        <v/>
      </c>
      <c r="F2824" s="45" t="str">
        <f>IF(B2824="","",SUMIF(Transactions!$F$8:$F$3006,B2824,Transactions!$R$8:$R$3006))</f>
        <v/>
      </c>
      <c r="G2824" s="46" t="str">
        <f>IF(B2824="","",(C2824+F2824)-(D2824+E2824+SUMIF(Transactions!$F$8:$F$3006,B2824,Transactions!$Q$8:$Q$3006)))</f>
        <v/>
      </c>
      <c r="H2824" s="47" t="str">
        <f>IF(B2824="","",IF(G2824&gt;0,"OUTSTANDING",IF(G2824=0,"SETTLED",IF(SUMIF(Transactions!$F$8:$F$3006,B2824,Transactions!$Q$8:$Q$3006)&gt;SUMIF(Transactions!$F$8:$F$3006,B2824,Transactions!$R$8:$R$3006),"OWES","OVERPAID"))))</f>
        <v/>
      </c>
      <c r="I2824" s="1"/>
    </row>
    <row r="2825" spans="1:9" ht="18" customHeight="1" x14ac:dyDescent="0.25">
      <c r="A2825" s="48">
        <v>2810</v>
      </c>
      <c r="B2825" s="49" t="str">
        <f t="array" ref="B2825">IFERROR(IF(INDEX(Transactions!$F$8:$F$3006,MATCH(0,COUNTIF($B$11:B2824,Transactions!$F$8:$F$3006),0))="","",INDEX(Transactions!$F$8:$F$3006,MATCH(0,COUNTIF($B$11:B2824,Transactions!$F$8:$F$3006),0))),"")</f>
        <v/>
      </c>
      <c r="C2825" s="50" t="str">
        <f>IF(B2825="","",SUMIF(Transactions!$F$8:$F$3006,B2825,Transactions!$H$8:$H$3006))</f>
        <v/>
      </c>
      <c r="D2825" s="51" t="str">
        <f>IF(B2825="","",SUMIF(Transactions!$F$8:$F$3006,B2825,Transactions!$N$8:$N$3006))</f>
        <v/>
      </c>
      <c r="E2825" s="52" t="str">
        <f>IF(B2825="","",SUMIF(Transactions!$F$8:$F$3006,B2825,Transactions!$O$8:$O$3006))</f>
        <v/>
      </c>
      <c r="F2825" s="53" t="str">
        <f>IF(B2825="","",SUMIF(Transactions!$F$8:$F$3006,B2825,Transactions!$R$8:$R$3006))</f>
        <v/>
      </c>
      <c r="G2825" s="54" t="str">
        <f>IF(B2825="","",(C2825+F2825)-(D2825+E2825+SUMIF(Transactions!$F$8:$F$3006,B2825,Transactions!$Q$8:$Q$3006)))</f>
        <v/>
      </c>
      <c r="H2825" s="55" t="str">
        <f>IF(B2825="","",IF(G2825&gt;0,"OUTSTANDING",IF(G2825=0,"SETTLED",IF(SUMIF(Transactions!$F$8:$F$3006,B2825,Transactions!$Q$8:$Q$3006)&gt;SUMIF(Transactions!$F$8:$F$3006,B2825,Transactions!$R$8:$R$3006),"OWES","OVERPAID"))))</f>
        <v/>
      </c>
      <c r="I2825" s="1"/>
    </row>
    <row r="2826" spans="1:9" ht="18" customHeight="1" x14ac:dyDescent="0.25">
      <c r="A2826" s="40">
        <v>2811</v>
      </c>
      <c r="B2826" s="41" t="str">
        <f t="array" ref="B2826">IFERROR(IF(INDEX(Transactions!$F$8:$F$3006,MATCH(0,COUNTIF($B$11:B2825,Transactions!$F$8:$F$3006),0))="","",INDEX(Transactions!$F$8:$F$3006,MATCH(0,COUNTIF($B$11:B2825,Transactions!$F$8:$F$3006),0))),"")</f>
        <v/>
      </c>
      <c r="C2826" s="42" t="str">
        <f>IF(B2826="","",SUMIF(Transactions!$F$8:$F$3006,B2826,Transactions!$H$8:$H$3006))</f>
        <v/>
      </c>
      <c r="D2826" s="43" t="str">
        <f>IF(B2826="","",SUMIF(Transactions!$F$8:$F$3006,B2826,Transactions!$N$8:$N$3006))</f>
        <v/>
      </c>
      <c r="E2826" s="44" t="str">
        <f>IF(B2826="","",SUMIF(Transactions!$F$8:$F$3006,B2826,Transactions!$O$8:$O$3006))</f>
        <v/>
      </c>
      <c r="F2826" s="45" t="str">
        <f>IF(B2826="","",SUMIF(Transactions!$F$8:$F$3006,B2826,Transactions!$R$8:$R$3006))</f>
        <v/>
      </c>
      <c r="G2826" s="46" t="str">
        <f>IF(B2826="","",(C2826+F2826)-(D2826+E2826+SUMIF(Transactions!$F$8:$F$3006,B2826,Transactions!$Q$8:$Q$3006)))</f>
        <v/>
      </c>
      <c r="H2826" s="47" t="str">
        <f>IF(B2826="","",IF(G2826&gt;0,"OUTSTANDING",IF(G2826=0,"SETTLED",IF(SUMIF(Transactions!$F$8:$F$3006,B2826,Transactions!$Q$8:$Q$3006)&gt;SUMIF(Transactions!$F$8:$F$3006,B2826,Transactions!$R$8:$R$3006),"OWES","OVERPAID"))))</f>
        <v/>
      </c>
      <c r="I2826" s="1"/>
    </row>
    <row r="2827" spans="1:9" ht="18" customHeight="1" x14ac:dyDescent="0.25">
      <c r="A2827" s="48">
        <v>2812</v>
      </c>
      <c r="B2827" s="49" t="str">
        <f t="array" ref="B2827">IFERROR(IF(INDEX(Transactions!$F$8:$F$3006,MATCH(0,COUNTIF($B$11:B2826,Transactions!$F$8:$F$3006),0))="","",INDEX(Transactions!$F$8:$F$3006,MATCH(0,COUNTIF($B$11:B2826,Transactions!$F$8:$F$3006),0))),"")</f>
        <v/>
      </c>
      <c r="C2827" s="50" t="str">
        <f>IF(B2827="","",SUMIF(Transactions!$F$8:$F$3006,B2827,Transactions!$H$8:$H$3006))</f>
        <v/>
      </c>
      <c r="D2827" s="51" t="str">
        <f>IF(B2827="","",SUMIF(Transactions!$F$8:$F$3006,B2827,Transactions!$N$8:$N$3006))</f>
        <v/>
      </c>
      <c r="E2827" s="52" t="str">
        <f>IF(B2827="","",SUMIF(Transactions!$F$8:$F$3006,B2827,Transactions!$O$8:$O$3006))</f>
        <v/>
      </c>
      <c r="F2827" s="53" t="str">
        <f>IF(B2827="","",SUMIF(Transactions!$F$8:$F$3006,B2827,Transactions!$R$8:$R$3006))</f>
        <v/>
      </c>
      <c r="G2827" s="54" t="str">
        <f>IF(B2827="","",(C2827+F2827)-(D2827+E2827+SUMIF(Transactions!$F$8:$F$3006,B2827,Transactions!$Q$8:$Q$3006)))</f>
        <v/>
      </c>
      <c r="H2827" s="55" t="str">
        <f>IF(B2827="","",IF(G2827&gt;0,"OUTSTANDING",IF(G2827=0,"SETTLED",IF(SUMIF(Transactions!$F$8:$F$3006,B2827,Transactions!$Q$8:$Q$3006)&gt;SUMIF(Transactions!$F$8:$F$3006,B2827,Transactions!$R$8:$R$3006),"OWES","OVERPAID"))))</f>
        <v/>
      </c>
      <c r="I2827" s="1"/>
    </row>
    <row r="2828" spans="1:9" ht="18" customHeight="1" x14ac:dyDescent="0.25">
      <c r="A2828" s="40">
        <v>2813</v>
      </c>
      <c r="B2828" s="41" t="str">
        <f t="array" ref="B2828">IFERROR(IF(INDEX(Transactions!$F$8:$F$3006,MATCH(0,COUNTIF($B$11:B2827,Transactions!$F$8:$F$3006),0))="","",INDEX(Transactions!$F$8:$F$3006,MATCH(0,COUNTIF($B$11:B2827,Transactions!$F$8:$F$3006),0))),"")</f>
        <v/>
      </c>
      <c r="C2828" s="42" t="str">
        <f>IF(B2828="","",SUMIF(Transactions!$F$8:$F$3006,B2828,Transactions!$H$8:$H$3006))</f>
        <v/>
      </c>
      <c r="D2828" s="43" t="str">
        <f>IF(B2828="","",SUMIF(Transactions!$F$8:$F$3006,B2828,Transactions!$N$8:$N$3006))</f>
        <v/>
      </c>
      <c r="E2828" s="44" t="str">
        <f>IF(B2828="","",SUMIF(Transactions!$F$8:$F$3006,B2828,Transactions!$O$8:$O$3006))</f>
        <v/>
      </c>
      <c r="F2828" s="45" t="str">
        <f>IF(B2828="","",SUMIF(Transactions!$F$8:$F$3006,B2828,Transactions!$R$8:$R$3006))</f>
        <v/>
      </c>
      <c r="G2828" s="46" t="str">
        <f>IF(B2828="","",(C2828+F2828)-(D2828+E2828+SUMIF(Transactions!$F$8:$F$3006,B2828,Transactions!$Q$8:$Q$3006)))</f>
        <v/>
      </c>
      <c r="H2828" s="47" t="str">
        <f>IF(B2828="","",IF(G2828&gt;0,"OUTSTANDING",IF(G2828=0,"SETTLED",IF(SUMIF(Transactions!$F$8:$F$3006,B2828,Transactions!$Q$8:$Q$3006)&gt;SUMIF(Transactions!$F$8:$F$3006,B2828,Transactions!$R$8:$R$3006),"OWES","OVERPAID"))))</f>
        <v/>
      </c>
      <c r="I2828" s="1"/>
    </row>
    <row r="2829" spans="1:9" ht="18" customHeight="1" x14ac:dyDescent="0.25">
      <c r="A2829" s="48">
        <v>2814</v>
      </c>
      <c r="B2829" s="49" t="str">
        <f t="array" ref="B2829">IFERROR(IF(INDEX(Transactions!$F$8:$F$3006,MATCH(0,COUNTIF($B$11:B2828,Transactions!$F$8:$F$3006),0))="","",INDEX(Transactions!$F$8:$F$3006,MATCH(0,COUNTIF($B$11:B2828,Transactions!$F$8:$F$3006),0))),"")</f>
        <v/>
      </c>
      <c r="C2829" s="50" t="str">
        <f>IF(B2829="","",SUMIF(Transactions!$F$8:$F$3006,B2829,Transactions!$H$8:$H$3006))</f>
        <v/>
      </c>
      <c r="D2829" s="51" t="str">
        <f>IF(B2829="","",SUMIF(Transactions!$F$8:$F$3006,B2829,Transactions!$N$8:$N$3006))</f>
        <v/>
      </c>
      <c r="E2829" s="52" t="str">
        <f>IF(B2829="","",SUMIF(Transactions!$F$8:$F$3006,B2829,Transactions!$O$8:$O$3006))</f>
        <v/>
      </c>
      <c r="F2829" s="53" t="str">
        <f>IF(B2829="","",SUMIF(Transactions!$F$8:$F$3006,B2829,Transactions!$R$8:$R$3006))</f>
        <v/>
      </c>
      <c r="G2829" s="54" t="str">
        <f>IF(B2829="","",(C2829+F2829)-(D2829+E2829+SUMIF(Transactions!$F$8:$F$3006,B2829,Transactions!$Q$8:$Q$3006)))</f>
        <v/>
      </c>
      <c r="H2829" s="55" t="str">
        <f>IF(B2829="","",IF(G2829&gt;0,"OUTSTANDING",IF(G2829=0,"SETTLED",IF(SUMIF(Transactions!$F$8:$F$3006,B2829,Transactions!$Q$8:$Q$3006)&gt;SUMIF(Transactions!$F$8:$F$3006,B2829,Transactions!$R$8:$R$3006),"OWES","OVERPAID"))))</f>
        <v/>
      </c>
      <c r="I2829" s="1"/>
    </row>
    <row r="2830" spans="1:9" ht="18" customHeight="1" x14ac:dyDescent="0.25">
      <c r="A2830" s="40">
        <v>2815</v>
      </c>
      <c r="B2830" s="41" t="str">
        <f t="array" ref="B2830">IFERROR(IF(INDEX(Transactions!$F$8:$F$3006,MATCH(0,COUNTIF($B$11:B2829,Transactions!$F$8:$F$3006),0))="","",INDEX(Transactions!$F$8:$F$3006,MATCH(0,COUNTIF($B$11:B2829,Transactions!$F$8:$F$3006),0))),"")</f>
        <v/>
      </c>
      <c r="C2830" s="42" t="str">
        <f>IF(B2830="","",SUMIF(Transactions!$F$8:$F$3006,B2830,Transactions!$H$8:$H$3006))</f>
        <v/>
      </c>
      <c r="D2830" s="43" t="str">
        <f>IF(B2830="","",SUMIF(Transactions!$F$8:$F$3006,B2830,Transactions!$N$8:$N$3006))</f>
        <v/>
      </c>
      <c r="E2830" s="44" t="str">
        <f>IF(B2830="","",SUMIF(Transactions!$F$8:$F$3006,B2830,Transactions!$O$8:$O$3006))</f>
        <v/>
      </c>
      <c r="F2830" s="45" t="str">
        <f>IF(B2830="","",SUMIF(Transactions!$F$8:$F$3006,B2830,Transactions!$R$8:$R$3006))</f>
        <v/>
      </c>
      <c r="G2830" s="46" t="str">
        <f>IF(B2830="","",(C2830+F2830)-(D2830+E2830+SUMIF(Transactions!$F$8:$F$3006,B2830,Transactions!$Q$8:$Q$3006)))</f>
        <v/>
      </c>
      <c r="H2830" s="47" t="str">
        <f>IF(B2830="","",IF(G2830&gt;0,"OUTSTANDING",IF(G2830=0,"SETTLED",IF(SUMIF(Transactions!$F$8:$F$3006,B2830,Transactions!$Q$8:$Q$3006)&gt;SUMIF(Transactions!$F$8:$F$3006,B2830,Transactions!$R$8:$R$3006),"OWES","OVERPAID"))))</f>
        <v/>
      </c>
      <c r="I2830" s="1"/>
    </row>
    <row r="2831" spans="1:9" ht="18" customHeight="1" x14ac:dyDescent="0.25">
      <c r="A2831" s="48">
        <v>2816</v>
      </c>
      <c r="B2831" s="49" t="str">
        <f t="array" ref="B2831">IFERROR(IF(INDEX(Transactions!$F$8:$F$3006,MATCH(0,COUNTIF($B$11:B2830,Transactions!$F$8:$F$3006),0))="","",INDEX(Transactions!$F$8:$F$3006,MATCH(0,COUNTIF($B$11:B2830,Transactions!$F$8:$F$3006),0))),"")</f>
        <v/>
      </c>
      <c r="C2831" s="50" t="str">
        <f>IF(B2831="","",SUMIF(Transactions!$F$8:$F$3006,B2831,Transactions!$H$8:$H$3006))</f>
        <v/>
      </c>
      <c r="D2831" s="51" t="str">
        <f>IF(B2831="","",SUMIF(Transactions!$F$8:$F$3006,B2831,Transactions!$N$8:$N$3006))</f>
        <v/>
      </c>
      <c r="E2831" s="52" t="str">
        <f>IF(B2831="","",SUMIF(Transactions!$F$8:$F$3006,B2831,Transactions!$O$8:$O$3006))</f>
        <v/>
      </c>
      <c r="F2831" s="53" t="str">
        <f>IF(B2831="","",SUMIF(Transactions!$F$8:$F$3006,B2831,Transactions!$R$8:$R$3006))</f>
        <v/>
      </c>
      <c r="G2831" s="54" t="str">
        <f>IF(B2831="","",(C2831+F2831)-(D2831+E2831+SUMIF(Transactions!$F$8:$F$3006,B2831,Transactions!$Q$8:$Q$3006)))</f>
        <v/>
      </c>
      <c r="H2831" s="55" t="str">
        <f>IF(B2831="","",IF(G2831&gt;0,"OUTSTANDING",IF(G2831=0,"SETTLED",IF(SUMIF(Transactions!$F$8:$F$3006,B2831,Transactions!$Q$8:$Q$3006)&gt;SUMIF(Transactions!$F$8:$F$3006,B2831,Transactions!$R$8:$R$3006),"OWES","OVERPAID"))))</f>
        <v/>
      </c>
      <c r="I2831" s="1"/>
    </row>
    <row r="2832" spans="1:9" ht="18" customHeight="1" x14ac:dyDescent="0.25">
      <c r="A2832" s="40">
        <v>2817</v>
      </c>
      <c r="B2832" s="41" t="str">
        <f t="array" ref="B2832">IFERROR(IF(INDEX(Transactions!$F$8:$F$3006,MATCH(0,COUNTIF($B$11:B2831,Transactions!$F$8:$F$3006),0))="","",INDEX(Transactions!$F$8:$F$3006,MATCH(0,COUNTIF($B$11:B2831,Transactions!$F$8:$F$3006),0))),"")</f>
        <v/>
      </c>
      <c r="C2832" s="42" t="str">
        <f>IF(B2832="","",SUMIF(Transactions!$F$8:$F$3006,B2832,Transactions!$H$8:$H$3006))</f>
        <v/>
      </c>
      <c r="D2832" s="43" t="str">
        <f>IF(B2832="","",SUMIF(Transactions!$F$8:$F$3006,B2832,Transactions!$N$8:$N$3006))</f>
        <v/>
      </c>
      <c r="E2832" s="44" t="str">
        <f>IF(B2832="","",SUMIF(Transactions!$F$8:$F$3006,B2832,Transactions!$O$8:$O$3006))</f>
        <v/>
      </c>
      <c r="F2832" s="45" t="str">
        <f>IF(B2832="","",SUMIF(Transactions!$F$8:$F$3006,B2832,Transactions!$R$8:$R$3006))</f>
        <v/>
      </c>
      <c r="G2832" s="46" t="str">
        <f>IF(B2832="","",(C2832+F2832)-(D2832+E2832+SUMIF(Transactions!$F$8:$F$3006,B2832,Transactions!$Q$8:$Q$3006)))</f>
        <v/>
      </c>
      <c r="H2832" s="47" t="str">
        <f>IF(B2832="","",IF(G2832&gt;0,"OUTSTANDING",IF(G2832=0,"SETTLED",IF(SUMIF(Transactions!$F$8:$F$3006,B2832,Transactions!$Q$8:$Q$3006)&gt;SUMIF(Transactions!$F$8:$F$3006,B2832,Transactions!$R$8:$R$3006),"OWES","OVERPAID"))))</f>
        <v/>
      </c>
      <c r="I2832" s="1"/>
    </row>
    <row r="2833" spans="1:9" ht="18" customHeight="1" x14ac:dyDescent="0.25">
      <c r="A2833" s="48">
        <v>2818</v>
      </c>
      <c r="B2833" s="49" t="str">
        <f t="array" ref="B2833">IFERROR(IF(INDEX(Transactions!$F$8:$F$3006,MATCH(0,COUNTIF($B$11:B2832,Transactions!$F$8:$F$3006),0))="","",INDEX(Transactions!$F$8:$F$3006,MATCH(0,COUNTIF($B$11:B2832,Transactions!$F$8:$F$3006),0))),"")</f>
        <v/>
      </c>
      <c r="C2833" s="50" t="str">
        <f>IF(B2833="","",SUMIF(Transactions!$F$8:$F$3006,B2833,Transactions!$H$8:$H$3006))</f>
        <v/>
      </c>
      <c r="D2833" s="51" t="str">
        <f>IF(B2833="","",SUMIF(Transactions!$F$8:$F$3006,B2833,Transactions!$N$8:$N$3006))</f>
        <v/>
      </c>
      <c r="E2833" s="52" t="str">
        <f>IF(B2833="","",SUMIF(Transactions!$F$8:$F$3006,B2833,Transactions!$O$8:$O$3006))</f>
        <v/>
      </c>
      <c r="F2833" s="53" t="str">
        <f>IF(B2833="","",SUMIF(Transactions!$F$8:$F$3006,B2833,Transactions!$R$8:$R$3006))</f>
        <v/>
      </c>
      <c r="G2833" s="54" t="str">
        <f>IF(B2833="","",(C2833+F2833)-(D2833+E2833+SUMIF(Transactions!$F$8:$F$3006,B2833,Transactions!$Q$8:$Q$3006)))</f>
        <v/>
      </c>
      <c r="H2833" s="55" t="str">
        <f>IF(B2833="","",IF(G2833&gt;0,"OUTSTANDING",IF(G2833=0,"SETTLED",IF(SUMIF(Transactions!$F$8:$F$3006,B2833,Transactions!$Q$8:$Q$3006)&gt;SUMIF(Transactions!$F$8:$F$3006,B2833,Transactions!$R$8:$R$3006),"OWES","OVERPAID"))))</f>
        <v/>
      </c>
      <c r="I2833" s="1"/>
    </row>
    <row r="2834" spans="1:9" ht="18" customHeight="1" x14ac:dyDescent="0.25">
      <c r="A2834" s="40">
        <v>2819</v>
      </c>
      <c r="B2834" s="41" t="str">
        <f t="array" ref="B2834">IFERROR(IF(INDEX(Transactions!$F$8:$F$3006,MATCH(0,COUNTIF($B$11:B2833,Transactions!$F$8:$F$3006),0))="","",INDEX(Transactions!$F$8:$F$3006,MATCH(0,COUNTIF($B$11:B2833,Transactions!$F$8:$F$3006),0))),"")</f>
        <v/>
      </c>
      <c r="C2834" s="42" t="str">
        <f>IF(B2834="","",SUMIF(Transactions!$F$8:$F$3006,B2834,Transactions!$H$8:$H$3006))</f>
        <v/>
      </c>
      <c r="D2834" s="43" t="str">
        <f>IF(B2834="","",SUMIF(Transactions!$F$8:$F$3006,B2834,Transactions!$N$8:$N$3006))</f>
        <v/>
      </c>
      <c r="E2834" s="44" t="str">
        <f>IF(B2834="","",SUMIF(Transactions!$F$8:$F$3006,B2834,Transactions!$O$8:$O$3006))</f>
        <v/>
      </c>
      <c r="F2834" s="45" t="str">
        <f>IF(B2834="","",SUMIF(Transactions!$F$8:$F$3006,B2834,Transactions!$R$8:$R$3006))</f>
        <v/>
      </c>
      <c r="G2834" s="46" t="str">
        <f>IF(B2834="","",(C2834+F2834)-(D2834+E2834+SUMIF(Transactions!$F$8:$F$3006,B2834,Transactions!$Q$8:$Q$3006)))</f>
        <v/>
      </c>
      <c r="H2834" s="47" t="str">
        <f>IF(B2834="","",IF(G2834&gt;0,"OUTSTANDING",IF(G2834=0,"SETTLED",IF(SUMIF(Transactions!$F$8:$F$3006,B2834,Transactions!$Q$8:$Q$3006)&gt;SUMIF(Transactions!$F$8:$F$3006,B2834,Transactions!$R$8:$R$3006),"OWES","OVERPAID"))))</f>
        <v/>
      </c>
      <c r="I2834" s="1"/>
    </row>
    <row r="2835" spans="1:9" ht="18" customHeight="1" x14ac:dyDescent="0.25">
      <c r="A2835" s="48">
        <v>2820</v>
      </c>
      <c r="B2835" s="49" t="str">
        <f t="array" ref="B2835">IFERROR(IF(INDEX(Transactions!$F$8:$F$3006,MATCH(0,COUNTIF($B$11:B2834,Transactions!$F$8:$F$3006),0))="","",INDEX(Transactions!$F$8:$F$3006,MATCH(0,COUNTIF($B$11:B2834,Transactions!$F$8:$F$3006),0))),"")</f>
        <v/>
      </c>
      <c r="C2835" s="50" t="str">
        <f>IF(B2835="","",SUMIF(Transactions!$F$8:$F$3006,B2835,Transactions!$H$8:$H$3006))</f>
        <v/>
      </c>
      <c r="D2835" s="51" t="str">
        <f>IF(B2835="","",SUMIF(Transactions!$F$8:$F$3006,B2835,Transactions!$N$8:$N$3006))</f>
        <v/>
      </c>
      <c r="E2835" s="52" t="str">
        <f>IF(B2835="","",SUMIF(Transactions!$F$8:$F$3006,B2835,Transactions!$O$8:$O$3006))</f>
        <v/>
      </c>
      <c r="F2835" s="53" t="str">
        <f>IF(B2835="","",SUMIF(Transactions!$F$8:$F$3006,B2835,Transactions!$R$8:$R$3006))</f>
        <v/>
      </c>
      <c r="G2835" s="54" t="str">
        <f>IF(B2835="","",(C2835+F2835)-(D2835+E2835+SUMIF(Transactions!$F$8:$F$3006,B2835,Transactions!$Q$8:$Q$3006)))</f>
        <v/>
      </c>
      <c r="H2835" s="55" t="str">
        <f>IF(B2835="","",IF(G2835&gt;0,"OUTSTANDING",IF(G2835=0,"SETTLED",IF(SUMIF(Transactions!$F$8:$F$3006,B2835,Transactions!$Q$8:$Q$3006)&gt;SUMIF(Transactions!$F$8:$F$3006,B2835,Transactions!$R$8:$R$3006),"OWES","OVERPAID"))))</f>
        <v/>
      </c>
      <c r="I2835" s="1"/>
    </row>
    <row r="2836" spans="1:9" ht="18" customHeight="1" x14ac:dyDescent="0.25">
      <c r="A2836" s="40">
        <v>2821</v>
      </c>
      <c r="B2836" s="41" t="str">
        <f t="array" ref="B2836">IFERROR(IF(INDEX(Transactions!$F$8:$F$3006,MATCH(0,COUNTIF($B$11:B2835,Transactions!$F$8:$F$3006),0))="","",INDEX(Transactions!$F$8:$F$3006,MATCH(0,COUNTIF($B$11:B2835,Transactions!$F$8:$F$3006),0))),"")</f>
        <v/>
      </c>
      <c r="C2836" s="42" t="str">
        <f>IF(B2836="","",SUMIF(Transactions!$F$8:$F$3006,B2836,Transactions!$H$8:$H$3006))</f>
        <v/>
      </c>
      <c r="D2836" s="43" t="str">
        <f>IF(B2836="","",SUMIF(Transactions!$F$8:$F$3006,B2836,Transactions!$N$8:$N$3006))</f>
        <v/>
      </c>
      <c r="E2836" s="44" t="str">
        <f>IF(B2836="","",SUMIF(Transactions!$F$8:$F$3006,B2836,Transactions!$O$8:$O$3006))</f>
        <v/>
      </c>
      <c r="F2836" s="45" t="str">
        <f>IF(B2836="","",SUMIF(Transactions!$F$8:$F$3006,B2836,Transactions!$R$8:$R$3006))</f>
        <v/>
      </c>
      <c r="G2836" s="46" t="str">
        <f>IF(B2836="","",(C2836+F2836)-(D2836+E2836+SUMIF(Transactions!$F$8:$F$3006,B2836,Transactions!$Q$8:$Q$3006)))</f>
        <v/>
      </c>
      <c r="H2836" s="47" t="str">
        <f>IF(B2836="","",IF(G2836&gt;0,"OUTSTANDING",IF(G2836=0,"SETTLED",IF(SUMIF(Transactions!$F$8:$F$3006,B2836,Transactions!$Q$8:$Q$3006)&gt;SUMIF(Transactions!$F$8:$F$3006,B2836,Transactions!$R$8:$R$3006),"OWES","OVERPAID"))))</f>
        <v/>
      </c>
      <c r="I2836" s="1"/>
    </row>
    <row r="2837" spans="1:9" ht="18" customHeight="1" x14ac:dyDescent="0.25">
      <c r="A2837" s="48">
        <v>2822</v>
      </c>
      <c r="B2837" s="49" t="str">
        <f t="array" ref="B2837">IFERROR(IF(INDEX(Transactions!$F$8:$F$3006,MATCH(0,COUNTIF($B$11:B2836,Transactions!$F$8:$F$3006),0))="","",INDEX(Transactions!$F$8:$F$3006,MATCH(0,COUNTIF($B$11:B2836,Transactions!$F$8:$F$3006),0))),"")</f>
        <v/>
      </c>
      <c r="C2837" s="50" t="str">
        <f>IF(B2837="","",SUMIF(Transactions!$F$8:$F$3006,B2837,Transactions!$H$8:$H$3006))</f>
        <v/>
      </c>
      <c r="D2837" s="51" t="str">
        <f>IF(B2837="","",SUMIF(Transactions!$F$8:$F$3006,B2837,Transactions!$N$8:$N$3006))</f>
        <v/>
      </c>
      <c r="E2837" s="52" t="str">
        <f>IF(B2837="","",SUMIF(Transactions!$F$8:$F$3006,B2837,Transactions!$O$8:$O$3006))</f>
        <v/>
      </c>
      <c r="F2837" s="53" t="str">
        <f>IF(B2837="","",SUMIF(Transactions!$F$8:$F$3006,B2837,Transactions!$R$8:$R$3006))</f>
        <v/>
      </c>
      <c r="G2837" s="54" t="str">
        <f>IF(B2837="","",(C2837+F2837)-(D2837+E2837+SUMIF(Transactions!$F$8:$F$3006,B2837,Transactions!$Q$8:$Q$3006)))</f>
        <v/>
      </c>
      <c r="H2837" s="55" t="str">
        <f>IF(B2837="","",IF(G2837&gt;0,"OUTSTANDING",IF(G2837=0,"SETTLED",IF(SUMIF(Transactions!$F$8:$F$3006,B2837,Transactions!$Q$8:$Q$3006)&gt;SUMIF(Transactions!$F$8:$F$3006,B2837,Transactions!$R$8:$R$3006),"OWES","OVERPAID"))))</f>
        <v/>
      </c>
      <c r="I2837" s="1"/>
    </row>
    <row r="2838" spans="1:9" ht="18" customHeight="1" x14ac:dyDescent="0.25">
      <c r="A2838" s="40">
        <v>2823</v>
      </c>
      <c r="B2838" s="41" t="str">
        <f t="array" ref="B2838">IFERROR(IF(INDEX(Transactions!$F$8:$F$3006,MATCH(0,COUNTIF($B$11:B2837,Transactions!$F$8:$F$3006),0))="","",INDEX(Transactions!$F$8:$F$3006,MATCH(0,COUNTIF($B$11:B2837,Transactions!$F$8:$F$3006),0))),"")</f>
        <v/>
      </c>
      <c r="C2838" s="42" t="str">
        <f>IF(B2838="","",SUMIF(Transactions!$F$8:$F$3006,B2838,Transactions!$H$8:$H$3006))</f>
        <v/>
      </c>
      <c r="D2838" s="43" t="str">
        <f>IF(B2838="","",SUMIF(Transactions!$F$8:$F$3006,B2838,Transactions!$N$8:$N$3006))</f>
        <v/>
      </c>
      <c r="E2838" s="44" t="str">
        <f>IF(B2838="","",SUMIF(Transactions!$F$8:$F$3006,B2838,Transactions!$O$8:$O$3006))</f>
        <v/>
      </c>
      <c r="F2838" s="45" t="str">
        <f>IF(B2838="","",SUMIF(Transactions!$F$8:$F$3006,B2838,Transactions!$R$8:$R$3006))</f>
        <v/>
      </c>
      <c r="G2838" s="46" t="str">
        <f>IF(B2838="","",(C2838+F2838)-(D2838+E2838+SUMIF(Transactions!$F$8:$F$3006,B2838,Transactions!$Q$8:$Q$3006)))</f>
        <v/>
      </c>
      <c r="H2838" s="47" t="str">
        <f>IF(B2838="","",IF(G2838&gt;0,"OUTSTANDING",IF(G2838=0,"SETTLED",IF(SUMIF(Transactions!$F$8:$F$3006,B2838,Transactions!$Q$8:$Q$3006)&gt;SUMIF(Transactions!$F$8:$F$3006,B2838,Transactions!$R$8:$R$3006),"OWES","OVERPAID"))))</f>
        <v/>
      </c>
      <c r="I2838" s="1"/>
    </row>
    <row r="2839" spans="1:9" ht="18" customHeight="1" x14ac:dyDescent="0.25">
      <c r="A2839" s="48">
        <v>2824</v>
      </c>
      <c r="B2839" s="49" t="str">
        <f t="array" ref="B2839">IFERROR(IF(INDEX(Transactions!$F$8:$F$3006,MATCH(0,COUNTIF($B$11:B2838,Transactions!$F$8:$F$3006),0))="","",INDEX(Transactions!$F$8:$F$3006,MATCH(0,COUNTIF($B$11:B2838,Transactions!$F$8:$F$3006),0))),"")</f>
        <v/>
      </c>
      <c r="C2839" s="50" t="str">
        <f>IF(B2839="","",SUMIF(Transactions!$F$8:$F$3006,B2839,Transactions!$H$8:$H$3006))</f>
        <v/>
      </c>
      <c r="D2839" s="51" t="str">
        <f>IF(B2839="","",SUMIF(Transactions!$F$8:$F$3006,B2839,Transactions!$N$8:$N$3006))</f>
        <v/>
      </c>
      <c r="E2839" s="52" t="str">
        <f>IF(B2839="","",SUMIF(Transactions!$F$8:$F$3006,B2839,Transactions!$O$8:$O$3006))</f>
        <v/>
      </c>
      <c r="F2839" s="53" t="str">
        <f>IF(B2839="","",SUMIF(Transactions!$F$8:$F$3006,B2839,Transactions!$R$8:$R$3006))</f>
        <v/>
      </c>
      <c r="G2839" s="54" t="str">
        <f>IF(B2839="","",(C2839+F2839)-(D2839+E2839+SUMIF(Transactions!$F$8:$F$3006,B2839,Transactions!$Q$8:$Q$3006)))</f>
        <v/>
      </c>
      <c r="H2839" s="55" t="str">
        <f>IF(B2839="","",IF(G2839&gt;0,"OUTSTANDING",IF(G2839=0,"SETTLED",IF(SUMIF(Transactions!$F$8:$F$3006,B2839,Transactions!$Q$8:$Q$3006)&gt;SUMIF(Transactions!$F$8:$F$3006,B2839,Transactions!$R$8:$R$3006),"OWES","OVERPAID"))))</f>
        <v/>
      </c>
      <c r="I2839" s="1"/>
    </row>
    <row r="2840" spans="1:9" ht="18" customHeight="1" x14ac:dyDescent="0.25">
      <c r="A2840" s="40">
        <v>2825</v>
      </c>
      <c r="B2840" s="41" t="str">
        <f t="array" ref="B2840">IFERROR(IF(INDEX(Transactions!$F$8:$F$3006,MATCH(0,COUNTIF($B$11:B2839,Transactions!$F$8:$F$3006),0))="","",INDEX(Transactions!$F$8:$F$3006,MATCH(0,COUNTIF($B$11:B2839,Transactions!$F$8:$F$3006),0))),"")</f>
        <v/>
      </c>
      <c r="C2840" s="42" t="str">
        <f>IF(B2840="","",SUMIF(Transactions!$F$8:$F$3006,B2840,Transactions!$H$8:$H$3006))</f>
        <v/>
      </c>
      <c r="D2840" s="43" t="str">
        <f>IF(B2840="","",SUMIF(Transactions!$F$8:$F$3006,B2840,Transactions!$N$8:$N$3006))</f>
        <v/>
      </c>
      <c r="E2840" s="44" t="str">
        <f>IF(B2840="","",SUMIF(Transactions!$F$8:$F$3006,B2840,Transactions!$O$8:$O$3006))</f>
        <v/>
      </c>
      <c r="F2840" s="45" t="str">
        <f>IF(B2840="","",SUMIF(Transactions!$F$8:$F$3006,B2840,Transactions!$R$8:$R$3006))</f>
        <v/>
      </c>
      <c r="G2840" s="46" t="str">
        <f>IF(B2840="","",(C2840+F2840)-(D2840+E2840+SUMIF(Transactions!$F$8:$F$3006,B2840,Transactions!$Q$8:$Q$3006)))</f>
        <v/>
      </c>
      <c r="H2840" s="47" t="str">
        <f>IF(B2840="","",IF(G2840&gt;0,"OUTSTANDING",IF(G2840=0,"SETTLED",IF(SUMIF(Transactions!$F$8:$F$3006,B2840,Transactions!$Q$8:$Q$3006)&gt;SUMIF(Transactions!$F$8:$F$3006,B2840,Transactions!$R$8:$R$3006),"OWES","OVERPAID"))))</f>
        <v/>
      </c>
      <c r="I2840" s="1"/>
    </row>
    <row r="2841" spans="1:9" ht="18" customHeight="1" x14ac:dyDescent="0.25">
      <c r="A2841" s="48">
        <v>2826</v>
      </c>
      <c r="B2841" s="49" t="str">
        <f t="array" ref="B2841">IFERROR(IF(INDEX(Transactions!$F$8:$F$3006,MATCH(0,COUNTIF($B$11:B2840,Transactions!$F$8:$F$3006),0))="","",INDEX(Transactions!$F$8:$F$3006,MATCH(0,COUNTIF($B$11:B2840,Transactions!$F$8:$F$3006),0))),"")</f>
        <v/>
      </c>
      <c r="C2841" s="50" t="str">
        <f>IF(B2841="","",SUMIF(Transactions!$F$8:$F$3006,B2841,Transactions!$H$8:$H$3006))</f>
        <v/>
      </c>
      <c r="D2841" s="51" t="str">
        <f>IF(B2841="","",SUMIF(Transactions!$F$8:$F$3006,B2841,Transactions!$N$8:$N$3006))</f>
        <v/>
      </c>
      <c r="E2841" s="52" t="str">
        <f>IF(B2841="","",SUMIF(Transactions!$F$8:$F$3006,B2841,Transactions!$O$8:$O$3006))</f>
        <v/>
      </c>
      <c r="F2841" s="53" t="str">
        <f>IF(B2841="","",SUMIF(Transactions!$F$8:$F$3006,B2841,Transactions!$R$8:$R$3006))</f>
        <v/>
      </c>
      <c r="G2841" s="54" t="str">
        <f>IF(B2841="","",(C2841+F2841)-(D2841+E2841+SUMIF(Transactions!$F$8:$F$3006,B2841,Transactions!$Q$8:$Q$3006)))</f>
        <v/>
      </c>
      <c r="H2841" s="55" t="str">
        <f>IF(B2841="","",IF(G2841&gt;0,"OUTSTANDING",IF(G2841=0,"SETTLED",IF(SUMIF(Transactions!$F$8:$F$3006,B2841,Transactions!$Q$8:$Q$3006)&gt;SUMIF(Transactions!$F$8:$F$3006,B2841,Transactions!$R$8:$R$3006),"OWES","OVERPAID"))))</f>
        <v/>
      </c>
      <c r="I2841" s="1"/>
    </row>
    <row r="2842" spans="1:9" ht="18" customHeight="1" x14ac:dyDescent="0.25">
      <c r="A2842" s="40">
        <v>2827</v>
      </c>
      <c r="B2842" s="41" t="str">
        <f t="array" ref="B2842">IFERROR(IF(INDEX(Transactions!$F$8:$F$3006,MATCH(0,COUNTIF($B$11:B2841,Transactions!$F$8:$F$3006),0))="","",INDEX(Transactions!$F$8:$F$3006,MATCH(0,COUNTIF($B$11:B2841,Transactions!$F$8:$F$3006),0))),"")</f>
        <v/>
      </c>
      <c r="C2842" s="42" t="str">
        <f>IF(B2842="","",SUMIF(Transactions!$F$8:$F$3006,B2842,Transactions!$H$8:$H$3006))</f>
        <v/>
      </c>
      <c r="D2842" s="43" t="str">
        <f>IF(B2842="","",SUMIF(Transactions!$F$8:$F$3006,B2842,Transactions!$N$8:$N$3006))</f>
        <v/>
      </c>
      <c r="E2842" s="44" t="str">
        <f>IF(B2842="","",SUMIF(Transactions!$F$8:$F$3006,B2842,Transactions!$O$8:$O$3006))</f>
        <v/>
      </c>
      <c r="F2842" s="45" t="str">
        <f>IF(B2842="","",SUMIF(Transactions!$F$8:$F$3006,B2842,Transactions!$R$8:$R$3006))</f>
        <v/>
      </c>
      <c r="G2842" s="46" t="str">
        <f>IF(B2842="","",(C2842+F2842)-(D2842+E2842+SUMIF(Transactions!$F$8:$F$3006,B2842,Transactions!$Q$8:$Q$3006)))</f>
        <v/>
      </c>
      <c r="H2842" s="47" t="str">
        <f>IF(B2842="","",IF(G2842&gt;0,"OUTSTANDING",IF(G2842=0,"SETTLED",IF(SUMIF(Transactions!$F$8:$F$3006,B2842,Transactions!$Q$8:$Q$3006)&gt;SUMIF(Transactions!$F$8:$F$3006,B2842,Transactions!$R$8:$R$3006),"OWES","OVERPAID"))))</f>
        <v/>
      </c>
      <c r="I2842" s="1"/>
    </row>
    <row r="2843" spans="1:9" ht="18" customHeight="1" x14ac:dyDescent="0.25">
      <c r="A2843" s="48">
        <v>2828</v>
      </c>
      <c r="B2843" s="49" t="str">
        <f t="array" ref="B2843">IFERROR(IF(INDEX(Transactions!$F$8:$F$3006,MATCH(0,COUNTIF($B$11:B2842,Transactions!$F$8:$F$3006),0))="","",INDEX(Transactions!$F$8:$F$3006,MATCH(0,COUNTIF($B$11:B2842,Transactions!$F$8:$F$3006),0))),"")</f>
        <v/>
      </c>
      <c r="C2843" s="50" t="str">
        <f>IF(B2843="","",SUMIF(Transactions!$F$8:$F$3006,B2843,Transactions!$H$8:$H$3006))</f>
        <v/>
      </c>
      <c r="D2843" s="51" t="str">
        <f>IF(B2843="","",SUMIF(Transactions!$F$8:$F$3006,B2843,Transactions!$N$8:$N$3006))</f>
        <v/>
      </c>
      <c r="E2843" s="52" t="str">
        <f>IF(B2843="","",SUMIF(Transactions!$F$8:$F$3006,B2843,Transactions!$O$8:$O$3006))</f>
        <v/>
      </c>
      <c r="F2843" s="53" t="str">
        <f>IF(B2843="","",SUMIF(Transactions!$F$8:$F$3006,B2843,Transactions!$R$8:$R$3006))</f>
        <v/>
      </c>
      <c r="G2843" s="54" t="str">
        <f>IF(B2843="","",(C2843+F2843)-(D2843+E2843+SUMIF(Transactions!$F$8:$F$3006,B2843,Transactions!$Q$8:$Q$3006)))</f>
        <v/>
      </c>
      <c r="H2843" s="55" t="str">
        <f>IF(B2843="","",IF(G2843&gt;0,"OUTSTANDING",IF(G2843=0,"SETTLED",IF(SUMIF(Transactions!$F$8:$F$3006,B2843,Transactions!$Q$8:$Q$3006)&gt;SUMIF(Transactions!$F$8:$F$3006,B2843,Transactions!$R$8:$R$3006),"OWES","OVERPAID"))))</f>
        <v/>
      </c>
      <c r="I2843" s="1"/>
    </row>
    <row r="2844" spans="1:9" ht="18" customHeight="1" x14ac:dyDescent="0.25">
      <c r="A2844" s="40">
        <v>2829</v>
      </c>
      <c r="B2844" s="41" t="str">
        <f t="array" ref="B2844">IFERROR(IF(INDEX(Transactions!$F$8:$F$3006,MATCH(0,COUNTIF($B$11:B2843,Transactions!$F$8:$F$3006),0))="","",INDEX(Transactions!$F$8:$F$3006,MATCH(0,COUNTIF($B$11:B2843,Transactions!$F$8:$F$3006),0))),"")</f>
        <v/>
      </c>
      <c r="C2844" s="42" t="str">
        <f>IF(B2844="","",SUMIF(Transactions!$F$8:$F$3006,B2844,Transactions!$H$8:$H$3006))</f>
        <v/>
      </c>
      <c r="D2844" s="43" t="str">
        <f>IF(B2844="","",SUMIF(Transactions!$F$8:$F$3006,B2844,Transactions!$N$8:$N$3006))</f>
        <v/>
      </c>
      <c r="E2844" s="44" t="str">
        <f>IF(B2844="","",SUMIF(Transactions!$F$8:$F$3006,B2844,Transactions!$O$8:$O$3006))</f>
        <v/>
      </c>
      <c r="F2844" s="45" t="str">
        <f>IF(B2844="","",SUMIF(Transactions!$F$8:$F$3006,B2844,Transactions!$R$8:$R$3006))</f>
        <v/>
      </c>
      <c r="G2844" s="46" t="str">
        <f>IF(B2844="","",(C2844+F2844)-(D2844+E2844+SUMIF(Transactions!$F$8:$F$3006,B2844,Transactions!$Q$8:$Q$3006)))</f>
        <v/>
      </c>
      <c r="H2844" s="47" t="str">
        <f>IF(B2844="","",IF(G2844&gt;0,"OUTSTANDING",IF(G2844=0,"SETTLED",IF(SUMIF(Transactions!$F$8:$F$3006,B2844,Transactions!$Q$8:$Q$3006)&gt;SUMIF(Transactions!$F$8:$F$3006,B2844,Transactions!$R$8:$R$3006),"OWES","OVERPAID"))))</f>
        <v/>
      </c>
      <c r="I2844" s="1"/>
    </row>
    <row r="2845" spans="1:9" ht="18" customHeight="1" x14ac:dyDescent="0.25">
      <c r="A2845" s="48">
        <v>2830</v>
      </c>
      <c r="B2845" s="49" t="str">
        <f t="array" ref="B2845">IFERROR(IF(INDEX(Transactions!$F$8:$F$3006,MATCH(0,COUNTIF($B$11:B2844,Transactions!$F$8:$F$3006),0))="","",INDEX(Transactions!$F$8:$F$3006,MATCH(0,COUNTIF($B$11:B2844,Transactions!$F$8:$F$3006),0))),"")</f>
        <v/>
      </c>
      <c r="C2845" s="50" t="str">
        <f>IF(B2845="","",SUMIF(Transactions!$F$8:$F$3006,B2845,Transactions!$H$8:$H$3006))</f>
        <v/>
      </c>
      <c r="D2845" s="51" t="str">
        <f>IF(B2845="","",SUMIF(Transactions!$F$8:$F$3006,B2845,Transactions!$N$8:$N$3006))</f>
        <v/>
      </c>
      <c r="E2845" s="52" t="str">
        <f>IF(B2845="","",SUMIF(Transactions!$F$8:$F$3006,B2845,Transactions!$O$8:$O$3006))</f>
        <v/>
      </c>
      <c r="F2845" s="53" t="str">
        <f>IF(B2845="","",SUMIF(Transactions!$F$8:$F$3006,B2845,Transactions!$R$8:$R$3006))</f>
        <v/>
      </c>
      <c r="G2845" s="54" t="str">
        <f>IF(B2845="","",(C2845+F2845)-(D2845+E2845+SUMIF(Transactions!$F$8:$F$3006,B2845,Transactions!$Q$8:$Q$3006)))</f>
        <v/>
      </c>
      <c r="H2845" s="55" t="str">
        <f>IF(B2845="","",IF(G2845&gt;0,"OUTSTANDING",IF(G2845=0,"SETTLED",IF(SUMIF(Transactions!$F$8:$F$3006,B2845,Transactions!$Q$8:$Q$3006)&gt;SUMIF(Transactions!$F$8:$F$3006,B2845,Transactions!$R$8:$R$3006),"OWES","OVERPAID"))))</f>
        <v/>
      </c>
      <c r="I2845" s="1"/>
    </row>
    <row r="2846" spans="1:9" ht="18" customHeight="1" x14ac:dyDescent="0.25">
      <c r="A2846" s="40">
        <v>2831</v>
      </c>
      <c r="B2846" s="41" t="str">
        <f t="array" ref="B2846">IFERROR(IF(INDEX(Transactions!$F$8:$F$3006,MATCH(0,COUNTIF($B$11:B2845,Transactions!$F$8:$F$3006),0))="","",INDEX(Transactions!$F$8:$F$3006,MATCH(0,COUNTIF($B$11:B2845,Transactions!$F$8:$F$3006),0))),"")</f>
        <v/>
      </c>
      <c r="C2846" s="42" t="str">
        <f>IF(B2846="","",SUMIF(Transactions!$F$8:$F$3006,B2846,Transactions!$H$8:$H$3006))</f>
        <v/>
      </c>
      <c r="D2846" s="43" t="str">
        <f>IF(B2846="","",SUMIF(Transactions!$F$8:$F$3006,B2846,Transactions!$N$8:$N$3006))</f>
        <v/>
      </c>
      <c r="E2846" s="44" t="str">
        <f>IF(B2846="","",SUMIF(Transactions!$F$8:$F$3006,B2846,Transactions!$O$8:$O$3006))</f>
        <v/>
      </c>
      <c r="F2846" s="45" t="str">
        <f>IF(B2846="","",SUMIF(Transactions!$F$8:$F$3006,B2846,Transactions!$R$8:$R$3006))</f>
        <v/>
      </c>
      <c r="G2846" s="46" t="str">
        <f>IF(B2846="","",(C2846+F2846)-(D2846+E2846+SUMIF(Transactions!$F$8:$F$3006,B2846,Transactions!$Q$8:$Q$3006)))</f>
        <v/>
      </c>
      <c r="H2846" s="47" t="str">
        <f>IF(B2846="","",IF(G2846&gt;0,"OUTSTANDING",IF(G2846=0,"SETTLED",IF(SUMIF(Transactions!$F$8:$F$3006,B2846,Transactions!$Q$8:$Q$3006)&gt;SUMIF(Transactions!$F$8:$F$3006,B2846,Transactions!$R$8:$R$3006),"OWES","OVERPAID"))))</f>
        <v/>
      </c>
      <c r="I2846" s="1"/>
    </row>
    <row r="2847" spans="1:9" ht="18" customHeight="1" x14ac:dyDescent="0.25">
      <c r="A2847" s="48">
        <v>2832</v>
      </c>
      <c r="B2847" s="49" t="str">
        <f t="array" ref="B2847">IFERROR(IF(INDEX(Transactions!$F$8:$F$3006,MATCH(0,COUNTIF($B$11:B2846,Transactions!$F$8:$F$3006),0))="","",INDEX(Transactions!$F$8:$F$3006,MATCH(0,COUNTIF($B$11:B2846,Transactions!$F$8:$F$3006),0))),"")</f>
        <v/>
      </c>
      <c r="C2847" s="50" t="str">
        <f>IF(B2847="","",SUMIF(Transactions!$F$8:$F$3006,B2847,Transactions!$H$8:$H$3006))</f>
        <v/>
      </c>
      <c r="D2847" s="51" t="str">
        <f>IF(B2847="","",SUMIF(Transactions!$F$8:$F$3006,B2847,Transactions!$N$8:$N$3006))</f>
        <v/>
      </c>
      <c r="E2847" s="52" t="str">
        <f>IF(B2847="","",SUMIF(Transactions!$F$8:$F$3006,B2847,Transactions!$O$8:$O$3006))</f>
        <v/>
      </c>
      <c r="F2847" s="53" t="str">
        <f>IF(B2847="","",SUMIF(Transactions!$F$8:$F$3006,B2847,Transactions!$R$8:$R$3006))</f>
        <v/>
      </c>
      <c r="G2847" s="54" t="str">
        <f>IF(B2847="","",(C2847+F2847)-(D2847+E2847+SUMIF(Transactions!$F$8:$F$3006,B2847,Transactions!$Q$8:$Q$3006)))</f>
        <v/>
      </c>
      <c r="H2847" s="55" t="str">
        <f>IF(B2847="","",IF(G2847&gt;0,"OUTSTANDING",IF(G2847=0,"SETTLED",IF(SUMIF(Transactions!$F$8:$F$3006,B2847,Transactions!$Q$8:$Q$3006)&gt;SUMIF(Transactions!$F$8:$F$3006,B2847,Transactions!$R$8:$R$3006),"OWES","OVERPAID"))))</f>
        <v/>
      </c>
      <c r="I2847" s="1"/>
    </row>
    <row r="2848" spans="1:9" ht="18" customHeight="1" x14ac:dyDescent="0.25">
      <c r="A2848" s="40">
        <v>2833</v>
      </c>
      <c r="B2848" s="41" t="str">
        <f t="array" ref="B2848">IFERROR(IF(INDEX(Transactions!$F$8:$F$3006,MATCH(0,COUNTIF($B$11:B2847,Transactions!$F$8:$F$3006),0))="","",INDEX(Transactions!$F$8:$F$3006,MATCH(0,COUNTIF($B$11:B2847,Transactions!$F$8:$F$3006),0))),"")</f>
        <v/>
      </c>
      <c r="C2848" s="42" t="str">
        <f>IF(B2848="","",SUMIF(Transactions!$F$8:$F$3006,B2848,Transactions!$H$8:$H$3006))</f>
        <v/>
      </c>
      <c r="D2848" s="43" t="str">
        <f>IF(B2848="","",SUMIF(Transactions!$F$8:$F$3006,B2848,Transactions!$N$8:$N$3006))</f>
        <v/>
      </c>
      <c r="E2848" s="44" t="str">
        <f>IF(B2848="","",SUMIF(Transactions!$F$8:$F$3006,B2848,Transactions!$O$8:$O$3006))</f>
        <v/>
      </c>
      <c r="F2848" s="45" t="str">
        <f>IF(B2848="","",SUMIF(Transactions!$F$8:$F$3006,B2848,Transactions!$R$8:$R$3006))</f>
        <v/>
      </c>
      <c r="G2848" s="46" t="str">
        <f>IF(B2848="","",(C2848+F2848)-(D2848+E2848+SUMIF(Transactions!$F$8:$F$3006,B2848,Transactions!$Q$8:$Q$3006)))</f>
        <v/>
      </c>
      <c r="H2848" s="47" t="str">
        <f>IF(B2848="","",IF(G2848&gt;0,"OUTSTANDING",IF(G2848=0,"SETTLED",IF(SUMIF(Transactions!$F$8:$F$3006,B2848,Transactions!$Q$8:$Q$3006)&gt;SUMIF(Transactions!$F$8:$F$3006,B2848,Transactions!$R$8:$R$3006),"OWES","OVERPAID"))))</f>
        <v/>
      </c>
      <c r="I2848" s="1"/>
    </row>
    <row r="2849" spans="1:9" ht="18" customHeight="1" x14ac:dyDescent="0.25">
      <c r="A2849" s="48">
        <v>2834</v>
      </c>
      <c r="B2849" s="49" t="str">
        <f t="array" ref="B2849">IFERROR(IF(INDEX(Transactions!$F$8:$F$3006,MATCH(0,COUNTIF($B$11:B2848,Transactions!$F$8:$F$3006),0))="","",INDEX(Transactions!$F$8:$F$3006,MATCH(0,COUNTIF($B$11:B2848,Transactions!$F$8:$F$3006),0))),"")</f>
        <v/>
      </c>
      <c r="C2849" s="50" t="str">
        <f>IF(B2849="","",SUMIF(Transactions!$F$8:$F$3006,B2849,Transactions!$H$8:$H$3006))</f>
        <v/>
      </c>
      <c r="D2849" s="51" t="str">
        <f>IF(B2849="","",SUMIF(Transactions!$F$8:$F$3006,B2849,Transactions!$N$8:$N$3006))</f>
        <v/>
      </c>
      <c r="E2849" s="52" t="str">
        <f>IF(B2849="","",SUMIF(Transactions!$F$8:$F$3006,B2849,Transactions!$O$8:$O$3006))</f>
        <v/>
      </c>
      <c r="F2849" s="53" t="str">
        <f>IF(B2849="","",SUMIF(Transactions!$F$8:$F$3006,B2849,Transactions!$R$8:$R$3006))</f>
        <v/>
      </c>
      <c r="G2849" s="54" t="str">
        <f>IF(B2849="","",(C2849+F2849)-(D2849+E2849+SUMIF(Transactions!$F$8:$F$3006,B2849,Transactions!$Q$8:$Q$3006)))</f>
        <v/>
      </c>
      <c r="H2849" s="55" t="str">
        <f>IF(B2849="","",IF(G2849&gt;0,"OUTSTANDING",IF(G2849=0,"SETTLED",IF(SUMIF(Transactions!$F$8:$F$3006,B2849,Transactions!$Q$8:$Q$3006)&gt;SUMIF(Transactions!$F$8:$F$3006,B2849,Transactions!$R$8:$R$3006),"OWES","OVERPAID"))))</f>
        <v/>
      </c>
      <c r="I2849" s="1"/>
    </row>
    <row r="2850" spans="1:9" ht="18" customHeight="1" x14ac:dyDescent="0.25">
      <c r="A2850" s="40">
        <v>2835</v>
      </c>
      <c r="B2850" s="41" t="str">
        <f t="array" ref="B2850">IFERROR(IF(INDEX(Transactions!$F$8:$F$3006,MATCH(0,COUNTIF($B$11:B2849,Transactions!$F$8:$F$3006),0))="","",INDEX(Transactions!$F$8:$F$3006,MATCH(0,COUNTIF($B$11:B2849,Transactions!$F$8:$F$3006),0))),"")</f>
        <v/>
      </c>
      <c r="C2850" s="42" t="str">
        <f>IF(B2850="","",SUMIF(Transactions!$F$8:$F$3006,B2850,Transactions!$H$8:$H$3006))</f>
        <v/>
      </c>
      <c r="D2850" s="43" t="str">
        <f>IF(B2850="","",SUMIF(Transactions!$F$8:$F$3006,B2850,Transactions!$N$8:$N$3006))</f>
        <v/>
      </c>
      <c r="E2850" s="44" t="str">
        <f>IF(B2850="","",SUMIF(Transactions!$F$8:$F$3006,B2850,Transactions!$O$8:$O$3006))</f>
        <v/>
      </c>
      <c r="F2850" s="45" t="str">
        <f>IF(B2850="","",SUMIF(Transactions!$F$8:$F$3006,B2850,Transactions!$R$8:$R$3006))</f>
        <v/>
      </c>
      <c r="G2850" s="46" t="str">
        <f>IF(B2850="","",(C2850+F2850)-(D2850+E2850+SUMIF(Transactions!$F$8:$F$3006,B2850,Transactions!$Q$8:$Q$3006)))</f>
        <v/>
      </c>
      <c r="H2850" s="47" t="str">
        <f>IF(B2850="","",IF(G2850&gt;0,"OUTSTANDING",IF(G2850=0,"SETTLED",IF(SUMIF(Transactions!$F$8:$F$3006,B2850,Transactions!$Q$8:$Q$3006)&gt;SUMIF(Transactions!$F$8:$F$3006,B2850,Transactions!$R$8:$R$3006),"OWES","OVERPAID"))))</f>
        <v/>
      </c>
      <c r="I2850" s="1"/>
    </row>
    <row r="2851" spans="1:9" ht="18" customHeight="1" x14ac:dyDescent="0.25">
      <c r="A2851" s="48">
        <v>2836</v>
      </c>
      <c r="B2851" s="49" t="str">
        <f t="array" ref="B2851">IFERROR(IF(INDEX(Transactions!$F$8:$F$3006,MATCH(0,COUNTIF($B$11:B2850,Transactions!$F$8:$F$3006),0))="","",INDEX(Transactions!$F$8:$F$3006,MATCH(0,COUNTIF($B$11:B2850,Transactions!$F$8:$F$3006),0))),"")</f>
        <v/>
      </c>
      <c r="C2851" s="50" t="str">
        <f>IF(B2851="","",SUMIF(Transactions!$F$8:$F$3006,B2851,Transactions!$H$8:$H$3006))</f>
        <v/>
      </c>
      <c r="D2851" s="51" t="str">
        <f>IF(B2851="","",SUMIF(Transactions!$F$8:$F$3006,B2851,Transactions!$N$8:$N$3006))</f>
        <v/>
      </c>
      <c r="E2851" s="52" t="str">
        <f>IF(B2851="","",SUMIF(Transactions!$F$8:$F$3006,B2851,Transactions!$O$8:$O$3006))</f>
        <v/>
      </c>
      <c r="F2851" s="53" t="str">
        <f>IF(B2851="","",SUMIF(Transactions!$F$8:$F$3006,B2851,Transactions!$R$8:$R$3006))</f>
        <v/>
      </c>
      <c r="G2851" s="54" t="str">
        <f>IF(B2851="","",(C2851+F2851)-(D2851+E2851+SUMIF(Transactions!$F$8:$F$3006,B2851,Transactions!$Q$8:$Q$3006)))</f>
        <v/>
      </c>
      <c r="H2851" s="55" t="str">
        <f>IF(B2851="","",IF(G2851&gt;0,"OUTSTANDING",IF(G2851=0,"SETTLED",IF(SUMIF(Transactions!$F$8:$F$3006,B2851,Transactions!$Q$8:$Q$3006)&gt;SUMIF(Transactions!$F$8:$F$3006,B2851,Transactions!$R$8:$R$3006),"OWES","OVERPAID"))))</f>
        <v/>
      </c>
      <c r="I2851" s="1"/>
    </row>
    <row r="2852" spans="1:9" ht="18" customHeight="1" x14ac:dyDescent="0.25">
      <c r="A2852" s="40">
        <v>2837</v>
      </c>
      <c r="B2852" s="41" t="str">
        <f t="array" ref="B2852">IFERROR(IF(INDEX(Transactions!$F$8:$F$3006,MATCH(0,COUNTIF($B$11:B2851,Transactions!$F$8:$F$3006),0))="","",INDEX(Transactions!$F$8:$F$3006,MATCH(0,COUNTIF($B$11:B2851,Transactions!$F$8:$F$3006),0))),"")</f>
        <v/>
      </c>
      <c r="C2852" s="42" t="str">
        <f>IF(B2852="","",SUMIF(Transactions!$F$8:$F$3006,B2852,Transactions!$H$8:$H$3006))</f>
        <v/>
      </c>
      <c r="D2852" s="43" t="str">
        <f>IF(B2852="","",SUMIF(Transactions!$F$8:$F$3006,B2852,Transactions!$N$8:$N$3006))</f>
        <v/>
      </c>
      <c r="E2852" s="44" t="str">
        <f>IF(B2852="","",SUMIF(Transactions!$F$8:$F$3006,B2852,Transactions!$O$8:$O$3006))</f>
        <v/>
      </c>
      <c r="F2852" s="45" t="str">
        <f>IF(B2852="","",SUMIF(Transactions!$F$8:$F$3006,B2852,Transactions!$R$8:$R$3006))</f>
        <v/>
      </c>
      <c r="G2852" s="46" t="str">
        <f>IF(B2852="","",(C2852+F2852)-(D2852+E2852+SUMIF(Transactions!$F$8:$F$3006,B2852,Transactions!$Q$8:$Q$3006)))</f>
        <v/>
      </c>
      <c r="H2852" s="47" t="str">
        <f>IF(B2852="","",IF(G2852&gt;0,"OUTSTANDING",IF(G2852=0,"SETTLED",IF(SUMIF(Transactions!$F$8:$F$3006,B2852,Transactions!$Q$8:$Q$3006)&gt;SUMIF(Transactions!$F$8:$F$3006,B2852,Transactions!$R$8:$R$3006),"OWES","OVERPAID"))))</f>
        <v/>
      </c>
      <c r="I2852" s="1"/>
    </row>
    <row r="2853" spans="1:9" ht="18" customHeight="1" x14ac:dyDescent="0.25">
      <c r="A2853" s="48">
        <v>2838</v>
      </c>
      <c r="B2853" s="49" t="str">
        <f t="array" ref="B2853">IFERROR(IF(INDEX(Transactions!$F$8:$F$3006,MATCH(0,COUNTIF($B$11:B2852,Transactions!$F$8:$F$3006),0))="","",INDEX(Transactions!$F$8:$F$3006,MATCH(0,COUNTIF($B$11:B2852,Transactions!$F$8:$F$3006),0))),"")</f>
        <v/>
      </c>
      <c r="C2853" s="50" t="str">
        <f>IF(B2853="","",SUMIF(Transactions!$F$8:$F$3006,B2853,Transactions!$H$8:$H$3006))</f>
        <v/>
      </c>
      <c r="D2853" s="51" t="str">
        <f>IF(B2853="","",SUMIF(Transactions!$F$8:$F$3006,B2853,Transactions!$N$8:$N$3006))</f>
        <v/>
      </c>
      <c r="E2853" s="52" t="str">
        <f>IF(B2853="","",SUMIF(Transactions!$F$8:$F$3006,B2853,Transactions!$O$8:$O$3006))</f>
        <v/>
      </c>
      <c r="F2853" s="53" t="str">
        <f>IF(B2853="","",SUMIF(Transactions!$F$8:$F$3006,B2853,Transactions!$R$8:$R$3006))</f>
        <v/>
      </c>
      <c r="G2853" s="54" t="str">
        <f>IF(B2853="","",(C2853+F2853)-(D2853+E2853+SUMIF(Transactions!$F$8:$F$3006,B2853,Transactions!$Q$8:$Q$3006)))</f>
        <v/>
      </c>
      <c r="H2853" s="55" t="str">
        <f>IF(B2853="","",IF(G2853&gt;0,"OUTSTANDING",IF(G2853=0,"SETTLED",IF(SUMIF(Transactions!$F$8:$F$3006,B2853,Transactions!$Q$8:$Q$3006)&gt;SUMIF(Transactions!$F$8:$F$3006,B2853,Transactions!$R$8:$R$3006),"OWES","OVERPAID"))))</f>
        <v/>
      </c>
      <c r="I2853" s="1"/>
    </row>
    <row r="2854" spans="1:9" ht="18" customHeight="1" x14ac:dyDescent="0.25">
      <c r="A2854" s="40">
        <v>2839</v>
      </c>
      <c r="B2854" s="41" t="str">
        <f t="array" ref="B2854">IFERROR(IF(INDEX(Transactions!$F$8:$F$3006,MATCH(0,COUNTIF($B$11:B2853,Transactions!$F$8:$F$3006),0))="","",INDEX(Transactions!$F$8:$F$3006,MATCH(0,COUNTIF($B$11:B2853,Transactions!$F$8:$F$3006),0))),"")</f>
        <v/>
      </c>
      <c r="C2854" s="42" t="str">
        <f>IF(B2854="","",SUMIF(Transactions!$F$8:$F$3006,B2854,Transactions!$H$8:$H$3006))</f>
        <v/>
      </c>
      <c r="D2854" s="43" t="str">
        <f>IF(B2854="","",SUMIF(Transactions!$F$8:$F$3006,B2854,Transactions!$N$8:$N$3006))</f>
        <v/>
      </c>
      <c r="E2854" s="44" t="str">
        <f>IF(B2854="","",SUMIF(Transactions!$F$8:$F$3006,B2854,Transactions!$O$8:$O$3006))</f>
        <v/>
      </c>
      <c r="F2854" s="45" t="str">
        <f>IF(B2854="","",SUMIF(Transactions!$F$8:$F$3006,B2854,Transactions!$R$8:$R$3006))</f>
        <v/>
      </c>
      <c r="G2854" s="46" t="str">
        <f>IF(B2854="","",(C2854+F2854)-(D2854+E2854+SUMIF(Transactions!$F$8:$F$3006,B2854,Transactions!$Q$8:$Q$3006)))</f>
        <v/>
      </c>
      <c r="H2854" s="47" t="str">
        <f>IF(B2854="","",IF(G2854&gt;0,"OUTSTANDING",IF(G2854=0,"SETTLED",IF(SUMIF(Transactions!$F$8:$F$3006,B2854,Transactions!$Q$8:$Q$3006)&gt;SUMIF(Transactions!$F$8:$F$3006,B2854,Transactions!$R$8:$R$3006),"OWES","OVERPAID"))))</f>
        <v/>
      </c>
      <c r="I2854" s="1"/>
    </row>
    <row r="2855" spans="1:9" ht="18" customHeight="1" x14ac:dyDescent="0.25">
      <c r="A2855" s="48">
        <v>2840</v>
      </c>
      <c r="B2855" s="49" t="str">
        <f t="array" ref="B2855">IFERROR(IF(INDEX(Transactions!$F$8:$F$3006,MATCH(0,COUNTIF($B$11:B2854,Transactions!$F$8:$F$3006),0))="","",INDEX(Transactions!$F$8:$F$3006,MATCH(0,COUNTIF($B$11:B2854,Transactions!$F$8:$F$3006),0))),"")</f>
        <v/>
      </c>
      <c r="C2855" s="50" t="str">
        <f>IF(B2855="","",SUMIF(Transactions!$F$8:$F$3006,B2855,Transactions!$H$8:$H$3006))</f>
        <v/>
      </c>
      <c r="D2855" s="51" t="str">
        <f>IF(B2855="","",SUMIF(Transactions!$F$8:$F$3006,B2855,Transactions!$N$8:$N$3006))</f>
        <v/>
      </c>
      <c r="E2855" s="52" t="str">
        <f>IF(B2855="","",SUMIF(Transactions!$F$8:$F$3006,B2855,Transactions!$O$8:$O$3006))</f>
        <v/>
      </c>
      <c r="F2855" s="53" t="str">
        <f>IF(B2855="","",SUMIF(Transactions!$F$8:$F$3006,B2855,Transactions!$R$8:$R$3006))</f>
        <v/>
      </c>
      <c r="G2855" s="54" t="str">
        <f>IF(B2855="","",(C2855+F2855)-(D2855+E2855+SUMIF(Transactions!$F$8:$F$3006,B2855,Transactions!$Q$8:$Q$3006)))</f>
        <v/>
      </c>
      <c r="H2855" s="55" t="str">
        <f>IF(B2855="","",IF(G2855&gt;0,"OUTSTANDING",IF(G2855=0,"SETTLED",IF(SUMIF(Transactions!$F$8:$F$3006,B2855,Transactions!$Q$8:$Q$3006)&gt;SUMIF(Transactions!$F$8:$F$3006,B2855,Transactions!$R$8:$R$3006),"OWES","OVERPAID"))))</f>
        <v/>
      </c>
      <c r="I2855" s="1"/>
    </row>
    <row r="2856" spans="1:9" ht="18" customHeight="1" x14ac:dyDescent="0.25">
      <c r="A2856" s="40">
        <v>2841</v>
      </c>
      <c r="B2856" s="41" t="str">
        <f t="array" ref="B2856">IFERROR(IF(INDEX(Transactions!$F$8:$F$3006,MATCH(0,COUNTIF($B$11:B2855,Transactions!$F$8:$F$3006),0))="","",INDEX(Transactions!$F$8:$F$3006,MATCH(0,COUNTIF($B$11:B2855,Transactions!$F$8:$F$3006),0))),"")</f>
        <v/>
      </c>
      <c r="C2856" s="42" t="str">
        <f>IF(B2856="","",SUMIF(Transactions!$F$8:$F$3006,B2856,Transactions!$H$8:$H$3006))</f>
        <v/>
      </c>
      <c r="D2856" s="43" t="str">
        <f>IF(B2856="","",SUMIF(Transactions!$F$8:$F$3006,B2856,Transactions!$N$8:$N$3006))</f>
        <v/>
      </c>
      <c r="E2856" s="44" t="str">
        <f>IF(B2856="","",SUMIF(Transactions!$F$8:$F$3006,B2856,Transactions!$O$8:$O$3006))</f>
        <v/>
      </c>
      <c r="F2856" s="45" t="str">
        <f>IF(B2856="","",SUMIF(Transactions!$F$8:$F$3006,B2856,Transactions!$R$8:$R$3006))</f>
        <v/>
      </c>
      <c r="G2856" s="46" t="str">
        <f>IF(B2856="","",(C2856+F2856)-(D2856+E2856+SUMIF(Transactions!$F$8:$F$3006,B2856,Transactions!$Q$8:$Q$3006)))</f>
        <v/>
      </c>
      <c r="H2856" s="47" t="str">
        <f>IF(B2856="","",IF(G2856&gt;0,"OUTSTANDING",IF(G2856=0,"SETTLED",IF(SUMIF(Transactions!$F$8:$F$3006,B2856,Transactions!$Q$8:$Q$3006)&gt;SUMIF(Transactions!$F$8:$F$3006,B2856,Transactions!$R$8:$R$3006),"OWES","OVERPAID"))))</f>
        <v/>
      </c>
      <c r="I2856" s="1"/>
    </row>
    <row r="2857" spans="1:9" ht="18" customHeight="1" x14ac:dyDescent="0.25">
      <c r="A2857" s="48">
        <v>2842</v>
      </c>
      <c r="B2857" s="49" t="str">
        <f t="array" ref="B2857">IFERROR(IF(INDEX(Transactions!$F$8:$F$3006,MATCH(0,COUNTIF($B$11:B2856,Transactions!$F$8:$F$3006),0))="","",INDEX(Transactions!$F$8:$F$3006,MATCH(0,COUNTIF($B$11:B2856,Transactions!$F$8:$F$3006),0))),"")</f>
        <v/>
      </c>
      <c r="C2857" s="50" t="str">
        <f>IF(B2857="","",SUMIF(Transactions!$F$8:$F$3006,B2857,Transactions!$H$8:$H$3006))</f>
        <v/>
      </c>
      <c r="D2857" s="51" t="str">
        <f>IF(B2857="","",SUMIF(Transactions!$F$8:$F$3006,B2857,Transactions!$N$8:$N$3006))</f>
        <v/>
      </c>
      <c r="E2857" s="52" t="str">
        <f>IF(B2857="","",SUMIF(Transactions!$F$8:$F$3006,B2857,Transactions!$O$8:$O$3006))</f>
        <v/>
      </c>
      <c r="F2857" s="53" t="str">
        <f>IF(B2857="","",SUMIF(Transactions!$F$8:$F$3006,B2857,Transactions!$R$8:$R$3006))</f>
        <v/>
      </c>
      <c r="G2857" s="54" t="str">
        <f>IF(B2857="","",(C2857+F2857)-(D2857+E2857+SUMIF(Transactions!$F$8:$F$3006,B2857,Transactions!$Q$8:$Q$3006)))</f>
        <v/>
      </c>
      <c r="H2857" s="55" t="str">
        <f>IF(B2857="","",IF(G2857&gt;0,"OUTSTANDING",IF(G2857=0,"SETTLED",IF(SUMIF(Transactions!$F$8:$F$3006,B2857,Transactions!$Q$8:$Q$3006)&gt;SUMIF(Transactions!$F$8:$F$3006,B2857,Transactions!$R$8:$R$3006),"OWES","OVERPAID"))))</f>
        <v/>
      </c>
      <c r="I2857" s="1"/>
    </row>
    <row r="2858" spans="1:9" ht="18" customHeight="1" x14ac:dyDescent="0.25">
      <c r="A2858" s="40">
        <v>2843</v>
      </c>
      <c r="B2858" s="41" t="str">
        <f t="array" ref="B2858">IFERROR(IF(INDEX(Transactions!$F$8:$F$3006,MATCH(0,COUNTIF($B$11:B2857,Transactions!$F$8:$F$3006),0))="","",INDEX(Transactions!$F$8:$F$3006,MATCH(0,COUNTIF($B$11:B2857,Transactions!$F$8:$F$3006),0))),"")</f>
        <v/>
      </c>
      <c r="C2858" s="42" t="str">
        <f>IF(B2858="","",SUMIF(Transactions!$F$8:$F$3006,B2858,Transactions!$H$8:$H$3006))</f>
        <v/>
      </c>
      <c r="D2858" s="43" t="str">
        <f>IF(B2858="","",SUMIF(Transactions!$F$8:$F$3006,B2858,Transactions!$N$8:$N$3006))</f>
        <v/>
      </c>
      <c r="E2858" s="44" t="str">
        <f>IF(B2858="","",SUMIF(Transactions!$F$8:$F$3006,B2858,Transactions!$O$8:$O$3006))</f>
        <v/>
      </c>
      <c r="F2858" s="45" t="str">
        <f>IF(B2858="","",SUMIF(Transactions!$F$8:$F$3006,B2858,Transactions!$R$8:$R$3006))</f>
        <v/>
      </c>
      <c r="G2858" s="46" t="str">
        <f>IF(B2858="","",(C2858+F2858)-(D2858+E2858+SUMIF(Transactions!$F$8:$F$3006,B2858,Transactions!$Q$8:$Q$3006)))</f>
        <v/>
      </c>
      <c r="H2858" s="47" t="str">
        <f>IF(B2858="","",IF(G2858&gt;0,"OUTSTANDING",IF(G2858=0,"SETTLED",IF(SUMIF(Transactions!$F$8:$F$3006,B2858,Transactions!$Q$8:$Q$3006)&gt;SUMIF(Transactions!$F$8:$F$3006,B2858,Transactions!$R$8:$R$3006),"OWES","OVERPAID"))))</f>
        <v/>
      </c>
      <c r="I2858" s="1"/>
    </row>
    <row r="2859" spans="1:9" ht="18" customHeight="1" x14ac:dyDescent="0.25">
      <c r="A2859" s="48">
        <v>2844</v>
      </c>
      <c r="B2859" s="49" t="str">
        <f t="array" ref="B2859">IFERROR(IF(INDEX(Transactions!$F$8:$F$3006,MATCH(0,COUNTIF($B$11:B2858,Transactions!$F$8:$F$3006),0))="","",INDEX(Transactions!$F$8:$F$3006,MATCH(0,COUNTIF($B$11:B2858,Transactions!$F$8:$F$3006),0))),"")</f>
        <v/>
      </c>
      <c r="C2859" s="50" t="str">
        <f>IF(B2859="","",SUMIF(Transactions!$F$8:$F$3006,B2859,Transactions!$H$8:$H$3006))</f>
        <v/>
      </c>
      <c r="D2859" s="51" t="str">
        <f>IF(B2859="","",SUMIF(Transactions!$F$8:$F$3006,B2859,Transactions!$N$8:$N$3006))</f>
        <v/>
      </c>
      <c r="E2859" s="52" t="str">
        <f>IF(B2859="","",SUMIF(Transactions!$F$8:$F$3006,B2859,Transactions!$O$8:$O$3006))</f>
        <v/>
      </c>
      <c r="F2859" s="53" t="str">
        <f>IF(B2859="","",SUMIF(Transactions!$F$8:$F$3006,B2859,Transactions!$R$8:$R$3006))</f>
        <v/>
      </c>
      <c r="G2859" s="54" t="str">
        <f>IF(B2859="","",(C2859+F2859)-(D2859+E2859+SUMIF(Transactions!$F$8:$F$3006,B2859,Transactions!$Q$8:$Q$3006)))</f>
        <v/>
      </c>
      <c r="H2859" s="55" t="str">
        <f>IF(B2859="","",IF(G2859&gt;0,"OUTSTANDING",IF(G2859=0,"SETTLED",IF(SUMIF(Transactions!$F$8:$F$3006,B2859,Transactions!$Q$8:$Q$3006)&gt;SUMIF(Transactions!$F$8:$F$3006,B2859,Transactions!$R$8:$R$3006),"OWES","OVERPAID"))))</f>
        <v/>
      </c>
      <c r="I2859" s="1"/>
    </row>
    <row r="2860" spans="1:9" ht="18" customHeight="1" x14ac:dyDescent="0.25">
      <c r="A2860" s="40">
        <v>2845</v>
      </c>
      <c r="B2860" s="41" t="str">
        <f t="array" ref="B2860">IFERROR(IF(INDEX(Transactions!$F$8:$F$3006,MATCH(0,COUNTIF($B$11:B2859,Transactions!$F$8:$F$3006),0))="","",INDEX(Transactions!$F$8:$F$3006,MATCH(0,COUNTIF($B$11:B2859,Transactions!$F$8:$F$3006),0))),"")</f>
        <v/>
      </c>
      <c r="C2860" s="42" t="str">
        <f>IF(B2860="","",SUMIF(Transactions!$F$8:$F$3006,B2860,Transactions!$H$8:$H$3006))</f>
        <v/>
      </c>
      <c r="D2860" s="43" t="str">
        <f>IF(B2860="","",SUMIF(Transactions!$F$8:$F$3006,B2860,Transactions!$N$8:$N$3006))</f>
        <v/>
      </c>
      <c r="E2860" s="44" t="str">
        <f>IF(B2860="","",SUMIF(Transactions!$F$8:$F$3006,B2860,Transactions!$O$8:$O$3006))</f>
        <v/>
      </c>
      <c r="F2860" s="45" t="str">
        <f>IF(B2860="","",SUMIF(Transactions!$F$8:$F$3006,B2860,Transactions!$R$8:$R$3006))</f>
        <v/>
      </c>
      <c r="G2860" s="46" t="str">
        <f>IF(B2860="","",(C2860+F2860)-(D2860+E2860+SUMIF(Transactions!$F$8:$F$3006,B2860,Transactions!$Q$8:$Q$3006)))</f>
        <v/>
      </c>
      <c r="H2860" s="47" t="str">
        <f>IF(B2860="","",IF(G2860&gt;0,"OUTSTANDING",IF(G2860=0,"SETTLED",IF(SUMIF(Transactions!$F$8:$F$3006,B2860,Transactions!$Q$8:$Q$3006)&gt;SUMIF(Transactions!$F$8:$F$3006,B2860,Transactions!$R$8:$R$3006),"OWES","OVERPAID"))))</f>
        <v/>
      </c>
      <c r="I2860" s="1"/>
    </row>
    <row r="2861" spans="1:9" ht="18" customHeight="1" x14ac:dyDescent="0.25">
      <c r="A2861" s="48">
        <v>2846</v>
      </c>
      <c r="B2861" s="49" t="str">
        <f t="array" ref="B2861">IFERROR(IF(INDEX(Transactions!$F$8:$F$3006,MATCH(0,COUNTIF($B$11:B2860,Transactions!$F$8:$F$3006),0))="","",INDEX(Transactions!$F$8:$F$3006,MATCH(0,COUNTIF($B$11:B2860,Transactions!$F$8:$F$3006),0))),"")</f>
        <v/>
      </c>
      <c r="C2861" s="50" t="str">
        <f>IF(B2861="","",SUMIF(Transactions!$F$8:$F$3006,B2861,Transactions!$H$8:$H$3006))</f>
        <v/>
      </c>
      <c r="D2861" s="51" t="str">
        <f>IF(B2861="","",SUMIF(Transactions!$F$8:$F$3006,B2861,Transactions!$N$8:$N$3006))</f>
        <v/>
      </c>
      <c r="E2861" s="52" t="str">
        <f>IF(B2861="","",SUMIF(Transactions!$F$8:$F$3006,B2861,Transactions!$O$8:$O$3006))</f>
        <v/>
      </c>
      <c r="F2861" s="53" t="str">
        <f>IF(B2861="","",SUMIF(Transactions!$F$8:$F$3006,B2861,Transactions!$R$8:$R$3006))</f>
        <v/>
      </c>
      <c r="G2861" s="54" t="str">
        <f>IF(B2861="","",(C2861+F2861)-(D2861+E2861+SUMIF(Transactions!$F$8:$F$3006,B2861,Transactions!$Q$8:$Q$3006)))</f>
        <v/>
      </c>
      <c r="H2861" s="55" t="str">
        <f>IF(B2861="","",IF(G2861&gt;0,"OUTSTANDING",IF(G2861=0,"SETTLED",IF(SUMIF(Transactions!$F$8:$F$3006,B2861,Transactions!$Q$8:$Q$3006)&gt;SUMIF(Transactions!$F$8:$F$3006,B2861,Transactions!$R$8:$R$3006),"OWES","OVERPAID"))))</f>
        <v/>
      </c>
      <c r="I2861" s="1"/>
    </row>
    <row r="2862" spans="1:9" ht="18" customHeight="1" x14ac:dyDescent="0.25">
      <c r="A2862" s="40">
        <v>2847</v>
      </c>
      <c r="B2862" s="41" t="str">
        <f t="array" ref="B2862">IFERROR(IF(INDEX(Transactions!$F$8:$F$3006,MATCH(0,COUNTIF($B$11:B2861,Transactions!$F$8:$F$3006),0))="","",INDEX(Transactions!$F$8:$F$3006,MATCH(0,COUNTIF($B$11:B2861,Transactions!$F$8:$F$3006),0))),"")</f>
        <v/>
      </c>
      <c r="C2862" s="42" t="str">
        <f>IF(B2862="","",SUMIF(Transactions!$F$8:$F$3006,B2862,Transactions!$H$8:$H$3006))</f>
        <v/>
      </c>
      <c r="D2862" s="43" t="str">
        <f>IF(B2862="","",SUMIF(Transactions!$F$8:$F$3006,B2862,Transactions!$N$8:$N$3006))</f>
        <v/>
      </c>
      <c r="E2862" s="44" t="str">
        <f>IF(B2862="","",SUMIF(Transactions!$F$8:$F$3006,B2862,Transactions!$O$8:$O$3006))</f>
        <v/>
      </c>
      <c r="F2862" s="45" t="str">
        <f>IF(B2862="","",SUMIF(Transactions!$F$8:$F$3006,B2862,Transactions!$R$8:$R$3006))</f>
        <v/>
      </c>
      <c r="G2862" s="46" t="str">
        <f>IF(B2862="","",(C2862+F2862)-(D2862+E2862+SUMIF(Transactions!$F$8:$F$3006,B2862,Transactions!$Q$8:$Q$3006)))</f>
        <v/>
      </c>
      <c r="H2862" s="47" t="str">
        <f>IF(B2862="","",IF(G2862&gt;0,"OUTSTANDING",IF(G2862=0,"SETTLED",IF(SUMIF(Transactions!$F$8:$F$3006,B2862,Transactions!$Q$8:$Q$3006)&gt;SUMIF(Transactions!$F$8:$F$3006,B2862,Transactions!$R$8:$R$3006),"OWES","OVERPAID"))))</f>
        <v/>
      </c>
      <c r="I2862" s="1"/>
    </row>
    <row r="2863" spans="1:9" ht="18" customHeight="1" x14ac:dyDescent="0.25">
      <c r="A2863" s="48">
        <v>2848</v>
      </c>
      <c r="B2863" s="49" t="str">
        <f t="array" ref="B2863">IFERROR(IF(INDEX(Transactions!$F$8:$F$3006,MATCH(0,COUNTIF($B$11:B2862,Transactions!$F$8:$F$3006),0))="","",INDEX(Transactions!$F$8:$F$3006,MATCH(0,COUNTIF($B$11:B2862,Transactions!$F$8:$F$3006),0))),"")</f>
        <v/>
      </c>
      <c r="C2863" s="50" t="str">
        <f>IF(B2863="","",SUMIF(Transactions!$F$8:$F$3006,B2863,Transactions!$H$8:$H$3006))</f>
        <v/>
      </c>
      <c r="D2863" s="51" t="str">
        <f>IF(B2863="","",SUMIF(Transactions!$F$8:$F$3006,B2863,Transactions!$N$8:$N$3006))</f>
        <v/>
      </c>
      <c r="E2863" s="52" t="str">
        <f>IF(B2863="","",SUMIF(Transactions!$F$8:$F$3006,B2863,Transactions!$O$8:$O$3006))</f>
        <v/>
      </c>
      <c r="F2863" s="53" t="str">
        <f>IF(B2863="","",SUMIF(Transactions!$F$8:$F$3006,B2863,Transactions!$R$8:$R$3006))</f>
        <v/>
      </c>
      <c r="G2863" s="54" t="str">
        <f>IF(B2863="","",(C2863+F2863)-(D2863+E2863+SUMIF(Transactions!$F$8:$F$3006,B2863,Transactions!$Q$8:$Q$3006)))</f>
        <v/>
      </c>
      <c r="H2863" s="55" t="str">
        <f>IF(B2863="","",IF(G2863&gt;0,"OUTSTANDING",IF(G2863=0,"SETTLED",IF(SUMIF(Transactions!$F$8:$F$3006,B2863,Transactions!$Q$8:$Q$3006)&gt;SUMIF(Transactions!$F$8:$F$3006,B2863,Transactions!$R$8:$R$3006),"OWES","OVERPAID"))))</f>
        <v/>
      </c>
      <c r="I2863" s="1"/>
    </row>
    <row r="2864" spans="1:9" ht="18" customHeight="1" x14ac:dyDescent="0.25">
      <c r="A2864" s="40">
        <v>2849</v>
      </c>
      <c r="B2864" s="41" t="str">
        <f t="array" ref="B2864">IFERROR(IF(INDEX(Transactions!$F$8:$F$3006,MATCH(0,COUNTIF($B$11:B2863,Transactions!$F$8:$F$3006),0))="","",INDEX(Transactions!$F$8:$F$3006,MATCH(0,COUNTIF($B$11:B2863,Transactions!$F$8:$F$3006),0))),"")</f>
        <v/>
      </c>
      <c r="C2864" s="42" t="str">
        <f>IF(B2864="","",SUMIF(Transactions!$F$8:$F$3006,B2864,Transactions!$H$8:$H$3006))</f>
        <v/>
      </c>
      <c r="D2864" s="43" t="str">
        <f>IF(B2864="","",SUMIF(Transactions!$F$8:$F$3006,B2864,Transactions!$N$8:$N$3006))</f>
        <v/>
      </c>
      <c r="E2864" s="44" t="str">
        <f>IF(B2864="","",SUMIF(Transactions!$F$8:$F$3006,B2864,Transactions!$O$8:$O$3006))</f>
        <v/>
      </c>
      <c r="F2864" s="45" t="str">
        <f>IF(B2864="","",SUMIF(Transactions!$F$8:$F$3006,B2864,Transactions!$R$8:$R$3006))</f>
        <v/>
      </c>
      <c r="G2864" s="46" t="str">
        <f>IF(B2864="","",(C2864+F2864)-(D2864+E2864+SUMIF(Transactions!$F$8:$F$3006,B2864,Transactions!$Q$8:$Q$3006)))</f>
        <v/>
      </c>
      <c r="H2864" s="47" t="str">
        <f>IF(B2864="","",IF(G2864&gt;0,"OUTSTANDING",IF(G2864=0,"SETTLED",IF(SUMIF(Transactions!$F$8:$F$3006,B2864,Transactions!$Q$8:$Q$3006)&gt;SUMIF(Transactions!$F$8:$F$3006,B2864,Transactions!$R$8:$R$3006),"OWES","OVERPAID"))))</f>
        <v/>
      </c>
      <c r="I2864" s="1"/>
    </row>
    <row r="2865" spans="1:9" ht="18" customHeight="1" x14ac:dyDescent="0.25">
      <c r="A2865" s="48">
        <v>2850</v>
      </c>
      <c r="B2865" s="49" t="str">
        <f t="array" ref="B2865">IFERROR(IF(INDEX(Transactions!$F$8:$F$3006,MATCH(0,COUNTIF($B$11:B2864,Transactions!$F$8:$F$3006),0))="","",INDEX(Transactions!$F$8:$F$3006,MATCH(0,COUNTIF($B$11:B2864,Transactions!$F$8:$F$3006),0))),"")</f>
        <v/>
      </c>
      <c r="C2865" s="50" t="str">
        <f>IF(B2865="","",SUMIF(Transactions!$F$8:$F$3006,B2865,Transactions!$H$8:$H$3006))</f>
        <v/>
      </c>
      <c r="D2865" s="51" t="str">
        <f>IF(B2865="","",SUMIF(Transactions!$F$8:$F$3006,B2865,Transactions!$N$8:$N$3006))</f>
        <v/>
      </c>
      <c r="E2865" s="52" t="str">
        <f>IF(B2865="","",SUMIF(Transactions!$F$8:$F$3006,B2865,Transactions!$O$8:$O$3006))</f>
        <v/>
      </c>
      <c r="F2865" s="53" t="str">
        <f>IF(B2865="","",SUMIF(Transactions!$F$8:$F$3006,B2865,Transactions!$R$8:$R$3006))</f>
        <v/>
      </c>
      <c r="G2865" s="54" t="str">
        <f>IF(B2865="","",(C2865+F2865)-(D2865+E2865+SUMIF(Transactions!$F$8:$F$3006,B2865,Transactions!$Q$8:$Q$3006)))</f>
        <v/>
      </c>
      <c r="H2865" s="55" t="str">
        <f>IF(B2865="","",IF(G2865&gt;0,"OUTSTANDING",IF(G2865=0,"SETTLED",IF(SUMIF(Transactions!$F$8:$F$3006,B2865,Transactions!$Q$8:$Q$3006)&gt;SUMIF(Transactions!$F$8:$F$3006,B2865,Transactions!$R$8:$R$3006),"OWES","OVERPAID"))))</f>
        <v/>
      </c>
      <c r="I2865" s="1"/>
    </row>
    <row r="2866" spans="1:9" ht="18" customHeight="1" x14ac:dyDescent="0.25">
      <c r="A2866" s="40">
        <v>2851</v>
      </c>
      <c r="B2866" s="41" t="str">
        <f t="array" ref="B2866">IFERROR(IF(INDEX(Transactions!$F$8:$F$3006,MATCH(0,COUNTIF($B$11:B2865,Transactions!$F$8:$F$3006),0))="","",INDEX(Transactions!$F$8:$F$3006,MATCH(0,COUNTIF($B$11:B2865,Transactions!$F$8:$F$3006),0))),"")</f>
        <v/>
      </c>
      <c r="C2866" s="42" t="str">
        <f>IF(B2866="","",SUMIF(Transactions!$F$8:$F$3006,B2866,Transactions!$H$8:$H$3006))</f>
        <v/>
      </c>
      <c r="D2866" s="43" t="str">
        <f>IF(B2866="","",SUMIF(Transactions!$F$8:$F$3006,B2866,Transactions!$N$8:$N$3006))</f>
        <v/>
      </c>
      <c r="E2866" s="44" t="str">
        <f>IF(B2866="","",SUMIF(Transactions!$F$8:$F$3006,B2866,Transactions!$O$8:$O$3006))</f>
        <v/>
      </c>
      <c r="F2866" s="45" t="str">
        <f>IF(B2866="","",SUMIF(Transactions!$F$8:$F$3006,B2866,Transactions!$R$8:$R$3006))</f>
        <v/>
      </c>
      <c r="G2866" s="46" t="str">
        <f>IF(B2866="","",(C2866+F2866)-(D2866+E2866+SUMIF(Transactions!$F$8:$F$3006,B2866,Transactions!$Q$8:$Q$3006)))</f>
        <v/>
      </c>
      <c r="H2866" s="47" t="str">
        <f>IF(B2866="","",IF(G2866&gt;0,"OUTSTANDING",IF(G2866=0,"SETTLED",IF(SUMIF(Transactions!$F$8:$F$3006,B2866,Transactions!$Q$8:$Q$3006)&gt;SUMIF(Transactions!$F$8:$F$3006,B2866,Transactions!$R$8:$R$3006),"OWES","OVERPAID"))))</f>
        <v/>
      </c>
      <c r="I2866" s="1"/>
    </row>
    <row r="2867" spans="1:9" ht="18" customHeight="1" x14ac:dyDescent="0.25">
      <c r="A2867" s="48">
        <v>2852</v>
      </c>
      <c r="B2867" s="49" t="str">
        <f t="array" ref="B2867">IFERROR(IF(INDEX(Transactions!$F$8:$F$3006,MATCH(0,COUNTIF($B$11:B2866,Transactions!$F$8:$F$3006),0))="","",INDEX(Transactions!$F$8:$F$3006,MATCH(0,COUNTIF($B$11:B2866,Transactions!$F$8:$F$3006),0))),"")</f>
        <v/>
      </c>
      <c r="C2867" s="50" t="str">
        <f>IF(B2867="","",SUMIF(Transactions!$F$8:$F$3006,B2867,Transactions!$H$8:$H$3006))</f>
        <v/>
      </c>
      <c r="D2867" s="51" t="str">
        <f>IF(B2867="","",SUMIF(Transactions!$F$8:$F$3006,B2867,Transactions!$N$8:$N$3006))</f>
        <v/>
      </c>
      <c r="E2867" s="52" t="str">
        <f>IF(B2867="","",SUMIF(Transactions!$F$8:$F$3006,B2867,Transactions!$O$8:$O$3006))</f>
        <v/>
      </c>
      <c r="F2867" s="53" t="str">
        <f>IF(B2867="","",SUMIF(Transactions!$F$8:$F$3006,B2867,Transactions!$R$8:$R$3006))</f>
        <v/>
      </c>
      <c r="G2867" s="54" t="str">
        <f>IF(B2867="","",(C2867+F2867)-(D2867+E2867+SUMIF(Transactions!$F$8:$F$3006,B2867,Transactions!$Q$8:$Q$3006)))</f>
        <v/>
      </c>
      <c r="H2867" s="55" t="str">
        <f>IF(B2867="","",IF(G2867&gt;0,"OUTSTANDING",IF(G2867=0,"SETTLED",IF(SUMIF(Transactions!$F$8:$F$3006,B2867,Transactions!$Q$8:$Q$3006)&gt;SUMIF(Transactions!$F$8:$F$3006,B2867,Transactions!$R$8:$R$3006),"OWES","OVERPAID"))))</f>
        <v/>
      </c>
      <c r="I2867" s="1"/>
    </row>
    <row r="2868" spans="1:9" ht="18" customHeight="1" x14ac:dyDescent="0.25">
      <c r="A2868" s="40">
        <v>2853</v>
      </c>
      <c r="B2868" s="41" t="str">
        <f t="array" ref="B2868">IFERROR(IF(INDEX(Transactions!$F$8:$F$3006,MATCH(0,COUNTIF($B$11:B2867,Transactions!$F$8:$F$3006),0))="","",INDEX(Transactions!$F$8:$F$3006,MATCH(0,COUNTIF($B$11:B2867,Transactions!$F$8:$F$3006),0))),"")</f>
        <v/>
      </c>
      <c r="C2868" s="42" t="str">
        <f>IF(B2868="","",SUMIF(Transactions!$F$8:$F$3006,B2868,Transactions!$H$8:$H$3006))</f>
        <v/>
      </c>
      <c r="D2868" s="43" t="str">
        <f>IF(B2868="","",SUMIF(Transactions!$F$8:$F$3006,B2868,Transactions!$N$8:$N$3006))</f>
        <v/>
      </c>
      <c r="E2868" s="44" t="str">
        <f>IF(B2868="","",SUMIF(Transactions!$F$8:$F$3006,B2868,Transactions!$O$8:$O$3006))</f>
        <v/>
      </c>
      <c r="F2868" s="45" t="str">
        <f>IF(B2868="","",SUMIF(Transactions!$F$8:$F$3006,B2868,Transactions!$R$8:$R$3006))</f>
        <v/>
      </c>
      <c r="G2868" s="46" t="str">
        <f>IF(B2868="","",(C2868+F2868)-(D2868+E2868+SUMIF(Transactions!$F$8:$F$3006,B2868,Transactions!$Q$8:$Q$3006)))</f>
        <v/>
      </c>
      <c r="H2868" s="47" t="str">
        <f>IF(B2868="","",IF(G2868&gt;0,"OUTSTANDING",IF(G2868=0,"SETTLED",IF(SUMIF(Transactions!$F$8:$F$3006,B2868,Transactions!$Q$8:$Q$3006)&gt;SUMIF(Transactions!$F$8:$F$3006,B2868,Transactions!$R$8:$R$3006),"OWES","OVERPAID"))))</f>
        <v/>
      </c>
      <c r="I2868" s="1"/>
    </row>
    <row r="2869" spans="1:9" ht="18" customHeight="1" x14ac:dyDescent="0.25">
      <c r="A2869" s="48">
        <v>2854</v>
      </c>
      <c r="B2869" s="49" t="str">
        <f t="array" ref="B2869">IFERROR(IF(INDEX(Transactions!$F$8:$F$3006,MATCH(0,COUNTIF($B$11:B2868,Transactions!$F$8:$F$3006),0))="","",INDEX(Transactions!$F$8:$F$3006,MATCH(0,COUNTIF($B$11:B2868,Transactions!$F$8:$F$3006),0))),"")</f>
        <v/>
      </c>
      <c r="C2869" s="50" t="str">
        <f>IF(B2869="","",SUMIF(Transactions!$F$8:$F$3006,B2869,Transactions!$H$8:$H$3006))</f>
        <v/>
      </c>
      <c r="D2869" s="51" t="str">
        <f>IF(B2869="","",SUMIF(Transactions!$F$8:$F$3006,B2869,Transactions!$N$8:$N$3006))</f>
        <v/>
      </c>
      <c r="E2869" s="52" t="str">
        <f>IF(B2869="","",SUMIF(Transactions!$F$8:$F$3006,B2869,Transactions!$O$8:$O$3006))</f>
        <v/>
      </c>
      <c r="F2869" s="53" t="str">
        <f>IF(B2869="","",SUMIF(Transactions!$F$8:$F$3006,B2869,Transactions!$R$8:$R$3006))</f>
        <v/>
      </c>
      <c r="G2869" s="54" t="str">
        <f>IF(B2869="","",(C2869+F2869)-(D2869+E2869+SUMIF(Transactions!$F$8:$F$3006,B2869,Transactions!$Q$8:$Q$3006)))</f>
        <v/>
      </c>
      <c r="H2869" s="55" t="str">
        <f>IF(B2869="","",IF(G2869&gt;0,"OUTSTANDING",IF(G2869=0,"SETTLED",IF(SUMIF(Transactions!$F$8:$F$3006,B2869,Transactions!$Q$8:$Q$3006)&gt;SUMIF(Transactions!$F$8:$F$3006,B2869,Transactions!$R$8:$R$3006),"OWES","OVERPAID"))))</f>
        <v/>
      </c>
      <c r="I2869" s="1"/>
    </row>
    <row r="2870" spans="1:9" ht="18" customHeight="1" x14ac:dyDescent="0.25">
      <c r="A2870" s="40">
        <v>2855</v>
      </c>
      <c r="B2870" s="41" t="str">
        <f t="array" ref="B2870">IFERROR(IF(INDEX(Transactions!$F$8:$F$3006,MATCH(0,COUNTIF($B$11:B2869,Transactions!$F$8:$F$3006),0))="","",INDEX(Transactions!$F$8:$F$3006,MATCH(0,COUNTIF($B$11:B2869,Transactions!$F$8:$F$3006),0))),"")</f>
        <v/>
      </c>
      <c r="C2870" s="42" t="str">
        <f>IF(B2870="","",SUMIF(Transactions!$F$8:$F$3006,B2870,Transactions!$H$8:$H$3006))</f>
        <v/>
      </c>
      <c r="D2870" s="43" t="str">
        <f>IF(B2870="","",SUMIF(Transactions!$F$8:$F$3006,B2870,Transactions!$N$8:$N$3006))</f>
        <v/>
      </c>
      <c r="E2870" s="44" t="str">
        <f>IF(B2870="","",SUMIF(Transactions!$F$8:$F$3006,B2870,Transactions!$O$8:$O$3006))</f>
        <v/>
      </c>
      <c r="F2870" s="45" t="str">
        <f>IF(B2870="","",SUMIF(Transactions!$F$8:$F$3006,B2870,Transactions!$R$8:$R$3006))</f>
        <v/>
      </c>
      <c r="G2870" s="46" t="str">
        <f>IF(B2870="","",(C2870+F2870)-(D2870+E2870+SUMIF(Transactions!$F$8:$F$3006,B2870,Transactions!$Q$8:$Q$3006)))</f>
        <v/>
      </c>
      <c r="H2870" s="47" t="str">
        <f>IF(B2870="","",IF(G2870&gt;0,"OUTSTANDING",IF(G2870=0,"SETTLED",IF(SUMIF(Transactions!$F$8:$F$3006,B2870,Transactions!$Q$8:$Q$3006)&gt;SUMIF(Transactions!$F$8:$F$3006,B2870,Transactions!$R$8:$R$3006),"OWES","OVERPAID"))))</f>
        <v/>
      </c>
      <c r="I2870" s="1"/>
    </row>
    <row r="2871" spans="1:9" ht="18" customHeight="1" x14ac:dyDescent="0.25">
      <c r="A2871" s="48">
        <v>2856</v>
      </c>
      <c r="B2871" s="49" t="str">
        <f t="array" ref="B2871">IFERROR(IF(INDEX(Transactions!$F$8:$F$3006,MATCH(0,COUNTIF($B$11:B2870,Transactions!$F$8:$F$3006),0))="","",INDEX(Transactions!$F$8:$F$3006,MATCH(0,COUNTIF($B$11:B2870,Transactions!$F$8:$F$3006),0))),"")</f>
        <v/>
      </c>
      <c r="C2871" s="50" t="str">
        <f>IF(B2871="","",SUMIF(Transactions!$F$8:$F$3006,B2871,Transactions!$H$8:$H$3006))</f>
        <v/>
      </c>
      <c r="D2871" s="51" t="str">
        <f>IF(B2871="","",SUMIF(Transactions!$F$8:$F$3006,B2871,Transactions!$N$8:$N$3006))</f>
        <v/>
      </c>
      <c r="E2871" s="52" t="str">
        <f>IF(B2871="","",SUMIF(Transactions!$F$8:$F$3006,B2871,Transactions!$O$8:$O$3006))</f>
        <v/>
      </c>
      <c r="F2871" s="53" t="str">
        <f>IF(B2871="","",SUMIF(Transactions!$F$8:$F$3006,B2871,Transactions!$R$8:$R$3006))</f>
        <v/>
      </c>
      <c r="G2871" s="54" t="str">
        <f>IF(B2871="","",(C2871+F2871)-(D2871+E2871+SUMIF(Transactions!$F$8:$F$3006,B2871,Transactions!$Q$8:$Q$3006)))</f>
        <v/>
      </c>
      <c r="H2871" s="55" t="str">
        <f>IF(B2871="","",IF(G2871&gt;0,"OUTSTANDING",IF(G2871=0,"SETTLED",IF(SUMIF(Transactions!$F$8:$F$3006,B2871,Transactions!$Q$8:$Q$3006)&gt;SUMIF(Transactions!$F$8:$F$3006,B2871,Transactions!$R$8:$R$3006),"OWES","OVERPAID"))))</f>
        <v/>
      </c>
      <c r="I2871" s="1"/>
    </row>
    <row r="2872" spans="1:9" ht="18" customHeight="1" x14ac:dyDescent="0.25">
      <c r="A2872" s="40">
        <v>2857</v>
      </c>
      <c r="B2872" s="41" t="str">
        <f t="array" ref="B2872">IFERROR(IF(INDEX(Transactions!$F$8:$F$3006,MATCH(0,COUNTIF($B$11:B2871,Transactions!$F$8:$F$3006),0))="","",INDEX(Transactions!$F$8:$F$3006,MATCH(0,COUNTIF($B$11:B2871,Transactions!$F$8:$F$3006),0))),"")</f>
        <v/>
      </c>
      <c r="C2872" s="42" t="str">
        <f>IF(B2872="","",SUMIF(Transactions!$F$8:$F$3006,B2872,Transactions!$H$8:$H$3006))</f>
        <v/>
      </c>
      <c r="D2872" s="43" t="str">
        <f>IF(B2872="","",SUMIF(Transactions!$F$8:$F$3006,B2872,Transactions!$N$8:$N$3006))</f>
        <v/>
      </c>
      <c r="E2872" s="44" t="str">
        <f>IF(B2872="","",SUMIF(Transactions!$F$8:$F$3006,B2872,Transactions!$O$8:$O$3006))</f>
        <v/>
      </c>
      <c r="F2872" s="45" t="str">
        <f>IF(B2872="","",SUMIF(Transactions!$F$8:$F$3006,B2872,Transactions!$R$8:$R$3006))</f>
        <v/>
      </c>
      <c r="G2872" s="46" t="str">
        <f>IF(B2872="","",(C2872+F2872)-(D2872+E2872+SUMIF(Transactions!$F$8:$F$3006,B2872,Transactions!$Q$8:$Q$3006)))</f>
        <v/>
      </c>
      <c r="H2872" s="47" t="str">
        <f>IF(B2872="","",IF(G2872&gt;0,"OUTSTANDING",IF(G2872=0,"SETTLED",IF(SUMIF(Transactions!$F$8:$F$3006,B2872,Transactions!$Q$8:$Q$3006)&gt;SUMIF(Transactions!$F$8:$F$3006,B2872,Transactions!$R$8:$R$3006),"OWES","OVERPAID"))))</f>
        <v/>
      </c>
      <c r="I2872" s="1"/>
    </row>
    <row r="2873" spans="1:9" ht="18" customHeight="1" x14ac:dyDescent="0.25">
      <c r="A2873" s="48">
        <v>2858</v>
      </c>
      <c r="B2873" s="49" t="str">
        <f t="array" ref="B2873">IFERROR(IF(INDEX(Transactions!$F$8:$F$3006,MATCH(0,COUNTIF($B$11:B2872,Transactions!$F$8:$F$3006),0))="","",INDEX(Transactions!$F$8:$F$3006,MATCH(0,COUNTIF($B$11:B2872,Transactions!$F$8:$F$3006),0))),"")</f>
        <v/>
      </c>
      <c r="C2873" s="50" t="str">
        <f>IF(B2873="","",SUMIF(Transactions!$F$8:$F$3006,B2873,Transactions!$H$8:$H$3006))</f>
        <v/>
      </c>
      <c r="D2873" s="51" t="str">
        <f>IF(B2873="","",SUMIF(Transactions!$F$8:$F$3006,B2873,Transactions!$N$8:$N$3006))</f>
        <v/>
      </c>
      <c r="E2873" s="52" t="str">
        <f>IF(B2873="","",SUMIF(Transactions!$F$8:$F$3006,B2873,Transactions!$O$8:$O$3006))</f>
        <v/>
      </c>
      <c r="F2873" s="53" t="str">
        <f>IF(B2873="","",SUMIF(Transactions!$F$8:$F$3006,B2873,Transactions!$R$8:$R$3006))</f>
        <v/>
      </c>
      <c r="G2873" s="54" t="str">
        <f>IF(B2873="","",(C2873+F2873)-(D2873+E2873+SUMIF(Transactions!$F$8:$F$3006,B2873,Transactions!$Q$8:$Q$3006)))</f>
        <v/>
      </c>
      <c r="H2873" s="55" t="str">
        <f>IF(B2873="","",IF(G2873&gt;0,"OUTSTANDING",IF(G2873=0,"SETTLED",IF(SUMIF(Transactions!$F$8:$F$3006,B2873,Transactions!$Q$8:$Q$3006)&gt;SUMIF(Transactions!$F$8:$F$3006,B2873,Transactions!$R$8:$R$3006),"OWES","OVERPAID"))))</f>
        <v/>
      </c>
      <c r="I2873" s="1"/>
    </row>
    <row r="2874" spans="1:9" ht="18" customHeight="1" x14ac:dyDescent="0.25">
      <c r="A2874" s="40">
        <v>2859</v>
      </c>
      <c r="B2874" s="41" t="str">
        <f t="array" ref="B2874">IFERROR(IF(INDEX(Transactions!$F$8:$F$3006,MATCH(0,COUNTIF($B$11:B2873,Transactions!$F$8:$F$3006),0))="","",INDEX(Transactions!$F$8:$F$3006,MATCH(0,COUNTIF($B$11:B2873,Transactions!$F$8:$F$3006),0))),"")</f>
        <v/>
      </c>
      <c r="C2874" s="42" t="str">
        <f>IF(B2874="","",SUMIF(Transactions!$F$8:$F$3006,B2874,Transactions!$H$8:$H$3006))</f>
        <v/>
      </c>
      <c r="D2874" s="43" t="str">
        <f>IF(B2874="","",SUMIF(Transactions!$F$8:$F$3006,B2874,Transactions!$N$8:$N$3006))</f>
        <v/>
      </c>
      <c r="E2874" s="44" t="str">
        <f>IF(B2874="","",SUMIF(Transactions!$F$8:$F$3006,B2874,Transactions!$O$8:$O$3006))</f>
        <v/>
      </c>
      <c r="F2874" s="45" t="str">
        <f>IF(B2874="","",SUMIF(Transactions!$F$8:$F$3006,B2874,Transactions!$R$8:$R$3006))</f>
        <v/>
      </c>
      <c r="G2874" s="46" t="str">
        <f>IF(B2874="","",(C2874+F2874)-(D2874+E2874+SUMIF(Transactions!$F$8:$F$3006,B2874,Transactions!$Q$8:$Q$3006)))</f>
        <v/>
      </c>
      <c r="H2874" s="47" t="str">
        <f>IF(B2874="","",IF(G2874&gt;0,"OUTSTANDING",IF(G2874=0,"SETTLED",IF(SUMIF(Transactions!$F$8:$F$3006,B2874,Transactions!$Q$8:$Q$3006)&gt;SUMIF(Transactions!$F$8:$F$3006,B2874,Transactions!$R$8:$R$3006),"OWES","OVERPAID"))))</f>
        <v/>
      </c>
      <c r="I2874" s="1"/>
    </row>
    <row r="2875" spans="1:9" ht="18" customHeight="1" x14ac:dyDescent="0.25">
      <c r="A2875" s="48">
        <v>2860</v>
      </c>
      <c r="B2875" s="49" t="str">
        <f t="array" ref="B2875">IFERROR(IF(INDEX(Transactions!$F$8:$F$3006,MATCH(0,COUNTIF($B$11:B2874,Transactions!$F$8:$F$3006),0))="","",INDEX(Transactions!$F$8:$F$3006,MATCH(0,COUNTIF($B$11:B2874,Transactions!$F$8:$F$3006),0))),"")</f>
        <v/>
      </c>
      <c r="C2875" s="50" t="str">
        <f>IF(B2875="","",SUMIF(Transactions!$F$8:$F$3006,B2875,Transactions!$H$8:$H$3006))</f>
        <v/>
      </c>
      <c r="D2875" s="51" t="str">
        <f>IF(B2875="","",SUMIF(Transactions!$F$8:$F$3006,B2875,Transactions!$N$8:$N$3006))</f>
        <v/>
      </c>
      <c r="E2875" s="52" t="str">
        <f>IF(B2875="","",SUMIF(Transactions!$F$8:$F$3006,B2875,Transactions!$O$8:$O$3006))</f>
        <v/>
      </c>
      <c r="F2875" s="53" t="str">
        <f>IF(B2875="","",SUMIF(Transactions!$F$8:$F$3006,B2875,Transactions!$R$8:$R$3006))</f>
        <v/>
      </c>
      <c r="G2875" s="54" t="str">
        <f>IF(B2875="","",(C2875+F2875)-(D2875+E2875+SUMIF(Transactions!$F$8:$F$3006,B2875,Transactions!$Q$8:$Q$3006)))</f>
        <v/>
      </c>
      <c r="H2875" s="55" t="str">
        <f>IF(B2875="","",IF(G2875&gt;0,"OUTSTANDING",IF(G2875=0,"SETTLED",IF(SUMIF(Transactions!$F$8:$F$3006,B2875,Transactions!$Q$8:$Q$3006)&gt;SUMIF(Transactions!$F$8:$F$3006,B2875,Transactions!$R$8:$R$3006),"OWES","OVERPAID"))))</f>
        <v/>
      </c>
      <c r="I2875" s="1"/>
    </row>
    <row r="2876" spans="1:9" ht="18" customHeight="1" x14ac:dyDescent="0.25">
      <c r="A2876" s="40">
        <v>2861</v>
      </c>
      <c r="B2876" s="41" t="str">
        <f t="array" ref="B2876">IFERROR(IF(INDEX(Transactions!$F$8:$F$3006,MATCH(0,COUNTIF($B$11:B2875,Transactions!$F$8:$F$3006),0))="","",INDEX(Transactions!$F$8:$F$3006,MATCH(0,COUNTIF($B$11:B2875,Transactions!$F$8:$F$3006),0))),"")</f>
        <v/>
      </c>
      <c r="C2876" s="42" t="str">
        <f>IF(B2876="","",SUMIF(Transactions!$F$8:$F$3006,B2876,Transactions!$H$8:$H$3006))</f>
        <v/>
      </c>
      <c r="D2876" s="43" t="str">
        <f>IF(B2876="","",SUMIF(Transactions!$F$8:$F$3006,B2876,Transactions!$N$8:$N$3006))</f>
        <v/>
      </c>
      <c r="E2876" s="44" t="str">
        <f>IF(B2876="","",SUMIF(Transactions!$F$8:$F$3006,B2876,Transactions!$O$8:$O$3006))</f>
        <v/>
      </c>
      <c r="F2876" s="45" t="str">
        <f>IF(B2876="","",SUMIF(Transactions!$F$8:$F$3006,B2876,Transactions!$R$8:$R$3006))</f>
        <v/>
      </c>
      <c r="G2876" s="46" t="str">
        <f>IF(B2876="","",(C2876+F2876)-(D2876+E2876+SUMIF(Transactions!$F$8:$F$3006,B2876,Transactions!$Q$8:$Q$3006)))</f>
        <v/>
      </c>
      <c r="H2876" s="47" t="str">
        <f>IF(B2876="","",IF(G2876&gt;0,"OUTSTANDING",IF(G2876=0,"SETTLED",IF(SUMIF(Transactions!$F$8:$F$3006,B2876,Transactions!$Q$8:$Q$3006)&gt;SUMIF(Transactions!$F$8:$F$3006,B2876,Transactions!$R$8:$R$3006),"OWES","OVERPAID"))))</f>
        <v/>
      </c>
      <c r="I2876" s="1"/>
    </row>
    <row r="2877" spans="1:9" ht="18" customHeight="1" x14ac:dyDescent="0.25">
      <c r="A2877" s="48">
        <v>2862</v>
      </c>
      <c r="B2877" s="49" t="str">
        <f t="array" ref="B2877">IFERROR(IF(INDEX(Transactions!$F$8:$F$3006,MATCH(0,COUNTIF($B$11:B2876,Transactions!$F$8:$F$3006),0))="","",INDEX(Transactions!$F$8:$F$3006,MATCH(0,COUNTIF($B$11:B2876,Transactions!$F$8:$F$3006),0))),"")</f>
        <v/>
      </c>
      <c r="C2877" s="50" t="str">
        <f>IF(B2877="","",SUMIF(Transactions!$F$8:$F$3006,B2877,Transactions!$H$8:$H$3006))</f>
        <v/>
      </c>
      <c r="D2877" s="51" t="str">
        <f>IF(B2877="","",SUMIF(Transactions!$F$8:$F$3006,B2877,Transactions!$N$8:$N$3006))</f>
        <v/>
      </c>
      <c r="E2877" s="52" t="str">
        <f>IF(B2877="","",SUMIF(Transactions!$F$8:$F$3006,B2877,Transactions!$O$8:$O$3006))</f>
        <v/>
      </c>
      <c r="F2877" s="53" t="str">
        <f>IF(B2877="","",SUMIF(Transactions!$F$8:$F$3006,B2877,Transactions!$R$8:$R$3006))</f>
        <v/>
      </c>
      <c r="G2877" s="54" t="str">
        <f>IF(B2877="","",(C2877+F2877)-(D2877+E2877+SUMIF(Transactions!$F$8:$F$3006,B2877,Transactions!$Q$8:$Q$3006)))</f>
        <v/>
      </c>
      <c r="H2877" s="55" t="str">
        <f>IF(B2877="","",IF(G2877&gt;0,"OUTSTANDING",IF(G2877=0,"SETTLED",IF(SUMIF(Transactions!$F$8:$F$3006,B2877,Transactions!$Q$8:$Q$3006)&gt;SUMIF(Transactions!$F$8:$F$3006,B2877,Transactions!$R$8:$R$3006),"OWES","OVERPAID"))))</f>
        <v/>
      </c>
      <c r="I2877" s="1"/>
    </row>
    <row r="2878" spans="1:9" ht="18" customHeight="1" x14ac:dyDescent="0.25">
      <c r="A2878" s="40">
        <v>2863</v>
      </c>
      <c r="B2878" s="41" t="str">
        <f t="array" ref="B2878">IFERROR(IF(INDEX(Transactions!$F$8:$F$3006,MATCH(0,COUNTIF($B$11:B2877,Transactions!$F$8:$F$3006),0))="","",INDEX(Transactions!$F$8:$F$3006,MATCH(0,COUNTIF($B$11:B2877,Transactions!$F$8:$F$3006),0))),"")</f>
        <v/>
      </c>
      <c r="C2878" s="42" t="str">
        <f>IF(B2878="","",SUMIF(Transactions!$F$8:$F$3006,B2878,Transactions!$H$8:$H$3006))</f>
        <v/>
      </c>
      <c r="D2878" s="43" t="str">
        <f>IF(B2878="","",SUMIF(Transactions!$F$8:$F$3006,B2878,Transactions!$N$8:$N$3006))</f>
        <v/>
      </c>
      <c r="E2878" s="44" t="str">
        <f>IF(B2878="","",SUMIF(Transactions!$F$8:$F$3006,B2878,Transactions!$O$8:$O$3006))</f>
        <v/>
      </c>
      <c r="F2878" s="45" t="str">
        <f>IF(B2878="","",SUMIF(Transactions!$F$8:$F$3006,B2878,Transactions!$R$8:$R$3006))</f>
        <v/>
      </c>
      <c r="G2878" s="46" t="str">
        <f>IF(B2878="","",(C2878+F2878)-(D2878+E2878+SUMIF(Transactions!$F$8:$F$3006,B2878,Transactions!$Q$8:$Q$3006)))</f>
        <v/>
      </c>
      <c r="H2878" s="47" t="str">
        <f>IF(B2878="","",IF(G2878&gt;0,"OUTSTANDING",IF(G2878=0,"SETTLED",IF(SUMIF(Transactions!$F$8:$F$3006,B2878,Transactions!$Q$8:$Q$3006)&gt;SUMIF(Transactions!$F$8:$F$3006,B2878,Transactions!$R$8:$R$3006),"OWES","OVERPAID"))))</f>
        <v/>
      </c>
      <c r="I2878" s="1"/>
    </row>
    <row r="2879" spans="1:9" ht="18" customHeight="1" x14ac:dyDescent="0.25">
      <c r="A2879" s="48">
        <v>2864</v>
      </c>
      <c r="B2879" s="49" t="str">
        <f t="array" ref="B2879">IFERROR(IF(INDEX(Transactions!$F$8:$F$3006,MATCH(0,COUNTIF($B$11:B2878,Transactions!$F$8:$F$3006),0))="","",INDEX(Transactions!$F$8:$F$3006,MATCH(0,COUNTIF($B$11:B2878,Transactions!$F$8:$F$3006),0))),"")</f>
        <v/>
      </c>
      <c r="C2879" s="50" t="str">
        <f>IF(B2879="","",SUMIF(Transactions!$F$8:$F$3006,B2879,Transactions!$H$8:$H$3006))</f>
        <v/>
      </c>
      <c r="D2879" s="51" t="str">
        <f>IF(B2879="","",SUMIF(Transactions!$F$8:$F$3006,B2879,Transactions!$N$8:$N$3006))</f>
        <v/>
      </c>
      <c r="E2879" s="52" t="str">
        <f>IF(B2879="","",SUMIF(Transactions!$F$8:$F$3006,B2879,Transactions!$O$8:$O$3006))</f>
        <v/>
      </c>
      <c r="F2879" s="53" t="str">
        <f>IF(B2879="","",SUMIF(Transactions!$F$8:$F$3006,B2879,Transactions!$R$8:$R$3006))</f>
        <v/>
      </c>
      <c r="G2879" s="54" t="str">
        <f>IF(B2879="","",(C2879+F2879)-(D2879+E2879+SUMIF(Transactions!$F$8:$F$3006,B2879,Transactions!$Q$8:$Q$3006)))</f>
        <v/>
      </c>
      <c r="H2879" s="55" t="str">
        <f>IF(B2879="","",IF(G2879&gt;0,"OUTSTANDING",IF(G2879=0,"SETTLED",IF(SUMIF(Transactions!$F$8:$F$3006,B2879,Transactions!$Q$8:$Q$3006)&gt;SUMIF(Transactions!$F$8:$F$3006,B2879,Transactions!$R$8:$R$3006),"OWES","OVERPAID"))))</f>
        <v/>
      </c>
      <c r="I2879" s="1"/>
    </row>
    <row r="2880" spans="1:9" ht="18" customHeight="1" x14ac:dyDescent="0.25">
      <c r="A2880" s="40">
        <v>2865</v>
      </c>
      <c r="B2880" s="41" t="str">
        <f t="array" ref="B2880">IFERROR(IF(INDEX(Transactions!$F$8:$F$3006,MATCH(0,COUNTIF($B$11:B2879,Transactions!$F$8:$F$3006),0))="","",INDEX(Transactions!$F$8:$F$3006,MATCH(0,COUNTIF($B$11:B2879,Transactions!$F$8:$F$3006),0))),"")</f>
        <v/>
      </c>
      <c r="C2880" s="42" t="str">
        <f>IF(B2880="","",SUMIF(Transactions!$F$8:$F$3006,B2880,Transactions!$H$8:$H$3006))</f>
        <v/>
      </c>
      <c r="D2880" s="43" t="str">
        <f>IF(B2880="","",SUMIF(Transactions!$F$8:$F$3006,B2880,Transactions!$N$8:$N$3006))</f>
        <v/>
      </c>
      <c r="E2880" s="44" t="str">
        <f>IF(B2880="","",SUMIF(Transactions!$F$8:$F$3006,B2880,Transactions!$O$8:$O$3006))</f>
        <v/>
      </c>
      <c r="F2880" s="45" t="str">
        <f>IF(B2880="","",SUMIF(Transactions!$F$8:$F$3006,B2880,Transactions!$R$8:$R$3006))</f>
        <v/>
      </c>
      <c r="G2880" s="46" t="str">
        <f>IF(B2880="","",(C2880+F2880)-(D2880+E2880+SUMIF(Transactions!$F$8:$F$3006,B2880,Transactions!$Q$8:$Q$3006)))</f>
        <v/>
      </c>
      <c r="H2880" s="47" t="str">
        <f>IF(B2880="","",IF(G2880&gt;0,"OUTSTANDING",IF(G2880=0,"SETTLED",IF(SUMIF(Transactions!$F$8:$F$3006,B2880,Transactions!$Q$8:$Q$3006)&gt;SUMIF(Transactions!$F$8:$F$3006,B2880,Transactions!$R$8:$R$3006),"OWES","OVERPAID"))))</f>
        <v/>
      </c>
      <c r="I2880" s="1"/>
    </row>
    <row r="2881" spans="1:9" ht="18" customHeight="1" x14ac:dyDescent="0.25">
      <c r="A2881" s="48">
        <v>2866</v>
      </c>
      <c r="B2881" s="49" t="str">
        <f t="array" ref="B2881">IFERROR(IF(INDEX(Transactions!$F$8:$F$3006,MATCH(0,COUNTIF($B$11:B2880,Transactions!$F$8:$F$3006),0))="","",INDEX(Transactions!$F$8:$F$3006,MATCH(0,COUNTIF($B$11:B2880,Transactions!$F$8:$F$3006),0))),"")</f>
        <v/>
      </c>
      <c r="C2881" s="50" t="str">
        <f>IF(B2881="","",SUMIF(Transactions!$F$8:$F$3006,B2881,Transactions!$H$8:$H$3006))</f>
        <v/>
      </c>
      <c r="D2881" s="51" t="str">
        <f>IF(B2881="","",SUMIF(Transactions!$F$8:$F$3006,B2881,Transactions!$N$8:$N$3006))</f>
        <v/>
      </c>
      <c r="E2881" s="52" t="str">
        <f>IF(B2881="","",SUMIF(Transactions!$F$8:$F$3006,B2881,Transactions!$O$8:$O$3006))</f>
        <v/>
      </c>
      <c r="F2881" s="53" t="str">
        <f>IF(B2881="","",SUMIF(Transactions!$F$8:$F$3006,B2881,Transactions!$R$8:$R$3006))</f>
        <v/>
      </c>
      <c r="G2881" s="54" t="str">
        <f>IF(B2881="","",(C2881+F2881)-(D2881+E2881+SUMIF(Transactions!$F$8:$F$3006,B2881,Transactions!$Q$8:$Q$3006)))</f>
        <v/>
      </c>
      <c r="H2881" s="55" t="str">
        <f>IF(B2881="","",IF(G2881&gt;0,"OUTSTANDING",IF(G2881=0,"SETTLED",IF(SUMIF(Transactions!$F$8:$F$3006,B2881,Transactions!$Q$8:$Q$3006)&gt;SUMIF(Transactions!$F$8:$F$3006,B2881,Transactions!$R$8:$R$3006),"OWES","OVERPAID"))))</f>
        <v/>
      </c>
      <c r="I2881" s="1"/>
    </row>
    <row r="2882" spans="1:9" ht="18" customHeight="1" x14ac:dyDescent="0.25">
      <c r="A2882" s="40">
        <v>2867</v>
      </c>
      <c r="B2882" s="41" t="str">
        <f t="array" ref="B2882">IFERROR(IF(INDEX(Transactions!$F$8:$F$3006,MATCH(0,COUNTIF($B$11:B2881,Transactions!$F$8:$F$3006),0))="","",INDEX(Transactions!$F$8:$F$3006,MATCH(0,COUNTIF($B$11:B2881,Transactions!$F$8:$F$3006),0))),"")</f>
        <v/>
      </c>
      <c r="C2882" s="42" t="str">
        <f>IF(B2882="","",SUMIF(Transactions!$F$8:$F$3006,B2882,Transactions!$H$8:$H$3006))</f>
        <v/>
      </c>
      <c r="D2882" s="43" t="str">
        <f>IF(B2882="","",SUMIF(Transactions!$F$8:$F$3006,B2882,Transactions!$N$8:$N$3006))</f>
        <v/>
      </c>
      <c r="E2882" s="44" t="str">
        <f>IF(B2882="","",SUMIF(Transactions!$F$8:$F$3006,B2882,Transactions!$O$8:$O$3006))</f>
        <v/>
      </c>
      <c r="F2882" s="45" t="str">
        <f>IF(B2882="","",SUMIF(Transactions!$F$8:$F$3006,B2882,Transactions!$R$8:$R$3006))</f>
        <v/>
      </c>
      <c r="G2882" s="46" t="str">
        <f>IF(B2882="","",(C2882+F2882)-(D2882+E2882+SUMIF(Transactions!$F$8:$F$3006,B2882,Transactions!$Q$8:$Q$3006)))</f>
        <v/>
      </c>
      <c r="H2882" s="47" t="str">
        <f>IF(B2882="","",IF(G2882&gt;0,"OUTSTANDING",IF(G2882=0,"SETTLED",IF(SUMIF(Transactions!$F$8:$F$3006,B2882,Transactions!$Q$8:$Q$3006)&gt;SUMIF(Transactions!$F$8:$F$3006,B2882,Transactions!$R$8:$R$3006),"OWES","OVERPAID"))))</f>
        <v/>
      </c>
      <c r="I2882" s="1"/>
    </row>
    <row r="2883" spans="1:9" ht="18" customHeight="1" x14ac:dyDescent="0.25">
      <c r="A2883" s="48">
        <v>2868</v>
      </c>
      <c r="B2883" s="49" t="str">
        <f t="array" ref="B2883">IFERROR(IF(INDEX(Transactions!$F$8:$F$3006,MATCH(0,COUNTIF($B$11:B2882,Transactions!$F$8:$F$3006),0))="","",INDEX(Transactions!$F$8:$F$3006,MATCH(0,COUNTIF($B$11:B2882,Transactions!$F$8:$F$3006),0))),"")</f>
        <v/>
      </c>
      <c r="C2883" s="50" t="str">
        <f>IF(B2883="","",SUMIF(Transactions!$F$8:$F$3006,B2883,Transactions!$H$8:$H$3006))</f>
        <v/>
      </c>
      <c r="D2883" s="51" t="str">
        <f>IF(B2883="","",SUMIF(Transactions!$F$8:$F$3006,B2883,Transactions!$N$8:$N$3006))</f>
        <v/>
      </c>
      <c r="E2883" s="52" t="str">
        <f>IF(B2883="","",SUMIF(Transactions!$F$8:$F$3006,B2883,Transactions!$O$8:$O$3006))</f>
        <v/>
      </c>
      <c r="F2883" s="53" t="str">
        <f>IF(B2883="","",SUMIF(Transactions!$F$8:$F$3006,B2883,Transactions!$R$8:$R$3006))</f>
        <v/>
      </c>
      <c r="G2883" s="54" t="str">
        <f>IF(B2883="","",(C2883+F2883)-(D2883+E2883+SUMIF(Transactions!$F$8:$F$3006,B2883,Transactions!$Q$8:$Q$3006)))</f>
        <v/>
      </c>
      <c r="H2883" s="55" t="str">
        <f>IF(B2883="","",IF(G2883&gt;0,"OUTSTANDING",IF(G2883=0,"SETTLED",IF(SUMIF(Transactions!$F$8:$F$3006,B2883,Transactions!$Q$8:$Q$3006)&gt;SUMIF(Transactions!$F$8:$F$3006,B2883,Transactions!$R$8:$R$3006),"OWES","OVERPAID"))))</f>
        <v/>
      </c>
      <c r="I2883" s="1"/>
    </row>
    <row r="2884" spans="1:9" ht="18" customHeight="1" x14ac:dyDescent="0.25">
      <c r="A2884" s="40">
        <v>2869</v>
      </c>
      <c r="B2884" s="41" t="str">
        <f t="array" ref="B2884">IFERROR(IF(INDEX(Transactions!$F$8:$F$3006,MATCH(0,COUNTIF($B$11:B2883,Transactions!$F$8:$F$3006),0))="","",INDEX(Transactions!$F$8:$F$3006,MATCH(0,COUNTIF($B$11:B2883,Transactions!$F$8:$F$3006),0))),"")</f>
        <v/>
      </c>
      <c r="C2884" s="42" t="str">
        <f>IF(B2884="","",SUMIF(Transactions!$F$8:$F$3006,B2884,Transactions!$H$8:$H$3006))</f>
        <v/>
      </c>
      <c r="D2884" s="43" t="str">
        <f>IF(B2884="","",SUMIF(Transactions!$F$8:$F$3006,B2884,Transactions!$N$8:$N$3006))</f>
        <v/>
      </c>
      <c r="E2884" s="44" t="str">
        <f>IF(B2884="","",SUMIF(Transactions!$F$8:$F$3006,B2884,Transactions!$O$8:$O$3006))</f>
        <v/>
      </c>
      <c r="F2884" s="45" t="str">
        <f>IF(B2884="","",SUMIF(Transactions!$F$8:$F$3006,B2884,Transactions!$R$8:$R$3006))</f>
        <v/>
      </c>
      <c r="G2884" s="46" t="str">
        <f>IF(B2884="","",(C2884+F2884)-(D2884+E2884+SUMIF(Transactions!$F$8:$F$3006,B2884,Transactions!$Q$8:$Q$3006)))</f>
        <v/>
      </c>
      <c r="H2884" s="47" t="str">
        <f>IF(B2884="","",IF(G2884&gt;0,"OUTSTANDING",IF(G2884=0,"SETTLED",IF(SUMIF(Transactions!$F$8:$F$3006,B2884,Transactions!$Q$8:$Q$3006)&gt;SUMIF(Transactions!$F$8:$F$3006,B2884,Transactions!$R$8:$R$3006),"OWES","OVERPAID"))))</f>
        <v/>
      </c>
      <c r="I2884" s="1"/>
    </row>
    <row r="2885" spans="1:9" ht="18" customHeight="1" x14ac:dyDescent="0.25">
      <c r="A2885" s="48">
        <v>2870</v>
      </c>
      <c r="B2885" s="49" t="str">
        <f t="array" ref="B2885">IFERROR(IF(INDEX(Transactions!$F$8:$F$3006,MATCH(0,COUNTIF($B$11:B2884,Transactions!$F$8:$F$3006),0))="","",INDEX(Transactions!$F$8:$F$3006,MATCH(0,COUNTIF($B$11:B2884,Transactions!$F$8:$F$3006),0))),"")</f>
        <v/>
      </c>
      <c r="C2885" s="50" t="str">
        <f>IF(B2885="","",SUMIF(Transactions!$F$8:$F$3006,B2885,Transactions!$H$8:$H$3006))</f>
        <v/>
      </c>
      <c r="D2885" s="51" t="str">
        <f>IF(B2885="","",SUMIF(Transactions!$F$8:$F$3006,B2885,Transactions!$N$8:$N$3006))</f>
        <v/>
      </c>
      <c r="E2885" s="52" t="str">
        <f>IF(B2885="","",SUMIF(Transactions!$F$8:$F$3006,B2885,Transactions!$O$8:$O$3006))</f>
        <v/>
      </c>
      <c r="F2885" s="53" t="str">
        <f>IF(B2885="","",SUMIF(Transactions!$F$8:$F$3006,B2885,Transactions!$R$8:$R$3006))</f>
        <v/>
      </c>
      <c r="G2885" s="54" t="str">
        <f>IF(B2885="","",(C2885+F2885)-(D2885+E2885+SUMIF(Transactions!$F$8:$F$3006,B2885,Transactions!$Q$8:$Q$3006)))</f>
        <v/>
      </c>
      <c r="H2885" s="55" t="str">
        <f>IF(B2885="","",IF(G2885&gt;0,"OUTSTANDING",IF(G2885=0,"SETTLED",IF(SUMIF(Transactions!$F$8:$F$3006,B2885,Transactions!$Q$8:$Q$3006)&gt;SUMIF(Transactions!$F$8:$F$3006,B2885,Transactions!$R$8:$R$3006),"OWES","OVERPAID"))))</f>
        <v/>
      </c>
      <c r="I2885" s="1"/>
    </row>
    <row r="2886" spans="1:9" ht="18" customHeight="1" x14ac:dyDescent="0.25">
      <c r="A2886" s="40">
        <v>2871</v>
      </c>
      <c r="B2886" s="41" t="str">
        <f t="array" ref="B2886">IFERROR(IF(INDEX(Transactions!$F$8:$F$3006,MATCH(0,COUNTIF($B$11:B2885,Transactions!$F$8:$F$3006),0))="","",INDEX(Transactions!$F$8:$F$3006,MATCH(0,COUNTIF($B$11:B2885,Transactions!$F$8:$F$3006),0))),"")</f>
        <v/>
      </c>
      <c r="C2886" s="42" t="str">
        <f>IF(B2886="","",SUMIF(Transactions!$F$8:$F$3006,B2886,Transactions!$H$8:$H$3006))</f>
        <v/>
      </c>
      <c r="D2886" s="43" t="str">
        <f>IF(B2886="","",SUMIF(Transactions!$F$8:$F$3006,B2886,Transactions!$N$8:$N$3006))</f>
        <v/>
      </c>
      <c r="E2886" s="44" t="str">
        <f>IF(B2886="","",SUMIF(Transactions!$F$8:$F$3006,B2886,Transactions!$O$8:$O$3006))</f>
        <v/>
      </c>
      <c r="F2886" s="45" t="str">
        <f>IF(B2886="","",SUMIF(Transactions!$F$8:$F$3006,B2886,Transactions!$R$8:$R$3006))</f>
        <v/>
      </c>
      <c r="G2886" s="46" t="str">
        <f>IF(B2886="","",(C2886+F2886)-(D2886+E2886+SUMIF(Transactions!$F$8:$F$3006,B2886,Transactions!$Q$8:$Q$3006)))</f>
        <v/>
      </c>
      <c r="H2886" s="47" t="str">
        <f>IF(B2886="","",IF(G2886&gt;0,"OUTSTANDING",IF(G2886=0,"SETTLED",IF(SUMIF(Transactions!$F$8:$F$3006,B2886,Transactions!$Q$8:$Q$3006)&gt;SUMIF(Transactions!$F$8:$F$3006,B2886,Transactions!$R$8:$R$3006),"OWES","OVERPAID"))))</f>
        <v/>
      </c>
      <c r="I2886" s="1"/>
    </row>
    <row r="2887" spans="1:9" ht="18" customHeight="1" x14ac:dyDescent="0.25">
      <c r="A2887" s="48">
        <v>2872</v>
      </c>
      <c r="B2887" s="49" t="str">
        <f t="array" ref="B2887">IFERROR(IF(INDEX(Transactions!$F$8:$F$3006,MATCH(0,COUNTIF($B$11:B2886,Transactions!$F$8:$F$3006),0))="","",INDEX(Transactions!$F$8:$F$3006,MATCH(0,COUNTIF($B$11:B2886,Transactions!$F$8:$F$3006),0))),"")</f>
        <v/>
      </c>
      <c r="C2887" s="50" t="str">
        <f>IF(B2887="","",SUMIF(Transactions!$F$8:$F$3006,B2887,Transactions!$H$8:$H$3006))</f>
        <v/>
      </c>
      <c r="D2887" s="51" t="str">
        <f>IF(B2887="","",SUMIF(Transactions!$F$8:$F$3006,B2887,Transactions!$N$8:$N$3006))</f>
        <v/>
      </c>
      <c r="E2887" s="52" t="str">
        <f>IF(B2887="","",SUMIF(Transactions!$F$8:$F$3006,B2887,Transactions!$O$8:$O$3006))</f>
        <v/>
      </c>
      <c r="F2887" s="53" t="str">
        <f>IF(B2887="","",SUMIF(Transactions!$F$8:$F$3006,B2887,Transactions!$R$8:$R$3006))</f>
        <v/>
      </c>
      <c r="G2887" s="54" t="str">
        <f>IF(B2887="","",(C2887+F2887)-(D2887+E2887+SUMIF(Transactions!$F$8:$F$3006,B2887,Transactions!$Q$8:$Q$3006)))</f>
        <v/>
      </c>
      <c r="H2887" s="55" t="str">
        <f>IF(B2887="","",IF(G2887&gt;0,"OUTSTANDING",IF(G2887=0,"SETTLED",IF(SUMIF(Transactions!$F$8:$F$3006,B2887,Transactions!$Q$8:$Q$3006)&gt;SUMIF(Transactions!$F$8:$F$3006,B2887,Transactions!$R$8:$R$3006),"OWES","OVERPAID"))))</f>
        <v/>
      </c>
      <c r="I2887" s="1"/>
    </row>
    <row r="2888" spans="1:9" ht="18" customHeight="1" x14ac:dyDescent="0.25">
      <c r="A2888" s="40">
        <v>2873</v>
      </c>
      <c r="B2888" s="41" t="str">
        <f t="array" ref="B2888">IFERROR(IF(INDEX(Transactions!$F$8:$F$3006,MATCH(0,COUNTIF($B$11:B2887,Transactions!$F$8:$F$3006),0))="","",INDEX(Transactions!$F$8:$F$3006,MATCH(0,COUNTIF($B$11:B2887,Transactions!$F$8:$F$3006),0))),"")</f>
        <v/>
      </c>
      <c r="C2888" s="42" t="str">
        <f>IF(B2888="","",SUMIF(Transactions!$F$8:$F$3006,B2888,Transactions!$H$8:$H$3006))</f>
        <v/>
      </c>
      <c r="D2888" s="43" t="str">
        <f>IF(B2888="","",SUMIF(Transactions!$F$8:$F$3006,B2888,Transactions!$N$8:$N$3006))</f>
        <v/>
      </c>
      <c r="E2888" s="44" t="str">
        <f>IF(B2888="","",SUMIF(Transactions!$F$8:$F$3006,B2888,Transactions!$O$8:$O$3006))</f>
        <v/>
      </c>
      <c r="F2888" s="45" t="str">
        <f>IF(B2888="","",SUMIF(Transactions!$F$8:$F$3006,B2888,Transactions!$R$8:$R$3006))</f>
        <v/>
      </c>
      <c r="G2888" s="46" t="str">
        <f>IF(B2888="","",(C2888+F2888)-(D2888+E2888+SUMIF(Transactions!$F$8:$F$3006,B2888,Transactions!$Q$8:$Q$3006)))</f>
        <v/>
      </c>
      <c r="H2888" s="47" t="str">
        <f>IF(B2888="","",IF(G2888&gt;0,"OUTSTANDING",IF(G2888=0,"SETTLED",IF(SUMIF(Transactions!$F$8:$F$3006,B2888,Transactions!$Q$8:$Q$3006)&gt;SUMIF(Transactions!$F$8:$F$3006,B2888,Transactions!$R$8:$R$3006),"OWES","OVERPAID"))))</f>
        <v/>
      </c>
      <c r="I2888" s="1"/>
    </row>
    <row r="2889" spans="1:9" ht="18" customHeight="1" x14ac:dyDescent="0.25">
      <c r="A2889" s="48">
        <v>2874</v>
      </c>
      <c r="B2889" s="49" t="str">
        <f t="array" ref="B2889">IFERROR(IF(INDEX(Transactions!$F$8:$F$3006,MATCH(0,COUNTIF($B$11:B2888,Transactions!$F$8:$F$3006),0))="","",INDEX(Transactions!$F$8:$F$3006,MATCH(0,COUNTIF($B$11:B2888,Transactions!$F$8:$F$3006),0))),"")</f>
        <v/>
      </c>
      <c r="C2889" s="50" t="str">
        <f>IF(B2889="","",SUMIF(Transactions!$F$8:$F$3006,B2889,Transactions!$H$8:$H$3006))</f>
        <v/>
      </c>
      <c r="D2889" s="51" t="str">
        <f>IF(B2889="","",SUMIF(Transactions!$F$8:$F$3006,B2889,Transactions!$N$8:$N$3006))</f>
        <v/>
      </c>
      <c r="E2889" s="52" t="str">
        <f>IF(B2889="","",SUMIF(Transactions!$F$8:$F$3006,B2889,Transactions!$O$8:$O$3006))</f>
        <v/>
      </c>
      <c r="F2889" s="53" t="str">
        <f>IF(B2889="","",SUMIF(Transactions!$F$8:$F$3006,B2889,Transactions!$R$8:$R$3006))</f>
        <v/>
      </c>
      <c r="G2889" s="54" t="str">
        <f>IF(B2889="","",(C2889+F2889)-(D2889+E2889+SUMIF(Transactions!$F$8:$F$3006,B2889,Transactions!$Q$8:$Q$3006)))</f>
        <v/>
      </c>
      <c r="H2889" s="55" t="str">
        <f>IF(B2889="","",IF(G2889&gt;0,"OUTSTANDING",IF(G2889=0,"SETTLED",IF(SUMIF(Transactions!$F$8:$F$3006,B2889,Transactions!$Q$8:$Q$3006)&gt;SUMIF(Transactions!$F$8:$F$3006,B2889,Transactions!$R$8:$R$3006),"OWES","OVERPAID"))))</f>
        <v/>
      </c>
      <c r="I2889" s="1"/>
    </row>
    <row r="2890" spans="1:9" ht="18" customHeight="1" x14ac:dyDescent="0.25">
      <c r="A2890" s="40">
        <v>2875</v>
      </c>
      <c r="B2890" s="41" t="str">
        <f t="array" ref="B2890">IFERROR(IF(INDEX(Transactions!$F$8:$F$3006,MATCH(0,COUNTIF($B$11:B2889,Transactions!$F$8:$F$3006),0))="","",INDEX(Transactions!$F$8:$F$3006,MATCH(0,COUNTIF($B$11:B2889,Transactions!$F$8:$F$3006),0))),"")</f>
        <v/>
      </c>
      <c r="C2890" s="42" t="str">
        <f>IF(B2890="","",SUMIF(Transactions!$F$8:$F$3006,B2890,Transactions!$H$8:$H$3006))</f>
        <v/>
      </c>
      <c r="D2890" s="43" t="str">
        <f>IF(B2890="","",SUMIF(Transactions!$F$8:$F$3006,B2890,Transactions!$N$8:$N$3006))</f>
        <v/>
      </c>
      <c r="E2890" s="44" t="str">
        <f>IF(B2890="","",SUMIF(Transactions!$F$8:$F$3006,B2890,Transactions!$O$8:$O$3006))</f>
        <v/>
      </c>
      <c r="F2890" s="45" t="str">
        <f>IF(B2890="","",SUMIF(Transactions!$F$8:$F$3006,B2890,Transactions!$R$8:$R$3006))</f>
        <v/>
      </c>
      <c r="G2890" s="46" t="str">
        <f>IF(B2890="","",(C2890+F2890)-(D2890+E2890+SUMIF(Transactions!$F$8:$F$3006,B2890,Transactions!$Q$8:$Q$3006)))</f>
        <v/>
      </c>
      <c r="H2890" s="47" t="str">
        <f>IF(B2890="","",IF(G2890&gt;0,"OUTSTANDING",IF(G2890=0,"SETTLED",IF(SUMIF(Transactions!$F$8:$F$3006,B2890,Transactions!$Q$8:$Q$3006)&gt;SUMIF(Transactions!$F$8:$F$3006,B2890,Transactions!$R$8:$R$3006),"OWES","OVERPAID"))))</f>
        <v/>
      </c>
      <c r="I2890" s="1"/>
    </row>
    <row r="2891" spans="1:9" ht="18" customHeight="1" x14ac:dyDescent="0.25">
      <c r="A2891" s="48">
        <v>2876</v>
      </c>
      <c r="B2891" s="49" t="str">
        <f t="array" ref="B2891">IFERROR(IF(INDEX(Transactions!$F$8:$F$3006,MATCH(0,COUNTIF($B$11:B2890,Transactions!$F$8:$F$3006),0))="","",INDEX(Transactions!$F$8:$F$3006,MATCH(0,COUNTIF($B$11:B2890,Transactions!$F$8:$F$3006),0))),"")</f>
        <v/>
      </c>
      <c r="C2891" s="50" t="str">
        <f>IF(B2891="","",SUMIF(Transactions!$F$8:$F$3006,B2891,Transactions!$H$8:$H$3006))</f>
        <v/>
      </c>
      <c r="D2891" s="51" t="str">
        <f>IF(B2891="","",SUMIF(Transactions!$F$8:$F$3006,B2891,Transactions!$N$8:$N$3006))</f>
        <v/>
      </c>
      <c r="E2891" s="52" t="str">
        <f>IF(B2891="","",SUMIF(Transactions!$F$8:$F$3006,B2891,Transactions!$O$8:$O$3006))</f>
        <v/>
      </c>
      <c r="F2891" s="53" t="str">
        <f>IF(B2891="","",SUMIF(Transactions!$F$8:$F$3006,B2891,Transactions!$R$8:$R$3006))</f>
        <v/>
      </c>
      <c r="G2891" s="54" t="str">
        <f>IF(B2891="","",(C2891+F2891)-(D2891+E2891+SUMIF(Transactions!$F$8:$F$3006,B2891,Transactions!$Q$8:$Q$3006)))</f>
        <v/>
      </c>
      <c r="H2891" s="55" t="str">
        <f>IF(B2891="","",IF(G2891&gt;0,"OUTSTANDING",IF(G2891=0,"SETTLED",IF(SUMIF(Transactions!$F$8:$F$3006,B2891,Transactions!$Q$8:$Q$3006)&gt;SUMIF(Transactions!$F$8:$F$3006,B2891,Transactions!$R$8:$R$3006),"OWES","OVERPAID"))))</f>
        <v/>
      </c>
      <c r="I2891" s="1"/>
    </row>
    <row r="2892" spans="1:9" ht="18" customHeight="1" x14ac:dyDescent="0.25">
      <c r="A2892" s="40">
        <v>2877</v>
      </c>
      <c r="B2892" s="41" t="str">
        <f t="array" ref="B2892">IFERROR(IF(INDEX(Transactions!$F$8:$F$3006,MATCH(0,COUNTIF($B$11:B2891,Transactions!$F$8:$F$3006),0))="","",INDEX(Transactions!$F$8:$F$3006,MATCH(0,COUNTIF($B$11:B2891,Transactions!$F$8:$F$3006),0))),"")</f>
        <v/>
      </c>
      <c r="C2892" s="42" t="str">
        <f>IF(B2892="","",SUMIF(Transactions!$F$8:$F$3006,B2892,Transactions!$H$8:$H$3006))</f>
        <v/>
      </c>
      <c r="D2892" s="43" t="str">
        <f>IF(B2892="","",SUMIF(Transactions!$F$8:$F$3006,B2892,Transactions!$N$8:$N$3006))</f>
        <v/>
      </c>
      <c r="E2892" s="44" t="str">
        <f>IF(B2892="","",SUMIF(Transactions!$F$8:$F$3006,B2892,Transactions!$O$8:$O$3006))</f>
        <v/>
      </c>
      <c r="F2892" s="45" t="str">
        <f>IF(B2892="","",SUMIF(Transactions!$F$8:$F$3006,B2892,Transactions!$R$8:$R$3006))</f>
        <v/>
      </c>
      <c r="G2892" s="46" t="str">
        <f>IF(B2892="","",(C2892+F2892)-(D2892+E2892+SUMIF(Transactions!$F$8:$F$3006,B2892,Transactions!$Q$8:$Q$3006)))</f>
        <v/>
      </c>
      <c r="H2892" s="47" t="str">
        <f>IF(B2892="","",IF(G2892&gt;0,"OUTSTANDING",IF(G2892=0,"SETTLED",IF(SUMIF(Transactions!$F$8:$F$3006,B2892,Transactions!$Q$8:$Q$3006)&gt;SUMIF(Transactions!$F$8:$F$3006,B2892,Transactions!$R$8:$R$3006),"OWES","OVERPAID"))))</f>
        <v/>
      </c>
      <c r="I2892" s="1"/>
    </row>
    <row r="2893" spans="1:9" ht="18" customHeight="1" x14ac:dyDescent="0.25">
      <c r="A2893" s="48">
        <v>2878</v>
      </c>
      <c r="B2893" s="49" t="str">
        <f t="array" ref="B2893">IFERROR(IF(INDEX(Transactions!$F$8:$F$3006,MATCH(0,COUNTIF($B$11:B2892,Transactions!$F$8:$F$3006),0))="","",INDEX(Transactions!$F$8:$F$3006,MATCH(0,COUNTIF($B$11:B2892,Transactions!$F$8:$F$3006),0))),"")</f>
        <v/>
      </c>
      <c r="C2893" s="50" t="str">
        <f>IF(B2893="","",SUMIF(Transactions!$F$8:$F$3006,B2893,Transactions!$H$8:$H$3006))</f>
        <v/>
      </c>
      <c r="D2893" s="51" t="str">
        <f>IF(B2893="","",SUMIF(Transactions!$F$8:$F$3006,B2893,Transactions!$N$8:$N$3006))</f>
        <v/>
      </c>
      <c r="E2893" s="52" t="str">
        <f>IF(B2893="","",SUMIF(Transactions!$F$8:$F$3006,B2893,Transactions!$O$8:$O$3006))</f>
        <v/>
      </c>
      <c r="F2893" s="53" t="str">
        <f>IF(B2893="","",SUMIF(Transactions!$F$8:$F$3006,B2893,Transactions!$R$8:$R$3006))</f>
        <v/>
      </c>
      <c r="G2893" s="54" t="str">
        <f>IF(B2893="","",(C2893+F2893)-(D2893+E2893+SUMIF(Transactions!$F$8:$F$3006,B2893,Transactions!$Q$8:$Q$3006)))</f>
        <v/>
      </c>
      <c r="H2893" s="55" t="str">
        <f>IF(B2893="","",IF(G2893&gt;0,"OUTSTANDING",IF(G2893=0,"SETTLED",IF(SUMIF(Transactions!$F$8:$F$3006,B2893,Transactions!$Q$8:$Q$3006)&gt;SUMIF(Transactions!$F$8:$F$3006,B2893,Transactions!$R$8:$R$3006),"OWES","OVERPAID"))))</f>
        <v/>
      </c>
      <c r="I2893" s="1"/>
    </row>
    <row r="2894" spans="1:9" ht="18" customHeight="1" x14ac:dyDescent="0.25">
      <c r="A2894" s="40">
        <v>2879</v>
      </c>
      <c r="B2894" s="41" t="str">
        <f t="array" ref="B2894">IFERROR(IF(INDEX(Transactions!$F$8:$F$3006,MATCH(0,COUNTIF($B$11:B2893,Transactions!$F$8:$F$3006),0))="","",INDEX(Transactions!$F$8:$F$3006,MATCH(0,COUNTIF($B$11:B2893,Transactions!$F$8:$F$3006),0))),"")</f>
        <v/>
      </c>
      <c r="C2894" s="42" t="str">
        <f>IF(B2894="","",SUMIF(Transactions!$F$8:$F$3006,B2894,Transactions!$H$8:$H$3006))</f>
        <v/>
      </c>
      <c r="D2894" s="43" t="str">
        <f>IF(B2894="","",SUMIF(Transactions!$F$8:$F$3006,B2894,Transactions!$N$8:$N$3006))</f>
        <v/>
      </c>
      <c r="E2894" s="44" t="str">
        <f>IF(B2894="","",SUMIF(Transactions!$F$8:$F$3006,B2894,Transactions!$O$8:$O$3006))</f>
        <v/>
      </c>
      <c r="F2894" s="45" t="str">
        <f>IF(B2894="","",SUMIF(Transactions!$F$8:$F$3006,B2894,Transactions!$R$8:$R$3006))</f>
        <v/>
      </c>
      <c r="G2894" s="46" t="str">
        <f>IF(B2894="","",(C2894+F2894)-(D2894+E2894+SUMIF(Transactions!$F$8:$F$3006,B2894,Transactions!$Q$8:$Q$3006)))</f>
        <v/>
      </c>
      <c r="H2894" s="47" t="str">
        <f>IF(B2894="","",IF(G2894&gt;0,"OUTSTANDING",IF(G2894=0,"SETTLED",IF(SUMIF(Transactions!$F$8:$F$3006,B2894,Transactions!$Q$8:$Q$3006)&gt;SUMIF(Transactions!$F$8:$F$3006,B2894,Transactions!$R$8:$R$3006),"OWES","OVERPAID"))))</f>
        <v/>
      </c>
      <c r="I2894" s="1"/>
    </row>
    <row r="2895" spans="1:9" ht="18" customHeight="1" x14ac:dyDescent="0.25">
      <c r="A2895" s="48">
        <v>2880</v>
      </c>
      <c r="B2895" s="49" t="str">
        <f t="array" ref="B2895">IFERROR(IF(INDEX(Transactions!$F$8:$F$3006,MATCH(0,COUNTIF($B$11:B2894,Transactions!$F$8:$F$3006),0))="","",INDEX(Transactions!$F$8:$F$3006,MATCH(0,COUNTIF($B$11:B2894,Transactions!$F$8:$F$3006),0))),"")</f>
        <v/>
      </c>
      <c r="C2895" s="50" t="str">
        <f>IF(B2895="","",SUMIF(Transactions!$F$8:$F$3006,B2895,Transactions!$H$8:$H$3006))</f>
        <v/>
      </c>
      <c r="D2895" s="51" t="str">
        <f>IF(B2895="","",SUMIF(Transactions!$F$8:$F$3006,B2895,Transactions!$N$8:$N$3006))</f>
        <v/>
      </c>
      <c r="E2895" s="52" t="str">
        <f>IF(B2895="","",SUMIF(Transactions!$F$8:$F$3006,B2895,Transactions!$O$8:$O$3006))</f>
        <v/>
      </c>
      <c r="F2895" s="53" t="str">
        <f>IF(B2895="","",SUMIF(Transactions!$F$8:$F$3006,B2895,Transactions!$R$8:$R$3006))</f>
        <v/>
      </c>
      <c r="G2895" s="54" t="str">
        <f>IF(B2895="","",(C2895+F2895)-(D2895+E2895+SUMIF(Transactions!$F$8:$F$3006,B2895,Transactions!$Q$8:$Q$3006)))</f>
        <v/>
      </c>
      <c r="H2895" s="55" t="str">
        <f>IF(B2895="","",IF(G2895&gt;0,"OUTSTANDING",IF(G2895=0,"SETTLED",IF(SUMIF(Transactions!$F$8:$F$3006,B2895,Transactions!$Q$8:$Q$3006)&gt;SUMIF(Transactions!$F$8:$F$3006,B2895,Transactions!$R$8:$R$3006),"OWES","OVERPAID"))))</f>
        <v/>
      </c>
      <c r="I2895" s="1"/>
    </row>
    <row r="2896" spans="1:9" ht="18" customHeight="1" x14ac:dyDescent="0.25">
      <c r="A2896" s="40">
        <v>2881</v>
      </c>
      <c r="B2896" s="41" t="str">
        <f t="array" ref="B2896">IFERROR(IF(INDEX(Transactions!$F$8:$F$3006,MATCH(0,COUNTIF($B$11:B2895,Transactions!$F$8:$F$3006),0))="","",INDEX(Transactions!$F$8:$F$3006,MATCH(0,COUNTIF($B$11:B2895,Transactions!$F$8:$F$3006),0))),"")</f>
        <v/>
      </c>
      <c r="C2896" s="42" t="str">
        <f>IF(B2896="","",SUMIF(Transactions!$F$8:$F$3006,B2896,Transactions!$H$8:$H$3006))</f>
        <v/>
      </c>
      <c r="D2896" s="43" t="str">
        <f>IF(B2896="","",SUMIF(Transactions!$F$8:$F$3006,B2896,Transactions!$N$8:$N$3006))</f>
        <v/>
      </c>
      <c r="E2896" s="44" t="str">
        <f>IF(B2896="","",SUMIF(Transactions!$F$8:$F$3006,B2896,Transactions!$O$8:$O$3006))</f>
        <v/>
      </c>
      <c r="F2896" s="45" t="str">
        <f>IF(B2896="","",SUMIF(Transactions!$F$8:$F$3006,B2896,Transactions!$R$8:$R$3006))</f>
        <v/>
      </c>
      <c r="G2896" s="46" t="str">
        <f>IF(B2896="","",(C2896+F2896)-(D2896+E2896+SUMIF(Transactions!$F$8:$F$3006,B2896,Transactions!$Q$8:$Q$3006)))</f>
        <v/>
      </c>
      <c r="H2896" s="47" t="str">
        <f>IF(B2896="","",IF(G2896&gt;0,"OUTSTANDING",IF(G2896=0,"SETTLED",IF(SUMIF(Transactions!$F$8:$F$3006,B2896,Transactions!$Q$8:$Q$3006)&gt;SUMIF(Transactions!$F$8:$F$3006,B2896,Transactions!$R$8:$R$3006),"OWES","OVERPAID"))))</f>
        <v/>
      </c>
      <c r="I2896" s="1"/>
    </row>
    <row r="2897" spans="1:9" ht="18" customHeight="1" x14ac:dyDescent="0.25">
      <c r="A2897" s="48">
        <v>2882</v>
      </c>
      <c r="B2897" s="49" t="str">
        <f t="array" ref="B2897">IFERROR(IF(INDEX(Transactions!$F$8:$F$3006,MATCH(0,COUNTIF($B$11:B2896,Transactions!$F$8:$F$3006),0))="","",INDEX(Transactions!$F$8:$F$3006,MATCH(0,COUNTIF($B$11:B2896,Transactions!$F$8:$F$3006),0))),"")</f>
        <v/>
      </c>
      <c r="C2897" s="50" t="str">
        <f>IF(B2897="","",SUMIF(Transactions!$F$8:$F$3006,B2897,Transactions!$H$8:$H$3006))</f>
        <v/>
      </c>
      <c r="D2897" s="51" t="str">
        <f>IF(B2897="","",SUMIF(Transactions!$F$8:$F$3006,B2897,Transactions!$N$8:$N$3006))</f>
        <v/>
      </c>
      <c r="E2897" s="52" t="str">
        <f>IF(B2897="","",SUMIF(Transactions!$F$8:$F$3006,B2897,Transactions!$O$8:$O$3006))</f>
        <v/>
      </c>
      <c r="F2897" s="53" t="str">
        <f>IF(B2897="","",SUMIF(Transactions!$F$8:$F$3006,B2897,Transactions!$R$8:$R$3006))</f>
        <v/>
      </c>
      <c r="G2897" s="54" t="str">
        <f>IF(B2897="","",(C2897+F2897)-(D2897+E2897+SUMIF(Transactions!$F$8:$F$3006,B2897,Transactions!$Q$8:$Q$3006)))</f>
        <v/>
      </c>
      <c r="H2897" s="55" t="str">
        <f>IF(B2897="","",IF(G2897&gt;0,"OUTSTANDING",IF(G2897=0,"SETTLED",IF(SUMIF(Transactions!$F$8:$F$3006,B2897,Transactions!$Q$8:$Q$3006)&gt;SUMIF(Transactions!$F$8:$F$3006,B2897,Transactions!$R$8:$R$3006),"OWES","OVERPAID"))))</f>
        <v/>
      </c>
      <c r="I2897" s="1"/>
    </row>
    <row r="2898" spans="1:9" ht="18" customHeight="1" x14ac:dyDescent="0.25">
      <c r="A2898" s="40">
        <v>2883</v>
      </c>
      <c r="B2898" s="41" t="str">
        <f t="array" ref="B2898">IFERROR(IF(INDEX(Transactions!$F$8:$F$3006,MATCH(0,COUNTIF($B$11:B2897,Transactions!$F$8:$F$3006),0))="","",INDEX(Transactions!$F$8:$F$3006,MATCH(0,COUNTIF($B$11:B2897,Transactions!$F$8:$F$3006),0))),"")</f>
        <v/>
      </c>
      <c r="C2898" s="42" t="str">
        <f>IF(B2898="","",SUMIF(Transactions!$F$8:$F$3006,B2898,Transactions!$H$8:$H$3006))</f>
        <v/>
      </c>
      <c r="D2898" s="43" t="str">
        <f>IF(B2898="","",SUMIF(Transactions!$F$8:$F$3006,B2898,Transactions!$N$8:$N$3006))</f>
        <v/>
      </c>
      <c r="E2898" s="44" t="str">
        <f>IF(B2898="","",SUMIF(Transactions!$F$8:$F$3006,B2898,Transactions!$O$8:$O$3006))</f>
        <v/>
      </c>
      <c r="F2898" s="45" t="str">
        <f>IF(B2898="","",SUMIF(Transactions!$F$8:$F$3006,B2898,Transactions!$R$8:$R$3006))</f>
        <v/>
      </c>
      <c r="G2898" s="46" t="str">
        <f>IF(B2898="","",(C2898+F2898)-(D2898+E2898+SUMIF(Transactions!$F$8:$F$3006,B2898,Transactions!$Q$8:$Q$3006)))</f>
        <v/>
      </c>
      <c r="H2898" s="47" t="str">
        <f>IF(B2898="","",IF(G2898&gt;0,"OUTSTANDING",IF(G2898=0,"SETTLED",IF(SUMIF(Transactions!$F$8:$F$3006,B2898,Transactions!$Q$8:$Q$3006)&gt;SUMIF(Transactions!$F$8:$F$3006,B2898,Transactions!$R$8:$R$3006),"OWES","OVERPAID"))))</f>
        <v/>
      </c>
      <c r="I2898" s="1"/>
    </row>
    <row r="2899" spans="1:9" ht="18" customHeight="1" x14ac:dyDescent="0.25">
      <c r="A2899" s="48">
        <v>2884</v>
      </c>
      <c r="B2899" s="49" t="str">
        <f t="array" ref="B2899">IFERROR(IF(INDEX(Transactions!$F$8:$F$3006,MATCH(0,COUNTIF($B$11:B2898,Transactions!$F$8:$F$3006),0))="","",INDEX(Transactions!$F$8:$F$3006,MATCH(0,COUNTIF($B$11:B2898,Transactions!$F$8:$F$3006),0))),"")</f>
        <v/>
      </c>
      <c r="C2899" s="50" t="str">
        <f>IF(B2899="","",SUMIF(Transactions!$F$8:$F$3006,B2899,Transactions!$H$8:$H$3006))</f>
        <v/>
      </c>
      <c r="D2899" s="51" t="str">
        <f>IF(B2899="","",SUMIF(Transactions!$F$8:$F$3006,B2899,Transactions!$N$8:$N$3006))</f>
        <v/>
      </c>
      <c r="E2899" s="52" t="str">
        <f>IF(B2899="","",SUMIF(Transactions!$F$8:$F$3006,B2899,Transactions!$O$8:$O$3006))</f>
        <v/>
      </c>
      <c r="F2899" s="53" t="str">
        <f>IF(B2899="","",SUMIF(Transactions!$F$8:$F$3006,B2899,Transactions!$R$8:$R$3006))</f>
        <v/>
      </c>
      <c r="G2899" s="54" t="str">
        <f>IF(B2899="","",(C2899+F2899)-(D2899+E2899+SUMIF(Transactions!$F$8:$F$3006,B2899,Transactions!$Q$8:$Q$3006)))</f>
        <v/>
      </c>
      <c r="H2899" s="55" t="str">
        <f>IF(B2899="","",IF(G2899&gt;0,"OUTSTANDING",IF(G2899=0,"SETTLED",IF(SUMIF(Transactions!$F$8:$F$3006,B2899,Transactions!$Q$8:$Q$3006)&gt;SUMIF(Transactions!$F$8:$F$3006,B2899,Transactions!$R$8:$R$3006),"OWES","OVERPAID"))))</f>
        <v/>
      </c>
      <c r="I2899" s="1"/>
    </row>
    <row r="2900" spans="1:9" ht="18" customHeight="1" x14ac:dyDescent="0.25">
      <c r="A2900" s="40">
        <v>2885</v>
      </c>
      <c r="B2900" s="41" t="str">
        <f t="array" ref="B2900">IFERROR(IF(INDEX(Transactions!$F$8:$F$3006,MATCH(0,COUNTIF($B$11:B2899,Transactions!$F$8:$F$3006),0))="","",INDEX(Transactions!$F$8:$F$3006,MATCH(0,COUNTIF($B$11:B2899,Transactions!$F$8:$F$3006),0))),"")</f>
        <v/>
      </c>
      <c r="C2900" s="42" t="str">
        <f>IF(B2900="","",SUMIF(Transactions!$F$8:$F$3006,B2900,Transactions!$H$8:$H$3006))</f>
        <v/>
      </c>
      <c r="D2900" s="43" t="str">
        <f>IF(B2900="","",SUMIF(Transactions!$F$8:$F$3006,B2900,Transactions!$N$8:$N$3006))</f>
        <v/>
      </c>
      <c r="E2900" s="44" t="str">
        <f>IF(B2900="","",SUMIF(Transactions!$F$8:$F$3006,B2900,Transactions!$O$8:$O$3006))</f>
        <v/>
      </c>
      <c r="F2900" s="45" t="str">
        <f>IF(B2900="","",SUMIF(Transactions!$F$8:$F$3006,B2900,Transactions!$R$8:$R$3006))</f>
        <v/>
      </c>
      <c r="G2900" s="46" t="str">
        <f>IF(B2900="","",(C2900+F2900)-(D2900+E2900+SUMIF(Transactions!$F$8:$F$3006,B2900,Transactions!$Q$8:$Q$3006)))</f>
        <v/>
      </c>
      <c r="H2900" s="47" t="str">
        <f>IF(B2900="","",IF(G2900&gt;0,"OUTSTANDING",IF(G2900=0,"SETTLED",IF(SUMIF(Transactions!$F$8:$F$3006,B2900,Transactions!$Q$8:$Q$3006)&gt;SUMIF(Transactions!$F$8:$F$3006,B2900,Transactions!$R$8:$R$3006),"OWES","OVERPAID"))))</f>
        <v/>
      </c>
      <c r="I2900" s="1"/>
    </row>
    <row r="2901" spans="1:9" ht="18" customHeight="1" x14ac:dyDescent="0.25">
      <c r="A2901" s="48">
        <v>2886</v>
      </c>
      <c r="B2901" s="49" t="str">
        <f t="array" ref="B2901">IFERROR(IF(INDEX(Transactions!$F$8:$F$3006,MATCH(0,COUNTIF($B$11:B2900,Transactions!$F$8:$F$3006),0))="","",INDEX(Transactions!$F$8:$F$3006,MATCH(0,COUNTIF($B$11:B2900,Transactions!$F$8:$F$3006),0))),"")</f>
        <v/>
      </c>
      <c r="C2901" s="50" t="str">
        <f>IF(B2901="","",SUMIF(Transactions!$F$8:$F$3006,B2901,Transactions!$H$8:$H$3006))</f>
        <v/>
      </c>
      <c r="D2901" s="51" t="str">
        <f>IF(B2901="","",SUMIF(Transactions!$F$8:$F$3006,B2901,Transactions!$N$8:$N$3006))</f>
        <v/>
      </c>
      <c r="E2901" s="52" t="str">
        <f>IF(B2901="","",SUMIF(Transactions!$F$8:$F$3006,B2901,Transactions!$O$8:$O$3006))</f>
        <v/>
      </c>
      <c r="F2901" s="53" t="str">
        <f>IF(B2901="","",SUMIF(Transactions!$F$8:$F$3006,B2901,Transactions!$R$8:$R$3006))</f>
        <v/>
      </c>
      <c r="G2901" s="54" t="str">
        <f>IF(B2901="","",(C2901+F2901)-(D2901+E2901+SUMIF(Transactions!$F$8:$F$3006,B2901,Transactions!$Q$8:$Q$3006)))</f>
        <v/>
      </c>
      <c r="H2901" s="55" t="str">
        <f>IF(B2901="","",IF(G2901&gt;0,"OUTSTANDING",IF(G2901=0,"SETTLED",IF(SUMIF(Transactions!$F$8:$F$3006,B2901,Transactions!$Q$8:$Q$3006)&gt;SUMIF(Transactions!$F$8:$F$3006,B2901,Transactions!$R$8:$R$3006),"OWES","OVERPAID"))))</f>
        <v/>
      </c>
      <c r="I2901" s="1"/>
    </row>
    <row r="2902" spans="1:9" ht="18" customHeight="1" x14ac:dyDescent="0.25">
      <c r="A2902" s="40">
        <v>2887</v>
      </c>
      <c r="B2902" s="41" t="str">
        <f t="array" ref="B2902">IFERROR(IF(INDEX(Transactions!$F$8:$F$3006,MATCH(0,COUNTIF($B$11:B2901,Transactions!$F$8:$F$3006),0))="","",INDEX(Transactions!$F$8:$F$3006,MATCH(0,COUNTIF($B$11:B2901,Transactions!$F$8:$F$3006),0))),"")</f>
        <v/>
      </c>
      <c r="C2902" s="42" t="str">
        <f>IF(B2902="","",SUMIF(Transactions!$F$8:$F$3006,B2902,Transactions!$H$8:$H$3006))</f>
        <v/>
      </c>
      <c r="D2902" s="43" t="str">
        <f>IF(B2902="","",SUMIF(Transactions!$F$8:$F$3006,B2902,Transactions!$N$8:$N$3006))</f>
        <v/>
      </c>
      <c r="E2902" s="44" t="str">
        <f>IF(B2902="","",SUMIF(Transactions!$F$8:$F$3006,B2902,Transactions!$O$8:$O$3006))</f>
        <v/>
      </c>
      <c r="F2902" s="45" t="str">
        <f>IF(B2902="","",SUMIF(Transactions!$F$8:$F$3006,B2902,Transactions!$R$8:$R$3006))</f>
        <v/>
      </c>
      <c r="G2902" s="46" t="str">
        <f>IF(B2902="","",(C2902+F2902)-(D2902+E2902+SUMIF(Transactions!$F$8:$F$3006,B2902,Transactions!$Q$8:$Q$3006)))</f>
        <v/>
      </c>
      <c r="H2902" s="47" t="str">
        <f>IF(B2902="","",IF(G2902&gt;0,"OUTSTANDING",IF(G2902=0,"SETTLED",IF(SUMIF(Transactions!$F$8:$F$3006,B2902,Transactions!$Q$8:$Q$3006)&gt;SUMIF(Transactions!$F$8:$F$3006,B2902,Transactions!$R$8:$R$3006),"OWES","OVERPAID"))))</f>
        <v/>
      </c>
      <c r="I2902" s="1"/>
    </row>
    <row r="2903" spans="1:9" ht="18" customHeight="1" x14ac:dyDescent="0.25">
      <c r="A2903" s="48">
        <v>2888</v>
      </c>
      <c r="B2903" s="49" t="str">
        <f t="array" ref="B2903">IFERROR(IF(INDEX(Transactions!$F$8:$F$3006,MATCH(0,COUNTIF($B$11:B2902,Transactions!$F$8:$F$3006),0))="","",INDEX(Transactions!$F$8:$F$3006,MATCH(0,COUNTIF($B$11:B2902,Transactions!$F$8:$F$3006),0))),"")</f>
        <v/>
      </c>
      <c r="C2903" s="50" t="str">
        <f>IF(B2903="","",SUMIF(Transactions!$F$8:$F$3006,B2903,Transactions!$H$8:$H$3006))</f>
        <v/>
      </c>
      <c r="D2903" s="51" t="str">
        <f>IF(B2903="","",SUMIF(Transactions!$F$8:$F$3006,B2903,Transactions!$N$8:$N$3006))</f>
        <v/>
      </c>
      <c r="E2903" s="52" t="str">
        <f>IF(B2903="","",SUMIF(Transactions!$F$8:$F$3006,B2903,Transactions!$O$8:$O$3006))</f>
        <v/>
      </c>
      <c r="F2903" s="53" t="str">
        <f>IF(B2903="","",SUMIF(Transactions!$F$8:$F$3006,B2903,Transactions!$R$8:$R$3006))</f>
        <v/>
      </c>
      <c r="G2903" s="54" t="str">
        <f>IF(B2903="","",(C2903+F2903)-(D2903+E2903+SUMIF(Transactions!$F$8:$F$3006,B2903,Transactions!$Q$8:$Q$3006)))</f>
        <v/>
      </c>
      <c r="H2903" s="55" t="str">
        <f>IF(B2903="","",IF(G2903&gt;0,"OUTSTANDING",IF(G2903=0,"SETTLED",IF(SUMIF(Transactions!$F$8:$F$3006,B2903,Transactions!$Q$8:$Q$3006)&gt;SUMIF(Transactions!$F$8:$F$3006,B2903,Transactions!$R$8:$R$3006),"OWES","OVERPAID"))))</f>
        <v/>
      </c>
      <c r="I2903" s="1"/>
    </row>
    <row r="2904" spans="1:9" ht="18" customHeight="1" x14ac:dyDescent="0.25">
      <c r="A2904" s="40">
        <v>2889</v>
      </c>
      <c r="B2904" s="41" t="str">
        <f t="array" ref="B2904">IFERROR(IF(INDEX(Transactions!$F$8:$F$3006,MATCH(0,COUNTIF($B$11:B2903,Transactions!$F$8:$F$3006),0))="","",INDEX(Transactions!$F$8:$F$3006,MATCH(0,COUNTIF($B$11:B2903,Transactions!$F$8:$F$3006),0))),"")</f>
        <v/>
      </c>
      <c r="C2904" s="42" t="str">
        <f>IF(B2904="","",SUMIF(Transactions!$F$8:$F$3006,B2904,Transactions!$H$8:$H$3006))</f>
        <v/>
      </c>
      <c r="D2904" s="43" t="str">
        <f>IF(B2904="","",SUMIF(Transactions!$F$8:$F$3006,B2904,Transactions!$N$8:$N$3006))</f>
        <v/>
      </c>
      <c r="E2904" s="44" t="str">
        <f>IF(B2904="","",SUMIF(Transactions!$F$8:$F$3006,B2904,Transactions!$O$8:$O$3006))</f>
        <v/>
      </c>
      <c r="F2904" s="45" t="str">
        <f>IF(B2904="","",SUMIF(Transactions!$F$8:$F$3006,B2904,Transactions!$R$8:$R$3006))</f>
        <v/>
      </c>
      <c r="G2904" s="46" t="str">
        <f>IF(B2904="","",(C2904+F2904)-(D2904+E2904+SUMIF(Transactions!$F$8:$F$3006,B2904,Transactions!$Q$8:$Q$3006)))</f>
        <v/>
      </c>
      <c r="H2904" s="47" t="str">
        <f>IF(B2904="","",IF(G2904&gt;0,"OUTSTANDING",IF(G2904=0,"SETTLED",IF(SUMIF(Transactions!$F$8:$F$3006,B2904,Transactions!$Q$8:$Q$3006)&gt;SUMIF(Transactions!$F$8:$F$3006,B2904,Transactions!$R$8:$R$3006),"OWES","OVERPAID"))))</f>
        <v/>
      </c>
      <c r="I2904" s="1"/>
    </row>
    <row r="2905" spans="1:9" ht="18" customHeight="1" x14ac:dyDescent="0.25">
      <c r="A2905" s="48">
        <v>2890</v>
      </c>
      <c r="B2905" s="49" t="str">
        <f t="array" ref="B2905">IFERROR(IF(INDEX(Transactions!$F$8:$F$3006,MATCH(0,COUNTIF($B$11:B2904,Transactions!$F$8:$F$3006),0))="","",INDEX(Transactions!$F$8:$F$3006,MATCH(0,COUNTIF($B$11:B2904,Transactions!$F$8:$F$3006),0))),"")</f>
        <v/>
      </c>
      <c r="C2905" s="50" t="str">
        <f>IF(B2905="","",SUMIF(Transactions!$F$8:$F$3006,B2905,Transactions!$H$8:$H$3006))</f>
        <v/>
      </c>
      <c r="D2905" s="51" t="str">
        <f>IF(B2905="","",SUMIF(Transactions!$F$8:$F$3006,B2905,Transactions!$N$8:$N$3006))</f>
        <v/>
      </c>
      <c r="E2905" s="52" t="str">
        <f>IF(B2905="","",SUMIF(Transactions!$F$8:$F$3006,B2905,Transactions!$O$8:$O$3006))</f>
        <v/>
      </c>
      <c r="F2905" s="53" t="str">
        <f>IF(B2905="","",SUMIF(Transactions!$F$8:$F$3006,B2905,Transactions!$R$8:$R$3006))</f>
        <v/>
      </c>
      <c r="G2905" s="54" t="str">
        <f>IF(B2905="","",(C2905+F2905)-(D2905+E2905+SUMIF(Transactions!$F$8:$F$3006,B2905,Transactions!$Q$8:$Q$3006)))</f>
        <v/>
      </c>
      <c r="H2905" s="55" t="str">
        <f>IF(B2905="","",IF(G2905&gt;0,"OUTSTANDING",IF(G2905=0,"SETTLED",IF(SUMIF(Transactions!$F$8:$F$3006,B2905,Transactions!$Q$8:$Q$3006)&gt;SUMIF(Transactions!$F$8:$F$3006,B2905,Transactions!$R$8:$R$3006),"OWES","OVERPAID"))))</f>
        <v/>
      </c>
      <c r="I2905" s="1"/>
    </row>
    <row r="2906" spans="1:9" ht="18" customHeight="1" x14ac:dyDescent="0.25">
      <c r="A2906" s="40">
        <v>2891</v>
      </c>
      <c r="B2906" s="41" t="str">
        <f t="array" ref="B2906">IFERROR(IF(INDEX(Transactions!$F$8:$F$3006,MATCH(0,COUNTIF($B$11:B2905,Transactions!$F$8:$F$3006),0))="","",INDEX(Transactions!$F$8:$F$3006,MATCH(0,COUNTIF($B$11:B2905,Transactions!$F$8:$F$3006),0))),"")</f>
        <v/>
      </c>
      <c r="C2906" s="42" t="str">
        <f>IF(B2906="","",SUMIF(Transactions!$F$8:$F$3006,B2906,Transactions!$H$8:$H$3006))</f>
        <v/>
      </c>
      <c r="D2906" s="43" t="str">
        <f>IF(B2906="","",SUMIF(Transactions!$F$8:$F$3006,B2906,Transactions!$N$8:$N$3006))</f>
        <v/>
      </c>
      <c r="E2906" s="44" t="str">
        <f>IF(B2906="","",SUMIF(Transactions!$F$8:$F$3006,B2906,Transactions!$O$8:$O$3006))</f>
        <v/>
      </c>
      <c r="F2906" s="45" t="str">
        <f>IF(B2906="","",SUMIF(Transactions!$F$8:$F$3006,B2906,Transactions!$R$8:$R$3006))</f>
        <v/>
      </c>
      <c r="G2906" s="46" t="str">
        <f>IF(B2906="","",(C2906+F2906)-(D2906+E2906+SUMIF(Transactions!$F$8:$F$3006,B2906,Transactions!$Q$8:$Q$3006)))</f>
        <v/>
      </c>
      <c r="H2906" s="47" t="str">
        <f>IF(B2906="","",IF(G2906&gt;0,"OUTSTANDING",IF(G2906=0,"SETTLED",IF(SUMIF(Transactions!$F$8:$F$3006,B2906,Transactions!$Q$8:$Q$3006)&gt;SUMIF(Transactions!$F$8:$F$3006,B2906,Transactions!$R$8:$R$3006),"OWES","OVERPAID"))))</f>
        <v/>
      </c>
      <c r="I2906" s="1"/>
    </row>
    <row r="2907" spans="1:9" ht="18" customHeight="1" x14ac:dyDescent="0.25">
      <c r="A2907" s="48">
        <v>2892</v>
      </c>
      <c r="B2907" s="49" t="str">
        <f t="array" ref="B2907">IFERROR(IF(INDEX(Transactions!$F$8:$F$3006,MATCH(0,COUNTIF($B$11:B2906,Transactions!$F$8:$F$3006),0))="","",INDEX(Transactions!$F$8:$F$3006,MATCH(0,COUNTIF($B$11:B2906,Transactions!$F$8:$F$3006),0))),"")</f>
        <v/>
      </c>
      <c r="C2907" s="50" t="str">
        <f>IF(B2907="","",SUMIF(Transactions!$F$8:$F$3006,B2907,Transactions!$H$8:$H$3006))</f>
        <v/>
      </c>
      <c r="D2907" s="51" t="str">
        <f>IF(B2907="","",SUMIF(Transactions!$F$8:$F$3006,B2907,Transactions!$N$8:$N$3006))</f>
        <v/>
      </c>
      <c r="E2907" s="52" t="str">
        <f>IF(B2907="","",SUMIF(Transactions!$F$8:$F$3006,B2907,Transactions!$O$8:$O$3006))</f>
        <v/>
      </c>
      <c r="F2907" s="53" t="str">
        <f>IF(B2907="","",SUMIF(Transactions!$F$8:$F$3006,B2907,Transactions!$R$8:$R$3006))</f>
        <v/>
      </c>
      <c r="G2907" s="54" t="str">
        <f>IF(B2907="","",(C2907+F2907)-(D2907+E2907+SUMIF(Transactions!$F$8:$F$3006,B2907,Transactions!$Q$8:$Q$3006)))</f>
        <v/>
      </c>
      <c r="H2907" s="55" t="str">
        <f>IF(B2907="","",IF(G2907&gt;0,"OUTSTANDING",IF(G2907=0,"SETTLED",IF(SUMIF(Transactions!$F$8:$F$3006,B2907,Transactions!$Q$8:$Q$3006)&gt;SUMIF(Transactions!$F$8:$F$3006,B2907,Transactions!$R$8:$R$3006),"OWES","OVERPAID"))))</f>
        <v/>
      </c>
      <c r="I2907" s="1"/>
    </row>
    <row r="2908" spans="1:9" ht="18" customHeight="1" x14ac:dyDescent="0.25">
      <c r="A2908" s="40">
        <v>2893</v>
      </c>
      <c r="B2908" s="41" t="str">
        <f t="array" ref="B2908">IFERROR(IF(INDEX(Transactions!$F$8:$F$3006,MATCH(0,COUNTIF($B$11:B2907,Transactions!$F$8:$F$3006),0))="","",INDEX(Transactions!$F$8:$F$3006,MATCH(0,COUNTIF($B$11:B2907,Transactions!$F$8:$F$3006),0))),"")</f>
        <v/>
      </c>
      <c r="C2908" s="42" t="str">
        <f>IF(B2908="","",SUMIF(Transactions!$F$8:$F$3006,B2908,Transactions!$H$8:$H$3006))</f>
        <v/>
      </c>
      <c r="D2908" s="43" t="str">
        <f>IF(B2908="","",SUMIF(Transactions!$F$8:$F$3006,B2908,Transactions!$N$8:$N$3006))</f>
        <v/>
      </c>
      <c r="E2908" s="44" t="str">
        <f>IF(B2908="","",SUMIF(Transactions!$F$8:$F$3006,B2908,Transactions!$O$8:$O$3006))</f>
        <v/>
      </c>
      <c r="F2908" s="45" t="str">
        <f>IF(B2908="","",SUMIF(Transactions!$F$8:$F$3006,B2908,Transactions!$R$8:$R$3006))</f>
        <v/>
      </c>
      <c r="G2908" s="46" t="str">
        <f>IF(B2908="","",(C2908+F2908)-(D2908+E2908+SUMIF(Transactions!$F$8:$F$3006,B2908,Transactions!$Q$8:$Q$3006)))</f>
        <v/>
      </c>
      <c r="H2908" s="47" t="str">
        <f>IF(B2908="","",IF(G2908&gt;0,"OUTSTANDING",IF(G2908=0,"SETTLED",IF(SUMIF(Transactions!$F$8:$F$3006,B2908,Transactions!$Q$8:$Q$3006)&gt;SUMIF(Transactions!$F$8:$F$3006,B2908,Transactions!$R$8:$R$3006),"OWES","OVERPAID"))))</f>
        <v/>
      </c>
      <c r="I2908" s="1"/>
    </row>
    <row r="2909" spans="1:9" ht="18" customHeight="1" x14ac:dyDescent="0.25">
      <c r="A2909" s="48">
        <v>2894</v>
      </c>
      <c r="B2909" s="49" t="str">
        <f t="array" ref="B2909">IFERROR(IF(INDEX(Transactions!$F$8:$F$3006,MATCH(0,COUNTIF($B$11:B2908,Transactions!$F$8:$F$3006),0))="","",INDEX(Transactions!$F$8:$F$3006,MATCH(0,COUNTIF($B$11:B2908,Transactions!$F$8:$F$3006),0))),"")</f>
        <v/>
      </c>
      <c r="C2909" s="50" t="str">
        <f>IF(B2909="","",SUMIF(Transactions!$F$8:$F$3006,B2909,Transactions!$H$8:$H$3006))</f>
        <v/>
      </c>
      <c r="D2909" s="51" t="str">
        <f>IF(B2909="","",SUMIF(Transactions!$F$8:$F$3006,B2909,Transactions!$N$8:$N$3006))</f>
        <v/>
      </c>
      <c r="E2909" s="52" t="str">
        <f>IF(B2909="","",SUMIF(Transactions!$F$8:$F$3006,B2909,Transactions!$O$8:$O$3006))</f>
        <v/>
      </c>
      <c r="F2909" s="53" t="str">
        <f>IF(B2909="","",SUMIF(Transactions!$F$8:$F$3006,B2909,Transactions!$R$8:$R$3006))</f>
        <v/>
      </c>
      <c r="G2909" s="54" t="str">
        <f>IF(B2909="","",(C2909+F2909)-(D2909+E2909+SUMIF(Transactions!$F$8:$F$3006,B2909,Transactions!$Q$8:$Q$3006)))</f>
        <v/>
      </c>
      <c r="H2909" s="55" t="str">
        <f>IF(B2909="","",IF(G2909&gt;0,"OUTSTANDING",IF(G2909=0,"SETTLED",IF(SUMIF(Transactions!$F$8:$F$3006,B2909,Transactions!$Q$8:$Q$3006)&gt;SUMIF(Transactions!$F$8:$F$3006,B2909,Transactions!$R$8:$R$3006),"OWES","OVERPAID"))))</f>
        <v/>
      </c>
      <c r="I2909" s="1"/>
    </row>
    <row r="2910" spans="1:9" ht="18" customHeight="1" x14ac:dyDescent="0.25">
      <c r="A2910" s="40">
        <v>2895</v>
      </c>
      <c r="B2910" s="41" t="str">
        <f t="array" ref="B2910">IFERROR(IF(INDEX(Transactions!$F$8:$F$3006,MATCH(0,COUNTIF($B$11:B2909,Transactions!$F$8:$F$3006),0))="","",INDEX(Transactions!$F$8:$F$3006,MATCH(0,COUNTIF($B$11:B2909,Transactions!$F$8:$F$3006),0))),"")</f>
        <v/>
      </c>
      <c r="C2910" s="42" t="str">
        <f>IF(B2910="","",SUMIF(Transactions!$F$8:$F$3006,B2910,Transactions!$H$8:$H$3006))</f>
        <v/>
      </c>
      <c r="D2910" s="43" t="str">
        <f>IF(B2910="","",SUMIF(Transactions!$F$8:$F$3006,B2910,Transactions!$N$8:$N$3006))</f>
        <v/>
      </c>
      <c r="E2910" s="44" t="str">
        <f>IF(B2910="","",SUMIF(Transactions!$F$8:$F$3006,B2910,Transactions!$O$8:$O$3006))</f>
        <v/>
      </c>
      <c r="F2910" s="45" t="str">
        <f>IF(B2910="","",SUMIF(Transactions!$F$8:$F$3006,B2910,Transactions!$R$8:$R$3006))</f>
        <v/>
      </c>
      <c r="G2910" s="46" t="str">
        <f>IF(B2910="","",(C2910+F2910)-(D2910+E2910+SUMIF(Transactions!$F$8:$F$3006,B2910,Transactions!$Q$8:$Q$3006)))</f>
        <v/>
      </c>
      <c r="H2910" s="47" t="str">
        <f>IF(B2910="","",IF(G2910&gt;0,"OUTSTANDING",IF(G2910=0,"SETTLED",IF(SUMIF(Transactions!$F$8:$F$3006,B2910,Transactions!$Q$8:$Q$3006)&gt;SUMIF(Transactions!$F$8:$F$3006,B2910,Transactions!$R$8:$R$3006),"OWES","OVERPAID"))))</f>
        <v/>
      </c>
      <c r="I2910" s="1"/>
    </row>
    <row r="2911" spans="1:9" ht="18" customHeight="1" x14ac:dyDescent="0.25">
      <c r="A2911" s="48">
        <v>2896</v>
      </c>
      <c r="B2911" s="49" t="str">
        <f t="array" ref="B2911">IFERROR(IF(INDEX(Transactions!$F$8:$F$3006,MATCH(0,COUNTIF($B$11:B2910,Transactions!$F$8:$F$3006),0))="","",INDEX(Transactions!$F$8:$F$3006,MATCH(0,COUNTIF($B$11:B2910,Transactions!$F$8:$F$3006),0))),"")</f>
        <v/>
      </c>
      <c r="C2911" s="50" t="str">
        <f>IF(B2911="","",SUMIF(Transactions!$F$8:$F$3006,B2911,Transactions!$H$8:$H$3006))</f>
        <v/>
      </c>
      <c r="D2911" s="51" t="str">
        <f>IF(B2911="","",SUMIF(Transactions!$F$8:$F$3006,B2911,Transactions!$N$8:$N$3006))</f>
        <v/>
      </c>
      <c r="E2911" s="52" t="str">
        <f>IF(B2911="","",SUMIF(Transactions!$F$8:$F$3006,B2911,Transactions!$O$8:$O$3006))</f>
        <v/>
      </c>
      <c r="F2911" s="53" t="str">
        <f>IF(B2911="","",SUMIF(Transactions!$F$8:$F$3006,B2911,Transactions!$R$8:$R$3006))</f>
        <v/>
      </c>
      <c r="G2911" s="54" t="str">
        <f>IF(B2911="","",(C2911+F2911)-(D2911+E2911+SUMIF(Transactions!$F$8:$F$3006,B2911,Transactions!$Q$8:$Q$3006)))</f>
        <v/>
      </c>
      <c r="H2911" s="55" t="str">
        <f>IF(B2911="","",IF(G2911&gt;0,"OUTSTANDING",IF(G2911=0,"SETTLED",IF(SUMIF(Transactions!$F$8:$F$3006,B2911,Transactions!$Q$8:$Q$3006)&gt;SUMIF(Transactions!$F$8:$F$3006,B2911,Transactions!$R$8:$R$3006),"OWES","OVERPAID"))))</f>
        <v/>
      </c>
      <c r="I2911" s="1"/>
    </row>
    <row r="2912" spans="1:9" ht="18" customHeight="1" x14ac:dyDescent="0.25">
      <c r="A2912" s="40">
        <v>2897</v>
      </c>
      <c r="B2912" s="41" t="str">
        <f t="array" ref="B2912">IFERROR(IF(INDEX(Transactions!$F$8:$F$3006,MATCH(0,COUNTIF($B$11:B2911,Transactions!$F$8:$F$3006),0))="","",INDEX(Transactions!$F$8:$F$3006,MATCH(0,COUNTIF($B$11:B2911,Transactions!$F$8:$F$3006),0))),"")</f>
        <v/>
      </c>
      <c r="C2912" s="42" t="str">
        <f>IF(B2912="","",SUMIF(Transactions!$F$8:$F$3006,B2912,Transactions!$H$8:$H$3006))</f>
        <v/>
      </c>
      <c r="D2912" s="43" t="str">
        <f>IF(B2912="","",SUMIF(Transactions!$F$8:$F$3006,B2912,Transactions!$N$8:$N$3006))</f>
        <v/>
      </c>
      <c r="E2912" s="44" t="str">
        <f>IF(B2912="","",SUMIF(Transactions!$F$8:$F$3006,B2912,Transactions!$O$8:$O$3006))</f>
        <v/>
      </c>
      <c r="F2912" s="45" t="str">
        <f>IF(B2912="","",SUMIF(Transactions!$F$8:$F$3006,B2912,Transactions!$R$8:$R$3006))</f>
        <v/>
      </c>
      <c r="G2912" s="46" t="str">
        <f>IF(B2912="","",(C2912+F2912)-(D2912+E2912+SUMIF(Transactions!$F$8:$F$3006,B2912,Transactions!$Q$8:$Q$3006)))</f>
        <v/>
      </c>
      <c r="H2912" s="47" t="str">
        <f>IF(B2912="","",IF(G2912&gt;0,"OUTSTANDING",IF(G2912=0,"SETTLED",IF(SUMIF(Transactions!$F$8:$F$3006,B2912,Transactions!$Q$8:$Q$3006)&gt;SUMIF(Transactions!$F$8:$F$3006,B2912,Transactions!$R$8:$R$3006),"OWES","OVERPAID"))))</f>
        <v/>
      </c>
      <c r="I2912" s="1"/>
    </row>
    <row r="2913" spans="1:9" ht="18" customHeight="1" x14ac:dyDescent="0.25">
      <c r="A2913" s="48">
        <v>2898</v>
      </c>
      <c r="B2913" s="49" t="str">
        <f t="array" ref="B2913">IFERROR(IF(INDEX(Transactions!$F$8:$F$3006,MATCH(0,COUNTIF($B$11:B2912,Transactions!$F$8:$F$3006),0))="","",INDEX(Transactions!$F$8:$F$3006,MATCH(0,COUNTIF($B$11:B2912,Transactions!$F$8:$F$3006),0))),"")</f>
        <v/>
      </c>
      <c r="C2913" s="50" t="str">
        <f>IF(B2913="","",SUMIF(Transactions!$F$8:$F$3006,B2913,Transactions!$H$8:$H$3006))</f>
        <v/>
      </c>
      <c r="D2913" s="51" t="str">
        <f>IF(B2913="","",SUMIF(Transactions!$F$8:$F$3006,B2913,Transactions!$N$8:$N$3006))</f>
        <v/>
      </c>
      <c r="E2913" s="52" t="str">
        <f>IF(B2913="","",SUMIF(Transactions!$F$8:$F$3006,B2913,Transactions!$O$8:$O$3006))</f>
        <v/>
      </c>
      <c r="F2913" s="53" t="str">
        <f>IF(B2913="","",SUMIF(Transactions!$F$8:$F$3006,B2913,Transactions!$R$8:$R$3006))</f>
        <v/>
      </c>
      <c r="G2913" s="54" t="str">
        <f>IF(B2913="","",(C2913+F2913)-(D2913+E2913+SUMIF(Transactions!$F$8:$F$3006,B2913,Transactions!$Q$8:$Q$3006)))</f>
        <v/>
      </c>
      <c r="H2913" s="55" t="str">
        <f>IF(B2913="","",IF(G2913&gt;0,"OUTSTANDING",IF(G2913=0,"SETTLED",IF(SUMIF(Transactions!$F$8:$F$3006,B2913,Transactions!$Q$8:$Q$3006)&gt;SUMIF(Transactions!$F$8:$F$3006,B2913,Transactions!$R$8:$R$3006),"OWES","OVERPAID"))))</f>
        <v/>
      </c>
      <c r="I2913" s="1"/>
    </row>
    <row r="2914" spans="1:9" ht="18" customHeight="1" x14ac:dyDescent="0.25">
      <c r="A2914" s="40">
        <v>2899</v>
      </c>
      <c r="B2914" s="41" t="str">
        <f t="array" ref="B2914">IFERROR(IF(INDEX(Transactions!$F$8:$F$3006,MATCH(0,COUNTIF($B$11:B2913,Transactions!$F$8:$F$3006),0))="","",INDEX(Transactions!$F$8:$F$3006,MATCH(0,COUNTIF($B$11:B2913,Transactions!$F$8:$F$3006),0))),"")</f>
        <v/>
      </c>
      <c r="C2914" s="42" t="str">
        <f>IF(B2914="","",SUMIF(Transactions!$F$8:$F$3006,B2914,Transactions!$H$8:$H$3006))</f>
        <v/>
      </c>
      <c r="D2914" s="43" t="str">
        <f>IF(B2914="","",SUMIF(Transactions!$F$8:$F$3006,B2914,Transactions!$N$8:$N$3006))</f>
        <v/>
      </c>
      <c r="E2914" s="44" t="str">
        <f>IF(B2914="","",SUMIF(Transactions!$F$8:$F$3006,B2914,Transactions!$O$8:$O$3006))</f>
        <v/>
      </c>
      <c r="F2914" s="45" t="str">
        <f>IF(B2914="","",SUMIF(Transactions!$F$8:$F$3006,B2914,Transactions!$R$8:$R$3006))</f>
        <v/>
      </c>
      <c r="G2914" s="46" t="str">
        <f>IF(B2914="","",(C2914+F2914)-(D2914+E2914+SUMIF(Transactions!$F$8:$F$3006,B2914,Transactions!$Q$8:$Q$3006)))</f>
        <v/>
      </c>
      <c r="H2914" s="47" t="str">
        <f>IF(B2914="","",IF(G2914&gt;0,"OUTSTANDING",IF(G2914=0,"SETTLED",IF(SUMIF(Transactions!$F$8:$F$3006,B2914,Transactions!$Q$8:$Q$3006)&gt;SUMIF(Transactions!$F$8:$F$3006,B2914,Transactions!$R$8:$R$3006),"OWES","OVERPAID"))))</f>
        <v/>
      </c>
      <c r="I2914" s="1"/>
    </row>
    <row r="2915" spans="1:9" ht="18" customHeight="1" x14ac:dyDescent="0.25">
      <c r="A2915" s="48">
        <v>2900</v>
      </c>
      <c r="B2915" s="49" t="str">
        <f t="array" ref="B2915">IFERROR(IF(INDEX(Transactions!$F$8:$F$3006,MATCH(0,COUNTIF($B$11:B2914,Transactions!$F$8:$F$3006),0))="","",INDEX(Transactions!$F$8:$F$3006,MATCH(0,COUNTIF($B$11:B2914,Transactions!$F$8:$F$3006),0))),"")</f>
        <v/>
      </c>
      <c r="C2915" s="50" t="str">
        <f>IF(B2915="","",SUMIF(Transactions!$F$8:$F$3006,B2915,Transactions!$H$8:$H$3006))</f>
        <v/>
      </c>
      <c r="D2915" s="51" t="str">
        <f>IF(B2915="","",SUMIF(Transactions!$F$8:$F$3006,B2915,Transactions!$N$8:$N$3006))</f>
        <v/>
      </c>
      <c r="E2915" s="52" t="str">
        <f>IF(B2915="","",SUMIF(Transactions!$F$8:$F$3006,B2915,Transactions!$O$8:$O$3006))</f>
        <v/>
      </c>
      <c r="F2915" s="53" t="str">
        <f>IF(B2915="","",SUMIF(Transactions!$F$8:$F$3006,B2915,Transactions!$R$8:$R$3006))</f>
        <v/>
      </c>
      <c r="G2915" s="54" t="str">
        <f>IF(B2915="","",(C2915+F2915)-(D2915+E2915+SUMIF(Transactions!$F$8:$F$3006,B2915,Transactions!$Q$8:$Q$3006)))</f>
        <v/>
      </c>
      <c r="H2915" s="55" t="str">
        <f>IF(B2915="","",IF(G2915&gt;0,"OUTSTANDING",IF(G2915=0,"SETTLED",IF(SUMIF(Transactions!$F$8:$F$3006,B2915,Transactions!$Q$8:$Q$3006)&gt;SUMIF(Transactions!$F$8:$F$3006,B2915,Transactions!$R$8:$R$3006),"OWES","OVERPAID"))))</f>
        <v/>
      </c>
      <c r="I2915" s="1"/>
    </row>
    <row r="2916" spans="1:9" ht="18" customHeight="1" x14ac:dyDescent="0.25">
      <c r="A2916" s="40">
        <v>2901</v>
      </c>
      <c r="B2916" s="41" t="str">
        <f t="array" ref="B2916">IFERROR(IF(INDEX(Transactions!$F$8:$F$3006,MATCH(0,COUNTIF($B$11:B2915,Transactions!$F$8:$F$3006),0))="","",INDEX(Transactions!$F$8:$F$3006,MATCH(0,COUNTIF($B$11:B2915,Transactions!$F$8:$F$3006),0))),"")</f>
        <v/>
      </c>
      <c r="C2916" s="42" t="str">
        <f>IF(B2916="","",SUMIF(Transactions!$F$8:$F$3006,B2916,Transactions!$H$8:$H$3006))</f>
        <v/>
      </c>
      <c r="D2916" s="43" t="str">
        <f>IF(B2916="","",SUMIF(Transactions!$F$8:$F$3006,B2916,Transactions!$N$8:$N$3006))</f>
        <v/>
      </c>
      <c r="E2916" s="44" t="str">
        <f>IF(B2916="","",SUMIF(Transactions!$F$8:$F$3006,B2916,Transactions!$O$8:$O$3006))</f>
        <v/>
      </c>
      <c r="F2916" s="45" t="str">
        <f>IF(B2916="","",SUMIF(Transactions!$F$8:$F$3006,B2916,Transactions!$R$8:$R$3006))</f>
        <v/>
      </c>
      <c r="G2916" s="46" t="str">
        <f>IF(B2916="","",(C2916+F2916)-(D2916+E2916+SUMIF(Transactions!$F$8:$F$3006,B2916,Transactions!$Q$8:$Q$3006)))</f>
        <v/>
      </c>
      <c r="H2916" s="47" t="str">
        <f>IF(B2916="","",IF(G2916&gt;0,"OUTSTANDING",IF(G2916=0,"SETTLED",IF(SUMIF(Transactions!$F$8:$F$3006,B2916,Transactions!$Q$8:$Q$3006)&gt;SUMIF(Transactions!$F$8:$F$3006,B2916,Transactions!$R$8:$R$3006),"OWES","OVERPAID"))))</f>
        <v/>
      </c>
      <c r="I2916" s="1"/>
    </row>
    <row r="2917" spans="1:9" ht="18" customHeight="1" x14ac:dyDescent="0.25">
      <c r="A2917" s="48">
        <v>2902</v>
      </c>
      <c r="B2917" s="49" t="str">
        <f t="array" ref="B2917">IFERROR(IF(INDEX(Transactions!$F$8:$F$3006,MATCH(0,COUNTIF($B$11:B2916,Transactions!$F$8:$F$3006),0))="","",INDEX(Transactions!$F$8:$F$3006,MATCH(0,COUNTIF($B$11:B2916,Transactions!$F$8:$F$3006),0))),"")</f>
        <v/>
      </c>
      <c r="C2917" s="50" t="str">
        <f>IF(B2917="","",SUMIF(Transactions!$F$8:$F$3006,B2917,Transactions!$H$8:$H$3006))</f>
        <v/>
      </c>
      <c r="D2917" s="51" t="str">
        <f>IF(B2917="","",SUMIF(Transactions!$F$8:$F$3006,B2917,Transactions!$N$8:$N$3006))</f>
        <v/>
      </c>
      <c r="E2917" s="52" t="str">
        <f>IF(B2917="","",SUMIF(Transactions!$F$8:$F$3006,B2917,Transactions!$O$8:$O$3006))</f>
        <v/>
      </c>
      <c r="F2917" s="53" t="str">
        <f>IF(B2917="","",SUMIF(Transactions!$F$8:$F$3006,B2917,Transactions!$R$8:$R$3006))</f>
        <v/>
      </c>
      <c r="G2917" s="54" t="str">
        <f>IF(B2917="","",(C2917+F2917)-(D2917+E2917+SUMIF(Transactions!$F$8:$F$3006,B2917,Transactions!$Q$8:$Q$3006)))</f>
        <v/>
      </c>
      <c r="H2917" s="55" t="str">
        <f>IF(B2917="","",IF(G2917&gt;0,"OUTSTANDING",IF(G2917=0,"SETTLED",IF(SUMIF(Transactions!$F$8:$F$3006,B2917,Transactions!$Q$8:$Q$3006)&gt;SUMIF(Transactions!$F$8:$F$3006,B2917,Transactions!$R$8:$R$3006),"OWES","OVERPAID"))))</f>
        <v/>
      </c>
      <c r="I2917" s="1"/>
    </row>
    <row r="2918" spans="1:9" ht="18" customHeight="1" x14ac:dyDescent="0.25">
      <c r="A2918" s="40">
        <v>2903</v>
      </c>
      <c r="B2918" s="41" t="str">
        <f t="array" ref="B2918">IFERROR(IF(INDEX(Transactions!$F$8:$F$3006,MATCH(0,COUNTIF($B$11:B2917,Transactions!$F$8:$F$3006),0))="","",INDEX(Transactions!$F$8:$F$3006,MATCH(0,COUNTIF($B$11:B2917,Transactions!$F$8:$F$3006),0))),"")</f>
        <v/>
      </c>
      <c r="C2918" s="42" t="str">
        <f>IF(B2918="","",SUMIF(Transactions!$F$8:$F$3006,B2918,Transactions!$H$8:$H$3006))</f>
        <v/>
      </c>
      <c r="D2918" s="43" t="str">
        <f>IF(B2918="","",SUMIF(Transactions!$F$8:$F$3006,B2918,Transactions!$N$8:$N$3006))</f>
        <v/>
      </c>
      <c r="E2918" s="44" t="str">
        <f>IF(B2918="","",SUMIF(Transactions!$F$8:$F$3006,B2918,Transactions!$O$8:$O$3006))</f>
        <v/>
      </c>
      <c r="F2918" s="45" t="str">
        <f>IF(B2918="","",SUMIF(Transactions!$F$8:$F$3006,B2918,Transactions!$R$8:$R$3006))</f>
        <v/>
      </c>
      <c r="G2918" s="46" t="str">
        <f>IF(B2918="","",(C2918+F2918)-(D2918+E2918+SUMIF(Transactions!$F$8:$F$3006,B2918,Transactions!$Q$8:$Q$3006)))</f>
        <v/>
      </c>
      <c r="H2918" s="47" t="str">
        <f>IF(B2918="","",IF(G2918&gt;0,"OUTSTANDING",IF(G2918=0,"SETTLED",IF(SUMIF(Transactions!$F$8:$F$3006,B2918,Transactions!$Q$8:$Q$3006)&gt;SUMIF(Transactions!$F$8:$F$3006,B2918,Transactions!$R$8:$R$3006),"OWES","OVERPAID"))))</f>
        <v/>
      </c>
      <c r="I2918" s="1"/>
    </row>
    <row r="2919" spans="1:9" ht="18" customHeight="1" x14ac:dyDescent="0.25">
      <c r="A2919" s="48">
        <v>2904</v>
      </c>
      <c r="B2919" s="49" t="str">
        <f t="array" ref="B2919">IFERROR(IF(INDEX(Transactions!$F$8:$F$3006,MATCH(0,COUNTIF($B$11:B2918,Transactions!$F$8:$F$3006),0))="","",INDEX(Transactions!$F$8:$F$3006,MATCH(0,COUNTIF($B$11:B2918,Transactions!$F$8:$F$3006),0))),"")</f>
        <v/>
      </c>
      <c r="C2919" s="50" t="str">
        <f>IF(B2919="","",SUMIF(Transactions!$F$8:$F$3006,B2919,Transactions!$H$8:$H$3006))</f>
        <v/>
      </c>
      <c r="D2919" s="51" t="str">
        <f>IF(B2919="","",SUMIF(Transactions!$F$8:$F$3006,B2919,Transactions!$N$8:$N$3006))</f>
        <v/>
      </c>
      <c r="E2919" s="52" t="str">
        <f>IF(B2919="","",SUMIF(Transactions!$F$8:$F$3006,B2919,Transactions!$O$8:$O$3006))</f>
        <v/>
      </c>
      <c r="F2919" s="53" t="str">
        <f>IF(B2919="","",SUMIF(Transactions!$F$8:$F$3006,B2919,Transactions!$R$8:$R$3006))</f>
        <v/>
      </c>
      <c r="G2919" s="54" t="str">
        <f>IF(B2919="","",(C2919+F2919)-(D2919+E2919+SUMIF(Transactions!$F$8:$F$3006,B2919,Transactions!$Q$8:$Q$3006)))</f>
        <v/>
      </c>
      <c r="H2919" s="55" t="str">
        <f>IF(B2919="","",IF(G2919&gt;0,"OUTSTANDING",IF(G2919=0,"SETTLED",IF(SUMIF(Transactions!$F$8:$F$3006,B2919,Transactions!$Q$8:$Q$3006)&gt;SUMIF(Transactions!$F$8:$F$3006,B2919,Transactions!$R$8:$R$3006),"OWES","OVERPAID"))))</f>
        <v/>
      </c>
      <c r="I2919" s="1"/>
    </row>
    <row r="2920" spans="1:9" ht="18" customHeight="1" x14ac:dyDescent="0.25">
      <c r="A2920" s="40">
        <v>2905</v>
      </c>
      <c r="B2920" s="41" t="str">
        <f t="array" ref="B2920">IFERROR(IF(INDEX(Transactions!$F$8:$F$3006,MATCH(0,COUNTIF($B$11:B2919,Transactions!$F$8:$F$3006),0))="","",INDEX(Transactions!$F$8:$F$3006,MATCH(0,COUNTIF($B$11:B2919,Transactions!$F$8:$F$3006),0))),"")</f>
        <v/>
      </c>
      <c r="C2920" s="42" t="str">
        <f>IF(B2920="","",SUMIF(Transactions!$F$8:$F$3006,B2920,Transactions!$H$8:$H$3006))</f>
        <v/>
      </c>
      <c r="D2920" s="43" t="str">
        <f>IF(B2920="","",SUMIF(Transactions!$F$8:$F$3006,B2920,Transactions!$N$8:$N$3006))</f>
        <v/>
      </c>
      <c r="E2920" s="44" t="str">
        <f>IF(B2920="","",SUMIF(Transactions!$F$8:$F$3006,B2920,Transactions!$O$8:$O$3006))</f>
        <v/>
      </c>
      <c r="F2920" s="45" t="str">
        <f>IF(B2920="","",SUMIF(Transactions!$F$8:$F$3006,B2920,Transactions!$R$8:$R$3006))</f>
        <v/>
      </c>
      <c r="G2920" s="46" t="str">
        <f>IF(B2920="","",(C2920+F2920)-(D2920+E2920+SUMIF(Transactions!$F$8:$F$3006,B2920,Transactions!$Q$8:$Q$3006)))</f>
        <v/>
      </c>
      <c r="H2920" s="47" t="str">
        <f>IF(B2920="","",IF(G2920&gt;0,"OUTSTANDING",IF(G2920=0,"SETTLED",IF(SUMIF(Transactions!$F$8:$F$3006,B2920,Transactions!$Q$8:$Q$3006)&gt;SUMIF(Transactions!$F$8:$F$3006,B2920,Transactions!$R$8:$R$3006),"OWES","OVERPAID"))))</f>
        <v/>
      </c>
      <c r="I2920" s="1"/>
    </row>
    <row r="2921" spans="1:9" ht="18" customHeight="1" x14ac:dyDescent="0.25">
      <c r="A2921" s="48">
        <v>2906</v>
      </c>
      <c r="B2921" s="49" t="str">
        <f t="array" ref="B2921">IFERROR(IF(INDEX(Transactions!$F$8:$F$3006,MATCH(0,COUNTIF($B$11:B2920,Transactions!$F$8:$F$3006),0))="","",INDEX(Transactions!$F$8:$F$3006,MATCH(0,COUNTIF($B$11:B2920,Transactions!$F$8:$F$3006),0))),"")</f>
        <v/>
      </c>
      <c r="C2921" s="50" t="str">
        <f>IF(B2921="","",SUMIF(Transactions!$F$8:$F$3006,B2921,Transactions!$H$8:$H$3006))</f>
        <v/>
      </c>
      <c r="D2921" s="51" t="str">
        <f>IF(B2921="","",SUMIF(Transactions!$F$8:$F$3006,B2921,Transactions!$N$8:$N$3006))</f>
        <v/>
      </c>
      <c r="E2921" s="52" t="str">
        <f>IF(B2921="","",SUMIF(Transactions!$F$8:$F$3006,B2921,Transactions!$O$8:$O$3006))</f>
        <v/>
      </c>
      <c r="F2921" s="53" t="str">
        <f>IF(B2921="","",SUMIF(Transactions!$F$8:$F$3006,B2921,Transactions!$R$8:$R$3006))</f>
        <v/>
      </c>
      <c r="G2921" s="54" t="str">
        <f>IF(B2921="","",(C2921+F2921)-(D2921+E2921+SUMIF(Transactions!$F$8:$F$3006,B2921,Transactions!$Q$8:$Q$3006)))</f>
        <v/>
      </c>
      <c r="H2921" s="55" t="str">
        <f>IF(B2921="","",IF(G2921&gt;0,"OUTSTANDING",IF(G2921=0,"SETTLED",IF(SUMIF(Transactions!$F$8:$F$3006,B2921,Transactions!$Q$8:$Q$3006)&gt;SUMIF(Transactions!$F$8:$F$3006,B2921,Transactions!$R$8:$R$3006),"OWES","OVERPAID"))))</f>
        <v/>
      </c>
      <c r="I2921" s="1"/>
    </row>
    <row r="2922" spans="1:9" ht="18" customHeight="1" x14ac:dyDescent="0.25">
      <c r="A2922" s="40">
        <v>2907</v>
      </c>
      <c r="B2922" s="41" t="str">
        <f t="array" ref="B2922">IFERROR(IF(INDEX(Transactions!$F$8:$F$3006,MATCH(0,COUNTIF($B$11:B2921,Transactions!$F$8:$F$3006),0))="","",INDEX(Transactions!$F$8:$F$3006,MATCH(0,COUNTIF($B$11:B2921,Transactions!$F$8:$F$3006),0))),"")</f>
        <v/>
      </c>
      <c r="C2922" s="42" t="str">
        <f>IF(B2922="","",SUMIF(Transactions!$F$8:$F$3006,B2922,Transactions!$H$8:$H$3006))</f>
        <v/>
      </c>
      <c r="D2922" s="43" t="str">
        <f>IF(B2922="","",SUMIF(Transactions!$F$8:$F$3006,B2922,Transactions!$N$8:$N$3006))</f>
        <v/>
      </c>
      <c r="E2922" s="44" t="str">
        <f>IF(B2922="","",SUMIF(Transactions!$F$8:$F$3006,B2922,Transactions!$O$8:$O$3006))</f>
        <v/>
      </c>
      <c r="F2922" s="45" t="str">
        <f>IF(B2922="","",SUMIF(Transactions!$F$8:$F$3006,B2922,Transactions!$R$8:$R$3006))</f>
        <v/>
      </c>
      <c r="G2922" s="46" t="str">
        <f>IF(B2922="","",(C2922+F2922)-(D2922+E2922+SUMIF(Transactions!$F$8:$F$3006,B2922,Transactions!$Q$8:$Q$3006)))</f>
        <v/>
      </c>
      <c r="H2922" s="47" t="str">
        <f>IF(B2922="","",IF(G2922&gt;0,"OUTSTANDING",IF(G2922=0,"SETTLED",IF(SUMIF(Transactions!$F$8:$F$3006,B2922,Transactions!$Q$8:$Q$3006)&gt;SUMIF(Transactions!$F$8:$F$3006,B2922,Transactions!$R$8:$R$3006),"OWES","OVERPAID"))))</f>
        <v/>
      </c>
      <c r="I2922" s="1"/>
    </row>
    <row r="2923" spans="1:9" ht="18" customHeight="1" x14ac:dyDescent="0.25">
      <c r="A2923" s="48">
        <v>2908</v>
      </c>
      <c r="B2923" s="49" t="str">
        <f t="array" ref="B2923">IFERROR(IF(INDEX(Transactions!$F$8:$F$3006,MATCH(0,COUNTIF($B$11:B2922,Transactions!$F$8:$F$3006),0))="","",INDEX(Transactions!$F$8:$F$3006,MATCH(0,COUNTIF($B$11:B2922,Transactions!$F$8:$F$3006),0))),"")</f>
        <v/>
      </c>
      <c r="C2923" s="50" t="str">
        <f>IF(B2923="","",SUMIF(Transactions!$F$8:$F$3006,B2923,Transactions!$H$8:$H$3006))</f>
        <v/>
      </c>
      <c r="D2923" s="51" t="str">
        <f>IF(B2923="","",SUMIF(Transactions!$F$8:$F$3006,B2923,Transactions!$N$8:$N$3006))</f>
        <v/>
      </c>
      <c r="E2923" s="52" t="str">
        <f>IF(B2923="","",SUMIF(Transactions!$F$8:$F$3006,B2923,Transactions!$O$8:$O$3006))</f>
        <v/>
      </c>
      <c r="F2923" s="53" t="str">
        <f>IF(B2923="","",SUMIF(Transactions!$F$8:$F$3006,B2923,Transactions!$R$8:$R$3006))</f>
        <v/>
      </c>
      <c r="G2923" s="54" t="str">
        <f>IF(B2923="","",(C2923+F2923)-(D2923+E2923+SUMIF(Transactions!$F$8:$F$3006,B2923,Transactions!$Q$8:$Q$3006)))</f>
        <v/>
      </c>
      <c r="H2923" s="55" t="str">
        <f>IF(B2923="","",IF(G2923&gt;0,"OUTSTANDING",IF(G2923=0,"SETTLED",IF(SUMIF(Transactions!$F$8:$F$3006,B2923,Transactions!$Q$8:$Q$3006)&gt;SUMIF(Transactions!$F$8:$F$3006,B2923,Transactions!$R$8:$R$3006),"OWES","OVERPAID"))))</f>
        <v/>
      </c>
      <c r="I2923" s="1"/>
    </row>
    <row r="2924" spans="1:9" ht="18" customHeight="1" x14ac:dyDescent="0.25">
      <c r="A2924" s="40">
        <v>2909</v>
      </c>
      <c r="B2924" s="41" t="str">
        <f t="array" ref="B2924">IFERROR(IF(INDEX(Transactions!$F$8:$F$3006,MATCH(0,COUNTIF($B$11:B2923,Transactions!$F$8:$F$3006),0))="","",INDEX(Transactions!$F$8:$F$3006,MATCH(0,COUNTIF($B$11:B2923,Transactions!$F$8:$F$3006),0))),"")</f>
        <v/>
      </c>
      <c r="C2924" s="42" t="str">
        <f>IF(B2924="","",SUMIF(Transactions!$F$8:$F$3006,B2924,Transactions!$H$8:$H$3006))</f>
        <v/>
      </c>
      <c r="D2924" s="43" t="str">
        <f>IF(B2924="","",SUMIF(Transactions!$F$8:$F$3006,B2924,Transactions!$N$8:$N$3006))</f>
        <v/>
      </c>
      <c r="E2924" s="44" t="str">
        <f>IF(B2924="","",SUMIF(Transactions!$F$8:$F$3006,B2924,Transactions!$O$8:$O$3006))</f>
        <v/>
      </c>
      <c r="F2924" s="45" t="str">
        <f>IF(B2924="","",SUMIF(Transactions!$F$8:$F$3006,B2924,Transactions!$R$8:$R$3006))</f>
        <v/>
      </c>
      <c r="G2924" s="46" t="str">
        <f>IF(B2924="","",(C2924+F2924)-(D2924+E2924+SUMIF(Transactions!$F$8:$F$3006,B2924,Transactions!$Q$8:$Q$3006)))</f>
        <v/>
      </c>
      <c r="H2924" s="47" t="str">
        <f>IF(B2924="","",IF(G2924&gt;0,"OUTSTANDING",IF(G2924=0,"SETTLED",IF(SUMIF(Transactions!$F$8:$F$3006,B2924,Transactions!$Q$8:$Q$3006)&gt;SUMIF(Transactions!$F$8:$F$3006,B2924,Transactions!$R$8:$R$3006),"OWES","OVERPAID"))))</f>
        <v/>
      </c>
      <c r="I2924" s="1"/>
    </row>
    <row r="2925" spans="1:9" ht="18" customHeight="1" x14ac:dyDescent="0.25">
      <c r="A2925" s="48">
        <v>2910</v>
      </c>
      <c r="B2925" s="49" t="str">
        <f t="array" ref="B2925">IFERROR(IF(INDEX(Transactions!$F$8:$F$3006,MATCH(0,COUNTIF($B$11:B2924,Transactions!$F$8:$F$3006),0))="","",INDEX(Transactions!$F$8:$F$3006,MATCH(0,COUNTIF($B$11:B2924,Transactions!$F$8:$F$3006),0))),"")</f>
        <v/>
      </c>
      <c r="C2925" s="50" t="str">
        <f>IF(B2925="","",SUMIF(Transactions!$F$8:$F$3006,B2925,Transactions!$H$8:$H$3006))</f>
        <v/>
      </c>
      <c r="D2925" s="51" t="str">
        <f>IF(B2925="","",SUMIF(Transactions!$F$8:$F$3006,B2925,Transactions!$N$8:$N$3006))</f>
        <v/>
      </c>
      <c r="E2925" s="52" t="str">
        <f>IF(B2925="","",SUMIF(Transactions!$F$8:$F$3006,B2925,Transactions!$O$8:$O$3006))</f>
        <v/>
      </c>
      <c r="F2925" s="53" t="str">
        <f>IF(B2925="","",SUMIF(Transactions!$F$8:$F$3006,B2925,Transactions!$R$8:$R$3006))</f>
        <v/>
      </c>
      <c r="G2925" s="54" t="str">
        <f>IF(B2925="","",(C2925+F2925)-(D2925+E2925+SUMIF(Transactions!$F$8:$F$3006,B2925,Transactions!$Q$8:$Q$3006)))</f>
        <v/>
      </c>
      <c r="H2925" s="55" t="str">
        <f>IF(B2925="","",IF(G2925&gt;0,"OUTSTANDING",IF(G2925=0,"SETTLED",IF(SUMIF(Transactions!$F$8:$F$3006,B2925,Transactions!$Q$8:$Q$3006)&gt;SUMIF(Transactions!$F$8:$F$3006,B2925,Transactions!$R$8:$R$3006),"OWES","OVERPAID"))))</f>
        <v/>
      </c>
      <c r="I2925" s="1"/>
    </row>
    <row r="2926" spans="1:9" ht="18" customHeight="1" x14ac:dyDescent="0.25">
      <c r="A2926" s="40">
        <v>2911</v>
      </c>
      <c r="B2926" s="41" t="str">
        <f t="array" ref="B2926">IFERROR(IF(INDEX(Transactions!$F$8:$F$3006,MATCH(0,COUNTIF($B$11:B2925,Transactions!$F$8:$F$3006),0))="","",INDEX(Transactions!$F$8:$F$3006,MATCH(0,COUNTIF($B$11:B2925,Transactions!$F$8:$F$3006),0))),"")</f>
        <v/>
      </c>
      <c r="C2926" s="42" t="str">
        <f>IF(B2926="","",SUMIF(Transactions!$F$8:$F$3006,B2926,Transactions!$H$8:$H$3006))</f>
        <v/>
      </c>
      <c r="D2926" s="43" t="str">
        <f>IF(B2926="","",SUMIF(Transactions!$F$8:$F$3006,B2926,Transactions!$N$8:$N$3006))</f>
        <v/>
      </c>
      <c r="E2926" s="44" t="str">
        <f>IF(B2926="","",SUMIF(Transactions!$F$8:$F$3006,B2926,Transactions!$O$8:$O$3006))</f>
        <v/>
      </c>
      <c r="F2926" s="45" t="str">
        <f>IF(B2926="","",SUMIF(Transactions!$F$8:$F$3006,B2926,Transactions!$R$8:$R$3006))</f>
        <v/>
      </c>
      <c r="G2926" s="46" t="str">
        <f>IF(B2926="","",(C2926+F2926)-(D2926+E2926+SUMIF(Transactions!$F$8:$F$3006,B2926,Transactions!$Q$8:$Q$3006)))</f>
        <v/>
      </c>
      <c r="H2926" s="47" t="str">
        <f>IF(B2926="","",IF(G2926&gt;0,"OUTSTANDING",IF(G2926=0,"SETTLED",IF(SUMIF(Transactions!$F$8:$F$3006,B2926,Transactions!$Q$8:$Q$3006)&gt;SUMIF(Transactions!$F$8:$F$3006,B2926,Transactions!$R$8:$R$3006),"OWES","OVERPAID"))))</f>
        <v/>
      </c>
      <c r="I2926" s="1"/>
    </row>
    <row r="2927" spans="1:9" ht="18" customHeight="1" x14ac:dyDescent="0.25">
      <c r="A2927" s="48">
        <v>2912</v>
      </c>
      <c r="B2927" s="49" t="str">
        <f t="array" ref="B2927">IFERROR(IF(INDEX(Transactions!$F$8:$F$3006,MATCH(0,COUNTIF($B$11:B2926,Transactions!$F$8:$F$3006),0))="","",INDEX(Transactions!$F$8:$F$3006,MATCH(0,COUNTIF($B$11:B2926,Transactions!$F$8:$F$3006),0))),"")</f>
        <v/>
      </c>
      <c r="C2927" s="50" t="str">
        <f>IF(B2927="","",SUMIF(Transactions!$F$8:$F$3006,B2927,Transactions!$H$8:$H$3006))</f>
        <v/>
      </c>
      <c r="D2927" s="51" t="str">
        <f>IF(B2927="","",SUMIF(Transactions!$F$8:$F$3006,B2927,Transactions!$N$8:$N$3006))</f>
        <v/>
      </c>
      <c r="E2927" s="52" t="str">
        <f>IF(B2927="","",SUMIF(Transactions!$F$8:$F$3006,B2927,Transactions!$O$8:$O$3006))</f>
        <v/>
      </c>
      <c r="F2927" s="53" t="str">
        <f>IF(B2927="","",SUMIF(Transactions!$F$8:$F$3006,B2927,Transactions!$R$8:$R$3006))</f>
        <v/>
      </c>
      <c r="G2927" s="54" t="str">
        <f>IF(B2927="","",(C2927+F2927)-(D2927+E2927+SUMIF(Transactions!$F$8:$F$3006,B2927,Transactions!$Q$8:$Q$3006)))</f>
        <v/>
      </c>
      <c r="H2927" s="55" t="str">
        <f>IF(B2927="","",IF(G2927&gt;0,"OUTSTANDING",IF(G2927=0,"SETTLED",IF(SUMIF(Transactions!$F$8:$F$3006,B2927,Transactions!$Q$8:$Q$3006)&gt;SUMIF(Transactions!$F$8:$F$3006,B2927,Transactions!$R$8:$R$3006),"OWES","OVERPAID"))))</f>
        <v/>
      </c>
      <c r="I2927" s="1"/>
    </row>
    <row r="2928" spans="1:9" ht="18" customHeight="1" x14ac:dyDescent="0.25">
      <c r="A2928" s="40">
        <v>2913</v>
      </c>
      <c r="B2928" s="41" t="str">
        <f t="array" ref="B2928">IFERROR(IF(INDEX(Transactions!$F$8:$F$3006,MATCH(0,COUNTIF($B$11:B2927,Transactions!$F$8:$F$3006),0))="","",INDEX(Transactions!$F$8:$F$3006,MATCH(0,COUNTIF($B$11:B2927,Transactions!$F$8:$F$3006),0))),"")</f>
        <v/>
      </c>
      <c r="C2928" s="42" t="str">
        <f>IF(B2928="","",SUMIF(Transactions!$F$8:$F$3006,B2928,Transactions!$H$8:$H$3006))</f>
        <v/>
      </c>
      <c r="D2928" s="43" t="str">
        <f>IF(B2928="","",SUMIF(Transactions!$F$8:$F$3006,B2928,Transactions!$N$8:$N$3006))</f>
        <v/>
      </c>
      <c r="E2928" s="44" t="str">
        <f>IF(B2928="","",SUMIF(Transactions!$F$8:$F$3006,B2928,Transactions!$O$8:$O$3006))</f>
        <v/>
      </c>
      <c r="F2928" s="45" t="str">
        <f>IF(B2928="","",SUMIF(Transactions!$F$8:$F$3006,B2928,Transactions!$R$8:$R$3006))</f>
        <v/>
      </c>
      <c r="G2928" s="46" t="str">
        <f>IF(B2928="","",(C2928+F2928)-(D2928+E2928+SUMIF(Transactions!$F$8:$F$3006,B2928,Transactions!$Q$8:$Q$3006)))</f>
        <v/>
      </c>
      <c r="H2928" s="47" t="str">
        <f>IF(B2928="","",IF(G2928&gt;0,"OUTSTANDING",IF(G2928=0,"SETTLED",IF(SUMIF(Transactions!$F$8:$F$3006,B2928,Transactions!$Q$8:$Q$3006)&gt;SUMIF(Transactions!$F$8:$F$3006,B2928,Transactions!$R$8:$R$3006),"OWES","OVERPAID"))))</f>
        <v/>
      </c>
      <c r="I2928" s="1"/>
    </row>
    <row r="2929" spans="1:9" ht="18" customHeight="1" x14ac:dyDescent="0.25">
      <c r="A2929" s="48">
        <v>2914</v>
      </c>
      <c r="B2929" s="49" t="str">
        <f t="array" ref="B2929">IFERROR(IF(INDEX(Transactions!$F$8:$F$3006,MATCH(0,COUNTIF($B$11:B2928,Transactions!$F$8:$F$3006),0))="","",INDEX(Transactions!$F$8:$F$3006,MATCH(0,COUNTIF($B$11:B2928,Transactions!$F$8:$F$3006),0))),"")</f>
        <v/>
      </c>
      <c r="C2929" s="50" t="str">
        <f>IF(B2929="","",SUMIF(Transactions!$F$8:$F$3006,B2929,Transactions!$H$8:$H$3006))</f>
        <v/>
      </c>
      <c r="D2929" s="51" t="str">
        <f>IF(B2929="","",SUMIF(Transactions!$F$8:$F$3006,B2929,Transactions!$N$8:$N$3006))</f>
        <v/>
      </c>
      <c r="E2929" s="52" t="str">
        <f>IF(B2929="","",SUMIF(Transactions!$F$8:$F$3006,B2929,Transactions!$O$8:$O$3006))</f>
        <v/>
      </c>
      <c r="F2929" s="53" t="str">
        <f>IF(B2929="","",SUMIF(Transactions!$F$8:$F$3006,B2929,Transactions!$R$8:$R$3006))</f>
        <v/>
      </c>
      <c r="G2929" s="54" t="str">
        <f>IF(B2929="","",(C2929+F2929)-(D2929+E2929+SUMIF(Transactions!$F$8:$F$3006,B2929,Transactions!$Q$8:$Q$3006)))</f>
        <v/>
      </c>
      <c r="H2929" s="55" t="str">
        <f>IF(B2929="","",IF(G2929&gt;0,"OUTSTANDING",IF(G2929=0,"SETTLED",IF(SUMIF(Transactions!$F$8:$F$3006,B2929,Transactions!$Q$8:$Q$3006)&gt;SUMIF(Transactions!$F$8:$F$3006,B2929,Transactions!$R$8:$R$3006),"OWES","OVERPAID"))))</f>
        <v/>
      </c>
      <c r="I2929" s="1"/>
    </row>
    <row r="2930" spans="1:9" ht="18" customHeight="1" x14ac:dyDescent="0.25">
      <c r="A2930" s="40">
        <v>2915</v>
      </c>
      <c r="B2930" s="41" t="str">
        <f t="array" ref="B2930">IFERROR(IF(INDEX(Transactions!$F$8:$F$3006,MATCH(0,COUNTIF($B$11:B2929,Transactions!$F$8:$F$3006),0))="","",INDEX(Transactions!$F$8:$F$3006,MATCH(0,COUNTIF($B$11:B2929,Transactions!$F$8:$F$3006),0))),"")</f>
        <v/>
      </c>
      <c r="C2930" s="42" t="str">
        <f>IF(B2930="","",SUMIF(Transactions!$F$8:$F$3006,B2930,Transactions!$H$8:$H$3006))</f>
        <v/>
      </c>
      <c r="D2930" s="43" t="str">
        <f>IF(B2930="","",SUMIF(Transactions!$F$8:$F$3006,B2930,Transactions!$N$8:$N$3006))</f>
        <v/>
      </c>
      <c r="E2930" s="44" t="str">
        <f>IF(B2930="","",SUMIF(Transactions!$F$8:$F$3006,B2930,Transactions!$O$8:$O$3006))</f>
        <v/>
      </c>
      <c r="F2930" s="45" t="str">
        <f>IF(B2930="","",SUMIF(Transactions!$F$8:$F$3006,B2930,Transactions!$R$8:$R$3006))</f>
        <v/>
      </c>
      <c r="G2930" s="46" t="str">
        <f>IF(B2930="","",(C2930+F2930)-(D2930+E2930+SUMIF(Transactions!$F$8:$F$3006,B2930,Transactions!$Q$8:$Q$3006)))</f>
        <v/>
      </c>
      <c r="H2930" s="47" t="str">
        <f>IF(B2930="","",IF(G2930&gt;0,"OUTSTANDING",IF(G2930=0,"SETTLED",IF(SUMIF(Transactions!$F$8:$F$3006,B2930,Transactions!$Q$8:$Q$3006)&gt;SUMIF(Transactions!$F$8:$F$3006,B2930,Transactions!$R$8:$R$3006),"OWES","OVERPAID"))))</f>
        <v/>
      </c>
      <c r="I2930" s="1"/>
    </row>
    <row r="2931" spans="1:9" ht="18" customHeight="1" x14ac:dyDescent="0.25">
      <c r="A2931" s="48">
        <v>2916</v>
      </c>
      <c r="B2931" s="49" t="str">
        <f t="array" ref="B2931">IFERROR(IF(INDEX(Transactions!$F$8:$F$3006,MATCH(0,COUNTIF($B$11:B2930,Transactions!$F$8:$F$3006),0))="","",INDEX(Transactions!$F$8:$F$3006,MATCH(0,COUNTIF($B$11:B2930,Transactions!$F$8:$F$3006),0))),"")</f>
        <v/>
      </c>
      <c r="C2931" s="50" t="str">
        <f>IF(B2931="","",SUMIF(Transactions!$F$8:$F$3006,B2931,Transactions!$H$8:$H$3006))</f>
        <v/>
      </c>
      <c r="D2931" s="51" t="str">
        <f>IF(B2931="","",SUMIF(Transactions!$F$8:$F$3006,B2931,Transactions!$N$8:$N$3006))</f>
        <v/>
      </c>
      <c r="E2931" s="52" t="str">
        <f>IF(B2931="","",SUMIF(Transactions!$F$8:$F$3006,B2931,Transactions!$O$8:$O$3006))</f>
        <v/>
      </c>
      <c r="F2931" s="53" t="str">
        <f>IF(B2931="","",SUMIF(Transactions!$F$8:$F$3006,B2931,Transactions!$R$8:$R$3006))</f>
        <v/>
      </c>
      <c r="G2931" s="54" t="str">
        <f>IF(B2931="","",(C2931+F2931)-(D2931+E2931+SUMIF(Transactions!$F$8:$F$3006,B2931,Transactions!$Q$8:$Q$3006)))</f>
        <v/>
      </c>
      <c r="H2931" s="55" t="str">
        <f>IF(B2931="","",IF(G2931&gt;0,"OUTSTANDING",IF(G2931=0,"SETTLED",IF(SUMIF(Transactions!$F$8:$F$3006,B2931,Transactions!$Q$8:$Q$3006)&gt;SUMIF(Transactions!$F$8:$F$3006,B2931,Transactions!$R$8:$R$3006),"OWES","OVERPAID"))))</f>
        <v/>
      </c>
      <c r="I2931" s="1"/>
    </row>
    <row r="2932" spans="1:9" ht="18" customHeight="1" x14ac:dyDescent="0.25">
      <c r="A2932" s="40">
        <v>2917</v>
      </c>
      <c r="B2932" s="41" t="str">
        <f t="array" ref="B2932">IFERROR(IF(INDEX(Transactions!$F$8:$F$3006,MATCH(0,COUNTIF($B$11:B2931,Transactions!$F$8:$F$3006),0))="","",INDEX(Transactions!$F$8:$F$3006,MATCH(0,COUNTIF($B$11:B2931,Transactions!$F$8:$F$3006),0))),"")</f>
        <v/>
      </c>
      <c r="C2932" s="42" t="str">
        <f>IF(B2932="","",SUMIF(Transactions!$F$8:$F$3006,B2932,Transactions!$H$8:$H$3006))</f>
        <v/>
      </c>
      <c r="D2932" s="43" t="str">
        <f>IF(B2932="","",SUMIF(Transactions!$F$8:$F$3006,B2932,Transactions!$N$8:$N$3006))</f>
        <v/>
      </c>
      <c r="E2932" s="44" t="str">
        <f>IF(B2932="","",SUMIF(Transactions!$F$8:$F$3006,B2932,Transactions!$O$8:$O$3006))</f>
        <v/>
      </c>
      <c r="F2932" s="45" t="str">
        <f>IF(B2932="","",SUMIF(Transactions!$F$8:$F$3006,B2932,Transactions!$R$8:$R$3006))</f>
        <v/>
      </c>
      <c r="G2932" s="46" t="str">
        <f>IF(B2932="","",(C2932+F2932)-(D2932+E2932+SUMIF(Transactions!$F$8:$F$3006,B2932,Transactions!$Q$8:$Q$3006)))</f>
        <v/>
      </c>
      <c r="H2932" s="47" t="str">
        <f>IF(B2932="","",IF(G2932&gt;0,"OUTSTANDING",IF(G2932=0,"SETTLED",IF(SUMIF(Transactions!$F$8:$F$3006,B2932,Transactions!$Q$8:$Q$3006)&gt;SUMIF(Transactions!$F$8:$F$3006,B2932,Transactions!$R$8:$R$3006),"OWES","OVERPAID"))))</f>
        <v/>
      </c>
      <c r="I2932" s="1"/>
    </row>
    <row r="2933" spans="1:9" ht="18" customHeight="1" x14ac:dyDescent="0.25">
      <c r="A2933" s="48">
        <v>2918</v>
      </c>
      <c r="B2933" s="49" t="str">
        <f t="array" ref="B2933">IFERROR(IF(INDEX(Transactions!$F$8:$F$3006,MATCH(0,COUNTIF($B$11:B2932,Transactions!$F$8:$F$3006),0))="","",INDEX(Transactions!$F$8:$F$3006,MATCH(0,COUNTIF($B$11:B2932,Transactions!$F$8:$F$3006),0))),"")</f>
        <v/>
      </c>
      <c r="C2933" s="50" t="str">
        <f>IF(B2933="","",SUMIF(Transactions!$F$8:$F$3006,B2933,Transactions!$H$8:$H$3006))</f>
        <v/>
      </c>
      <c r="D2933" s="51" t="str">
        <f>IF(B2933="","",SUMIF(Transactions!$F$8:$F$3006,B2933,Transactions!$N$8:$N$3006))</f>
        <v/>
      </c>
      <c r="E2933" s="52" t="str">
        <f>IF(B2933="","",SUMIF(Transactions!$F$8:$F$3006,B2933,Transactions!$O$8:$O$3006))</f>
        <v/>
      </c>
      <c r="F2933" s="53" t="str">
        <f>IF(B2933="","",SUMIF(Transactions!$F$8:$F$3006,B2933,Transactions!$R$8:$R$3006))</f>
        <v/>
      </c>
      <c r="G2933" s="54" t="str">
        <f>IF(B2933="","",(C2933+F2933)-(D2933+E2933+SUMIF(Transactions!$F$8:$F$3006,B2933,Transactions!$Q$8:$Q$3006)))</f>
        <v/>
      </c>
      <c r="H2933" s="55" t="str">
        <f>IF(B2933="","",IF(G2933&gt;0,"OUTSTANDING",IF(G2933=0,"SETTLED",IF(SUMIF(Transactions!$F$8:$F$3006,B2933,Transactions!$Q$8:$Q$3006)&gt;SUMIF(Transactions!$F$8:$F$3006,B2933,Transactions!$R$8:$R$3006),"OWES","OVERPAID"))))</f>
        <v/>
      </c>
      <c r="I2933" s="1"/>
    </row>
    <row r="2934" spans="1:9" ht="18" customHeight="1" x14ac:dyDescent="0.25">
      <c r="A2934" s="40">
        <v>2919</v>
      </c>
      <c r="B2934" s="41" t="str">
        <f t="array" ref="B2934">IFERROR(IF(INDEX(Transactions!$F$8:$F$3006,MATCH(0,COUNTIF($B$11:B2933,Transactions!$F$8:$F$3006),0))="","",INDEX(Transactions!$F$8:$F$3006,MATCH(0,COUNTIF($B$11:B2933,Transactions!$F$8:$F$3006),0))),"")</f>
        <v/>
      </c>
      <c r="C2934" s="42" t="str">
        <f>IF(B2934="","",SUMIF(Transactions!$F$8:$F$3006,B2934,Transactions!$H$8:$H$3006))</f>
        <v/>
      </c>
      <c r="D2934" s="43" t="str">
        <f>IF(B2934="","",SUMIF(Transactions!$F$8:$F$3006,B2934,Transactions!$N$8:$N$3006))</f>
        <v/>
      </c>
      <c r="E2934" s="44" t="str">
        <f>IF(B2934="","",SUMIF(Transactions!$F$8:$F$3006,B2934,Transactions!$O$8:$O$3006))</f>
        <v/>
      </c>
      <c r="F2934" s="45" t="str">
        <f>IF(B2934="","",SUMIF(Transactions!$F$8:$F$3006,B2934,Transactions!$R$8:$R$3006))</f>
        <v/>
      </c>
      <c r="G2934" s="46" t="str">
        <f>IF(B2934="","",(C2934+F2934)-(D2934+E2934+SUMIF(Transactions!$F$8:$F$3006,B2934,Transactions!$Q$8:$Q$3006)))</f>
        <v/>
      </c>
      <c r="H2934" s="47" t="str">
        <f>IF(B2934="","",IF(G2934&gt;0,"OUTSTANDING",IF(G2934=0,"SETTLED",IF(SUMIF(Transactions!$F$8:$F$3006,B2934,Transactions!$Q$8:$Q$3006)&gt;SUMIF(Transactions!$F$8:$F$3006,B2934,Transactions!$R$8:$R$3006),"OWES","OVERPAID"))))</f>
        <v/>
      </c>
      <c r="I2934" s="1"/>
    </row>
    <row r="2935" spans="1:9" ht="18" customHeight="1" x14ac:dyDescent="0.25">
      <c r="A2935" s="48">
        <v>2920</v>
      </c>
      <c r="B2935" s="49" t="str">
        <f t="array" ref="B2935">IFERROR(IF(INDEX(Transactions!$F$8:$F$3006,MATCH(0,COUNTIF($B$11:B2934,Transactions!$F$8:$F$3006),0))="","",INDEX(Transactions!$F$8:$F$3006,MATCH(0,COUNTIF($B$11:B2934,Transactions!$F$8:$F$3006),0))),"")</f>
        <v/>
      </c>
      <c r="C2935" s="50" t="str">
        <f>IF(B2935="","",SUMIF(Transactions!$F$8:$F$3006,B2935,Transactions!$H$8:$H$3006))</f>
        <v/>
      </c>
      <c r="D2935" s="51" t="str">
        <f>IF(B2935="","",SUMIF(Transactions!$F$8:$F$3006,B2935,Transactions!$N$8:$N$3006))</f>
        <v/>
      </c>
      <c r="E2935" s="52" t="str">
        <f>IF(B2935="","",SUMIF(Transactions!$F$8:$F$3006,B2935,Transactions!$O$8:$O$3006))</f>
        <v/>
      </c>
      <c r="F2935" s="53" t="str">
        <f>IF(B2935="","",SUMIF(Transactions!$F$8:$F$3006,B2935,Transactions!$R$8:$R$3006))</f>
        <v/>
      </c>
      <c r="G2935" s="54" t="str">
        <f>IF(B2935="","",(C2935+F2935)-(D2935+E2935+SUMIF(Transactions!$F$8:$F$3006,B2935,Transactions!$Q$8:$Q$3006)))</f>
        <v/>
      </c>
      <c r="H2935" s="55" t="str">
        <f>IF(B2935="","",IF(G2935&gt;0,"OUTSTANDING",IF(G2935=0,"SETTLED",IF(SUMIF(Transactions!$F$8:$F$3006,B2935,Transactions!$Q$8:$Q$3006)&gt;SUMIF(Transactions!$F$8:$F$3006,B2935,Transactions!$R$8:$R$3006),"OWES","OVERPAID"))))</f>
        <v/>
      </c>
      <c r="I2935" s="1"/>
    </row>
    <row r="2936" spans="1:9" ht="18" customHeight="1" x14ac:dyDescent="0.25">
      <c r="A2936" s="40">
        <v>2921</v>
      </c>
      <c r="B2936" s="41" t="str">
        <f t="array" ref="B2936">IFERROR(IF(INDEX(Transactions!$F$8:$F$3006,MATCH(0,COUNTIF($B$11:B2935,Transactions!$F$8:$F$3006),0))="","",INDEX(Transactions!$F$8:$F$3006,MATCH(0,COUNTIF($B$11:B2935,Transactions!$F$8:$F$3006),0))),"")</f>
        <v/>
      </c>
      <c r="C2936" s="42" t="str">
        <f>IF(B2936="","",SUMIF(Transactions!$F$8:$F$3006,B2936,Transactions!$H$8:$H$3006))</f>
        <v/>
      </c>
      <c r="D2936" s="43" t="str">
        <f>IF(B2936="","",SUMIF(Transactions!$F$8:$F$3006,B2936,Transactions!$N$8:$N$3006))</f>
        <v/>
      </c>
      <c r="E2936" s="44" t="str">
        <f>IF(B2936="","",SUMIF(Transactions!$F$8:$F$3006,B2936,Transactions!$O$8:$O$3006))</f>
        <v/>
      </c>
      <c r="F2936" s="45" t="str">
        <f>IF(B2936="","",SUMIF(Transactions!$F$8:$F$3006,B2936,Transactions!$R$8:$R$3006))</f>
        <v/>
      </c>
      <c r="G2936" s="46" t="str">
        <f>IF(B2936="","",(C2936+F2936)-(D2936+E2936+SUMIF(Transactions!$F$8:$F$3006,B2936,Transactions!$Q$8:$Q$3006)))</f>
        <v/>
      </c>
      <c r="H2936" s="47" t="str">
        <f>IF(B2936="","",IF(G2936&gt;0,"OUTSTANDING",IF(G2936=0,"SETTLED",IF(SUMIF(Transactions!$F$8:$F$3006,B2936,Transactions!$Q$8:$Q$3006)&gt;SUMIF(Transactions!$F$8:$F$3006,B2936,Transactions!$R$8:$R$3006),"OWES","OVERPAID"))))</f>
        <v/>
      </c>
      <c r="I2936" s="1"/>
    </row>
    <row r="2937" spans="1:9" ht="18" customHeight="1" x14ac:dyDescent="0.25">
      <c r="A2937" s="48">
        <v>2922</v>
      </c>
      <c r="B2937" s="49" t="str">
        <f t="array" ref="B2937">IFERROR(IF(INDEX(Transactions!$F$8:$F$3006,MATCH(0,COUNTIF($B$11:B2936,Transactions!$F$8:$F$3006),0))="","",INDEX(Transactions!$F$8:$F$3006,MATCH(0,COUNTIF($B$11:B2936,Transactions!$F$8:$F$3006),0))),"")</f>
        <v/>
      </c>
      <c r="C2937" s="50" t="str">
        <f>IF(B2937="","",SUMIF(Transactions!$F$8:$F$3006,B2937,Transactions!$H$8:$H$3006))</f>
        <v/>
      </c>
      <c r="D2937" s="51" t="str">
        <f>IF(B2937="","",SUMIF(Transactions!$F$8:$F$3006,B2937,Transactions!$N$8:$N$3006))</f>
        <v/>
      </c>
      <c r="E2937" s="52" t="str">
        <f>IF(B2937="","",SUMIF(Transactions!$F$8:$F$3006,B2937,Transactions!$O$8:$O$3006))</f>
        <v/>
      </c>
      <c r="F2937" s="53" t="str">
        <f>IF(B2937="","",SUMIF(Transactions!$F$8:$F$3006,B2937,Transactions!$R$8:$R$3006))</f>
        <v/>
      </c>
      <c r="G2937" s="54" t="str">
        <f>IF(B2937="","",(C2937+F2937)-(D2937+E2937+SUMIF(Transactions!$F$8:$F$3006,B2937,Transactions!$Q$8:$Q$3006)))</f>
        <v/>
      </c>
      <c r="H2937" s="55" t="str">
        <f>IF(B2937="","",IF(G2937&gt;0,"OUTSTANDING",IF(G2937=0,"SETTLED",IF(SUMIF(Transactions!$F$8:$F$3006,B2937,Transactions!$Q$8:$Q$3006)&gt;SUMIF(Transactions!$F$8:$F$3006,B2937,Transactions!$R$8:$R$3006),"OWES","OVERPAID"))))</f>
        <v/>
      </c>
      <c r="I2937" s="1"/>
    </row>
    <row r="2938" spans="1:9" ht="18" customHeight="1" x14ac:dyDescent="0.25">
      <c r="A2938" s="40">
        <v>2923</v>
      </c>
      <c r="B2938" s="41" t="str">
        <f t="array" ref="B2938">IFERROR(IF(INDEX(Transactions!$F$8:$F$3006,MATCH(0,COUNTIF($B$11:B2937,Transactions!$F$8:$F$3006),0))="","",INDEX(Transactions!$F$8:$F$3006,MATCH(0,COUNTIF($B$11:B2937,Transactions!$F$8:$F$3006),0))),"")</f>
        <v/>
      </c>
      <c r="C2938" s="42" t="str">
        <f>IF(B2938="","",SUMIF(Transactions!$F$8:$F$3006,B2938,Transactions!$H$8:$H$3006))</f>
        <v/>
      </c>
      <c r="D2938" s="43" t="str">
        <f>IF(B2938="","",SUMIF(Transactions!$F$8:$F$3006,B2938,Transactions!$N$8:$N$3006))</f>
        <v/>
      </c>
      <c r="E2938" s="44" t="str">
        <f>IF(B2938="","",SUMIF(Transactions!$F$8:$F$3006,B2938,Transactions!$O$8:$O$3006))</f>
        <v/>
      </c>
      <c r="F2938" s="45" t="str">
        <f>IF(B2938="","",SUMIF(Transactions!$F$8:$F$3006,B2938,Transactions!$R$8:$R$3006))</f>
        <v/>
      </c>
      <c r="G2938" s="46" t="str">
        <f>IF(B2938="","",(C2938+F2938)-(D2938+E2938+SUMIF(Transactions!$F$8:$F$3006,B2938,Transactions!$Q$8:$Q$3006)))</f>
        <v/>
      </c>
      <c r="H2938" s="47" t="str">
        <f>IF(B2938="","",IF(G2938&gt;0,"OUTSTANDING",IF(G2938=0,"SETTLED",IF(SUMIF(Transactions!$F$8:$F$3006,B2938,Transactions!$Q$8:$Q$3006)&gt;SUMIF(Transactions!$F$8:$F$3006,B2938,Transactions!$R$8:$R$3006),"OWES","OVERPAID"))))</f>
        <v/>
      </c>
      <c r="I2938" s="1"/>
    </row>
    <row r="2939" spans="1:9" ht="18" customHeight="1" x14ac:dyDescent="0.25">
      <c r="A2939" s="48">
        <v>2924</v>
      </c>
      <c r="B2939" s="49" t="str">
        <f t="array" ref="B2939">IFERROR(IF(INDEX(Transactions!$F$8:$F$3006,MATCH(0,COUNTIF($B$11:B2938,Transactions!$F$8:$F$3006),0))="","",INDEX(Transactions!$F$8:$F$3006,MATCH(0,COUNTIF($B$11:B2938,Transactions!$F$8:$F$3006),0))),"")</f>
        <v/>
      </c>
      <c r="C2939" s="50" t="str">
        <f>IF(B2939="","",SUMIF(Transactions!$F$8:$F$3006,B2939,Transactions!$H$8:$H$3006))</f>
        <v/>
      </c>
      <c r="D2939" s="51" t="str">
        <f>IF(B2939="","",SUMIF(Transactions!$F$8:$F$3006,B2939,Transactions!$N$8:$N$3006))</f>
        <v/>
      </c>
      <c r="E2939" s="52" t="str">
        <f>IF(B2939="","",SUMIF(Transactions!$F$8:$F$3006,B2939,Transactions!$O$8:$O$3006))</f>
        <v/>
      </c>
      <c r="F2939" s="53" t="str">
        <f>IF(B2939="","",SUMIF(Transactions!$F$8:$F$3006,B2939,Transactions!$R$8:$R$3006))</f>
        <v/>
      </c>
      <c r="G2939" s="54" t="str">
        <f>IF(B2939="","",(C2939+F2939)-(D2939+E2939+SUMIF(Transactions!$F$8:$F$3006,B2939,Transactions!$Q$8:$Q$3006)))</f>
        <v/>
      </c>
      <c r="H2939" s="55" t="str">
        <f>IF(B2939="","",IF(G2939&gt;0,"OUTSTANDING",IF(G2939=0,"SETTLED",IF(SUMIF(Transactions!$F$8:$F$3006,B2939,Transactions!$Q$8:$Q$3006)&gt;SUMIF(Transactions!$F$8:$F$3006,B2939,Transactions!$R$8:$R$3006),"OWES","OVERPAID"))))</f>
        <v/>
      </c>
      <c r="I2939" s="1"/>
    </row>
    <row r="2940" spans="1:9" ht="18" customHeight="1" x14ac:dyDescent="0.25">
      <c r="A2940" s="40">
        <v>2925</v>
      </c>
      <c r="B2940" s="41" t="str">
        <f t="array" ref="B2940">IFERROR(IF(INDEX(Transactions!$F$8:$F$3006,MATCH(0,COUNTIF($B$11:B2939,Transactions!$F$8:$F$3006),0))="","",INDEX(Transactions!$F$8:$F$3006,MATCH(0,COUNTIF($B$11:B2939,Transactions!$F$8:$F$3006),0))),"")</f>
        <v/>
      </c>
      <c r="C2940" s="42" t="str">
        <f>IF(B2940="","",SUMIF(Transactions!$F$8:$F$3006,B2940,Transactions!$H$8:$H$3006))</f>
        <v/>
      </c>
      <c r="D2940" s="43" t="str">
        <f>IF(B2940="","",SUMIF(Transactions!$F$8:$F$3006,B2940,Transactions!$N$8:$N$3006))</f>
        <v/>
      </c>
      <c r="E2940" s="44" t="str">
        <f>IF(B2940="","",SUMIF(Transactions!$F$8:$F$3006,B2940,Transactions!$O$8:$O$3006))</f>
        <v/>
      </c>
      <c r="F2940" s="45" t="str">
        <f>IF(B2940="","",SUMIF(Transactions!$F$8:$F$3006,B2940,Transactions!$R$8:$R$3006))</f>
        <v/>
      </c>
      <c r="G2940" s="46" t="str">
        <f>IF(B2940="","",(C2940+F2940)-(D2940+E2940+SUMIF(Transactions!$F$8:$F$3006,B2940,Transactions!$Q$8:$Q$3006)))</f>
        <v/>
      </c>
      <c r="H2940" s="47" t="str">
        <f>IF(B2940="","",IF(G2940&gt;0,"OUTSTANDING",IF(G2940=0,"SETTLED",IF(SUMIF(Transactions!$F$8:$F$3006,B2940,Transactions!$Q$8:$Q$3006)&gt;SUMIF(Transactions!$F$8:$F$3006,B2940,Transactions!$R$8:$R$3006),"OWES","OVERPAID"))))</f>
        <v/>
      </c>
      <c r="I2940" s="1"/>
    </row>
    <row r="2941" spans="1:9" ht="18" customHeight="1" x14ac:dyDescent="0.25">
      <c r="A2941" s="48">
        <v>2926</v>
      </c>
      <c r="B2941" s="49" t="str">
        <f t="array" ref="B2941">IFERROR(IF(INDEX(Transactions!$F$8:$F$3006,MATCH(0,COUNTIF($B$11:B2940,Transactions!$F$8:$F$3006),0))="","",INDEX(Transactions!$F$8:$F$3006,MATCH(0,COUNTIF($B$11:B2940,Transactions!$F$8:$F$3006),0))),"")</f>
        <v/>
      </c>
      <c r="C2941" s="50" t="str">
        <f>IF(B2941="","",SUMIF(Transactions!$F$8:$F$3006,B2941,Transactions!$H$8:$H$3006))</f>
        <v/>
      </c>
      <c r="D2941" s="51" t="str">
        <f>IF(B2941="","",SUMIF(Transactions!$F$8:$F$3006,B2941,Transactions!$N$8:$N$3006))</f>
        <v/>
      </c>
      <c r="E2941" s="52" t="str">
        <f>IF(B2941="","",SUMIF(Transactions!$F$8:$F$3006,B2941,Transactions!$O$8:$O$3006))</f>
        <v/>
      </c>
      <c r="F2941" s="53" t="str">
        <f>IF(B2941="","",SUMIF(Transactions!$F$8:$F$3006,B2941,Transactions!$R$8:$R$3006))</f>
        <v/>
      </c>
      <c r="G2941" s="54" t="str">
        <f>IF(B2941="","",(C2941+F2941)-(D2941+E2941+SUMIF(Transactions!$F$8:$F$3006,B2941,Transactions!$Q$8:$Q$3006)))</f>
        <v/>
      </c>
      <c r="H2941" s="55" t="str">
        <f>IF(B2941="","",IF(G2941&gt;0,"OUTSTANDING",IF(G2941=0,"SETTLED",IF(SUMIF(Transactions!$F$8:$F$3006,B2941,Transactions!$Q$8:$Q$3006)&gt;SUMIF(Transactions!$F$8:$F$3006,B2941,Transactions!$R$8:$R$3006),"OWES","OVERPAID"))))</f>
        <v/>
      </c>
      <c r="I2941" s="1"/>
    </row>
    <row r="2942" spans="1:9" ht="18" customHeight="1" x14ac:dyDescent="0.25">
      <c r="A2942" s="40">
        <v>2927</v>
      </c>
      <c r="B2942" s="41" t="str">
        <f t="array" ref="B2942">IFERROR(IF(INDEX(Transactions!$F$8:$F$3006,MATCH(0,COUNTIF($B$11:B2941,Transactions!$F$8:$F$3006),0))="","",INDEX(Transactions!$F$8:$F$3006,MATCH(0,COUNTIF($B$11:B2941,Transactions!$F$8:$F$3006),0))),"")</f>
        <v/>
      </c>
      <c r="C2942" s="42" t="str">
        <f>IF(B2942="","",SUMIF(Transactions!$F$8:$F$3006,B2942,Transactions!$H$8:$H$3006))</f>
        <v/>
      </c>
      <c r="D2942" s="43" t="str">
        <f>IF(B2942="","",SUMIF(Transactions!$F$8:$F$3006,B2942,Transactions!$N$8:$N$3006))</f>
        <v/>
      </c>
      <c r="E2942" s="44" t="str">
        <f>IF(B2942="","",SUMIF(Transactions!$F$8:$F$3006,B2942,Transactions!$O$8:$O$3006))</f>
        <v/>
      </c>
      <c r="F2942" s="45" t="str">
        <f>IF(B2942="","",SUMIF(Transactions!$F$8:$F$3006,B2942,Transactions!$R$8:$R$3006))</f>
        <v/>
      </c>
      <c r="G2942" s="46" t="str">
        <f>IF(B2942="","",(C2942+F2942)-(D2942+E2942+SUMIF(Transactions!$F$8:$F$3006,B2942,Transactions!$Q$8:$Q$3006)))</f>
        <v/>
      </c>
      <c r="H2942" s="47" t="str">
        <f>IF(B2942="","",IF(G2942&gt;0,"OUTSTANDING",IF(G2942=0,"SETTLED",IF(SUMIF(Transactions!$F$8:$F$3006,B2942,Transactions!$Q$8:$Q$3006)&gt;SUMIF(Transactions!$F$8:$F$3006,B2942,Transactions!$R$8:$R$3006),"OWES","OVERPAID"))))</f>
        <v/>
      </c>
      <c r="I2942" s="1"/>
    </row>
    <row r="2943" spans="1:9" ht="18" customHeight="1" x14ac:dyDescent="0.25">
      <c r="A2943" s="48">
        <v>2928</v>
      </c>
      <c r="B2943" s="49" t="str">
        <f t="array" ref="B2943">IFERROR(IF(INDEX(Transactions!$F$8:$F$3006,MATCH(0,COUNTIF($B$11:B2942,Transactions!$F$8:$F$3006),0))="","",INDEX(Transactions!$F$8:$F$3006,MATCH(0,COUNTIF($B$11:B2942,Transactions!$F$8:$F$3006),0))),"")</f>
        <v/>
      </c>
      <c r="C2943" s="50" t="str">
        <f>IF(B2943="","",SUMIF(Transactions!$F$8:$F$3006,B2943,Transactions!$H$8:$H$3006))</f>
        <v/>
      </c>
      <c r="D2943" s="51" t="str">
        <f>IF(B2943="","",SUMIF(Transactions!$F$8:$F$3006,B2943,Transactions!$N$8:$N$3006))</f>
        <v/>
      </c>
      <c r="E2943" s="52" t="str">
        <f>IF(B2943="","",SUMIF(Transactions!$F$8:$F$3006,B2943,Transactions!$O$8:$O$3006))</f>
        <v/>
      </c>
      <c r="F2943" s="53" t="str">
        <f>IF(B2943="","",SUMIF(Transactions!$F$8:$F$3006,B2943,Transactions!$R$8:$R$3006))</f>
        <v/>
      </c>
      <c r="G2943" s="54" t="str">
        <f>IF(B2943="","",(C2943+F2943)-(D2943+E2943+SUMIF(Transactions!$F$8:$F$3006,B2943,Transactions!$Q$8:$Q$3006)))</f>
        <v/>
      </c>
      <c r="H2943" s="55" t="str">
        <f>IF(B2943="","",IF(G2943&gt;0,"OUTSTANDING",IF(G2943=0,"SETTLED",IF(SUMIF(Transactions!$F$8:$F$3006,B2943,Transactions!$Q$8:$Q$3006)&gt;SUMIF(Transactions!$F$8:$F$3006,B2943,Transactions!$R$8:$R$3006),"OWES","OVERPAID"))))</f>
        <v/>
      </c>
      <c r="I2943" s="1"/>
    </row>
    <row r="2944" spans="1:9" ht="18" customHeight="1" x14ac:dyDescent="0.25">
      <c r="A2944" s="40">
        <v>2929</v>
      </c>
      <c r="B2944" s="41" t="str">
        <f t="array" ref="B2944">IFERROR(IF(INDEX(Transactions!$F$8:$F$3006,MATCH(0,COUNTIF($B$11:B2943,Transactions!$F$8:$F$3006),0))="","",INDEX(Transactions!$F$8:$F$3006,MATCH(0,COUNTIF($B$11:B2943,Transactions!$F$8:$F$3006),0))),"")</f>
        <v/>
      </c>
      <c r="C2944" s="42" t="str">
        <f>IF(B2944="","",SUMIF(Transactions!$F$8:$F$3006,B2944,Transactions!$H$8:$H$3006))</f>
        <v/>
      </c>
      <c r="D2944" s="43" t="str">
        <f>IF(B2944="","",SUMIF(Transactions!$F$8:$F$3006,B2944,Transactions!$N$8:$N$3006))</f>
        <v/>
      </c>
      <c r="E2944" s="44" t="str">
        <f>IF(B2944="","",SUMIF(Transactions!$F$8:$F$3006,B2944,Transactions!$O$8:$O$3006))</f>
        <v/>
      </c>
      <c r="F2944" s="45" t="str">
        <f>IF(B2944="","",SUMIF(Transactions!$F$8:$F$3006,B2944,Transactions!$R$8:$R$3006))</f>
        <v/>
      </c>
      <c r="G2944" s="46" t="str">
        <f>IF(B2944="","",(C2944+F2944)-(D2944+E2944+SUMIF(Transactions!$F$8:$F$3006,B2944,Transactions!$Q$8:$Q$3006)))</f>
        <v/>
      </c>
      <c r="H2944" s="47" t="str">
        <f>IF(B2944="","",IF(G2944&gt;0,"OUTSTANDING",IF(G2944=0,"SETTLED",IF(SUMIF(Transactions!$F$8:$F$3006,B2944,Transactions!$Q$8:$Q$3006)&gt;SUMIF(Transactions!$F$8:$F$3006,B2944,Transactions!$R$8:$R$3006),"OWES","OVERPAID"))))</f>
        <v/>
      </c>
      <c r="I2944" s="1"/>
    </row>
    <row r="2945" spans="1:9" ht="18" customHeight="1" x14ac:dyDescent="0.25">
      <c r="A2945" s="48">
        <v>2930</v>
      </c>
      <c r="B2945" s="49" t="str">
        <f t="array" ref="B2945">IFERROR(IF(INDEX(Transactions!$F$8:$F$3006,MATCH(0,COUNTIF($B$11:B2944,Transactions!$F$8:$F$3006),0))="","",INDEX(Transactions!$F$8:$F$3006,MATCH(0,COUNTIF($B$11:B2944,Transactions!$F$8:$F$3006),0))),"")</f>
        <v/>
      </c>
      <c r="C2945" s="50" t="str">
        <f>IF(B2945="","",SUMIF(Transactions!$F$8:$F$3006,B2945,Transactions!$H$8:$H$3006))</f>
        <v/>
      </c>
      <c r="D2945" s="51" t="str">
        <f>IF(B2945="","",SUMIF(Transactions!$F$8:$F$3006,B2945,Transactions!$N$8:$N$3006))</f>
        <v/>
      </c>
      <c r="E2945" s="52" t="str">
        <f>IF(B2945="","",SUMIF(Transactions!$F$8:$F$3006,B2945,Transactions!$O$8:$O$3006))</f>
        <v/>
      </c>
      <c r="F2945" s="53" t="str">
        <f>IF(B2945="","",SUMIF(Transactions!$F$8:$F$3006,B2945,Transactions!$R$8:$R$3006))</f>
        <v/>
      </c>
      <c r="G2945" s="54" t="str">
        <f>IF(B2945="","",(C2945+F2945)-(D2945+E2945+SUMIF(Transactions!$F$8:$F$3006,B2945,Transactions!$Q$8:$Q$3006)))</f>
        <v/>
      </c>
      <c r="H2945" s="55" t="str">
        <f>IF(B2945="","",IF(G2945&gt;0,"OUTSTANDING",IF(G2945=0,"SETTLED",IF(SUMIF(Transactions!$F$8:$F$3006,B2945,Transactions!$Q$8:$Q$3006)&gt;SUMIF(Transactions!$F$8:$F$3006,B2945,Transactions!$R$8:$R$3006),"OWES","OVERPAID"))))</f>
        <v/>
      </c>
      <c r="I2945" s="1"/>
    </row>
    <row r="2946" spans="1:9" ht="18" customHeight="1" x14ac:dyDescent="0.25">
      <c r="A2946" s="40">
        <v>2931</v>
      </c>
      <c r="B2946" s="41" t="str">
        <f t="array" ref="B2946">IFERROR(IF(INDEX(Transactions!$F$8:$F$3006,MATCH(0,COUNTIF($B$11:B2945,Transactions!$F$8:$F$3006),0))="","",INDEX(Transactions!$F$8:$F$3006,MATCH(0,COUNTIF($B$11:B2945,Transactions!$F$8:$F$3006),0))),"")</f>
        <v/>
      </c>
      <c r="C2946" s="42" t="str">
        <f>IF(B2946="","",SUMIF(Transactions!$F$8:$F$3006,B2946,Transactions!$H$8:$H$3006))</f>
        <v/>
      </c>
      <c r="D2946" s="43" t="str">
        <f>IF(B2946="","",SUMIF(Transactions!$F$8:$F$3006,B2946,Transactions!$N$8:$N$3006))</f>
        <v/>
      </c>
      <c r="E2946" s="44" t="str">
        <f>IF(B2946="","",SUMIF(Transactions!$F$8:$F$3006,B2946,Transactions!$O$8:$O$3006))</f>
        <v/>
      </c>
      <c r="F2946" s="45" t="str">
        <f>IF(B2946="","",SUMIF(Transactions!$F$8:$F$3006,B2946,Transactions!$R$8:$R$3006))</f>
        <v/>
      </c>
      <c r="G2946" s="46" t="str">
        <f>IF(B2946="","",(C2946+F2946)-(D2946+E2946+SUMIF(Transactions!$F$8:$F$3006,B2946,Transactions!$Q$8:$Q$3006)))</f>
        <v/>
      </c>
      <c r="H2946" s="47" t="str">
        <f>IF(B2946="","",IF(G2946&gt;0,"OUTSTANDING",IF(G2946=0,"SETTLED",IF(SUMIF(Transactions!$F$8:$F$3006,B2946,Transactions!$Q$8:$Q$3006)&gt;SUMIF(Transactions!$F$8:$F$3006,B2946,Transactions!$R$8:$R$3006),"OWES","OVERPAID"))))</f>
        <v/>
      </c>
      <c r="I2946" s="1"/>
    </row>
    <row r="2947" spans="1:9" ht="18" customHeight="1" x14ac:dyDescent="0.25">
      <c r="A2947" s="48">
        <v>2932</v>
      </c>
      <c r="B2947" s="49" t="str">
        <f t="array" ref="B2947">IFERROR(IF(INDEX(Transactions!$F$8:$F$3006,MATCH(0,COUNTIF($B$11:B2946,Transactions!$F$8:$F$3006),0))="","",INDEX(Transactions!$F$8:$F$3006,MATCH(0,COUNTIF($B$11:B2946,Transactions!$F$8:$F$3006),0))),"")</f>
        <v/>
      </c>
      <c r="C2947" s="50" t="str">
        <f>IF(B2947="","",SUMIF(Transactions!$F$8:$F$3006,B2947,Transactions!$H$8:$H$3006))</f>
        <v/>
      </c>
      <c r="D2947" s="51" t="str">
        <f>IF(B2947="","",SUMIF(Transactions!$F$8:$F$3006,B2947,Transactions!$N$8:$N$3006))</f>
        <v/>
      </c>
      <c r="E2947" s="52" t="str">
        <f>IF(B2947="","",SUMIF(Transactions!$F$8:$F$3006,B2947,Transactions!$O$8:$O$3006))</f>
        <v/>
      </c>
      <c r="F2947" s="53" t="str">
        <f>IF(B2947="","",SUMIF(Transactions!$F$8:$F$3006,B2947,Transactions!$R$8:$R$3006))</f>
        <v/>
      </c>
      <c r="G2947" s="54" t="str">
        <f>IF(B2947="","",(C2947+F2947)-(D2947+E2947+SUMIF(Transactions!$F$8:$F$3006,B2947,Transactions!$Q$8:$Q$3006)))</f>
        <v/>
      </c>
      <c r="H2947" s="55" t="str">
        <f>IF(B2947="","",IF(G2947&gt;0,"OUTSTANDING",IF(G2947=0,"SETTLED",IF(SUMIF(Transactions!$F$8:$F$3006,B2947,Transactions!$Q$8:$Q$3006)&gt;SUMIF(Transactions!$F$8:$F$3006,B2947,Transactions!$R$8:$R$3006),"OWES","OVERPAID"))))</f>
        <v/>
      </c>
      <c r="I2947" s="1"/>
    </row>
    <row r="2948" spans="1:9" ht="18" customHeight="1" x14ac:dyDescent="0.25">
      <c r="A2948" s="40">
        <v>2933</v>
      </c>
      <c r="B2948" s="41" t="str">
        <f t="array" ref="B2948">IFERROR(IF(INDEX(Transactions!$F$8:$F$3006,MATCH(0,COUNTIF($B$11:B2947,Transactions!$F$8:$F$3006),0))="","",INDEX(Transactions!$F$8:$F$3006,MATCH(0,COUNTIF($B$11:B2947,Transactions!$F$8:$F$3006),0))),"")</f>
        <v/>
      </c>
      <c r="C2948" s="42" t="str">
        <f>IF(B2948="","",SUMIF(Transactions!$F$8:$F$3006,B2948,Transactions!$H$8:$H$3006))</f>
        <v/>
      </c>
      <c r="D2948" s="43" t="str">
        <f>IF(B2948="","",SUMIF(Transactions!$F$8:$F$3006,B2948,Transactions!$N$8:$N$3006))</f>
        <v/>
      </c>
      <c r="E2948" s="44" t="str">
        <f>IF(B2948="","",SUMIF(Transactions!$F$8:$F$3006,B2948,Transactions!$O$8:$O$3006))</f>
        <v/>
      </c>
      <c r="F2948" s="45" t="str">
        <f>IF(B2948="","",SUMIF(Transactions!$F$8:$F$3006,B2948,Transactions!$R$8:$R$3006))</f>
        <v/>
      </c>
      <c r="G2948" s="46" t="str">
        <f>IF(B2948="","",(C2948+F2948)-(D2948+E2948+SUMIF(Transactions!$F$8:$F$3006,B2948,Transactions!$Q$8:$Q$3006)))</f>
        <v/>
      </c>
      <c r="H2948" s="47" t="str">
        <f>IF(B2948="","",IF(G2948&gt;0,"OUTSTANDING",IF(G2948=0,"SETTLED",IF(SUMIF(Transactions!$F$8:$F$3006,B2948,Transactions!$Q$8:$Q$3006)&gt;SUMIF(Transactions!$F$8:$F$3006,B2948,Transactions!$R$8:$R$3006),"OWES","OVERPAID"))))</f>
        <v/>
      </c>
      <c r="I2948" s="1"/>
    </row>
    <row r="2949" spans="1:9" ht="18" customHeight="1" x14ac:dyDescent="0.25">
      <c r="A2949" s="48">
        <v>2934</v>
      </c>
      <c r="B2949" s="49" t="str">
        <f t="array" ref="B2949">IFERROR(IF(INDEX(Transactions!$F$8:$F$3006,MATCH(0,COUNTIF($B$11:B2948,Transactions!$F$8:$F$3006),0))="","",INDEX(Transactions!$F$8:$F$3006,MATCH(0,COUNTIF($B$11:B2948,Transactions!$F$8:$F$3006),0))),"")</f>
        <v/>
      </c>
      <c r="C2949" s="50" t="str">
        <f>IF(B2949="","",SUMIF(Transactions!$F$8:$F$3006,B2949,Transactions!$H$8:$H$3006))</f>
        <v/>
      </c>
      <c r="D2949" s="51" t="str">
        <f>IF(B2949="","",SUMIF(Transactions!$F$8:$F$3006,B2949,Transactions!$N$8:$N$3006))</f>
        <v/>
      </c>
      <c r="E2949" s="52" t="str">
        <f>IF(B2949="","",SUMIF(Transactions!$F$8:$F$3006,B2949,Transactions!$O$8:$O$3006))</f>
        <v/>
      </c>
      <c r="F2949" s="53" t="str">
        <f>IF(B2949="","",SUMIF(Transactions!$F$8:$F$3006,B2949,Transactions!$R$8:$R$3006))</f>
        <v/>
      </c>
      <c r="G2949" s="54" t="str">
        <f>IF(B2949="","",(C2949+F2949)-(D2949+E2949+SUMIF(Transactions!$F$8:$F$3006,B2949,Transactions!$Q$8:$Q$3006)))</f>
        <v/>
      </c>
      <c r="H2949" s="55" t="str">
        <f>IF(B2949="","",IF(G2949&gt;0,"OUTSTANDING",IF(G2949=0,"SETTLED",IF(SUMIF(Transactions!$F$8:$F$3006,B2949,Transactions!$Q$8:$Q$3006)&gt;SUMIF(Transactions!$F$8:$F$3006,B2949,Transactions!$R$8:$R$3006),"OWES","OVERPAID"))))</f>
        <v/>
      </c>
      <c r="I2949" s="1"/>
    </row>
    <row r="2950" spans="1:9" ht="18" customHeight="1" x14ac:dyDescent="0.25">
      <c r="A2950" s="40">
        <v>2935</v>
      </c>
      <c r="B2950" s="41" t="str">
        <f t="array" ref="B2950">IFERROR(IF(INDEX(Transactions!$F$8:$F$3006,MATCH(0,COUNTIF($B$11:B2949,Transactions!$F$8:$F$3006),0))="","",INDEX(Transactions!$F$8:$F$3006,MATCH(0,COUNTIF($B$11:B2949,Transactions!$F$8:$F$3006),0))),"")</f>
        <v/>
      </c>
      <c r="C2950" s="42" t="str">
        <f>IF(B2950="","",SUMIF(Transactions!$F$8:$F$3006,B2950,Transactions!$H$8:$H$3006))</f>
        <v/>
      </c>
      <c r="D2950" s="43" t="str">
        <f>IF(B2950="","",SUMIF(Transactions!$F$8:$F$3006,B2950,Transactions!$N$8:$N$3006))</f>
        <v/>
      </c>
      <c r="E2950" s="44" t="str">
        <f>IF(B2950="","",SUMIF(Transactions!$F$8:$F$3006,B2950,Transactions!$O$8:$O$3006))</f>
        <v/>
      </c>
      <c r="F2950" s="45" t="str">
        <f>IF(B2950="","",SUMIF(Transactions!$F$8:$F$3006,B2950,Transactions!$R$8:$R$3006))</f>
        <v/>
      </c>
      <c r="G2950" s="46" t="str">
        <f>IF(B2950="","",(C2950+F2950)-(D2950+E2950+SUMIF(Transactions!$F$8:$F$3006,B2950,Transactions!$Q$8:$Q$3006)))</f>
        <v/>
      </c>
      <c r="H2950" s="47" t="str">
        <f>IF(B2950="","",IF(G2950&gt;0,"OUTSTANDING",IF(G2950=0,"SETTLED",IF(SUMIF(Transactions!$F$8:$F$3006,B2950,Transactions!$Q$8:$Q$3006)&gt;SUMIF(Transactions!$F$8:$F$3006,B2950,Transactions!$R$8:$R$3006),"OWES","OVERPAID"))))</f>
        <v/>
      </c>
      <c r="I2950" s="1"/>
    </row>
    <row r="2951" spans="1:9" ht="18" customHeight="1" x14ac:dyDescent="0.25">
      <c r="A2951" s="48">
        <v>2936</v>
      </c>
      <c r="B2951" s="49" t="str">
        <f t="array" ref="B2951">IFERROR(IF(INDEX(Transactions!$F$8:$F$3006,MATCH(0,COUNTIF($B$11:B2950,Transactions!$F$8:$F$3006),0))="","",INDEX(Transactions!$F$8:$F$3006,MATCH(0,COUNTIF($B$11:B2950,Transactions!$F$8:$F$3006),0))),"")</f>
        <v/>
      </c>
      <c r="C2951" s="50" t="str">
        <f>IF(B2951="","",SUMIF(Transactions!$F$8:$F$3006,B2951,Transactions!$H$8:$H$3006))</f>
        <v/>
      </c>
      <c r="D2951" s="51" t="str">
        <f>IF(B2951="","",SUMIF(Transactions!$F$8:$F$3006,B2951,Transactions!$N$8:$N$3006))</f>
        <v/>
      </c>
      <c r="E2951" s="52" t="str">
        <f>IF(B2951="","",SUMIF(Transactions!$F$8:$F$3006,B2951,Transactions!$O$8:$O$3006))</f>
        <v/>
      </c>
      <c r="F2951" s="53" t="str">
        <f>IF(B2951="","",SUMIF(Transactions!$F$8:$F$3006,B2951,Transactions!$R$8:$R$3006))</f>
        <v/>
      </c>
      <c r="G2951" s="54" t="str">
        <f>IF(B2951="","",(C2951+F2951)-(D2951+E2951+SUMIF(Transactions!$F$8:$F$3006,B2951,Transactions!$Q$8:$Q$3006)))</f>
        <v/>
      </c>
      <c r="H2951" s="55" t="str">
        <f>IF(B2951="","",IF(G2951&gt;0,"OUTSTANDING",IF(G2951=0,"SETTLED",IF(SUMIF(Transactions!$F$8:$F$3006,B2951,Transactions!$Q$8:$Q$3006)&gt;SUMIF(Transactions!$F$8:$F$3006,B2951,Transactions!$R$8:$R$3006),"OWES","OVERPAID"))))</f>
        <v/>
      </c>
      <c r="I2951" s="1"/>
    </row>
    <row r="2952" spans="1:9" ht="18" customHeight="1" x14ac:dyDescent="0.25">
      <c r="A2952" s="40">
        <v>2937</v>
      </c>
      <c r="B2952" s="41" t="str">
        <f t="array" ref="B2952">IFERROR(IF(INDEX(Transactions!$F$8:$F$3006,MATCH(0,COUNTIF($B$11:B2951,Transactions!$F$8:$F$3006),0))="","",INDEX(Transactions!$F$8:$F$3006,MATCH(0,COUNTIF($B$11:B2951,Transactions!$F$8:$F$3006),0))),"")</f>
        <v/>
      </c>
      <c r="C2952" s="42" t="str">
        <f>IF(B2952="","",SUMIF(Transactions!$F$8:$F$3006,B2952,Transactions!$H$8:$H$3006))</f>
        <v/>
      </c>
      <c r="D2952" s="43" t="str">
        <f>IF(B2952="","",SUMIF(Transactions!$F$8:$F$3006,B2952,Transactions!$N$8:$N$3006))</f>
        <v/>
      </c>
      <c r="E2952" s="44" t="str">
        <f>IF(B2952="","",SUMIF(Transactions!$F$8:$F$3006,B2952,Transactions!$O$8:$O$3006))</f>
        <v/>
      </c>
      <c r="F2952" s="45" t="str">
        <f>IF(B2952="","",SUMIF(Transactions!$F$8:$F$3006,B2952,Transactions!$R$8:$R$3006))</f>
        <v/>
      </c>
      <c r="G2952" s="46" t="str">
        <f>IF(B2952="","",(C2952+F2952)-(D2952+E2952+SUMIF(Transactions!$F$8:$F$3006,B2952,Transactions!$Q$8:$Q$3006)))</f>
        <v/>
      </c>
      <c r="H2952" s="47" t="str">
        <f>IF(B2952="","",IF(G2952&gt;0,"OUTSTANDING",IF(G2952=0,"SETTLED",IF(SUMIF(Transactions!$F$8:$F$3006,B2952,Transactions!$Q$8:$Q$3006)&gt;SUMIF(Transactions!$F$8:$F$3006,B2952,Transactions!$R$8:$R$3006),"OWES","OVERPAID"))))</f>
        <v/>
      </c>
      <c r="I2952" s="1"/>
    </row>
    <row r="2953" spans="1:9" ht="18" customHeight="1" x14ac:dyDescent="0.25">
      <c r="A2953" s="48">
        <v>2938</v>
      </c>
      <c r="B2953" s="49" t="str">
        <f t="array" ref="B2953">IFERROR(IF(INDEX(Transactions!$F$8:$F$3006,MATCH(0,COUNTIF($B$11:B2952,Transactions!$F$8:$F$3006),0))="","",INDEX(Transactions!$F$8:$F$3006,MATCH(0,COUNTIF($B$11:B2952,Transactions!$F$8:$F$3006),0))),"")</f>
        <v/>
      </c>
      <c r="C2953" s="50" t="str">
        <f>IF(B2953="","",SUMIF(Transactions!$F$8:$F$3006,B2953,Transactions!$H$8:$H$3006))</f>
        <v/>
      </c>
      <c r="D2953" s="51" t="str">
        <f>IF(B2953="","",SUMIF(Transactions!$F$8:$F$3006,B2953,Transactions!$N$8:$N$3006))</f>
        <v/>
      </c>
      <c r="E2953" s="52" t="str">
        <f>IF(B2953="","",SUMIF(Transactions!$F$8:$F$3006,B2953,Transactions!$O$8:$O$3006))</f>
        <v/>
      </c>
      <c r="F2953" s="53" t="str">
        <f>IF(B2953="","",SUMIF(Transactions!$F$8:$F$3006,B2953,Transactions!$R$8:$R$3006))</f>
        <v/>
      </c>
      <c r="G2953" s="54" t="str">
        <f>IF(B2953="","",(C2953+F2953)-(D2953+E2953+SUMIF(Transactions!$F$8:$F$3006,B2953,Transactions!$Q$8:$Q$3006)))</f>
        <v/>
      </c>
      <c r="H2953" s="55" t="str">
        <f>IF(B2953="","",IF(G2953&gt;0,"OUTSTANDING",IF(G2953=0,"SETTLED",IF(SUMIF(Transactions!$F$8:$F$3006,B2953,Transactions!$Q$8:$Q$3006)&gt;SUMIF(Transactions!$F$8:$F$3006,B2953,Transactions!$R$8:$R$3006),"OWES","OVERPAID"))))</f>
        <v/>
      </c>
      <c r="I2953" s="1"/>
    </row>
    <row r="2954" spans="1:9" ht="18" customHeight="1" x14ac:dyDescent="0.25">
      <c r="A2954" s="40">
        <v>2939</v>
      </c>
      <c r="B2954" s="41" t="str">
        <f t="array" ref="B2954">IFERROR(IF(INDEX(Transactions!$F$8:$F$3006,MATCH(0,COUNTIF($B$11:B2953,Transactions!$F$8:$F$3006),0))="","",INDEX(Transactions!$F$8:$F$3006,MATCH(0,COUNTIF($B$11:B2953,Transactions!$F$8:$F$3006),0))),"")</f>
        <v/>
      </c>
      <c r="C2954" s="42" t="str">
        <f>IF(B2954="","",SUMIF(Transactions!$F$8:$F$3006,B2954,Transactions!$H$8:$H$3006))</f>
        <v/>
      </c>
      <c r="D2954" s="43" t="str">
        <f>IF(B2954="","",SUMIF(Transactions!$F$8:$F$3006,B2954,Transactions!$N$8:$N$3006))</f>
        <v/>
      </c>
      <c r="E2954" s="44" t="str">
        <f>IF(B2954="","",SUMIF(Transactions!$F$8:$F$3006,B2954,Transactions!$O$8:$O$3006))</f>
        <v/>
      </c>
      <c r="F2954" s="45" t="str">
        <f>IF(B2954="","",SUMIF(Transactions!$F$8:$F$3006,B2954,Transactions!$R$8:$R$3006))</f>
        <v/>
      </c>
      <c r="G2954" s="46" t="str">
        <f>IF(B2954="","",(C2954+F2954)-(D2954+E2954+SUMIF(Transactions!$F$8:$F$3006,B2954,Transactions!$Q$8:$Q$3006)))</f>
        <v/>
      </c>
      <c r="H2954" s="47" t="str">
        <f>IF(B2954="","",IF(G2954&gt;0,"OUTSTANDING",IF(G2954=0,"SETTLED",IF(SUMIF(Transactions!$F$8:$F$3006,B2954,Transactions!$Q$8:$Q$3006)&gt;SUMIF(Transactions!$F$8:$F$3006,B2954,Transactions!$R$8:$R$3006),"OWES","OVERPAID"))))</f>
        <v/>
      </c>
      <c r="I2954" s="1"/>
    </row>
    <row r="2955" spans="1:9" ht="18" customHeight="1" x14ac:dyDescent="0.25">
      <c r="A2955" s="48">
        <v>2940</v>
      </c>
      <c r="B2955" s="49" t="str">
        <f t="array" ref="B2955">IFERROR(IF(INDEX(Transactions!$F$8:$F$3006,MATCH(0,COUNTIF($B$11:B2954,Transactions!$F$8:$F$3006),0))="","",INDEX(Transactions!$F$8:$F$3006,MATCH(0,COUNTIF($B$11:B2954,Transactions!$F$8:$F$3006),0))),"")</f>
        <v/>
      </c>
      <c r="C2955" s="50" t="str">
        <f>IF(B2955="","",SUMIF(Transactions!$F$8:$F$3006,B2955,Transactions!$H$8:$H$3006))</f>
        <v/>
      </c>
      <c r="D2955" s="51" t="str">
        <f>IF(B2955="","",SUMIF(Transactions!$F$8:$F$3006,B2955,Transactions!$N$8:$N$3006))</f>
        <v/>
      </c>
      <c r="E2955" s="52" t="str">
        <f>IF(B2955="","",SUMIF(Transactions!$F$8:$F$3006,B2955,Transactions!$O$8:$O$3006))</f>
        <v/>
      </c>
      <c r="F2955" s="53" t="str">
        <f>IF(B2955="","",SUMIF(Transactions!$F$8:$F$3006,B2955,Transactions!$R$8:$R$3006))</f>
        <v/>
      </c>
      <c r="G2955" s="54" t="str">
        <f>IF(B2955="","",(C2955+F2955)-(D2955+E2955+SUMIF(Transactions!$F$8:$F$3006,B2955,Transactions!$Q$8:$Q$3006)))</f>
        <v/>
      </c>
      <c r="H2955" s="55" t="str">
        <f>IF(B2955="","",IF(G2955&gt;0,"OUTSTANDING",IF(G2955=0,"SETTLED",IF(SUMIF(Transactions!$F$8:$F$3006,B2955,Transactions!$Q$8:$Q$3006)&gt;SUMIF(Transactions!$F$8:$F$3006,B2955,Transactions!$R$8:$R$3006),"OWES","OVERPAID"))))</f>
        <v/>
      </c>
      <c r="I2955" s="1"/>
    </row>
    <row r="2956" spans="1:9" ht="18" customHeight="1" x14ac:dyDescent="0.25">
      <c r="A2956" s="40">
        <v>2941</v>
      </c>
      <c r="B2956" s="41" t="str">
        <f t="array" ref="B2956">IFERROR(IF(INDEX(Transactions!$F$8:$F$3006,MATCH(0,COUNTIF($B$11:B2955,Transactions!$F$8:$F$3006),0))="","",INDEX(Transactions!$F$8:$F$3006,MATCH(0,COUNTIF($B$11:B2955,Transactions!$F$8:$F$3006),0))),"")</f>
        <v/>
      </c>
      <c r="C2956" s="42" t="str">
        <f>IF(B2956="","",SUMIF(Transactions!$F$8:$F$3006,B2956,Transactions!$H$8:$H$3006))</f>
        <v/>
      </c>
      <c r="D2956" s="43" t="str">
        <f>IF(B2956="","",SUMIF(Transactions!$F$8:$F$3006,B2956,Transactions!$N$8:$N$3006))</f>
        <v/>
      </c>
      <c r="E2956" s="44" t="str">
        <f>IF(B2956="","",SUMIF(Transactions!$F$8:$F$3006,B2956,Transactions!$O$8:$O$3006))</f>
        <v/>
      </c>
      <c r="F2956" s="45" t="str">
        <f>IF(B2956="","",SUMIF(Transactions!$F$8:$F$3006,B2956,Transactions!$R$8:$R$3006))</f>
        <v/>
      </c>
      <c r="G2956" s="46" t="str">
        <f>IF(B2956="","",(C2956+F2956)-(D2956+E2956+SUMIF(Transactions!$F$8:$F$3006,B2956,Transactions!$Q$8:$Q$3006)))</f>
        <v/>
      </c>
      <c r="H2956" s="47" t="str">
        <f>IF(B2956="","",IF(G2956&gt;0,"OUTSTANDING",IF(G2956=0,"SETTLED",IF(SUMIF(Transactions!$F$8:$F$3006,B2956,Transactions!$Q$8:$Q$3006)&gt;SUMIF(Transactions!$F$8:$F$3006,B2956,Transactions!$R$8:$R$3006),"OWES","OVERPAID"))))</f>
        <v/>
      </c>
      <c r="I2956" s="1"/>
    </row>
    <row r="2957" spans="1:9" ht="18" customHeight="1" x14ac:dyDescent="0.25">
      <c r="A2957" s="48">
        <v>2942</v>
      </c>
      <c r="B2957" s="49" t="str">
        <f t="array" ref="B2957">IFERROR(IF(INDEX(Transactions!$F$8:$F$3006,MATCH(0,COUNTIF($B$11:B2956,Transactions!$F$8:$F$3006),0))="","",INDEX(Transactions!$F$8:$F$3006,MATCH(0,COUNTIF($B$11:B2956,Transactions!$F$8:$F$3006),0))),"")</f>
        <v/>
      </c>
      <c r="C2957" s="50" t="str">
        <f>IF(B2957="","",SUMIF(Transactions!$F$8:$F$3006,B2957,Transactions!$H$8:$H$3006))</f>
        <v/>
      </c>
      <c r="D2957" s="51" t="str">
        <f>IF(B2957="","",SUMIF(Transactions!$F$8:$F$3006,B2957,Transactions!$N$8:$N$3006))</f>
        <v/>
      </c>
      <c r="E2957" s="52" t="str">
        <f>IF(B2957="","",SUMIF(Transactions!$F$8:$F$3006,B2957,Transactions!$O$8:$O$3006))</f>
        <v/>
      </c>
      <c r="F2957" s="53" t="str">
        <f>IF(B2957="","",SUMIF(Transactions!$F$8:$F$3006,B2957,Transactions!$R$8:$R$3006))</f>
        <v/>
      </c>
      <c r="G2957" s="54" t="str">
        <f>IF(B2957="","",(C2957+F2957)-(D2957+E2957+SUMIF(Transactions!$F$8:$F$3006,B2957,Transactions!$Q$8:$Q$3006)))</f>
        <v/>
      </c>
      <c r="H2957" s="55" t="str">
        <f>IF(B2957="","",IF(G2957&gt;0,"OUTSTANDING",IF(G2957=0,"SETTLED",IF(SUMIF(Transactions!$F$8:$F$3006,B2957,Transactions!$Q$8:$Q$3006)&gt;SUMIF(Transactions!$F$8:$F$3006,B2957,Transactions!$R$8:$R$3006),"OWES","OVERPAID"))))</f>
        <v/>
      </c>
      <c r="I2957" s="1"/>
    </row>
    <row r="2958" spans="1:9" ht="18" customHeight="1" x14ac:dyDescent="0.25">
      <c r="A2958" s="40">
        <v>2943</v>
      </c>
      <c r="B2958" s="41" t="str">
        <f t="array" ref="B2958">IFERROR(IF(INDEX(Transactions!$F$8:$F$3006,MATCH(0,COUNTIF($B$11:B2957,Transactions!$F$8:$F$3006),0))="","",INDEX(Transactions!$F$8:$F$3006,MATCH(0,COUNTIF($B$11:B2957,Transactions!$F$8:$F$3006),0))),"")</f>
        <v/>
      </c>
      <c r="C2958" s="42" t="str">
        <f>IF(B2958="","",SUMIF(Transactions!$F$8:$F$3006,B2958,Transactions!$H$8:$H$3006))</f>
        <v/>
      </c>
      <c r="D2958" s="43" t="str">
        <f>IF(B2958="","",SUMIF(Transactions!$F$8:$F$3006,B2958,Transactions!$N$8:$N$3006))</f>
        <v/>
      </c>
      <c r="E2958" s="44" t="str">
        <f>IF(B2958="","",SUMIF(Transactions!$F$8:$F$3006,B2958,Transactions!$O$8:$O$3006))</f>
        <v/>
      </c>
      <c r="F2958" s="45" t="str">
        <f>IF(B2958="","",SUMIF(Transactions!$F$8:$F$3006,B2958,Transactions!$R$8:$R$3006))</f>
        <v/>
      </c>
      <c r="G2958" s="46" t="str">
        <f>IF(B2958="","",(C2958+F2958)-(D2958+E2958+SUMIF(Transactions!$F$8:$F$3006,B2958,Transactions!$Q$8:$Q$3006)))</f>
        <v/>
      </c>
      <c r="H2958" s="47" t="str">
        <f>IF(B2958="","",IF(G2958&gt;0,"OUTSTANDING",IF(G2958=0,"SETTLED",IF(SUMIF(Transactions!$F$8:$F$3006,B2958,Transactions!$Q$8:$Q$3006)&gt;SUMIF(Transactions!$F$8:$F$3006,B2958,Transactions!$R$8:$R$3006),"OWES","OVERPAID"))))</f>
        <v/>
      </c>
      <c r="I2958" s="1"/>
    </row>
    <row r="2959" spans="1:9" ht="18" customHeight="1" x14ac:dyDescent="0.25">
      <c r="A2959" s="48">
        <v>2944</v>
      </c>
      <c r="B2959" s="49" t="str">
        <f t="array" ref="B2959">IFERROR(IF(INDEX(Transactions!$F$8:$F$3006,MATCH(0,COUNTIF($B$11:B2958,Transactions!$F$8:$F$3006),0))="","",INDEX(Transactions!$F$8:$F$3006,MATCH(0,COUNTIF($B$11:B2958,Transactions!$F$8:$F$3006),0))),"")</f>
        <v/>
      </c>
      <c r="C2959" s="50" t="str">
        <f>IF(B2959="","",SUMIF(Transactions!$F$8:$F$3006,B2959,Transactions!$H$8:$H$3006))</f>
        <v/>
      </c>
      <c r="D2959" s="51" t="str">
        <f>IF(B2959="","",SUMIF(Transactions!$F$8:$F$3006,B2959,Transactions!$N$8:$N$3006))</f>
        <v/>
      </c>
      <c r="E2959" s="52" t="str">
        <f>IF(B2959="","",SUMIF(Transactions!$F$8:$F$3006,B2959,Transactions!$O$8:$O$3006))</f>
        <v/>
      </c>
      <c r="F2959" s="53" t="str">
        <f>IF(B2959="","",SUMIF(Transactions!$F$8:$F$3006,B2959,Transactions!$R$8:$R$3006))</f>
        <v/>
      </c>
      <c r="G2959" s="54" t="str">
        <f>IF(B2959="","",(C2959+F2959)-(D2959+E2959+SUMIF(Transactions!$F$8:$F$3006,B2959,Transactions!$Q$8:$Q$3006)))</f>
        <v/>
      </c>
      <c r="H2959" s="55" t="str">
        <f>IF(B2959="","",IF(G2959&gt;0,"OUTSTANDING",IF(G2959=0,"SETTLED",IF(SUMIF(Transactions!$F$8:$F$3006,B2959,Transactions!$Q$8:$Q$3006)&gt;SUMIF(Transactions!$F$8:$F$3006,B2959,Transactions!$R$8:$R$3006),"OWES","OVERPAID"))))</f>
        <v/>
      </c>
      <c r="I2959" s="1"/>
    </row>
    <row r="2960" spans="1:9" ht="18" customHeight="1" x14ac:dyDescent="0.25">
      <c r="A2960" s="40">
        <v>2945</v>
      </c>
      <c r="B2960" s="41" t="str">
        <f t="array" ref="B2960">IFERROR(IF(INDEX(Transactions!$F$8:$F$3006,MATCH(0,COUNTIF($B$11:B2959,Transactions!$F$8:$F$3006),0))="","",INDEX(Transactions!$F$8:$F$3006,MATCH(0,COUNTIF($B$11:B2959,Transactions!$F$8:$F$3006),0))),"")</f>
        <v/>
      </c>
      <c r="C2960" s="42" t="str">
        <f>IF(B2960="","",SUMIF(Transactions!$F$8:$F$3006,B2960,Transactions!$H$8:$H$3006))</f>
        <v/>
      </c>
      <c r="D2960" s="43" t="str">
        <f>IF(B2960="","",SUMIF(Transactions!$F$8:$F$3006,B2960,Transactions!$N$8:$N$3006))</f>
        <v/>
      </c>
      <c r="E2960" s="44" t="str">
        <f>IF(B2960="","",SUMIF(Transactions!$F$8:$F$3006,B2960,Transactions!$O$8:$O$3006))</f>
        <v/>
      </c>
      <c r="F2960" s="45" t="str">
        <f>IF(B2960="","",SUMIF(Transactions!$F$8:$F$3006,B2960,Transactions!$R$8:$R$3006))</f>
        <v/>
      </c>
      <c r="G2960" s="46" t="str">
        <f>IF(B2960="","",(C2960+F2960)-(D2960+E2960+SUMIF(Transactions!$F$8:$F$3006,B2960,Transactions!$Q$8:$Q$3006)))</f>
        <v/>
      </c>
      <c r="H2960" s="47" t="str">
        <f>IF(B2960="","",IF(G2960&gt;0,"OUTSTANDING",IF(G2960=0,"SETTLED",IF(SUMIF(Transactions!$F$8:$F$3006,B2960,Transactions!$Q$8:$Q$3006)&gt;SUMIF(Transactions!$F$8:$F$3006,B2960,Transactions!$R$8:$R$3006),"OWES","OVERPAID"))))</f>
        <v/>
      </c>
      <c r="I2960" s="1"/>
    </row>
    <row r="2961" spans="1:9" ht="18" customHeight="1" x14ac:dyDescent="0.25">
      <c r="A2961" s="48">
        <v>2946</v>
      </c>
      <c r="B2961" s="49" t="str">
        <f t="array" ref="B2961">IFERROR(IF(INDEX(Transactions!$F$8:$F$3006,MATCH(0,COUNTIF($B$11:B2960,Transactions!$F$8:$F$3006),0))="","",INDEX(Transactions!$F$8:$F$3006,MATCH(0,COUNTIF($B$11:B2960,Transactions!$F$8:$F$3006),0))),"")</f>
        <v/>
      </c>
      <c r="C2961" s="50" t="str">
        <f>IF(B2961="","",SUMIF(Transactions!$F$8:$F$3006,B2961,Transactions!$H$8:$H$3006))</f>
        <v/>
      </c>
      <c r="D2961" s="51" t="str">
        <f>IF(B2961="","",SUMIF(Transactions!$F$8:$F$3006,B2961,Transactions!$N$8:$N$3006))</f>
        <v/>
      </c>
      <c r="E2961" s="52" t="str">
        <f>IF(B2961="","",SUMIF(Transactions!$F$8:$F$3006,B2961,Transactions!$O$8:$O$3006))</f>
        <v/>
      </c>
      <c r="F2961" s="53" t="str">
        <f>IF(B2961="","",SUMIF(Transactions!$F$8:$F$3006,B2961,Transactions!$R$8:$R$3006))</f>
        <v/>
      </c>
      <c r="G2961" s="54" t="str">
        <f>IF(B2961="","",(C2961+F2961)-(D2961+E2961+SUMIF(Transactions!$F$8:$F$3006,B2961,Transactions!$Q$8:$Q$3006)))</f>
        <v/>
      </c>
      <c r="H2961" s="55" t="str">
        <f>IF(B2961="","",IF(G2961&gt;0,"OUTSTANDING",IF(G2961=0,"SETTLED",IF(SUMIF(Transactions!$F$8:$F$3006,B2961,Transactions!$Q$8:$Q$3006)&gt;SUMIF(Transactions!$F$8:$F$3006,B2961,Transactions!$R$8:$R$3006),"OWES","OVERPAID"))))</f>
        <v/>
      </c>
      <c r="I2961" s="1"/>
    </row>
    <row r="2962" spans="1:9" ht="18" customHeight="1" x14ac:dyDescent="0.25">
      <c r="A2962" s="40">
        <v>2947</v>
      </c>
      <c r="B2962" s="41" t="str">
        <f t="array" ref="B2962">IFERROR(IF(INDEX(Transactions!$F$8:$F$3006,MATCH(0,COUNTIF($B$11:B2961,Transactions!$F$8:$F$3006),0))="","",INDEX(Transactions!$F$8:$F$3006,MATCH(0,COUNTIF($B$11:B2961,Transactions!$F$8:$F$3006),0))),"")</f>
        <v/>
      </c>
      <c r="C2962" s="42" t="str">
        <f>IF(B2962="","",SUMIF(Transactions!$F$8:$F$3006,B2962,Transactions!$H$8:$H$3006))</f>
        <v/>
      </c>
      <c r="D2962" s="43" t="str">
        <f>IF(B2962="","",SUMIF(Transactions!$F$8:$F$3006,B2962,Transactions!$N$8:$N$3006))</f>
        <v/>
      </c>
      <c r="E2962" s="44" t="str">
        <f>IF(B2962="","",SUMIF(Transactions!$F$8:$F$3006,B2962,Transactions!$O$8:$O$3006))</f>
        <v/>
      </c>
      <c r="F2962" s="45" t="str">
        <f>IF(B2962="","",SUMIF(Transactions!$F$8:$F$3006,B2962,Transactions!$R$8:$R$3006))</f>
        <v/>
      </c>
      <c r="G2962" s="46" t="str">
        <f>IF(B2962="","",(C2962+F2962)-(D2962+E2962+SUMIF(Transactions!$F$8:$F$3006,B2962,Transactions!$Q$8:$Q$3006)))</f>
        <v/>
      </c>
      <c r="H2962" s="47" t="str">
        <f>IF(B2962="","",IF(G2962&gt;0,"OUTSTANDING",IF(G2962=0,"SETTLED",IF(SUMIF(Transactions!$F$8:$F$3006,B2962,Transactions!$Q$8:$Q$3006)&gt;SUMIF(Transactions!$F$8:$F$3006,B2962,Transactions!$R$8:$R$3006),"OWES","OVERPAID"))))</f>
        <v/>
      </c>
      <c r="I2962" s="1"/>
    </row>
    <row r="2963" spans="1:9" ht="18" customHeight="1" x14ac:dyDescent="0.25">
      <c r="A2963" s="48">
        <v>2948</v>
      </c>
      <c r="B2963" s="49" t="str">
        <f t="array" ref="B2963">IFERROR(IF(INDEX(Transactions!$F$8:$F$3006,MATCH(0,COUNTIF($B$11:B2962,Transactions!$F$8:$F$3006),0))="","",INDEX(Transactions!$F$8:$F$3006,MATCH(0,COUNTIF($B$11:B2962,Transactions!$F$8:$F$3006),0))),"")</f>
        <v/>
      </c>
      <c r="C2963" s="50" t="str">
        <f>IF(B2963="","",SUMIF(Transactions!$F$8:$F$3006,B2963,Transactions!$H$8:$H$3006))</f>
        <v/>
      </c>
      <c r="D2963" s="51" t="str">
        <f>IF(B2963="","",SUMIF(Transactions!$F$8:$F$3006,B2963,Transactions!$N$8:$N$3006))</f>
        <v/>
      </c>
      <c r="E2963" s="52" t="str">
        <f>IF(B2963="","",SUMIF(Transactions!$F$8:$F$3006,B2963,Transactions!$O$8:$O$3006))</f>
        <v/>
      </c>
      <c r="F2963" s="53" t="str">
        <f>IF(B2963="","",SUMIF(Transactions!$F$8:$F$3006,B2963,Transactions!$R$8:$R$3006))</f>
        <v/>
      </c>
      <c r="G2963" s="54" t="str">
        <f>IF(B2963="","",(C2963+F2963)-(D2963+E2963+SUMIF(Transactions!$F$8:$F$3006,B2963,Transactions!$Q$8:$Q$3006)))</f>
        <v/>
      </c>
      <c r="H2963" s="55" t="str">
        <f>IF(B2963="","",IF(G2963&gt;0,"OUTSTANDING",IF(G2963=0,"SETTLED",IF(SUMIF(Transactions!$F$8:$F$3006,B2963,Transactions!$Q$8:$Q$3006)&gt;SUMIF(Transactions!$F$8:$F$3006,B2963,Transactions!$R$8:$R$3006),"OWES","OVERPAID"))))</f>
        <v/>
      </c>
      <c r="I2963" s="1"/>
    </row>
    <row r="2964" spans="1:9" ht="18" customHeight="1" x14ac:dyDescent="0.25">
      <c r="A2964" s="40">
        <v>2949</v>
      </c>
      <c r="B2964" s="41" t="str">
        <f t="array" ref="B2964">IFERROR(IF(INDEX(Transactions!$F$8:$F$3006,MATCH(0,COUNTIF($B$11:B2963,Transactions!$F$8:$F$3006),0))="","",INDEX(Transactions!$F$8:$F$3006,MATCH(0,COUNTIF($B$11:B2963,Transactions!$F$8:$F$3006),0))),"")</f>
        <v/>
      </c>
      <c r="C2964" s="42" t="str">
        <f>IF(B2964="","",SUMIF(Transactions!$F$8:$F$3006,B2964,Transactions!$H$8:$H$3006))</f>
        <v/>
      </c>
      <c r="D2964" s="43" t="str">
        <f>IF(B2964="","",SUMIF(Transactions!$F$8:$F$3006,B2964,Transactions!$N$8:$N$3006))</f>
        <v/>
      </c>
      <c r="E2964" s="44" t="str">
        <f>IF(B2964="","",SUMIF(Transactions!$F$8:$F$3006,B2964,Transactions!$O$8:$O$3006))</f>
        <v/>
      </c>
      <c r="F2964" s="45" t="str">
        <f>IF(B2964="","",SUMIF(Transactions!$F$8:$F$3006,B2964,Transactions!$R$8:$R$3006))</f>
        <v/>
      </c>
      <c r="G2964" s="46" t="str">
        <f>IF(B2964="","",(C2964+F2964)-(D2964+E2964+SUMIF(Transactions!$F$8:$F$3006,B2964,Transactions!$Q$8:$Q$3006)))</f>
        <v/>
      </c>
      <c r="H2964" s="47" t="str">
        <f>IF(B2964="","",IF(G2964&gt;0,"OUTSTANDING",IF(G2964=0,"SETTLED",IF(SUMIF(Transactions!$F$8:$F$3006,B2964,Transactions!$Q$8:$Q$3006)&gt;SUMIF(Transactions!$F$8:$F$3006,B2964,Transactions!$R$8:$R$3006),"OWES","OVERPAID"))))</f>
        <v/>
      </c>
      <c r="I2964" s="1"/>
    </row>
    <row r="2965" spans="1:9" ht="18" customHeight="1" x14ac:dyDescent="0.25">
      <c r="A2965" s="48">
        <v>2950</v>
      </c>
      <c r="B2965" s="49" t="str">
        <f t="array" ref="B2965">IFERROR(IF(INDEX(Transactions!$F$8:$F$3006,MATCH(0,COUNTIF($B$11:B2964,Transactions!$F$8:$F$3006),0))="","",INDEX(Transactions!$F$8:$F$3006,MATCH(0,COUNTIF($B$11:B2964,Transactions!$F$8:$F$3006),0))),"")</f>
        <v/>
      </c>
      <c r="C2965" s="50" t="str">
        <f>IF(B2965="","",SUMIF(Transactions!$F$8:$F$3006,B2965,Transactions!$H$8:$H$3006))</f>
        <v/>
      </c>
      <c r="D2965" s="51" t="str">
        <f>IF(B2965="","",SUMIF(Transactions!$F$8:$F$3006,B2965,Transactions!$N$8:$N$3006))</f>
        <v/>
      </c>
      <c r="E2965" s="52" t="str">
        <f>IF(B2965="","",SUMIF(Transactions!$F$8:$F$3006,B2965,Transactions!$O$8:$O$3006))</f>
        <v/>
      </c>
      <c r="F2965" s="53" t="str">
        <f>IF(B2965="","",SUMIF(Transactions!$F$8:$F$3006,B2965,Transactions!$R$8:$R$3006))</f>
        <v/>
      </c>
      <c r="G2965" s="54" t="str">
        <f>IF(B2965="","",(C2965+F2965)-(D2965+E2965+SUMIF(Transactions!$F$8:$F$3006,B2965,Transactions!$Q$8:$Q$3006)))</f>
        <v/>
      </c>
      <c r="H2965" s="55" t="str">
        <f>IF(B2965="","",IF(G2965&gt;0,"OUTSTANDING",IF(G2965=0,"SETTLED",IF(SUMIF(Transactions!$F$8:$F$3006,B2965,Transactions!$Q$8:$Q$3006)&gt;SUMIF(Transactions!$F$8:$F$3006,B2965,Transactions!$R$8:$R$3006),"OWES","OVERPAID"))))</f>
        <v/>
      </c>
      <c r="I2965" s="1"/>
    </row>
    <row r="2966" spans="1:9" ht="18" customHeight="1" x14ac:dyDescent="0.25">
      <c r="A2966" s="40">
        <v>2951</v>
      </c>
      <c r="B2966" s="41" t="str">
        <f t="array" ref="B2966">IFERROR(IF(INDEX(Transactions!$F$8:$F$3006,MATCH(0,COUNTIF($B$11:B2965,Transactions!$F$8:$F$3006),0))="","",INDEX(Transactions!$F$8:$F$3006,MATCH(0,COUNTIF($B$11:B2965,Transactions!$F$8:$F$3006),0))),"")</f>
        <v/>
      </c>
      <c r="C2966" s="42" t="str">
        <f>IF(B2966="","",SUMIF(Transactions!$F$8:$F$3006,B2966,Transactions!$H$8:$H$3006))</f>
        <v/>
      </c>
      <c r="D2966" s="43" t="str">
        <f>IF(B2966="","",SUMIF(Transactions!$F$8:$F$3006,B2966,Transactions!$N$8:$N$3006))</f>
        <v/>
      </c>
      <c r="E2966" s="44" t="str">
        <f>IF(B2966="","",SUMIF(Transactions!$F$8:$F$3006,B2966,Transactions!$O$8:$O$3006))</f>
        <v/>
      </c>
      <c r="F2966" s="45" t="str">
        <f>IF(B2966="","",SUMIF(Transactions!$F$8:$F$3006,B2966,Transactions!$R$8:$R$3006))</f>
        <v/>
      </c>
      <c r="G2966" s="46" t="str">
        <f>IF(B2966="","",(C2966+F2966)-(D2966+E2966+SUMIF(Transactions!$F$8:$F$3006,B2966,Transactions!$Q$8:$Q$3006)))</f>
        <v/>
      </c>
      <c r="H2966" s="47" t="str">
        <f>IF(B2966="","",IF(G2966&gt;0,"OUTSTANDING",IF(G2966=0,"SETTLED",IF(SUMIF(Transactions!$F$8:$F$3006,B2966,Transactions!$Q$8:$Q$3006)&gt;SUMIF(Transactions!$F$8:$F$3006,B2966,Transactions!$R$8:$R$3006),"OWES","OVERPAID"))))</f>
        <v/>
      </c>
      <c r="I2966" s="1"/>
    </row>
    <row r="2967" spans="1:9" ht="18" customHeight="1" x14ac:dyDescent="0.25">
      <c r="A2967" s="48">
        <v>2952</v>
      </c>
      <c r="B2967" s="49" t="str">
        <f t="array" ref="B2967">IFERROR(IF(INDEX(Transactions!$F$8:$F$3006,MATCH(0,COUNTIF($B$11:B2966,Transactions!$F$8:$F$3006),0))="","",INDEX(Transactions!$F$8:$F$3006,MATCH(0,COUNTIF($B$11:B2966,Transactions!$F$8:$F$3006),0))),"")</f>
        <v/>
      </c>
      <c r="C2967" s="50" t="str">
        <f>IF(B2967="","",SUMIF(Transactions!$F$8:$F$3006,B2967,Transactions!$H$8:$H$3006))</f>
        <v/>
      </c>
      <c r="D2967" s="51" t="str">
        <f>IF(B2967="","",SUMIF(Transactions!$F$8:$F$3006,B2967,Transactions!$N$8:$N$3006))</f>
        <v/>
      </c>
      <c r="E2967" s="52" t="str">
        <f>IF(B2967="","",SUMIF(Transactions!$F$8:$F$3006,B2967,Transactions!$O$8:$O$3006))</f>
        <v/>
      </c>
      <c r="F2967" s="53" t="str">
        <f>IF(B2967="","",SUMIF(Transactions!$F$8:$F$3006,B2967,Transactions!$R$8:$R$3006))</f>
        <v/>
      </c>
      <c r="G2967" s="54" t="str">
        <f>IF(B2967="","",(C2967+F2967)-(D2967+E2967+SUMIF(Transactions!$F$8:$F$3006,B2967,Transactions!$Q$8:$Q$3006)))</f>
        <v/>
      </c>
      <c r="H2967" s="55" t="str">
        <f>IF(B2967="","",IF(G2967&gt;0,"OUTSTANDING",IF(G2967=0,"SETTLED",IF(SUMIF(Transactions!$F$8:$F$3006,B2967,Transactions!$Q$8:$Q$3006)&gt;SUMIF(Transactions!$F$8:$F$3006,B2967,Transactions!$R$8:$R$3006),"OWES","OVERPAID"))))</f>
        <v/>
      </c>
      <c r="I2967" s="1"/>
    </row>
    <row r="2968" spans="1:9" ht="18" customHeight="1" x14ac:dyDescent="0.25">
      <c r="A2968" s="40">
        <v>2953</v>
      </c>
      <c r="B2968" s="41" t="str">
        <f t="array" ref="B2968">IFERROR(IF(INDEX(Transactions!$F$8:$F$3006,MATCH(0,COUNTIF($B$11:B2967,Transactions!$F$8:$F$3006),0))="","",INDEX(Transactions!$F$8:$F$3006,MATCH(0,COUNTIF($B$11:B2967,Transactions!$F$8:$F$3006),0))),"")</f>
        <v/>
      </c>
      <c r="C2968" s="42" t="str">
        <f>IF(B2968="","",SUMIF(Transactions!$F$8:$F$3006,B2968,Transactions!$H$8:$H$3006))</f>
        <v/>
      </c>
      <c r="D2968" s="43" t="str">
        <f>IF(B2968="","",SUMIF(Transactions!$F$8:$F$3006,B2968,Transactions!$N$8:$N$3006))</f>
        <v/>
      </c>
      <c r="E2968" s="44" t="str">
        <f>IF(B2968="","",SUMIF(Transactions!$F$8:$F$3006,B2968,Transactions!$O$8:$O$3006))</f>
        <v/>
      </c>
      <c r="F2968" s="45" t="str">
        <f>IF(B2968="","",SUMIF(Transactions!$F$8:$F$3006,B2968,Transactions!$R$8:$R$3006))</f>
        <v/>
      </c>
      <c r="G2968" s="46" t="str">
        <f>IF(B2968="","",(C2968+F2968)-(D2968+E2968+SUMIF(Transactions!$F$8:$F$3006,B2968,Transactions!$Q$8:$Q$3006)))</f>
        <v/>
      </c>
      <c r="H2968" s="47" t="str">
        <f>IF(B2968="","",IF(G2968&gt;0,"OUTSTANDING",IF(G2968=0,"SETTLED",IF(SUMIF(Transactions!$F$8:$F$3006,B2968,Transactions!$Q$8:$Q$3006)&gt;SUMIF(Transactions!$F$8:$F$3006,B2968,Transactions!$R$8:$R$3006),"OWES","OVERPAID"))))</f>
        <v/>
      </c>
      <c r="I2968" s="1"/>
    </row>
    <row r="2969" spans="1:9" ht="18" customHeight="1" x14ac:dyDescent="0.25">
      <c r="A2969" s="48">
        <v>2954</v>
      </c>
      <c r="B2969" s="49" t="str">
        <f t="array" ref="B2969">IFERROR(IF(INDEX(Transactions!$F$8:$F$3006,MATCH(0,COUNTIF($B$11:B2968,Transactions!$F$8:$F$3006),0))="","",INDEX(Transactions!$F$8:$F$3006,MATCH(0,COUNTIF($B$11:B2968,Transactions!$F$8:$F$3006),0))),"")</f>
        <v/>
      </c>
      <c r="C2969" s="50" t="str">
        <f>IF(B2969="","",SUMIF(Transactions!$F$8:$F$3006,B2969,Transactions!$H$8:$H$3006))</f>
        <v/>
      </c>
      <c r="D2969" s="51" t="str">
        <f>IF(B2969="","",SUMIF(Transactions!$F$8:$F$3006,B2969,Transactions!$N$8:$N$3006))</f>
        <v/>
      </c>
      <c r="E2969" s="52" t="str">
        <f>IF(B2969="","",SUMIF(Transactions!$F$8:$F$3006,B2969,Transactions!$O$8:$O$3006))</f>
        <v/>
      </c>
      <c r="F2969" s="53" t="str">
        <f>IF(B2969="","",SUMIF(Transactions!$F$8:$F$3006,B2969,Transactions!$R$8:$R$3006))</f>
        <v/>
      </c>
      <c r="G2969" s="54" t="str">
        <f>IF(B2969="","",(C2969+F2969)-(D2969+E2969+SUMIF(Transactions!$F$8:$F$3006,B2969,Transactions!$Q$8:$Q$3006)))</f>
        <v/>
      </c>
      <c r="H2969" s="55" t="str">
        <f>IF(B2969="","",IF(G2969&gt;0,"OUTSTANDING",IF(G2969=0,"SETTLED",IF(SUMIF(Transactions!$F$8:$F$3006,B2969,Transactions!$Q$8:$Q$3006)&gt;SUMIF(Transactions!$F$8:$F$3006,B2969,Transactions!$R$8:$R$3006),"OWES","OVERPAID"))))</f>
        <v/>
      </c>
      <c r="I2969" s="1"/>
    </row>
    <row r="2970" spans="1:9" ht="18" customHeight="1" x14ac:dyDescent="0.25">
      <c r="A2970" s="40">
        <v>2955</v>
      </c>
      <c r="B2970" s="41" t="str">
        <f t="array" ref="B2970">IFERROR(IF(INDEX(Transactions!$F$8:$F$3006,MATCH(0,COUNTIF($B$11:B2969,Transactions!$F$8:$F$3006),0))="","",INDEX(Transactions!$F$8:$F$3006,MATCH(0,COUNTIF($B$11:B2969,Transactions!$F$8:$F$3006),0))),"")</f>
        <v/>
      </c>
      <c r="C2970" s="42" t="str">
        <f>IF(B2970="","",SUMIF(Transactions!$F$8:$F$3006,B2970,Transactions!$H$8:$H$3006))</f>
        <v/>
      </c>
      <c r="D2970" s="43" t="str">
        <f>IF(B2970="","",SUMIF(Transactions!$F$8:$F$3006,B2970,Transactions!$N$8:$N$3006))</f>
        <v/>
      </c>
      <c r="E2970" s="44" t="str">
        <f>IF(B2970="","",SUMIF(Transactions!$F$8:$F$3006,B2970,Transactions!$O$8:$O$3006))</f>
        <v/>
      </c>
      <c r="F2970" s="45" t="str">
        <f>IF(B2970="","",SUMIF(Transactions!$F$8:$F$3006,B2970,Transactions!$R$8:$R$3006))</f>
        <v/>
      </c>
      <c r="G2970" s="46" t="str">
        <f>IF(B2970="","",(C2970+F2970)-(D2970+E2970+SUMIF(Transactions!$F$8:$F$3006,B2970,Transactions!$Q$8:$Q$3006)))</f>
        <v/>
      </c>
      <c r="H2970" s="47" t="str">
        <f>IF(B2970="","",IF(G2970&gt;0,"OUTSTANDING",IF(G2970=0,"SETTLED",IF(SUMIF(Transactions!$F$8:$F$3006,B2970,Transactions!$Q$8:$Q$3006)&gt;SUMIF(Transactions!$F$8:$F$3006,B2970,Transactions!$R$8:$R$3006),"OWES","OVERPAID"))))</f>
        <v/>
      </c>
      <c r="I2970" s="1"/>
    </row>
    <row r="2971" spans="1:9" ht="18" customHeight="1" x14ac:dyDescent="0.25">
      <c r="A2971" s="48">
        <v>2956</v>
      </c>
      <c r="B2971" s="49" t="str">
        <f t="array" ref="B2971">IFERROR(IF(INDEX(Transactions!$F$8:$F$3006,MATCH(0,COUNTIF($B$11:B2970,Transactions!$F$8:$F$3006),0))="","",INDEX(Transactions!$F$8:$F$3006,MATCH(0,COUNTIF($B$11:B2970,Transactions!$F$8:$F$3006),0))),"")</f>
        <v/>
      </c>
      <c r="C2971" s="50" t="str">
        <f>IF(B2971="","",SUMIF(Transactions!$F$8:$F$3006,B2971,Transactions!$H$8:$H$3006))</f>
        <v/>
      </c>
      <c r="D2971" s="51" t="str">
        <f>IF(B2971="","",SUMIF(Transactions!$F$8:$F$3006,B2971,Transactions!$N$8:$N$3006))</f>
        <v/>
      </c>
      <c r="E2971" s="52" t="str">
        <f>IF(B2971="","",SUMIF(Transactions!$F$8:$F$3006,B2971,Transactions!$O$8:$O$3006))</f>
        <v/>
      </c>
      <c r="F2971" s="53" t="str">
        <f>IF(B2971="","",SUMIF(Transactions!$F$8:$F$3006,B2971,Transactions!$R$8:$R$3006))</f>
        <v/>
      </c>
      <c r="G2971" s="54" t="str">
        <f>IF(B2971="","",(C2971+F2971)-(D2971+E2971+SUMIF(Transactions!$F$8:$F$3006,B2971,Transactions!$Q$8:$Q$3006)))</f>
        <v/>
      </c>
      <c r="H2971" s="55" t="str">
        <f>IF(B2971="","",IF(G2971&gt;0,"OUTSTANDING",IF(G2971=0,"SETTLED",IF(SUMIF(Transactions!$F$8:$F$3006,B2971,Transactions!$Q$8:$Q$3006)&gt;SUMIF(Transactions!$F$8:$F$3006,B2971,Transactions!$R$8:$R$3006),"OWES","OVERPAID"))))</f>
        <v/>
      </c>
      <c r="I2971" s="1"/>
    </row>
    <row r="2972" spans="1:9" ht="18" customHeight="1" x14ac:dyDescent="0.25">
      <c r="A2972" s="40">
        <v>2957</v>
      </c>
      <c r="B2972" s="41" t="str">
        <f t="array" ref="B2972">IFERROR(IF(INDEX(Transactions!$F$8:$F$3006,MATCH(0,COUNTIF($B$11:B2971,Transactions!$F$8:$F$3006),0))="","",INDEX(Transactions!$F$8:$F$3006,MATCH(0,COUNTIF($B$11:B2971,Transactions!$F$8:$F$3006),0))),"")</f>
        <v/>
      </c>
      <c r="C2972" s="42" t="str">
        <f>IF(B2972="","",SUMIF(Transactions!$F$8:$F$3006,B2972,Transactions!$H$8:$H$3006))</f>
        <v/>
      </c>
      <c r="D2972" s="43" t="str">
        <f>IF(B2972="","",SUMIF(Transactions!$F$8:$F$3006,B2972,Transactions!$N$8:$N$3006))</f>
        <v/>
      </c>
      <c r="E2972" s="44" t="str">
        <f>IF(B2972="","",SUMIF(Transactions!$F$8:$F$3006,B2972,Transactions!$O$8:$O$3006))</f>
        <v/>
      </c>
      <c r="F2972" s="45" t="str">
        <f>IF(B2972="","",SUMIF(Transactions!$F$8:$F$3006,B2972,Transactions!$R$8:$R$3006))</f>
        <v/>
      </c>
      <c r="G2972" s="46" t="str">
        <f>IF(B2972="","",(C2972+F2972)-(D2972+E2972+SUMIF(Transactions!$F$8:$F$3006,B2972,Transactions!$Q$8:$Q$3006)))</f>
        <v/>
      </c>
      <c r="H2972" s="47" t="str">
        <f>IF(B2972="","",IF(G2972&gt;0,"OUTSTANDING",IF(G2972=0,"SETTLED",IF(SUMIF(Transactions!$F$8:$F$3006,B2972,Transactions!$Q$8:$Q$3006)&gt;SUMIF(Transactions!$F$8:$F$3006,B2972,Transactions!$R$8:$R$3006),"OWES","OVERPAID"))))</f>
        <v/>
      </c>
      <c r="I2972" s="1"/>
    </row>
    <row r="2973" spans="1:9" ht="18" customHeight="1" x14ac:dyDescent="0.25">
      <c r="A2973" s="48">
        <v>2958</v>
      </c>
      <c r="B2973" s="49" t="str">
        <f t="array" ref="B2973">IFERROR(IF(INDEX(Transactions!$F$8:$F$3006,MATCH(0,COUNTIF($B$11:B2972,Transactions!$F$8:$F$3006),0))="","",INDEX(Transactions!$F$8:$F$3006,MATCH(0,COUNTIF($B$11:B2972,Transactions!$F$8:$F$3006),0))),"")</f>
        <v/>
      </c>
      <c r="C2973" s="50" t="str">
        <f>IF(B2973="","",SUMIF(Transactions!$F$8:$F$3006,B2973,Transactions!$H$8:$H$3006))</f>
        <v/>
      </c>
      <c r="D2973" s="51" t="str">
        <f>IF(B2973="","",SUMIF(Transactions!$F$8:$F$3006,B2973,Transactions!$N$8:$N$3006))</f>
        <v/>
      </c>
      <c r="E2973" s="52" t="str">
        <f>IF(B2973="","",SUMIF(Transactions!$F$8:$F$3006,B2973,Transactions!$O$8:$O$3006))</f>
        <v/>
      </c>
      <c r="F2973" s="53" t="str">
        <f>IF(B2973="","",SUMIF(Transactions!$F$8:$F$3006,B2973,Transactions!$R$8:$R$3006))</f>
        <v/>
      </c>
      <c r="G2973" s="54" t="str">
        <f>IF(B2973="","",(C2973+F2973)-(D2973+E2973+SUMIF(Transactions!$F$8:$F$3006,B2973,Transactions!$Q$8:$Q$3006)))</f>
        <v/>
      </c>
      <c r="H2973" s="55" t="str">
        <f>IF(B2973="","",IF(G2973&gt;0,"OUTSTANDING",IF(G2973=0,"SETTLED",IF(SUMIF(Transactions!$F$8:$F$3006,B2973,Transactions!$Q$8:$Q$3006)&gt;SUMIF(Transactions!$F$8:$F$3006,B2973,Transactions!$R$8:$R$3006),"OWES","OVERPAID"))))</f>
        <v/>
      </c>
      <c r="I2973" s="1"/>
    </row>
    <row r="2974" spans="1:9" ht="18" customHeight="1" x14ac:dyDescent="0.25">
      <c r="A2974" s="40">
        <v>2959</v>
      </c>
      <c r="B2974" s="41" t="str">
        <f t="array" ref="B2974">IFERROR(IF(INDEX(Transactions!$F$8:$F$3006,MATCH(0,COUNTIF($B$11:B2973,Transactions!$F$8:$F$3006),0))="","",INDEX(Transactions!$F$8:$F$3006,MATCH(0,COUNTIF($B$11:B2973,Transactions!$F$8:$F$3006),0))),"")</f>
        <v/>
      </c>
      <c r="C2974" s="42" t="str">
        <f>IF(B2974="","",SUMIF(Transactions!$F$8:$F$3006,B2974,Transactions!$H$8:$H$3006))</f>
        <v/>
      </c>
      <c r="D2974" s="43" t="str">
        <f>IF(B2974="","",SUMIF(Transactions!$F$8:$F$3006,B2974,Transactions!$N$8:$N$3006))</f>
        <v/>
      </c>
      <c r="E2974" s="44" t="str">
        <f>IF(B2974="","",SUMIF(Transactions!$F$8:$F$3006,B2974,Transactions!$O$8:$O$3006))</f>
        <v/>
      </c>
      <c r="F2974" s="45" t="str">
        <f>IF(B2974="","",SUMIF(Transactions!$F$8:$F$3006,B2974,Transactions!$R$8:$R$3006))</f>
        <v/>
      </c>
      <c r="G2974" s="46" t="str">
        <f>IF(B2974="","",(C2974+F2974)-(D2974+E2974+SUMIF(Transactions!$F$8:$F$3006,B2974,Transactions!$Q$8:$Q$3006)))</f>
        <v/>
      </c>
      <c r="H2974" s="47" t="str">
        <f>IF(B2974="","",IF(G2974&gt;0,"OUTSTANDING",IF(G2974=0,"SETTLED",IF(SUMIF(Transactions!$F$8:$F$3006,B2974,Transactions!$Q$8:$Q$3006)&gt;SUMIF(Transactions!$F$8:$F$3006,B2974,Transactions!$R$8:$R$3006),"OWES","OVERPAID"))))</f>
        <v/>
      </c>
      <c r="I2974" s="1"/>
    </row>
    <row r="2975" spans="1:9" ht="18" customHeight="1" x14ac:dyDescent="0.25">
      <c r="A2975" s="48">
        <v>2960</v>
      </c>
      <c r="B2975" s="49" t="str">
        <f t="array" ref="B2975">IFERROR(IF(INDEX(Transactions!$F$8:$F$3006,MATCH(0,COUNTIF($B$11:B2974,Transactions!$F$8:$F$3006),0))="","",INDEX(Transactions!$F$8:$F$3006,MATCH(0,COUNTIF($B$11:B2974,Transactions!$F$8:$F$3006),0))),"")</f>
        <v/>
      </c>
      <c r="C2975" s="50" t="str">
        <f>IF(B2975="","",SUMIF(Transactions!$F$8:$F$3006,B2975,Transactions!$H$8:$H$3006))</f>
        <v/>
      </c>
      <c r="D2975" s="51" t="str">
        <f>IF(B2975="","",SUMIF(Transactions!$F$8:$F$3006,B2975,Transactions!$N$8:$N$3006))</f>
        <v/>
      </c>
      <c r="E2975" s="52" t="str">
        <f>IF(B2975="","",SUMIF(Transactions!$F$8:$F$3006,B2975,Transactions!$O$8:$O$3006))</f>
        <v/>
      </c>
      <c r="F2975" s="53" t="str">
        <f>IF(B2975="","",SUMIF(Transactions!$F$8:$F$3006,B2975,Transactions!$R$8:$R$3006))</f>
        <v/>
      </c>
      <c r="G2975" s="54" t="str">
        <f>IF(B2975="","",(C2975+F2975)-(D2975+E2975+SUMIF(Transactions!$F$8:$F$3006,B2975,Transactions!$Q$8:$Q$3006)))</f>
        <v/>
      </c>
      <c r="H2975" s="55" t="str">
        <f>IF(B2975="","",IF(G2975&gt;0,"OUTSTANDING",IF(G2975=0,"SETTLED",IF(SUMIF(Transactions!$F$8:$F$3006,B2975,Transactions!$Q$8:$Q$3006)&gt;SUMIF(Transactions!$F$8:$F$3006,B2975,Transactions!$R$8:$R$3006),"OWES","OVERPAID"))))</f>
        <v/>
      </c>
      <c r="I2975" s="1"/>
    </row>
    <row r="2976" spans="1:9" ht="18" customHeight="1" x14ac:dyDescent="0.25">
      <c r="A2976" s="40">
        <v>2961</v>
      </c>
      <c r="B2976" s="41" t="str">
        <f t="array" ref="B2976">IFERROR(IF(INDEX(Transactions!$F$8:$F$3006,MATCH(0,COUNTIF($B$11:B2975,Transactions!$F$8:$F$3006),0))="","",INDEX(Transactions!$F$8:$F$3006,MATCH(0,COUNTIF($B$11:B2975,Transactions!$F$8:$F$3006),0))),"")</f>
        <v/>
      </c>
      <c r="C2976" s="42" t="str">
        <f>IF(B2976="","",SUMIF(Transactions!$F$8:$F$3006,B2976,Transactions!$H$8:$H$3006))</f>
        <v/>
      </c>
      <c r="D2976" s="43" t="str">
        <f>IF(B2976="","",SUMIF(Transactions!$F$8:$F$3006,B2976,Transactions!$N$8:$N$3006))</f>
        <v/>
      </c>
      <c r="E2976" s="44" t="str">
        <f>IF(B2976="","",SUMIF(Transactions!$F$8:$F$3006,B2976,Transactions!$O$8:$O$3006))</f>
        <v/>
      </c>
      <c r="F2976" s="45" t="str">
        <f>IF(B2976="","",SUMIF(Transactions!$F$8:$F$3006,B2976,Transactions!$R$8:$R$3006))</f>
        <v/>
      </c>
      <c r="G2976" s="46" t="str">
        <f>IF(B2976="","",(C2976+F2976)-(D2976+E2976+SUMIF(Transactions!$F$8:$F$3006,B2976,Transactions!$Q$8:$Q$3006)))</f>
        <v/>
      </c>
      <c r="H2976" s="47" t="str">
        <f>IF(B2976="","",IF(G2976&gt;0,"OUTSTANDING",IF(G2976=0,"SETTLED",IF(SUMIF(Transactions!$F$8:$F$3006,B2976,Transactions!$Q$8:$Q$3006)&gt;SUMIF(Transactions!$F$8:$F$3006,B2976,Transactions!$R$8:$R$3006),"OWES","OVERPAID"))))</f>
        <v/>
      </c>
      <c r="I2976" s="1"/>
    </row>
    <row r="2977" spans="1:9" ht="18" customHeight="1" x14ac:dyDescent="0.25">
      <c r="A2977" s="48">
        <v>2962</v>
      </c>
      <c r="B2977" s="49" t="str">
        <f t="array" ref="B2977">IFERROR(IF(INDEX(Transactions!$F$8:$F$3006,MATCH(0,COUNTIF($B$11:B2976,Transactions!$F$8:$F$3006),0))="","",INDEX(Transactions!$F$8:$F$3006,MATCH(0,COUNTIF($B$11:B2976,Transactions!$F$8:$F$3006),0))),"")</f>
        <v/>
      </c>
      <c r="C2977" s="50" t="str">
        <f>IF(B2977="","",SUMIF(Transactions!$F$8:$F$3006,B2977,Transactions!$H$8:$H$3006))</f>
        <v/>
      </c>
      <c r="D2977" s="51" t="str">
        <f>IF(B2977="","",SUMIF(Transactions!$F$8:$F$3006,B2977,Transactions!$N$8:$N$3006))</f>
        <v/>
      </c>
      <c r="E2977" s="52" t="str">
        <f>IF(B2977="","",SUMIF(Transactions!$F$8:$F$3006,B2977,Transactions!$O$8:$O$3006))</f>
        <v/>
      </c>
      <c r="F2977" s="53" t="str">
        <f>IF(B2977="","",SUMIF(Transactions!$F$8:$F$3006,B2977,Transactions!$R$8:$R$3006))</f>
        <v/>
      </c>
      <c r="G2977" s="54" t="str">
        <f>IF(B2977="","",(C2977+F2977)-(D2977+E2977+SUMIF(Transactions!$F$8:$F$3006,B2977,Transactions!$Q$8:$Q$3006)))</f>
        <v/>
      </c>
      <c r="H2977" s="55" t="str">
        <f>IF(B2977="","",IF(G2977&gt;0,"OUTSTANDING",IF(G2977=0,"SETTLED",IF(SUMIF(Transactions!$F$8:$F$3006,B2977,Transactions!$Q$8:$Q$3006)&gt;SUMIF(Transactions!$F$8:$F$3006,B2977,Transactions!$R$8:$R$3006),"OWES","OVERPAID"))))</f>
        <v/>
      </c>
      <c r="I2977" s="1"/>
    </row>
    <row r="2978" spans="1:9" ht="18" customHeight="1" x14ac:dyDescent="0.25">
      <c r="A2978" s="40">
        <v>2963</v>
      </c>
      <c r="B2978" s="41" t="str">
        <f t="array" ref="B2978">IFERROR(IF(INDEX(Transactions!$F$8:$F$3006,MATCH(0,COUNTIF($B$11:B2977,Transactions!$F$8:$F$3006),0))="","",INDEX(Transactions!$F$8:$F$3006,MATCH(0,COUNTIF($B$11:B2977,Transactions!$F$8:$F$3006),0))),"")</f>
        <v/>
      </c>
      <c r="C2978" s="42" t="str">
        <f>IF(B2978="","",SUMIF(Transactions!$F$8:$F$3006,B2978,Transactions!$H$8:$H$3006))</f>
        <v/>
      </c>
      <c r="D2978" s="43" t="str">
        <f>IF(B2978="","",SUMIF(Transactions!$F$8:$F$3006,B2978,Transactions!$N$8:$N$3006))</f>
        <v/>
      </c>
      <c r="E2978" s="44" t="str">
        <f>IF(B2978="","",SUMIF(Transactions!$F$8:$F$3006,B2978,Transactions!$O$8:$O$3006))</f>
        <v/>
      </c>
      <c r="F2978" s="45" t="str">
        <f>IF(B2978="","",SUMIF(Transactions!$F$8:$F$3006,B2978,Transactions!$R$8:$R$3006))</f>
        <v/>
      </c>
      <c r="G2978" s="46" t="str">
        <f>IF(B2978="","",(C2978+F2978)-(D2978+E2978+SUMIF(Transactions!$F$8:$F$3006,B2978,Transactions!$Q$8:$Q$3006)))</f>
        <v/>
      </c>
      <c r="H2978" s="47" t="str">
        <f>IF(B2978="","",IF(G2978&gt;0,"OUTSTANDING",IF(G2978=0,"SETTLED",IF(SUMIF(Transactions!$F$8:$F$3006,B2978,Transactions!$Q$8:$Q$3006)&gt;SUMIF(Transactions!$F$8:$F$3006,B2978,Transactions!$R$8:$R$3006),"OWES","OVERPAID"))))</f>
        <v/>
      </c>
      <c r="I2978" s="1"/>
    </row>
    <row r="2979" spans="1:9" ht="18" customHeight="1" x14ac:dyDescent="0.25">
      <c r="A2979" s="48">
        <v>2964</v>
      </c>
      <c r="B2979" s="49" t="str">
        <f t="array" ref="B2979">IFERROR(IF(INDEX(Transactions!$F$8:$F$3006,MATCH(0,COUNTIF($B$11:B2978,Transactions!$F$8:$F$3006),0))="","",INDEX(Transactions!$F$8:$F$3006,MATCH(0,COUNTIF($B$11:B2978,Transactions!$F$8:$F$3006),0))),"")</f>
        <v/>
      </c>
      <c r="C2979" s="50" t="str">
        <f>IF(B2979="","",SUMIF(Transactions!$F$8:$F$3006,B2979,Transactions!$H$8:$H$3006))</f>
        <v/>
      </c>
      <c r="D2979" s="51" t="str">
        <f>IF(B2979="","",SUMIF(Transactions!$F$8:$F$3006,B2979,Transactions!$N$8:$N$3006))</f>
        <v/>
      </c>
      <c r="E2979" s="52" t="str">
        <f>IF(B2979="","",SUMIF(Transactions!$F$8:$F$3006,B2979,Transactions!$O$8:$O$3006))</f>
        <v/>
      </c>
      <c r="F2979" s="53" t="str">
        <f>IF(B2979="","",SUMIF(Transactions!$F$8:$F$3006,B2979,Transactions!$R$8:$R$3006))</f>
        <v/>
      </c>
      <c r="G2979" s="54" t="str">
        <f>IF(B2979="","",(C2979+F2979)-(D2979+E2979+SUMIF(Transactions!$F$8:$F$3006,B2979,Transactions!$Q$8:$Q$3006)))</f>
        <v/>
      </c>
      <c r="H2979" s="55" t="str">
        <f>IF(B2979="","",IF(G2979&gt;0,"OUTSTANDING",IF(G2979=0,"SETTLED",IF(SUMIF(Transactions!$F$8:$F$3006,B2979,Transactions!$Q$8:$Q$3006)&gt;SUMIF(Transactions!$F$8:$F$3006,B2979,Transactions!$R$8:$R$3006),"OWES","OVERPAID"))))</f>
        <v/>
      </c>
      <c r="I2979" s="1"/>
    </row>
    <row r="2980" spans="1:9" ht="18" customHeight="1" x14ac:dyDescent="0.25">
      <c r="A2980" s="40">
        <v>2965</v>
      </c>
      <c r="B2980" s="41" t="str">
        <f t="array" ref="B2980">IFERROR(IF(INDEX(Transactions!$F$8:$F$3006,MATCH(0,COUNTIF($B$11:B2979,Transactions!$F$8:$F$3006),0))="","",INDEX(Transactions!$F$8:$F$3006,MATCH(0,COUNTIF($B$11:B2979,Transactions!$F$8:$F$3006),0))),"")</f>
        <v/>
      </c>
      <c r="C2980" s="42" t="str">
        <f>IF(B2980="","",SUMIF(Transactions!$F$8:$F$3006,B2980,Transactions!$H$8:$H$3006))</f>
        <v/>
      </c>
      <c r="D2980" s="43" t="str">
        <f>IF(B2980="","",SUMIF(Transactions!$F$8:$F$3006,B2980,Transactions!$N$8:$N$3006))</f>
        <v/>
      </c>
      <c r="E2980" s="44" t="str">
        <f>IF(B2980="","",SUMIF(Transactions!$F$8:$F$3006,B2980,Transactions!$O$8:$O$3006))</f>
        <v/>
      </c>
      <c r="F2980" s="45" t="str">
        <f>IF(B2980="","",SUMIF(Transactions!$F$8:$F$3006,B2980,Transactions!$R$8:$R$3006))</f>
        <v/>
      </c>
      <c r="G2980" s="46" t="str">
        <f>IF(B2980="","",(C2980+F2980)-(D2980+E2980+SUMIF(Transactions!$F$8:$F$3006,B2980,Transactions!$Q$8:$Q$3006)))</f>
        <v/>
      </c>
      <c r="H2980" s="47" t="str">
        <f>IF(B2980="","",IF(G2980&gt;0,"OUTSTANDING",IF(G2980=0,"SETTLED",IF(SUMIF(Transactions!$F$8:$F$3006,B2980,Transactions!$Q$8:$Q$3006)&gt;SUMIF(Transactions!$F$8:$F$3006,B2980,Transactions!$R$8:$R$3006),"OWES","OVERPAID"))))</f>
        <v/>
      </c>
      <c r="I2980" s="1"/>
    </row>
    <row r="2981" spans="1:9" ht="18" customHeight="1" x14ac:dyDescent="0.25">
      <c r="A2981" s="48">
        <v>2966</v>
      </c>
      <c r="B2981" s="49" t="str">
        <f t="array" ref="B2981">IFERROR(IF(INDEX(Transactions!$F$8:$F$3006,MATCH(0,COUNTIF($B$11:B2980,Transactions!$F$8:$F$3006),0))="","",INDEX(Transactions!$F$8:$F$3006,MATCH(0,COUNTIF($B$11:B2980,Transactions!$F$8:$F$3006),0))),"")</f>
        <v/>
      </c>
      <c r="C2981" s="50" t="str">
        <f>IF(B2981="","",SUMIF(Transactions!$F$8:$F$3006,B2981,Transactions!$H$8:$H$3006))</f>
        <v/>
      </c>
      <c r="D2981" s="51" t="str">
        <f>IF(B2981="","",SUMIF(Transactions!$F$8:$F$3006,B2981,Transactions!$N$8:$N$3006))</f>
        <v/>
      </c>
      <c r="E2981" s="52" t="str">
        <f>IF(B2981="","",SUMIF(Transactions!$F$8:$F$3006,B2981,Transactions!$O$8:$O$3006))</f>
        <v/>
      </c>
      <c r="F2981" s="53" t="str">
        <f>IF(B2981="","",SUMIF(Transactions!$F$8:$F$3006,B2981,Transactions!$R$8:$R$3006))</f>
        <v/>
      </c>
      <c r="G2981" s="54" t="str">
        <f>IF(B2981="","",(C2981+F2981)-(D2981+E2981+SUMIF(Transactions!$F$8:$F$3006,B2981,Transactions!$Q$8:$Q$3006)))</f>
        <v/>
      </c>
      <c r="H2981" s="55" t="str">
        <f>IF(B2981="","",IF(G2981&gt;0,"OUTSTANDING",IF(G2981=0,"SETTLED",IF(SUMIF(Transactions!$F$8:$F$3006,B2981,Transactions!$Q$8:$Q$3006)&gt;SUMIF(Transactions!$F$8:$F$3006,B2981,Transactions!$R$8:$R$3006),"OWES","OVERPAID"))))</f>
        <v/>
      </c>
      <c r="I2981" s="1"/>
    </row>
    <row r="2982" spans="1:9" ht="18" customHeight="1" x14ac:dyDescent="0.25">
      <c r="A2982" s="40">
        <v>2967</v>
      </c>
      <c r="B2982" s="41" t="str">
        <f t="array" ref="B2982">IFERROR(IF(INDEX(Transactions!$F$8:$F$3006,MATCH(0,COUNTIF($B$11:B2981,Transactions!$F$8:$F$3006),0))="","",INDEX(Transactions!$F$8:$F$3006,MATCH(0,COUNTIF($B$11:B2981,Transactions!$F$8:$F$3006),0))),"")</f>
        <v/>
      </c>
      <c r="C2982" s="42" t="str">
        <f>IF(B2982="","",SUMIF(Transactions!$F$8:$F$3006,B2982,Transactions!$H$8:$H$3006))</f>
        <v/>
      </c>
      <c r="D2982" s="43" t="str">
        <f>IF(B2982="","",SUMIF(Transactions!$F$8:$F$3006,B2982,Transactions!$N$8:$N$3006))</f>
        <v/>
      </c>
      <c r="E2982" s="44" t="str">
        <f>IF(B2982="","",SUMIF(Transactions!$F$8:$F$3006,B2982,Transactions!$O$8:$O$3006))</f>
        <v/>
      </c>
      <c r="F2982" s="45" t="str">
        <f>IF(B2982="","",SUMIF(Transactions!$F$8:$F$3006,B2982,Transactions!$R$8:$R$3006))</f>
        <v/>
      </c>
      <c r="G2982" s="46" t="str">
        <f>IF(B2982="","",(C2982+F2982)-(D2982+E2982+SUMIF(Transactions!$F$8:$F$3006,B2982,Transactions!$Q$8:$Q$3006)))</f>
        <v/>
      </c>
      <c r="H2982" s="47" t="str">
        <f>IF(B2982="","",IF(G2982&gt;0,"OUTSTANDING",IF(G2982=0,"SETTLED",IF(SUMIF(Transactions!$F$8:$F$3006,B2982,Transactions!$Q$8:$Q$3006)&gt;SUMIF(Transactions!$F$8:$F$3006,B2982,Transactions!$R$8:$R$3006),"OWES","OVERPAID"))))</f>
        <v/>
      </c>
      <c r="I2982" s="1"/>
    </row>
    <row r="2983" spans="1:9" ht="18" customHeight="1" x14ac:dyDescent="0.25">
      <c r="A2983" s="48">
        <v>2968</v>
      </c>
      <c r="B2983" s="49" t="str">
        <f t="array" ref="B2983">IFERROR(IF(INDEX(Transactions!$F$8:$F$3006,MATCH(0,COUNTIF($B$11:B2982,Transactions!$F$8:$F$3006),0))="","",INDEX(Transactions!$F$8:$F$3006,MATCH(0,COUNTIF($B$11:B2982,Transactions!$F$8:$F$3006),0))),"")</f>
        <v/>
      </c>
      <c r="C2983" s="50" t="str">
        <f>IF(B2983="","",SUMIF(Transactions!$F$8:$F$3006,B2983,Transactions!$H$8:$H$3006))</f>
        <v/>
      </c>
      <c r="D2983" s="51" t="str">
        <f>IF(B2983="","",SUMIF(Transactions!$F$8:$F$3006,B2983,Transactions!$N$8:$N$3006))</f>
        <v/>
      </c>
      <c r="E2983" s="52" t="str">
        <f>IF(B2983="","",SUMIF(Transactions!$F$8:$F$3006,B2983,Transactions!$O$8:$O$3006))</f>
        <v/>
      </c>
      <c r="F2983" s="53" t="str">
        <f>IF(B2983="","",SUMIF(Transactions!$F$8:$F$3006,B2983,Transactions!$R$8:$R$3006))</f>
        <v/>
      </c>
      <c r="G2983" s="54" t="str">
        <f>IF(B2983="","",(C2983+F2983)-(D2983+E2983+SUMIF(Transactions!$F$8:$F$3006,B2983,Transactions!$Q$8:$Q$3006)))</f>
        <v/>
      </c>
      <c r="H2983" s="55" t="str">
        <f>IF(B2983="","",IF(G2983&gt;0,"OUTSTANDING",IF(G2983=0,"SETTLED",IF(SUMIF(Transactions!$F$8:$F$3006,B2983,Transactions!$Q$8:$Q$3006)&gt;SUMIF(Transactions!$F$8:$F$3006,B2983,Transactions!$R$8:$R$3006),"OWES","OVERPAID"))))</f>
        <v/>
      </c>
      <c r="I2983" s="1"/>
    </row>
    <row r="2984" spans="1:9" ht="18" customHeight="1" x14ac:dyDescent="0.25">
      <c r="A2984" s="40">
        <v>2969</v>
      </c>
      <c r="B2984" s="41" t="str">
        <f t="array" ref="B2984">IFERROR(IF(INDEX(Transactions!$F$8:$F$3006,MATCH(0,COUNTIF($B$11:B2983,Transactions!$F$8:$F$3006),0))="","",INDEX(Transactions!$F$8:$F$3006,MATCH(0,COUNTIF($B$11:B2983,Transactions!$F$8:$F$3006),0))),"")</f>
        <v/>
      </c>
      <c r="C2984" s="42" t="str">
        <f>IF(B2984="","",SUMIF(Transactions!$F$8:$F$3006,B2984,Transactions!$H$8:$H$3006))</f>
        <v/>
      </c>
      <c r="D2984" s="43" t="str">
        <f>IF(B2984="","",SUMIF(Transactions!$F$8:$F$3006,B2984,Transactions!$N$8:$N$3006))</f>
        <v/>
      </c>
      <c r="E2984" s="44" t="str">
        <f>IF(B2984="","",SUMIF(Transactions!$F$8:$F$3006,B2984,Transactions!$O$8:$O$3006))</f>
        <v/>
      </c>
      <c r="F2984" s="45" t="str">
        <f>IF(B2984="","",SUMIF(Transactions!$F$8:$F$3006,B2984,Transactions!$R$8:$R$3006))</f>
        <v/>
      </c>
      <c r="G2984" s="46" t="str">
        <f>IF(B2984="","",(C2984+F2984)-(D2984+E2984+SUMIF(Transactions!$F$8:$F$3006,B2984,Transactions!$Q$8:$Q$3006)))</f>
        <v/>
      </c>
      <c r="H2984" s="47" t="str">
        <f>IF(B2984="","",IF(G2984&gt;0,"OUTSTANDING",IF(G2984=0,"SETTLED",IF(SUMIF(Transactions!$F$8:$F$3006,B2984,Transactions!$Q$8:$Q$3006)&gt;SUMIF(Transactions!$F$8:$F$3006,B2984,Transactions!$R$8:$R$3006),"OWES","OVERPAID"))))</f>
        <v/>
      </c>
      <c r="I2984" s="1"/>
    </row>
    <row r="2985" spans="1:9" ht="18" customHeight="1" x14ac:dyDescent="0.25">
      <c r="A2985" s="48">
        <v>2970</v>
      </c>
      <c r="B2985" s="49" t="str">
        <f t="array" ref="B2985">IFERROR(IF(INDEX(Transactions!$F$8:$F$3006,MATCH(0,COUNTIF($B$11:B2984,Transactions!$F$8:$F$3006),0))="","",INDEX(Transactions!$F$8:$F$3006,MATCH(0,COUNTIF($B$11:B2984,Transactions!$F$8:$F$3006),0))),"")</f>
        <v/>
      </c>
      <c r="C2985" s="50" t="str">
        <f>IF(B2985="","",SUMIF(Transactions!$F$8:$F$3006,B2985,Transactions!$H$8:$H$3006))</f>
        <v/>
      </c>
      <c r="D2985" s="51" t="str">
        <f>IF(B2985="","",SUMIF(Transactions!$F$8:$F$3006,B2985,Transactions!$N$8:$N$3006))</f>
        <v/>
      </c>
      <c r="E2985" s="52" t="str">
        <f>IF(B2985="","",SUMIF(Transactions!$F$8:$F$3006,B2985,Transactions!$O$8:$O$3006))</f>
        <v/>
      </c>
      <c r="F2985" s="53" t="str">
        <f>IF(B2985="","",SUMIF(Transactions!$F$8:$F$3006,B2985,Transactions!$R$8:$R$3006))</f>
        <v/>
      </c>
      <c r="G2985" s="54" t="str">
        <f>IF(B2985="","",(C2985+F2985)-(D2985+E2985+SUMIF(Transactions!$F$8:$F$3006,B2985,Transactions!$Q$8:$Q$3006)))</f>
        <v/>
      </c>
      <c r="H2985" s="55" t="str">
        <f>IF(B2985="","",IF(G2985&gt;0,"OUTSTANDING",IF(G2985=0,"SETTLED",IF(SUMIF(Transactions!$F$8:$F$3006,B2985,Transactions!$Q$8:$Q$3006)&gt;SUMIF(Transactions!$F$8:$F$3006,B2985,Transactions!$R$8:$R$3006),"OWES","OVERPAID"))))</f>
        <v/>
      </c>
      <c r="I2985" s="1"/>
    </row>
    <row r="2986" spans="1:9" ht="18" customHeight="1" x14ac:dyDescent="0.25">
      <c r="A2986" s="40">
        <v>2971</v>
      </c>
      <c r="B2986" s="41" t="str">
        <f t="array" ref="B2986">IFERROR(IF(INDEX(Transactions!$F$8:$F$3006,MATCH(0,COUNTIF($B$11:B2985,Transactions!$F$8:$F$3006),0))="","",INDEX(Transactions!$F$8:$F$3006,MATCH(0,COUNTIF($B$11:B2985,Transactions!$F$8:$F$3006),0))),"")</f>
        <v/>
      </c>
      <c r="C2986" s="42" t="str">
        <f>IF(B2986="","",SUMIF(Transactions!$F$8:$F$3006,B2986,Transactions!$H$8:$H$3006))</f>
        <v/>
      </c>
      <c r="D2986" s="43" t="str">
        <f>IF(B2986="","",SUMIF(Transactions!$F$8:$F$3006,B2986,Transactions!$N$8:$N$3006))</f>
        <v/>
      </c>
      <c r="E2986" s="44" t="str">
        <f>IF(B2986="","",SUMIF(Transactions!$F$8:$F$3006,B2986,Transactions!$O$8:$O$3006))</f>
        <v/>
      </c>
      <c r="F2986" s="45" t="str">
        <f>IF(B2986="","",SUMIF(Transactions!$F$8:$F$3006,B2986,Transactions!$R$8:$R$3006))</f>
        <v/>
      </c>
      <c r="G2986" s="46" t="str">
        <f>IF(B2986="","",(C2986+F2986)-(D2986+E2986+SUMIF(Transactions!$F$8:$F$3006,B2986,Transactions!$Q$8:$Q$3006)))</f>
        <v/>
      </c>
      <c r="H2986" s="47" t="str">
        <f>IF(B2986="","",IF(G2986&gt;0,"OUTSTANDING",IF(G2986=0,"SETTLED",IF(SUMIF(Transactions!$F$8:$F$3006,B2986,Transactions!$Q$8:$Q$3006)&gt;SUMIF(Transactions!$F$8:$F$3006,B2986,Transactions!$R$8:$R$3006),"OWES","OVERPAID"))))</f>
        <v/>
      </c>
      <c r="I2986" s="1"/>
    </row>
    <row r="2987" spans="1:9" ht="18" customHeight="1" x14ac:dyDescent="0.25">
      <c r="A2987" s="48">
        <v>2972</v>
      </c>
      <c r="B2987" s="49" t="str">
        <f t="array" ref="B2987">IFERROR(IF(INDEX(Transactions!$F$8:$F$3006,MATCH(0,COUNTIF($B$11:B2986,Transactions!$F$8:$F$3006),0))="","",INDEX(Transactions!$F$8:$F$3006,MATCH(0,COUNTIF($B$11:B2986,Transactions!$F$8:$F$3006),0))),"")</f>
        <v/>
      </c>
      <c r="C2987" s="50" t="str">
        <f>IF(B2987="","",SUMIF(Transactions!$F$8:$F$3006,B2987,Transactions!$H$8:$H$3006))</f>
        <v/>
      </c>
      <c r="D2987" s="51" t="str">
        <f>IF(B2987="","",SUMIF(Transactions!$F$8:$F$3006,B2987,Transactions!$N$8:$N$3006))</f>
        <v/>
      </c>
      <c r="E2987" s="52" t="str">
        <f>IF(B2987="","",SUMIF(Transactions!$F$8:$F$3006,B2987,Transactions!$O$8:$O$3006))</f>
        <v/>
      </c>
      <c r="F2987" s="53" t="str">
        <f>IF(B2987="","",SUMIF(Transactions!$F$8:$F$3006,B2987,Transactions!$R$8:$R$3006))</f>
        <v/>
      </c>
      <c r="G2987" s="54" t="str">
        <f>IF(B2987="","",(C2987+F2987)-(D2987+E2987+SUMIF(Transactions!$F$8:$F$3006,B2987,Transactions!$Q$8:$Q$3006)))</f>
        <v/>
      </c>
      <c r="H2987" s="55" t="str">
        <f>IF(B2987="","",IF(G2987&gt;0,"OUTSTANDING",IF(G2987=0,"SETTLED",IF(SUMIF(Transactions!$F$8:$F$3006,B2987,Transactions!$Q$8:$Q$3006)&gt;SUMIF(Transactions!$F$8:$F$3006,B2987,Transactions!$R$8:$R$3006),"OWES","OVERPAID"))))</f>
        <v/>
      </c>
      <c r="I2987" s="1"/>
    </row>
    <row r="2988" spans="1:9" ht="18" customHeight="1" x14ac:dyDescent="0.25">
      <c r="A2988" s="40">
        <v>2973</v>
      </c>
      <c r="B2988" s="41" t="str">
        <f t="array" ref="B2988">IFERROR(IF(INDEX(Transactions!$F$8:$F$3006,MATCH(0,COUNTIF($B$11:B2987,Transactions!$F$8:$F$3006),0))="","",INDEX(Transactions!$F$8:$F$3006,MATCH(0,COUNTIF($B$11:B2987,Transactions!$F$8:$F$3006),0))),"")</f>
        <v/>
      </c>
      <c r="C2988" s="42" t="str">
        <f>IF(B2988="","",SUMIF(Transactions!$F$8:$F$3006,B2988,Transactions!$H$8:$H$3006))</f>
        <v/>
      </c>
      <c r="D2988" s="43" t="str">
        <f>IF(B2988="","",SUMIF(Transactions!$F$8:$F$3006,B2988,Transactions!$N$8:$N$3006))</f>
        <v/>
      </c>
      <c r="E2988" s="44" t="str">
        <f>IF(B2988="","",SUMIF(Transactions!$F$8:$F$3006,B2988,Transactions!$O$8:$O$3006))</f>
        <v/>
      </c>
      <c r="F2988" s="45" t="str">
        <f>IF(B2988="","",SUMIF(Transactions!$F$8:$F$3006,B2988,Transactions!$R$8:$R$3006))</f>
        <v/>
      </c>
      <c r="G2988" s="46" t="str">
        <f>IF(B2988="","",(C2988+F2988)-(D2988+E2988+SUMIF(Transactions!$F$8:$F$3006,B2988,Transactions!$Q$8:$Q$3006)))</f>
        <v/>
      </c>
      <c r="H2988" s="47" t="str">
        <f>IF(B2988="","",IF(G2988&gt;0,"OUTSTANDING",IF(G2988=0,"SETTLED",IF(SUMIF(Transactions!$F$8:$F$3006,B2988,Transactions!$Q$8:$Q$3006)&gt;SUMIF(Transactions!$F$8:$F$3006,B2988,Transactions!$R$8:$R$3006),"OWES","OVERPAID"))))</f>
        <v/>
      </c>
      <c r="I2988" s="1"/>
    </row>
    <row r="2989" spans="1:9" ht="18" customHeight="1" x14ac:dyDescent="0.25">
      <c r="A2989" s="48">
        <v>2974</v>
      </c>
      <c r="B2989" s="49" t="str">
        <f t="array" ref="B2989">IFERROR(IF(INDEX(Transactions!$F$8:$F$3006,MATCH(0,COUNTIF($B$11:B2988,Transactions!$F$8:$F$3006),0))="","",INDEX(Transactions!$F$8:$F$3006,MATCH(0,COUNTIF($B$11:B2988,Transactions!$F$8:$F$3006),0))),"")</f>
        <v/>
      </c>
      <c r="C2989" s="50" t="str">
        <f>IF(B2989="","",SUMIF(Transactions!$F$8:$F$3006,B2989,Transactions!$H$8:$H$3006))</f>
        <v/>
      </c>
      <c r="D2989" s="51" t="str">
        <f>IF(B2989="","",SUMIF(Transactions!$F$8:$F$3006,B2989,Transactions!$N$8:$N$3006))</f>
        <v/>
      </c>
      <c r="E2989" s="52" t="str">
        <f>IF(B2989="","",SUMIF(Transactions!$F$8:$F$3006,B2989,Transactions!$O$8:$O$3006))</f>
        <v/>
      </c>
      <c r="F2989" s="53" t="str">
        <f>IF(B2989="","",SUMIF(Transactions!$F$8:$F$3006,B2989,Transactions!$R$8:$R$3006))</f>
        <v/>
      </c>
      <c r="G2989" s="54" t="str">
        <f>IF(B2989="","",(C2989+F2989)-(D2989+E2989+SUMIF(Transactions!$F$8:$F$3006,B2989,Transactions!$Q$8:$Q$3006)))</f>
        <v/>
      </c>
      <c r="H2989" s="55" t="str">
        <f>IF(B2989="","",IF(G2989&gt;0,"OUTSTANDING",IF(G2989=0,"SETTLED",IF(SUMIF(Transactions!$F$8:$F$3006,B2989,Transactions!$Q$8:$Q$3006)&gt;SUMIF(Transactions!$F$8:$F$3006,B2989,Transactions!$R$8:$R$3006),"OWES","OVERPAID"))))</f>
        <v/>
      </c>
      <c r="I2989" s="1"/>
    </row>
    <row r="2990" spans="1:9" ht="18" customHeight="1" x14ac:dyDescent="0.25">
      <c r="A2990" s="40">
        <v>2975</v>
      </c>
      <c r="B2990" s="41" t="str">
        <f t="array" ref="B2990">IFERROR(IF(INDEX(Transactions!$F$8:$F$3006,MATCH(0,COUNTIF($B$11:B2989,Transactions!$F$8:$F$3006),0))="","",INDEX(Transactions!$F$8:$F$3006,MATCH(0,COUNTIF($B$11:B2989,Transactions!$F$8:$F$3006),0))),"")</f>
        <v/>
      </c>
      <c r="C2990" s="42" t="str">
        <f>IF(B2990="","",SUMIF(Transactions!$F$8:$F$3006,B2990,Transactions!$H$8:$H$3006))</f>
        <v/>
      </c>
      <c r="D2990" s="43" t="str">
        <f>IF(B2990="","",SUMIF(Transactions!$F$8:$F$3006,B2990,Transactions!$N$8:$N$3006))</f>
        <v/>
      </c>
      <c r="E2990" s="44" t="str">
        <f>IF(B2990="","",SUMIF(Transactions!$F$8:$F$3006,B2990,Transactions!$O$8:$O$3006))</f>
        <v/>
      </c>
      <c r="F2990" s="45" t="str">
        <f>IF(B2990="","",SUMIF(Transactions!$F$8:$F$3006,B2990,Transactions!$R$8:$R$3006))</f>
        <v/>
      </c>
      <c r="G2990" s="46" t="str">
        <f>IF(B2990="","",(C2990+F2990)-(D2990+E2990+SUMIF(Transactions!$F$8:$F$3006,B2990,Transactions!$Q$8:$Q$3006)))</f>
        <v/>
      </c>
      <c r="H2990" s="47" t="str">
        <f>IF(B2990="","",IF(G2990&gt;0,"OUTSTANDING",IF(G2990=0,"SETTLED",IF(SUMIF(Transactions!$F$8:$F$3006,B2990,Transactions!$Q$8:$Q$3006)&gt;SUMIF(Transactions!$F$8:$F$3006,B2990,Transactions!$R$8:$R$3006),"OWES","OVERPAID"))))</f>
        <v/>
      </c>
      <c r="I2990" s="1"/>
    </row>
    <row r="2991" spans="1:9" ht="18" customHeight="1" x14ac:dyDescent="0.25">
      <c r="A2991" s="48">
        <v>2976</v>
      </c>
      <c r="B2991" s="49" t="str">
        <f t="array" ref="B2991">IFERROR(IF(INDEX(Transactions!$F$8:$F$3006,MATCH(0,COUNTIF($B$11:B2990,Transactions!$F$8:$F$3006),0))="","",INDEX(Transactions!$F$8:$F$3006,MATCH(0,COUNTIF($B$11:B2990,Transactions!$F$8:$F$3006),0))),"")</f>
        <v/>
      </c>
      <c r="C2991" s="50" t="str">
        <f>IF(B2991="","",SUMIF(Transactions!$F$8:$F$3006,B2991,Transactions!$H$8:$H$3006))</f>
        <v/>
      </c>
      <c r="D2991" s="51" t="str">
        <f>IF(B2991="","",SUMIF(Transactions!$F$8:$F$3006,B2991,Transactions!$N$8:$N$3006))</f>
        <v/>
      </c>
      <c r="E2991" s="52" t="str">
        <f>IF(B2991="","",SUMIF(Transactions!$F$8:$F$3006,B2991,Transactions!$O$8:$O$3006))</f>
        <v/>
      </c>
      <c r="F2991" s="53" t="str">
        <f>IF(B2991="","",SUMIF(Transactions!$F$8:$F$3006,B2991,Transactions!$R$8:$R$3006))</f>
        <v/>
      </c>
      <c r="G2991" s="54" t="str">
        <f>IF(B2991="","",(C2991+F2991)-(D2991+E2991+SUMIF(Transactions!$F$8:$F$3006,B2991,Transactions!$Q$8:$Q$3006)))</f>
        <v/>
      </c>
      <c r="H2991" s="55" t="str">
        <f>IF(B2991="","",IF(G2991&gt;0,"OUTSTANDING",IF(G2991=0,"SETTLED",IF(SUMIF(Transactions!$F$8:$F$3006,B2991,Transactions!$Q$8:$Q$3006)&gt;SUMIF(Transactions!$F$8:$F$3006,B2991,Transactions!$R$8:$R$3006),"OWES","OVERPAID"))))</f>
        <v/>
      </c>
      <c r="I2991" s="1"/>
    </row>
    <row r="2992" spans="1:9" ht="18" customHeight="1" x14ac:dyDescent="0.25">
      <c r="A2992" s="40">
        <v>2977</v>
      </c>
      <c r="B2992" s="41" t="str">
        <f t="array" ref="B2992">IFERROR(IF(INDEX(Transactions!$F$8:$F$3006,MATCH(0,COUNTIF($B$11:B2991,Transactions!$F$8:$F$3006),0))="","",INDEX(Transactions!$F$8:$F$3006,MATCH(0,COUNTIF($B$11:B2991,Transactions!$F$8:$F$3006),0))),"")</f>
        <v/>
      </c>
      <c r="C2992" s="42" t="str">
        <f>IF(B2992="","",SUMIF(Transactions!$F$8:$F$3006,B2992,Transactions!$H$8:$H$3006))</f>
        <v/>
      </c>
      <c r="D2992" s="43" t="str">
        <f>IF(B2992="","",SUMIF(Transactions!$F$8:$F$3006,B2992,Transactions!$N$8:$N$3006))</f>
        <v/>
      </c>
      <c r="E2992" s="44" t="str">
        <f>IF(B2992="","",SUMIF(Transactions!$F$8:$F$3006,B2992,Transactions!$O$8:$O$3006))</f>
        <v/>
      </c>
      <c r="F2992" s="45" t="str">
        <f>IF(B2992="","",SUMIF(Transactions!$F$8:$F$3006,B2992,Transactions!$R$8:$R$3006))</f>
        <v/>
      </c>
      <c r="G2992" s="46" t="str">
        <f>IF(B2992="","",(C2992+F2992)-(D2992+E2992+SUMIF(Transactions!$F$8:$F$3006,B2992,Transactions!$Q$8:$Q$3006)))</f>
        <v/>
      </c>
      <c r="H2992" s="47" t="str">
        <f>IF(B2992="","",IF(G2992&gt;0,"OUTSTANDING",IF(G2992=0,"SETTLED",IF(SUMIF(Transactions!$F$8:$F$3006,B2992,Transactions!$Q$8:$Q$3006)&gt;SUMIF(Transactions!$F$8:$F$3006,B2992,Transactions!$R$8:$R$3006),"OWES","OVERPAID"))))</f>
        <v/>
      </c>
      <c r="I2992" s="1"/>
    </row>
    <row r="2993" spans="1:9" ht="18" customHeight="1" x14ac:dyDescent="0.25">
      <c r="A2993" s="48">
        <v>2978</v>
      </c>
      <c r="B2993" s="49" t="str">
        <f t="array" ref="B2993">IFERROR(IF(INDEX(Transactions!$F$8:$F$3006,MATCH(0,COUNTIF($B$11:B2992,Transactions!$F$8:$F$3006),0))="","",INDEX(Transactions!$F$8:$F$3006,MATCH(0,COUNTIF($B$11:B2992,Transactions!$F$8:$F$3006),0))),"")</f>
        <v/>
      </c>
      <c r="C2993" s="50" t="str">
        <f>IF(B2993="","",SUMIF(Transactions!$F$8:$F$3006,B2993,Transactions!$H$8:$H$3006))</f>
        <v/>
      </c>
      <c r="D2993" s="51" t="str">
        <f>IF(B2993="","",SUMIF(Transactions!$F$8:$F$3006,B2993,Transactions!$N$8:$N$3006))</f>
        <v/>
      </c>
      <c r="E2993" s="52" t="str">
        <f>IF(B2993="","",SUMIF(Transactions!$F$8:$F$3006,B2993,Transactions!$O$8:$O$3006))</f>
        <v/>
      </c>
      <c r="F2993" s="53" t="str">
        <f>IF(B2993="","",SUMIF(Transactions!$F$8:$F$3006,B2993,Transactions!$R$8:$R$3006))</f>
        <v/>
      </c>
      <c r="G2993" s="54" t="str">
        <f>IF(B2993="","",(C2993+F2993)-(D2993+E2993+SUMIF(Transactions!$F$8:$F$3006,B2993,Transactions!$Q$8:$Q$3006)))</f>
        <v/>
      </c>
      <c r="H2993" s="55" t="str">
        <f>IF(B2993="","",IF(G2993&gt;0,"OUTSTANDING",IF(G2993=0,"SETTLED",IF(SUMIF(Transactions!$F$8:$F$3006,B2993,Transactions!$Q$8:$Q$3006)&gt;SUMIF(Transactions!$F$8:$F$3006,B2993,Transactions!$R$8:$R$3006),"OWES","OVERPAID"))))</f>
        <v/>
      </c>
      <c r="I2993" s="1"/>
    </row>
    <row r="2994" spans="1:9" ht="18" customHeight="1" x14ac:dyDescent="0.25">
      <c r="A2994" s="40">
        <v>2979</v>
      </c>
      <c r="B2994" s="41" t="str">
        <f t="array" ref="B2994">IFERROR(IF(INDEX(Transactions!$F$8:$F$3006,MATCH(0,COUNTIF($B$11:B2993,Transactions!$F$8:$F$3006),0))="","",INDEX(Transactions!$F$8:$F$3006,MATCH(0,COUNTIF($B$11:B2993,Transactions!$F$8:$F$3006),0))),"")</f>
        <v/>
      </c>
      <c r="C2994" s="42" t="str">
        <f>IF(B2994="","",SUMIF(Transactions!$F$8:$F$3006,B2994,Transactions!$H$8:$H$3006))</f>
        <v/>
      </c>
      <c r="D2994" s="43" t="str">
        <f>IF(B2994="","",SUMIF(Transactions!$F$8:$F$3006,B2994,Transactions!$N$8:$N$3006))</f>
        <v/>
      </c>
      <c r="E2994" s="44" t="str">
        <f>IF(B2994="","",SUMIF(Transactions!$F$8:$F$3006,B2994,Transactions!$O$8:$O$3006))</f>
        <v/>
      </c>
      <c r="F2994" s="45" t="str">
        <f>IF(B2994="","",SUMIF(Transactions!$F$8:$F$3006,B2994,Transactions!$R$8:$R$3006))</f>
        <v/>
      </c>
      <c r="G2994" s="46" t="str">
        <f>IF(B2994="","",(C2994+F2994)-(D2994+E2994+SUMIF(Transactions!$F$8:$F$3006,B2994,Transactions!$Q$8:$Q$3006)))</f>
        <v/>
      </c>
      <c r="H2994" s="47" t="str">
        <f>IF(B2994="","",IF(G2994&gt;0,"OUTSTANDING",IF(G2994=0,"SETTLED",IF(SUMIF(Transactions!$F$8:$F$3006,B2994,Transactions!$Q$8:$Q$3006)&gt;SUMIF(Transactions!$F$8:$F$3006,B2994,Transactions!$R$8:$R$3006),"OWES","OVERPAID"))))</f>
        <v/>
      </c>
      <c r="I2994" s="1"/>
    </row>
    <row r="2995" spans="1:9" ht="18" customHeight="1" x14ac:dyDescent="0.25">
      <c r="A2995" s="48">
        <v>2980</v>
      </c>
      <c r="B2995" s="49" t="str">
        <f t="array" ref="B2995">IFERROR(IF(INDEX(Transactions!$F$8:$F$3006,MATCH(0,COUNTIF($B$11:B2994,Transactions!$F$8:$F$3006),0))="","",INDEX(Transactions!$F$8:$F$3006,MATCH(0,COUNTIF($B$11:B2994,Transactions!$F$8:$F$3006),0))),"")</f>
        <v/>
      </c>
      <c r="C2995" s="50" t="str">
        <f>IF(B2995="","",SUMIF(Transactions!$F$8:$F$3006,B2995,Transactions!$H$8:$H$3006))</f>
        <v/>
      </c>
      <c r="D2995" s="51" t="str">
        <f>IF(B2995="","",SUMIF(Transactions!$F$8:$F$3006,B2995,Transactions!$N$8:$N$3006))</f>
        <v/>
      </c>
      <c r="E2995" s="52" t="str">
        <f>IF(B2995="","",SUMIF(Transactions!$F$8:$F$3006,B2995,Transactions!$O$8:$O$3006))</f>
        <v/>
      </c>
      <c r="F2995" s="53" t="str">
        <f>IF(B2995="","",SUMIF(Transactions!$F$8:$F$3006,B2995,Transactions!$R$8:$R$3006))</f>
        <v/>
      </c>
      <c r="G2995" s="54" t="str">
        <f>IF(B2995="","",(C2995+F2995)-(D2995+E2995+SUMIF(Transactions!$F$8:$F$3006,B2995,Transactions!$Q$8:$Q$3006)))</f>
        <v/>
      </c>
      <c r="H2995" s="55" t="str">
        <f>IF(B2995="","",IF(G2995&gt;0,"OUTSTANDING",IF(G2995=0,"SETTLED",IF(SUMIF(Transactions!$F$8:$F$3006,B2995,Transactions!$Q$8:$Q$3006)&gt;SUMIF(Transactions!$F$8:$F$3006,B2995,Transactions!$R$8:$R$3006),"OWES","OVERPAID"))))</f>
        <v/>
      </c>
      <c r="I2995" s="1"/>
    </row>
    <row r="2996" spans="1:9" ht="18" customHeight="1" x14ac:dyDescent="0.25">
      <c r="A2996" s="40">
        <v>2981</v>
      </c>
      <c r="B2996" s="41" t="str">
        <f t="array" ref="B2996">IFERROR(IF(INDEX(Transactions!$F$8:$F$3006,MATCH(0,COUNTIF($B$11:B2995,Transactions!$F$8:$F$3006),0))="","",INDEX(Transactions!$F$8:$F$3006,MATCH(0,COUNTIF($B$11:B2995,Transactions!$F$8:$F$3006),0))),"")</f>
        <v/>
      </c>
      <c r="C2996" s="42" t="str">
        <f>IF(B2996="","",SUMIF(Transactions!$F$8:$F$3006,B2996,Transactions!$H$8:$H$3006))</f>
        <v/>
      </c>
      <c r="D2996" s="43" t="str">
        <f>IF(B2996="","",SUMIF(Transactions!$F$8:$F$3006,B2996,Transactions!$N$8:$N$3006))</f>
        <v/>
      </c>
      <c r="E2996" s="44" t="str">
        <f>IF(B2996="","",SUMIF(Transactions!$F$8:$F$3006,B2996,Transactions!$O$8:$O$3006))</f>
        <v/>
      </c>
      <c r="F2996" s="45" t="str">
        <f>IF(B2996="","",SUMIF(Transactions!$F$8:$F$3006,B2996,Transactions!$R$8:$R$3006))</f>
        <v/>
      </c>
      <c r="G2996" s="46" t="str">
        <f>IF(B2996="","",(C2996+F2996)-(D2996+E2996+SUMIF(Transactions!$F$8:$F$3006,B2996,Transactions!$Q$8:$Q$3006)))</f>
        <v/>
      </c>
      <c r="H2996" s="47" t="str">
        <f>IF(B2996="","",IF(G2996&gt;0,"OUTSTANDING",IF(G2996=0,"SETTLED",IF(SUMIF(Transactions!$F$8:$F$3006,B2996,Transactions!$Q$8:$Q$3006)&gt;SUMIF(Transactions!$F$8:$F$3006,B2996,Transactions!$R$8:$R$3006),"OWES","OVERPAID"))))</f>
        <v/>
      </c>
      <c r="I2996" s="1"/>
    </row>
    <row r="2997" spans="1:9" ht="18" customHeight="1" x14ac:dyDescent="0.25">
      <c r="A2997" s="48">
        <v>2982</v>
      </c>
      <c r="B2997" s="49" t="str">
        <f t="array" ref="B2997">IFERROR(IF(INDEX(Transactions!$F$8:$F$3006,MATCH(0,COUNTIF($B$11:B2996,Transactions!$F$8:$F$3006),0))="","",INDEX(Transactions!$F$8:$F$3006,MATCH(0,COUNTIF($B$11:B2996,Transactions!$F$8:$F$3006),0))),"")</f>
        <v/>
      </c>
      <c r="C2997" s="50" t="str">
        <f>IF(B2997="","",SUMIF(Transactions!$F$8:$F$3006,B2997,Transactions!$H$8:$H$3006))</f>
        <v/>
      </c>
      <c r="D2997" s="51" t="str">
        <f>IF(B2997="","",SUMIF(Transactions!$F$8:$F$3006,B2997,Transactions!$N$8:$N$3006))</f>
        <v/>
      </c>
      <c r="E2997" s="52" t="str">
        <f>IF(B2997="","",SUMIF(Transactions!$F$8:$F$3006,B2997,Transactions!$O$8:$O$3006))</f>
        <v/>
      </c>
      <c r="F2997" s="53" t="str">
        <f>IF(B2997="","",SUMIF(Transactions!$F$8:$F$3006,B2997,Transactions!$R$8:$R$3006))</f>
        <v/>
      </c>
      <c r="G2997" s="54" t="str">
        <f>IF(B2997="","",(C2997+F2997)-(D2997+E2997+SUMIF(Transactions!$F$8:$F$3006,B2997,Transactions!$Q$8:$Q$3006)))</f>
        <v/>
      </c>
      <c r="H2997" s="55" t="str">
        <f>IF(B2997="","",IF(G2997&gt;0,"OUTSTANDING",IF(G2997=0,"SETTLED",IF(SUMIF(Transactions!$F$8:$F$3006,B2997,Transactions!$Q$8:$Q$3006)&gt;SUMIF(Transactions!$F$8:$F$3006,B2997,Transactions!$R$8:$R$3006),"OWES","OVERPAID"))))</f>
        <v/>
      </c>
      <c r="I2997" s="1"/>
    </row>
    <row r="2998" spans="1:9" ht="18" customHeight="1" x14ac:dyDescent="0.25">
      <c r="A2998" s="40">
        <v>2983</v>
      </c>
      <c r="B2998" s="41" t="str">
        <f t="array" ref="B2998">IFERROR(IF(INDEX(Transactions!$F$8:$F$3006,MATCH(0,COUNTIF($B$11:B2997,Transactions!$F$8:$F$3006),0))="","",INDEX(Transactions!$F$8:$F$3006,MATCH(0,COUNTIF($B$11:B2997,Transactions!$F$8:$F$3006),0))),"")</f>
        <v/>
      </c>
      <c r="C2998" s="42" t="str">
        <f>IF(B2998="","",SUMIF(Transactions!$F$8:$F$3006,B2998,Transactions!$H$8:$H$3006))</f>
        <v/>
      </c>
      <c r="D2998" s="43" t="str">
        <f>IF(B2998="","",SUMIF(Transactions!$F$8:$F$3006,B2998,Transactions!$N$8:$N$3006))</f>
        <v/>
      </c>
      <c r="E2998" s="44" t="str">
        <f>IF(B2998="","",SUMIF(Transactions!$F$8:$F$3006,B2998,Transactions!$O$8:$O$3006))</f>
        <v/>
      </c>
      <c r="F2998" s="45" t="str">
        <f>IF(B2998="","",SUMIF(Transactions!$F$8:$F$3006,B2998,Transactions!$R$8:$R$3006))</f>
        <v/>
      </c>
      <c r="G2998" s="46" t="str">
        <f>IF(B2998="","",(C2998+F2998)-(D2998+E2998+SUMIF(Transactions!$F$8:$F$3006,B2998,Transactions!$Q$8:$Q$3006)))</f>
        <v/>
      </c>
      <c r="H2998" s="47" t="str">
        <f>IF(B2998="","",IF(G2998&gt;0,"OUTSTANDING",IF(G2998=0,"SETTLED",IF(SUMIF(Transactions!$F$8:$F$3006,B2998,Transactions!$Q$8:$Q$3006)&gt;SUMIF(Transactions!$F$8:$F$3006,B2998,Transactions!$R$8:$R$3006),"OWES","OVERPAID"))))</f>
        <v/>
      </c>
      <c r="I2998" s="1"/>
    </row>
    <row r="2999" spans="1:9" ht="18" customHeight="1" x14ac:dyDescent="0.25">
      <c r="A2999" s="48">
        <v>2984</v>
      </c>
      <c r="B2999" s="49" t="str">
        <f t="array" ref="B2999">IFERROR(IF(INDEX(Transactions!$F$8:$F$3006,MATCH(0,COUNTIF($B$11:B2998,Transactions!$F$8:$F$3006),0))="","",INDEX(Transactions!$F$8:$F$3006,MATCH(0,COUNTIF($B$11:B2998,Transactions!$F$8:$F$3006),0))),"")</f>
        <v/>
      </c>
      <c r="C2999" s="50" t="str">
        <f>IF(B2999="","",SUMIF(Transactions!$F$8:$F$3006,B2999,Transactions!$H$8:$H$3006))</f>
        <v/>
      </c>
      <c r="D2999" s="51" t="str">
        <f>IF(B2999="","",SUMIF(Transactions!$F$8:$F$3006,B2999,Transactions!$N$8:$N$3006))</f>
        <v/>
      </c>
      <c r="E2999" s="52" t="str">
        <f>IF(B2999="","",SUMIF(Transactions!$F$8:$F$3006,B2999,Transactions!$O$8:$O$3006))</f>
        <v/>
      </c>
      <c r="F2999" s="53" t="str">
        <f>IF(B2999="","",SUMIF(Transactions!$F$8:$F$3006,B2999,Transactions!$R$8:$R$3006))</f>
        <v/>
      </c>
      <c r="G2999" s="54" t="str">
        <f>IF(B2999="","",(C2999+F2999)-(D2999+E2999+SUMIF(Transactions!$F$8:$F$3006,B2999,Transactions!$Q$8:$Q$3006)))</f>
        <v/>
      </c>
      <c r="H2999" s="55" t="str">
        <f>IF(B2999="","",IF(G2999&gt;0,"OUTSTANDING",IF(G2999=0,"SETTLED",IF(SUMIF(Transactions!$F$8:$F$3006,B2999,Transactions!$Q$8:$Q$3006)&gt;SUMIF(Transactions!$F$8:$F$3006,B2999,Transactions!$R$8:$R$3006),"OWES","OVERPAID"))))</f>
        <v/>
      </c>
      <c r="I2999" s="1"/>
    </row>
    <row r="3000" spans="1:9" ht="18" customHeight="1" x14ac:dyDescent="0.25">
      <c r="A3000" s="40">
        <v>2985</v>
      </c>
      <c r="B3000" s="41" t="str">
        <f t="array" ref="B3000">IFERROR(IF(INDEX(Transactions!$F$8:$F$3006,MATCH(0,COUNTIF($B$11:B2999,Transactions!$F$8:$F$3006),0))="","",INDEX(Transactions!$F$8:$F$3006,MATCH(0,COUNTIF($B$11:B2999,Transactions!$F$8:$F$3006),0))),"")</f>
        <v/>
      </c>
      <c r="C3000" s="42" t="str">
        <f>IF(B3000="","",SUMIF(Transactions!$F$8:$F$3006,B3000,Transactions!$H$8:$H$3006))</f>
        <v/>
      </c>
      <c r="D3000" s="43" t="str">
        <f>IF(B3000="","",SUMIF(Transactions!$F$8:$F$3006,B3000,Transactions!$N$8:$N$3006))</f>
        <v/>
      </c>
      <c r="E3000" s="44" t="str">
        <f>IF(B3000="","",SUMIF(Transactions!$F$8:$F$3006,B3000,Transactions!$O$8:$O$3006))</f>
        <v/>
      </c>
      <c r="F3000" s="45" t="str">
        <f>IF(B3000="","",SUMIF(Transactions!$F$8:$F$3006,B3000,Transactions!$R$8:$R$3006))</f>
        <v/>
      </c>
      <c r="G3000" s="46" t="str">
        <f>IF(B3000="","",(C3000+F3000)-(D3000+E3000+SUMIF(Transactions!$F$8:$F$3006,B3000,Transactions!$Q$8:$Q$3006)))</f>
        <v/>
      </c>
      <c r="H3000" s="47" t="str">
        <f>IF(B3000="","",IF(G3000&gt;0,"OUTSTANDING",IF(G3000=0,"SETTLED",IF(SUMIF(Transactions!$F$8:$F$3006,B3000,Transactions!$Q$8:$Q$3006)&gt;SUMIF(Transactions!$F$8:$F$3006,B3000,Transactions!$R$8:$R$3006),"OWES","OVERPAID"))))</f>
        <v/>
      </c>
      <c r="I3000" s="1"/>
    </row>
    <row r="3001" spans="1:9" ht="18" customHeight="1" x14ac:dyDescent="0.25">
      <c r="A3001" s="48">
        <v>2986</v>
      </c>
      <c r="B3001" s="49" t="str">
        <f t="array" ref="B3001">IFERROR(IF(INDEX(Transactions!$F$8:$F$3006,MATCH(0,COUNTIF($B$11:B3000,Transactions!$F$8:$F$3006),0))="","",INDEX(Transactions!$F$8:$F$3006,MATCH(0,COUNTIF($B$11:B3000,Transactions!$F$8:$F$3006),0))),"")</f>
        <v/>
      </c>
      <c r="C3001" s="50" t="str">
        <f>IF(B3001="","",SUMIF(Transactions!$F$8:$F$3006,B3001,Transactions!$H$8:$H$3006))</f>
        <v/>
      </c>
      <c r="D3001" s="51" t="str">
        <f>IF(B3001="","",SUMIF(Transactions!$F$8:$F$3006,B3001,Transactions!$N$8:$N$3006))</f>
        <v/>
      </c>
      <c r="E3001" s="52" t="str">
        <f>IF(B3001="","",SUMIF(Transactions!$F$8:$F$3006,B3001,Transactions!$O$8:$O$3006))</f>
        <v/>
      </c>
      <c r="F3001" s="53" t="str">
        <f>IF(B3001="","",SUMIF(Transactions!$F$8:$F$3006,B3001,Transactions!$R$8:$R$3006))</f>
        <v/>
      </c>
      <c r="G3001" s="54" t="str">
        <f>IF(B3001="","",(C3001+F3001)-(D3001+E3001+SUMIF(Transactions!$F$8:$F$3006,B3001,Transactions!$Q$8:$Q$3006)))</f>
        <v/>
      </c>
      <c r="H3001" s="55" t="str">
        <f>IF(B3001="","",IF(G3001&gt;0,"OUTSTANDING",IF(G3001=0,"SETTLED",IF(SUMIF(Transactions!$F$8:$F$3006,B3001,Transactions!$Q$8:$Q$3006)&gt;SUMIF(Transactions!$F$8:$F$3006,B3001,Transactions!$R$8:$R$3006),"OWES","OVERPAID"))))</f>
        <v/>
      </c>
      <c r="I3001" s="1"/>
    </row>
    <row r="3002" spans="1:9" ht="18" customHeight="1" x14ac:dyDescent="0.25">
      <c r="A3002" s="40">
        <v>2987</v>
      </c>
      <c r="B3002" s="41" t="str">
        <f t="array" ref="B3002">IFERROR(IF(INDEX(Transactions!$F$8:$F$3006,MATCH(0,COUNTIF($B$11:B3001,Transactions!$F$8:$F$3006),0))="","",INDEX(Transactions!$F$8:$F$3006,MATCH(0,COUNTIF($B$11:B3001,Transactions!$F$8:$F$3006),0))),"")</f>
        <v/>
      </c>
      <c r="C3002" s="42" t="str">
        <f>IF(B3002="","",SUMIF(Transactions!$F$8:$F$3006,B3002,Transactions!$H$8:$H$3006))</f>
        <v/>
      </c>
      <c r="D3002" s="43" t="str">
        <f>IF(B3002="","",SUMIF(Transactions!$F$8:$F$3006,B3002,Transactions!$N$8:$N$3006))</f>
        <v/>
      </c>
      <c r="E3002" s="44" t="str">
        <f>IF(B3002="","",SUMIF(Transactions!$F$8:$F$3006,B3002,Transactions!$O$8:$O$3006))</f>
        <v/>
      </c>
      <c r="F3002" s="45" t="str">
        <f>IF(B3002="","",SUMIF(Transactions!$F$8:$F$3006,B3002,Transactions!$R$8:$R$3006))</f>
        <v/>
      </c>
      <c r="G3002" s="46" t="str">
        <f>IF(B3002="","",(C3002+F3002)-(D3002+E3002+SUMIF(Transactions!$F$8:$F$3006,B3002,Transactions!$Q$8:$Q$3006)))</f>
        <v/>
      </c>
      <c r="H3002" s="47" t="str">
        <f>IF(B3002="","",IF(G3002&gt;0,"OUTSTANDING",IF(G3002=0,"SETTLED",IF(SUMIF(Transactions!$F$8:$F$3006,B3002,Transactions!$Q$8:$Q$3006)&gt;SUMIF(Transactions!$F$8:$F$3006,B3002,Transactions!$R$8:$R$3006),"OWES","OVERPAID"))))</f>
        <v/>
      </c>
      <c r="I3002" s="1"/>
    </row>
    <row r="3003" spans="1:9" ht="18" customHeight="1" x14ac:dyDescent="0.25">
      <c r="A3003" s="48">
        <v>2988</v>
      </c>
      <c r="B3003" s="49" t="str">
        <f t="array" ref="B3003">IFERROR(IF(INDEX(Transactions!$F$8:$F$3006,MATCH(0,COUNTIF($B$11:B3002,Transactions!$F$8:$F$3006),0))="","",INDEX(Transactions!$F$8:$F$3006,MATCH(0,COUNTIF($B$11:B3002,Transactions!$F$8:$F$3006),0))),"")</f>
        <v/>
      </c>
      <c r="C3003" s="50" t="str">
        <f>IF(B3003="","",SUMIF(Transactions!$F$8:$F$3006,B3003,Transactions!$H$8:$H$3006))</f>
        <v/>
      </c>
      <c r="D3003" s="51" t="str">
        <f>IF(B3003="","",SUMIF(Transactions!$F$8:$F$3006,B3003,Transactions!$N$8:$N$3006))</f>
        <v/>
      </c>
      <c r="E3003" s="52" t="str">
        <f>IF(B3003="","",SUMIF(Transactions!$F$8:$F$3006,B3003,Transactions!$O$8:$O$3006))</f>
        <v/>
      </c>
      <c r="F3003" s="53" t="str">
        <f>IF(B3003="","",SUMIF(Transactions!$F$8:$F$3006,B3003,Transactions!$R$8:$R$3006))</f>
        <v/>
      </c>
      <c r="G3003" s="54" t="str">
        <f>IF(B3003="","",(C3003+F3003)-(D3003+E3003+SUMIF(Transactions!$F$8:$F$3006,B3003,Transactions!$Q$8:$Q$3006)))</f>
        <v/>
      </c>
      <c r="H3003" s="55" t="str">
        <f>IF(B3003="","",IF(G3003&gt;0,"OUTSTANDING",IF(G3003=0,"SETTLED",IF(SUMIF(Transactions!$F$8:$F$3006,B3003,Transactions!$Q$8:$Q$3006)&gt;SUMIF(Transactions!$F$8:$F$3006,B3003,Transactions!$R$8:$R$3006),"OWES","OVERPAID"))))</f>
        <v/>
      </c>
      <c r="I3003" s="1"/>
    </row>
    <row r="3004" spans="1:9" ht="18" customHeight="1" x14ac:dyDescent="0.25">
      <c r="A3004" s="40">
        <v>2989</v>
      </c>
      <c r="B3004" s="41" t="str">
        <f t="array" ref="B3004">IFERROR(IF(INDEX(Transactions!$F$8:$F$3006,MATCH(0,COUNTIF($B$11:B3003,Transactions!$F$8:$F$3006),0))="","",INDEX(Transactions!$F$8:$F$3006,MATCH(0,COUNTIF($B$11:B3003,Transactions!$F$8:$F$3006),0))),"")</f>
        <v/>
      </c>
      <c r="C3004" s="42" t="str">
        <f>IF(B3004="","",SUMIF(Transactions!$F$8:$F$3006,B3004,Transactions!$H$8:$H$3006))</f>
        <v/>
      </c>
      <c r="D3004" s="43" t="str">
        <f>IF(B3004="","",SUMIF(Transactions!$F$8:$F$3006,B3004,Transactions!$N$8:$N$3006))</f>
        <v/>
      </c>
      <c r="E3004" s="44" t="str">
        <f>IF(B3004="","",SUMIF(Transactions!$F$8:$F$3006,B3004,Transactions!$O$8:$O$3006))</f>
        <v/>
      </c>
      <c r="F3004" s="45" t="str">
        <f>IF(B3004="","",SUMIF(Transactions!$F$8:$F$3006,B3004,Transactions!$R$8:$R$3006))</f>
        <v/>
      </c>
      <c r="G3004" s="46" t="str">
        <f>IF(B3004="","",(C3004+F3004)-(D3004+E3004+SUMIF(Transactions!$F$8:$F$3006,B3004,Transactions!$Q$8:$Q$3006)))</f>
        <v/>
      </c>
      <c r="H3004" s="47" t="str">
        <f>IF(B3004="","",IF(G3004&gt;0,"OUTSTANDING",IF(G3004=0,"SETTLED",IF(SUMIF(Transactions!$F$8:$F$3006,B3004,Transactions!$Q$8:$Q$3006)&gt;SUMIF(Transactions!$F$8:$F$3006,B3004,Transactions!$R$8:$R$3006),"OWES","OVERPAID"))))</f>
        <v/>
      </c>
      <c r="I3004" s="1"/>
    </row>
    <row r="3005" spans="1:9" ht="18" customHeight="1" x14ac:dyDescent="0.25">
      <c r="A3005" s="48">
        <v>2990</v>
      </c>
      <c r="B3005" s="49" t="str">
        <f t="array" ref="B3005">IFERROR(IF(INDEX(Transactions!$F$8:$F$3006,MATCH(0,COUNTIF($B$11:B3004,Transactions!$F$8:$F$3006),0))="","",INDEX(Transactions!$F$8:$F$3006,MATCH(0,COUNTIF($B$11:B3004,Transactions!$F$8:$F$3006),0))),"")</f>
        <v/>
      </c>
      <c r="C3005" s="50" t="str">
        <f>IF(B3005="","",SUMIF(Transactions!$F$8:$F$3006,B3005,Transactions!$H$8:$H$3006))</f>
        <v/>
      </c>
      <c r="D3005" s="51" t="str">
        <f>IF(B3005="","",SUMIF(Transactions!$F$8:$F$3006,B3005,Transactions!$N$8:$N$3006))</f>
        <v/>
      </c>
      <c r="E3005" s="52" t="str">
        <f>IF(B3005="","",SUMIF(Transactions!$F$8:$F$3006,B3005,Transactions!$O$8:$O$3006))</f>
        <v/>
      </c>
      <c r="F3005" s="53" t="str">
        <f>IF(B3005="","",SUMIF(Transactions!$F$8:$F$3006,B3005,Transactions!$R$8:$R$3006))</f>
        <v/>
      </c>
      <c r="G3005" s="54" t="str">
        <f>IF(B3005="","",(C3005+F3005)-(D3005+E3005+SUMIF(Transactions!$F$8:$F$3006,B3005,Transactions!$Q$8:$Q$3006)))</f>
        <v/>
      </c>
      <c r="H3005" s="55" t="str">
        <f>IF(B3005="","",IF(G3005&gt;0,"OUTSTANDING",IF(G3005=0,"SETTLED",IF(SUMIF(Transactions!$F$8:$F$3006,B3005,Transactions!$Q$8:$Q$3006)&gt;SUMIF(Transactions!$F$8:$F$3006,B3005,Transactions!$R$8:$R$3006),"OWES","OVERPAID"))))</f>
        <v/>
      </c>
      <c r="I3005" s="1"/>
    </row>
    <row r="3006" spans="1:9" ht="18" customHeight="1" x14ac:dyDescent="0.25">
      <c r="A3006" s="40">
        <v>2991</v>
      </c>
      <c r="B3006" s="41" t="str">
        <f t="array" ref="B3006">IFERROR(IF(INDEX(Transactions!$F$8:$F$3006,MATCH(0,COUNTIF($B$11:B3005,Transactions!$F$8:$F$3006),0))="","",INDEX(Transactions!$F$8:$F$3006,MATCH(0,COUNTIF($B$11:B3005,Transactions!$F$8:$F$3006),0))),"")</f>
        <v/>
      </c>
      <c r="C3006" s="42" t="str">
        <f>IF(B3006="","",SUMIF(Transactions!$F$8:$F$3006,B3006,Transactions!$H$8:$H$3006))</f>
        <v/>
      </c>
      <c r="D3006" s="43" t="str">
        <f>IF(B3006="","",SUMIF(Transactions!$F$8:$F$3006,B3006,Transactions!$N$8:$N$3006))</f>
        <v/>
      </c>
      <c r="E3006" s="44" t="str">
        <f>IF(B3006="","",SUMIF(Transactions!$F$8:$F$3006,B3006,Transactions!$O$8:$O$3006))</f>
        <v/>
      </c>
      <c r="F3006" s="45" t="str">
        <f>IF(B3006="","",SUMIF(Transactions!$F$8:$F$3006,B3006,Transactions!$R$8:$R$3006))</f>
        <v/>
      </c>
      <c r="G3006" s="46" t="str">
        <f>IF(B3006="","",(C3006+F3006)-(D3006+E3006+SUMIF(Transactions!$F$8:$F$3006,B3006,Transactions!$Q$8:$Q$3006)))</f>
        <v/>
      </c>
      <c r="H3006" s="47" t="str">
        <f>IF(B3006="","",IF(G3006&gt;0,"OUTSTANDING",IF(G3006=0,"SETTLED",IF(SUMIF(Transactions!$F$8:$F$3006,B3006,Transactions!$Q$8:$Q$3006)&gt;SUMIF(Transactions!$F$8:$F$3006,B3006,Transactions!$R$8:$R$3006),"OWES","OVERPAID"))))</f>
        <v/>
      </c>
      <c r="I3006" s="1"/>
    </row>
    <row r="3007" spans="1:9" ht="18" customHeight="1" x14ac:dyDescent="0.25">
      <c r="A3007" s="48">
        <v>2992</v>
      </c>
      <c r="B3007" s="49" t="str">
        <f t="array" ref="B3007">IFERROR(IF(INDEX(Transactions!$F$8:$F$3006,MATCH(0,COUNTIF($B$11:B3006,Transactions!$F$8:$F$3006),0))="","",INDEX(Transactions!$F$8:$F$3006,MATCH(0,COUNTIF($B$11:B3006,Transactions!$F$8:$F$3006),0))),"")</f>
        <v/>
      </c>
      <c r="C3007" s="50" t="str">
        <f>IF(B3007="","",SUMIF(Transactions!$F$8:$F$3006,B3007,Transactions!$H$8:$H$3006))</f>
        <v/>
      </c>
      <c r="D3007" s="51" t="str">
        <f>IF(B3007="","",SUMIF(Transactions!$F$8:$F$3006,B3007,Transactions!$N$8:$N$3006))</f>
        <v/>
      </c>
      <c r="E3007" s="52" t="str">
        <f>IF(B3007="","",SUMIF(Transactions!$F$8:$F$3006,B3007,Transactions!$O$8:$O$3006))</f>
        <v/>
      </c>
      <c r="F3007" s="53" t="str">
        <f>IF(B3007="","",SUMIF(Transactions!$F$8:$F$3006,B3007,Transactions!$R$8:$R$3006))</f>
        <v/>
      </c>
      <c r="G3007" s="54" t="str">
        <f>IF(B3007="","",(C3007+F3007)-(D3007+E3007+SUMIF(Transactions!$F$8:$F$3006,B3007,Transactions!$Q$8:$Q$3006)))</f>
        <v/>
      </c>
      <c r="H3007" s="55" t="str">
        <f>IF(B3007="","",IF(G3007&gt;0,"OUTSTANDING",IF(G3007=0,"SETTLED",IF(SUMIF(Transactions!$F$8:$F$3006,B3007,Transactions!$Q$8:$Q$3006)&gt;SUMIF(Transactions!$F$8:$F$3006,B3007,Transactions!$R$8:$R$3006),"OWES","OVERPAID"))))</f>
        <v/>
      </c>
      <c r="I3007" s="1"/>
    </row>
    <row r="3008" spans="1:9" ht="18" customHeight="1" x14ac:dyDescent="0.25">
      <c r="A3008" s="40">
        <v>2993</v>
      </c>
      <c r="B3008" s="41" t="str">
        <f t="array" ref="B3008">IFERROR(IF(INDEX(Transactions!$F$8:$F$3006,MATCH(0,COUNTIF($B$11:B3007,Transactions!$F$8:$F$3006),0))="","",INDEX(Transactions!$F$8:$F$3006,MATCH(0,COUNTIF($B$11:B3007,Transactions!$F$8:$F$3006),0))),"")</f>
        <v/>
      </c>
      <c r="C3008" s="42" t="str">
        <f>IF(B3008="","",SUMIF(Transactions!$F$8:$F$3006,B3008,Transactions!$H$8:$H$3006))</f>
        <v/>
      </c>
      <c r="D3008" s="43" t="str">
        <f>IF(B3008="","",SUMIF(Transactions!$F$8:$F$3006,B3008,Transactions!$N$8:$N$3006))</f>
        <v/>
      </c>
      <c r="E3008" s="44" t="str">
        <f>IF(B3008="","",SUMIF(Transactions!$F$8:$F$3006,B3008,Transactions!$O$8:$O$3006))</f>
        <v/>
      </c>
      <c r="F3008" s="45" t="str">
        <f>IF(B3008="","",SUMIF(Transactions!$F$8:$F$3006,B3008,Transactions!$R$8:$R$3006))</f>
        <v/>
      </c>
      <c r="G3008" s="46" t="str">
        <f>IF(B3008="","",(C3008+F3008)-(D3008+E3008+SUMIF(Transactions!$F$8:$F$3006,B3008,Transactions!$Q$8:$Q$3006)))</f>
        <v/>
      </c>
      <c r="H3008" s="47" t="str">
        <f>IF(B3008="","",IF(G3008&gt;0,"OUTSTANDING",IF(G3008=0,"SETTLED",IF(SUMIF(Transactions!$F$8:$F$3006,B3008,Transactions!$Q$8:$Q$3006)&gt;SUMIF(Transactions!$F$8:$F$3006,B3008,Transactions!$R$8:$R$3006),"OWES","OVERPAID"))))</f>
        <v/>
      </c>
      <c r="I3008" s="1"/>
    </row>
    <row r="3009" spans="1:9" ht="18" customHeight="1" x14ac:dyDescent="0.25">
      <c r="A3009" s="48">
        <v>2994</v>
      </c>
      <c r="B3009" s="49" t="str">
        <f t="array" ref="B3009">IFERROR(IF(INDEX(Transactions!$F$8:$F$3006,MATCH(0,COUNTIF($B$11:B3008,Transactions!$F$8:$F$3006),0))="","",INDEX(Transactions!$F$8:$F$3006,MATCH(0,COUNTIF($B$11:B3008,Transactions!$F$8:$F$3006),0))),"")</f>
        <v/>
      </c>
      <c r="C3009" s="50" t="str">
        <f>IF(B3009="","",SUMIF(Transactions!$F$8:$F$3006,B3009,Transactions!$H$8:$H$3006))</f>
        <v/>
      </c>
      <c r="D3009" s="51" t="str">
        <f>IF(B3009="","",SUMIF(Transactions!$F$8:$F$3006,B3009,Transactions!$N$8:$N$3006))</f>
        <v/>
      </c>
      <c r="E3009" s="52" t="str">
        <f>IF(B3009="","",SUMIF(Transactions!$F$8:$F$3006,B3009,Transactions!$O$8:$O$3006))</f>
        <v/>
      </c>
      <c r="F3009" s="53" t="str">
        <f>IF(B3009="","",SUMIF(Transactions!$F$8:$F$3006,B3009,Transactions!$R$8:$R$3006))</f>
        <v/>
      </c>
      <c r="G3009" s="54" t="str">
        <f>IF(B3009="","",(C3009+F3009)-(D3009+E3009+SUMIF(Transactions!$F$8:$F$3006,B3009,Transactions!$Q$8:$Q$3006)))</f>
        <v/>
      </c>
      <c r="H3009" s="55" t="str">
        <f>IF(B3009="","",IF(G3009&gt;0,"OUTSTANDING",IF(G3009=0,"SETTLED",IF(SUMIF(Transactions!$F$8:$F$3006,B3009,Transactions!$Q$8:$Q$3006)&gt;SUMIF(Transactions!$F$8:$F$3006,B3009,Transactions!$R$8:$R$3006),"OWES","OVERPAID"))))</f>
        <v/>
      </c>
      <c r="I3009" s="1"/>
    </row>
    <row r="3010" spans="1:9" ht="18" customHeight="1" x14ac:dyDescent="0.25">
      <c r="A3010" s="40">
        <v>2995</v>
      </c>
      <c r="B3010" s="41" t="str">
        <f t="array" ref="B3010">IFERROR(IF(INDEX(Transactions!$F$8:$F$3006,MATCH(0,COUNTIF($B$11:B3009,Transactions!$F$8:$F$3006),0))="","",INDEX(Transactions!$F$8:$F$3006,MATCH(0,COUNTIF($B$11:B3009,Transactions!$F$8:$F$3006),0))),"")</f>
        <v/>
      </c>
      <c r="C3010" s="42" t="str">
        <f>IF(B3010="","",SUMIF(Transactions!$F$8:$F$3006,B3010,Transactions!$H$8:$H$3006))</f>
        <v/>
      </c>
      <c r="D3010" s="43" t="str">
        <f>IF(B3010="","",SUMIF(Transactions!$F$8:$F$3006,B3010,Transactions!$N$8:$N$3006))</f>
        <v/>
      </c>
      <c r="E3010" s="44" t="str">
        <f>IF(B3010="","",SUMIF(Transactions!$F$8:$F$3006,B3010,Transactions!$O$8:$O$3006))</f>
        <v/>
      </c>
      <c r="F3010" s="45" t="str">
        <f>IF(B3010="","",SUMIF(Transactions!$F$8:$F$3006,B3010,Transactions!$R$8:$R$3006))</f>
        <v/>
      </c>
      <c r="G3010" s="46" t="str">
        <f>IF(B3010="","",(C3010+F3010)-(D3010+E3010+SUMIF(Transactions!$F$8:$F$3006,B3010,Transactions!$Q$8:$Q$3006)))</f>
        <v/>
      </c>
      <c r="H3010" s="47" t="str">
        <f>IF(B3010="","",IF(G3010&gt;0,"OUTSTANDING",IF(G3010=0,"SETTLED",IF(SUMIF(Transactions!$F$8:$F$3006,B3010,Transactions!$Q$8:$Q$3006)&gt;SUMIF(Transactions!$F$8:$F$3006,B3010,Transactions!$R$8:$R$3006),"OWES","OVERPAID"))))</f>
        <v/>
      </c>
      <c r="I3010" s="1"/>
    </row>
    <row r="3011" spans="1:9" ht="18" customHeight="1" x14ac:dyDescent="0.25">
      <c r="A3011" s="48">
        <v>2996</v>
      </c>
      <c r="B3011" s="49" t="str">
        <f t="array" ref="B3011">IFERROR(IF(INDEX(Transactions!$F$8:$F$3006,MATCH(0,COUNTIF($B$11:B3010,Transactions!$F$8:$F$3006),0))="","",INDEX(Transactions!$F$8:$F$3006,MATCH(0,COUNTIF($B$11:B3010,Transactions!$F$8:$F$3006),0))),"")</f>
        <v/>
      </c>
      <c r="C3011" s="50" t="str">
        <f>IF(B3011="","",SUMIF(Transactions!$F$8:$F$3006,B3011,Transactions!$H$8:$H$3006))</f>
        <v/>
      </c>
      <c r="D3011" s="51" t="str">
        <f>IF(B3011="","",SUMIF(Transactions!$F$8:$F$3006,B3011,Transactions!$N$8:$N$3006))</f>
        <v/>
      </c>
      <c r="E3011" s="52" t="str">
        <f>IF(B3011="","",SUMIF(Transactions!$F$8:$F$3006,B3011,Transactions!$O$8:$O$3006))</f>
        <v/>
      </c>
      <c r="F3011" s="53" t="str">
        <f>IF(B3011="","",SUMIF(Transactions!$F$8:$F$3006,B3011,Transactions!$R$8:$R$3006))</f>
        <v/>
      </c>
      <c r="G3011" s="54" t="str">
        <f>IF(B3011="","",(C3011+F3011)-(D3011+E3011+SUMIF(Transactions!$F$8:$F$3006,B3011,Transactions!$Q$8:$Q$3006)))</f>
        <v/>
      </c>
      <c r="H3011" s="55" t="str">
        <f>IF(B3011="","",IF(G3011&gt;0,"OUTSTANDING",IF(G3011=0,"SETTLED",IF(SUMIF(Transactions!$F$8:$F$3006,B3011,Transactions!$Q$8:$Q$3006)&gt;SUMIF(Transactions!$F$8:$F$3006,B3011,Transactions!$R$8:$R$3006),"OWES","OVERPAID"))))</f>
        <v/>
      </c>
      <c r="I3011" s="1"/>
    </row>
    <row r="3012" spans="1:9" ht="18" customHeight="1" x14ac:dyDescent="0.25">
      <c r="A3012" s="40">
        <v>2997</v>
      </c>
      <c r="B3012" s="41" t="str">
        <f t="array" ref="B3012">IFERROR(IF(INDEX(Transactions!$F$8:$F$3006,MATCH(0,COUNTIF($B$11:B3011,Transactions!$F$8:$F$3006),0))="","",INDEX(Transactions!$F$8:$F$3006,MATCH(0,COUNTIF($B$11:B3011,Transactions!$F$8:$F$3006),0))),"")</f>
        <v/>
      </c>
      <c r="C3012" s="42" t="str">
        <f>IF(B3012="","",SUMIF(Transactions!$F$8:$F$3006,B3012,Transactions!$H$8:$H$3006))</f>
        <v/>
      </c>
      <c r="D3012" s="43" t="str">
        <f>IF(B3012="","",SUMIF(Transactions!$F$8:$F$3006,B3012,Transactions!$N$8:$N$3006))</f>
        <v/>
      </c>
      <c r="E3012" s="44" t="str">
        <f>IF(B3012="","",SUMIF(Transactions!$F$8:$F$3006,B3012,Transactions!$O$8:$O$3006))</f>
        <v/>
      </c>
      <c r="F3012" s="45" t="str">
        <f>IF(B3012="","",SUMIF(Transactions!$F$8:$F$3006,B3012,Transactions!$R$8:$R$3006))</f>
        <v/>
      </c>
      <c r="G3012" s="46" t="str">
        <f>IF(B3012="","",(C3012+F3012)-(D3012+E3012+SUMIF(Transactions!$F$8:$F$3006,B3012,Transactions!$Q$8:$Q$3006)))</f>
        <v/>
      </c>
      <c r="H3012" s="47" t="str">
        <f>IF(B3012="","",IF(G3012&gt;0,"OUTSTANDING",IF(G3012=0,"SETTLED",IF(SUMIF(Transactions!$F$8:$F$3006,B3012,Transactions!$Q$8:$Q$3006)&gt;SUMIF(Transactions!$F$8:$F$3006,B3012,Transactions!$R$8:$R$3006),"OWES","OVERPAID"))))</f>
        <v/>
      </c>
      <c r="I3012" s="1"/>
    </row>
    <row r="3013" spans="1:9" ht="18" customHeight="1" x14ac:dyDescent="0.25">
      <c r="A3013" s="48">
        <v>2998</v>
      </c>
      <c r="B3013" s="49" t="str">
        <f t="array" ref="B3013">IFERROR(IF(INDEX(Transactions!$F$8:$F$3006,MATCH(0,COUNTIF($B$11:B3012,Transactions!$F$8:$F$3006),0))="","",INDEX(Transactions!$F$8:$F$3006,MATCH(0,COUNTIF($B$11:B3012,Transactions!$F$8:$F$3006),0))),"")</f>
        <v/>
      </c>
      <c r="C3013" s="50" t="str">
        <f>IF(B3013="","",SUMIF(Transactions!$F$8:$F$3006,B3013,Transactions!$H$8:$H$3006))</f>
        <v/>
      </c>
      <c r="D3013" s="51" t="str">
        <f>IF(B3013="","",SUMIF(Transactions!$F$8:$F$3006,B3013,Transactions!$N$8:$N$3006))</f>
        <v/>
      </c>
      <c r="E3013" s="52" t="str">
        <f>IF(B3013="","",SUMIF(Transactions!$F$8:$F$3006,B3013,Transactions!$O$8:$O$3006))</f>
        <v/>
      </c>
      <c r="F3013" s="53" t="str">
        <f>IF(B3013="","",SUMIF(Transactions!$F$8:$F$3006,B3013,Transactions!$R$8:$R$3006))</f>
        <v/>
      </c>
      <c r="G3013" s="54" t="str">
        <f>IF(B3013="","",(C3013+F3013)-(D3013+E3013+SUMIF(Transactions!$F$8:$F$3006,B3013,Transactions!$Q$8:$Q$3006)))</f>
        <v/>
      </c>
      <c r="H3013" s="55" t="str">
        <f>IF(B3013="","",IF(G3013&gt;0,"OUTSTANDING",IF(G3013=0,"SETTLED",IF(SUMIF(Transactions!$F$8:$F$3006,B3013,Transactions!$Q$8:$Q$3006)&gt;SUMIF(Transactions!$F$8:$F$3006,B3013,Transactions!$R$8:$R$3006),"OWES","OVERPAID"))))</f>
        <v/>
      </c>
      <c r="I3013" s="1"/>
    </row>
    <row r="3014" spans="1:9" ht="18" customHeight="1" x14ac:dyDescent="0.25">
      <c r="A3014" s="40">
        <v>2999</v>
      </c>
      <c r="B3014" s="41" t="str">
        <f t="array" ref="B3014">IFERROR(IF(INDEX(Transactions!$F$8:$F$3006,MATCH(0,COUNTIF($B$11:B3013,Transactions!$F$8:$F$3006),0))="","",INDEX(Transactions!$F$8:$F$3006,MATCH(0,COUNTIF($B$11:B3013,Transactions!$F$8:$F$3006),0))),"")</f>
        <v/>
      </c>
      <c r="C3014" s="42" t="str">
        <f>IF(B3014="","",SUMIF(Transactions!$F$8:$F$3006,B3014,Transactions!$H$8:$H$3006))</f>
        <v/>
      </c>
      <c r="D3014" s="43" t="str">
        <f>IF(B3014="","",SUMIF(Transactions!$F$8:$F$3006,B3014,Transactions!$N$8:$N$3006))</f>
        <v/>
      </c>
      <c r="E3014" s="44" t="str">
        <f>IF(B3014="","",SUMIF(Transactions!$F$8:$F$3006,B3014,Transactions!$O$8:$O$3006))</f>
        <v/>
      </c>
      <c r="F3014" s="45" t="str">
        <f>IF(B3014="","",SUMIF(Transactions!$F$8:$F$3006,B3014,Transactions!$R$8:$R$3006))</f>
        <v/>
      </c>
      <c r="G3014" s="46" t="str">
        <f>IF(B3014="","",(C3014+F3014)-(D3014+E3014+SUMIF(Transactions!$F$8:$F$3006,B3014,Transactions!$Q$8:$Q$3006)))</f>
        <v/>
      </c>
      <c r="H3014" s="47" t="str">
        <f>IF(B3014="","",IF(G3014&gt;0,"OUTSTANDING",IF(G3014=0,"SETTLED",IF(SUMIF(Transactions!$F$8:$F$3006,B3014,Transactions!$Q$8:$Q$3006)&gt;SUMIF(Transactions!$F$8:$F$3006,B3014,Transactions!$R$8:$R$3006),"OWES","OVERPAID"))))</f>
        <v/>
      </c>
      <c r="I3014" s="1"/>
    </row>
    <row r="3015" spans="1:9" ht="18" customHeight="1" x14ac:dyDescent="0.25">
      <c r="A3015" s="48">
        <v>3000</v>
      </c>
      <c r="B3015" s="49" t="str">
        <f t="array" ref="B3015">IFERROR(IF(INDEX(Transactions!$F$8:$F$3006,MATCH(0,COUNTIF($B$11:B3014,Transactions!$F$8:$F$3006),0))="","",INDEX(Transactions!$F$8:$F$3006,MATCH(0,COUNTIF($B$11:B3014,Transactions!$F$8:$F$3006),0))),"")</f>
        <v/>
      </c>
      <c r="C3015" s="50" t="str">
        <f>IF(B3015="","",SUMIF(Transactions!$F$8:$F$3006,B3015,Transactions!$H$8:$H$3006))</f>
        <v/>
      </c>
      <c r="D3015" s="51" t="str">
        <f>IF(B3015="","",SUMIF(Transactions!$F$8:$F$3006,B3015,Transactions!$N$8:$N$3006))</f>
        <v/>
      </c>
      <c r="E3015" s="52" t="str">
        <f>IF(B3015="","",SUMIF(Transactions!$F$8:$F$3006,B3015,Transactions!$O$8:$O$3006))</f>
        <v/>
      </c>
      <c r="F3015" s="53" t="str">
        <f>IF(B3015="","",SUMIF(Transactions!$F$8:$F$3006,B3015,Transactions!$R$8:$R$3006))</f>
        <v/>
      </c>
      <c r="G3015" s="54" t="str">
        <f>IF(B3015="","",(C3015+F3015)-(D3015+E3015+SUMIF(Transactions!$F$8:$F$3006,B3015,Transactions!$Q$8:$Q$3006)))</f>
        <v/>
      </c>
      <c r="H3015" s="55" t="str">
        <f>IF(B3015="","",IF(G3015&gt;0,"OUTSTANDING",IF(G3015=0,"SETTLED",IF(SUMIF(Transactions!$F$8:$F$3006,B3015,Transactions!$Q$8:$Q$3006)&gt;SUMIF(Transactions!$F$8:$F$3006,B3015,Transactions!$R$8:$R$3006),"OWES","OVERPAID"))))</f>
        <v/>
      </c>
      <c r="I3015" s="1"/>
    </row>
  </sheetData>
  <mergeCells count="24">
    <mergeCell ref="A13:B13"/>
    <mergeCell ref="C3:D3"/>
    <mergeCell ref="E3:F3"/>
    <mergeCell ref="A7:H7"/>
    <mergeCell ref="G10:H10"/>
    <mergeCell ref="G6:H6"/>
    <mergeCell ref="A3:B3"/>
    <mergeCell ref="G3:H3"/>
    <mergeCell ref="E6:F6"/>
    <mergeCell ref="A5:H5"/>
    <mergeCell ref="C10:F10"/>
    <mergeCell ref="A8:H8"/>
    <mergeCell ref="A4:B4"/>
    <mergeCell ref="G4:H4"/>
    <mergeCell ref="A10:B10"/>
    <mergeCell ref="C6:D6"/>
    <mergeCell ref="G2:H2"/>
    <mergeCell ref="A1:H1"/>
    <mergeCell ref="A6:B6"/>
    <mergeCell ref="A2:C2"/>
    <mergeCell ref="C4:D4"/>
    <mergeCell ref="E4:F4"/>
    <mergeCell ref="D2:E2"/>
    <mergeCell ref="F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3"/>
  <sheetViews>
    <sheetView showGridLines="0" topLeftCell="A78" workbookViewId="0">
      <selection activeCell="I12" sqref="I12"/>
    </sheetView>
  </sheetViews>
  <sheetFormatPr defaultRowHeight="15" x14ac:dyDescent="0.25"/>
  <cols>
    <col min="1" max="1" width="3" customWidth="1"/>
    <col min="2" max="2" width="26" customWidth="1"/>
    <col min="3" max="3" width="72" customWidth="1"/>
    <col min="4" max="4" width="3" customWidth="1"/>
  </cols>
  <sheetData>
    <row r="1" spans="1:3" ht="39.950000000000003" customHeight="1" x14ac:dyDescent="0.25">
      <c r="A1" s="146" t="s">
        <v>83</v>
      </c>
      <c r="B1" s="115"/>
      <c r="C1" s="113"/>
    </row>
    <row r="2" spans="1:3" ht="20.100000000000001" customHeight="1" x14ac:dyDescent="0.25">
      <c r="A2" s="158" t="s">
        <v>84</v>
      </c>
      <c r="B2" s="115"/>
      <c r="C2" s="113"/>
    </row>
    <row r="3" spans="1:3" ht="9.9499999999999993" customHeight="1" x14ac:dyDescent="0.25">
      <c r="A3" s="2"/>
      <c r="B3" s="2"/>
      <c r="C3" s="2"/>
    </row>
    <row r="4" spans="1:3" ht="16.5" x14ac:dyDescent="0.25">
      <c r="A4" s="3"/>
      <c r="B4" s="157" t="s">
        <v>85</v>
      </c>
      <c r="C4" s="132"/>
    </row>
    <row r="5" spans="1:3" ht="36" x14ac:dyDescent="0.25">
      <c r="A5" s="3"/>
      <c r="B5" s="4" t="s">
        <v>18</v>
      </c>
      <c r="C5" s="5" t="s">
        <v>86</v>
      </c>
    </row>
    <row r="6" spans="1:3" ht="36" x14ac:dyDescent="0.25">
      <c r="A6" s="3"/>
      <c r="B6" s="6" t="s">
        <v>87</v>
      </c>
      <c r="C6" s="174" t="s">
        <v>88</v>
      </c>
    </row>
    <row r="7" spans="1:3" ht="36" x14ac:dyDescent="0.25">
      <c r="A7" s="3"/>
      <c r="B7" s="4" t="s">
        <v>89</v>
      </c>
      <c r="C7" s="5" t="s">
        <v>90</v>
      </c>
    </row>
    <row r="8" spans="1:3" x14ac:dyDescent="0.25">
      <c r="A8" s="2"/>
      <c r="B8" s="2"/>
      <c r="C8" s="2"/>
    </row>
    <row r="9" spans="1:3" ht="16.5" x14ac:dyDescent="0.25">
      <c r="A9" s="8"/>
      <c r="B9" s="144" t="s">
        <v>91</v>
      </c>
      <c r="C9" s="127"/>
    </row>
    <row r="10" spans="1:3" x14ac:dyDescent="0.25">
      <c r="A10" s="8"/>
      <c r="B10" s="150" t="s">
        <v>92</v>
      </c>
      <c r="C10" s="117"/>
    </row>
    <row r="11" spans="1:3" x14ac:dyDescent="0.25">
      <c r="A11" s="8"/>
      <c r="B11" s="9" t="s">
        <v>93</v>
      </c>
      <c r="C11" s="5" t="s">
        <v>94</v>
      </c>
    </row>
    <row r="12" spans="1:3" ht="24" x14ac:dyDescent="0.25">
      <c r="A12" s="8"/>
      <c r="B12" s="10" t="s">
        <v>95</v>
      </c>
      <c r="C12" s="7" t="s">
        <v>96</v>
      </c>
    </row>
    <row r="13" spans="1:3" ht="24" x14ac:dyDescent="0.25">
      <c r="A13" s="8"/>
      <c r="B13" s="9" t="s">
        <v>97</v>
      </c>
      <c r="C13" s="5" t="s">
        <v>98</v>
      </c>
    </row>
    <row r="14" spans="1:3" x14ac:dyDescent="0.25">
      <c r="A14" s="11"/>
      <c r="B14" s="11"/>
      <c r="C14" s="11"/>
    </row>
    <row r="15" spans="1:3" x14ac:dyDescent="0.25">
      <c r="A15" s="12"/>
      <c r="B15" s="145" t="s">
        <v>99</v>
      </c>
      <c r="C15" s="117"/>
    </row>
    <row r="16" spans="1:3" ht="24" x14ac:dyDescent="0.25">
      <c r="A16" s="12"/>
      <c r="B16" s="13" t="s">
        <v>100</v>
      </c>
      <c r="C16" s="7" t="s">
        <v>101</v>
      </c>
    </row>
    <row r="17" spans="1:3" ht="24" x14ac:dyDescent="0.25">
      <c r="A17" s="12"/>
      <c r="B17" s="14" t="s">
        <v>102</v>
      </c>
      <c r="C17" s="5" t="s">
        <v>103</v>
      </c>
    </row>
    <row r="18" spans="1:3" ht="36" x14ac:dyDescent="0.25">
      <c r="A18" s="12"/>
      <c r="B18" s="13" t="s">
        <v>104</v>
      </c>
      <c r="C18" s="7" t="s">
        <v>105</v>
      </c>
    </row>
    <row r="19" spans="1:3" x14ac:dyDescent="0.25">
      <c r="A19" s="12"/>
      <c r="B19" s="14" t="s">
        <v>106</v>
      </c>
      <c r="C19" s="5" t="s">
        <v>107</v>
      </c>
    </row>
    <row r="20" spans="1:3" ht="24" x14ac:dyDescent="0.25">
      <c r="A20" s="12"/>
      <c r="B20" s="13" t="s">
        <v>108</v>
      </c>
      <c r="C20" s="7" t="s">
        <v>109</v>
      </c>
    </row>
    <row r="21" spans="1:3" x14ac:dyDescent="0.25">
      <c r="A21" s="11"/>
      <c r="B21" s="11"/>
      <c r="C21" s="11"/>
    </row>
    <row r="22" spans="1:3" x14ac:dyDescent="0.25">
      <c r="A22" s="15"/>
      <c r="B22" s="152" t="s">
        <v>110</v>
      </c>
      <c r="C22" s="117"/>
    </row>
    <row r="23" spans="1:3" x14ac:dyDescent="0.25">
      <c r="A23" s="15"/>
      <c r="B23" s="16" t="s">
        <v>111</v>
      </c>
      <c r="C23" s="5" t="s">
        <v>112</v>
      </c>
    </row>
    <row r="24" spans="1:3" x14ac:dyDescent="0.25">
      <c r="A24" s="15"/>
      <c r="B24" s="17" t="s">
        <v>113</v>
      </c>
      <c r="C24" s="7" t="s">
        <v>114</v>
      </c>
    </row>
    <row r="25" spans="1:3" x14ac:dyDescent="0.25">
      <c r="A25" s="15"/>
      <c r="B25" s="16" t="s">
        <v>115</v>
      </c>
      <c r="C25" s="5" t="s">
        <v>116</v>
      </c>
    </row>
    <row r="26" spans="1:3" x14ac:dyDescent="0.25">
      <c r="A26" s="15"/>
      <c r="B26" s="17" t="s">
        <v>117</v>
      </c>
      <c r="C26" s="7" t="s">
        <v>118</v>
      </c>
    </row>
    <row r="27" spans="1:3" x14ac:dyDescent="0.25">
      <c r="A27" s="15"/>
      <c r="B27" s="16" t="s">
        <v>119</v>
      </c>
      <c r="C27" s="5" t="s">
        <v>120</v>
      </c>
    </row>
    <row r="28" spans="1:3" ht="24" x14ac:dyDescent="0.25">
      <c r="A28" s="15"/>
      <c r="B28" s="17" t="s">
        <v>121</v>
      </c>
      <c r="C28" s="7" t="s">
        <v>122</v>
      </c>
    </row>
    <row r="29" spans="1:3" x14ac:dyDescent="0.25">
      <c r="A29" s="11"/>
      <c r="B29" s="11"/>
      <c r="C29" s="11"/>
    </row>
    <row r="30" spans="1:3" x14ac:dyDescent="0.25">
      <c r="A30" s="18"/>
      <c r="B30" s="143" t="s">
        <v>123</v>
      </c>
      <c r="C30" s="117"/>
    </row>
    <row r="31" spans="1:3" ht="24" x14ac:dyDescent="0.25">
      <c r="A31" s="18"/>
      <c r="B31" s="33" t="s">
        <v>124</v>
      </c>
      <c r="C31" s="5" t="s">
        <v>125</v>
      </c>
    </row>
    <row r="32" spans="1:3" ht="24" x14ac:dyDescent="0.25">
      <c r="A32" s="18"/>
      <c r="B32" s="19" t="s">
        <v>126</v>
      </c>
      <c r="C32" s="7" t="s">
        <v>127</v>
      </c>
    </row>
    <row r="33" spans="1:3" ht="24" x14ac:dyDescent="0.25">
      <c r="A33" s="18"/>
      <c r="B33" s="33" t="s">
        <v>128</v>
      </c>
      <c r="C33" s="5" t="s">
        <v>129</v>
      </c>
    </row>
    <row r="34" spans="1:3" ht="36" x14ac:dyDescent="0.25">
      <c r="A34" s="18"/>
      <c r="B34" s="19" t="s">
        <v>130</v>
      </c>
      <c r="C34" s="7" t="s">
        <v>131</v>
      </c>
    </row>
    <row r="35" spans="1:3" ht="36" x14ac:dyDescent="0.25">
      <c r="A35" s="18"/>
      <c r="B35" s="33" t="s">
        <v>132</v>
      </c>
      <c r="C35" s="5" t="s">
        <v>133</v>
      </c>
    </row>
    <row r="36" spans="1:3" x14ac:dyDescent="0.25">
      <c r="A36" s="2"/>
      <c r="B36" s="2"/>
      <c r="C36" s="2"/>
    </row>
    <row r="37" spans="1:3" ht="16.5" x14ac:dyDescent="0.25">
      <c r="A37" s="20"/>
      <c r="B37" s="148" t="s">
        <v>134</v>
      </c>
      <c r="C37" s="142"/>
    </row>
    <row r="38" spans="1:3" ht="24" x14ac:dyDescent="0.25">
      <c r="A38" s="20"/>
      <c r="B38" s="32" t="s">
        <v>135</v>
      </c>
      <c r="C38" s="7" t="s">
        <v>136</v>
      </c>
    </row>
    <row r="39" spans="1:3" x14ac:dyDescent="0.25">
      <c r="A39" s="20"/>
      <c r="B39" s="21" t="s">
        <v>137</v>
      </c>
      <c r="C39" s="5" t="s">
        <v>138</v>
      </c>
    </row>
    <row r="40" spans="1:3" x14ac:dyDescent="0.25">
      <c r="A40" s="20"/>
      <c r="B40" s="32" t="s">
        <v>139</v>
      </c>
      <c r="C40" s="7" t="s">
        <v>140</v>
      </c>
    </row>
    <row r="41" spans="1:3" x14ac:dyDescent="0.25">
      <c r="A41" s="20"/>
      <c r="B41" s="21" t="s">
        <v>141</v>
      </c>
      <c r="C41" s="5" t="s">
        <v>142</v>
      </c>
    </row>
    <row r="42" spans="1:3" x14ac:dyDescent="0.25">
      <c r="A42" s="20"/>
      <c r="B42" s="32" t="s">
        <v>143</v>
      </c>
      <c r="C42" s="7" t="s">
        <v>144</v>
      </c>
    </row>
    <row r="43" spans="1:3" ht="36" x14ac:dyDescent="0.25">
      <c r="A43" s="20"/>
      <c r="B43" s="21" t="s">
        <v>145</v>
      </c>
      <c r="C43" s="5" t="s">
        <v>146</v>
      </c>
    </row>
    <row r="44" spans="1:3" x14ac:dyDescent="0.25">
      <c r="A44" s="20"/>
      <c r="B44" s="32" t="s">
        <v>147</v>
      </c>
      <c r="C44" s="7" t="s">
        <v>148</v>
      </c>
    </row>
    <row r="45" spans="1:3" x14ac:dyDescent="0.25">
      <c r="A45" s="2"/>
      <c r="B45" s="2"/>
      <c r="C45" s="2"/>
    </row>
    <row r="46" spans="1:3" ht="16.5" x14ac:dyDescent="0.25">
      <c r="A46" s="12"/>
      <c r="B46" s="151" t="s">
        <v>149</v>
      </c>
      <c r="C46" s="140"/>
    </row>
    <row r="47" spans="1:3" ht="24" x14ac:dyDescent="0.25">
      <c r="A47" s="12"/>
      <c r="B47" s="13" t="s">
        <v>150</v>
      </c>
      <c r="C47" s="5" t="s">
        <v>151</v>
      </c>
    </row>
    <row r="48" spans="1:3" ht="36" x14ac:dyDescent="0.25">
      <c r="A48" s="12"/>
      <c r="B48" s="14" t="s">
        <v>152</v>
      </c>
      <c r="C48" s="7" t="s">
        <v>153</v>
      </c>
    </row>
    <row r="49" spans="1:3" x14ac:dyDescent="0.25">
      <c r="A49" s="12"/>
      <c r="B49" s="145" t="s">
        <v>154</v>
      </c>
      <c r="C49" s="117"/>
    </row>
    <row r="50" spans="1:3" ht="24" x14ac:dyDescent="0.25">
      <c r="A50" s="12"/>
      <c r="B50" s="22" t="s">
        <v>155</v>
      </c>
      <c r="C50" s="23" t="s">
        <v>156</v>
      </c>
    </row>
    <row r="51" spans="1:3" ht="36" x14ac:dyDescent="0.25">
      <c r="A51" s="12"/>
      <c r="B51" s="22" t="s">
        <v>157</v>
      </c>
      <c r="C51" s="23" t="s">
        <v>158</v>
      </c>
    </row>
    <row r="52" spans="1:3" ht="24" x14ac:dyDescent="0.25">
      <c r="A52" s="12"/>
      <c r="B52" s="22" t="s">
        <v>159</v>
      </c>
      <c r="C52" s="23" t="s">
        <v>160</v>
      </c>
    </row>
    <row r="53" spans="1:3" ht="24" x14ac:dyDescent="0.25">
      <c r="A53" s="12"/>
      <c r="B53" s="22" t="s">
        <v>161</v>
      </c>
      <c r="C53" s="23" t="s">
        <v>162</v>
      </c>
    </row>
    <row r="54" spans="1:3" ht="24" x14ac:dyDescent="0.25">
      <c r="A54" s="12"/>
      <c r="B54" s="22" t="s">
        <v>163</v>
      </c>
      <c r="C54" s="23" t="s">
        <v>164</v>
      </c>
    </row>
    <row r="55" spans="1:3" x14ac:dyDescent="0.25">
      <c r="A55" s="2"/>
      <c r="B55" s="2"/>
      <c r="C55" s="2"/>
    </row>
    <row r="56" spans="1:3" ht="16.5" x14ac:dyDescent="0.25">
      <c r="A56" s="24"/>
      <c r="B56" s="155" t="s">
        <v>165</v>
      </c>
      <c r="C56" s="156"/>
    </row>
    <row r="57" spans="1:3" ht="24" x14ac:dyDescent="0.25">
      <c r="A57" s="20"/>
      <c r="B57" s="25" t="s">
        <v>67</v>
      </c>
      <c r="C57" s="7" t="s">
        <v>166</v>
      </c>
    </row>
    <row r="58" spans="1:3" ht="24" x14ac:dyDescent="0.25">
      <c r="A58" s="18"/>
      <c r="B58" s="26" t="s">
        <v>68</v>
      </c>
      <c r="C58" s="7" t="s">
        <v>167</v>
      </c>
    </row>
    <row r="59" spans="1:3" ht="36" x14ac:dyDescent="0.25">
      <c r="A59" s="27"/>
      <c r="B59" s="28" t="s">
        <v>69</v>
      </c>
      <c r="C59" s="7" t="s">
        <v>168</v>
      </c>
    </row>
    <row r="60" spans="1:3" ht="36" x14ac:dyDescent="0.25">
      <c r="A60" s="29"/>
      <c r="B60" s="30" t="s">
        <v>70</v>
      </c>
      <c r="C60" s="7" t="s">
        <v>169</v>
      </c>
    </row>
    <row r="61" spans="1:3" x14ac:dyDescent="0.25">
      <c r="A61" s="2"/>
      <c r="B61" s="2"/>
      <c r="C61" s="2"/>
    </row>
    <row r="62" spans="1:3" ht="16.5" x14ac:dyDescent="0.25">
      <c r="A62" s="29"/>
      <c r="B62" s="153" t="s">
        <v>170</v>
      </c>
      <c r="C62" s="154"/>
    </row>
    <row r="63" spans="1:3" ht="36" x14ac:dyDescent="0.25">
      <c r="A63" s="29"/>
      <c r="B63" s="31" t="s">
        <v>171</v>
      </c>
      <c r="C63" s="23" t="s">
        <v>172</v>
      </c>
    </row>
    <row r="64" spans="1:3" x14ac:dyDescent="0.25">
      <c r="A64" s="11"/>
      <c r="B64" s="11"/>
      <c r="C64" s="11"/>
    </row>
    <row r="65" spans="1:3" ht="36" x14ac:dyDescent="0.25">
      <c r="A65" s="29"/>
      <c r="B65" s="31" t="s">
        <v>173</v>
      </c>
      <c r="C65" s="23" t="s">
        <v>174</v>
      </c>
    </row>
    <row r="66" spans="1:3" x14ac:dyDescent="0.25">
      <c r="A66" s="11"/>
      <c r="B66" s="11"/>
      <c r="C66" s="11"/>
    </row>
    <row r="67" spans="1:3" ht="36" x14ac:dyDescent="0.25">
      <c r="A67" s="29"/>
      <c r="B67" s="31" t="s">
        <v>175</v>
      </c>
      <c r="C67" s="23" t="s">
        <v>176</v>
      </c>
    </row>
    <row r="68" spans="1:3" x14ac:dyDescent="0.25">
      <c r="A68" s="11"/>
      <c r="B68" s="11"/>
      <c r="C68" s="11"/>
    </row>
    <row r="69" spans="1:3" ht="36" x14ac:dyDescent="0.25">
      <c r="A69" s="29"/>
      <c r="B69" s="31" t="s">
        <v>177</v>
      </c>
      <c r="C69" s="23" t="s">
        <v>178</v>
      </c>
    </row>
    <row r="70" spans="1:3" x14ac:dyDescent="0.25">
      <c r="A70" s="11"/>
      <c r="B70" s="11"/>
      <c r="C70" s="11"/>
    </row>
    <row r="71" spans="1:3" ht="36" x14ac:dyDescent="0.25">
      <c r="A71" s="29"/>
      <c r="B71" s="31" t="s">
        <v>179</v>
      </c>
      <c r="C71" s="23" t="s">
        <v>180</v>
      </c>
    </row>
    <row r="72" spans="1:3" x14ac:dyDescent="0.25">
      <c r="A72" s="11"/>
      <c r="B72" s="11"/>
      <c r="C72" s="11"/>
    </row>
    <row r="73" spans="1:3" ht="36" x14ac:dyDescent="0.25">
      <c r="A73" s="29"/>
      <c r="B73" s="31" t="s">
        <v>181</v>
      </c>
      <c r="C73" s="23" t="s">
        <v>182</v>
      </c>
    </row>
    <row r="74" spans="1:3" x14ac:dyDescent="0.25">
      <c r="A74" s="11"/>
      <c r="B74" s="11"/>
      <c r="C74" s="11"/>
    </row>
    <row r="75" spans="1:3" ht="36" x14ac:dyDescent="0.25">
      <c r="A75" s="29"/>
      <c r="B75" s="31" t="s">
        <v>183</v>
      </c>
      <c r="C75" s="23" t="s">
        <v>184</v>
      </c>
    </row>
    <row r="76" spans="1:3" x14ac:dyDescent="0.25">
      <c r="A76" s="11"/>
      <c r="B76" s="11"/>
      <c r="C76" s="11"/>
    </row>
    <row r="77" spans="1:3" ht="48" x14ac:dyDescent="0.25">
      <c r="A77" s="29"/>
      <c r="B77" s="31" t="s">
        <v>185</v>
      </c>
      <c r="C77" s="23" t="s">
        <v>186</v>
      </c>
    </row>
    <row r="78" spans="1:3" x14ac:dyDescent="0.25">
      <c r="A78" s="11"/>
      <c r="B78" s="11"/>
      <c r="C78" s="11"/>
    </row>
    <row r="79" spans="1:3" x14ac:dyDescent="0.25">
      <c r="A79" s="2"/>
      <c r="B79" s="2"/>
      <c r="C79" s="2"/>
    </row>
    <row r="80" spans="1:3" ht="16.5" x14ac:dyDescent="0.25">
      <c r="A80" s="15"/>
      <c r="B80" s="149" t="s">
        <v>187</v>
      </c>
      <c r="C80" s="123"/>
    </row>
    <row r="81" spans="1:3" ht="24" x14ac:dyDescent="0.25">
      <c r="A81" s="15"/>
      <c r="B81" s="16" t="s">
        <v>188</v>
      </c>
      <c r="C81" s="7" t="s">
        <v>189</v>
      </c>
    </row>
    <row r="82" spans="1:3" ht="24" x14ac:dyDescent="0.25">
      <c r="A82" s="15"/>
      <c r="B82" s="17" t="s">
        <v>190</v>
      </c>
      <c r="C82" s="5" t="s">
        <v>191</v>
      </c>
    </row>
    <row r="83" spans="1:3" ht="24" x14ac:dyDescent="0.25">
      <c r="A83" s="15"/>
      <c r="B83" s="16" t="s">
        <v>192</v>
      </c>
      <c r="C83" s="7" t="s">
        <v>193</v>
      </c>
    </row>
    <row r="84" spans="1:3" ht="24" x14ac:dyDescent="0.25">
      <c r="A84" s="15"/>
      <c r="B84" s="17" t="s">
        <v>194</v>
      </c>
      <c r="C84" s="5" t="s">
        <v>195</v>
      </c>
    </row>
    <row r="85" spans="1:3" x14ac:dyDescent="0.25">
      <c r="A85" s="2"/>
      <c r="B85" s="2"/>
      <c r="C85" s="2"/>
    </row>
    <row r="86" spans="1:3" ht="16.5" x14ac:dyDescent="0.25">
      <c r="A86" s="8"/>
      <c r="B86" s="144" t="s">
        <v>196</v>
      </c>
      <c r="C86" s="127"/>
    </row>
    <row r="87" spans="1:3" ht="24" x14ac:dyDescent="0.25">
      <c r="A87" s="8"/>
      <c r="B87" s="9" t="s">
        <v>197</v>
      </c>
      <c r="C87" s="7" t="s">
        <v>198</v>
      </c>
    </row>
    <row r="88" spans="1:3" x14ac:dyDescent="0.25">
      <c r="A88" s="8"/>
      <c r="B88" s="10" t="s">
        <v>199</v>
      </c>
      <c r="C88" s="5" t="s">
        <v>200</v>
      </c>
    </row>
    <row r="89" spans="1:3" x14ac:dyDescent="0.25">
      <c r="A89" s="8"/>
      <c r="B89" s="9" t="s">
        <v>201</v>
      </c>
      <c r="C89" s="7" t="s">
        <v>202</v>
      </c>
    </row>
    <row r="90" spans="1:3" ht="36" x14ac:dyDescent="0.25">
      <c r="A90" s="8"/>
      <c r="B90" s="10" t="s">
        <v>203</v>
      </c>
      <c r="C90" s="5" t="s">
        <v>204</v>
      </c>
    </row>
    <row r="91" spans="1:3" ht="36" x14ac:dyDescent="0.25">
      <c r="A91" s="8"/>
      <c r="B91" s="9" t="s">
        <v>205</v>
      </c>
      <c r="C91" s="7" t="s">
        <v>206</v>
      </c>
    </row>
    <row r="92" spans="1:3" x14ac:dyDescent="0.25">
      <c r="A92" s="2"/>
      <c r="B92" s="2"/>
      <c r="C92" s="2"/>
    </row>
    <row r="93" spans="1:3" x14ac:dyDescent="0.25">
      <c r="A93" s="147" t="s">
        <v>207</v>
      </c>
      <c r="B93" s="115"/>
      <c r="C93" s="113"/>
    </row>
  </sheetData>
  <mergeCells count="16">
    <mergeCell ref="B86:C86"/>
    <mergeCell ref="B30:C30"/>
    <mergeCell ref="B15:C15"/>
    <mergeCell ref="A1:C1"/>
    <mergeCell ref="A93:C93"/>
    <mergeCell ref="B37:C37"/>
    <mergeCell ref="B80:C80"/>
    <mergeCell ref="B10:C10"/>
    <mergeCell ref="B46:C46"/>
    <mergeCell ref="B22:C22"/>
    <mergeCell ref="B49:C49"/>
    <mergeCell ref="B62:C62"/>
    <mergeCell ref="B9:C9"/>
    <mergeCell ref="B56:C56"/>
    <mergeCell ref="B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Transactions</vt:lpstr>
      <vt:lpstr>Advances Summary</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 Rajagopal</cp:lastModifiedBy>
  <dcterms:created xsi:type="dcterms:W3CDTF">2026-04-06T12:09:19Z</dcterms:created>
  <dcterms:modified xsi:type="dcterms:W3CDTF">2026-05-14T07:11:20Z</dcterms:modified>
</cp:coreProperties>
</file>